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R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Y54" i="3"/>
  <c r="X54" i="3"/>
  <c r="Y53" i="3"/>
  <c r="X4" i="12"/>
  <c r="X46" i="3"/>
  <c r="Y45" i="3"/>
  <c r="X45" i="3"/>
  <c r="X48" i="13"/>
  <c r="X83" i="3"/>
  <c r="Y76" i="3"/>
  <c r="X76" i="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4" i="3"/>
  <c r="Y44" i="3"/>
  <c r="X44" i="3"/>
  <c r="Y42" i="3"/>
  <c r="Y31" i="3"/>
  <c r="Y30" i="3"/>
  <c r="Y25" i="3"/>
  <c r="Y10" i="3"/>
  <c r="X29" i="9" l="1"/>
  <c r="Y57" i="8"/>
  <c r="Y79" i="8" s="1"/>
  <c r="Y55" i="3"/>
  <c r="Y52" i="3" s="1"/>
  <c r="Y29" i="9"/>
  <c r="X91" i="8"/>
  <c r="X55" i="3"/>
  <c r="X207" i="3" s="1"/>
  <c r="Y91" i="8"/>
  <c r="Y15" i="14"/>
  <c r="Y21" i="14" s="1"/>
  <c r="Y24" i="13"/>
  <c r="X31" i="9"/>
  <c r="X53" i="3"/>
  <c r="X75" i="3"/>
  <c r="X227" i="3" s="1"/>
  <c r="Y53" i="9"/>
  <c r="X41" i="12"/>
  <c r="Y43" i="9"/>
  <c r="X90" i="8"/>
  <c r="Y44" i="12"/>
  <c r="X25" i="9"/>
  <c r="Y69" i="11"/>
  <c r="X19" i="12"/>
  <c r="X69" i="12" s="1"/>
  <c r="Y41" i="12"/>
  <c r="X27" i="9"/>
  <c r="Y75" i="3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0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3" i="15" s="1"/>
  <c r="X13" i="14"/>
  <c r="X19" i="14" s="1"/>
  <c r="Y15" i="3"/>
  <c r="X23" i="3"/>
  <c r="X22" i="3" s="1"/>
  <c r="X14" i="20"/>
  <c r="Y15" i="18"/>
  <c r="Y29" i="13"/>
  <c r="X18" i="11"/>
  <c r="X120" i="11" s="1"/>
  <c r="X237" i="3"/>
  <c r="Y194" i="3"/>
  <c r="Y196" i="3"/>
  <c r="Y20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Y10" i="19"/>
  <c r="Y11" i="20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X43" i="3"/>
  <c r="X198" i="3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7" i="11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Y36" i="8" l="1"/>
  <c r="Y227" i="3"/>
  <c r="X116" i="11"/>
  <c r="X36" i="8"/>
  <c r="X96" i="8"/>
  <c r="Y207" i="3"/>
  <c r="Y197" i="3"/>
  <c r="X52" i="3"/>
  <c r="X204" i="3" s="1"/>
  <c r="X11" i="17"/>
  <c r="X4" i="8"/>
  <c r="X108" i="8" s="1"/>
  <c r="X235" i="3"/>
  <c r="X21" i="20"/>
  <c r="X41" i="9"/>
  <c r="Y3" i="16"/>
  <c r="Y9" i="17" s="1"/>
  <c r="Y3" i="12"/>
  <c r="Y50" i="12" s="1"/>
  <c r="X23" i="20"/>
  <c r="X89" i="3"/>
  <c r="X181" i="3" s="1"/>
  <c r="Y3" i="19"/>
  <c r="Y28" i="19" s="1"/>
  <c r="Y25" i="19"/>
  <c r="X24" i="19"/>
  <c r="Y13" i="18"/>
  <c r="X86" i="3"/>
  <c r="X238" i="3" s="1"/>
  <c r="Y20" i="16"/>
  <c r="Y57" i="3"/>
  <c r="Y209" i="3" s="1"/>
  <c r="X3" i="16"/>
  <c r="X28" i="16" s="1"/>
  <c r="Y10" i="17"/>
  <c r="X22" i="15"/>
  <c r="X21" i="15"/>
  <c r="Y13" i="15"/>
  <c r="Y17" i="15"/>
  <c r="Y18" i="15"/>
  <c r="X25" i="14"/>
  <c r="Y27" i="14"/>
  <c r="Y26" i="14"/>
  <c r="Y25" i="14"/>
  <c r="X122" i="11"/>
  <c r="X80" i="11"/>
  <c r="X43" i="11"/>
  <c r="X22" i="10"/>
  <c r="X29" i="19"/>
  <c r="X9" i="20"/>
  <c r="X192" i="3"/>
  <c r="Y22" i="13"/>
  <c r="Y73" i="3"/>
  <c r="X25" i="8"/>
  <c r="X233" i="3"/>
  <c r="X22" i="17"/>
  <c r="X13" i="20"/>
  <c r="X44" i="10"/>
  <c r="X205" i="3"/>
  <c r="X118" i="11"/>
  <c r="X112" i="8"/>
  <c r="Y13" i="3"/>
  <c r="X100" i="8"/>
  <c r="Y198" i="3"/>
  <c r="X111" i="8"/>
  <c r="X76" i="11"/>
  <c r="X10" i="20"/>
  <c r="X41" i="3"/>
  <c r="X193" i="3" s="1"/>
  <c r="Y22" i="18"/>
  <c r="X60" i="3"/>
  <c r="X212" i="3" s="1"/>
  <c r="X11" i="9"/>
  <c r="X46" i="9" s="1"/>
  <c r="X20" i="19"/>
  <c r="X113" i="8"/>
  <c r="Y21" i="18"/>
  <c r="X13" i="11"/>
  <c r="X224" i="3"/>
  <c r="Y111" i="11"/>
  <c r="Y42" i="13"/>
  <c r="Y12" i="14"/>
  <c r="Y18" i="14" s="1"/>
  <c r="X13" i="3"/>
  <c r="X195" i="3" s="1"/>
  <c r="X37" i="9"/>
  <c r="X3" i="12"/>
  <c r="X51" i="12" s="1"/>
  <c r="Y23" i="10"/>
  <c r="Y22" i="10"/>
  <c r="Y117" i="11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38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Y204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Y22" i="17"/>
  <c r="X23" i="18"/>
  <c r="X28" i="19"/>
  <c r="Y28" i="16" l="1"/>
  <c r="Y17" i="12"/>
  <c r="Y67" i="12" s="1"/>
  <c r="Y49" i="12"/>
  <c r="X109" i="8"/>
  <c r="Y51" i="12"/>
  <c r="Y27" i="16"/>
  <c r="Y55" i="12"/>
  <c r="Y23" i="16"/>
  <c r="Y19" i="16"/>
  <c r="Y9" i="20"/>
  <c r="Y48" i="12"/>
  <c r="Y52" i="12"/>
  <c r="Y29" i="19"/>
  <c r="Y53" i="12"/>
  <c r="X19" i="16"/>
  <c r="X29" i="16"/>
  <c r="X107" i="8"/>
  <c r="Y54" i="12"/>
  <c r="X27" i="16"/>
  <c r="Y27" i="19"/>
  <c r="X105" i="8"/>
  <c r="Y47" i="12"/>
  <c r="Y19" i="19"/>
  <c r="X9" i="17"/>
  <c r="Y23" i="19"/>
  <c r="X110" i="8"/>
  <c r="Y195" i="3"/>
  <c r="X62" i="10"/>
  <c r="Y56" i="3"/>
  <c r="X23" i="16"/>
  <c r="X106" i="8"/>
  <c r="X94" i="8"/>
  <c r="X39" i="3"/>
  <c r="X191" i="3" s="1"/>
  <c r="Y24" i="14"/>
  <c r="X182" i="3"/>
  <c r="X183" i="3"/>
  <c r="Y225" i="3"/>
  <c r="X95" i="11"/>
  <c r="X56" i="3"/>
  <c r="X208" i="3" s="1"/>
  <c r="X225" i="3"/>
  <c r="X59" i="3"/>
  <c r="X153" i="3" s="1"/>
  <c r="X10" i="9"/>
  <c r="X57" i="9" s="1"/>
  <c r="X35" i="9"/>
  <c r="X24" i="9"/>
  <c r="Y37" i="12"/>
  <c r="X49" i="12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08" i="3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11" i="3"/>
  <c r="X151" i="3"/>
  <c r="X56" i="9"/>
  <c r="X62" i="9"/>
  <c r="X45" i="9"/>
  <c r="X58" i="9"/>
  <c r="X61" i="9"/>
  <c r="X63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65" i="9" l="1"/>
  <c r="X64" i="9"/>
  <c r="X59" i="9"/>
  <c r="X60" i="9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5" i="1"/>
  <c r="B26" i="1"/>
  <c r="S242" i="3" l="1"/>
  <c r="C242" i="3"/>
  <c r="O14" i="18"/>
  <c r="I15" i="18"/>
  <c r="E3" i="18"/>
  <c r="E17" i="20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L20" i="19"/>
  <c r="L10" i="20"/>
  <c r="Q25" i="19"/>
  <c r="Q21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R25" i="19" l="1"/>
  <c r="W23" i="20"/>
  <c r="E18" i="18"/>
  <c r="U18" i="18"/>
  <c r="M22" i="20"/>
  <c r="E19" i="18"/>
  <c r="J11" i="20"/>
  <c r="I21" i="18"/>
  <c r="I22" i="18"/>
  <c r="N13" i="20"/>
  <c r="W24" i="19"/>
  <c r="U19" i="18"/>
  <c r="F22" i="20"/>
  <c r="M23" i="20"/>
  <c r="R21" i="19"/>
  <c r="P10" i="20"/>
  <c r="G18" i="18"/>
  <c r="H20" i="19"/>
  <c r="K23" i="18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Q9" i="20" l="1"/>
  <c r="F183" i="3"/>
  <c r="U122" i="3"/>
  <c r="E23" i="19"/>
  <c r="E27" i="19"/>
  <c r="N9" i="20"/>
  <c r="F182" i="3"/>
  <c r="H23" i="19"/>
  <c r="N19" i="19"/>
  <c r="N27" i="19"/>
  <c r="M28" i="19"/>
  <c r="W9" i="20"/>
  <c r="M9" i="20"/>
  <c r="M29" i="19"/>
  <c r="N29" i="19"/>
  <c r="W29" i="19"/>
  <c r="M27" i="19"/>
  <c r="M19" i="19"/>
  <c r="Q23" i="19"/>
  <c r="H27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9" i="3" s="1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K79" i="8" s="1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V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6" i="1"/>
  <c r="B6" i="1"/>
  <c r="B11" i="1"/>
  <c r="B8" i="1"/>
  <c r="B15" i="1"/>
  <c r="B22" i="1"/>
  <c r="B17" i="1"/>
  <c r="B7" i="1"/>
  <c r="B4" i="1"/>
  <c r="B13" i="1"/>
  <c r="B21" i="1"/>
  <c r="B18" i="1"/>
  <c r="B9" i="1"/>
  <c r="B12" i="1"/>
  <c r="B20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O180" i="4"/>
  <c r="P208" i="4"/>
  <c r="P206" i="4"/>
  <c r="P102" i="5"/>
  <c r="P209" i="4"/>
  <c r="P96" i="6"/>
  <c r="P8" i="3" l="1"/>
  <c r="P150" i="4"/>
  <c r="O179" i="4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M150" i="4" s="1"/>
  <c r="O121" i="6"/>
  <c r="O67" i="6"/>
  <c r="O209" i="7" s="1"/>
  <c r="O94" i="6"/>
  <c r="M206" i="4"/>
  <c r="L205" i="4"/>
  <c r="J180" i="4"/>
  <c r="L177" i="4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M8" i="3"/>
  <c r="M204" i="4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251" i="4" s="1"/>
  <c r="N170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G243" i="4" l="1"/>
  <c r="F20" i="4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231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26" i="4" l="1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 s="1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Y184" i="4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7" i="4" l="1"/>
  <c r="Y265" i="4"/>
  <c r="Y268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 s="1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Y19" i="3" l="1"/>
  <c r="F170" i="3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 s="1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 s="1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 s="1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 s="1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 s="1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<sst xmlns="http://schemas.openxmlformats.org/spreadsheetml/2006/main" count="2657" uniqueCount="1169">
  <si>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</si>
  <si>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</si>
  <si>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</si>
  <si>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</si>
  <si>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</si>
  <si>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</si>
  <si>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</si>
  <si>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</si>
  <si>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</si>
  <si>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</si>
  <si>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</si>
  <si>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</si>
  <si>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</si>
  <si>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</si>
  <si>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</si>
  <si>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</si>
  <si>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</si>
  <si>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</si>
  <si>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</si>
  <si>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</si>
  <si>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</si>
  <si>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</si>
  <si>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</si>
  <si>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</si>
  <si>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</si>
  <si>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</si>
  <si>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</si>
  <si>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</si>
  <si>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</si>
  <si>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</si>
  <si>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</si>
  <si>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</si>
  <si>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</si>
  <si>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</si>
  <si>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</si>
  <si>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</si>
  <si>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</si>
  <si>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</si>
  <si>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</si>
  <si>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</si>
  <si>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</si>
  <si>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</si>
  <si>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</si>
  <si>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</si>
  <si>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</si>
  <si>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</si>
  <si>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</si>
  <si>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</si>
  <si>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</si>
  <si>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</si>
  <si>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</si>
  <si>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</si>
  <si>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</si>
  <si>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</si>
  <si>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</si>
  <si>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</si>
  <si>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</si>
  <si>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</si>
  <si>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</si>
  <si>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</si>
  <si>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</si>
  <si>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</si>
  <si>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</si>
  <si>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</si>
  <si>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</si>
  <si>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</si>
  <si>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</si>
  <si>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</si>
  <si>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</si>
  <si>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</si>
  <si>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</si>
  <si>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</si>
  <si>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</si>
  <si>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</si>
  <si>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</si>
  <si>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</si>
  <si>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</si>
  <si>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</si>
  <si>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</si>
  <si>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</si>
  <si>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</si>
  <si>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</si>
  <si>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</si>
  <si>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</si>
  <si>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</si>
  <si>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</si>
  <si>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</si>
  <si>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</si>
  <si>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</si>
  <si>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</si>
  <si>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</si>
  <si>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</si>
  <si>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</si>
  <si>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</si>
  <si>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</si>
  <si>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</si>
  <si>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</si>
  <si>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</si>
  <si>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</si>
  <si>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</si>
  <si>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</si>
  <si>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</si>
  <si>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</si>
  <si>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</si>
  <si>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</si>
  <si>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</si>
  <si>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</si>
  <si>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</si>
  <si>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</si>
  <si>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</si>
  <si>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</si>
  <si>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</si>
  <si>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</si>
  <si>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</si>
  <si>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</si>
  <si>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</si>
  <si>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</si>
  <si>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</si>
  <si>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</si>
  <si>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</si>
  <si>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</si>
  <si>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</si>
  <si>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</si>
  <si>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</si>
  <si>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</si>
  <si>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</si>
  <si>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</si>
  <si>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</si>
  <si>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</si>
  <si>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</si>
  <si>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</si>
  <si>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</si>
  <si>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</si>
  <si>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</si>
  <si>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</si>
  <si>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</si>
  <si>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</si>
  <si>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</si>
  <si>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</si>
  <si>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</si>
  <si>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</si>
  <si>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</si>
  <si>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</si>
  <si>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</si>
  <si>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</si>
  <si>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</si>
  <si>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</si>
  <si>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</si>
  <si>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</si>
  <si>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</si>
  <si>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</si>
  <si>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</si>
  <si>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</si>
  <si>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</si>
  <si>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</si>
  <si>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</si>
  <si>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</si>
  <si>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</si>
  <si>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</si>
  <si>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</si>
  <si>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</si>
  <si>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</si>
  <si>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</si>
  <si>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</si>
  <si>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</si>
  <si>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</si>
  <si>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</si>
  <si>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</si>
  <si>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</si>
  <si>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</si>
  <si>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</si>
  <si>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</si>
  <si>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</si>
  <si>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</si>
  <si>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</si>
  <si>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</si>
  <si>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</si>
  <si>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</si>
  <si>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</si>
  <si>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</si>
  <si>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</si>
  <si>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</si>
  <si>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</si>
  <si>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</si>
  <si>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</si>
  <si>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</si>
  <si>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</si>
  <si>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FR</t>
  </si>
  <si>
    <t>France</t>
  </si>
  <si>
    <t>Aviation - FR - France</t>
  </si>
  <si>
    <t>Activity.Mpkm.FR.Tr.Avia.Passenger</t>
  </si>
  <si>
    <t>Activity.Mpkm.FR.Tr.Avia.Passenger.Domestic</t>
  </si>
  <si>
    <t>Activity.Mpkm.FR.Tr.Avia.Passenger.IntraEEAwCHUK</t>
  </si>
  <si>
    <t>Activity.Mpkm.FR.Tr.Avia.Passenger.ExtraEEAwCHUK</t>
  </si>
  <si>
    <t>Activity.Mtkm.FR.Tr.Avia.Freight</t>
  </si>
  <si>
    <t>Activity.Mtkm.FR.Tr.Avia.Freight.Domestic</t>
  </si>
  <si>
    <t>Activity.Mtkm.FR.Tr.Avia.Freight.IntraEEAwCHUK</t>
  </si>
  <si>
    <t>Activity.Mtkm.FR.Tr.Avia.Freight.ExtraEEAwCHUK</t>
  </si>
  <si>
    <t>VehicleKm.Mkm.FR.Tr.Avia</t>
  </si>
  <si>
    <t>VehicleKm.Mkm.FR.Tr.Avia.Passenger</t>
  </si>
  <si>
    <t>VehicleKm.Mkm.FR.Tr.Avia.Passenger.Domestic</t>
  </si>
  <si>
    <t>VehicleKm.Mkm.FR.Tr.Avia.Passenger.IntraEEAwCHUK</t>
  </si>
  <si>
    <t>VehicleKm.Mkm.FR.Tr.Avia.Passenger.ExtraEEAwCHUK</t>
  </si>
  <si>
    <t>VehicleKm.Mkm.FR.Tr.Avia.Freight</t>
  </si>
  <si>
    <t>VehicleKm.Mkm.FR.Tr.Avia.Freight.Domestic</t>
  </si>
  <si>
    <t>VehicleKm.Mkm.FR.Tr.Avia.Freight.IntraEEAwCHUK</t>
  </si>
  <si>
    <t>VehicleKm.Mkm.FR.Tr.Avia.Freight.ExtraEEAwCHUK</t>
  </si>
  <si>
    <t>Flights.number.FR.Tr.Avia</t>
  </si>
  <si>
    <t>Flights.number.FR.Tr.Avia.Passenger</t>
  </si>
  <si>
    <t>Flights.number.FR.Tr.Avia.Passenger.Domestic</t>
  </si>
  <si>
    <t>Flights.number.FR.Tr.Avia.Passenger.IntraEEAwCHUK</t>
  </si>
  <si>
    <t>Flights.number.FR.Tr.Avia.Passenger.ExtraEEAwCHUK</t>
  </si>
  <si>
    <t>Flights.number.FR.Tr.Avia.Freight</t>
  </si>
  <si>
    <t>Flights.number.FR.Tr.Avia.Freight.Domestic</t>
  </si>
  <si>
    <t>Flights.number.FR.Tr.Avia.Freight.IntraEEAwCHUK</t>
  </si>
  <si>
    <t>Flights.number.FR.Tr.Avia.Freight.ExtraEEAwCHUK</t>
  </si>
  <si>
    <t>VolCarried.passenger.FR.Tr.Avia.Passenger</t>
  </si>
  <si>
    <t>VolCarried.passenger.FR.Tr.Avia.Passenger.Domestic</t>
  </si>
  <si>
    <t>VolCarried.passenger.FR.Tr.Avia.Passenger.IntraEEAwCHUK</t>
  </si>
  <si>
    <t>VolCarried.passenger.FR.Tr.Avia.Passenger.ExtraEEAwCHUK</t>
  </si>
  <si>
    <t>VolCarried.t.FR.Tr.Avia.Freight</t>
  </si>
  <si>
    <t>VolCarried.t.FR.Tr.Avia.Freight.Domestic</t>
  </si>
  <si>
    <t>VolCarried.t.FR.Tr.Avia.Freight.IntraEEAwCHUK</t>
  </si>
  <si>
    <t>VolCarried.t.FR.Tr.Avia.Freight.ExtraEEAwCHUK</t>
  </si>
  <si>
    <t>Stock.number.FR.Tr.Avia</t>
  </si>
  <si>
    <t>Stock.number.FR.Tr.Avia.Passenger</t>
  </si>
  <si>
    <t>Stock.number.FR.Tr.Avia.Passenger.Domestic</t>
  </si>
  <si>
    <t>Stock.number.FR.Tr.Avia.Passenger.IntraEEAwCHUK</t>
  </si>
  <si>
    <t>Stock.number.FR.Tr.Avia.Passenger.ExtraEEAwCHUK</t>
  </si>
  <si>
    <t>Stock.number.FR.Tr.Avia.Freight</t>
  </si>
  <si>
    <t>Stock.number.FR.Tr.Avia.Freight.Domestic</t>
  </si>
  <si>
    <t>Stock.number.FR.Tr.Avia.Freight.IntraEEAwCHUK</t>
  </si>
  <si>
    <t>Stock.number.FR.Tr.Avia.Freight.ExtraEEAwCHUK</t>
  </si>
  <si>
    <t>StockNew.number.FR.Tr.Avia</t>
  </si>
  <si>
    <t>StockNew.number.FR.Tr.Avia.Passenger</t>
  </si>
  <si>
    <t>StockNew.number.FR.Tr.Avia.Passenger.Domestic</t>
  </si>
  <si>
    <t>StockNew.number.FR.Tr.Avia.Passenger.IntraEEAwCHUK</t>
  </si>
  <si>
    <t>StockNew.number.FR.Tr.Avia.Passenger.ExtraEEAwCHUK</t>
  </si>
  <si>
    <t>StockNew.number.FR.Tr.Avia.Freight</t>
  </si>
  <si>
    <t>StockNew.number.FR.Tr.Avia.Freight.Domestic</t>
  </si>
  <si>
    <t>StockNew.number.FR.Tr.Avia.Freight.IntraEEAwCHUK</t>
  </si>
  <si>
    <t>StockNew.number.FR.Tr.Avia.Freight.ExtraEEAwCHUK</t>
  </si>
  <si>
    <t>Load.passenger_per_movement.FR.Tr.Avia.Passenger</t>
  </si>
  <si>
    <t>Load.passenger_per_movement.FR.Tr.Avia.Passenger.Domestic</t>
  </si>
  <si>
    <t>Load.passenger_per_movement.FR.Tr.Avia.Passenger.IntraEEAwCHUK</t>
  </si>
  <si>
    <t>Load.passenger_per_movement.FR.Tr.Avia.Passenger.ExtraEEAwCHUK</t>
  </si>
  <si>
    <t>Load.t_per_movement.FR.Tr.Avia.Freight</t>
  </si>
  <si>
    <t>Load.t_per_movement.FR.Tr.Avia.Freight.Domestic</t>
  </si>
  <si>
    <t>Load.t_per_movement.FR.Tr.Avia.Freight.IntraEEAwCHUK</t>
  </si>
  <si>
    <t>Load.t_per_movement.FR.Tr.Avia.Freight.ExtraEEAwCHUK</t>
  </si>
  <si>
    <t>VehicleKm_per_flight.km.FR.Tr.Avia</t>
  </si>
  <si>
    <t>VehicleKm_per_flight.km.FR.Tr.Avia.Passenger</t>
  </si>
  <si>
    <t>VehicleKm_per_flight.km.FR.Tr.Avia.Passenger.Domestic</t>
  </si>
  <si>
    <t>VehicleKm_per_flight.km.FR.Tr.Avia.Passenger.IntraEEAwCHUK</t>
  </si>
  <si>
    <t>VehicleKm_per_flight.km.FR.Tr.Avia.Passenger.ExtraEEAwCHUK</t>
  </si>
  <si>
    <t>VehicleKm_per_flight.km.FR.Tr.Avia.Freight</t>
  </si>
  <si>
    <t>VehicleKm_per_flight.km.FR.Tr.Avia.Freight.Domestic</t>
  </si>
  <si>
    <t>VehicleKm_per_flight.km.FR.Tr.Avia.Freight.IntraEEAwCHUK</t>
  </si>
  <si>
    <t>VehicleKm_per_flight.km.FR.Tr.Avia.Freight.ExtraEEAwCHUK</t>
  </si>
  <si>
    <t>Activity_per_flight.pkm.FR.Tr.Avia.Passenger</t>
  </si>
  <si>
    <t>Activity_per_flight.pkm.FR.Tr.Avia.Passenger.Domestic</t>
  </si>
  <si>
    <t>Activity_per_flight.pkm.FR.Tr.Avia.Passenger.IntraEEAwCHUK</t>
  </si>
  <si>
    <t>Activity_per_flight.pkm.FR.Tr.Avia.Passenger.ExtraEEAwCHUK</t>
  </si>
  <si>
    <t>Activity_per_flight.tkm.FR.Tr.Avia.Freight</t>
  </si>
  <si>
    <t>Activity_per_flight.tkm.FR.Tr.Avia.Freight.Domestic</t>
  </si>
  <si>
    <t>Activity_per_flight.tkm.FR.Tr.Avia.Freight.IntraEEAwCHUK</t>
  </si>
  <si>
    <t>Activity_per_flight.tkm.FR.Tr.Avia.Freight.ExtraEEAwCHUK</t>
  </si>
  <si>
    <t>Flights_per_vehicle.number.FR.Tr.Avia</t>
  </si>
  <si>
    <t>Flights_per_vehicle.number.FR.Tr.Avia.Passenger</t>
  </si>
  <si>
    <t>Flights_per_vehicle.number.FR.Tr.Avia.Passenger.Domestic</t>
  </si>
  <si>
    <t>Flights_per_vehicle.number.FR.Tr.Avia.Passenger.IntraEEAwCHUK</t>
  </si>
  <si>
    <t>Flights_per_vehicle.number.FR.Tr.Avia.Passenger.ExtraEEAwCHUK</t>
  </si>
  <si>
    <t>Flights_per_vehicle.number.FR.Tr.Avia.Freight</t>
  </si>
  <si>
    <t>Flights_per_vehicle.number.FR.Tr.Avia.Freight.Domestic</t>
  </si>
  <si>
    <t>Flights_per_vehicle.number.FR.Tr.Avia.Freight.IntraEEAwCHUK</t>
  </si>
  <si>
    <t>Flights_per_vehicle.number.FR.Tr.Avia.Freight.ExtraEEAwCHUK</t>
  </si>
  <si>
    <t>Aviation / energy consumption - FR - France</t>
  </si>
  <si>
    <t>FEC.ktoe.FR.Tr.Avia</t>
  </si>
  <si>
    <t>FEC.ktoe.FR.Tr.Avia.Domestic</t>
  </si>
  <si>
    <t>FEC.ktoe.FR.Tr.Avia.International</t>
  </si>
  <si>
    <t>FEC.ktoe.FR.Tr.Avia.Passenger</t>
  </si>
  <si>
    <t>FEC.ktoe.FR.Tr.Avia.Passenger.Domestic</t>
  </si>
  <si>
    <t>FEC.ktoe.FR.Tr.Avia.Passenger.IntraEEAwCHUK</t>
  </si>
  <si>
    <t>FEC.ktoe.FR.Tr.Avia.Passenger.ExtraEEAwCHUK</t>
  </si>
  <si>
    <t>FEC.ktoe.FR.Tr.Avia.Freight</t>
  </si>
  <si>
    <t>FEC.ktoe.FR.Tr.Avia.Freight.Domestic</t>
  </si>
  <si>
    <t>FEC.ktoe.FR.Tr.Avia.Freight.IntraEEAwCHUK</t>
  </si>
  <si>
    <t>FEC.ktoe.FR.Tr.Avia.Freight.ExtraEEAwCHUK</t>
  </si>
  <si>
    <t>Eff.kgoe_per_100km.FR.Tr.Avia</t>
  </si>
  <si>
    <t>Eff.kgoe_per_100km.FR.Tr.Avia.Passenger</t>
  </si>
  <si>
    <t>Eff.kgoe_per_100km.FR.Tr.Avia.Passenger.Domestic</t>
  </si>
  <si>
    <t>Eff.kgoe_per_100km.FR.Tr.Avia.Passenger.IntraEEAwCHUK</t>
  </si>
  <si>
    <t>Eff.kgoe_per_100km.FR.Tr.Avia.Passenger.ExtraEEAwCHUK</t>
  </si>
  <si>
    <t>Eff.kgoe_per_100km.FR.Tr.Avia.Freight</t>
  </si>
  <si>
    <t>Eff.kgoe_per_100km.FR.Tr.Avia.Freight.Domestic</t>
  </si>
  <si>
    <t>Eff.kgoe_per_100km.FR.Tr.Avia.Freight.IntraEEAwCHUK</t>
  </si>
  <si>
    <t>Eff.kgoe_per_100km.FR.Tr.Avia.Freight.ExtraEEAwCHUK</t>
  </si>
  <si>
    <t>Eff.kgoe_per_kpkm.FR.Tr.Avia.Passenger</t>
  </si>
  <si>
    <t>Eff.kgoe_per_kpkm.FR.Tr.Avia.Passenger.Domestic</t>
  </si>
  <si>
    <t>Eff.kgoe_per_kpkm.FR.Tr.Avia.Passenger.IntraEEAwCHUK</t>
  </si>
  <si>
    <t>Eff.kgoe_per_kpkm.FR.Tr.Avia.Passenger.ExtraEEAwCHUK</t>
  </si>
  <si>
    <t>Eff.kgoe_per_ktkm.FR.Tr.Avia.Freight</t>
  </si>
  <si>
    <t>Eff.kgoe_per_ktkm.FR.Tr.Avia.Freight.Domestic</t>
  </si>
  <si>
    <t>Eff.kgoe_per_ktkm.FR.Tr.Avia.Freight.IntraEEAwCHUK</t>
  </si>
  <si>
    <t>Eff.kgoe_per_ktkm.FR.Tr.Avia.Freight.ExtraEEAwCHUK</t>
  </si>
  <si>
    <t>FEC_per_flight.kgoe.FR.Tr.Avia</t>
  </si>
  <si>
    <t>FEC_per_flight.kgoe.FR.Tr.Avia.Passenger</t>
  </si>
  <si>
    <t>FEC_per_flight.kgoe.FR.Tr.Avia.Passenger.Domestic</t>
  </si>
  <si>
    <t>FEC_per_flight.kgoe.FR.Tr.Avia.Passenger.IntraEEAwCHUK</t>
  </si>
  <si>
    <t>FEC_per_flight.kgoe.FR.Tr.Avia.Passenger.ExtraEEAwCHUK</t>
  </si>
  <si>
    <t>FEC_per_flight.kgoe.FR.Tr.Avia.Freight</t>
  </si>
  <si>
    <t>FEC_per_flight.kgoe.FR.Tr.Avia.Freight.Domestic</t>
  </si>
  <si>
    <t>FEC_per_flight.kgoe.FR.Tr.Avia.Freight.IntraEEAwCHUK</t>
  </si>
  <si>
    <t>FEC_per_flight.kgoe.FR.Tr.Avia.Freight.ExtraEEAwCHUK</t>
  </si>
  <si>
    <t>Eff_theor.kgoe_per_100km.FR.Tr.Avia</t>
  </si>
  <si>
    <t>Eff_theor.kgoe_per_100km.FR.Tr.Avia.Passenger</t>
  </si>
  <si>
    <t>Eff_theor.kgoe_per_100km.FR.Tr.Avia.Passenger.Domestic</t>
  </si>
  <si>
    <t>Eff_theor.kgoe_per_100km.FR.Tr.Avia.Passenger.IntraEEAwCHUK</t>
  </si>
  <si>
    <t>Eff_theor.kgoe_per_100km.FR.Tr.Avia.Passenger.ExtraEEAwCHUK</t>
  </si>
  <si>
    <t>Eff_theor.kgoe_per_100km.FR.Tr.Avia.Freight</t>
  </si>
  <si>
    <t>Eff_theor.kgoe_per_100km.FR.Tr.Avia.Freight.Domestic</t>
  </si>
  <si>
    <t>Eff_theor.kgoe_per_100km.FR.Tr.Avia.Freight.IntraEEAwCHUK</t>
  </si>
  <si>
    <t>Eff_theor.kgoe_per_100km.FR.Tr.Avia.Freight.ExtraEEAwCHUK</t>
  </si>
  <si>
    <t>Aviation / CO2 emissions - FR - France</t>
  </si>
  <si>
    <t>EMI.ktCO2.FR.Tr.Avia</t>
  </si>
  <si>
    <t>EMI.ktCO2.FR.Tr.Avia.Domestic</t>
  </si>
  <si>
    <t>EMI.ktCO2.FR.Tr.Avia.International</t>
  </si>
  <si>
    <t>EMI.ktCO2.FR.Tr.Avia.Passenger</t>
  </si>
  <si>
    <t>EMI.ktCO2.FR.Tr.Avia.Passenger.Domestic</t>
  </si>
  <si>
    <t>EMI.ktCO2.FR.Tr.Avia.Passenger.IntraEEAwCHUK</t>
  </si>
  <si>
    <t>EMI.ktCO2.FR.Tr.Avia.Passenger.ExtraEEAwCHUK</t>
  </si>
  <si>
    <t>EMI.ktCO2.FR.Tr.Avia.Freight</t>
  </si>
  <si>
    <t>EMI.ktCO2.FR.Tr.Avia.Freight.Domestic</t>
  </si>
  <si>
    <t>EMI.ktCO2.FR.Tr.Avia.Freight.IntraEEAwCHUK</t>
  </si>
  <si>
    <t>EMI.ktCO2.FR.Tr.Avia.Freight.ExtraEEAwCHUK</t>
  </si>
  <si>
    <t>EMIint.gCO2_per_km.FR.Tr.Avia</t>
  </si>
  <si>
    <t>EMIint.gCO2_per_km.FR.Tr.Avia.Passenger</t>
  </si>
  <si>
    <t>EMIint.gCO2_per_km.FR.Tr.Avia.Passenger.Domestic</t>
  </si>
  <si>
    <t>EMIint.gCO2_per_km.FR.Tr.Avia.Passenger.IntraEEAwCHUK</t>
  </si>
  <si>
    <t>EMIint.gCO2_per_km.FR.Tr.Avia.Passenger.ExtraEEAwCHUK</t>
  </si>
  <si>
    <t>EMIint.gCO2_per_km.FR.Tr.Avia.Freight</t>
  </si>
  <si>
    <t>EMIint.gCO2_per_km.FR.Tr.Avia.Freight.Domestic</t>
  </si>
  <si>
    <t>EMIint.gCO2_per_km.FR.Tr.Avia.Freight.IntraEEAwCHUK</t>
  </si>
  <si>
    <t>EMIint.gCO2_per_km.FR.Tr.Avia.Freight.ExtraEEAwCHUK</t>
  </si>
  <si>
    <t>EMIint.gCO2_per_pkm.FR.Tr.Avia.Passenger</t>
  </si>
  <si>
    <t>EMIint.gCO2_per_pkm.FR.Tr.Avia.Passenger.Domestic</t>
  </si>
  <si>
    <t>EMIint.gCO2_per_pkm.FR.Tr.Avia.Passenger.IntraEEAwCHUK</t>
  </si>
  <si>
    <t>EMIint.gCO2_per_pkm.FR.Tr.Avia.Passenger.ExtraEEAwCHUK</t>
  </si>
  <si>
    <t>EMIint.gCO2_per_tkm.FR.Tr.Avia.Freight</t>
  </si>
  <si>
    <t>EMIint.gCO2_per_tkm.FR.Tr.Avia.Freight.Domestic</t>
  </si>
  <si>
    <t>EMIint.gCO2_per_tkm.FR.Tr.Avia.Freight.IntraEEAwCHUK</t>
  </si>
  <si>
    <t>EMIint.gCO2_per_tkm.FR.Tr.Avia.Freight.ExtraEEAwCHUK</t>
  </si>
  <si>
    <t>EMI_per_flight.kgCO2.FR.Tr.Avia</t>
  </si>
  <si>
    <t>EMI_per_flight.kgCO2.FR.Tr.Avia.Passenger</t>
  </si>
  <si>
    <t>EMI_per_flight.kgCO2.FR.Tr.Avia.Passenger.Domestic</t>
  </si>
  <si>
    <t>EMI_per_flight.kgCO2.FR.Tr.Avia.Passenger.IntraEEAwCHUK</t>
  </si>
  <si>
    <t>EMI_per_flight.kgCO2.FR.Tr.Avia.Passenger.ExtraEEAwCHUK</t>
  </si>
  <si>
    <t>EMI_per_flight.kgCO2.FR.Tr.Avia.Freight</t>
  </si>
  <si>
    <t>EMI_per_flight.kgCO2.FR.Tr.Avia.Freight.Domestic</t>
  </si>
  <si>
    <t>EMI_per_flight.kgCO2.FR.Tr.Avia.Freight.IntraEEAwCHUK</t>
  </si>
  <si>
    <t>EMI_per_flight.kgCO2.FR.Tr.Avia.Freight.ExtraEEAwCHUK</t>
  </si>
  <si>
    <t>Aviation / passenger transport specific data - FR - France</t>
  </si>
  <si>
    <t>TrCap.seats.FR.Tr.Avia.Passenger</t>
  </si>
  <si>
    <t>TrCap.seats.FR.Tr.Avia.Passenger.Domestic</t>
  </si>
  <si>
    <t>TrCap.seats.FR.Tr.Avia.Passenger.IntraEEAwCHUK</t>
  </si>
  <si>
    <t>TrCap.seats.FR.Tr.Avia.Passenger.ExtraEEAwCHUK</t>
  </si>
  <si>
    <t>TrCap_per_flight.seats.FR.Tr.Avia.Passenger</t>
  </si>
  <si>
    <t>TrCap_per_flight.seats.FR.Tr.Avia.Passenger.Domestic</t>
  </si>
  <si>
    <t>TrCap_per_flight.seats.FR.Tr.Avia.Passenger.IntraEEAwCHUK</t>
  </si>
  <si>
    <t>TrCap_per_flight.seats.FR.Tr.Avia.Passenger.ExtraEEAwCHUK</t>
  </si>
  <si>
    <t>Transport overview - FR - France</t>
  </si>
  <si>
    <t>Activity.Mpkm.FR.Tr</t>
  </si>
  <si>
    <t>Activity.Mpkm.FR.Tr.Road.Passenger</t>
  </si>
  <si>
    <t>Activity.Mpkm.FR.Tr.Road.Passenger.P2W</t>
  </si>
  <si>
    <t>Activity.Mpkm.FR.Tr.Road.Passenger.Car</t>
  </si>
  <si>
    <t>Activity.Mpkm.FR.Tr.Road.Passenger.Bus</t>
  </si>
  <si>
    <t>Activity.Mpkm.FR.Tr.Rail.Passenger</t>
  </si>
  <si>
    <t>Activity.Mpkm.FR.Tr.Rail.Passenger.MTU</t>
  </si>
  <si>
    <t>Activity.Mpkm.FR.Tr.Rail.Passenger.CPT</t>
  </si>
  <si>
    <t>Activity.Mpkm.FR.Tr.Rail.Passenger.HST</t>
  </si>
  <si>
    <t>Activity.Mtkm.FR.Tr</t>
  </si>
  <si>
    <t>Activity.Mtkm.FR.Tr.Road.Freight</t>
  </si>
  <si>
    <t>Activity.Mtkm.FR.Tr.Road.Freight.LCV</t>
  </si>
  <si>
    <t>Activity.Mtkm.FR.Tr.Road.Freight.HGV_All</t>
  </si>
  <si>
    <t>Activity.Mtkm.FR.Tr.Rail.Freight</t>
  </si>
  <si>
    <t>Activity.Mtkm.FR.Tr.DNavi.Freight</t>
  </si>
  <si>
    <t>Activity.Mtkm.FR.Tr.DNavi.Freight.DCS</t>
  </si>
  <si>
    <t>Activity.Mtkm.FR.Tr.DNavi.Freight.IWW</t>
  </si>
  <si>
    <t>Activity.Mtkm.FR.MBunk.Freight</t>
  </si>
  <si>
    <t>Activity.Mtkm.FR.MBunk.Freight.IntraEEA</t>
  </si>
  <si>
    <t>Activity.Mtkm.FR.MBunk.Freight.ExtraEEA</t>
  </si>
  <si>
    <t>FEC.ktoe.FR.Tr.Road.Passenger</t>
  </si>
  <si>
    <t>FEC.ktoe.FR.Tr.Road.Passenger.P2W</t>
  </si>
  <si>
    <t>FEC.ktoe.FR.Tr.Road.Passenger.Car</t>
  </si>
  <si>
    <t>FEC.ktoe.FR.Tr.Road.Passenger.Bus</t>
  </si>
  <si>
    <t>FEC.ktoe.FR.Tr.Rail.Passenger</t>
  </si>
  <si>
    <t>FEC.ktoe.FR.Tr.Rail.Passenger.MTU</t>
  </si>
  <si>
    <t>FEC.ktoe.FR.Tr.Rail.Passenger.CPT</t>
  </si>
  <si>
    <t>FEC.ktoe.FR.Tr.Rail.Passenger.HST</t>
  </si>
  <si>
    <t>FEC.ktoe.FR.Tr.Road.Freight</t>
  </si>
  <si>
    <t>FEC.ktoe.FR.Tr.Road.Freight.LCV</t>
  </si>
  <si>
    <t>FEC.ktoe.FR.Tr.Road.Freight.HGV_All</t>
  </si>
  <si>
    <t>FEC.ktoe.FR.Tr.Rail.Freight</t>
  </si>
  <si>
    <t>EMI.ktCO2.FR.Tr.Road.Passenger</t>
  </si>
  <si>
    <t>EMI.ktCO2.FR.Tr.Road.Passenger.P2W</t>
  </si>
  <si>
    <t>EMI.ktCO2.FR.Tr.Road.Passenger.Car</t>
  </si>
  <si>
    <t>EMI.ktCO2.FR.Tr.Road.Passenger.Bus</t>
  </si>
  <si>
    <t>EMI.ktCO2.FR.Tr.Rail.Passenger</t>
  </si>
  <si>
    <t>EMI.ktCO2.FR.Tr.Rail.Passenger.MTU</t>
  </si>
  <si>
    <t>EMI.ktCO2.FR.Tr.Rail.Passenger.CPT</t>
  </si>
  <si>
    <t>EMI.ktCO2.FR.Tr.Rail.Passenger.HST</t>
  </si>
  <si>
    <t>EMI.ktCO2.FR.Tr.Road.Freight</t>
  </si>
  <si>
    <t>EMI.ktCO2.FR.Tr.Road.Freight.LCV</t>
  </si>
  <si>
    <t>EMI.ktCO2.FR.Tr.Road.Freight.HGV_All</t>
  </si>
  <si>
    <t>EMI.ktCO2.FR.Tr.Rail.Freight</t>
  </si>
  <si>
    <t>Eff.kgoe_per_kpkm.FR.Tr</t>
  </si>
  <si>
    <t>Eff.kgoe_per_kpkm.FR.Tr.Road.Passenger</t>
  </si>
  <si>
    <t>Eff.kgoe_per_kpkm.FR.Tr.Road.Passenger.P2W</t>
  </si>
  <si>
    <t>Eff.kgoe_per_kpkm.FR.Tr.Road.Passenger.Car</t>
  </si>
  <si>
    <t>Eff.kgoe_per_kpkm.FR.Tr.Road.Passenger.Bus</t>
  </si>
  <si>
    <t>Eff.kgoe_per_kpkm.FR.Tr.Rail.Passenger</t>
  </si>
  <si>
    <t>Eff.kgoe_per_kpkm.FR.Tr.Rail.Passenger.MTU</t>
  </si>
  <si>
    <t>Eff.kgoe_per_kpkm.FR.Tr.Rail.Passenger.CPT</t>
  </si>
  <si>
    <t>Eff.kgoe_per_kpkm.FR.Tr.Rail.Passenger.HST</t>
  </si>
  <si>
    <t>Eff.kgoe_per_ktkm.FR.Tr</t>
  </si>
  <si>
    <t>Eff.kgoe_per_ktkm.FR.Tr.Road.Freight</t>
  </si>
  <si>
    <t>Eff.kgoe_per_ktkm.FR.Tr.Road.Freight.LCV</t>
  </si>
  <si>
    <t>Eff.kgoe_per_ktkm.FR.Tr.Road.Freight.HGV_All</t>
  </si>
  <si>
    <t>Eff.kgoe_per_ktkm.FR.Tr.Rail.Freight</t>
  </si>
  <si>
    <t>Eff.kgoe_per_ktkm.FR.Tr.DNavi.Freight</t>
  </si>
  <si>
    <t>Eff.kgoe_per_ktkm.FR.Tr.DNavi.Freight.DCS</t>
  </si>
  <si>
    <t>Eff.kgoe_per_ktkm.FR.Tr.DNavi.Freight.IWW</t>
  </si>
  <si>
    <t>Eff.kgoe_per_ktkm.FR.MBunk.Freight</t>
  </si>
  <si>
    <t>Eff.kgoe_per_ktkm.FR.MBunk.Freight.IntraEEA</t>
  </si>
  <si>
    <t>Eff.kgoe_per_ktkm.FR.MBunk.Freight.ExtraEEA</t>
  </si>
  <si>
    <t>EMIint.gCO2_per_pkm.FR.Tr</t>
  </si>
  <si>
    <t>EMIint.gCO2_per_pkm.FR.Tr.Road.Passenger</t>
  </si>
  <si>
    <t>EMIint.gCO2_per_pkm.FR.Tr.Road.Passenger.P2W</t>
  </si>
  <si>
    <t>EMIint.gCO2_per_pkm.FR.Tr.Road.Passenger.Car</t>
  </si>
  <si>
    <t>EMIint.gCO2_per_pkm.FR.Tr.Road.Passenger.Bus</t>
  </si>
  <si>
    <t>EMIint.gCO2_per_pkm.FR.Tr.Rail.Passenger</t>
  </si>
  <si>
    <t>EMIint.gCO2_per_pkm.FR.Tr.Rail.Passenger.MTU</t>
  </si>
  <si>
    <t>EMIint.gCO2_per_pkm.FR.Tr.Rail.Passenger.CPT</t>
  </si>
  <si>
    <t>EMIint.gCO2_per_pkm.FR.Tr.Rail.Passenger.HST</t>
  </si>
  <si>
    <t>EMIint.gCO2_per_tkm.FR.Tr</t>
  </si>
  <si>
    <t>EMIint.gCO2_per_tkm.FR.Tr.Road.Freight</t>
  </si>
  <si>
    <t>EMIint.gCO2_per_tkm.FR.Tr.Road.Freight.LCV</t>
  </si>
  <si>
    <t>EMIint.gCO2_per_tkm.FR.Tr.Road.Freight.HGV_All</t>
  </si>
  <si>
    <t>EMIint.gCO2_per_tkm.FR.Tr.Rail.Freight</t>
  </si>
  <si>
    <t>EMIint.gCO2_per_tkm.FR.Tr.DNavi.Freight</t>
  </si>
  <si>
    <t>EMIint.gCO2_per_tkm.FR.Tr.DNavi.Freight.DCS</t>
  </si>
  <si>
    <t>EMIint.gCO2_per_tkm.FR.Tr.DNavi.Freight.IWW</t>
  </si>
  <si>
    <t>EMIint.gCO2_per_tkm.FR.MBunk.Freight</t>
  </si>
  <si>
    <t>EMIint.gCO2_per_tkm.FR.MBunk.Freight.IntraEEA</t>
  </si>
  <si>
    <t>EMIint.gCO2_per_tkm.FR.MBunk.Freight.ExtraEEA</t>
  </si>
  <si>
    <t>Road transport - FR - France</t>
  </si>
  <si>
    <t>Activity.Mpkm.FR.Tr.Road.Passenger.Car.ICE.Gasoline</t>
  </si>
  <si>
    <t>Activity.Mpkm.FR.Tr.Road.Passenger.Car.ICE.Diesel</t>
  </si>
  <si>
    <t>Activity.Mpkm.FR.Tr.Road.Passenger.Car.ICE.LPG</t>
  </si>
  <si>
    <t>Activity.Mpkm.FR.Tr.Road.Passenger.Car.ICE.NGas</t>
  </si>
  <si>
    <t>Activity.Mpkm.FR.Tr.Road.Passenger.Car.PHEV.Gasoline</t>
  </si>
  <si>
    <t>Activity.Mpkm.FR.Tr.Road.Passenger.Car.BEV</t>
  </si>
  <si>
    <t>Activity.Mpkm.FR.Tr.Road.Passenger.Bus.ICE.Gasoline</t>
  </si>
  <si>
    <t>Activity.Mpkm.FR.Tr.Road.Passenger.Bus.ICE.Diesel</t>
  </si>
  <si>
    <t>Activity.Mpkm.FR.Tr.Road.Passenger.Bus.ICE.LPG</t>
  </si>
  <si>
    <t>Activity.Mpkm.FR.Tr.Road.Passenger.Bus.ICE.NGas</t>
  </si>
  <si>
    <t>Activity.Mpkm.FR.Tr.Road.Passenger.Bus.BEV</t>
  </si>
  <si>
    <t>Activity.Mtkm.FR.Tr.Road.Freight.LCV.ICE.Gasoline</t>
  </si>
  <si>
    <t>Activity.Mtkm.FR.Tr.Road.Freight.LCV.ICE.Diesel</t>
  </si>
  <si>
    <t>Activity.Mtkm.FR.Tr.Road.Freight.LCV.ICE.LPG</t>
  </si>
  <si>
    <t>Activity.Mtkm.FR.Tr.Road.Freight.LCV.ICE.NGas</t>
  </si>
  <si>
    <t>Activity.Mtkm.FR.Tr.Road.Freight.LCV.BEV</t>
  </si>
  <si>
    <t>Activity.Mtkm.FR.Tr.Road.Freight.HGV_Domestic</t>
  </si>
  <si>
    <t>Activity.Mtkm.FR.Tr.Road.Freight.HGV_International</t>
  </si>
  <si>
    <t>VehicleKm.Mkm.FR.Tr.Road</t>
  </si>
  <si>
    <t>VehicleKm.Mkm.FR.Tr.Road.Passenger</t>
  </si>
  <si>
    <t>VehicleKm.Mkm.FR.Tr.Road.Passenger.P2W</t>
  </si>
  <si>
    <t>VehicleKm.Mkm.FR.Tr.Road.Passenger.Car</t>
  </si>
  <si>
    <t>VehicleKm.Mkm.FR.Tr.Road.Passenger.Car.ICE.Gasoline</t>
  </si>
  <si>
    <t>VehicleKm.Mkm.FR.Tr.Road.Passenger.Car.ICE.Diesel</t>
  </si>
  <si>
    <t>VehicleKm.Mkm.FR.Tr.Road.Passenger.Car.ICE.LPG</t>
  </si>
  <si>
    <t>VehicleKm.Mkm.FR.Tr.Road.Passenger.Car.ICE.NGas</t>
  </si>
  <si>
    <t>VehicleKm.Mkm.FR.Tr.Road.Passenger.Car.PHEV.Gasoline</t>
  </si>
  <si>
    <t>VehicleKm.Mkm.FR.Tr.Road.Passenger.Car.BEV</t>
  </si>
  <si>
    <t>VehicleKm.Mkm.FR.Tr.Road.Passenger.Bus</t>
  </si>
  <si>
    <t>VehicleKm.Mkm.FR.Tr.Road.Passenger.Bus.ICE.Gasoline</t>
  </si>
  <si>
    <t>VehicleKm.Mkm.FR.Tr.Road.Passenger.Bus.ICE.Diesel</t>
  </si>
  <si>
    <t>VehicleKm.Mkm.FR.Tr.Road.Passenger.Bus.ICE.LPG</t>
  </si>
  <si>
    <t>VehicleKm.Mkm.FR.Tr.Road.Passenger.Bus.ICE.NGas</t>
  </si>
  <si>
    <t>VehicleKm.Mkm.FR.Tr.Road.Passenger.Bus.BEV</t>
  </si>
  <si>
    <t>VehicleKm.Mkm.FR.Tr.Road.Freight</t>
  </si>
  <si>
    <t>VehicleKm.Mkm.FR.Tr.Road.Freight.LCV</t>
  </si>
  <si>
    <t>VehicleKm.Mkm.FR.Tr.Road.Freight.LCV.ICE.Gasoline</t>
  </si>
  <si>
    <t>VehicleKm.Mkm.FR.Tr.Road.Freight.LCV.ICE.Diesel</t>
  </si>
  <si>
    <t>VehicleKm.Mkm.FR.Tr.Road.Freight.LCV.ICE.LPG</t>
  </si>
  <si>
    <t>VehicleKm.Mkm.FR.Tr.Road.Freight.LCV.ICE.NGas</t>
  </si>
  <si>
    <t>VehicleKm.Mkm.FR.Tr.Road.Freight.LCV.BEV</t>
  </si>
  <si>
    <t>VehicleKm.Mkm.FR.Tr.Road.Freight.HGV_All</t>
  </si>
  <si>
    <t>VehicleKm.Mkm.FR.Tr.Road.Freight.HGV_Domestic</t>
  </si>
  <si>
    <t>VehicleKm.Mkm.FR.Tr.Road.Freight.HGV_International</t>
  </si>
  <si>
    <t>Stock.number.FR.Tr.Road</t>
  </si>
  <si>
    <t>Stock.number.FR.Tr.Road.Passenger</t>
  </si>
  <si>
    <t>Stock.number.FR.Tr.Road.Passenger.P2W</t>
  </si>
  <si>
    <t>Stock.number.FR.Tr.Road.Passenger.Car</t>
  </si>
  <si>
    <t>Stock.number.FR.Tr.Road.Passenger.Car.ICE.Gasoline</t>
  </si>
  <si>
    <t>Stock.number.FR.Tr.Road.Passenger.Car.ICE.Diesel</t>
  </si>
  <si>
    <t>Stock.number.FR.Tr.Road.Passenger.Car.ICE.LPG</t>
  </si>
  <si>
    <t>Stock.number.FR.Tr.Road.Passenger.Car.ICE.NGas</t>
  </si>
  <si>
    <t>Stock.number.FR.Tr.Road.Passenger.Car.PHEV.Gasoline</t>
  </si>
  <si>
    <t>Stock.number.FR.Tr.Road.Passenger.Car.BEV</t>
  </si>
  <si>
    <t>Stock.number.FR.Tr.Road.Passenger.Bus</t>
  </si>
  <si>
    <t>Stock.number.FR.Tr.Road.Passenger.Bus.ICE.Gasoline</t>
  </si>
  <si>
    <t>Stock.number.FR.Tr.Road.Passenger.Bus.ICE.Diesel</t>
  </si>
  <si>
    <t>Stock.number.FR.Tr.Road.Passenger.Bus.ICE.LPG</t>
  </si>
  <si>
    <t>Stock.number.FR.Tr.Road.Passenger.Bus.ICE.NGas</t>
  </si>
  <si>
    <t>Stock.number.FR.Tr.Road.Passenger.Bus.BEV</t>
  </si>
  <si>
    <t>Stock.number.FR.Tr.Road.Freight</t>
  </si>
  <si>
    <t>Stock.number.FR.Tr.Road.Freight.LCV</t>
  </si>
  <si>
    <t>Stock.number.FR.Tr.Road.Freight.LCV.ICE.Gasoline</t>
  </si>
  <si>
    <t>Stock.number.FR.Tr.Road.Freight.LCV.ICE.Diesel</t>
  </si>
  <si>
    <t>Stock.number.FR.Tr.Road.Freight.LCV.ICE.LPG</t>
  </si>
  <si>
    <t>Stock.number.FR.Tr.Road.Freight.LCV.ICE.NGas</t>
  </si>
  <si>
    <t>Stock.number.FR.Tr.Road.Freight.LCV.BEV</t>
  </si>
  <si>
    <t>Stock.number.FR.Tr.Road.Freight.HGV_All</t>
  </si>
  <si>
    <t>Stock.number.FR.Tr.Road.Freight.HGV_Domestic</t>
  </si>
  <si>
    <t>Stock.number.FR.Tr.Road.Freight.HGV_International</t>
  </si>
  <si>
    <t>StockNew.number.FR.Tr.Road</t>
  </si>
  <si>
    <t>StockNew.number.FR.Tr.Road.Passenger</t>
  </si>
  <si>
    <t>StockNew.number.FR.Tr.Road.Passenger.P2W</t>
  </si>
  <si>
    <t>StockNew.number.FR.Tr.Road.Passenger.Car</t>
  </si>
  <si>
    <t>StockNew.number.FR.Tr.Road.Passenger.Car.ICE.Gasoline</t>
  </si>
  <si>
    <t>StockNew.number.FR.Tr.Road.Passenger.Car.ICE.Diesel</t>
  </si>
  <si>
    <t>StockNew.number.FR.Tr.Road.Passenger.Car.ICE.LPG</t>
  </si>
  <si>
    <t>StockNew.number.FR.Tr.Road.Passenger.Car.ICE.NGas</t>
  </si>
  <si>
    <t>StockNew.number.FR.Tr.Road.Passenger.Car.PHEV.Gasoline</t>
  </si>
  <si>
    <t>StockNew.number.FR.Tr.Road.Passenger.Car.BEV</t>
  </si>
  <si>
    <t>StockNew.number.FR.Tr.Road.Passenger.Bus</t>
  </si>
  <si>
    <t>StockNew.number.FR.Tr.Road.Passenger.Bus.ICE.Gasoline</t>
  </si>
  <si>
    <t>StockNew.number.FR.Tr.Road.Passenger.Bus.ICE.Diesel</t>
  </si>
  <si>
    <t>StockNew.number.FR.Tr.Road.Passenger.Bus.ICE.LPG</t>
  </si>
  <si>
    <t>StockNew.number.FR.Tr.Road.Passenger.Bus.ICE.NGas</t>
  </si>
  <si>
    <t>StockNew.number.FR.Tr.Road.Passenger.Bus.BEV</t>
  </si>
  <si>
    <t>StockNew.number.FR.Tr.Road.Freight</t>
  </si>
  <si>
    <t>StockNew.number.FR.Tr.Road.Freight.LCV</t>
  </si>
  <si>
    <t>StockNew.number.FR.Tr.Road.Freight.LCV.ICE.Gasoline</t>
  </si>
  <si>
    <t>StockNew.number.FR.Tr.Road.Freight.LCV.ICE.Diesel</t>
  </si>
  <si>
    <t>StockNew.number.FR.Tr.Road.Freight.LCV.ICE.LPG</t>
  </si>
  <si>
    <t>StockNew.number.FR.Tr.Road.Freight.LCV.ICE.NGas</t>
  </si>
  <si>
    <t>StockNew.number.FR.Tr.Road.Freight.LCV.BEV</t>
  </si>
  <si>
    <t>StockNew.number.FR.Tr.Road.Freight.HGV_All</t>
  </si>
  <si>
    <t>StockNew.number.FR.Tr.Road.Freight.HGV_Domestic</t>
  </si>
  <si>
    <t>StockNew.number.FR.Tr.Road.Freight.HGV_International</t>
  </si>
  <si>
    <t>Load.passenger_per_movement.FR.Tr.Road.Passenger</t>
  </si>
  <si>
    <t>Load.passenger_per_movement.FR.Tr.Road.Passenger.P2W</t>
  </si>
  <si>
    <t>Load.passenger_per_movement.FR.Tr.Road.Passenger.Car</t>
  </si>
  <si>
    <t>Load.passenger_per_movement.FR.Tr.Road.Passenger.Car.ICE.Gasoline</t>
  </si>
  <si>
    <t>Load.passenger_per_movement.FR.Tr.Road.Passenger.Car.ICE.Diesel</t>
  </si>
  <si>
    <t>Load.passenger_per_movement.FR.Tr.Road.Passenger.Car.ICE.LPG</t>
  </si>
  <si>
    <t>Load.passenger_per_movement.FR.Tr.Road.Passenger.Car.ICE.NGas</t>
  </si>
  <si>
    <t>Load.passenger_per_movement.FR.Tr.Road.Passenger.Car.PHEV.Gasoline</t>
  </si>
  <si>
    <t>Load.passenger_per_movement.FR.Tr.Road.Passenger.Car.BEV</t>
  </si>
  <si>
    <t>Load.passenger_per_movement.FR.Tr.Road.Passenger.Bus</t>
  </si>
  <si>
    <t>Load.passenger_per_movement.FR.Tr.Road.Passenger.Bus.ICE.Gasoline</t>
  </si>
  <si>
    <t>Load.passenger_per_movement.FR.Tr.Road.Passenger.Bus.ICE.Diesel</t>
  </si>
  <si>
    <t>Load.passenger_per_movement.FR.Tr.Road.Passenger.Bus.ICE.LPG</t>
  </si>
  <si>
    <t>Load.passenger_per_movement.FR.Tr.Road.Passenger.Bus.ICE.NGas</t>
  </si>
  <si>
    <t>Load.passenger_per_movement.FR.Tr.Road.Passenger.Bus.BEV</t>
  </si>
  <si>
    <t>Load.t_per_movement.FR.Tr.Road.Freight</t>
  </si>
  <si>
    <t>Load.t_per_movement.FR.Tr.Road.Freight.LCV</t>
  </si>
  <si>
    <t>Load.t_per_movement.FR.Tr.Road.Freight.LCV.ICE.Gasoline</t>
  </si>
  <si>
    <t>Load.t_per_movement.FR.Tr.Road.Freight.LCV.ICE.Diesel</t>
  </si>
  <si>
    <t>Load.t_per_movement.FR.Tr.Road.Freight.LCV.ICE.LPG</t>
  </si>
  <si>
    <t>Load.t_per_movement.FR.Tr.Road.Freight.LCV.ICE.NGas</t>
  </si>
  <si>
    <t>Load.t_per_movement.FR.Tr.Road.Freight.LCV.BEV</t>
  </si>
  <si>
    <t>Load.t_per_movement.FR.Tr.Road.Freight.HGV_All</t>
  </si>
  <si>
    <t>Load.t_per_movement.FR.Tr.Road.Freight.HGV_Domestic</t>
  </si>
  <si>
    <t>Load.t_per_movement.FR.Tr.Road.Freight.HGV_International</t>
  </si>
  <si>
    <t>VehicleKm_per_vehicle.km.FR.Tr.Road</t>
  </si>
  <si>
    <t>VehicleKm_per_vehicle.km.FR.Tr.Road.Passenger</t>
  </si>
  <si>
    <t>VehicleKm_per_vehicle.km.FR.Tr.Road.Passenger.P2W</t>
  </si>
  <si>
    <t>VehicleKm_per_vehicle.km.FR.Tr.Road.Passenger.Car</t>
  </si>
  <si>
    <t>VehicleKm_per_vehicle.km.FR.Tr.Road.Passenger.Car.ICE.Gasoline</t>
  </si>
  <si>
    <t>VehicleKm_per_vehicle.km.FR.Tr.Road.Passenger.Car.ICE.Diesel</t>
  </si>
  <si>
    <t>VehicleKm_per_vehicle.km.FR.Tr.Road.Passenger.Car.ICE.LPG</t>
  </si>
  <si>
    <t>VehicleKm_per_vehicle.km.FR.Tr.Road.Passenger.Car.ICE.NGas</t>
  </si>
  <si>
    <t>VehicleKm_per_vehicle.km.FR.Tr.Road.Passenger.Car.PHEV.Gasoline</t>
  </si>
  <si>
    <t>VehicleKm_per_vehicle.km.FR.Tr.Road.Passenger.Car.BEV</t>
  </si>
  <si>
    <t>VehicleKm_per_vehicle.km.FR.Tr.Road.Passenger.Bus</t>
  </si>
  <si>
    <t>VehicleKm_per_vehicle.km.FR.Tr.Road.Passenger.Bus.ICE.Gasoline</t>
  </si>
  <si>
    <t>VehicleKm_per_vehicle.km.FR.Tr.Road.Passenger.Bus.ICE.Diesel</t>
  </si>
  <si>
    <t>VehicleKm_per_vehicle.km.FR.Tr.Road.Passenger.Bus.ICE.LPG</t>
  </si>
  <si>
    <t>VehicleKm_per_vehicle.km.FR.Tr.Road.Passenger.Bus.ICE.NGas</t>
  </si>
  <si>
    <t>VehicleKm_per_vehicle.km.FR.Tr.Road.Passenger.Bus.BEV</t>
  </si>
  <si>
    <t>VehicleKm_per_vehicle.km.FR.Tr.Road.Freight</t>
  </si>
  <si>
    <t>VehicleKm_per_vehicle.km.FR.Tr.Road.Freight.LCV</t>
  </si>
  <si>
    <t>VehicleKm_per_vehicle.km.FR.Tr.Road.Freight.LCV.ICE.Gasoline</t>
  </si>
  <si>
    <t>VehicleKm_per_vehicle.km.FR.Tr.Road.Freight.LCV.ICE.Diesel</t>
  </si>
  <si>
    <t>VehicleKm_per_vehicle.km.FR.Tr.Road.Freight.LCV.ICE.LPG</t>
  </si>
  <si>
    <t>VehicleKm_per_vehicle.km.FR.Tr.Road.Freight.LCV.ICE.NGas</t>
  </si>
  <si>
    <t>VehicleKm_per_vehicle.km.FR.Tr.Road.Freight.LCV.BEV</t>
  </si>
  <si>
    <t>VehicleKm_per_vehicle.km.FR.Tr.Road.Freight.HGV_All</t>
  </si>
  <si>
    <t>VehicleKm_per_vehicle.km.FR.Tr.Road.Freight.HGV_Domestic</t>
  </si>
  <si>
    <t>VehicleKm_per_vehicle.km.FR.Tr.Road.Freight.HGV_International</t>
  </si>
  <si>
    <t>Activity_per_vehicle.pkm.FR.Tr.Road.Passenger</t>
  </si>
  <si>
    <t>Activity_per_vehicle.pkm.FR.Tr.Road.Passenger.P2W</t>
  </si>
  <si>
    <t>Activity_per_vehicle.pkm.FR.Tr.Road.Passenger.Car</t>
  </si>
  <si>
    <t>Activity_per_vehicle.pkm.FR.Tr.Road.Passenger.Car.ICE.Gasoline</t>
  </si>
  <si>
    <t>Activity_per_vehicle.pkm.FR.Tr.Road.Passenger.Car.ICE.Diesel</t>
  </si>
  <si>
    <t>Activity_per_vehicle.pkm.FR.Tr.Road.Passenger.Car.ICE.LPG</t>
  </si>
  <si>
    <t>Activity_per_vehicle.pkm.FR.Tr.Road.Passenger.Car.ICE.NGas</t>
  </si>
  <si>
    <t>Activity_per_vehicle.pkm.FR.Tr.Road.Passenger.Car.PHEV.Gasoline</t>
  </si>
  <si>
    <t>Activity_per_vehicle.pkm.FR.Tr.Road.Passenger.Car.BEV</t>
  </si>
  <si>
    <t>Activity_per_vehicle.pkm.FR.Tr.Road.Passenger.Bus</t>
  </si>
  <si>
    <t>Activity_per_vehicle.pkm.FR.Tr.Road.Passenger.Bus.ICE.Gasoline</t>
  </si>
  <si>
    <t>Activity_per_vehicle.pkm.FR.Tr.Road.Passenger.Bus.ICE.Diesel</t>
  </si>
  <si>
    <t>Activity_per_vehicle.pkm.FR.Tr.Road.Passenger.Bus.ICE.LPG</t>
  </si>
  <si>
    <t>Activity_per_vehicle.pkm.FR.Tr.Road.Passenger.Bus.ICE.NGas</t>
  </si>
  <si>
    <t>Activity_per_vehicle.pkm.FR.Tr.Road.Passenger.Bus.BEV</t>
  </si>
  <si>
    <t>Activity_per_vehicle.tkm.FR.Tr.Road.Freight</t>
  </si>
  <si>
    <t>Activity_per_vehicle.tkm.FR.Tr.Road.Freight.LCV</t>
  </si>
  <si>
    <t>Activity_per_vehicle.tkm.FR.Tr.Road.Freight.LCV.ICE.Gasoline</t>
  </si>
  <si>
    <t>Activity_per_vehicle.tkm.FR.Tr.Road.Freight.LCV.ICE.Diesel</t>
  </si>
  <si>
    <t>Activity_per_vehicle.tkm.FR.Tr.Road.Freight.LCV.ICE.LPG</t>
  </si>
  <si>
    <t>Activity_per_vehicle.tkm.FR.Tr.Road.Freight.LCV.ICE.NGas</t>
  </si>
  <si>
    <t>Activity_per_vehicle.tkm.FR.Tr.Road.Freight.LCV.BEV</t>
  </si>
  <si>
    <t>Activity_per_vehicle.tkm.FR.Tr.Road.Freight.HGV_All</t>
  </si>
  <si>
    <t>Activity_per_vehicle.tkm.FR.Tr.Road.Freight.HGV_Domestic</t>
  </si>
  <si>
    <t>Activity_per_vehicle.tkm.FR.Tr.Road.Freight.HGV_International</t>
  </si>
  <si>
    <t>Road transport / energy consumption - FR - France</t>
  </si>
  <si>
    <t>FEC.ktoe.FR.ES.Tr.Road</t>
  </si>
  <si>
    <t>FEC.ktoe.FR.ES.Tr.Road.LPG</t>
  </si>
  <si>
    <t>FEC.ktoe.FR.ES.Tr.Road.Gasoline</t>
  </si>
  <si>
    <t>FEC.ktoe.FR.ES.Tr.Road.Diesel</t>
  </si>
  <si>
    <t>FEC.ktoe.FR.ES.Tr.Road.NG</t>
  </si>
  <si>
    <t>FEC.ktoe.FR.ES.Tr.Road.Biogas</t>
  </si>
  <si>
    <t>FEC.ktoe.FR.ES.Tr.Road.Biogasoline</t>
  </si>
  <si>
    <t>FEC.ktoe.FR.ES.Tr.Road.Biodiesel</t>
  </si>
  <si>
    <t>FEC.ktoe.FR.ES.Tr.Road.OthLiqBio</t>
  </si>
  <si>
    <t>FEC.ktoe.FR.ES.Tr.Road.Elec</t>
  </si>
  <si>
    <t>FEC.ktoe.FR.Tr.Road</t>
  </si>
  <si>
    <t>FEC.ktoe.FR.Tr.Road.Passenger.P2W.Total.Total.Biogasoline</t>
  </si>
  <si>
    <t>FEC.ktoe.FR.Tr.Road.Passenger.Car.ICE.Gasoline</t>
  </si>
  <si>
    <t>FEC.ktoe.FR.Tr.Road.Passenger.Car.ICE.Gasoline.Biogasoline</t>
  </si>
  <si>
    <t>FEC.ktoe.FR.Tr.Road.Passenger.Car.ICE.Diesel</t>
  </si>
  <si>
    <t>FEC.ktoe.FR.Tr.Road.Passenger.Car.ICE.Diesel.BioDiesel_OthLiqBio</t>
  </si>
  <si>
    <t>FEC.ktoe.FR.Tr.Road.Passenger.Car.ICE.LPG</t>
  </si>
  <si>
    <t>FEC.ktoe.FR.Tr.Road.Passenger.Car.ICE.NGas</t>
  </si>
  <si>
    <t>FEC.ktoe.FR.Tr.Road.Passenger.Car.ICE.NGas.Biogas</t>
  </si>
  <si>
    <t>FEC.ktoe.FR.Tr.Road.Passenger.Car.PHEV.Gasoline</t>
  </si>
  <si>
    <t>FEC.ktoe.FR.Tr.Road.Passenger.Car.PHEV.Gasoline.Biogasoline</t>
  </si>
  <si>
    <t>FEC.ktoe.FR.Tr.Road.Passenger.Car.PHEV.Gasoline.Elec</t>
  </si>
  <si>
    <t>FEC.ktoe.FR.Tr.Road.Passenger.Car.BEV</t>
  </si>
  <si>
    <t>FEC.ktoe.FR.Tr.Road.Passenger.Bus.ICE.Gasoline</t>
  </si>
  <si>
    <t>FEC.ktoe.FR.Tr.Road.Passenger.Bus.ICE.Gasoline.Biogasoline</t>
  </si>
  <si>
    <t>FEC.ktoe.FR.Tr.Road.Passenger.Bus.ICE.Diesel</t>
  </si>
  <si>
    <t>FEC.ktoe.FR.Tr.Road.Passenger.Bus.ICE.Diesel.BioDiesel_OthLiqBio</t>
  </si>
  <si>
    <t>FEC.ktoe.FR.Tr.Road.Passenger.Bus.ICE.LPG</t>
  </si>
  <si>
    <t>FEC.ktoe.FR.Tr.Road.Passenger.Bus.ICE.NGas</t>
  </si>
  <si>
    <t>FEC.ktoe.FR.Tr.Road.Passenger.Bus.ICE.NGas.Biogas</t>
  </si>
  <si>
    <t>FEC.ktoe.FR.Tr.Road.Passenger.Bus.BEV</t>
  </si>
  <si>
    <t>FEC.ktoe.FR.Tr.Road.Freight.LCV.ICE.Gasoline</t>
  </si>
  <si>
    <t>FEC.ktoe.FR.Tr.Road.Freight.LCV.ICE.Gasoline.Biogasoline</t>
  </si>
  <si>
    <t>FEC.ktoe.FR.Tr.Road.Freight.LCV.ICE.Diesel</t>
  </si>
  <si>
    <t>FEC.ktoe.FR.Tr.Road.Freight.LCV.ICE.Diesel.BioDiesel_OthLiqBio</t>
  </si>
  <si>
    <t>FEC.ktoe.FR.Tr.Road.Freight.LCV.ICE.LPG</t>
  </si>
  <si>
    <t>FEC.ktoe.FR.Tr.Road.Freight.LCV.ICE.NGas</t>
  </si>
  <si>
    <t>FEC.ktoe.FR.Tr.Road.Freight.LCV.ICE.NGas.Biogas</t>
  </si>
  <si>
    <t>FEC.ktoe.FR.Tr.Road.Freight.LCV.BEV</t>
  </si>
  <si>
    <t>FEC.ktoe.FR.Tr.Road.Freight.HGV_Domestic</t>
  </si>
  <si>
    <t>FEC.ktoe.FR.Tr.Road.Freight.HGV_Domestic.Total.Total.BioDiesel_OthLiqBio</t>
  </si>
  <si>
    <t>FEC.ktoe.FR.Tr.Road.Freight.HGV_International</t>
  </si>
  <si>
    <t>FEC.ktoe.FR.Tr.Road.Freight.HGV_International.Total.Total.BioDiesel_OthLiqBio</t>
  </si>
  <si>
    <t>Eff.kgoe_per_100km.FR.Tr.Road</t>
  </si>
  <si>
    <t>Eff.kgoe_per_100km.FR.Tr.Road.Passenger</t>
  </si>
  <si>
    <t>Eff.kgoe_per_100km.FR.Tr.Road.Passenger.P2W</t>
  </si>
  <si>
    <t>Eff.kgoe_per_100km.FR.Tr.Road.Passenger.Car</t>
  </si>
  <si>
    <t>Eff.kgoe_per_100km.FR.Tr.Road.Passenger.Car.ICE.Gasoline</t>
  </si>
  <si>
    <t>Eff.kgoe_per_100km.FR.Tr.Road.Passenger.Car.ICE.Diesel</t>
  </si>
  <si>
    <t>Eff.kgoe_per_100km.FR.Tr.Road.Passenger.Car.ICE.LPG</t>
  </si>
  <si>
    <t>Eff.kgoe_per_100km.FR.Tr.Road.Passenger.Car.ICE.NGas</t>
  </si>
  <si>
    <t>Eff.kgoe_per_100km.FR.Tr.Road.Passenger.Car.PHEV.Gasoline</t>
  </si>
  <si>
    <t>Eff.kgoe_per_100km.FR.Tr.Road.Passenger.Car.BEV</t>
  </si>
  <si>
    <t>Eff.kgoe_per_100km.FR.Tr.Road.Passenger.Bus</t>
  </si>
  <si>
    <t>Eff.kgoe_per_100km.FR.Tr.Road.Passenger.Bus.ICE.Gasoline</t>
  </si>
  <si>
    <t>Eff.kgoe_per_100km.FR.Tr.Road.Passenger.Bus.ICE.Diesel</t>
  </si>
  <si>
    <t>Eff.kgoe_per_100km.FR.Tr.Road.Passenger.Bus.ICE.LPG</t>
  </si>
  <si>
    <t>Eff.kgoe_per_100km.FR.Tr.Road.Passenger.Bus.ICE.NGas</t>
  </si>
  <si>
    <t>Eff.kgoe_per_100km.FR.Tr.Road.Passenger.Bus.BEV</t>
  </si>
  <si>
    <t>Eff.kgoe_per_100km.FR.Tr.Road.Freight</t>
  </si>
  <si>
    <t>Eff.kgoe_per_100km.FR.Tr.Road.Freight.LCV</t>
  </si>
  <si>
    <t>Eff.kgoe_per_100km.FR.Tr.Road.Freight.LCV.ICE.Gasoline</t>
  </si>
  <si>
    <t>Eff.kgoe_per_100km.FR.Tr.Road.Freight.LCV.ICE.Diesel</t>
  </si>
  <si>
    <t>Eff.kgoe_per_100km.FR.Tr.Road.Freight.LCV.ICE.LPG</t>
  </si>
  <si>
    <t>Eff.kgoe_per_100km.FR.Tr.Road.Freight.LCV.ICE.NGas</t>
  </si>
  <si>
    <t>Eff.kgoe_per_100km.FR.Tr.Road.Freight.LCV.BEV</t>
  </si>
  <si>
    <t>Eff.kgoe_per_100km.FR.Tr.Road.Freight.HGV_All</t>
  </si>
  <si>
    <t>Eff.kgoe_per_100km.FR.Tr.Road.Freight.HGV_Domestic</t>
  </si>
  <si>
    <t>Eff.kgoe_per_100km.FR.Tr.Road.Freight.HGV_International</t>
  </si>
  <si>
    <t>Eff.kgoe_per_kpkm.FR.Tr.Road.Passenger.Car.ICE.Gasoline</t>
  </si>
  <si>
    <t>Eff.kgoe_per_kpkm.FR.Tr.Road.Passenger.Car.ICE.Diesel</t>
  </si>
  <si>
    <t>Eff.kgoe_per_kpkm.FR.Tr.Road.Passenger.Car.ICE.LPG</t>
  </si>
  <si>
    <t>Eff.kgoe_per_kpkm.FR.Tr.Road.Passenger.Car.ICE.NGas</t>
  </si>
  <si>
    <t>Eff.kgoe_per_kpkm.FR.Tr.Road.Passenger.Car.PHEV.Gasoline</t>
  </si>
  <si>
    <t>Eff.kgoe_per_kpkm.FR.Tr.Road.Passenger.Car.BEV</t>
  </si>
  <si>
    <t>Eff.kgoe_per_kpkm.FR.Tr.Road.Passenger.Bus.ICE.Gasoline</t>
  </si>
  <si>
    <t>Eff.kgoe_per_kpkm.FR.Tr.Road.Passenger.Bus.ICE.Diesel</t>
  </si>
  <si>
    <t>Eff.kgoe_per_kpkm.FR.Tr.Road.Passenger.Bus.ICE.LPG</t>
  </si>
  <si>
    <t>Eff.kgoe_per_kpkm.FR.Tr.Road.Passenger.Bus.ICE.NGas</t>
  </si>
  <si>
    <t>Eff.kgoe_per_kpkm.FR.Tr.Road.Passenger.Bus.BEV</t>
  </si>
  <si>
    <t>Eff.kgoe_per_ktkm.FR.Tr.Road.Freight.LCV.ICE.Gasoline</t>
  </si>
  <si>
    <t>Eff.kgoe_per_ktkm.FR.Tr.Road.Freight.LCV.ICE.Diesel</t>
  </si>
  <si>
    <t>Eff.kgoe_per_ktkm.FR.Tr.Road.Freight.LCV.ICE.LPG</t>
  </si>
  <si>
    <t>Eff.kgoe_per_ktkm.FR.Tr.Road.Freight.LCV.ICE.NGas</t>
  </si>
  <si>
    <t>Eff.kgoe_per_ktkm.FR.Tr.Road.Freight.LCV.BEV</t>
  </si>
  <si>
    <t>Eff.kgoe_per_ktkm.FR.Tr.Road.Freight.HGV_Domestic</t>
  </si>
  <si>
    <t>Eff.kgoe_per_ktkm.FR.Tr.Road.Freight.HGV_International</t>
  </si>
  <si>
    <t>FEC_per_vehicle.kgoe.FR.Tr.Road.Passenger.P2W</t>
  </si>
  <si>
    <t>FEC_per_vehicle.kgoe.FR.Tr.Road.Passenger.Car</t>
  </si>
  <si>
    <t>FEC_per_vehicle.kgoe.FR.Tr.Road.Passenger.Car.ICE.Gasoline</t>
  </si>
  <si>
    <t>FEC_per_vehicle.kgoe.FR.Tr.Road.Passenger.Car.ICE.Diesel</t>
  </si>
  <si>
    <t>FEC_per_vehicle.kgoe.FR.Tr.Road.Passenger.Car.ICE.LPG</t>
  </si>
  <si>
    <t>FEC_per_vehicle.kgoe.FR.Tr.Road.Passenger.Car.ICE.NGas</t>
  </si>
  <si>
    <t>FEC_per_vehicle.kgoe.FR.Tr.Road.Passenger.Car.PHEV.Gasoline</t>
  </si>
  <si>
    <t>FEC_per_vehicle.kgoe.FR.Tr.Road.Passenger.Car.BEV</t>
  </si>
  <si>
    <t>FEC_per_vehicle.kgoe.FR.Tr.Road.Passenger.Bus</t>
  </si>
  <si>
    <t>FEC_per_vehicle.kgoe.FR.Tr.Road.Passenger.Bus.ICE.Gasoline</t>
  </si>
  <si>
    <t>FEC_per_vehicle.kgoe.FR.Tr.Road.Passenger.Bus.ICE.Diesel</t>
  </si>
  <si>
    <t>FEC_per_vehicle.kgoe.FR.Tr.Road.Passenger.Bus.ICE.LPG</t>
  </si>
  <si>
    <t>FEC_per_vehicle.kgoe.FR.Tr.Road.Passenger.Bus.ICE.NGas</t>
  </si>
  <si>
    <t>FEC_per_vehicle.kgoe.FR.Tr.Road.Passenger.Bus.BEV</t>
  </si>
  <si>
    <t>FEC_per_vehicle.kgoe.FR.Tr.Road.Freight.LCV</t>
  </si>
  <si>
    <t>FEC_per_vehicle.kgoe.FR.Tr.Road.Freight.LCV.ICE.Gasoline</t>
  </si>
  <si>
    <t>FEC_per_vehicle.kgoe.FR.Tr.Road.Freight.LCV.ICE.Diesel</t>
  </si>
  <si>
    <t>FEC_per_vehicle.kgoe.FR.Tr.Road.Freight.LCV.ICE.LPG</t>
  </si>
  <si>
    <t>FEC_per_vehicle.kgoe.FR.Tr.Road.Freight.LCV.ICE.NGas</t>
  </si>
  <si>
    <t>FEC_per_vehicle.kgoe.FR.Tr.Road.Freight.LCV.BEV</t>
  </si>
  <si>
    <t>FEC_per_vehicle.kgoe.FR.Tr.Road.Freight.HGV_All</t>
  </si>
  <si>
    <t>FEC_per_vehicle.kgoe.FR.Tr.Road.Freight.HGV_Domestic</t>
  </si>
  <si>
    <t>FEC_per_vehicle.kgoe.FR.Tr.Road.Freight.HGV_International</t>
  </si>
  <si>
    <t>Road transport / CO2 emissions - FR - France</t>
  </si>
  <si>
    <t>EMI.ktCO2.FR.ES.Tr.Road</t>
  </si>
  <si>
    <t>EMI.ktCO2.FR.ES.Tr.Road.LPG</t>
  </si>
  <si>
    <t>EMI.ktCO2.FR.ES.Tr.Road.Gasoline</t>
  </si>
  <si>
    <t>EMI.ktCO2.FR.ES.Tr.Road.Diesel</t>
  </si>
  <si>
    <t>EMI.ktCO2.FR.ES.Tr.Road.NG</t>
  </si>
  <si>
    <t>EMI.ktCO2.FR.ES.Tr.Road.Biogas</t>
  </si>
  <si>
    <t>EMI.ktCO2.FR.ES.Tr.Road.Biogasoline</t>
  </si>
  <si>
    <t>EMI.ktCO2.FR.ES.Tr.Road.Biodiesel</t>
  </si>
  <si>
    <t>EMI.ktCO2.FR.ES.Tr.Road.OthLiqBio</t>
  </si>
  <si>
    <t>EMI.ktCO2.FR.ES.Tr.Road.Elec</t>
  </si>
  <si>
    <t>EMI.ktCO2.FR.Tr.Road</t>
  </si>
  <si>
    <t>EMI.ktCO2.FR.Tr.Road.Passenger.Car.ICE.Gasoline</t>
  </si>
  <si>
    <t>EMI.ktCO2.FR.Tr.Road.Passenger.Car.ICE.Diesel</t>
  </si>
  <si>
    <t>EMI.ktCO2.FR.Tr.Road.Passenger.Car.ICE.LPG</t>
  </si>
  <si>
    <t>EMI.ktCO2.FR.Tr.Road.Passenger.Car.ICE.NGas</t>
  </si>
  <si>
    <t>EMI.ktCO2.FR.Tr.Road.Passenger.Car.PHEV.Gasoline</t>
  </si>
  <si>
    <t>EMI.ktCO2.FR.Tr.Road.Passenger.Car.BEV</t>
  </si>
  <si>
    <t>EMI.ktCO2.FR.Tr.Road.Passenger.Bus.ICE.Gasoline</t>
  </si>
  <si>
    <t>EMI.ktCO2.FR.Tr.Road.Passenger.Bus.ICE.Diesel</t>
  </si>
  <si>
    <t>EMI.ktCO2.FR.Tr.Road.Passenger.Bus.ICE.LPG</t>
  </si>
  <si>
    <t>EMI.ktCO2.FR.Tr.Road.Passenger.Bus.ICE.NGas</t>
  </si>
  <si>
    <t>EMI.ktCO2.FR.Tr.Road.Passenger.Bus.BEV</t>
  </si>
  <si>
    <t>EMI.ktCO2.FR.Tr.Road.Freight.LCV.ICE.Gasoline</t>
  </si>
  <si>
    <t>EMI.ktCO2.FR.Tr.Road.Freight.LCV.ICE.Diesel</t>
  </si>
  <si>
    <t>EMI.ktCO2.FR.Tr.Road.Freight.LCV.ICE.LPG</t>
  </si>
  <si>
    <t>EMI.ktCO2.FR.Tr.Road.Freight.LCV.ICE.NGas</t>
  </si>
  <si>
    <t>EMI.ktCO2.FR.Tr.Road.Freight.LCV.BEV</t>
  </si>
  <si>
    <t>EMI.ktCO2.FR.Tr.Road.Freight.HGV_Domestic</t>
  </si>
  <si>
    <t>EMI.ktCO2.FR.Tr.Road.Freight.HGV_International</t>
  </si>
  <si>
    <t>EMIint.gCO2_per_km.FR.Tr.Road</t>
  </si>
  <si>
    <t>EMIint.gCO2_per_km.FR.Tr.Road.Passenger</t>
  </si>
  <si>
    <t>EMIint.gCO2_per_km.FR.Tr.Road.Passenger.P2W</t>
  </si>
  <si>
    <t>EMIint.gCO2_per_km.FR.Tr.Road.Passenger.Car</t>
  </si>
  <si>
    <t>EMIint.gCO2_per_km.FR.Tr.Road.Passenger.Car.ICE.Gasoline</t>
  </si>
  <si>
    <t>EMIint.gCO2_per_km.FR.Tr.Road.Passenger.Car.ICE.Diesel</t>
  </si>
  <si>
    <t>EMIint.gCO2_per_km.FR.Tr.Road.Passenger.Car.ICE.LPG</t>
  </si>
  <si>
    <t>EMIint.gCO2_per_km.FR.Tr.Road.Passenger.Car.ICE.NGas</t>
  </si>
  <si>
    <t>EMIint.gCO2_per_km.FR.Tr.Road.Passenger.Car.PHEV.Gasoline</t>
  </si>
  <si>
    <t>EMIint.gCO2_per_km.FR.Tr.Road.Passenger.Car.BEV</t>
  </si>
  <si>
    <t>EMIint.gCO2_per_km.FR.Tr.Road.Passenger.Bus</t>
  </si>
  <si>
    <t>EMIint.gCO2_per_km.FR.Tr.Road.Passenger.Bus.ICE.Gasoline</t>
  </si>
  <si>
    <t>EMIint.gCO2_per_km.FR.Tr.Road.Passenger.Bus.ICE.Diesel</t>
  </si>
  <si>
    <t>EMIint.gCO2_per_km.FR.Tr.Road.Passenger.Bus.ICE.LPG</t>
  </si>
  <si>
    <t>EMIint.gCO2_per_km.FR.Tr.Road.Passenger.Bus.ICE.NGas</t>
  </si>
  <si>
    <t>EMIint.gCO2_per_km.FR.Tr.Road.Passenger.Bus.BEV</t>
  </si>
  <si>
    <t>EMIint.gCO2_per_km.FR.Tr.Road.Freight</t>
  </si>
  <si>
    <t>EMIint.gCO2_per_km.FR.Tr.Road.Freight.LCV</t>
  </si>
  <si>
    <t>EMIint.gCO2_per_km.FR.Tr.Road.Freight.LCV.ICE.Gasoline</t>
  </si>
  <si>
    <t>EMIint.gCO2_per_km.FR.Tr.Road.Freight.LCV.ICE.Diesel</t>
  </si>
  <si>
    <t>EMIint.gCO2_per_km.FR.Tr.Road.Freight.LCV.ICE.LPG</t>
  </si>
  <si>
    <t>EMIint.gCO2_per_km.FR.Tr.Road.Freight.LCV.ICE.NGas</t>
  </si>
  <si>
    <t>EMIint.gCO2_per_km.FR.Tr.Road.Freight.LCV.BEV</t>
  </si>
  <si>
    <t>EMIint.gCO2_per_km.FR.Tr.Road.Freight.HGV_All</t>
  </si>
  <si>
    <t>EMIint.gCO2_per_km.FR.Tr.Road.Freight.HGV_Domestic</t>
  </si>
  <si>
    <t>EMIint.gCO2_per_km.FR.Tr.Road.Freight.HGV_International</t>
  </si>
  <si>
    <t>EMIint.gCO2_per_pkm.FR.Tr.Road.Passenger.Car.ICE.Gasoline</t>
  </si>
  <si>
    <t>EMIint.gCO2_per_pkm.FR.Tr.Road.Passenger.Car.ICE.Diesel</t>
  </si>
  <si>
    <t>EMIint.gCO2_per_pkm.FR.Tr.Road.Passenger.Car.ICE.LPG</t>
  </si>
  <si>
    <t>EMIint.gCO2_per_pkm.FR.Tr.Road.Passenger.Car.ICE.NGas</t>
  </si>
  <si>
    <t>EMIint.gCO2_per_pkm.FR.Tr.Road.Passenger.Car.PHEV.Gasoline</t>
  </si>
  <si>
    <t>EMIint.gCO2_per_pkm.FR.Tr.Road.Passenger.Car.BEV</t>
  </si>
  <si>
    <t>EMIint.gCO2_per_pkm.FR.Tr.Road.Passenger.Bus.ICE.Gasoline</t>
  </si>
  <si>
    <t>EMIint.gCO2_per_pkm.FR.Tr.Road.Passenger.Bus.ICE.Diesel</t>
  </si>
  <si>
    <t>EMIint.gCO2_per_pkm.FR.Tr.Road.Passenger.Bus.ICE.LPG</t>
  </si>
  <si>
    <t>EMIint.gCO2_per_pkm.FR.Tr.Road.Passenger.Bus.ICE.NGas</t>
  </si>
  <si>
    <t>EMIint.gCO2_per_pkm.FR.Tr.Road.Passenger.Bus.BEV</t>
  </si>
  <si>
    <t>EMIint.gCO2_per_tkm.FR.Tr.Road.Freight.LCV.ICE.Gasoline</t>
  </si>
  <si>
    <t>EMIint.gCO2_per_tkm.FR.Tr.Road.Freight.LCV.ICE.Diesel</t>
  </si>
  <si>
    <t>EMIint.gCO2_per_tkm.FR.Tr.Road.Freight.LCV.ICE.LPG</t>
  </si>
  <si>
    <t>EMIint.gCO2_per_tkm.FR.Tr.Road.Freight.LCV.ICE.NGas</t>
  </si>
  <si>
    <t>EMIint.gCO2_per_tkm.FR.Tr.Road.Freight.LCV.BEV</t>
  </si>
  <si>
    <t>EMIint.gCO2_per_tkm.FR.Tr.Road.Freight.HGV_Domestic</t>
  </si>
  <si>
    <t>EMIint.gCO2_per_tkm.FR.Tr.Road.Freight.HGV_International</t>
  </si>
  <si>
    <t>EMI_per_vehicle.kgCO2.FR.Tr.Road.Passenger.P2W</t>
  </si>
  <si>
    <t>EMI_per_vehicle.kgCO2.FR.Tr.Road.Passenger.Car</t>
  </si>
  <si>
    <t>EMI_per_vehicle.kgCO2.FR.Tr.Road.Passenger.Car.ICE.Gasoline</t>
  </si>
  <si>
    <t>EMI_per_vehicle.kgCO2.FR.Tr.Road.Passenger.Car.ICE.Diesel</t>
  </si>
  <si>
    <t>EMI_per_vehicle.kgCO2.FR.Tr.Road.Passenger.Car.ICE.LPG</t>
  </si>
  <si>
    <t>EMI_per_vehicle.kgCO2.FR.Tr.Road.Passenger.Car.ICE.NGas</t>
  </si>
  <si>
    <t>EMI_per_vehicle.kgCO2.FR.Tr.Road.Passenger.Car.PHEV.Gasoline</t>
  </si>
  <si>
    <t>EMI_per_vehicle.kgCO2.FR.Tr.Road.Passenger.Car.BEV</t>
  </si>
  <si>
    <t>EMI_per_vehicle.kgCO2.FR.Tr.Road.Passenger.Bus</t>
  </si>
  <si>
    <t>EMI_per_vehicle.kgCO2.FR.Tr.Road.Passenger.Bus.ICE.Gasoline</t>
  </si>
  <si>
    <t>EMI_per_vehicle.kgCO2.FR.Tr.Road.Passenger.Bus.ICE.Diesel</t>
  </si>
  <si>
    <t>EMI_per_vehicle.kgCO2.FR.Tr.Road.Passenger.Bus.ICE.LPG</t>
  </si>
  <si>
    <t>EMI_per_vehicle.kgCO2.FR.Tr.Road.Passenger.Bus.ICE.NGas</t>
  </si>
  <si>
    <t>EMI_per_vehicle.kgCO2.FR.Tr.Road.Passenger.Bus.BEV</t>
  </si>
  <si>
    <t>EMI_per_vehicle.kgCO2.FR.Tr.Road.Freight.LCV</t>
  </si>
  <si>
    <t>EMI_per_vehicle.kgCO2.FR.Tr.Road.Freight.LCV.ICE.Gasoline</t>
  </si>
  <si>
    <t>EMI_per_vehicle.kgCO2.FR.Tr.Road.Freight.LCV.ICE.Diesel</t>
  </si>
  <si>
    <t>EMI_per_vehicle.kgCO2.FR.Tr.Road.Freight.LCV.ICE.LPG</t>
  </si>
  <si>
    <t>EMI_per_vehicle.kgCO2.FR.Tr.Road.Freight.LCV.ICE.NGas</t>
  </si>
  <si>
    <t>EMI_per_vehicle.kgCO2.FR.Tr.Road.Freight.LCV.BEV</t>
  </si>
  <si>
    <t>EMI_per_vehicle.kgCO2.FR.Tr.Road.Freight.HGV_All</t>
  </si>
  <si>
    <t>EMI_per_vehicle.kgCO2.FR.Tr.Road.Freight.HGV_Domestic</t>
  </si>
  <si>
    <t>EMI_per_vehicle.kgCO2.FR.Tr.Road.Freight.HGV_International</t>
  </si>
  <si>
    <t>Road transport / technologies - FR - France</t>
  </si>
  <si>
    <t>Stock.number.FR.Tr.Road.Freight.HGV_all</t>
  </si>
  <si>
    <t>StockVin.number.FR.Tr.Road</t>
  </si>
  <si>
    <t>StockVin.number.FR.Tr.Road.Passenger</t>
  </si>
  <si>
    <t>StockVin.number.FR.Tr.Road.Passenger.P2W</t>
  </si>
  <si>
    <t>StockVin.number.FR.Tr.Road.Passenger.Car</t>
  </si>
  <si>
    <t>StockVin.number.FR.Tr.Road.Passenger.Car.ICE.Gasoline</t>
  </si>
  <si>
    <t>StockVin.number.FR.Tr.Road.Passenger.Car.ICE.Diesel</t>
  </si>
  <si>
    <t>StockVin.number.FR.Tr.Road.Passenger.Car.ICE.LPG</t>
  </si>
  <si>
    <t>StockVin.number.FR.Tr.Road.Passenger.Car.ICE.NGas</t>
  </si>
  <si>
    <t>StockVin.number.FR.Tr.Road.Passenger.Car.PHEV.Gasoline</t>
  </si>
  <si>
    <t>StockVin.number.FR.Tr.Road.Passenger.Car.BEV</t>
  </si>
  <si>
    <t>StockVin.number.FR.Tr.Road.Passenger.Bus</t>
  </si>
  <si>
    <t>StockVin.number.FR.Tr.Road.Passenger.Bus.ICE.Gasoline</t>
  </si>
  <si>
    <t>StockVin.number.FR.Tr.Road.Passenger.Bus.ICE.Diesel</t>
  </si>
  <si>
    <t>StockVin.number.FR.Tr.Road.Passenger.Bus.ICE.LPG</t>
  </si>
  <si>
    <t>StockVin.number.FR.Tr.Road.Passenger.Bus.ICE.NGas</t>
  </si>
  <si>
    <t>StockVin.number.FR.Tr.Road.Passenger.Bus.BEV</t>
  </si>
  <si>
    <t>StockVin.number.FR.Tr.Road.Freight</t>
  </si>
  <si>
    <t>StockVin.number.FR.Tr.Road.Freight.LCV</t>
  </si>
  <si>
    <t>StockVin.number.FR.Tr.Road.Freight.LCV.ICE.Gasoline</t>
  </si>
  <si>
    <t>StockVin.number.FR.Tr.Road.Freight.LCV.ICE.Diesel</t>
  </si>
  <si>
    <t>StockVin.number.FR.Tr.Road.Freight.LCV.ICE.LPG</t>
  </si>
  <si>
    <t>StockVin.number.FR.Tr.Road.Freight.LCV.ICE.NGas</t>
  </si>
  <si>
    <t>StockVin.number.FR.Tr.Road.Freight.LCV.BEV</t>
  </si>
  <si>
    <t>StockVin.number.FR.Tr.Road.Freight.HGV_All</t>
  </si>
  <si>
    <t>StockVin.number.FR.Tr.Road.Freight.HGV_Domestic</t>
  </si>
  <si>
    <t>StockVin.number.FR.Tr.Road.Freight.HGV_International</t>
  </si>
  <si>
    <t>Eff_test_stock.kgoe_per_100km.FR.Tr.Road.Passenger.P2W</t>
  </si>
  <si>
    <t>Eff_test_stock.kgoe_per_100km.FR.Tr.Road.Passenger.Car</t>
  </si>
  <si>
    <t>Eff_test_stock.kgoe_per_100km.FR.Tr.Road.Passenger.Car.ICE.Gasoline</t>
  </si>
  <si>
    <t>Eff_test_stock.kgoe_per_100km.FR.Tr.Road.Passenger.Car.ICE.Diesel</t>
  </si>
  <si>
    <t>Eff_test_stock.kgoe_per_100km.FR.Tr.Road.Passenger.Car.ICE.LPG</t>
  </si>
  <si>
    <t>Eff_test_stock.kgoe_per_100km.FR.Tr.Road.Passenger.Car.ICE.NGas</t>
  </si>
  <si>
    <t>Eff_test_stock.kgoe_per_100km.FR.Tr.Road.Passenger.Car.PHEV.Gasoline</t>
  </si>
  <si>
    <t>Eff_test_stock.kgoe_per_100km.FR.Tr.Road.Passenger.Car.BEV</t>
  </si>
  <si>
    <t>Eff_test_stock.kgoe_per_100km.FR.Tr.Road.Passenger.Bus</t>
  </si>
  <si>
    <t>Eff_test_stock.kgoe_per_100km.FR.Tr.Road.Passenger.Bus.ICE.Gasoline</t>
  </si>
  <si>
    <t>Eff_test_stock.kgoe_per_100km.FR.Tr.Road.Passenger.Bus.ICE.Diesel</t>
  </si>
  <si>
    <t>Eff_test_stock.kgoe_per_100km.FR.Tr.Road.Passenger.Bus.ICE.LPG</t>
  </si>
  <si>
    <t>Eff_test_stock.kgoe_per_100km.FR.Tr.Road.Passenger.Bus.ICE.NGas</t>
  </si>
  <si>
    <t>Eff_test_stock.kgoe_per_100km.FR.Tr.Road.Passenger.Bus.BEV</t>
  </si>
  <si>
    <t>Eff_test_stock.kgoe_per_100km.FR.Tr.Road.Freight.LCV</t>
  </si>
  <si>
    <t>Eff_test_stock.kgoe_per_100km.FR.Tr.Road.Freight.LCV.ICE.Gasoline</t>
  </si>
  <si>
    <t>Eff_test_stock.kgoe_per_100km.FR.Tr.Road.Freight.LCV.ICE.Diesel</t>
  </si>
  <si>
    <t>Eff_test_stock.kgoe_per_100km.FR.Tr.Road.Freight.LCV.ICE.LPG</t>
  </si>
  <si>
    <t>Eff_test_stock.kgoe_per_100km.FR.Tr.Road.Freight.LCV.ICE.NGas</t>
  </si>
  <si>
    <t>Eff_test_stock.kgoe_per_100km.FR.Tr.Road.Freight.LCV.BEV</t>
  </si>
  <si>
    <t>Eff_test_stock.kgoe_per_100km.FR.Tr.Road.Freight.HGV_All</t>
  </si>
  <si>
    <t>Eff_test_stock.kgoe_per_100km.FR.Tr.Road.Freight.HGV_Domestic</t>
  </si>
  <si>
    <t>Eff_test_stock.kgoe_per_100km.FR.Tr.Road.Freight.HGV_International</t>
  </si>
  <si>
    <t>Eff_test_new.kgoe_per_100km.FR.Tr.Road.Passenger.P2W</t>
  </si>
  <si>
    <t>Eff_test_new.kgoe_per_100km.FR.Tr.Road.Passenger.Car</t>
  </si>
  <si>
    <t>Eff_test_new.kgoe_per_100km.FR.Tr.Road.Passenger.Car.ICE.Gasoline</t>
  </si>
  <si>
    <t>Eff_test_new.kgoe_per_100km.FR.Tr.Road.Passenger.Car.ICE.Diesel</t>
  </si>
  <si>
    <t>Eff_test_new.kgoe_per_100km.FR.Tr.Road.Passenger.Car.ICE.LPG</t>
  </si>
  <si>
    <t>Eff_test_new.kgoe_per_100km.FR.Tr.Road.Passenger.Car.ICE.NGas</t>
  </si>
  <si>
    <t>Eff_test_new.kgoe_per_100km.FR.Tr.Road.Passenger.Car.PHEV.Gasoline</t>
  </si>
  <si>
    <t>Eff_test_new.kgoe_per_100km.FR.Tr.Road.Passenger.Car.BEV</t>
  </si>
  <si>
    <t>Eff_test_new.kgoe_per_100km.FR.Tr.Road.Passenger.Bus</t>
  </si>
  <si>
    <t>Eff_test_new.kgoe_per_100km.FR.Tr.Road.Passenger.Bus.ICE.Gasoline</t>
  </si>
  <si>
    <t>Eff_test_new.kgoe_per_100km.FR.Tr.Road.Passenger.Bus.ICE.Diesel</t>
  </si>
  <si>
    <t>Eff_test_new.kgoe_per_100km.FR.Tr.Road.Passenger.Bus.ICE.LPG</t>
  </si>
  <si>
    <t>Eff_test_new.kgoe_per_100km.FR.Tr.Road.Passenger.Bus.ICE.NGas</t>
  </si>
  <si>
    <t>Eff_test_new.kgoe_per_100km.FR.Tr.Road.Passenger.Bus.BEV</t>
  </si>
  <si>
    <t>Eff_test_new.kgoe_per_100km.FR.Tr.Road.Freight.LCV</t>
  </si>
  <si>
    <t>Eff_test_new.kgoe_per_100km.FR.Tr.Road.Freight.LCV.ICE.Gasoline</t>
  </si>
  <si>
    <t>Eff_test_new.kgoe_per_100km.FR.Tr.Road.Freight.LCV.ICE.Diesel</t>
  </si>
  <si>
    <t>Eff_test_new.kgoe_per_100km.FR.Tr.Road.Freight.LCV.ICE.LPG</t>
  </si>
  <si>
    <t>Eff_test_new.kgoe_per_100km.FR.Tr.Road.Freight.LCV.ICE.NGas</t>
  </si>
  <si>
    <t>Eff_test_new.kgoe_per_100km.FR.Tr.Road.Freight.LCV.BEV</t>
  </si>
  <si>
    <t>Eff_test_new.kgoe_per_100km.FR.Tr.Road.Freight.HGV_All</t>
  </si>
  <si>
    <t>Eff_test_new.kgoe_per_100km.FR.Tr.Road.Freight.HGV_Domestic</t>
  </si>
  <si>
    <t>Eff_test_new.kgoe_per_100km.FR.Tr.Road.Freight.HGV_International</t>
  </si>
  <si>
    <t>EMIint_test_stock.gCO2_per_km.FR.Tr.Road.Passenger.P2W</t>
  </si>
  <si>
    <t>EMIint_test_stock.gCO2_per_km.FR.Tr.Road.Passenger.Car</t>
  </si>
  <si>
    <t>EMIint_test_stock.gCO2_per_km.FR.Tr.Road.Passenger.Car.ICE.Gasoline</t>
  </si>
  <si>
    <t>EMIint_test_stock.gCO2_per_km.FR.Tr.Road.Passenger.Car.ICE.Diesel</t>
  </si>
  <si>
    <t>EMIint_test_stock.gCO2_per_km.FR.Tr.Road.Passenger.Car.ICE.LPG</t>
  </si>
  <si>
    <t>EMIint_test_stock.gCO2_per_km.FR.Tr.Road.Passenger.Car.ICE.NGas</t>
  </si>
  <si>
    <t>EMIint_test_stock.gCO2_per_km.FR.Tr.Road.Passenger.Car.PHEV.Gasoline</t>
  </si>
  <si>
    <t>EMIint_test_stock.gCO2_per_km.FR.Tr.Road.Passenger.Car.BEV</t>
  </si>
  <si>
    <t>EMIint_test_stock.gCO2_per_km.FR.Tr.Road.Passenger.Bus</t>
  </si>
  <si>
    <t>EMIint_test_stock.gCO2_per_km.FR.Tr.Road.Passenger.Bus.ICE.Gasoline</t>
  </si>
  <si>
    <t>EMIint_test_stock.gCO2_per_km.FR.Tr.Road.Passenger.Bus.ICE.Diesel</t>
  </si>
  <si>
    <t>EMIint_test_stock.gCO2_per_km.FR.Tr.Road.Passenger.Bus.ICE.LPG</t>
  </si>
  <si>
    <t>EMIint_test_stock.gCO2_per_km.FR.Tr.Road.Passenger.Bus.ICE.NGas</t>
  </si>
  <si>
    <t>EMIint_test_stock.gCO2_per_km.FR.Tr.Road.Passenger.Bus.BEV</t>
  </si>
  <si>
    <t>EMIint_test_stock.gCO2_per_km.FR.Tr.Road.Freight.LCV</t>
  </si>
  <si>
    <t>EMIint_test_stock.gCO2_per_km.FR.Tr.Road.Freight.LCV.ICE.Gasoline</t>
  </si>
  <si>
    <t>EMIint_test_stock.gCO2_per_km.FR.Tr.Road.Freight.LCV.ICE.Diesel</t>
  </si>
  <si>
    <t>EMIint_test_stock.gCO2_per_km.FR.Tr.Road.Freight.LCV.ICE.LPG</t>
  </si>
  <si>
    <t>EMIint_test_stock.gCO2_per_km.FR.Tr.Road.Freight.LCV.ICE.NGas</t>
  </si>
  <si>
    <t>EMIint_test_stock.gCO2_per_km.FR.Tr.Road.Freight.LCV.BEV</t>
  </si>
  <si>
    <t>EMIint_test_stock.gCO2_per_km.FR.Tr.Road.Freight.HGV_All</t>
  </si>
  <si>
    <t>EMIint_test_stock.gCO2_per_km.FR.Tr.Road.Freight.HGV_Domestic</t>
  </si>
  <si>
    <t>EMIint_test_stock.gCO2_per_km.FR.Tr.Road.Freight.HGV_International</t>
  </si>
  <si>
    <t>EMIint_test_new.gCO2_per_km.FR.Tr.Road.Passenger.P2W</t>
  </si>
  <si>
    <t>EMIint_test_new.gCO2_per_km.FR.Tr.Road.Passenger.Car</t>
  </si>
  <si>
    <t>EMIint_test_new.gCO2_per_km.FR.Tr.Road.Passenger.Car.ICE.Gasoline</t>
  </si>
  <si>
    <t>EMIint_test_new.gCO2_per_km.FR.Tr.Road.Passenger.Car.ICE.Diesel</t>
  </si>
  <si>
    <t>EMIint_test_new.gCO2_per_km.FR.Tr.Road.Passenger.Car.ICE.LPG</t>
  </si>
  <si>
    <t>EMIint_test_new.gCO2_per_km.FR.Tr.Road.Passenger.Car.ICE.NGas</t>
  </si>
  <si>
    <t>EMIint_test_new.gCO2_per_km.FR.Tr.Road.Passenger.Car.PHEV.Gasoline</t>
  </si>
  <si>
    <t>EMIint_test_new.gCO2_per_km.FR.Tr.Road.Passenger.Car.BEV</t>
  </si>
  <si>
    <t>EMIint_test_new.gCO2_per_km.FR.Tr.Road.Passenger.Bus</t>
  </si>
  <si>
    <t>EMIint_test_new.gCO2_per_km.FR.Tr.Road.Passenger.Bus.ICE.Gasoline</t>
  </si>
  <si>
    <t>EMIint_test_new.gCO2_per_km.FR.Tr.Road.Passenger.Bus.ICE.Diesel</t>
  </si>
  <si>
    <t>EMIint_test_new.gCO2_per_km.FR.Tr.Road.Passenger.Bus.ICE.LPG</t>
  </si>
  <si>
    <t>EMIint_test_new.gCO2_per_km.FR.Tr.Road.Passenger.Bus.ICE.NGas</t>
  </si>
  <si>
    <t>EMIint_test_new.gCO2_per_km.FR.Tr.Road.Passenger.Bus.BEV</t>
  </si>
  <si>
    <t>EMIint_test_new.gCO2_per_km.FR.Tr.Road.Freight.LCV</t>
  </si>
  <si>
    <t>EMIint_test_new.gCO2_per_km.FR.Tr.Road.Freight.LCV.ICE.Gasoline</t>
  </si>
  <si>
    <t>EMIint_test_new.gCO2_per_km.FR.Tr.Road.Freight.LCV.ICE.Diesel</t>
  </si>
  <si>
    <t>EMIint_test_new.gCO2_per_km.FR.Tr.Road.Freight.LCV.ICE.LPG</t>
  </si>
  <si>
    <t>EMIint_test_new.gCO2_per_km.FR.Tr.Road.Freight.LCV.ICE.NGas</t>
  </si>
  <si>
    <t>EMIint_test_new.gCO2_per_km.FR.Tr.Road.Freight.LCV.BEV</t>
  </si>
  <si>
    <t>EMIint_test_new.gCO2_per_km.FR.Tr.Road.Freight.HGV_All</t>
  </si>
  <si>
    <t>EMIint_test_new.gCO2_per_km.FR.Tr.Road.Freight.HGV_Domestic</t>
  </si>
  <si>
    <t>EMIint_test_new.gCO2_per_km.FR.Tr.Road.Freight.HGV_International</t>
  </si>
  <si>
    <t>FEC.ktoe.FR.MBunk</t>
  </si>
  <si>
    <t>FEC.ktoe.FR.MBunk.IntraEEA</t>
  </si>
  <si>
    <t>FEC.ktoe.FR.MBunk.ExtraEEA</t>
  </si>
  <si>
    <t>EMI.ktCO2.FR.MBunk</t>
  </si>
  <si>
    <t>EMI.ktCO2.FR.MBunk.IntraEEA</t>
  </si>
  <si>
    <t>EMI.ktCO2.FR.MBunk.ExtraEEA</t>
  </si>
  <si>
    <t>International maritime bunkers - FR - France</t>
  </si>
  <si>
    <t>VehicleKm.Mkm.FR.MBunk.Freight</t>
  </si>
  <si>
    <t>VehicleKm.Mkm.FR.MBunk.Freight.IntraEEA</t>
  </si>
  <si>
    <t>VehicleKm.Mkm.FR.MBunk.Freight.ExtraEEA</t>
  </si>
  <si>
    <t>Load.t_per_movement.FR.MBunk.Freight</t>
  </si>
  <si>
    <t>Load.t_per_movement.FR.MBunk.Freight.IntraEEA</t>
  </si>
  <si>
    <t>Load.t_per_movement.FR.MBunk.Freight.ExtraEEA</t>
  </si>
  <si>
    <t>International maritime bunkers / energy consumption - FR - France</t>
  </si>
  <si>
    <t>FEC.ktoe.FR.ES.MBunk</t>
  </si>
  <si>
    <t>FEC.ktoe.FR.ES.MBunk.IntraEEA</t>
  </si>
  <si>
    <t>FEC.ktoe.FR.ES.MBunk.IntraEEA.Diesel</t>
  </si>
  <si>
    <t>FEC.ktoe.FR.ES.MBunk.IntraEEA.RFO_Other</t>
  </si>
  <si>
    <t>FEC.ktoe.FR.ES.MBunk.IntraEEA.LiqBio</t>
  </si>
  <si>
    <t>FEC.ktoe.FR.ES.MBunk.IntraEEA.NG</t>
  </si>
  <si>
    <t>FEC.ktoe.FR.ES.MBunk.IntraEEA.Biogas</t>
  </si>
  <si>
    <t>FEC.ktoe.FR.ES.MBunk.ExtraEEA</t>
  </si>
  <si>
    <t>FEC.ktoe.FR.ES.MBunk.ExtraEEA.Diesel</t>
  </si>
  <si>
    <t>FEC.ktoe.FR.ES.MBunk.ExtraEEA.RFO_Other</t>
  </si>
  <si>
    <t>FEC.ktoe.FR.ES.MBunk.ExtraEEA.LiqBio</t>
  </si>
  <si>
    <t>FEC.ktoe.FR.ES.MBunk.ExtraEEA.NG</t>
  </si>
  <si>
    <t>FEC.ktoe.FR.ES.MBunk.ExtraEEA.Biogas</t>
  </si>
  <si>
    <t>Eff.kgoe_per_100km.FR.MBunk.Freight</t>
  </si>
  <si>
    <t>Eff.kgoe_per_100km.FR.MBunk.Freight.IntraEEA</t>
  </si>
  <si>
    <t>Eff.kgoe_per_100km.FR.MBunk.Freight.ExtraEEA</t>
  </si>
  <si>
    <t>International maritime bunkers / CO2 emissions - FR - France</t>
  </si>
  <si>
    <t>EMI.ktCO2.FR.ES.MBunk</t>
  </si>
  <si>
    <t>EMI.ktCO2.FR.ES.MBunk.IntraEEA</t>
  </si>
  <si>
    <t>EMI.ktCO2.FR.ES.MBunk.ExtraEEA</t>
  </si>
  <si>
    <t>EMIint.gCO2_per_km.FR.MBunk.Freight</t>
  </si>
  <si>
    <t>EMIint.gCO2_per_km.FR.MBunk.Freight.IntraEEA</t>
  </si>
  <si>
    <t>EMIint.gCO2_per_km.FR.MBunk.Freight.ExtraEEA</t>
  </si>
  <si>
    <t>FEC.ktoe.FR.Tr.DNavi</t>
  </si>
  <si>
    <t>FEC.ktoe.FR.Tr.Dnavi.DCS</t>
  </si>
  <si>
    <t>FEC.ktoe.FR.Tr.Dnavi.IWW</t>
  </si>
  <si>
    <t>EMI.ktCO2.FR.Tr.DNavi</t>
  </si>
  <si>
    <t>EMI.ktCO2.FR.Tr.Dnavi.DCS</t>
  </si>
  <si>
    <t>EMI.ktCO2.FR.Tr.Dnavi.IWW</t>
  </si>
  <si>
    <t>Domestic navigation - FR - France</t>
  </si>
  <si>
    <t>VehicleKm.Mkm.FR.Tr.DNavi.Freight</t>
  </si>
  <si>
    <t>VehicleKm.Mkm.FR.Tr.DNavi.Freight.DCS</t>
  </si>
  <si>
    <t>VehicleKm.Mkm.FR.Tr.DNavi.Freight.IWW</t>
  </si>
  <si>
    <t>Load.t_per_movement.FR.Tr.DNavi.Freight</t>
  </si>
  <si>
    <t>Load.t_per_movement.FR.Tr.DNavi.Freight.DCS</t>
  </si>
  <si>
    <t>Load.t_per_movement.FR.Tr.DNavi.Freight.IWW</t>
  </si>
  <si>
    <t>Domestic navigation / energy consumption - FR - France</t>
  </si>
  <si>
    <t>FEC.ktoe.FR.ES.Tr.DNavi</t>
  </si>
  <si>
    <t>FEC.ktoe.FR.ES.Tr.DNavi.DCS</t>
  </si>
  <si>
    <t>FEC.ktoe.FR.ES.Tr.DNavi.DCS.Diesel</t>
  </si>
  <si>
    <t>FEC.ktoe.FR.ES.Tr.DNavi.DCS.RFO_Other</t>
  </si>
  <si>
    <t>FEC.ktoe.FR.ES.Tr.DNavi.DCS.LiqBio</t>
  </si>
  <si>
    <t>FEC.ktoe.FR.ES.Tr.DNavi.DCS.NG</t>
  </si>
  <si>
    <t>FEC.ktoe.FR.ES.Tr.DNavi.DCS.Biogas</t>
  </si>
  <si>
    <t>FEC.ktoe.FR.ES.Tr.DNavi.IWW</t>
  </si>
  <si>
    <t>FEC.ktoe.FR.ES.Tr.DNavi.IWW.Diesel</t>
  </si>
  <si>
    <t>FEC.ktoe.FR.ES.Tr.DNavi.IWW.RFO_Other</t>
  </si>
  <si>
    <t>FEC.ktoe.FR.ES.Tr.DNavi.IWW.LiqBio</t>
  </si>
  <si>
    <t>FEC.ktoe.FR.ES.Tr.DNavi.IWW.NG</t>
  </si>
  <si>
    <t>FEC.ktoe.FR.ES.Tr.DNavi.IWW.Biogas</t>
  </si>
  <si>
    <t>Eff.kgoe_per_100km.FR.Tr.DNavi.Freight</t>
  </si>
  <si>
    <t>Eff.kgoe_per_100km.FR.Tr.DNavi.Freight.DCS</t>
  </si>
  <si>
    <t>Eff.kgoe_per_100km.FR.Tr.DNavi.Freight.IWW</t>
  </si>
  <si>
    <t>Domestic navigation / CO2 emissions - FR - France</t>
  </si>
  <si>
    <t>EMI.ktCO2.FR.ES.Tr.DNavi</t>
  </si>
  <si>
    <t>EMI.ktCO2.FR.ES.Tr.DNavi.DCS</t>
  </si>
  <si>
    <t>EMI.ktCO2.FR.ES.Tr.DNavi.IWW</t>
  </si>
  <si>
    <t>EMIint.gCO2_per_km.FR.Tr.DNavi.Freight</t>
  </si>
  <si>
    <t>EMIint.gCO2_per_km.FR.Tr.DNavi.Freight.DCS</t>
  </si>
  <si>
    <t>EMIint.gCO2_per_km.FR.Tr.DNavi.Freight.IWW</t>
  </si>
  <si>
    <t>Rail, metro and tram - FR - France</t>
  </si>
  <si>
    <t>Activity.Mpkm.FR.Tr.Rail.Passenger.CPT.Diesel</t>
  </si>
  <si>
    <t>Activity.Mpkm.FR.Tr.Rail.Passenger.CPT.Elc</t>
  </si>
  <si>
    <t>Activity.Mtkm.FR.Tr.Rail.Freight.Diesel</t>
  </si>
  <si>
    <t>Activity.Mtkm.FR.Tr.Rail.Freight.Elc</t>
  </si>
  <si>
    <t>VehicleKm.Mkm.FR.Tr.Rail</t>
  </si>
  <si>
    <t>VehicleKm.Mkm.FR.Tr.Rail.Passenger</t>
  </si>
  <si>
    <t>VehicleKm.Mkm.FR.Tr.Rail.Passenger.MTU</t>
  </si>
  <si>
    <t>VehicleKm.Mkm.FR.Tr.Rail.Passenger.CPT</t>
  </si>
  <si>
    <t>VehicleKm.Mkm.FR.Tr.Rail.Passenger.CPT.Diesel</t>
  </si>
  <si>
    <t>VehicleKm.Mkm.FR.Tr.Rail.Passenger.CPT.Elc</t>
  </si>
  <si>
    <t>VehicleKm.Mkm.FR.Tr.Rail.Passenger.HST</t>
  </si>
  <si>
    <t>VehicleKm.Mkm.FR.Tr.Rail.Freight</t>
  </si>
  <si>
    <t>VehicleKm.Mkm.FR.Tr.Rail.Freight.Diesel</t>
  </si>
  <si>
    <t>VehicleKm.Mkm.FR.Tr.Rail.Freight.Elc</t>
  </si>
  <si>
    <t>Stock.number.FR.Tr.Rail</t>
  </si>
  <si>
    <t>Stock.number.FR.Tr.Rail.Passenger</t>
  </si>
  <si>
    <t>Stock.number.FR.Tr.Rail.Passenger.MTU</t>
  </si>
  <si>
    <t>Stock.number.FR.Tr.Rail.Passenger.CPT</t>
  </si>
  <si>
    <t>Stock.number.FR.Tr.Rail.Passenger.CPT.Diesel</t>
  </si>
  <si>
    <t>Stock.number.FR.Tr.Rail.Passenger.CPT.Elc</t>
  </si>
  <si>
    <t>Stock.number.FR.Tr.Rail.Passenger.HST</t>
  </si>
  <si>
    <t>Stock.number.FR.Tr.Rail.Freight</t>
  </si>
  <si>
    <t>Stock.number.FR.Tr.Rail.Freight.Diesel</t>
  </si>
  <si>
    <t>Stock.number.FR.Tr.Rail.Freight.Elc</t>
  </si>
  <si>
    <t>StockNew.number.FR.Tr.Rail</t>
  </si>
  <si>
    <t>StockNew.number.FR.Tr.Rail.Passenger</t>
  </si>
  <si>
    <t>StockNew.number.FR.Tr.Rail.Passenger.MTU</t>
  </si>
  <si>
    <t>StockNew.number.FR.Tr.Rail.Passenger.CPT</t>
  </si>
  <si>
    <t>StockNew.number.FR.Tr.Rail.Passenger.CPT.Diesel</t>
  </si>
  <si>
    <t>StockNew.number.FR.Tr.Rail.Passenger.CPT.Elc</t>
  </si>
  <si>
    <t>StockNew.number.FR.Tr.Rail.Passenger.HST</t>
  </si>
  <si>
    <t>StockNew.number.FR.Tr.Rail.Freight</t>
  </si>
  <si>
    <t>StockNew.number.FR.Tr.Rail.Freight.Diesel</t>
  </si>
  <si>
    <t>StockNew.number.FR.Tr.Rail.Freight.Elc</t>
  </si>
  <si>
    <t>Load.passenger_per_movement.FR.Tr.Rail.Passenger</t>
  </si>
  <si>
    <t>Load.passenger_per_movement.FR.Tr.Rail.Passenger.MTU</t>
  </si>
  <si>
    <t>Load.passenger_per_movement.FR.Tr.Rail.Passenger.CPT</t>
  </si>
  <si>
    <t>Load.passenger_per_movement.FR.Tr.Rail.Passenger.CPT.Diesel</t>
  </si>
  <si>
    <t>Load.passenger_per_movement.FR.Tr.Rail.Passenger.CPT.Elc</t>
  </si>
  <si>
    <t>Load.passenger_per_movement.FR.Tr.Rail.Passenger.HST</t>
  </si>
  <si>
    <t>Load.t_per_movement.FR.Tr.Rail.Freight</t>
  </si>
  <si>
    <t>Load.t_per_movement.FR.Tr.Rail.Freight.Diesel</t>
  </si>
  <si>
    <t>Load.t_per_movement.FR.Tr.Rail.Freight.Elc</t>
  </si>
  <si>
    <t>TrCap.seats.FR.Tr.Rail.Passenger</t>
  </si>
  <si>
    <t>TrCap.seats.FR.Tr.Rail.Passenger.MTU</t>
  </si>
  <si>
    <t>TrCap.seats.FR.Tr.Rail.Passenger.CPT</t>
  </si>
  <si>
    <t>TrCap.seats.FR.Tr.Rail.Passenger.CPT.Diesel</t>
  </si>
  <si>
    <t>TrCap.seats.FR.Tr.Rail.Passenger.CPT.Elc</t>
  </si>
  <si>
    <t>TrCap.seats.FR.Tr.Rail.Passenger.HST</t>
  </si>
  <si>
    <t>TrCap.t.FR.Tr.Rail.Freight</t>
  </si>
  <si>
    <t>TrCap.t.FR.Tr.Rail.Freight.Diesel</t>
  </si>
  <si>
    <t>TrCap.t.FR.Tr.Rail.Freight.Elc</t>
  </si>
  <si>
    <t>VehicleKm_per_vehicle.km.FR.Tr.Rail</t>
  </si>
  <si>
    <t>VehicleKm_per_vehicle.km.FR.Tr.Rail.Passenger</t>
  </si>
  <si>
    <t>VehicleKm_per_vehicle.km.FR.Tr.Rail.Passenger.MTU</t>
  </si>
  <si>
    <t>VehicleKm_per_vehicle.km.FR.Tr.Rail.Passenger.CPT</t>
  </si>
  <si>
    <t>VehicleKm_per_vehicle.km.FR.Tr.Rail.Passenger.CPT.Diesel</t>
  </si>
  <si>
    <t>VehicleKm_per_vehicle.km.FR.Tr.Rail.Passenger.CPT.Elc</t>
  </si>
  <si>
    <t>VehicleKm_per_vehicle.km.FR.Tr.Rail.Passenger.HST</t>
  </si>
  <si>
    <t>VehicleKm_per_vehicle.km.FR.Tr.Rail.Freight</t>
  </si>
  <si>
    <t>VehicleKm_per_vehicle.km.FR.Tr.Rail.Freight.Diesel</t>
  </si>
  <si>
    <t>VehicleKm_per_vehicle.km.FR.Tr.Rail.Freight.Elc</t>
  </si>
  <si>
    <t>Activity_per_vehicle.pkm.FR.Tr.Rail.Passenger</t>
  </si>
  <si>
    <t>Activity_per_vehicle.pkm.FR.Tr.Rail.Passenger.MTU</t>
  </si>
  <si>
    <t>Activity_per_vehicle.pkm.FR.Tr.Rail.Passenger.CPT</t>
  </si>
  <si>
    <t>Activity_per_vehicle.pkm.FR.Tr.Rail.Passenger.CPT.Diesel</t>
  </si>
  <si>
    <t>Activity_per_vehicle.pkm.FR.Tr.Rail.Passenger.CPT.Elc</t>
  </si>
  <si>
    <t>Activity_per_vehicle.pkm.FR.Tr.Rail.Passenger.HST</t>
  </si>
  <si>
    <t>Activity_per_vehicle.tkm.FR.Tr.Rail.Freight</t>
  </si>
  <si>
    <t>Activity_per_vehicle.tkm.FR.Tr.Rail.Freight.Diesel</t>
  </si>
  <si>
    <t>Activity_per_vehicle.tkm.FR.Tr.Rail.Freight.Elc</t>
  </si>
  <si>
    <t>Rail, metro and tram / energy consumption - FR - France</t>
  </si>
  <si>
    <t>FEC.ktoe.FR.ES.Tr.Rail</t>
  </si>
  <si>
    <t>FEC.ktoe.FR.ES.Tr.Rail.Diesel</t>
  </si>
  <si>
    <t>FEC.ktoe.FR.ES.Tr.Rail.LiqBio</t>
  </si>
  <si>
    <t>FEC.ktoe.FR.ES.Tr.Rail.Elec</t>
  </si>
  <si>
    <t>FEC.ktoe.FR.Tr.Rail</t>
  </si>
  <si>
    <t>FEC.ktoe.FR.Tr.Rail.Passenger.CPT.Diesel</t>
  </si>
  <si>
    <t>FEC.ktoe.FR.Tr.Rail.Passenger.CPT.Elc</t>
  </si>
  <si>
    <t>FEC.ktoe.FR.Tr.Rail.Freight.Diesel</t>
  </si>
  <si>
    <t>FEC.ktoe.FR.Tr.Rail.Freight.Elc</t>
  </si>
  <si>
    <t>Eff.kgoe_per_100km.FR.Tr.Rail</t>
  </si>
  <si>
    <t>Eff.kgoe_per_100km.FR.Tr.Rail.Passenger</t>
  </si>
  <si>
    <t>Eff.kgoe_per_100km.FR.Tr.Rail.Passenger.MTU</t>
  </si>
  <si>
    <t>Eff.kgoe_per_100km.FR.Tr.Rail.Passenger.CPT</t>
  </si>
  <si>
    <t>Eff.kgoe_per_100km.FR.Tr.Rail.Passenger.CPT.Diesel</t>
  </si>
  <si>
    <t>Eff.kgoe_per_100km.FR.Tr.Rail.Passenger.CPT.Elc</t>
  </si>
  <si>
    <t>Eff.kgoe_per_100km.FR.Tr.Rail.Passenger.HST</t>
  </si>
  <si>
    <t>Eff.kgoe_per_100km.FR.Tr.Rail.Freight</t>
  </si>
  <si>
    <t>Eff.kgoe_per_100km.FR.Tr.Rail.Freight.Diesel</t>
  </si>
  <si>
    <t>Eff.kgoe_per_100km.FR.Tr.Rail.Freight.Elc</t>
  </si>
  <si>
    <t>Eff.kgoe_per_kpkm.FR.Tr.Rail.Passenger.CPT.Diesel</t>
  </si>
  <si>
    <t>Eff.kgoe_per_kpkm.FR.Tr.Rail.Passenger.CPT.Elc</t>
  </si>
  <si>
    <t>Eff.kgoe_per_ktkm.FR.Tr.Rail.Freight.Diesel</t>
  </si>
  <si>
    <t>Eff.kgoe_per_ktkm.FR.Tr.Rail.Freight.Elc</t>
  </si>
  <si>
    <t>FEC_per_vehicle.kgoe.FR.Tr.Rail</t>
  </si>
  <si>
    <t>FEC_per_vehicle.kgoe.FR.Tr.Rail.Passenger</t>
  </si>
  <si>
    <t>FEC_per_vehicle.kgoe.FR.Tr.Rail.Passenger.MTU</t>
  </si>
  <si>
    <t>FEC_per_vehicle.kgoe.FR.Tr.Rail.Passenger.CPT</t>
  </si>
  <si>
    <t>FEC_per_vehicle.kgoe.FR.Tr.Rail.Passenger.CPT.Diesel</t>
  </si>
  <si>
    <t>FEC_per_vehicle.kgoe.FR.Tr.Rail.Passenger.CPT.Elc</t>
  </si>
  <si>
    <t>FEC_per_vehicle.kgoe.FR.Tr.Rail.Passenger.HST</t>
  </si>
  <si>
    <t>FEC_per_vehicle.kgoe.FR.Tr.Rail.Freight</t>
  </si>
  <si>
    <t>FEC_per_vehicle.kgoe.FR.Tr.Rail.Freight.Diesel</t>
  </si>
  <si>
    <t>FEC_per_vehicle.kgoe.FR.Tr.Rail.Freight.Elc</t>
  </si>
  <si>
    <t>Rail, metro and tram / CO2 emissions - FR - France</t>
  </si>
  <si>
    <t>EMI.ktCO2.FR.ES.Tr.Rail</t>
  </si>
  <si>
    <t>EMI.ktCO2.FR.ES.Tr.Rail.Diesel</t>
  </si>
  <si>
    <t>EMI.ktCO2.FR.ES.Tr.Rail.Elec</t>
  </si>
  <si>
    <t>EMI.ktCO2.FR.Tr.Rail</t>
  </si>
  <si>
    <t>EMI.ktCO2.FR.Tr.Rail.Passenger.CPT.Diesel</t>
  </si>
  <si>
    <t>EMI.ktCO2.FR.Tr.Rail.Passenger.CPT.Elc</t>
  </si>
  <si>
    <t>EMI.ktCO2.FR.Tr.Rail.Freight.Diesel</t>
  </si>
  <si>
    <t>EMI.ktCO2.FR.Tr.Rail.Freight.Elc</t>
  </si>
  <si>
    <t>EMIint.gCO2_per_km.FR.Tr.Rail</t>
  </si>
  <si>
    <t>EMIint.gCO2_per_km.FR.Tr.Rail.Passenger</t>
  </si>
  <si>
    <t>EMIint.gCO2_per_km.FR.Tr.Rail.Passenger.MTU</t>
  </si>
  <si>
    <t>EMIint.gCO2_per_km.FR.Tr.Rail.Passenger.CPT</t>
  </si>
  <si>
    <t>EMIint.gCO2_per_km.FR.Tr.Rail.Passenger.CPT.Diesel</t>
  </si>
  <si>
    <t>EMIint.gCO2_per_km.FR.Tr.Rail.Passenger.CPT.Elc</t>
  </si>
  <si>
    <t>EMIint.gCO2_per_km.FR.Tr.Rail.Passenger.HST</t>
  </si>
  <si>
    <t>EMIint.gCO2_per_km.FR.Tr.Rail.Freight</t>
  </si>
  <si>
    <t>EMIint.gCO2_per_km.FR.Tr.Rail.Freight.Diesel</t>
  </si>
  <si>
    <t>EMIint.gCO2_per_km.FR.Tr.Rail.Freight.Elc</t>
  </si>
  <si>
    <t>EMIint.gCO2_per_pkm.FR.Tr.Rail.Passenger.CPT.Diesel</t>
  </si>
  <si>
    <t>EMIint.gCO2_per_pkm.FR.Tr.Rail.Passenger.CPT.Elc</t>
  </si>
  <si>
    <t>EMIint.gCO2_per_tkm.FR.Tr.Rail.Freight.Diesel</t>
  </si>
  <si>
    <t>EMIint.gCO2_per_tkm.FR.Tr.Rail.Freight.Elc</t>
  </si>
  <si>
    <t>EMI_per_vehicle.tCO2.FR.Tr.Rail</t>
  </si>
  <si>
    <t>EMI_per_vehicle.tCO2.FR.Tr.Rail.Passenger</t>
  </si>
  <si>
    <t>EMI_per_vehicle.tCO2.FR.Tr.Rail.Passenger.MTU</t>
  </si>
  <si>
    <t>EMI_per_vehicle.tCO2.FR.Tr.Rail.Passenger.CPT</t>
  </si>
  <si>
    <t>EMI_per_vehicle.tCO2.FR.Tr.Rail.Passenger.CPT.Diesel</t>
  </si>
  <si>
    <t>EMI_per_vehicle.tCO2.FR.Tr.Rail.Passenger.CPT.Elc</t>
  </si>
  <si>
    <t>EMI_per_vehicle.tCO2.FR.Tr.Rail.Passenger.HST</t>
  </si>
  <si>
    <t>EMI_per_vehicle.tCO2.FR.Tr.Rail.Freight</t>
  </si>
  <si>
    <t>EMI_per_vehicle.tCO2.FR.Tr.Rail.Freight.Diesel</t>
  </si>
  <si>
    <t>EMI_per_vehicle.tCO2.FR.Tr.Rail.Freight.Elc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</si>
</sst>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45967.475300925929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949381.37919174065</v>
      </c>
      <c r="C4" s="28">
        <f t="shared" si="0"/>
        <v>976949.73519695573</v>
      </c>
      <c r="D4" s="28">
        <f t="shared" si="0"/>
        <v>988660.09330202313</v>
      </c>
      <c r="E4" s="28">
        <f t="shared" si="0"/>
        <v>987523.09009837231</v>
      </c>
      <c r="F4" s="28">
        <f t="shared" si="0"/>
        <v>1000761.8923363774</v>
      </c>
      <c r="G4" s="28">
        <f t="shared" si="0"/>
        <v>1002187.5947457214</v>
      </c>
      <c r="H4" s="28">
        <f t="shared" si="0"/>
        <v>1008244.1960366223</v>
      </c>
      <c r="I4" s="28">
        <f t="shared" si="0"/>
        <v>1022854.6184655275</v>
      </c>
      <c r="J4" s="28">
        <f t="shared" si="0"/>
        <v>1015733.6183353672</v>
      </c>
      <c r="K4" s="28">
        <f t="shared" si="0"/>
        <v>1010289.2540151452</v>
      </c>
      <c r="L4" s="28">
        <f t="shared" si="0"/>
        <v>1019838.3936913966</v>
      </c>
      <c r="M4" s="28">
        <f t="shared" si="0"/>
        <v>1036999.7396369453</v>
      </c>
      <c r="N4" s="28">
        <f t="shared" si="0"/>
        <v>1096592.3767198483</v>
      </c>
      <c r="O4" s="28">
        <f t="shared" si="0"/>
        <v>1104331.0044569573</v>
      </c>
      <c r="P4" s="28">
        <f t="shared" si="0"/>
        <v>1122961.5244793366</v>
      </c>
      <c r="Q4" s="28">
        <f t="shared" si="0"/>
        <v>1137204.9398658331</v>
      </c>
      <c r="R4" s="28">
        <f t="shared" ref="R4:V4" si="1">R5+R9+R13</f>
        <v>1150297.0947578165</v>
      </c>
      <c r="S4" s="28">
        <f t="shared" si="1"/>
        <v>1169876.200551772</v>
      </c>
      <c r="T4" s="28">
        <f t="shared" si="1"/>
        <v>1175622.0748425871</v>
      </c>
      <c r="U4" s="28">
        <f t="shared" si="1"/>
        <v>1199766.2706512641</v>
      </c>
      <c r="V4" s="28">
        <f t="shared" si="1"/>
        <v>830763.2589227173</v>
      </c>
      <c r="W4" s="28">
        <f t="shared" ref="W4:Y4" si="2">W5+W9+W13</f>
        <v>929406.94706384547</v>
      </c>
      <c r="X4" s="28">
        <f t="shared" si="2"/>
        <v>1116382.71457211</v>
      </c>
      <c r="Y4" s="28">
        <f t="shared" si="2"/>
        <v>1153641.394955518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748701.27954439411</v>
      </c>
      <c r="C5" s="137">
        <f t="shared" si="3"/>
        <v>772809.89869109378</v>
      </c>
      <c r="D5" s="137">
        <f t="shared" si="3"/>
        <v>779415.22973960382</v>
      </c>
      <c r="E5" s="137">
        <f t="shared" si="3"/>
        <v>781509.96959398245</v>
      </c>
      <c r="F5" s="137">
        <f t="shared" si="3"/>
        <v>779863.80571560643</v>
      </c>
      <c r="G5" s="137">
        <f t="shared" si="3"/>
        <v>770269.31800527021</v>
      </c>
      <c r="H5" s="137">
        <f t="shared" si="3"/>
        <v>768840.69632006646</v>
      </c>
      <c r="I5" s="137">
        <f t="shared" si="3"/>
        <v>774542.16991703317</v>
      </c>
      <c r="J5" s="137">
        <f t="shared" si="3"/>
        <v>760248.32170867082</v>
      </c>
      <c r="K5" s="137">
        <f t="shared" si="3"/>
        <v>760940.68909085111</v>
      </c>
      <c r="L5" s="137">
        <f t="shared" si="3"/>
        <v>767430.93661550537</v>
      </c>
      <c r="M5" s="137">
        <f t="shared" si="3"/>
        <v>768434.86179975758</v>
      </c>
      <c r="N5" s="137">
        <f t="shared" si="3"/>
        <v>828224.11979551474</v>
      </c>
      <c r="O5" s="137">
        <f t="shared" si="3"/>
        <v>831249.87555347499</v>
      </c>
      <c r="P5" s="137">
        <f t="shared" si="3"/>
        <v>842186.63186768757</v>
      </c>
      <c r="Q5" s="137">
        <f t="shared" si="3"/>
        <v>853672.02751110855</v>
      </c>
      <c r="R5" s="137">
        <f t="shared" ref="R5:V5" si="4">R6+R7+R8</f>
        <v>865513.86377619742</v>
      </c>
      <c r="S5" s="137">
        <f t="shared" si="4"/>
        <v>868808.98630393995</v>
      </c>
      <c r="T5" s="137">
        <f t="shared" si="4"/>
        <v>865794.73202286451</v>
      </c>
      <c r="U5" s="137">
        <f t="shared" si="4"/>
        <v>875501.1136683448</v>
      </c>
      <c r="V5" s="137">
        <f t="shared" si="4"/>
        <v>700736.80737747718</v>
      </c>
      <c r="W5" s="137">
        <f t="shared" ref="W5:Y5" si="5">W6+W7+W8</f>
        <v>766676.45606440026</v>
      </c>
      <c r="X5" s="137">
        <f t="shared" si="5"/>
        <v>835283.26740568655</v>
      </c>
      <c r="Y5" s="137">
        <f t="shared" si="5"/>
        <v>829914.60445184936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11371.049793981645</v>
      </c>
      <c r="C6" s="102">
        <f>TrRoad_act!C$5</f>
        <v>12481.302153441275</v>
      </c>
      <c r="D6" s="102">
        <f>TrRoad_act!D$5</f>
        <v>13887.464907613616</v>
      </c>
      <c r="E6" s="102">
        <f>TrRoad_act!E$5</f>
        <v>14080.263802870362</v>
      </c>
      <c r="F6" s="102">
        <f>TrRoad_act!F$5</f>
        <v>14903.847416007629</v>
      </c>
      <c r="G6" s="102">
        <f>TrRoad_act!G$5</f>
        <v>15549.05536270714</v>
      </c>
      <c r="H6" s="102">
        <f>TrRoad_act!H$5</f>
        <v>15489.716276450494</v>
      </c>
      <c r="I6" s="102">
        <f>TrRoad_act!I$5</f>
        <v>16147.986530474764</v>
      </c>
      <c r="J6" s="102">
        <f>TrRoad_act!J$5</f>
        <v>17056.808055403515</v>
      </c>
      <c r="K6" s="102">
        <f>TrRoad_act!K$5</f>
        <v>17647.032780426529</v>
      </c>
      <c r="L6" s="102">
        <f>TrRoad_act!L$5</f>
        <v>17518.664968002198</v>
      </c>
      <c r="M6" s="102">
        <f>TrRoad_act!M$5</f>
        <v>17957.537760887804</v>
      </c>
      <c r="N6" s="102">
        <f>TrRoad_act!N$5</f>
        <v>17460.649484356662</v>
      </c>
      <c r="O6" s="102">
        <f>TrRoad_act!O$5</f>
        <v>17607.063177088436</v>
      </c>
      <c r="P6" s="102">
        <f>TrRoad_act!P$5</f>
        <v>18100.790610083739</v>
      </c>
      <c r="Q6" s="102">
        <f>TrRoad_act!Q$5</f>
        <v>18193.639709479354</v>
      </c>
      <c r="R6" s="102">
        <f>TrRoad_act!R$5</f>
        <v>16886.230717345425</v>
      </c>
      <c r="S6" s="102">
        <f>TrRoad_act!S$5</f>
        <v>16114.291461775148</v>
      </c>
      <c r="T6" s="102">
        <f>TrRoad_act!T$5</f>
        <v>15257.291884373282</v>
      </c>
      <c r="U6" s="102">
        <f>TrRoad_act!U$5</f>
        <v>16459.863601467368</v>
      </c>
      <c r="V6" s="102">
        <f>TrRoad_act!V$5</f>
        <v>13814.33841973334</v>
      </c>
      <c r="W6" s="102">
        <f>TrRoad_act!W$5</f>
        <v>14807.69112720249</v>
      </c>
      <c r="X6" s="102">
        <f>TrRoad_act!X$5</f>
        <v>14989.596412121522</v>
      </c>
      <c r="Y6" s="102">
        <f>TrRoad_act!Y$5</f>
        <v>16211.378991463482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687735.73412192496</v>
      </c>
      <c r="C7" s="102">
        <f>TrRoad_act!C$6</f>
        <v>712217.25815796712</v>
      </c>
      <c r="D7" s="102">
        <f>TrRoad_act!D$6</f>
        <v>716879.48383462697</v>
      </c>
      <c r="E7" s="102">
        <f>TrRoad_act!E$6</f>
        <v>718296.14938665158</v>
      </c>
      <c r="F7" s="102">
        <f>TrRoad_act!F$6</f>
        <v>714966.23674957885</v>
      </c>
      <c r="G7" s="102">
        <f>TrRoad_act!G$6</f>
        <v>704615.55371355603</v>
      </c>
      <c r="H7" s="102">
        <f>TrRoad_act!H$6</f>
        <v>700914.18436866568</v>
      </c>
      <c r="I7" s="102">
        <f>TrRoad_act!I$6</f>
        <v>705349.74950007361</v>
      </c>
      <c r="J7" s="102">
        <f>TrRoad_act!J$6</f>
        <v>689666.31518929906</v>
      </c>
      <c r="K7" s="102">
        <f>TrRoad_act!K$6</f>
        <v>690130.45232984971</v>
      </c>
      <c r="L7" s="102">
        <f>TrRoad_act!L$6</f>
        <v>695871.29702480964</v>
      </c>
      <c r="M7" s="102">
        <f>TrRoad_act!M$6</f>
        <v>695894.68592518207</v>
      </c>
      <c r="N7" s="102">
        <f>TrRoad_act!N$6</f>
        <v>755371.15520423686</v>
      </c>
      <c r="O7" s="102">
        <f>TrRoad_act!O$6</f>
        <v>757882.42799999984</v>
      </c>
      <c r="P7" s="102">
        <f>TrRoad_act!P$6</f>
        <v>767265.67500000016</v>
      </c>
      <c r="Q7" s="102">
        <f>TrRoad_act!Q$6</f>
        <v>777852.76199999999</v>
      </c>
      <c r="R7" s="102">
        <f>TrRoad_act!R$6</f>
        <v>790044.97799999989</v>
      </c>
      <c r="S7" s="102">
        <f>TrRoad_act!S$6</f>
        <v>794499.299</v>
      </c>
      <c r="T7" s="102">
        <f>TrRoad_act!T$6</f>
        <v>792315.84299999988</v>
      </c>
      <c r="U7" s="102">
        <f>TrRoad_act!U$6</f>
        <v>799301.65399999998</v>
      </c>
      <c r="V7" s="102">
        <f>TrRoad_act!V$6</f>
        <v>649724.69200000004</v>
      </c>
      <c r="W7" s="102">
        <f>TrRoad_act!W$6</f>
        <v>710908.64599999995</v>
      </c>
      <c r="X7" s="102">
        <f>TrRoad_act!X$6</f>
        <v>773138.65700000024</v>
      </c>
      <c r="Y7" s="102">
        <f>TrRoad_act!Y$6</f>
        <v>760829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49594.495628487588</v>
      </c>
      <c r="C8" s="102">
        <f>TrRoad_act!C$13</f>
        <v>48111.338379685381</v>
      </c>
      <c r="D8" s="102">
        <f>TrRoad_act!D$13</f>
        <v>48648.280997363276</v>
      </c>
      <c r="E8" s="102">
        <f>TrRoad_act!E$13</f>
        <v>49133.556404460418</v>
      </c>
      <c r="F8" s="102">
        <f>TrRoad_act!F$13</f>
        <v>49993.721550019931</v>
      </c>
      <c r="G8" s="102">
        <f>TrRoad_act!G$13</f>
        <v>50104.708929007029</v>
      </c>
      <c r="H8" s="102">
        <f>TrRoad_act!H$13</f>
        <v>52436.79567495019</v>
      </c>
      <c r="I8" s="102">
        <f>TrRoad_act!I$13</f>
        <v>53044.433886484854</v>
      </c>
      <c r="J8" s="102">
        <f>TrRoad_act!J$13</f>
        <v>53525.198463968249</v>
      </c>
      <c r="K8" s="102">
        <f>TrRoad_act!K$13</f>
        <v>53163.203980574865</v>
      </c>
      <c r="L8" s="102">
        <f>TrRoad_act!L$13</f>
        <v>54040.974622693473</v>
      </c>
      <c r="M8" s="102">
        <f>TrRoad_act!M$13</f>
        <v>54582.638113687732</v>
      </c>
      <c r="N8" s="102">
        <f>TrRoad_act!N$13</f>
        <v>55392.315106921269</v>
      </c>
      <c r="O8" s="102">
        <f>TrRoad_act!O$13</f>
        <v>55760.384376386799</v>
      </c>
      <c r="P8" s="102">
        <f>TrRoad_act!P$13</f>
        <v>56820.166257603647</v>
      </c>
      <c r="Q8" s="102">
        <f>TrRoad_act!Q$13</f>
        <v>57625.625801629154</v>
      </c>
      <c r="R8" s="102">
        <f>TrRoad_act!R$13</f>
        <v>58582.655058852222</v>
      </c>
      <c r="S8" s="102">
        <f>TrRoad_act!S$13</f>
        <v>58195.395842164784</v>
      </c>
      <c r="T8" s="102">
        <f>TrRoad_act!T$13</f>
        <v>58221.59713849135</v>
      </c>
      <c r="U8" s="102">
        <f>TrRoad_act!U$13</f>
        <v>59739.596066877493</v>
      </c>
      <c r="V8" s="102">
        <f>TrRoad_act!V$13</f>
        <v>37197.776957743801</v>
      </c>
      <c r="W8" s="102">
        <f>TrRoad_act!W$13</f>
        <v>40960.118937197869</v>
      </c>
      <c r="X8" s="102">
        <f>TrRoad_act!X$13</f>
        <v>47155.013993564789</v>
      </c>
      <c r="Y8" s="102">
        <f>TrRoad_act!Y$13</f>
        <v>52874.225460385896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82586.552367490192</v>
      </c>
      <c r="C9" s="110">
        <f t="shared" si="6"/>
        <v>84529.237738894386</v>
      </c>
      <c r="D9" s="110">
        <f t="shared" si="6"/>
        <v>86540.789264264342</v>
      </c>
      <c r="E9" s="110">
        <f t="shared" si="6"/>
        <v>84766.32898632178</v>
      </c>
      <c r="F9" s="110">
        <f t="shared" si="6"/>
        <v>89311.632693297783</v>
      </c>
      <c r="G9" s="110">
        <f t="shared" si="6"/>
        <v>91713.008074748417</v>
      </c>
      <c r="H9" s="110">
        <f t="shared" si="6"/>
        <v>95502.877924160333</v>
      </c>
      <c r="I9" s="110">
        <f t="shared" si="6"/>
        <v>97648.179587810591</v>
      </c>
      <c r="J9" s="110">
        <f t="shared" si="6"/>
        <v>103653.94241273106</v>
      </c>
      <c r="K9" s="110">
        <f t="shared" si="6"/>
        <v>101821.38761838467</v>
      </c>
      <c r="L9" s="110">
        <f t="shared" si="6"/>
        <v>102166.83545137725</v>
      </c>
      <c r="M9" s="110">
        <f t="shared" si="6"/>
        <v>105595.59315414328</v>
      </c>
      <c r="N9" s="110">
        <f t="shared" si="6"/>
        <v>106311.37251954872</v>
      </c>
      <c r="O9" s="110">
        <f t="shared" si="6"/>
        <v>105829.78112363731</v>
      </c>
      <c r="P9" s="110">
        <f t="shared" si="6"/>
        <v>105333.29871039712</v>
      </c>
      <c r="Q9" s="110">
        <f t="shared" si="6"/>
        <v>105702.98466171586</v>
      </c>
      <c r="R9" s="110">
        <f t="shared" ref="R9:V9" si="7">R10+R11+R12</f>
        <v>105120.27766897556</v>
      </c>
      <c r="S9" s="110">
        <f t="shared" si="7"/>
        <v>111506.761184713</v>
      </c>
      <c r="T9" s="110">
        <f t="shared" si="7"/>
        <v>106260.36843526563</v>
      </c>
      <c r="U9" s="110">
        <f t="shared" si="7"/>
        <v>110354.16255895862</v>
      </c>
      <c r="V9" s="110">
        <f t="shared" si="7"/>
        <v>62827.347300934736</v>
      </c>
      <c r="W9" s="110">
        <f t="shared" ref="W9:Y9" si="8">W10+W11+W12</f>
        <v>82051.536377723838</v>
      </c>
      <c r="X9" s="110">
        <f t="shared" si="8"/>
        <v>111559.70934923508</v>
      </c>
      <c r="Y9" s="110">
        <f t="shared" si="8"/>
        <v>117312.87715967574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7724.0431490065121</v>
      </c>
      <c r="C10" s="102">
        <f>TrRail_act!C$5</f>
        <v>7769.5880121263035</v>
      </c>
      <c r="D10" s="102">
        <f>TrRail_act!D$5</f>
        <v>7977.2892893022072</v>
      </c>
      <c r="E10" s="102">
        <f>TrRail_act!E$5</f>
        <v>8155.4573582894873</v>
      </c>
      <c r="F10" s="102">
        <f>TrRail_act!F$5</f>
        <v>9093.9084975150909</v>
      </c>
      <c r="G10" s="102">
        <f>TrRail_act!G$5</f>
        <v>9375.8304582177316</v>
      </c>
      <c r="H10" s="102">
        <f>TrRail_act!H$5</f>
        <v>9717.3314868784601</v>
      </c>
      <c r="I10" s="102">
        <f>TrRail_act!I$5</f>
        <v>9797.5213131986329</v>
      </c>
      <c r="J10" s="102">
        <f>TrRail_act!J$5</f>
        <v>10452.132712643686</v>
      </c>
      <c r="K10" s="102">
        <f>TrRail_act!K$5</f>
        <v>9568.4556247749915</v>
      </c>
      <c r="L10" s="102">
        <f>TrRail_act!L$5</f>
        <v>9806.3450079108698</v>
      </c>
      <c r="M10" s="102">
        <f>TrRail_act!M$5</f>
        <v>9930.2983452846838</v>
      </c>
      <c r="N10" s="102">
        <f>TrRail_act!N$5</f>
        <v>10465.358973566958</v>
      </c>
      <c r="O10" s="102">
        <f>TrRail_act!O$5</f>
        <v>10704.861136223224</v>
      </c>
      <c r="P10" s="102">
        <f>TrRail_act!P$5</f>
        <v>10948.744205250521</v>
      </c>
      <c r="Q10" s="102">
        <f>TrRail_act!Q$5</f>
        <v>11042.604368561835</v>
      </c>
      <c r="R10" s="102">
        <f>TrRail_act!R$5</f>
        <v>11133.583305155149</v>
      </c>
      <c r="S10" s="102">
        <f>TrRail_act!S$5</f>
        <v>11306.01665471299</v>
      </c>
      <c r="T10" s="102">
        <f>TrRail_act!T$5</f>
        <v>11661.627571265637</v>
      </c>
      <c r="U10" s="102">
        <f>TrRail_act!U$5</f>
        <v>11404.560736958605</v>
      </c>
      <c r="V10" s="102">
        <f>TrRail_act!V$5</f>
        <v>6153.0741569347338</v>
      </c>
      <c r="W10" s="102">
        <f>TrRail_act!W$5</f>
        <v>7910.7060877238437</v>
      </c>
      <c r="X10" s="102">
        <f>TrRail_act!X$5</f>
        <v>10071.721038235079</v>
      </c>
      <c r="Y10" s="102">
        <f>TrRail_act!Y$5</f>
        <v>10360.26432667575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39671.489577238863</v>
      </c>
      <c r="C11" s="102">
        <f>TrRail_act!C$6</f>
        <v>38767.186905081202</v>
      </c>
      <c r="D11" s="102">
        <f>TrRail_act!D$6</f>
        <v>38159.474736033815</v>
      </c>
      <c r="E11" s="102">
        <f>TrRail_act!E$6</f>
        <v>36520.188058439089</v>
      </c>
      <c r="F11" s="102">
        <f>TrRail_act!F$6</f>
        <v>38088.165686821158</v>
      </c>
      <c r="G11" s="102">
        <f>TrRail_act!G$6</f>
        <v>38913.69257217626</v>
      </c>
      <c r="H11" s="102">
        <f>TrRail_act!H$6</f>
        <v>40013.028844043845</v>
      </c>
      <c r="I11" s="102">
        <f>TrRail_act!I$6</f>
        <v>38865.216373422532</v>
      </c>
      <c r="J11" s="102">
        <f>TrRail_act!J$6</f>
        <v>39864.709369642937</v>
      </c>
      <c r="K11" s="102">
        <f>TrRail_act!K$6</f>
        <v>39284.234020510368</v>
      </c>
      <c r="L11" s="102">
        <f>TrRail_act!L$6</f>
        <v>38453.736454856233</v>
      </c>
      <c r="M11" s="102">
        <f>TrRail_act!M$6</f>
        <v>40476.569784752937</v>
      </c>
      <c r="N11" s="102">
        <f>TrRail_act!N$6</f>
        <v>40659.984641617528</v>
      </c>
      <c r="O11" s="102">
        <f>TrRail_act!O$6</f>
        <v>40211.758422112696</v>
      </c>
      <c r="P11" s="102">
        <f>TrRail_act!P$6</f>
        <v>39517.716598937201</v>
      </c>
      <c r="Q11" s="102">
        <f>TrRail_act!Q$6</f>
        <v>39457.990157780019</v>
      </c>
      <c r="R11" s="102">
        <f>TrRail_act!R$6</f>
        <v>39223.418769510004</v>
      </c>
      <c r="S11" s="102">
        <f>TrRail_act!S$6</f>
        <v>40554.30954200001</v>
      </c>
      <c r="T11" s="102">
        <f>TrRail_act!T$6</f>
        <v>38535.514314999993</v>
      </c>
      <c r="U11" s="102">
        <f>TrRail_act!U$6</f>
        <v>40023.971710000013</v>
      </c>
      <c r="V11" s="102">
        <f>TrRail_act!V$6</f>
        <v>23610.820739999996</v>
      </c>
      <c r="W11" s="102">
        <f>TrRail_act!W$6</f>
        <v>30619.322423999998</v>
      </c>
      <c r="X11" s="102">
        <f>TrRail_act!X$6</f>
        <v>40111.862157999996</v>
      </c>
      <c r="Y11" s="102">
        <f>TrRail_act!Y$6</f>
        <v>42381.445115999995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35191.01964124482</v>
      </c>
      <c r="C12" s="102">
        <f>TrRail_act!C$9</f>
        <v>37992.46282168688</v>
      </c>
      <c r="D12" s="102">
        <f>TrRail_act!D$9</f>
        <v>40404.02523892832</v>
      </c>
      <c r="E12" s="102">
        <f>TrRail_act!E$9</f>
        <v>40090.68356959321</v>
      </c>
      <c r="F12" s="102">
        <f>TrRail_act!F$9</f>
        <v>42129.558508961534</v>
      </c>
      <c r="G12" s="102">
        <f>TrRail_act!G$9</f>
        <v>43423.48504435442</v>
      </c>
      <c r="H12" s="102">
        <f>TrRail_act!H$9</f>
        <v>45772.517593238023</v>
      </c>
      <c r="I12" s="102">
        <f>TrRail_act!I$9</f>
        <v>48985.441901189421</v>
      </c>
      <c r="J12" s="102">
        <f>TrRail_act!J$9</f>
        <v>53337.100330444446</v>
      </c>
      <c r="K12" s="102">
        <f>TrRail_act!K$9</f>
        <v>52968.697973099319</v>
      </c>
      <c r="L12" s="102">
        <f>TrRail_act!L$9</f>
        <v>53906.753988610144</v>
      </c>
      <c r="M12" s="102">
        <f>TrRail_act!M$9</f>
        <v>55188.725024105661</v>
      </c>
      <c r="N12" s="102">
        <f>TrRail_act!N$9</f>
        <v>55186.028904364226</v>
      </c>
      <c r="O12" s="102">
        <f>TrRail_act!O$9</f>
        <v>54913.16156530138</v>
      </c>
      <c r="P12" s="102">
        <f>TrRail_act!P$9</f>
        <v>54866.837906209403</v>
      </c>
      <c r="Q12" s="102">
        <f>TrRail_act!Q$9</f>
        <v>55202.390135374</v>
      </c>
      <c r="R12" s="102">
        <f>TrRail_act!R$9</f>
        <v>54763.275594310391</v>
      </c>
      <c r="S12" s="102">
        <f>TrRail_act!S$9</f>
        <v>59646.434988000001</v>
      </c>
      <c r="T12" s="102">
        <f>TrRail_act!T$9</f>
        <v>56063.226548999999</v>
      </c>
      <c r="U12" s="102">
        <f>TrRail_act!U$9</f>
        <v>58925.630111999999</v>
      </c>
      <c r="V12" s="102">
        <f>TrRail_act!V$9</f>
        <v>33063.452404000003</v>
      </c>
      <c r="W12" s="102">
        <f>TrRail_act!W$9</f>
        <v>43521.507866</v>
      </c>
      <c r="X12" s="102">
        <f>TrRail_act!X$9</f>
        <v>61376.126152999997</v>
      </c>
      <c r="Y12" s="102">
        <f>TrRail_act!Y$9</f>
        <v>64571.167716999997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118093.54727985642</v>
      </c>
      <c r="C13" s="110">
        <f t="shared" ref="C13:V13" si="10">C14+C15+C16</f>
        <v>119610.5987669676</v>
      </c>
      <c r="D13" s="110">
        <f t="shared" si="10"/>
        <v>122704.074298155</v>
      </c>
      <c r="E13" s="110">
        <f t="shared" si="10"/>
        <v>121246.79151806806</v>
      </c>
      <c r="F13" s="110">
        <f t="shared" si="10"/>
        <v>131586.45392747314</v>
      </c>
      <c r="G13" s="110">
        <f t="shared" si="10"/>
        <v>140205.26866570278</v>
      </c>
      <c r="H13" s="110">
        <f t="shared" si="10"/>
        <v>143900.62179239548</v>
      </c>
      <c r="I13" s="110">
        <f t="shared" si="10"/>
        <v>150664.26896068372</v>
      </c>
      <c r="J13" s="110">
        <f t="shared" si="10"/>
        <v>151831.35421396542</v>
      </c>
      <c r="K13" s="110">
        <f t="shared" si="10"/>
        <v>147527.17730590946</v>
      </c>
      <c r="L13" s="110">
        <f t="shared" si="10"/>
        <v>150240.62162451405</v>
      </c>
      <c r="M13" s="110">
        <f t="shared" si="10"/>
        <v>162969.28468304442</v>
      </c>
      <c r="N13" s="110">
        <f t="shared" si="10"/>
        <v>162056.88440478483</v>
      </c>
      <c r="O13" s="110">
        <f t="shared" si="10"/>
        <v>167251.34777984489</v>
      </c>
      <c r="P13" s="110">
        <f t="shared" si="10"/>
        <v>175441.59390125197</v>
      </c>
      <c r="Q13" s="110">
        <f t="shared" si="10"/>
        <v>177829.92769300871</v>
      </c>
      <c r="R13" s="110">
        <f t="shared" si="10"/>
        <v>179662.95331264351</v>
      </c>
      <c r="S13" s="110">
        <f t="shared" si="10"/>
        <v>189560.45306311914</v>
      </c>
      <c r="T13" s="110">
        <f t="shared" si="10"/>
        <v>203566.97438445711</v>
      </c>
      <c r="U13" s="110">
        <f t="shared" si="10"/>
        <v>213910.99442396068</v>
      </c>
      <c r="V13" s="110">
        <f t="shared" si="10"/>
        <v>67199.104244305418</v>
      </c>
      <c r="W13" s="110">
        <f t="shared" ref="W13:Y13" si="11">W14+W15+W16</f>
        <v>80678.954621721408</v>
      </c>
      <c r="X13" s="110">
        <f t="shared" si="11"/>
        <v>169539.73781718832</v>
      </c>
      <c r="Y13" s="110">
        <f t="shared" si="11"/>
        <v>206413.91334399287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20787.74207320877</v>
      </c>
      <c r="C14" s="102">
        <f>TrAvia_act!C$5</f>
        <v>21513.94526882541</v>
      </c>
      <c r="D14" s="102">
        <f>TrAvia_act!D$5</f>
        <v>22615.484213964002</v>
      </c>
      <c r="E14" s="102">
        <f>TrAvia_act!E$5</f>
        <v>21657.32458217999</v>
      </c>
      <c r="F14" s="102">
        <f>TrAvia_act!F$5</f>
        <v>21398.064324103038</v>
      </c>
      <c r="G14" s="102">
        <f>TrAvia_act!G$5</f>
        <v>21387.762558745126</v>
      </c>
      <c r="H14" s="102">
        <f>TrAvia_act!H$5</f>
        <v>21733.998101190686</v>
      </c>
      <c r="I14" s="102">
        <f>TrAvia_act!I$5</f>
        <v>22516.875963797589</v>
      </c>
      <c r="J14" s="102">
        <f>TrAvia_act!J$5</f>
        <v>22171.45771792133</v>
      </c>
      <c r="K14" s="102">
        <f>TrAvia_act!K$5</f>
        <v>22782.440731202754</v>
      </c>
      <c r="L14" s="102">
        <f>TrAvia_act!L$5</f>
        <v>23498.15113405259</v>
      </c>
      <c r="M14" s="102">
        <f>TrAvia_act!M$5</f>
        <v>25170.664728076048</v>
      </c>
      <c r="N14" s="102">
        <f>TrAvia_act!N$5</f>
        <v>24971.179573544185</v>
      </c>
      <c r="O14" s="102">
        <f>TrAvia_act!O$5</f>
        <v>25807.125891834774</v>
      </c>
      <c r="P14" s="102">
        <f>TrAvia_act!P$5</f>
        <v>25928.865397446214</v>
      </c>
      <c r="Q14" s="102">
        <f>TrAvia_act!Q$5</f>
        <v>26249.115138845969</v>
      </c>
      <c r="R14" s="102">
        <f>TrAvia_act!R$5</f>
        <v>27300.511456454467</v>
      </c>
      <c r="S14" s="102">
        <f>TrAvia_act!S$5</f>
        <v>29168.98262054897</v>
      </c>
      <c r="T14" s="102">
        <f>TrAvia_act!T$5</f>
        <v>31211.334694070109</v>
      </c>
      <c r="U14" s="102">
        <f>TrAvia_act!U$5</f>
        <v>32166.957837528429</v>
      </c>
      <c r="V14" s="102">
        <f>TrAvia_act!V$5</f>
        <v>16745.276634884198</v>
      </c>
      <c r="W14" s="102">
        <f>TrAvia_act!W$5</f>
        <v>22181.40709183006</v>
      </c>
      <c r="X14" s="102">
        <f>TrAvia_act!X$5</f>
        <v>31344.363167967083</v>
      </c>
      <c r="Y14" s="102">
        <f>TrAvia_act!Y$5</f>
        <v>30685.995059212102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22953.259274812557</v>
      </c>
      <c r="C15" s="102">
        <f>TrAvia_act!C$6</f>
        <v>23237.153634095859</v>
      </c>
      <c r="D15" s="102">
        <f>TrAvia_act!D$6</f>
        <v>23609.870505806968</v>
      </c>
      <c r="E15" s="102">
        <f>TrAvia_act!E$6</f>
        <v>23867.988458774889</v>
      </c>
      <c r="F15" s="102">
        <f>TrAvia_act!F$6</f>
        <v>25051.455333455728</v>
      </c>
      <c r="G15" s="102">
        <f>TrAvia_act!G$6</f>
        <v>26377.644922862637</v>
      </c>
      <c r="H15" s="102">
        <f>TrAvia_act!H$6</f>
        <v>27349.449939971841</v>
      </c>
      <c r="I15" s="102">
        <f>TrAvia_act!I$6</f>
        <v>28554.979189636801</v>
      </c>
      <c r="J15" s="102">
        <f>TrAvia_act!J$6</f>
        <v>28398.755244341541</v>
      </c>
      <c r="K15" s="102">
        <f>TrAvia_act!K$6</f>
        <v>26899.634561361734</v>
      </c>
      <c r="L15" s="102">
        <f>TrAvia_act!L$6</f>
        <v>27052.802149615713</v>
      </c>
      <c r="M15" s="102">
        <f>TrAvia_act!M$6</f>
        <v>29809.810119938466</v>
      </c>
      <c r="N15" s="102">
        <f>TrAvia_act!N$6</f>
        <v>30800.342336291902</v>
      </c>
      <c r="O15" s="102">
        <f>TrAvia_act!O$6</f>
        <v>31262.376880202526</v>
      </c>
      <c r="P15" s="102">
        <f>TrAvia_act!P$6</f>
        <v>33235.926051459886</v>
      </c>
      <c r="Q15" s="102">
        <f>TrAvia_act!Q$6</f>
        <v>34922.539932306499</v>
      </c>
      <c r="R15" s="102">
        <f>TrAvia_act!R$6</f>
        <v>37165.398614353544</v>
      </c>
      <c r="S15" s="102">
        <f>TrAvia_act!S$6</f>
        <v>39494.406787434375</v>
      </c>
      <c r="T15" s="102">
        <f>TrAvia_act!T$6</f>
        <v>41625.104307962567</v>
      </c>
      <c r="U15" s="102">
        <f>TrAvia_act!U$6</f>
        <v>43308.648625805698</v>
      </c>
      <c r="V15" s="102">
        <f>TrAvia_act!V$6</f>
        <v>12340.269851748099</v>
      </c>
      <c r="W15" s="102">
        <f>TrAvia_act!W$6</f>
        <v>17642.482240653295</v>
      </c>
      <c r="X15" s="102">
        <f>TrAvia_act!X$6</f>
        <v>37989.810451164733</v>
      </c>
      <c r="Y15" s="102">
        <f>TrAvia_act!Y$6</f>
        <v>44189.881740858029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74352.545931835091</v>
      </c>
      <c r="C16" s="102">
        <f>TrAvia_act!C$7</f>
        <v>74859.499864046331</v>
      </c>
      <c r="D16" s="102">
        <f>TrAvia_act!D$7</f>
        <v>76478.719578384029</v>
      </c>
      <c r="E16" s="102">
        <f>TrAvia_act!E$7</f>
        <v>75721.478477113182</v>
      </c>
      <c r="F16" s="102">
        <f>TrAvia_act!F$7</f>
        <v>85136.934269914374</v>
      </c>
      <c r="G16" s="102">
        <f>TrAvia_act!G$7</f>
        <v>92439.861184095033</v>
      </c>
      <c r="H16" s="102">
        <f>TrAvia_act!H$7</f>
        <v>94817.173751232942</v>
      </c>
      <c r="I16" s="102">
        <f>TrAvia_act!I$7</f>
        <v>99592.413807249322</v>
      </c>
      <c r="J16" s="102">
        <f>TrAvia_act!J$7</f>
        <v>101261.14125170256</v>
      </c>
      <c r="K16" s="102">
        <f>TrAvia_act!K$7</f>
        <v>97845.102013344978</v>
      </c>
      <c r="L16" s="102">
        <f>TrAvia_act!L$7</f>
        <v>99689.668340845761</v>
      </c>
      <c r="M16" s="102">
        <f>TrAvia_act!M$7</f>
        <v>107988.8098350299</v>
      </c>
      <c r="N16" s="102">
        <f>TrAvia_act!N$7</f>
        <v>106285.36249494873</v>
      </c>
      <c r="O16" s="102">
        <f>TrAvia_act!O$7</f>
        <v>110181.84500780757</v>
      </c>
      <c r="P16" s="102">
        <f>TrAvia_act!P$7</f>
        <v>116276.80245234587</v>
      </c>
      <c r="Q16" s="102">
        <f>TrAvia_act!Q$7</f>
        <v>116658.27262185625</v>
      </c>
      <c r="R16" s="102">
        <f>TrAvia_act!R$7</f>
        <v>115197.04324183549</v>
      </c>
      <c r="S16" s="102">
        <f>TrAvia_act!S$7</f>
        <v>120897.0636551358</v>
      </c>
      <c r="T16" s="102">
        <f>TrAvia_act!T$7</f>
        <v>130730.53538242444</v>
      </c>
      <c r="U16" s="102">
        <f>TrAvia_act!U$7</f>
        <v>138435.38796062654</v>
      </c>
      <c r="V16" s="102">
        <f>TrAvia_act!V$7</f>
        <v>38113.557757673123</v>
      </c>
      <c r="W16" s="102">
        <f>TrAvia_act!W$7</f>
        <v>40855.065289238046</v>
      </c>
      <c r="X16" s="102">
        <f>TrAvia_act!X$7</f>
        <v>100205.5641980565</v>
      </c>
      <c r="Y16" s="102">
        <f>TrAvia_act!Y$7</f>
        <v>131538.03654392273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354617.25354651437</v>
      </c>
      <c r="C17" s="28">
        <f t="shared" si="12"/>
        <v>354754.69668937725</v>
      </c>
      <c r="D17" s="28">
        <f t="shared" si="12"/>
        <v>361570.59810948186</v>
      </c>
      <c r="E17" s="28">
        <f t="shared" si="12"/>
        <v>358176.13786181004</v>
      </c>
      <c r="F17" s="28">
        <f t="shared" si="12"/>
        <v>380743.46676239057</v>
      </c>
      <c r="G17" s="28">
        <f t="shared" si="12"/>
        <v>378941.07579756621</v>
      </c>
      <c r="H17" s="28">
        <f t="shared" si="12"/>
        <v>397047.06920404412</v>
      </c>
      <c r="I17" s="28">
        <f t="shared" si="12"/>
        <v>401568.74637499556</v>
      </c>
      <c r="J17" s="28">
        <f t="shared" si="12"/>
        <v>390362.30909996899</v>
      </c>
      <c r="K17" s="28">
        <f t="shared" si="12"/>
        <v>337506.15758812707</v>
      </c>
      <c r="L17" s="28">
        <f t="shared" si="12"/>
        <v>350778.44736603077</v>
      </c>
      <c r="M17" s="28">
        <f t="shared" si="12"/>
        <v>355369.79185082013</v>
      </c>
      <c r="N17" s="28">
        <f t="shared" si="12"/>
        <v>337816.28708442044</v>
      </c>
      <c r="O17" s="28">
        <f t="shared" si="12"/>
        <v>335671.24773748912</v>
      </c>
      <c r="P17" s="28">
        <f t="shared" si="12"/>
        <v>338415.95677645318</v>
      </c>
      <c r="Q17" s="28">
        <f t="shared" si="12"/>
        <v>334545.15201674437</v>
      </c>
      <c r="R17" s="28">
        <f t="shared" ref="R17:V17" si="13">R18+R21+R22+R26</f>
        <v>336080.3530089102</v>
      </c>
      <c r="S17" s="28">
        <f t="shared" si="13"/>
        <v>356531.38156624383</v>
      </c>
      <c r="T17" s="28">
        <f t="shared" si="13"/>
        <v>360438.75557765772</v>
      </c>
      <c r="U17" s="28">
        <f t="shared" si="13"/>
        <v>369593.29916639917</v>
      </c>
      <c r="V17" s="28">
        <f t="shared" si="13"/>
        <v>353459.78558407939</v>
      </c>
      <c r="W17" s="28">
        <f t="shared" ref="W17:Y17" si="14">W18+W21+W22+W26</f>
        <v>375790.07651997975</v>
      </c>
      <c r="X17" s="28">
        <f t="shared" si="14"/>
        <v>369067.71707387955</v>
      </c>
      <c r="Y17" s="28">
        <f t="shared" si="14"/>
        <v>359008.85039084806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262745.47011011658</v>
      </c>
      <c r="C18" s="137">
        <f t="shared" si="15"/>
        <v>274665.69834067777</v>
      </c>
      <c r="D18" s="137">
        <f t="shared" si="15"/>
        <v>281300.79659975431</v>
      </c>
      <c r="E18" s="137">
        <f t="shared" si="15"/>
        <v>283994.5396570515</v>
      </c>
      <c r="F18" s="137">
        <f t="shared" si="15"/>
        <v>307945.20052719052</v>
      </c>
      <c r="G18" s="137">
        <f t="shared" si="15"/>
        <v>310120.79245343449</v>
      </c>
      <c r="H18" s="137">
        <f t="shared" si="15"/>
        <v>319694.29155836592</v>
      </c>
      <c r="I18" s="137">
        <f t="shared" si="15"/>
        <v>331204.52227926103</v>
      </c>
      <c r="J18" s="137">
        <f t="shared" si="15"/>
        <v>316920.68224771507</v>
      </c>
      <c r="K18" s="137">
        <f t="shared" si="15"/>
        <v>277558.00958654418</v>
      </c>
      <c r="L18" s="137">
        <f t="shared" si="15"/>
        <v>291358.22056636319</v>
      </c>
      <c r="M18" s="137">
        <f t="shared" si="15"/>
        <v>290265.59015553724</v>
      </c>
      <c r="N18" s="137">
        <f t="shared" si="15"/>
        <v>276130.66035260959</v>
      </c>
      <c r="O18" s="137">
        <f t="shared" si="15"/>
        <v>281122.50471558148</v>
      </c>
      <c r="P18" s="137">
        <f t="shared" si="15"/>
        <v>277351.081358828</v>
      </c>
      <c r="Q18" s="137">
        <f t="shared" si="15"/>
        <v>269342.36381851032</v>
      </c>
      <c r="R18" s="137">
        <f t="shared" ref="R18:V18" si="16">R19+R20</f>
        <v>276698.02915908751</v>
      </c>
      <c r="S18" s="137">
        <f t="shared" si="16"/>
        <v>296445.09039194771</v>
      </c>
      <c r="T18" s="137">
        <f t="shared" si="16"/>
        <v>300267.23863920133</v>
      </c>
      <c r="U18" s="137">
        <f t="shared" si="16"/>
        <v>308152.44654217723</v>
      </c>
      <c r="V18" s="137">
        <f t="shared" si="16"/>
        <v>296736.36885389639</v>
      </c>
      <c r="W18" s="137">
        <f t="shared" ref="W18:Y18" si="17">W19+W20</f>
        <v>313746.11428730609</v>
      </c>
      <c r="X18" s="137">
        <f t="shared" si="17"/>
        <v>310184.14981028117</v>
      </c>
      <c r="Y18" s="137">
        <f t="shared" si="17"/>
        <v>303047.0423080023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14986.077193000407</v>
      </c>
      <c r="C19" s="102">
        <f>TrRoad_act!C$20</f>
        <v>15474.550577215912</v>
      </c>
      <c r="D19" s="102">
        <f>TrRoad_act!D$20</f>
        <v>15598.066362920501</v>
      </c>
      <c r="E19" s="102">
        <f>TrRoad_act!E$20</f>
        <v>15593.201515620553</v>
      </c>
      <c r="F19" s="102">
        <f>TrRoad_act!F$20</f>
        <v>15588.384355289058</v>
      </c>
      <c r="G19" s="102">
        <f>TrRoad_act!G$20</f>
        <v>15582.981733547609</v>
      </c>
      <c r="H19" s="102">
        <f>TrRoad_act!H$20</f>
        <v>15763.724692465057</v>
      </c>
      <c r="I19" s="102">
        <f>TrRoad_act!I$20</f>
        <v>15877.306519141097</v>
      </c>
      <c r="J19" s="102">
        <f>TrRoad_act!J$20</f>
        <v>15494.002513473773</v>
      </c>
      <c r="K19" s="102">
        <f>TrRoad_act!K$20</f>
        <v>15809.425696796532</v>
      </c>
      <c r="L19" s="102">
        <f>TrRoad_act!L$20</f>
        <v>16228.217862938591</v>
      </c>
      <c r="M19" s="102">
        <f>TrRoad_act!M$20</f>
        <v>16888.550051301729</v>
      </c>
      <c r="N19" s="102">
        <f>TrRoad_act!N$20</f>
        <v>17073.407918950135</v>
      </c>
      <c r="O19" s="102">
        <f>TrRoad_act!O$20</f>
        <v>17384.288032670622</v>
      </c>
      <c r="P19" s="102">
        <f>TrRoad_act!P$20</f>
        <v>17490.128528581194</v>
      </c>
      <c r="Q19" s="102">
        <f>TrRoad_act!Q$20</f>
        <v>18160.404262973669</v>
      </c>
      <c r="R19" s="102">
        <f>TrRoad_act!R$20</f>
        <v>18134.611693670915</v>
      </c>
      <c r="S19" s="102">
        <f>TrRoad_act!S$20</f>
        <v>18611.264296200898</v>
      </c>
      <c r="T19" s="102">
        <f>TrRoad_act!T$20</f>
        <v>18636.238639201329</v>
      </c>
      <c r="U19" s="102">
        <f>TrRoad_act!U$20</f>
        <v>18823.44654217724</v>
      </c>
      <c r="V19" s="102">
        <f>TrRoad_act!V$20</f>
        <v>16637.368853896362</v>
      </c>
      <c r="W19" s="102">
        <f>TrRoad_act!W$20</f>
        <v>18853.114287306107</v>
      </c>
      <c r="X19" s="102">
        <f>TrRoad_act!X$20</f>
        <v>19034.149810281167</v>
      </c>
      <c r="Y19" s="102">
        <f>TrRoad_act!Y$20</f>
        <v>19380.04230800231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247759.39291711617</v>
      </c>
      <c r="C20" s="102">
        <f>TrRoad_act!C$26</f>
        <v>259191.14776346183</v>
      </c>
      <c r="D20" s="102">
        <f>TrRoad_act!D$26</f>
        <v>265702.7302368338</v>
      </c>
      <c r="E20" s="102">
        <f>TrRoad_act!E$26</f>
        <v>268401.33814143093</v>
      </c>
      <c r="F20" s="102">
        <f>TrRoad_act!F$26</f>
        <v>292356.81617190148</v>
      </c>
      <c r="G20" s="102">
        <f>TrRoad_act!G$26</f>
        <v>294537.81071988691</v>
      </c>
      <c r="H20" s="102">
        <f>TrRoad_act!H$26</f>
        <v>303930.56686590088</v>
      </c>
      <c r="I20" s="102">
        <f>TrRoad_act!I$26</f>
        <v>315327.21576011996</v>
      </c>
      <c r="J20" s="102">
        <f>TrRoad_act!J$26</f>
        <v>301426.67973424128</v>
      </c>
      <c r="K20" s="102">
        <f>TrRoad_act!K$26</f>
        <v>261748.58388974765</v>
      </c>
      <c r="L20" s="102">
        <f>TrRoad_act!L$26</f>
        <v>275130.0027034246</v>
      </c>
      <c r="M20" s="102">
        <f>TrRoad_act!M$26</f>
        <v>273377.04010423552</v>
      </c>
      <c r="N20" s="102">
        <f>TrRoad_act!N$26</f>
        <v>259057.25243365948</v>
      </c>
      <c r="O20" s="102">
        <f>TrRoad_act!O$26</f>
        <v>263738.21668291086</v>
      </c>
      <c r="P20" s="102">
        <f>TrRoad_act!P$26</f>
        <v>259860.9528302468</v>
      </c>
      <c r="Q20" s="102">
        <f>TrRoad_act!Q$26</f>
        <v>251181.95955553662</v>
      </c>
      <c r="R20" s="102">
        <f>TrRoad_act!R$26</f>
        <v>258563.4174654166</v>
      </c>
      <c r="S20" s="102">
        <f>TrRoad_act!S$26</f>
        <v>277833.82609574683</v>
      </c>
      <c r="T20" s="102">
        <f>TrRoad_act!T$26</f>
        <v>281631</v>
      </c>
      <c r="U20" s="102">
        <f>TrRoad_act!U$26</f>
        <v>289329</v>
      </c>
      <c r="V20" s="102">
        <f>TrRoad_act!V$26</f>
        <v>280099</v>
      </c>
      <c r="W20" s="102">
        <f>TrRoad_act!W$26</f>
        <v>294893</v>
      </c>
      <c r="X20" s="102">
        <f>TrRoad_act!X$26</f>
        <v>291150</v>
      </c>
      <c r="Y20" s="102">
        <f>TrRoad_act!Y$26</f>
        <v>283667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57725.75464222399</v>
      </c>
      <c r="C21" s="110">
        <f>TrRail_act!C$10</f>
        <v>51718.302252257003</v>
      </c>
      <c r="D21" s="110">
        <f>TrRail_act!D$10</f>
        <v>51288.192553031004</v>
      </c>
      <c r="E21" s="110">
        <f>TrRail_act!E$10</f>
        <v>48057.268754624005</v>
      </c>
      <c r="F21" s="110">
        <f>TrRail_act!F$10</f>
        <v>45121</v>
      </c>
      <c r="G21" s="110">
        <f>TrRail_act!G$10</f>
        <v>40701</v>
      </c>
      <c r="H21" s="110">
        <f>TrRail_act!H$10</f>
        <v>41179</v>
      </c>
      <c r="I21" s="110">
        <f>TrRail_act!I$10</f>
        <v>42612</v>
      </c>
      <c r="J21" s="110">
        <f>TrRail_act!J$10</f>
        <v>40436</v>
      </c>
      <c r="K21" s="110">
        <f>TrRail_act!K$10</f>
        <v>32128.999999999996</v>
      </c>
      <c r="L21" s="110">
        <f>TrRail_act!L$10</f>
        <v>29965</v>
      </c>
      <c r="M21" s="110">
        <f>TrRail_act!M$10</f>
        <v>34202</v>
      </c>
      <c r="N21" s="110">
        <f>TrRail_act!N$10</f>
        <v>32539</v>
      </c>
      <c r="O21" s="110">
        <f>TrRail_act!O$10</f>
        <v>32229.999999999996</v>
      </c>
      <c r="P21" s="110">
        <f>TrRail_act!P$10</f>
        <v>32595.999999999996</v>
      </c>
      <c r="Q21" s="110">
        <f>TrRail_act!Q$10</f>
        <v>36328</v>
      </c>
      <c r="R21" s="110">
        <f>TrRail_act!R$10</f>
        <v>34714</v>
      </c>
      <c r="S21" s="110">
        <f>TrRail_act!S$10</f>
        <v>35481</v>
      </c>
      <c r="T21" s="110">
        <f>TrRail_act!T$10</f>
        <v>33850</v>
      </c>
      <c r="U21" s="110">
        <f>TrRail_act!U$10</f>
        <v>33909</v>
      </c>
      <c r="V21" s="110">
        <f>TrRail_act!V$10</f>
        <v>31297</v>
      </c>
      <c r="W21" s="110">
        <f>TrRail_act!W$10</f>
        <v>35770</v>
      </c>
      <c r="X21" s="110">
        <f>TrRail_act!X$10</f>
        <v>35282</v>
      </c>
      <c r="Y21" s="110">
        <f>TrRail_act!Y$10</f>
        <v>29399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5239.5297941737545</v>
      </c>
      <c r="C22" s="110">
        <f t="shared" ref="C22:V22" si="19">C23+C24+C25</f>
        <v>5363.4810964424378</v>
      </c>
      <c r="D22" s="110">
        <f t="shared" si="19"/>
        <v>5125.5749566965278</v>
      </c>
      <c r="E22" s="110">
        <f t="shared" si="19"/>
        <v>4908.6404501345478</v>
      </c>
      <c r="F22" s="110">
        <f t="shared" si="19"/>
        <v>5073.4782352000657</v>
      </c>
      <c r="G22" s="110">
        <f t="shared" si="19"/>
        <v>5083.3913441317436</v>
      </c>
      <c r="H22" s="110">
        <f t="shared" si="19"/>
        <v>5038.3176456781957</v>
      </c>
      <c r="I22" s="110">
        <f t="shared" si="19"/>
        <v>5288.9040957345187</v>
      </c>
      <c r="J22" s="110">
        <f t="shared" si="19"/>
        <v>5114.1778522538798</v>
      </c>
      <c r="K22" s="110">
        <f t="shared" si="19"/>
        <v>4388.286001582871</v>
      </c>
      <c r="L22" s="110">
        <f t="shared" si="19"/>
        <v>4613.4917996675786</v>
      </c>
      <c r="M22" s="110">
        <f t="shared" si="19"/>
        <v>5809.2496952828833</v>
      </c>
      <c r="N22" s="110">
        <f t="shared" si="19"/>
        <v>5638.7507318108483</v>
      </c>
      <c r="O22" s="110">
        <f t="shared" si="19"/>
        <v>5398.3040219076311</v>
      </c>
      <c r="P22" s="110">
        <f t="shared" si="19"/>
        <v>7790.5184176251778</v>
      </c>
      <c r="Q22" s="110">
        <f t="shared" si="19"/>
        <v>7637.5171982340553</v>
      </c>
      <c r="R22" s="110">
        <f t="shared" si="19"/>
        <v>7207.3458498226737</v>
      </c>
      <c r="S22" s="110">
        <f t="shared" si="19"/>
        <v>7185.669174296163</v>
      </c>
      <c r="T22" s="110">
        <f t="shared" si="19"/>
        <v>7274.6969384564072</v>
      </c>
      <c r="U22" s="110">
        <f t="shared" si="19"/>
        <v>7089.3536242219052</v>
      </c>
      <c r="V22" s="110">
        <f t="shared" si="19"/>
        <v>5338.3777301830023</v>
      </c>
      <c r="W22" s="110">
        <f t="shared" ref="W22:Y22" si="20">W23+W24+W25</f>
        <v>5668.8712326736313</v>
      </c>
      <c r="X22" s="110">
        <f t="shared" si="20"/>
        <v>5505.4692635984047</v>
      </c>
      <c r="Y22" s="110">
        <f t="shared" si="20"/>
        <v>5248.4860828457686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177.13696091988226</v>
      </c>
      <c r="C23" s="102">
        <f>TrAvia_act!C$9</f>
        <v>204.8762182144992</v>
      </c>
      <c r="D23" s="102">
        <f>TrAvia_act!D$9</f>
        <v>184.94111146795103</v>
      </c>
      <c r="E23" s="102">
        <f>TrAvia_act!E$9</f>
        <v>165.73994117559172</v>
      </c>
      <c r="F23" s="102">
        <f>TrAvia_act!F$9</f>
        <v>156.85022563510236</v>
      </c>
      <c r="G23" s="102">
        <f>TrAvia_act!G$9</f>
        <v>150.9723183805614</v>
      </c>
      <c r="H23" s="102">
        <f>TrAvia_act!H$9</f>
        <v>133.21166408595218</v>
      </c>
      <c r="I23" s="102">
        <f>TrAvia_act!I$9</f>
        <v>118.35051582311127</v>
      </c>
      <c r="J23" s="102">
        <f>TrAvia_act!J$9</f>
        <v>95.731962074634794</v>
      </c>
      <c r="K23" s="102">
        <f>TrAvia_act!K$9</f>
        <v>96.370711721685893</v>
      </c>
      <c r="L23" s="102">
        <f>TrAvia_act!L$9</f>
        <v>74.095435592742191</v>
      </c>
      <c r="M23" s="102">
        <f>TrAvia_act!M$9</f>
        <v>83.604695341170441</v>
      </c>
      <c r="N23" s="102">
        <f>TrAvia_act!N$9</f>
        <v>84.169538074062871</v>
      </c>
      <c r="O23" s="102">
        <f>TrAvia_act!O$9</f>
        <v>81.198298946692901</v>
      </c>
      <c r="P23" s="102">
        <f>TrAvia_act!P$9</f>
        <v>109.58986154542107</v>
      </c>
      <c r="Q23" s="102">
        <f>TrAvia_act!Q$9</f>
        <v>107.73876014397564</v>
      </c>
      <c r="R23" s="102">
        <f>TrAvia_act!R$9</f>
        <v>106.87736672874705</v>
      </c>
      <c r="S23" s="102">
        <f>TrAvia_act!S$9</f>
        <v>104.44932197707782</v>
      </c>
      <c r="T23" s="102">
        <f>TrAvia_act!T$9</f>
        <v>106.49046071476084</v>
      </c>
      <c r="U23" s="102">
        <f>TrAvia_act!U$9</f>
        <v>115.74634586419356</v>
      </c>
      <c r="V23" s="102">
        <f>TrAvia_act!V$9</f>
        <v>108.37277812730196</v>
      </c>
      <c r="W23" s="102">
        <f>TrAvia_act!W$9</f>
        <v>132.49909539175903</v>
      </c>
      <c r="X23" s="102">
        <f>TrAvia_act!X$9</f>
        <v>78.250596051638453</v>
      </c>
      <c r="Y23" s="102">
        <f>TrAvia_act!Y$9</f>
        <v>82.121777407140314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138.4943090642773</v>
      </c>
      <c r="C24" s="102">
        <f>TrAvia_act!C$10</f>
        <v>164.56889402053594</v>
      </c>
      <c r="D24" s="102">
        <f>TrAvia_act!D$10</f>
        <v>139.54472700132575</v>
      </c>
      <c r="E24" s="102">
        <f>TrAvia_act!E$10</f>
        <v>137.97886172625326</v>
      </c>
      <c r="F24" s="102">
        <f>TrAvia_act!F$10</f>
        <v>136.94931108788413</v>
      </c>
      <c r="G24" s="102">
        <f>TrAvia_act!G$10</f>
        <v>127.96095771547836</v>
      </c>
      <c r="H24" s="102">
        <f>TrAvia_act!H$10</f>
        <v>140.20078672626099</v>
      </c>
      <c r="I24" s="102">
        <f>TrAvia_act!I$10</f>
        <v>165.00805620388559</v>
      </c>
      <c r="J24" s="102">
        <f>TrAvia_act!J$10</f>
        <v>162.36279994212609</v>
      </c>
      <c r="K24" s="102">
        <f>TrAvia_act!K$10</f>
        <v>151.34048389103714</v>
      </c>
      <c r="L24" s="102">
        <f>TrAvia_act!L$10</f>
        <v>155.99574166536746</v>
      </c>
      <c r="M24" s="102">
        <f>TrAvia_act!M$10</f>
        <v>201.16400242967256</v>
      </c>
      <c r="N24" s="102">
        <f>TrAvia_act!N$10</f>
        <v>212.3495643391405</v>
      </c>
      <c r="O24" s="102">
        <f>TrAvia_act!O$10</f>
        <v>222.44632994152386</v>
      </c>
      <c r="P24" s="102">
        <f>TrAvia_act!P$10</f>
        <v>317.61249470429874</v>
      </c>
      <c r="Q24" s="102">
        <f>TrAvia_act!Q$10</f>
        <v>312.5488525146036</v>
      </c>
      <c r="R24" s="102">
        <f>TrAvia_act!R$10</f>
        <v>301.66008485099235</v>
      </c>
      <c r="S24" s="102">
        <f>TrAvia_act!S$10</f>
        <v>290.41836225005693</v>
      </c>
      <c r="T24" s="102">
        <f>TrAvia_act!T$10</f>
        <v>254.60465293424699</v>
      </c>
      <c r="U24" s="102">
        <f>TrAvia_act!U$10</f>
        <v>272.55928629096252</v>
      </c>
      <c r="V24" s="102">
        <f>TrAvia_act!V$10</f>
        <v>227.06004106339486</v>
      </c>
      <c r="W24" s="102">
        <f>TrAvia_act!W$10</f>
        <v>263.46466910787581</v>
      </c>
      <c r="X24" s="102">
        <f>TrAvia_act!X$10</f>
        <v>303.93155838842193</v>
      </c>
      <c r="Y24" s="102">
        <f>TrAvia_act!Y$10</f>
        <v>300.11060969548731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4923.8985241895953</v>
      </c>
      <c r="C25" s="102">
        <f>TrAvia_act!C$11</f>
        <v>4994.0359842074022</v>
      </c>
      <c r="D25" s="102">
        <f>TrAvia_act!D$11</f>
        <v>4801.0891182272508</v>
      </c>
      <c r="E25" s="102">
        <f>TrAvia_act!E$11</f>
        <v>4604.9216472327025</v>
      </c>
      <c r="F25" s="102">
        <f>TrAvia_act!F$11</f>
        <v>4779.6786984770788</v>
      </c>
      <c r="G25" s="102">
        <f>TrAvia_act!G$11</f>
        <v>4804.4580680357039</v>
      </c>
      <c r="H25" s="102">
        <f>TrAvia_act!H$11</f>
        <v>4764.9051948659826</v>
      </c>
      <c r="I25" s="102">
        <f>TrAvia_act!I$11</f>
        <v>5005.5455237075221</v>
      </c>
      <c r="J25" s="102">
        <f>TrAvia_act!J$11</f>
        <v>4856.083090237119</v>
      </c>
      <c r="K25" s="102">
        <f>TrAvia_act!K$11</f>
        <v>4140.5748059701482</v>
      </c>
      <c r="L25" s="102">
        <f>TrAvia_act!L$11</f>
        <v>4383.4006224094692</v>
      </c>
      <c r="M25" s="102">
        <f>TrAvia_act!M$11</f>
        <v>5524.4809975120406</v>
      </c>
      <c r="N25" s="102">
        <f>TrAvia_act!N$11</f>
        <v>5342.2316293976446</v>
      </c>
      <c r="O25" s="102">
        <f>TrAvia_act!O$11</f>
        <v>5094.659393019414</v>
      </c>
      <c r="P25" s="102">
        <f>TrAvia_act!P$11</f>
        <v>7363.316061375458</v>
      </c>
      <c r="Q25" s="102">
        <f>TrAvia_act!Q$11</f>
        <v>7217.2295855754764</v>
      </c>
      <c r="R25" s="102">
        <f>TrAvia_act!R$11</f>
        <v>6798.8083982429343</v>
      </c>
      <c r="S25" s="102">
        <f>TrAvia_act!S$11</f>
        <v>6790.8014900690287</v>
      </c>
      <c r="T25" s="102">
        <f>TrAvia_act!T$11</f>
        <v>6913.6018248073997</v>
      </c>
      <c r="U25" s="102">
        <f>TrAvia_act!U$11</f>
        <v>6701.0479920667494</v>
      </c>
      <c r="V25" s="102">
        <f>TrAvia_act!V$11</f>
        <v>5002.9449109923053</v>
      </c>
      <c r="W25" s="102">
        <f>TrAvia_act!W$11</f>
        <v>5272.9074681739967</v>
      </c>
      <c r="X25" s="102">
        <f>TrAvia_act!X$11</f>
        <v>5123.2871091583447</v>
      </c>
      <c r="Y25" s="102">
        <f>TrAvia_act!Y$11</f>
        <v>4866.2536957431412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28906.499</v>
      </c>
      <c r="C26" s="110">
        <f t="shared" si="21"/>
        <v>23007.215</v>
      </c>
      <c r="D26" s="110">
        <f t="shared" si="21"/>
        <v>23856.034</v>
      </c>
      <c r="E26" s="110">
        <f t="shared" si="21"/>
        <v>21215.688999999998</v>
      </c>
      <c r="F26" s="110">
        <f t="shared" si="21"/>
        <v>22603.788</v>
      </c>
      <c r="G26" s="110">
        <f t="shared" si="21"/>
        <v>23035.892</v>
      </c>
      <c r="H26" s="110">
        <f t="shared" si="21"/>
        <v>31135.46</v>
      </c>
      <c r="I26" s="110">
        <f t="shared" si="21"/>
        <v>22463.32</v>
      </c>
      <c r="J26" s="110">
        <f t="shared" si="21"/>
        <v>27891.449000000001</v>
      </c>
      <c r="K26" s="110">
        <f t="shared" si="21"/>
        <v>23430.862000000001</v>
      </c>
      <c r="L26" s="110">
        <f t="shared" si="21"/>
        <v>24841.735000000001</v>
      </c>
      <c r="M26" s="110">
        <f t="shared" si="21"/>
        <v>25092.951999999997</v>
      </c>
      <c r="N26" s="110">
        <f t="shared" si="21"/>
        <v>23507.876</v>
      </c>
      <c r="O26" s="110">
        <f t="shared" si="21"/>
        <v>16920.438999999998</v>
      </c>
      <c r="P26" s="110">
        <f t="shared" si="21"/>
        <v>20678.357</v>
      </c>
      <c r="Q26" s="110">
        <f t="shared" si="21"/>
        <v>21237.271000000001</v>
      </c>
      <c r="R26" s="110">
        <f t="shared" ref="R26:V26" si="22">R27+R28</f>
        <v>17460.977999999999</v>
      </c>
      <c r="S26" s="110">
        <f t="shared" si="22"/>
        <v>17419.621999999999</v>
      </c>
      <c r="T26" s="110">
        <f t="shared" si="22"/>
        <v>19046.82</v>
      </c>
      <c r="U26" s="110">
        <f t="shared" si="22"/>
        <v>20442.499</v>
      </c>
      <c r="V26" s="110">
        <f t="shared" si="22"/>
        <v>20088.039000000001</v>
      </c>
      <c r="W26" s="110">
        <f t="shared" ref="W26:Y26" si="23">W27+W28</f>
        <v>20605.091</v>
      </c>
      <c r="X26" s="110">
        <f t="shared" si="23"/>
        <v>18096.097999999998</v>
      </c>
      <c r="Y26" s="110">
        <f t="shared" si="23"/>
        <v>21314.322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19796.499</v>
      </c>
      <c r="C27" s="102">
        <f>TrNavi_act!C4</f>
        <v>14713.215</v>
      </c>
      <c r="D27" s="102">
        <f>TrNavi_act!D4</f>
        <v>15587.034</v>
      </c>
      <c r="E27" s="102">
        <f>TrNavi_act!E4</f>
        <v>13191.689</v>
      </c>
      <c r="F27" s="102">
        <f>TrNavi_act!F4</f>
        <v>14187.788</v>
      </c>
      <c r="G27" s="102">
        <f>TrNavi_act!G4</f>
        <v>14130.892</v>
      </c>
      <c r="H27" s="102">
        <f>TrNavi_act!H4</f>
        <v>22130.46</v>
      </c>
      <c r="I27" s="102">
        <f>TrNavi_act!I4</f>
        <v>13255.32</v>
      </c>
      <c r="J27" s="102">
        <f>TrNavi_act!J4</f>
        <v>18981.449000000001</v>
      </c>
      <c r="K27" s="102">
        <f>TrNavi_act!K4</f>
        <v>14719.861999999999</v>
      </c>
      <c r="L27" s="102">
        <f>TrNavi_act!L4</f>
        <v>15367.735000000001</v>
      </c>
      <c r="M27" s="102">
        <f>TrNavi_act!M4</f>
        <v>16057.951999999999</v>
      </c>
      <c r="N27" s="102">
        <f>TrNavi_act!N4</f>
        <v>14591.876</v>
      </c>
      <c r="O27" s="102">
        <f>TrNavi_act!O4</f>
        <v>7707.4390000000003</v>
      </c>
      <c r="P27" s="102">
        <f>TrNavi_act!P4</f>
        <v>11875.357</v>
      </c>
      <c r="Q27" s="102">
        <f>TrNavi_act!Q4</f>
        <v>12721.271000000001</v>
      </c>
      <c r="R27" s="102">
        <f>TrNavi_act!R4</f>
        <v>9153.9779999999992</v>
      </c>
      <c r="S27" s="102">
        <f>TrNavi_act!S4</f>
        <v>9906.6219999999994</v>
      </c>
      <c r="T27" s="102">
        <f>TrNavi_act!T4</f>
        <v>11782.82</v>
      </c>
      <c r="U27" s="102">
        <f>TrNavi_act!U4</f>
        <v>12428.499</v>
      </c>
      <c r="V27" s="102">
        <f>TrNavi_act!V4</f>
        <v>13100.039000000001</v>
      </c>
      <c r="W27" s="102">
        <f>TrNavi_act!W4</f>
        <v>13399.091</v>
      </c>
      <c r="X27" s="102">
        <f>TrNavi_act!X4</f>
        <v>11503.098</v>
      </c>
      <c r="Y27" s="102">
        <f>TrNavi_act!Y4</f>
        <v>15394.322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9110</v>
      </c>
      <c r="C28" s="169">
        <f>TrNavi_act!C5</f>
        <v>8294</v>
      </c>
      <c r="D28" s="169">
        <f>TrNavi_act!D5</f>
        <v>8269</v>
      </c>
      <c r="E28" s="169">
        <f>TrNavi_act!E5</f>
        <v>8023.9999999999991</v>
      </c>
      <c r="F28" s="169">
        <f>TrNavi_act!F5</f>
        <v>8416</v>
      </c>
      <c r="G28" s="169">
        <f>TrNavi_act!G5</f>
        <v>8905</v>
      </c>
      <c r="H28" s="169">
        <f>TrNavi_act!H5</f>
        <v>9005</v>
      </c>
      <c r="I28" s="169">
        <f>TrNavi_act!I5</f>
        <v>9208</v>
      </c>
      <c r="J28" s="169">
        <f>TrNavi_act!J5</f>
        <v>8910</v>
      </c>
      <c r="K28" s="169">
        <f>TrNavi_act!K5</f>
        <v>8711</v>
      </c>
      <c r="L28" s="169">
        <f>TrNavi_act!L5</f>
        <v>9474</v>
      </c>
      <c r="M28" s="169">
        <f>TrNavi_act!M5</f>
        <v>9035</v>
      </c>
      <c r="N28" s="169">
        <f>TrNavi_act!N5</f>
        <v>8916</v>
      </c>
      <c r="O28" s="169">
        <f>TrNavi_act!O5</f>
        <v>9213</v>
      </c>
      <c r="P28" s="169">
        <f>TrNavi_act!P5</f>
        <v>8803</v>
      </c>
      <c r="Q28" s="169">
        <f>TrNavi_act!Q5</f>
        <v>8516</v>
      </c>
      <c r="R28" s="169">
        <f>TrNavi_act!R5</f>
        <v>8307</v>
      </c>
      <c r="S28" s="169">
        <f>TrNavi_act!S5</f>
        <v>7513</v>
      </c>
      <c r="T28" s="169">
        <f>TrNavi_act!T5</f>
        <v>7264</v>
      </c>
      <c r="U28" s="169">
        <f>TrNavi_act!U5</f>
        <v>8013.9999999999991</v>
      </c>
      <c r="V28" s="169">
        <f>TrNavi_act!V5</f>
        <v>6988</v>
      </c>
      <c r="W28" s="169">
        <f>TrNavi_act!W5</f>
        <v>7206</v>
      </c>
      <c r="X28" s="169">
        <f>TrNavi_act!X5</f>
        <v>6593</v>
      </c>
      <c r="Y28" s="169">
        <f>TrNavi_act!Y5</f>
        <v>5920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629698.70243099995</v>
      </c>
      <c r="C29" s="28">
        <f t="shared" si="24"/>
        <v>609438.75625800004</v>
      </c>
      <c r="D29" s="28">
        <f t="shared" si="24"/>
        <v>625057.79376200004</v>
      </c>
      <c r="E29" s="28">
        <f t="shared" si="24"/>
        <v>631193.97719400004</v>
      </c>
      <c r="F29" s="28">
        <f t="shared" si="24"/>
        <v>642336.31101399998</v>
      </c>
      <c r="G29" s="28">
        <f t="shared" si="24"/>
        <v>653949.800132</v>
      </c>
      <c r="H29" s="28">
        <f t="shared" si="24"/>
        <v>673747.92134100001</v>
      </c>
      <c r="I29" s="28">
        <f t="shared" si="24"/>
        <v>486434.79080299998</v>
      </c>
      <c r="J29" s="28">
        <f t="shared" si="24"/>
        <v>608205.83284200006</v>
      </c>
      <c r="K29" s="28">
        <f t="shared" si="24"/>
        <v>541179.23916399991</v>
      </c>
      <c r="L29" s="28">
        <f t="shared" si="24"/>
        <v>575328.67482000007</v>
      </c>
      <c r="M29" s="28">
        <f t="shared" si="24"/>
        <v>573422.37101400003</v>
      </c>
      <c r="N29" s="28">
        <f t="shared" si="24"/>
        <v>541728.47733699996</v>
      </c>
      <c r="O29" s="28">
        <f t="shared" si="24"/>
        <v>430022.32993399998</v>
      </c>
      <c r="P29" s="28">
        <f t="shared" si="24"/>
        <v>581281.82818900002</v>
      </c>
      <c r="Q29" s="28">
        <f t="shared" si="24"/>
        <v>597386.25127199991</v>
      </c>
      <c r="R29" s="28">
        <f t="shared" si="24"/>
        <v>559507.40940699994</v>
      </c>
      <c r="S29" s="28">
        <f t="shared" si="24"/>
        <v>593639.69502099999</v>
      </c>
      <c r="T29" s="28">
        <f t="shared" si="24"/>
        <v>595265.01087500004</v>
      </c>
      <c r="U29" s="28">
        <f t="shared" si="24"/>
        <v>588555.93311099999</v>
      </c>
      <c r="V29" s="28">
        <f t="shared" si="24"/>
        <v>527751.60851399996</v>
      </c>
      <c r="W29" s="28">
        <f t="shared" si="24"/>
        <v>557485.26156700007</v>
      </c>
      <c r="X29" s="28">
        <f t="shared" ref="X29:Y29" si="25">X30+X31</f>
        <v>426807.80675800005</v>
      </c>
      <c r="Y29" s="28">
        <f t="shared" si="25"/>
        <v>528330.80364699999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76433.554713000005</v>
      </c>
      <c r="C30" s="102">
        <f>MBunk_act!C$4</f>
        <v>74473.830054999999</v>
      </c>
      <c r="D30" s="102">
        <f>MBunk_act!D$4</f>
        <v>69701.475741999995</v>
      </c>
      <c r="E30" s="102">
        <f>MBunk_act!E$4</f>
        <v>68548.883612000005</v>
      </c>
      <c r="F30" s="102">
        <f>MBunk_act!F$4</f>
        <v>72426.036634000004</v>
      </c>
      <c r="G30" s="102">
        <f>MBunk_act!G$4</f>
        <v>68388.029804000005</v>
      </c>
      <c r="H30" s="102">
        <f>MBunk_act!H$4</f>
        <v>61751.805134000002</v>
      </c>
      <c r="I30" s="102">
        <f>MBunk_act!I$4</f>
        <v>45711.712378999997</v>
      </c>
      <c r="J30" s="102">
        <f>MBunk_act!J$4</f>
        <v>54243.635997000005</v>
      </c>
      <c r="K30" s="102">
        <f>MBunk_act!K$4</f>
        <v>53625.922923999999</v>
      </c>
      <c r="L30" s="102">
        <f>MBunk_act!L$4</f>
        <v>56614.226630999998</v>
      </c>
      <c r="M30" s="102">
        <f>MBunk_act!M$4</f>
        <v>54183.993490000001</v>
      </c>
      <c r="N30" s="102">
        <f>MBunk_act!N$4</f>
        <v>51150.622532000001</v>
      </c>
      <c r="O30" s="102">
        <f>MBunk_act!O$4</f>
        <v>37014.200434999999</v>
      </c>
      <c r="P30" s="102">
        <f>MBunk_act!P$4</f>
        <v>51010.787750000003</v>
      </c>
      <c r="Q30" s="102">
        <f>MBunk_act!Q$4</f>
        <v>48614.066458999994</v>
      </c>
      <c r="R30" s="102">
        <f>MBunk_act!R$4</f>
        <v>53310.180974000003</v>
      </c>
      <c r="S30" s="102">
        <f>MBunk_act!S$4</f>
        <v>55060.754866000003</v>
      </c>
      <c r="T30" s="102">
        <f>MBunk_act!T$4</f>
        <v>54861.794654999998</v>
      </c>
      <c r="U30" s="102">
        <f>MBunk_act!U$4</f>
        <v>51765.250401000005</v>
      </c>
      <c r="V30" s="102">
        <f>MBunk_act!V$4</f>
        <v>49731.776128999998</v>
      </c>
      <c r="W30" s="102">
        <f>MBunk_act!W$4</f>
        <v>48208.944403000001</v>
      </c>
      <c r="X30" s="102">
        <f>MBunk_act!X$4</f>
        <v>34048.251767000002</v>
      </c>
      <c r="Y30" s="102">
        <f>MBunk_act!Y$4</f>
        <v>43983.552491999995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553265.14771799999</v>
      </c>
      <c r="C31" s="86">
        <f>MBunk_act!C$5</f>
        <v>534964.92620300001</v>
      </c>
      <c r="D31" s="86">
        <f>MBunk_act!D$5</f>
        <v>555356.31802000001</v>
      </c>
      <c r="E31" s="86">
        <f>MBunk_act!E$5</f>
        <v>562645.093582</v>
      </c>
      <c r="F31" s="86">
        <f>MBunk_act!F$5</f>
        <v>569910.27437999996</v>
      </c>
      <c r="G31" s="86">
        <f>MBunk_act!G$5</f>
        <v>585561.77032799996</v>
      </c>
      <c r="H31" s="86">
        <f>MBunk_act!H$5</f>
        <v>611996.11620699998</v>
      </c>
      <c r="I31" s="86">
        <f>MBunk_act!I$5</f>
        <v>440723.07842400001</v>
      </c>
      <c r="J31" s="86">
        <f>MBunk_act!J$5</f>
        <v>553962.19684500003</v>
      </c>
      <c r="K31" s="86">
        <f>MBunk_act!K$5</f>
        <v>487553.31623999996</v>
      </c>
      <c r="L31" s="86">
        <f>MBunk_act!L$5</f>
        <v>518714.44818900002</v>
      </c>
      <c r="M31" s="86">
        <f>MBunk_act!M$5</f>
        <v>519238.37752400001</v>
      </c>
      <c r="N31" s="86">
        <f>MBunk_act!N$5</f>
        <v>490577.85480500001</v>
      </c>
      <c r="O31" s="86">
        <f>MBunk_act!O$5</f>
        <v>393008.12949899997</v>
      </c>
      <c r="P31" s="86">
        <f>MBunk_act!P$5</f>
        <v>530271.040439</v>
      </c>
      <c r="Q31" s="86">
        <f>MBunk_act!Q$5</f>
        <v>548772.18481299991</v>
      </c>
      <c r="R31" s="86">
        <f>MBunk_act!R$5</f>
        <v>506197.22843299998</v>
      </c>
      <c r="S31" s="86">
        <f>MBunk_act!S$5</f>
        <v>538578.94015499996</v>
      </c>
      <c r="T31" s="86">
        <f>MBunk_act!T$5</f>
        <v>540403.21622000006</v>
      </c>
      <c r="U31" s="86">
        <f>MBunk_act!U$5</f>
        <v>536790.68270999996</v>
      </c>
      <c r="V31" s="86">
        <f>MBunk_act!V$5</f>
        <v>478019.83238500002</v>
      </c>
      <c r="W31" s="86">
        <f>MBunk_act!W$5</f>
        <v>509276.31716400001</v>
      </c>
      <c r="X31" s="86">
        <f>MBunk_act!X$5</f>
        <v>392759.55499100004</v>
      </c>
      <c r="Y31" s="86">
        <f>MBunk_act!Y$5</f>
        <v>484347.25115500001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34019.65994854967</v>
      </c>
      <c r="C34" s="28">
        <f t="shared" si="26"/>
        <v>34503.906162799736</v>
      </c>
      <c r="D34" s="28">
        <f t="shared" si="26"/>
        <v>34575.382835841876</v>
      </c>
      <c r="E34" s="28">
        <f t="shared" si="26"/>
        <v>33839.327759072796</v>
      </c>
      <c r="F34" s="28">
        <f t="shared" si="26"/>
        <v>33784.479888126763</v>
      </c>
      <c r="G34" s="28">
        <f t="shared" si="26"/>
        <v>33470.176907536654</v>
      </c>
      <c r="H34" s="28">
        <f t="shared" si="26"/>
        <v>33883.622568372753</v>
      </c>
      <c r="I34" s="28">
        <f t="shared" si="26"/>
        <v>34363.488665810059</v>
      </c>
      <c r="J34" s="28">
        <f t="shared" si="26"/>
        <v>33993.146106041895</v>
      </c>
      <c r="K34" s="28">
        <f t="shared" si="26"/>
        <v>34086.091993453651</v>
      </c>
      <c r="L34" s="28">
        <f t="shared" si="26"/>
        <v>33760.362404152416</v>
      </c>
      <c r="M34" s="28">
        <f t="shared" si="26"/>
        <v>35874.748398429816</v>
      </c>
      <c r="N34" s="28">
        <f t="shared" si="26"/>
        <v>35636.546850328064</v>
      </c>
      <c r="O34" s="28">
        <f t="shared" si="26"/>
        <v>35340.690486007625</v>
      </c>
      <c r="P34" s="28">
        <f t="shared" si="26"/>
        <v>35477.089618646751</v>
      </c>
      <c r="Q34" s="28">
        <f t="shared" si="26"/>
        <v>36291.691121297597</v>
      </c>
      <c r="R34" s="28">
        <f t="shared" ref="R34:V34" si="27">R35+R39+R43</f>
        <v>36346.466961877988</v>
      </c>
      <c r="S34" s="28">
        <f t="shared" si="27"/>
        <v>36302.780488390672</v>
      </c>
      <c r="T34" s="28">
        <f t="shared" si="27"/>
        <v>35951.996303121799</v>
      </c>
      <c r="U34" s="28">
        <f t="shared" si="27"/>
        <v>35994.842669221398</v>
      </c>
      <c r="V34" s="28">
        <f t="shared" si="27"/>
        <v>26395.345292944276</v>
      </c>
      <c r="W34" s="28">
        <f t="shared" ref="W34:Y34" si="28">W35+W39+W43</f>
        <v>30229.233761718824</v>
      </c>
      <c r="X34" s="28">
        <f t="shared" si="28"/>
        <v>34174.500349811038</v>
      </c>
      <c r="Y34" s="28">
        <f t="shared" si="28"/>
        <v>34275.125373224844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27336.190273391661</v>
      </c>
      <c r="C35" s="137">
        <f t="shared" si="29"/>
        <v>27940.280490677498</v>
      </c>
      <c r="D35" s="137">
        <f t="shared" si="29"/>
        <v>28034.45151522756</v>
      </c>
      <c r="E35" s="137">
        <f t="shared" si="29"/>
        <v>27517.449929400998</v>
      </c>
      <c r="F35" s="137">
        <f t="shared" si="29"/>
        <v>27146.560312314788</v>
      </c>
      <c r="G35" s="137">
        <f t="shared" si="29"/>
        <v>26778.548643793631</v>
      </c>
      <c r="H35" s="137">
        <f t="shared" si="29"/>
        <v>26941.681755551999</v>
      </c>
      <c r="I35" s="137">
        <f t="shared" si="29"/>
        <v>27231.573271536414</v>
      </c>
      <c r="J35" s="137">
        <f t="shared" si="29"/>
        <v>26781.872790136425</v>
      </c>
      <c r="K35" s="137">
        <f t="shared" si="29"/>
        <v>27342.035307422706</v>
      </c>
      <c r="L35" s="137">
        <f t="shared" si="29"/>
        <v>27012.10624118966</v>
      </c>
      <c r="M35" s="137">
        <f t="shared" si="29"/>
        <v>28465.640113049256</v>
      </c>
      <c r="N35" s="137">
        <f t="shared" si="29"/>
        <v>28339.699979085857</v>
      </c>
      <c r="O35" s="137">
        <f t="shared" si="29"/>
        <v>28089.217418203367</v>
      </c>
      <c r="P35" s="137">
        <f t="shared" si="29"/>
        <v>28336.910282459914</v>
      </c>
      <c r="Q35" s="137">
        <f t="shared" si="29"/>
        <v>28859.90658011939</v>
      </c>
      <c r="R35" s="137">
        <f t="shared" ref="R35:V35" si="30">R36+R37+R38</f>
        <v>28912.486669007005</v>
      </c>
      <c r="S35" s="137">
        <f t="shared" si="30"/>
        <v>28752.86031874023</v>
      </c>
      <c r="T35" s="137">
        <f t="shared" si="30"/>
        <v>28160.803584918998</v>
      </c>
      <c r="U35" s="137">
        <f t="shared" si="30"/>
        <v>27857.957191318281</v>
      </c>
      <c r="V35" s="137">
        <f t="shared" si="30"/>
        <v>22751.668458295524</v>
      </c>
      <c r="W35" s="137">
        <f t="shared" ref="W35:Y35" si="31">W36+W37+W38</f>
        <v>26077.850273821572</v>
      </c>
      <c r="X35" s="137">
        <f t="shared" si="31"/>
        <v>27424.653983679105</v>
      </c>
      <c r="Y35" s="137">
        <f t="shared" si="31"/>
        <v>27008.128735269562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358.97725679812822</v>
      </c>
      <c r="C36" s="102">
        <f>TrRoad_ene!C$19</f>
        <v>392.00871788119127</v>
      </c>
      <c r="D36" s="102">
        <f>TrRoad_ene!D$19</f>
        <v>434.14121124401288</v>
      </c>
      <c r="E36" s="102">
        <f>TrRoad_ene!E$19</f>
        <v>433.02885472353006</v>
      </c>
      <c r="F36" s="102">
        <f>TrRoad_ene!F$19</f>
        <v>459.6303993806107</v>
      </c>
      <c r="G36" s="102">
        <f>TrRoad_ene!G$19</f>
        <v>469.45092425203438</v>
      </c>
      <c r="H36" s="102">
        <f>TrRoad_ene!H$19</f>
        <v>468.39947155285245</v>
      </c>
      <c r="I36" s="102">
        <f>TrRoad_ene!I$19</f>
        <v>484.47478334015887</v>
      </c>
      <c r="J36" s="102">
        <f>TrRoad_ene!J$19</f>
        <v>509.9518327514437</v>
      </c>
      <c r="K36" s="102">
        <f>TrRoad_ene!K$19</f>
        <v>526.30686124683643</v>
      </c>
      <c r="L36" s="102">
        <f>TrRoad_ene!L$19</f>
        <v>522.75016851754356</v>
      </c>
      <c r="M36" s="102">
        <f>TrRoad_ene!M$19</f>
        <v>519.52251816256114</v>
      </c>
      <c r="N36" s="102">
        <f>TrRoad_ene!N$19</f>
        <v>520.84567599919444</v>
      </c>
      <c r="O36" s="102">
        <f>TrRoad_ene!O$19</f>
        <v>526.98508492547421</v>
      </c>
      <c r="P36" s="102">
        <f>TrRoad_ene!P$19</f>
        <v>537.93017711589732</v>
      </c>
      <c r="Q36" s="102">
        <f>TrRoad_ene!Q$19</f>
        <v>540.84564517635158</v>
      </c>
      <c r="R36" s="102">
        <f>TrRoad_ene!R$19</f>
        <v>500.04255237665797</v>
      </c>
      <c r="S36" s="102">
        <f>TrRoad_ene!S$19</f>
        <v>475.06450384937256</v>
      </c>
      <c r="T36" s="102">
        <f>TrRoad_ene!T$19</f>
        <v>471.45135904824832</v>
      </c>
      <c r="U36" s="102">
        <f>TrRoad_ene!U$19</f>
        <v>482.01643245267962</v>
      </c>
      <c r="V36" s="102">
        <f>TrRoad_ene!V$19</f>
        <v>406.11568530728789</v>
      </c>
      <c r="W36" s="102">
        <f>TrRoad_ene!W$19</f>
        <v>426.86058837964481</v>
      </c>
      <c r="X36" s="102">
        <f>TrRoad_ene!X$19</f>
        <v>454.9220923783771</v>
      </c>
      <c r="Y36" s="102">
        <f>TrRoad_ene!Y$19</f>
        <v>476.90502533305812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25286.948169682539</v>
      </c>
      <c r="C37" s="102">
        <f>TrRoad_ene!C$21</f>
        <v>25894.190483758171</v>
      </c>
      <c r="D37" s="102">
        <f>TrRoad_ene!D$21</f>
        <v>25946.232516855664</v>
      </c>
      <c r="E37" s="102">
        <f>TrRoad_ene!E$21</f>
        <v>25423.146618520812</v>
      </c>
      <c r="F37" s="102">
        <f>TrRoad_ene!F$21</f>
        <v>25004.863769454045</v>
      </c>
      <c r="G37" s="102">
        <f>TrRoad_ene!G$21</f>
        <v>24624.674232233425</v>
      </c>
      <c r="H37" s="102">
        <f>TrRoad_ene!H$21</f>
        <v>24717.888576850921</v>
      </c>
      <c r="I37" s="102">
        <f>TrRoad_ene!I$21</f>
        <v>24950.246709120802</v>
      </c>
      <c r="J37" s="102">
        <f>TrRoad_ene!J$21</f>
        <v>24478.862994844661</v>
      </c>
      <c r="K37" s="102">
        <f>TrRoad_ene!K$21</f>
        <v>25094.319332872412</v>
      </c>
      <c r="L37" s="102">
        <f>TrRoad_ene!L$21</f>
        <v>24819.129403742227</v>
      </c>
      <c r="M37" s="102">
        <f>TrRoad_ene!M$21</f>
        <v>26283.536048197828</v>
      </c>
      <c r="N37" s="102">
        <f>TrRoad_ene!N$21</f>
        <v>26166.734800791201</v>
      </c>
      <c r="O37" s="102">
        <f>TrRoad_ene!O$21</f>
        <v>26029.462531189307</v>
      </c>
      <c r="P37" s="102">
        <f>TrRoad_ene!P$21</f>
        <v>26247.53820988235</v>
      </c>
      <c r="Q37" s="102">
        <f>TrRoad_ene!Q$21</f>
        <v>26736.145817087458</v>
      </c>
      <c r="R37" s="102">
        <f>TrRoad_ene!R$21</f>
        <v>26786.515335101471</v>
      </c>
      <c r="S37" s="102">
        <f>TrRoad_ene!S$21</f>
        <v>26692.714609748164</v>
      </c>
      <c r="T37" s="102">
        <f>TrRoad_ene!T$21</f>
        <v>26088.115254761466</v>
      </c>
      <c r="U37" s="102">
        <f>TrRoad_ene!U$21</f>
        <v>25763.893139834363</v>
      </c>
      <c r="V37" s="102">
        <f>TrRoad_ene!V$21</f>
        <v>21126.996710181091</v>
      </c>
      <c r="W37" s="102">
        <f>TrRoad_ene!W$21</f>
        <v>24218.708373768655</v>
      </c>
      <c r="X37" s="102">
        <f>TrRoad_ene!X$21</f>
        <v>25434.579350040498</v>
      </c>
      <c r="Y37" s="102">
        <f>TrRoad_ene!Y$21</f>
        <v>24999.99077219531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1690.2648469109963</v>
      </c>
      <c r="C38" s="102">
        <f>TrRoad_ene!C$33</f>
        <v>1654.0812890381353</v>
      </c>
      <c r="D38" s="102">
        <f>TrRoad_ene!D$33</f>
        <v>1654.0777871278847</v>
      </c>
      <c r="E38" s="102">
        <f>TrRoad_ene!E$33</f>
        <v>1661.2744561566583</v>
      </c>
      <c r="F38" s="102">
        <f>TrRoad_ene!F$33</f>
        <v>1682.0661434801339</v>
      </c>
      <c r="G38" s="102">
        <f>TrRoad_ene!G$33</f>
        <v>1684.4234873081682</v>
      </c>
      <c r="H38" s="102">
        <f>TrRoad_ene!H$33</f>
        <v>1755.3937071482237</v>
      </c>
      <c r="I38" s="102">
        <f>TrRoad_ene!I$33</f>
        <v>1796.8517790754524</v>
      </c>
      <c r="J38" s="102">
        <f>TrRoad_ene!J$33</f>
        <v>1793.057962540317</v>
      </c>
      <c r="K38" s="102">
        <f>TrRoad_ene!K$33</f>
        <v>1721.4091133034547</v>
      </c>
      <c r="L38" s="102">
        <f>TrRoad_ene!L$33</f>
        <v>1670.2266689298885</v>
      </c>
      <c r="M38" s="102">
        <f>TrRoad_ene!M$33</f>
        <v>1662.581546688868</v>
      </c>
      <c r="N38" s="102">
        <f>TrRoad_ene!N$33</f>
        <v>1652.1195022954635</v>
      </c>
      <c r="O38" s="102">
        <f>TrRoad_ene!O$33</f>
        <v>1532.7698020885869</v>
      </c>
      <c r="P38" s="102">
        <f>TrRoad_ene!P$33</f>
        <v>1551.4418954616658</v>
      </c>
      <c r="Q38" s="102">
        <f>TrRoad_ene!Q$33</f>
        <v>1582.9151178555808</v>
      </c>
      <c r="R38" s="102">
        <f>TrRoad_ene!R$33</f>
        <v>1625.9287815288785</v>
      </c>
      <c r="S38" s="102">
        <f>TrRoad_ene!S$33</f>
        <v>1585.0812051426956</v>
      </c>
      <c r="T38" s="102">
        <f>TrRoad_ene!T$33</f>
        <v>1601.2369711092822</v>
      </c>
      <c r="U38" s="102">
        <f>TrRoad_ene!U$33</f>
        <v>1612.0476190312372</v>
      </c>
      <c r="V38" s="102">
        <f>TrRoad_ene!V$33</f>
        <v>1218.5560628071487</v>
      </c>
      <c r="W38" s="102">
        <f>TrRoad_ene!W$33</f>
        <v>1432.2813116732732</v>
      </c>
      <c r="X38" s="102">
        <f>TrRoad_ene!X$33</f>
        <v>1535.152541260233</v>
      </c>
      <c r="Y38" s="102">
        <f>TrRoad_ene!Y$33</f>
        <v>1531.2329377411941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862.92153771595008</v>
      </c>
      <c r="C39" s="110">
        <f t="shared" si="32"/>
        <v>781.6157198200915</v>
      </c>
      <c r="D39" s="110">
        <f t="shared" si="32"/>
        <v>798.77220172579246</v>
      </c>
      <c r="E39" s="110">
        <f t="shared" si="32"/>
        <v>802.21046389195146</v>
      </c>
      <c r="F39" s="110">
        <f t="shared" si="32"/>
        <v>852.43636542520221</v>
      </c>
      <c r="G39" s="110">
        <f t="shared" si="32"/>
        <v>862.64991301694772</v>
      </c>
      <c r="H39" s="110">
        <f t="shared" si="32"/>
        <v>879.00713388366876</v>
      </c>
      <c r="I39" s="110">
        <f t="shared" si="32"/>
        <v>878.42121068815527</v>
      </c>
      <c r="J39" s="110">
        <f t="shared" si="32"/>
        <v>928.22657468838042</v>
      </c>
      <c r="K39" s="110">
        <f t="shared" si="32"/>
        <v>916.24319544259117</v>
      </c>
      <c r="L39" s="110">
        <f t="shared" si="32"/>
        <v>908.24762905037676</v>
      </c>
      <c r="M39" s="110">
        <f t="shared" si="32"/>
        <v>903.22811017009155</v>
      </c>
      <c r="N39" s="110">
        <f t="shared" si="32"/>
        <v>908.29936042386862</v>
      </c>
      <c r="O39" s="110">
        <f t="shared" si="32"/>
        <v>901.85887919859613</v>
      </c>
      <c r="P39" s="110">
        <f t="shared" si="32"/>
        <v>874.45603151842784</v>
      </c>
      <c r="Q39" s="110">
        <f t="shared" si="32"/>
        <v>885.08328277033593</v>
      </c>
      <c r="R39" s="110">
        <f t="shared" ref="R39:V39" si="33">R40+R41+R42</f>
        <v>857.29962280577161</v>
      </c>
      <c r="S39" s="110">
        <f t="shared" si="33"/>
        <v>853.68940649555486</v>
      </c>
      <c r="T39" s="110">
        <f t="shared" si="33"/>
        <v>800.46857746249566</v>
      </c>
      <c r="U39" s="110">
        <f t="shared" si="33"/>
        <v>798.44027997708076</v>
      </c>
      <c r="V39" s="110">
        <f t="shared" si="33"/>
        <v>625.88919665784692</v>
      </c>
      <c r="W39" s="110">
        <f t="shared" ref="W39:Y39" si="34">W40+W41+W42</f>
        <v>701.79213240500246</v>
      </c>
      <c r="X39" s="110">
        <f t="shared" si="34"/>
        <v>776.08247357827759</v>
      </c>
      <c r="Y39" s="110">
        <f t="shared" si="34"/>
        <v>865.60199183355121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38.346859528036482</v>
      </c>
      <c r="C40" s="102">
        <f>TrRail_ene!C$12</f>
        <v>40.070158084522468</v>
      </c>
      <c r="D40" s="102">
        <f>TrRail_ene!D$12</f>
        <v>40.518375227317641</v>
      </c>
      <c r="E40" s="102">
        <f>TrRail_ene!E$12</f>
        <v>41.489601957683426</v>
      </c>
      <c r="F40" s="102">
        <f>TrRail_ene!F$12</f>
        <v>45.725551815046785</v>
      </c>
      <c r="G40" s="102">
        <f>TrRail_ene!G$12</f>
        <v>44.773139213976897</v>
      </c>
      <c r="H40" s="102">
        <f>TrRail_ene!H$12</f>
        <v>44.504875151104493</v>
      </c>
      <c r="I40" s="102">
        <f>TrRail_ene!I$12</f>
        <v>43.300067404943036</v>
      </c>
      <c r="J40" s="102">
        <f>TrRail_ene!J$12</f>
        <v>46.645271426868327</v>
      </c>
      <c r="K40" s="102">
        <f>TrRail_ene!K$12</f>
        <v>41.686951786463311</v>
      </c>
      <c r="L40" s="102">
        <f>TrRail_ene!L$12</f>
        <v>42.056443013276613</v>
      </c>
      <c r="M40" s="102">
        <f>TrRail_ene!M$12</f>
        <v>42.465686199928342</v>
      </c>
      <c r="N40" s="102">
        <f>TrRail_ene!N$12</f>
        <v>43.166241621599539</v>
      </c>
      <c r="O40" s="102">
        <f>TrRail_ene!O$12</f>
        <v>44.226835556043582</v>
      </c>
      <c r="P40" s="102">
        <f>TrRail_ene!P$12</f>
        <v>44.100128077497331</v>
      </c>
      <c r="Q40" s="102">
        <f>TrRail_ene!Q$12</f>
        <v>43.932002384172804</v>
      </c>
      <c r="R40" s="102">
        <f>TrRail_ene!R$12</f>
        <v>43.444845418721627</v>
      </c>
      <c r="S40" s="102">
        <f>TrRail_ene!S$12</f>
        <v>43.260522964460336</v>
      </c>
      <c r="T40" s="102">
        <f>TrRail_ene!T$12</f>
        <v>44.143348989168963</v>
      </c>
      <c r="U40" s="102">
        <f>TrRail_ene!U$12</f>
        <v>42.499688051833743</v>
      </c>
      <c r="V40" s="102">
        <f>TrRail_ene!V$12</f>
        <v>31.02733196689341</v>
      </c>
      <c r="W40" s="102">
        <f>TrRail_ene!W$12</f>
        <v>37.054467626372819</v>
      </c>
      <c r="X40" s="102">
        <f>TrRail_ene!X$12</f>
        <v>35.675577796915881</v>
      </c>
      <c r="Y40" s="102">
        <f>TrRail_ene!Y$12</f>
        <v>35.347528201077125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596.46138524073058</v>
      </c>
      <c r="C41" s="102">
        <f>TrRail_ene!C$13</f>
        <v>481.86912016420229</v>
      </c>
      <c r="D41" s="102">
        <f>TrRail_ene!D$13</f>
        <v>483.16291830420028</v>
      </c>
      <c r="E41" s="102">
        <f>TrRail_ene!E$13</f>
        <v>491.18374931573351</v>
      </c>
      <c r="F41" s="102">
        <f>TrRail_ene!F$13</f>
        <v>518.20055411955764</v>
      </c>
      <c r="G41" s="102">
        <f>TrRail_ene!G$13</f>
        <v>524.59855928853176</v>
      </c>
      <c r="H41" s="102">
        <f>TrRail_ene!H$13</f>
        <v>535.79134007032212</v>
      </c>
      <c r="I41" s="102">
        <f>TrRail_ene!I$13</f>
        <v>525.47450042451192</v>
      </c>
      <c r="J41" s="102">
        <f>TrRail_ene!J$13</f>
        <v>540.08686840034295</v>
      </c>
      <c r="K41" s="102">
        <f>TrRail_ene!K$13</f>
        <v>535.59377551279101</v>
      </c>
      <c r="L41" s="102">
        <f>TrRail_ene!L$13</f>
        <v>535.26613077300851</v>
      </c>
      <c r="M41" s="102">
        <f>TrRail_ene!M$13</f>
        <v>525.90283141080045</v>
      </c>
      <c r="N41" s="102">
        <f>TrRail_ene!N$13</f>
        <v>523.12375570387212</v>
      </c>
      <c r="O41" s="102">
        <f>TrRail_ene!O$13</f>
        <v>520.41336309440067</v>
      </c>
      <c r="P41" s="102">
        <f>TrRail_ene!P$13</f>
        <v>506.6424978473662</v>
      </c>
      <c r="Q41" s="102">
        <f>TrRail_ene!Q$13</f>
        <v>519.86209168020878</v>
      </c>
      <c r="R41" s="102">
        <f>TrRail_ene!R$13</f>
        <v>501.08293913010095</v>
      </c>
      <c r="S41" s="102">
        <f>TrRail_ene!S$13</f>
        <v>480.24291025931143</v>
      </c>
      <c r="T41" s="102">
        <f>TrRail_ene!T$13</f>
        <v>449.49834115143176</v>
      </c>
      <c r="U41" s="102">
        <f>TrRail_ene!U$13</f>
        <v>439.54883728413108</v>
      </c>
      <c r="V41" s="102">
        <f>TrRail_ene!V$13</f>
        <v>346.17570358173464</v>
      </c>
      <c r="W41" s="102">
        <f>TrRail_ene!W$13</f>
        <v>361.71759369515763</v>
      </c>
      <c r="X41" s="102">
        <f>TrRail_ene!X$13</f>
        <v>404.44905786557808</v>
      </c>
      <c r="Y41" s="102">
        <f>TrRail_ene!Y$13</f>
        <v>481.03928392893619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228.11329294718306</v>
      </c>
      <c r="C42" s="102">
        <f>TrRail_ene!C$16</f>
        <v>259.67644157136664</v>
      </c>
      <c r="D42" s="102">
        <f>TrRail_ene!D$16</f>
        <v>275.09090819427462</v>
      </c>
      <c r="E42" s="102">
        <f>TrRail_ene!E$16</f>
        <v>269.53711261853448</v>
      </c>
      <c r="F42" s="102">
        <f>TrRail_ene!F$16</f>
        <v>288.51025949059783</v>
      </c>
      <c r="G42" s="102">
        <f>TrRail_ene!G$16</f>
        <v>293.27821451443901</v>
      </c>
      <c r="H42" s="102">
        <f>TrRail_ene!H$16</f>
        <v>298.71091866224219</v>
      </c>
      <c r="I42" s="102">
        <f>TrRail_ene!I$16</f>
        <v>309.6466428587002</v>
      </c>
      <c r="J42" s="102">
        <f>TrRail_ene!J$16</f>
        <v>341.49443486116911</v>
      </c>
      <c r="K42" s="102">
        <f>TrRail_ene!K$16</f>
        <v>338.96246814333688</v>
      </c>
      <c r="L42" s="102">
        <f>TrRail_ene!L$16</f>
        <v>330.92505526409161</v>
      </c>
      <c r="M42" s="102">
        <f>TrRail_ene!M$16</f>
        <v>334.8595925593628</v>
      </c>
      <c r="N42" s="102">
        <f>TrRail_ene!N$16</f>
        <v>342.00936309839693</v>
      </c>
      <c r="O42" s="102">
        <f>TrRail_ene!O$16</f>
        <v>337.21868054815184</v>
      </c>
      <c r="P42" s="102">
        <f>TrRail_ene!P$16</f>
        <v>323.71340559356429</v>
      </c>
      <c r="Q42" s="102">
        <f>TrRail_ene!Q$16</f>
        <v>321.28918870595436</v>
      </c>
      <c r="R42" s="102">
        <f>TrRail_ene!R$16</f>
        <v>312.77183825694897</v>
      </c>
      <c r="S42" s="102">
        <f>TrRail_ene!S$16</f>
        <v>330.18597327178315</v>
      </c>
      <c r="T42" s="102">
        <f>TrRail_ene!T$16</f>
        <v>306.82688732189496</v>
      </c>
      <c r="U42" s="102">
        <f>TrRail_ene!U$16</f>
        <v>316.39175464111588</v>
      </c>
      <c r="V42" s="102">
        <f>TrRail_ene!V$16</f>
        <v>248.68616110921886</v>
      </c>
      <c r="W42" s="102">
        <f>TrRail_ene!W$16</f>
        <v>303.02007108347203</v>
      </c>
      <c r="X42" s="102">
        <f>TrRail_ene!X$16</f>
        <v>335.95783791578367</v>
      </c>
      <c r="Y42" s="102">
        <f>TrRail_ene!Y$16</f>
        <v>349.2151797035379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5820.548137442056</v>
      </c>
      <c r="C43" s="110">
        <f t="shared" si="35"/>
        <v>5782.0099523021436</v>
      </c>
      <c r="D43" s="110">
        <f t="shared" si="35"/>
        <v>5742.1591188885277</v>
      </c>
      <c r="E43" s="110">
        <f t="shared" si="35"/>
        <v>5519.6673657798456</v>
      </c>
      <c r="F43" s="110">
        <f t="shared" si="35"/>
        <v>5785.4832103867739</v>
      </c>
      <c r="G43" s="110">
        <f t="shared" si="35"/>
        <v>5828.9783507260745</v>
      </c>
      <c r="H43" s="110">
        <f t="shared" si="35"/>
        <v>6062.9336789370827</v>
      </c>
      <c r="I43" s="110">
        <f t="shared" si="35"/>
        <v>6253.4941835854861</v>
      </c>
      <c r="J43" s="110">
        <f t="shared" si="35"/>
        <v>6283.0467412170938</v>
      </c>
      <c r="K43" s="110">
        <f t="shared" si="35"/>
        <v>5827.8134905883544</v>
      </c>
      <c r="L43" s="110">
        <f t="shared" si="35"/>
        <v>5840.008533912378</v>
      </c>
      <c r="M43" s="110">
        <f t="shared" si="35"/>
        <v>6505.8801752104719</v>
      </c>
      <c r="N43" s="110">
        <f t="shared" si="35"/>
        <v>6388.5475108183355</v>
      </c>
      <c r="O43" s="110">
        <f t="shared" si="35"/>
        <v>6349.6141886056585</v>
      </c>
      <c r="P43" s="110">
        <f t="shared" si="35"/>
        <v>6265.7233046684105</v>
      </c>
      <c r="Q43" s="110">
        <f t="shared" si="35"/>
        <v>6546.7012584078766</v>
      </c>
      <c r="R43" s="110">
        <f t="shared" ref="R43:V43" si="36">R44+R45+R46</f>
        <v>6576.6806700652105</v>
      </c>
      <c r="S43" s="110">
        <f t="shared" si="36"/>
        <v>6696.2307631548883</v>
      </c>
      <c r="T43" s="110">
        <f t="shared" si="36"/>
        <v>6990.7241407403053</v>
      </c>
      <c r="U43" s="110">
        <f t="shared" si="36"/>
        <v>7338.4451979260375</v>
      </c>
      <c r="V43" s="110">
        <f t="shared" si="36"/>
        <v>3017.7876379909039</v>
      </c>
      <c r="W43" s="110">
        <f t="shared" ref="W43:Y43" si="37">W44+W45+W46</f>
        <v>3449.5913554922499</v>
      </c>
      <c r="X43" s="110">
        <f t="shared" si="37"/>
        <v>5973.7638925536585</v>
      </c>
      <c r="Y43" s="110">
        <f t="shared" si="37"/>
        <v>6401.3946461217347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991.91601876818868</v>
      </c>
      <c r="C44" s="102">
        <f>TrAvia_ene!C$7</f>
        <v>1003.1493110344252</v>
      </c>
      <c r="D44" s="102">
        <f>TrAvia_ene!D$7</f>
        <v>945.33190961141861</v>
      </c>
      <c r="E44" s="102">
        <f>TrAvia_ene!E$7</f>
        <v>881.40772572160085</v>
      </c>
      <c r="F44" s="102">
        <f>TrAvia_ene!F$7</f>
        <v>837.84085546052256</v>
      </c>
      <c r="G44" s="102">
        <f>TrAvia_ene!G$7</f>
        <v>831.2786360901805</v>
      </c>
      <c r="H44" s="102">
        <f>TrAvia_ene!H$7</f>
        <v>836.50280401207397</v>
      </c>
      <c r="I44" s="102">
        <f>TrAvia_ene!I$7</f>
        <v>843.26343998337165</v>
      </c>
      <c r="J44" s="102">
        <f>TrAvia_ene!J$7</f>
        <v>851.06056649281436</v>
      </c>
      <c r="K44" s="102">
        <f>TrAvia_ene!K$7</f>
        <v>810.00183490385416</v>
      </c>
      <c r="L44" s="102">
        <f>TrAvia_ene!L$7</f>
        <v>789.77701444016168</v>
      </c>
      <c r="M44" s="102">
        <f>TrAvia_ene!M$7</f>
        <v>1470.4890209336102</v>
      </c>
      <c r="N44" s="102">
        <f>TrAvia_ene!N$7</f>
        <v>1480.518564853679</v>
      </c>
      <c r="O44" s="102">
        <f>TrAvia_ene!O$7</f>
        <v>1458.0044276864453</v>
      </c>
      <c r="P44" s="102">
        <f>TrAvia_ene!P$7</f>
        <v>1388.4642720658469</v>
      </c>
      <c r="Q44" s="102">
        <f>TrAvia_ene!Q$7</f>
        <v>1389.6869526698704</v>
      </c>
      <c r="R44" s="102">
        <f>TrAvia_ene!R$7</f>
        <v>1438.858826003586</v>
      </c>
      <c r="S44" s="102">
        <f>TrAvia_ene!S$7</f>
        <v>1484.9339520648057</v>
      </c>
      <c r="T44" s="102">
        <f>TrAvia_ene!T$7</f>
        <v>1562.7884418787003</v>
      </c>
      <c r="U44" s="102">
        <f>TrAvia_ene!U$7</f>
        <v>1590.2338739496727</v>
      </c>
      <c r="V44" s="102">
        <f>TrAvia_ene!V$7</f>
        <v>946.03455917181498</v>
      </c>
      <c r="W44" s="102">
        <f>TrAvia_ene!W$7</f>
        <v>1158.7494900808781</v>
      </c>
      <c r="X44" s="102">
        <f>TrAvia_ene!X$7</f>
        <v>1560.7035431658162</v>
      </c>
      <c r="Y44" s="102">
        <f>TrAvia_ene!Y$7</f>
        <v>1406.3490622443458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1286.6124786619243</v>
      </c>
      <c r="C45" s="102">
        <f>TrAvia_ene!C$8</f>
        <v>1273.3590739185177</v>
      </c>
      <c r="D45" s="102">
        <f>TrAvia_ene!D$8</f>
        <v>1278.1447592742843</v>
      </c>
      <c r="E45" s="102">
        <f>TrAvia_ene!E$8</f>
        <v>1217.451791156082</v>
      </c>
      <c r="F45" s="102">
        <f>TrAvia_ene!F$8</f>
        <v>1264.7372192594873</v>
      </c>
      <c r="G45" s="102">
        <f>TrAvia_ene!G$8</f>
        <v>1274.3203083412157</v>
      </c>
      <c r="H45" s="102">
        <f>TrAvia_ene!H$8</f>
        <v>1361.0371860040214</v>
      </c>
      <c r="I45" s="102">
        <f>TrAvia_ene!I$8</f>
        <v>1437.3229074108733</v>
      </c>
      <c r="J45" s="102">
        <f>TrAvia_ene!J$8</f>
        <v>1411.2941576621163</v>
      </c>
      <c r="K45" s="102">
        <f>TrAvia_ene!K$8</f>
        <v>1248.8848021757819</v>
      </c>
      <c r="L45" s="102">
        <f>TrAvia_ene!L$8</f>
        <v>1231.9347241885703</v>
      </c>
      <c r="M45" s="102">
        <f>TrAvia_ene!M$8</f>
        <v>1239.7824569774489</v>
      </c>
      <c r="N45" s="102">
        <f>TrAvia_ene!N$8</f>
        <v>1190.5940186292949</v>
      </c>
      <c r="O45" s="102">
        <f>TrAvia_ene!O$8</f>
        <v>1179.4756860658183</v>
      </c>
      <c r="P45" s="102">
        <f>TrAvia_ene!P$8</f>
        <v>1185.2224215986755</v>
      </c>
      <c r="Q45" s="102">
        <f>TrAvia_ene!Q$8</f>
        <v>1256.1522605633588</v>
      </c>
      <c r="R45" s="102">
        <f>TrAvia_ene!R$8</f>
        <v>1317.2994870388982</v>
      </c>
      <c r="S45" s="102">
        <f>TrAvia_ene!S$8</f>
        <v>1375.5142508384936</v>
      </c>
      <c r="T45" s="102">
        <f>TrAvia_ene!T$8</f>
        <v>1410.9994970099319</v>
      </c>
      <c r="U45" s="102">
        <f>TrAvia_ene!U$8</f>
        <v>1439.4861009257759</v>
      </c>
      <c r="V45" s="102">
        <f>TrAvia_ene!V$8</f>
        <v>413.24281184340907</v>
      </c>
      <c r="W45" s="102">
        <f>TrAvia_ene!W$8</f>
        <v>514.28955126999426</v>
      </c>
      <c r="X45" s="102">
        <f>TrAvia_ene!X$8</f>
        <v>1182.8845076230552</v>
      </c>
      <c r="Y45" s="102">
        <f>TrAvia_ene!Y$8</f>
        <v>1306.6977105235565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3542.019640011943</v>
      </c>
      <c r="C46" s="102">
        <f>TrAvia_ene!C$9</f>
        <v>3505.5015673492003</v>
      </c>
      <c r="D46" s="102">
        <f>TrAvia_ene!D$9</f>
        <v>3518.6824500028247</v>
      </c>
      <c r="E46" s="102">
        <f>TrAvia_ene!E$9</f>
        <v>3420.8078489021623</v>
      </c>
      <c r="F46" s="102">
        <f>TrAvia_ene!F$9</f>
        <v>3682.9051356667637</v>
      </c>
      <c r="G46" s="102">
        <f>TrAvia_ene!G$9</f>
        <v>3723.3794062946781</v>
      </c>
      <c r="H46" s="102">
        <f>TrAvia_ene!H$9</f>
        <v>3865.3936889209867</v>
      </c>
      <c r="I46" s="102">
        <f>TrAvia_ene!I$9</f>
        <v>3972.9078361912407</v>
      </c>
      <c r="J46" s="102">
        <f>TrAvia_ene!J$9</f>
        <v>4020.6920170621634</v>
      </c>
      <c r="K46" s="102">
        <f>TrAvia_ene!K$9</f>
        <v>3768.9268535087185</v>
      </c>
      <c r="L46" s="102">
        <f>TrAvia_ene!L$9</f>
        <v>3818.2967952836457</v>
      </c>
      <c r="M46" s="102">
        <f>TrAvia_ene!M$9</f>
        <v>3795.6086972994126</v>
      </c>
      <c r="N46" s="102">
        <f>TrAvia_ene!N$9</f>
        <v>3717.4349273353619</v>
      </c>
      <c r="O46" s="102">
        <f>TrAvia_ene!O$9</f>
        <v>3712.1340748533948</v>
      </c>
      <c r="P46" s="102">
        <f>TrAvia_ene!P$9</f>
        <v>3692.0366110038885</v>
      </c>
      <c r="Q46" s="102">
        <f>TrAvia_ene!Q$9</f>
        <v>3900.8620451746474</v>
      </c>
      <c r="R46" s="102">
        <f>TrAvia_ene!R$9</f>
        <v>3820.5223570227267</v>
      </c>
      <c r="S46" s="102">
        <f>TrAvia_ene!S$9</f>
        <v>3835.7825602515891</v>
      </c>
      <c r="T46" s="102">
        <f>TrAvia_ene!T$9</f>
        <v>4016.9362018516731</v>
      </c>
      <c r="U46" s="102">
        <f>TrAvia_ene!U$9</f>
        <v>4308.7252230505892</v>
      </c>
      <c r="V46" s="102">
        <f>TrAvia_ene!V$9</f>
        <v>1658.5102669756798</v>
      </c>
      <c r="W46" s="102">
        <f>TrAvia_ene!W$9</f>
        <v>1776.5523141413778</v>
      </c>
      <c r="X46" s="102">
        <f>TrAvia_ene!X$9</f>
        <v>3230.175841764787</v>
      </c>
      <c r="Y46" s="102">
        <f>TrAvia_ene!Y$9</f>
        <v>3688.3478733538323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16425.731160971471</v>
      </c>
      <c r="C47" s="28">
        <f t="shared" si="38"/>
        <v>16443.213836377494</v>
      </c>
      <c r="D47" s="28">
        <f t="shared" si="38"/>
        <v>16354.72420805768</v>
      </c>
      <c r="E47" s="28">
        <f t="shared" si="38"/>
        <v>16034.590936527115</v>
      </c>
      <c r="F47" s="28">
        <f t="shared" si="38"/>
        <v>16518.007435143387</v>
      </c>
      <c r="G47" s="28">
        <f t="shared" si="38"/>
        <v>16338.64941083431</v>
      </c>
      <c r="H47" s="28">
        <f t="shared" si="38"/>
        <v>16370.031774901478</v>
      </c>
      <c r="I47" s="28">
        <f t="shared" si="38"/>
        <v>16504.381520075895</v>
      </c>
      <c r="J47" s="28">
        <f t="shared" si="38"/>
        <v>15819.318355651867</v>
      </c>
      <c r="K47" s="28">
        <f t="shared" si="38"/>
        <v>14864.144789217433</v>
      </c>
      <c r="L47" s="28">
        <f t="shared" si="38"/>
        <v>15317.408547785777</v>
      </c>
      <c r="M47" s="28">
        <f t="shared" si="38"/>
        <v>15839.583342051046</v>
      </c>
      <c r="N47" s="28">
        <f t="shared" si="38"/>
        <v>15466.885044926859</v>
      </c>
      <c r="O47" s="28">
        <f t="shared" si="38"/>
        <v>15549.734916031961</v>
      </c>
      <c r="P47" s="28">
        <f t="shared" si="38"/>
        <v>15456.37252423604</v>
      </c>
      <c r="Q47" s="28">
        <f t="shared" si="38"/>
        <v>15541.11941999143</v>
      </c>
      <c r="R47" s="28">
        <f t="shared" ref="R47:V47" si="39">R48+R51+R52+R56</f>
        <v>15617.777554124121</v>
      </c>
      <c r="S47" s="28">
        <f t="shared" si="39"/>
        <v>15992.327112367773</v>
      </c>
      <c r="T47" s="28">
        <f t="shared" si="39"/>
        <v>15802.421969163272</v>
      </c>
      <c r="U47" s="28">
        <f t="shared" si="39"/>
        <v>15826.308263498575</v>
      </c>
      <c r="V47" s="28">
        <f t="shared" si="39"/>
        <v>14628.825041665083</v>
      </c>
      <c r="W47" s="28">
        <f t="shared" ref="W47:Y47" si="40">W48+W51+W52+W56</f>
        <v>16252.030963502357</v>
      </c>
      <c r="X47" s="28">
        <f t="shared" si="40"/>
        <v>15870.865185160694</v>
      </c>
      <c r="Y47" s="28">
        <f t="shared" si="40"/>
        <v>15271.987960250033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15173.278566138077</v>
      </c>
      <c r="C48" s="137">
        <f t="shared" si="41"/>
        <v>15265.411649514344</v>
      </c>
      <c r="D48" s="137">
        <f t="shared" si="41"/>
        <v>15183.801702360739</v>
      </c>
      <c r="E48" s="137">
        <f t="shared" si="41"/>
        <v>14861.416229655491</v>
      </c>
      <c r="F48" s="137">
        <f t="shared" si="41"/>
        <v>15269.674044489328</v>
      </c>
      <c r="G48" s="137">
        <f t="shared" si="41"/>
        <v>15178.07724465472</v>
      </c>
      <c r="H48" s="137">
        <f t="shared" si="41"/>
        <v>15191.015579983621</v>
      </c>
      <c r="I48" s="137">
        <f t="shared" si="41"/>
        <v>15300.01557299098</v>
      </c>
      <c r="J48" s="137">
        <f t="shared" si="41"/>
        <v>14637.864070525527</v>
      </c>
      <c r="K48" s="137">
        <f t="shared" si="41"/>
        <v>13828.751346271594</v>
      </c>
      <c r="L48" s="137">
        <f t="shared" si="41"/>
        <v>14219.7193109205</v>
      </c>
      <c r="M48" s="137">
        <f t="shared" si="41"/>
        <v>14743.735565522755</v>
      </c>
      <c r="N48" s="137">
        <f t="shared" si="41"/>
        <v>14360.541460451092</v>
      </c>
      <c r="O48" s="137">
        <f t="shared" si="41"/>
        <v>14461.306608083851</v>
      </c>
      <c r="P48" s="137">
        <f t="shared" si="41"/>
        <v>14305.646357413421</v>
      </c>
      <c r="Q48" s="137">
        <f t="shared" si="41"/>
        <v>14348.696050593548</v>
      </c>
      <c r="R48" s="137">
        <f t="shared" ref="R48:V48" si="42">R49+R50</f>
        <v>14521.789145361399</v>
      </c>
      <c r="S48" s="137">
        <f t="shared" si="42"/>
        <v>14873.121486661381</v>
      </c>
      <c r="T48" s="137">
        <f t="shared" si="42"/>
        <v>14702.392159421102</v>
      </c>
      <c r="U48" s="137">
        <f t="shared" si="42"/>
        <v>14743.956424118807</v>
      </c>
      <c r="V48" s="137">
        <f t="shared" si="42"/>
        <v>13499.336872014606</v>
      </c>
      <c r="W48" s="137">
        <f t="shared" ref="W48:Y48" si="43">W49+W50</f>
        <v>15028.088054151114</v>
      </c>
      <c r="X48" s="137">
        <f t="shared" si="43"/>
        <v>14712.872084396669</v>
      </c>
      <c r="Y48" s="137">
        <f t="shared" si="43"/>
        <v>14230.38494214341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7029.9085070160227</v>
      </c>
      <c r="C49" s="102">
        <f>TrRoad_ene!C$43</f>
        <v>6990.7265413330824</v>
      </c>
      <c r="D49" s="102">
        <f>TrRoad_ene!D$43</f>
        <v>6880.8816825621534</v>
      </c>
      <c r="E49" s="102">
        <f>TrRoad_ene!E$43</f>
        <v>6655.5038305634062</v>
      </c>
      <c r="F49" s="102">
        <f>TrRoad_ene!F$43</f>
        <v>6437.0873442032098</v>
      </c>
      <c r="G49" s="102">
        <f>TrRoad_ene!G$43</f>
        <v>6324.2779138174337</v>
      </c>
      <c r="H49" s="102">
        <f>TrRoad_ene!H$43</f>
        <v>6275.1374416465733</v>
      </c>
      <c r="I49" s="102">
        <f>TrRoad_ene!I$43</f>
        <v>6210.3446143377387</v>
      </c>
      <c r="J49" s="102">
        <f>TrRoad_ene!J$43</f>
        <v>5997.5199912497619</v>
      </c>
      <c r="K49" s="102">
        <f>TrRoad_ene!K$43</f>
        <v>6134.4063523223795</v>
      </c>
      <c r="L49" s="102">
        <f>TrRoad_ene!L$43</f>
        <v>6283.5880167270179</v>
      </c>
      <c r="M49" s="102">
        <f>TrRoad_ene!M$43</f>
        <v>6684.7837256980411</v>
      </c>
      <c r="N49" s="102">
        <f>TrRoad_ene!N$43</f>
        <v>6754.0268670607757</v>
      </c>
      <c r="O49" s="102">
        <f>TrRoad_ene!O$43</f>
        <v>6797.5486298242504</v>
      </c>
      <c r="P49" s="102">
        <f>TrRoad_ene!P$43</f>
        <v>6722.6257388505592</v>
      </c>
      <c r="Q49" s="102">
        <f>TrRoad_ene!Q$43</f>
        <v>6946.3835578309499</v>
      </c>
      <c r="R49" s="102">
        <f>TrRoad_ene!R$43</f>
        <v>6877.4162894459405</v>
      </c>
      <c r="S49" s="102">
        <f>TrRoad_ene!S$43</f>
        <v>7003.9569763857962</v>
      </c>
      <c r="T49" s="102">
        <f>TrRoad_ene!T$43</f>
        <v>6990.112565296582</v>
      </c>
      <c r="U49" s="102">
        <f>TrRoad_ene!U$43</f>
        <v>6937.0340416029512</v>
      </c>
      <c r="V49" s="102">
        <f>TrRoad_ene!V$43</f>
        <v>5955.155185358919</v>
      </c>
      <c r="W49" s="102">
        <f>TrRoad_ene!W$43</f>
        <v>7044.1227138086515</v>
      </c>
      <c r="X49" s="102">
        <f>TrRoad_ene!X$43</f>
        <v>6989.6665398886462</v>
      </c>
      <c r="Y49" s="102">
        <f>TrRoad_ene!Y$43</f>
        <v>6901.7412143617275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8143.3700591220531</v>
      </c>
      <c r="C50" s="102">
        <f>TrRoad_ene!C$52</f>
        <v>8274.685108181262</v>
      </c>
      <c r="D50" s="102">
        <f>TrRoad_ene!D$52</f>
        <v>8302.9200197985847</v>
      </c>
      <c r="E50" s="102">
        <f>TrRoad_ene!E$52</f>
        <v>8205.9123990920853</v>
      </c>
      <c r="F50" s="102">
        <f>TrRoad_ene!F$52</f>
        <v>8832.5867002861178</v>
      </c>
      <c r="G50" s="102">
        <f>TrRoad_ene!G$52</f>
        <v>8853.7993308372861</v>
      </c>
      <c r="H50" s="102">
        <f>TrRoad_ene!H$52</f>
        <v>8915.8781383370479</v>
      </c>
      <c r="I50" s="102">
        <f>TrRoad_ene!I$52</f>
        <v>9089.6709586532415</v>
      </c>
      <c r="J50" s="102">
        <f>TrRoad_ene!J$52</f>
        <v>8640.3440792757647</v>
      </c>
      <c r="K50" s="102">
        <f>TrRoad_ene!K$52</f>
        <v>7694.3449939492148</v>
      </c>
      <c r="L50" s="102">
        <f>TrRoad_ene!L$52</f>
        <v>7936.131294193483</v>
      </c>
      <c r="M50" s="102">
        <f>TrRoad_ene!M$52</f>
        <v>8058.9518398247128</v>
      </c>
      <c r="N50" s="102">
        <f>TrRoad_ene!N$52</f>
        <v>7606.5145933903168</v>
      </c>
      <c r="O50" s="102">
        <f>TrRoad_ene!O$52</f>
        <v>7663.7579782596003</v>
      </c>
      <c r="P50" s="102">
        <f>TrRoad_ene!P$52</f>
        <v>7583.0206185628631</v>
      </c>
      <c r="Q50" s="102">
        <f>TrRoad_ene!Q$52</f>
        <v>7402.3124927625977</v>
      </c>
      <c r="R50" s="102">
        <f>TrRoad_ene!R$52</f>
        <v>7644.3728559154597</v>
      </c>
      <c r="S50" s="102">
        <f>TrRoad_ene!S$52</f>
        <v>7869.1645102755838</v>
      </c>
      <c r="T50" s="102">
        <f>TrRoad_ene!T$52</f>
        <v>7712.2795941245204</v>
      </c>
      <c r="U50" s="102">
        <f>TrRoad_ene!U$52</f>
        <v>7806.922382515856</v>
      </c>
      <c r="V50" s="102">
        <f>TrRoad_ene!V$52</f>
        <v>7544.1816866556883</v>
      </c>
      <c r="W50" s="102">
        <f>TrRoad_ene!W$52</f>
        <v>7983.9653403424618</v>
      </c>
      <c r="X50" s="102">
        <f>TrRoad_ene!X$52</f>
        <v>7723.2055445080241</v>
      </c>
      <c r="Y50" s="102">
        <f>TrRoad_ene!Y$52</f>
        <v>7328.6437277816822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318.35765402953547</v>
      </c>
      <c r="C51" s="110">
        <f>TrRail_ene!C$17</f>
        <v>286.79451233812017</v>
      </c>
      <c r="D51" s="110">
        <f>TrRail_ene!D$17</f>
        <v>287.23140962416437</v>
      </c>
      <c r="E51" s="110">
        <f>TrRail_ene!E$17</f>
        <v>278.43433404441998</v>
      </c>
      <c r="F51" s="110">
        <f>TrRail_ene!F$17</f>
        <v>247.56922356877874</v>
      </c>
      <c r="G51" s="110">
        <f>TrRail_ene!G$17</f>
        <v>200.95507408537401</v>
      </c>
      <c r="H51" s="110">
        <f>TrRail_ene!H$17</f>
        <v>187.87936654625383</v>
      </c>
      <c r="I51" s="110">
        <f>TrRail_ene!I$17</f>
        <v>178.17552189997892</v>
      </c>
      <c r="J51" s="110">
        <f>TrRail_ene!J$17</f>
        <v>169.19861877679574</v>
      </c>
      <c r="K51" s="110">
        <f>TrRail_ene!K$17</f>
        <v>134.56368331923176</v>
      </c>
      <c r="L51" s="110">
        <f>TrRail_ene!L$17</f>
        <v>128.77283526604617</v>
      </c>
      <c r="M51" s="110">
        <f>TrRail_ene!M$17</f>
        <v>114.95968002767272</v>
      </c>
      <c r="N51" s="110">
        <f>TrRail_ene!N$17</f>
        <v>110.91921223305316</v>
      </c>
      <c r="O51" s="110">
        <f>TrRail_ene!O$17</f>
        <v>122.68067368188547</v>
      </c>
      <c r="P51" s="110">
        <f>TrRail_ene!P$17</f>
        <v>113.71714131046292</v>
      </c>
      <c r="Q51" s="110">
        <f>TrRail_ene!Q$17</f>
        <v>115.83451602588076</v>
      </c>
      <c r="R51" s="110">
        <f>TrRail_ene!R$17</f>
        <v>106.47999886232799</v>
      </c>
      <c r="S51" s="110">
        <f>TrRail_ene!S$17</f>
        <v>112.43028396016295</v>
      </c>
      <c r="T51" s="110">
        <f>TrRail_ene!T$17</f>
        <v>106.12428582211302</v>
      </c>
      <c r="U51" s="110">
        <f>TrRail_ene!U$17</f>
        <v>103.67141391801805</v>
      </c>
      <c r="V51" s="110">
        <f>TrRail_ene!V$17</f>
        <v>110.94055398703699</v>
      </c>
      <c r="W51" s="110">
        <f>TrRail_ene!W$17</f>
        <v>120.40666381167847</v>
      </c>
      <c r="X51" s="110">
        <f>TrRail_ene!X$17</f>
        <v>112.71855823599576</v>
      </c>
      <c r="Y51" s="110">
        <f>TrRail_ene!Y$17</f>
        <v>97.176598020274938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450.98617038253451</v>
      </c>
      <c r="C52" s="110">
        <f t="shared" si="44"/>
        <v>452.65376222924129</v>
      </c>
      <c r="D52" s="110">
        <f t="shared" si="44"/>
        <v>440.88757070734277</v>
      </c>
      <c r="E52" s="110">
        <f t="shared" si="44"/>
        <v>431.21242785729896</v>
      </c>
      <c r="F52" s="110">
        <f t="shared" si="44"/>
        <v>470.41240440256399</v>
      </c>
      <c r="G52" s="110">
        <f t="shared" si="44"/>
        <v>484.45260370212793</v>
      </c>
      <c r="H52" s="110">
        <f t="shared" si="44"/>
        <v>502.10982923144695</v>
      </c>
      <c r="I52" s="110">
        <f t="shared" si="44"/>
        <v>520.02817239043793</v>
      </c>
      <c r="J52" s="110">
        <f t="shared" si="44"/>
        <v>526.37234734696449</v>
      </c>
      <c r="K52" s="110">
        <f t="shared" si="44"/>
        <v>409.69201242110432</v>
      </c>
      <c r="L52" s="110">
        <f t="shared" si="44"/>
        <v>475.45251509879984</v>
      </c>
      <c r="M52" s="110">
        <f t="shared" si="44"/>
        <v>510.11509564077477</v>
      </c>
      <c r="N52" s="110">
        <f t="shared" si="44"/>
        <v>521.5263498867381</v>
      </c>
      <c r="O52" s="110">
        <f t="shared" si="44"/>
        <v>488.27721294206236</v>
      </c>
      <c r="P52" s="110">
        <f t="shared" si="44"/>
        <v>559.33774434276768</v>
      </c>
      <c r="Q52" s="110">
        <f t="shared" si="44"/>
        <v>595.13571493691984</v>
      </c>
      <c r="R52" s="110">
        <f t="shared" si="44"/>
        <v>516.41356897176252</v>
      </c>
      <c r="S52" s="110">
        <f t="shared" si="44"/>
        <v>532.46167020710618</v>
      </c>
      <c r="T52" s="110">
        <f t="shared" si="44"/>
        <v>515.45505100518153</v>
      </c>
      <c r="U52" s="110">
        <f t="shared" si="44"/>
        <v>491.64044265865505</v>
      </c>
      <c r="V52" s="110">
        <f t="shared" si="44"/>
        <v>599.94280053016257</v>
      </c>
      <c r="W52" s="110">
        <f t="shared" ref="W52:Y52" si="45">W53+W54+W55</f>
        <v>622.78009764618503</v>
      </c>
      <c r="X52" s="110">
        <f t="shared" si="45"/>
        <v>524.2042071883892</v>
      </c>
      <c r="Y52" s="110">
        <f t="shared" si="45"/>
        <v>430.91171673295258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63.625167818225719</v>
      </c>
      <c r="C53" s="102">
        <f>TrAvia_ene!C$11</f>
        <v>73.453354485780835</v>
      </c>
      <c r="D53" s="102">
        <f>TrAvia_ene!D$11</f>
        <v>58.587522890730881</v>
      </c>
      <c r="E53" s="102">
        <f>TrAvia_ene!E$11</f>
        <v>47.492962154581349</v>
      </c>
      <c r="F53" s="102">
        <f>TrAvia_ene!F$11</f>
        <v>48.953211607405258</v>
      </c>
      <c r="G53" s="102">
        <f>TrAvia_ene!G$11</f>
        <v>48.350426678521139</v>
      </c>
      <c r="H53" s="102">
        <f>TrAvia_ene!H$11</f>
        <v>41.072346460841018</v>
      </c>
      <c r="I53" s="102">
        <f>TrAvia_ene!I$11</f>
        <v>34.311710489543358</v>
      </c>
      <c r="J53" s="102">
        <f>TrAvia_ene!J$11</f>
        <v>27.493689741063616</v>
      </c>
      <c r="K53" s="102">
        <f>TrAvia_ene!K$11</f>
        <v>24.511492697177609</v>
      </c>
      <c r="L53" s="102">
        <f>TrAvia_ene!L$11</f>
        <v>17.938892696553673</v>
      </c>
      <c r="M53" s="102">
        <f>TrAvia_ene!M$11</f>
        <v>32.684667802416968</v>
      </c>
      <c r="N53" s="102">
        <f>TrAvia_ene!N$11</f>
        <v>33.828038757671116</v>
      </c>
      <c r="O53" s="102">
        <f>TrAvia_ene!O$11</f>
        <v>31.239940327311697</v>
      </c>
      <c r="P53" s="102">
        <f>TrAvia_ene!P$11</f>
        <v>36.508900763043989</v>
      </c>
      <c r="Q53" s="102">
        <f>TrAvia_ene!Q$11</f>
        <v>35.239960485760946</v>
      </c>
      <c r="R53" s="102">
        <f>TrAvia_ene!R$11</f>
        <v>31.003254821865141</v>
      </c>
      <c r="S53" s="102">
        <f>TrAvia_ene!S$11</f>
        <v>32.294508812236195</v>
      </c>
      <c r="T53" s="102">
        <f>TrAvia_ene!T$11</f>
        <v>32.345779961368926</v>
      </c>
      <c r="U53" s="102">
        <f>TrAvia_ene!U$11</f>
        <v>31.369049524102003</v>
      </c>
      <c r="V53" s="102">
        <f>TrAvia_ene!V$11</f>
        <v>35.592267999294272</v>
      </c>
      <c r="W53" s="102">
        <f>TrAvia_ene!W$11</f>
        <v>47.262203814220854</v>
      </c>
      <c r="X53" s="102">
        <f>TrAvia_ene!X$11</f>
        <v>23.750111176402452</v>
      </c>
      <c r="Y53" s="102">
        <f>TrAvia_ene!Y$11</f>
        <v>24.371746010168678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25.471279355902873</v>
      </c>
      <c r="C54" s="102">
        <f>TrAvia_ene!C$12</f>
        <v>29.006977774176168</v>
      </c>
      <c r="D54" s="102">
        <f>TrAvia_ene!D$12</f>
        <v>26.20319541029134</v>
      </c>
      <c r="E54" s="102">
        <f>TrAvia_ene!E$12</f>
        <v>24.274497907288055</v>
      </c>
      <c r="F54" s="102">
        <f>TrAvia_ene!F$12</f>
        <v>26.944008485778305</v>
      </c>
      <c r="G54" s="102">
        <f>TrAvia_ene!G$12</f>
        <v>25.876203548554248</v>
      </c>
      <c r="H54" s="102">
        <f>TrAvia_ene!H$12</f>
        <v>33.950232958433034</v>
      </c>
      <c r="I54" s="102">
        <f>TrAvia_ene!I$12</f>
        <v>41.075338019249223</v>
      </c>
      <c r="J54" s="102">
        <f>TrAvia_ene!J$12</f>
        <v>39.856713432090544</v>
      </c>
      <c r="K54" s="102">
        <f>TrAvia_ene!K$12</f>
        <v>34.999463400690694</v>
      </c>
      <c r="L54" s="102">
        <f>TrAvia_ene!L$12</f>
        <v>39.487810845211499</v>
      </c>
      <c r="M54" s="102">
        <f>TrAvia_ene!M$12</f>
        <v>45.600747280893259</v>
      </c>
      <c r="N54" s="102">
        <f>TrAvia_ene!N$12</f>
        <v>42.735157173183403</v>
      </c>
      <c r="O54" s="102">
        <f>TrAvia_ene!O$12</f>
        <v>46.251742284924141</v>
      </c>
      <c r="P54" s="102">
        <f>TrAvia_ene!P$12</f>
        <v>56.275531493568415</v>
      </c>
      <c r="Q54" s="102">
        <f>TrAvia_ene!Q$12</f>
        <v>57.396661403625536</v>
      </c>
      <c r="R54" s="102">
        <f>TrAvia_ene!R$12</f>
        <v>50.255511806076264</v>
      </c>
      <c r="S54" s="102">
        <f>TrAvia_ene!S$12</f>
        <v>54.658853970488565</v>
      </c>
      <c r="T54" s="102">
        <f>TrAvia_ene!T$12</f>
        <v>47.560860524232787</v>
      </c>
      <c r="U54" s="102">
        <f>TrAvia_ene!U$12</f>
        <v>48.326398065976392</v>
      </c>
      <c r="V54" s="102">
        <f>TrAvia_ene!V$12</f>
        <v>39.484795869487861</v>
      </c>
      <c r="W54" s="102">
        <f>TrAvia_ene!W$12</f>
        <v>41.930658015907042</v>
      </c>
      <c r="X54" s="102">
        <f>TrAvia_ene!X$12</f>
        <v>60.130568226533796</v>
      </c>
      <c r="Y54" s="102">
        <f>TrAvia_ene!Y$12</f>
        <v>58.390275349422069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361.88972320840588</v>
      </c>
      <c r="C55" s="102">
        <f>TrAvia_ene!C$13</f>
        <v>350.1934299692843</v>
      </c>
      <c r="D55" s="102">
        <f>TrAvia_ene!D$13</f>
        <v>356.09685240632058</v>
      </c>
      <c r="E55" s="102">
        <f>TrAvia_ene!E$13</f>
        <v>359.44496779542959</v>
      </c>
      <c r="F55" s="102">
        <f>TrAvia_ene!F$13</f>
        <v>394.51518430938046</v>
      </c>
      <c r="G55" s="102">
        <f>TrAvia_ene!G$13</f>
        <v>410.22597347505251</v>
      </c>
      <c r="H55" s="102">
        <f>TrAvia_ene!H$13</f>
        <v>427.0872498121729</v>
      </c>
      <c r="I55" s="102">
        <f>TrAvia_ene!I$13</f>
        <v>444.6411238816454</v>
      </c>
      <c r="J55" s="102">
        <f>TrAvia_ene!J$13</f>
        <v>459.02194417381031</v>
      </c>
      <c r="K55" s="102">
        <f>TrAvia_ene!K$13</f>
        <v>350.18105632323602</v>
      </c>
      <c r="L55" s="102">
        <f>TrAvia_ene!L$13</f>
        <v>418.02581155703467</v>
      </c>
      <c r="M55" s="102">
        <f>TrAvia_ene!M$13</f>
        <v>431.82968055746454</v>
      </c>
      <c r="N55" s="102">
        <f>TrAvia_ene!N$13</f>
        <v>444.96315395588363</v>
      </c>
      <c r="O55" s="102">
        <f>TrAvia_ene!O$13</f>
        <v>410.78553032982654</v>
      </c>
      <c r="P55" s="102">
        <f>TrAvia_ene!P$13</f>
        <v>466.55331208615524</v>
      </c>
      <c r="Q55" s="102">
        <f>TrAvia_ene!Q$13</f>
        <v>502.49909304753339</v>
      </c>
      <c r="R55" s="102">
        <f>TrAvia_ene!R$13</f>
        <v>435.15480234382107</v>
      </c>
      <c r="S55" s="102">
        <f>TrAvia_ene!S$13</f>
        <v>445.50830742438143</v>
      </c>
      <c r="T55" s="102">
        <f>TrAvia_ene!T$13</f>
        <v>435.54841051957976</v>
      </c>
      <c r="U55" s="102">
        <f>TrAvia_ene!U$13</f>
        <v>411.94499506857665</v>
      </c>
      <c r="V55" s="102">
        <f>TrAvia_ene!V$13</f>
        <v>524.86573666138042</v>
      </c>
      <c r="W55" s="102">
        <f>TrAvia_ene!W$13</f>
        <v>533.58723581605716</v>
      </c>
      <c r="X55" s="102">
        <f>TrAvia_ene!X$13</f>
        <v>440.323527785453</v>
      </c>
      <c r="Y55" s="102">
        <f>TrAvia_ene!Y$13</f>
        <v>348.14969537336185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483.10877042132415</v>
      </c>
      <c r="C56" s="110">
        <f t="shared" si="46"/>
        <v>438.3539122957867</v>
      </c>
      <c r="D56" s="110">
        <f t="shared" si="46"/>
        <v>442.80352536543421</v>
      </c>
      <c r="E56" s="110">
        <f t="shared" si="46"/>
        <v>463.52794496990543</v>
      </c>
      <c r="F56" s="110">
        <f t="shared" si="46"/>
        <v>530.35176268271709</v>
      </c>
      <c r="G56" s="110">
        <f t="shared" si="46"/>
        <v>475.16448839208942</v>
      </c>
      <c r="H56" s="110">
        <f t="shared" si="46"/>
        <v>489.02699914015466</v>
      </c>
      <c r="I56" s="110">
        <f t="shared" si="46"/>
        <v>506.16225279449691</v>
      </c>
      <c r="J56" s="110">
        <f t="shared" si="46"/>
        <v>485.88331900257958</v>
      </c>
      <c r="K56" s="110">
        <f t="shared" si="46"/>
        <v>491.13774720550305</v>
      </c>
      <c r="L56" s="110">
        <f t="shared" si="46"/>
        <v>493.46388650042991</v>
      </c>
      <c r="M56" s="110">
        <f t="shared" si="46"/>
        <v>470.77300085984518</v>
      </c>
      <c r="N56" s="110">
        <f t="shared" si="46"/>
        <v>473.89802235597591</v>
      </c>
      <c r="O56" s="110">
        <f t="shared" si="46"/>
        <v>477.47042132416163</v>
      </c>
      <c r="P56" s="110">
        <f t="shared" si="46"/>
        <v>477.67128116938954</v>
      </c>
      <c r="Q56" s="110">
        <f t="shared" si="46"/>
        <v>481.45313843508154</v>
      </c>
      <c r="R56" s="110">
        <f t="shared" ref="R56:V56" si="47">R57+R58</f>
        <v>473.09484092863283</v>
      </c>
      <c r="S56" s="110">
        <f t="shared" si="47"/>
        <v>474.31367153912294</v>
      </c>
      <c r="T56" s="110">
        <f t="shared" si="47"/>
        <v>478.45047291487526</v>
      </c>
      <c r="U56" s="110">
        <f t="shared" si="47"/>
        <v>487.03998280309543</v>
      </c>
      <c r="V56" s="110">
        <f t="shared" si="47"/>
        <v>418.60481513327602</v>
      </c>
      <c r="W56" s="110">
        <f t="shared" ref="W56:Y56" si="48">W57+W58</f>
        <v>480.75614789337919</v>
      </c>
      <c r="X56" s="110">
        <f t="shared" si="48"/>
        <v>521.07033533963886</v>
      </c>
      <c r="Y56" s="110">
        <f t="shared" si="48"/>
        <v>513.51470335339627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400.22789126899806</v>
      </c>
      <c r="C57" s="102">
        <f>TrNavi_ene!C4</f>
        <v>343.65054416615214</v>
      </c>
      <c r="D57" s="102">
        <f>TrNavi_ene!D4</f>
        <v>345.42110033278033</v>
      </c>
      <c r="E57" s="102">
        <f>TrNavi_ene!E4</f>
        <v>342.19966155999867</v>
      </c>
      <c r="F57" s="102">
        <f>TrNavi_ene!F4</f>
        <v>381.80123680916557</v>
      </c>
      <c r="G57" s="102">
        <f>TrNavi_ene!G4</f>
        <v>356.00347361247043</v>
      </c>
      <c r="H57" s="102">
        <f>TrNavi_ene!H4</f>
        <v>400.31073594432809</v>
      </c>
      <c r="I57" s="102">
        <f>TrNavi_ene!I4</f>
        <v>372.31516198738495</v>
      </c>
      <c r="J57" s="102">
        <f>TrNavi_ene!J4</f>
        <v>399.85318510319746</v>
      </c>
      <c r="K57" s="102">
        <f>TrNavi_ene!K4</f>
        <v>379.71309884924364</v>
      </c>
      <c r="L57" s="102">
        <f>TrNavi_ene!L4</f>
        <v>393.56357743222509</v>
      </c>
      <c r="M57" s="102">
        <f>TrNavi_ene!M4</f>
        <v>377.856563959293</v>
      </c>
      <c r="N57" s="102">
        <f>TrNavi_ene!N4</f>
        <v>364.10048123740296</v>
      </c>
      <c r="O57" s="102">
        <f>TrNavi_ene!O4</f>
        <v>300.0814557135941</v>
      </c>
      <c r="P57" s="102">
        <f>TrNavi_ene!P4</f>
        <v>361.33567357167482</v>
      </c>
      <c r="Q57" s="102">
        <f>TrNavi_ene!Q4</f>
        <v>374.60340933845646</v>
      </c>
      <c r="R57" s="102">
        <f>TrNavi_ene!R4</f>
        <v>343.01163381579852</v>
      </c>
      <c r="S57" s="102">
        <f>TrNavi_ene!S4</f>
        <v>365.8405417483155</v>
      </c>
      <c r="T57" s="102">
        <f>TrNavi_ene!T4</f>
        <v>384.58366141754868</v>
      </c>
      <c r="U57" s="102">
        <f>TrNavi_ene!U4</f>
        <v>388.81356284653214</v>
      </c>
      <c r="V57" s="102">
        <f>TrNavi_ene!V4</f>
        <v>339.07718932423666</v>
      </c>
      <c r="W57" s="102">
        <f>TrNavi_ene!W4</f>
        <v>388.66666167378668</v>
      </c>
      <c r="X57" s="102">
        <f>TrNavi_ene!X4</f>
        <v>421.35222851263899</v>
      </c>
      <c r="Y57" s="102">
        <f>TrNavi_ene!Y4</f>
        <v>440.91843869547415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82.880879152326074</v>
      </c>
      <c r="C58" s="169">
        <f>TrNavi_ene!C10</f>
        <v>94.703368129634541</v>
      </c>
      <c r="D58" s="169">
        <f>TrNavi_ene!D10</f>
        <v>97.382425032653913</v>
      </c>
      <c r="E58" s="169">
        <f>TrNavi_ene!E10</f>
        <v>121.32828340990673</v>
      </c>
      <c r="F58" s="169">
        <f>TrNavi_ene!F10</f>
        <v>148.55052587355152</v>
      </c>
      <c r="G58" s="169">
        <f>TrNavi_ene!G10</f>
        <v>119.16101477961898</v>
      </c>
      <c r="H58" s="169">
        <f>TrNavi_ene!H10</f>
        <v>88.716263195826571</v>
      </c>
      <c r="I58" s="169">
        <f>TrNavi_ene!I10</f>
        <v>133.84709080711193</v>
      </c>
      <c r="J58" s="169">
        <f>TrNavi_ene!J10</f>
        <v>86.030133899382122</v>
      </c>
      <c r="K58" s="169">
        <f>TrNavi_ene!K10</f>
        <v>111.42464835625941</v>
      </c>
      <c r="L58" s="169">
        <f>TrNavi_ene!L10</f>
        <v>99.90030906820482</v>
      </c>
      <c r="M58" s="169">
        <f>TrNavi_ene!M10</f>
        <v>92.916436900552199</v>
      </c>
      <c r="N58" s="169">
        <f>TrNavi_ene!N10</f>
        <v>109.79754111857297</v>
      </c>
      <c r="O58" s="169">
        <f>TrNavi_ene!O10</f>
        <v>177.38896561056754</v>
      </c>
      <c r="P58" s="169">
        <f>TrNavi_ene!P10</f>
        <v>116.33560759771474</v>
      </c>
      <c r="Q58" s="169">
        <f>TrNavi_ene!Q10</f>
        <v>106.8497290966251</v>
      </c>
      <c r="R58" s="169">
        <f>TrNavi_ene!R10</f>
        <v>130.08320711283429</v>
      </c>
      <c r="S58" s="169">
        <f>TrNavi_ene!S10</f>
        <v>108.47312979080743</v>
      </c>
      <c r="T58" s="169">
        <f>TrNavi_ene!T10</f>
        <v>93.866811497326609</v>
      </c>
      <c r="U58" s="169">
        <f>TrNavi_ene!U10</f>
        <v>98.226419956563262</v>
      </c>
      <c r="V58" s="169">
        <f>TrNavi_ene!V10</f>
        <v>79.527625809039336</v>
      </c>
      <c r="W58" s="169">
        <f>TrNavi_ene!W10</f>
        <v>92.089486219592487</v>
      </c>
      <c r="X58" s="169">
        <f>TrNavi_ene!X10</f>
        <v>99.718106826999872</v>
      </c>
      <c r="Y58" s="169">
        <f>TrNavi_ene!Y10</f>
        <v>72.596264657922134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2818.4197764402406</v>
      </c>
      <c r="C59" s="28">
        <f t="shared" ref="C59:W59" si="49">C60+C61</f>
        <v>2390.2073086844357</v>
      </c>
      <c r="D59" s="28">
        <f t="shared" si="49"/>
        <v>2313.4613069647462</v>
      </c>
      <c r="E59" s="28">
        <f t="shared" si="49"/>
        <v>2478.2748925193459</v>
      </c>
      <c r="F59" s="28">
        <f t="shared" si="49"/>
        <v>2796.8029234737742</v>
      </c>
      <c r="G59" s="28">
        <f t="shared" si="49"/>
        <v>2557.3062768701639</v>
      </c>
      <c r="H59" s="28">
        <f t="shared" si="49"/>
        <v>2646.6034393809114</v>
      </c>
      <c r="I59" s="28">
        <f t="shared" si="49"/>
        <v>2712.4119518486668</v>
      </c>
      <c r="J59" s="28">
        <f t="shared" si="49"/>
        <v>2370.3568357695613</v>
      </c>
      <c r="K59" s="28">
        <f t="shared" si="49"/>
        <v>2364.3950988822012</v>
      </c>
      <c r="L59" s="28">
        <f t="shared" si="49"/>
        <v>2293.5897678417887</v>
      </c>
      <c r="M59" s="28">
        <f t="shared" si="49"/>
        <v>2633.7740326741186</v>
      </c>
      <c r="N59" s="28">
        <f t="shared" si="49"/>
        <v>2494.5598452278582</v>
      </c>
      <c r="O59" s="28">
        <f t="shared" si="49"/>
        <v>2279.2638005159079</v>
      </c>
      <c r="P59" s="28">
        <f t="shared" si="49"/>
        <v>1952.0380051590714</v>
      </c>
      <c r="Q59" s="28">
        <f t="shared" si="49"/>
        <v>1747.9613929492684</v>
      </c>
      <c r="R59" s="28">
        <f t="shared" si="49"/>
        <v>1658.9067927772996</v>
      </c>
      <c r="S59" s="28">
        <f t="shared" si="49"/>
        <v>1749.3066208082546</v>
      </c>
      <c r="T59" s="28">
        <f t="shared" si="49"/>
        <v>1969.4362854686153</v>
      </c>
      <c r="U59" s="28">
        <f t="shared" si="49"/>
        <v>1722.1537403267412</v>
      </c>
      <c r="V59" s="28">
        <f t="shared" si="49"/>
        <v>986.91711092003447</v>
      </c>
      <c r="W59" s="28">
        <f t="shared" si="49"/>
        <v>1120.1849527085121</v>
      </c>
      <c r="X59" s="28">
        <f t="shared" ref="X59:Y59" si="50">X60+X61</f>
        <v>1182.4335339638865</v>
      </c>
      <c r="Y59" s="28">
        <f t="shared" si="50"/>
        <v>1060.6345657781601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992.00000221593245</v>
      </c>
      <c r="C60" s="102">
        <f>MBunk_ene!C$4</f>
        <v>842.41312030889958</v>
      </c>
      <c r="D60" s="102">
        <f>MBunk_ene!D$4</f>
        <v>766.58115323628988</v>
      </c>
      <c r="E60" s="102">
        <f>MBunk_ene!E$4</f>
        <v>806.46428798123952</v>
      </c>
      <c r="F60" s="102">
        <f>MBunk_ene!F$4</f>
        <v>930.38798339660889</v>
      </c>
      <c r="G60" s="102">
        <f>MBunk_ene!G$4</f>
        <v>817.00987920293562</v>
      </c>
      <c r="H60" s="102">
        <f>MBunk_ene!H$4</f>
        <v>777.32832509795026</v>
      </c>
      <c r="I60" s="102">
        <f>MBunk_ene!I$4</f>
        <v>808.25202218743675</v>
      </c>
      <c r="J60" s="102">
        <f>MBunk_ene!J$4</f>
        <v>689.62557386188701</v>
      </c>
      <c r="K60" s="102">
        <f>MBunk_ene!K$4</f>
        <v>732.50113204837589</v>
      </c>
      <c r="L60" s="102">
        <f>MBunk_ene!L$4</f>
        <v>713.70922820605051</v>
      </c>
      <c r="M60" s="102">
        <f>MBunk_ene!M$4</f>
        <v>807.36689714772081</v>
      </c>
      <c r="N60" s="102">
        <f>MBunk_ene!N$4</f>
        <v>770.47292212208254</v>
      </c>
      <c r="O60" s="102">
        <f>MBunk_ene!O$4</f>
        <v>661.79396815777091</v>
      </c>
      <c r="P60" s="102">
        <f>MBunk_ene!P$4</f>
        <v>572.84194622627285</v>
      </c>
      <c r="Q60" s="102">
        <f>MBunk_ene!Q$4</f>
        <v>489.77100164430891</v>
      </c>
      <c r="R60" s="102">
        <f>MBunk_ene!R$4</f>
        <v>509.83695025897981</v>
      </c>
      <c r="S60" s="102">
        <f>MBunk_ene!S$4</f>
        <v>529.57161562597184</v>
      </c>
      <c r="T60" s="102">
        <f>MBunk_ene!T$4</f>
        <v>597.99735359451802</v>
      </c>
      <c r="U60" s="102">
        <f>MBunk_ene!U$4</f>
        <v>511.13807178470836</v>
      </c>
      <c r="V60" s="102">
        <f>MBunk_ene!V$4</f>
        <v>268.2881598409495</v>
      </c>
      <c r="W60" s="102">
        <f>MBunk_ene!W$4</f>
        <v>296.73613602884581</v>
      </c>
      <c r="X60" s="102">
        <f>MBunk_ene!X$4</f>
        <v>318.55353533591244</v>
      </c>
      <c r="Y60" s="102">
        <f>MBunk_ene!Y$4</f>
        <v>293.2135834328862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1826.4197742243084</v>
      </c>
      <c r="C61" s="86">
        <f>MBunk_ene!C$10</f>
        <v>1547.7941883755364</v>
      </c>
      <c r="D61" s="86">
        <f>MBunk_ene!D$10</f>
        <v>1546.8801537284562</v>
      </c>
      <c r="E61" s="86">
        <f>MBunk_ene!E$10</f>
        <v>1671.8106045381064</v>
      </c>
      <c r="F61" s="86">
        <f>MBunk_ene!F$10</f>
        <v>1866.4149400771655</v>
      </c>
      <c r="G61" s="86">
        <f>MBunk_ene!G$10</f>
        <v>1740.2963976672281</v>
      </c>
      <c r="H61" s="86">
        <f>MBunk_ene!H$10</f>
        <v>1869.2751142829609</v>
      </c>
      <c r="I61" s="86">
        <f>MBunk_ene!I$10</f>
        <v>1904.1599296612303</v>
      </c>
      <c r="J61" s="86">
        <f>MBunk_ene!J$10</f>
        <v>1680.731261907674</v>
      </c>
      <c r="K61" s="86">
        <f>MBunk_ene!K$10</f>
        <v>1631.8939668338253</v>
      </c>
      <c r="L61" s="86">
        <f>MBunk_ene!L$10</f>
        <v>1579.8805396357384</v>
      </c>
      <c r="M61" s="86">
        <f>MBunk_ene!M$10</f>
        <v>1826.4071355263977</v>
      </c>
      <c r="N61" s="86">
        <f>MBunk_ene!N$10</f>
        <v>1724.0869231057759</v>
      </c>
      <c r="O61" s="86">
        <f>MBunk_ene!O$10</f>
        <v>1617.469832358137</v>
      </c>
      <c r="P61" s="86">
        <f>MBunk_ene!P$10</f>
        <v>1379.1960589327985</v>
      </c>
      <c r="Q61" s="86">
        <f>MBunk_ene!Q$10</f>
        <v>1258.1903913049596</v>
      </c>
      <c r="R61" s="86">
        <f>MBunk_ene!R$10</f>
        <v>1149.0698425183198</v>
      </c>
      <c r="S61" s="86">
        <f>MBunk_ene!S$10</f>
        <v>1219.7350051822827</v>
      </c>
      <c r="T61" s="86">
        <f>MBunk_ene!T$10</f>
        <v>1371.4389318740973</v>
      </c>
      <c r="U61" s="86">
        <f>MBunk_ene!U$10</f>
        <v>1211.0156685420327</v>
      </c>
      <c r="V61" s="86">
        <f>MBunk_ene!V$10</f>
        <v>718.62895107908491</v>
      </c>
      <c r="W61" s="86">
        <f>MBunk_ene!W$10</f>
        <v>823.44881667966638</v>
      </c>
      <c r="X61" s="86">
        <f>MBunk_ene!X$10</f>
        <v>863.87999862797403</v>
      </c>
      <c r="Y61" s="86">
        <f>MBunk_ene!Y$10</f>
        <v>767.42098234527384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99810.315070355253</v>
      </c>
      <c r="C64" s="28">
        <f t="shared" si="51"/>
        <v>101314.6835246995</v>
      </c>
      <c r="D64" s="28">
        <f t="shared" si="51"/>
        <v>101549.99034628032</v>
      </c>
      <c r="E64" s="28">
        <f t="shared" si="51"/>
        <v>99470.797099857125</v>
      </c>
      <c r="F64" s="28">
        <f t="shared" si="51"/>
        <v>99235.110249892256</v>
      </c>
      <c r="G64" s="28">
        <f t="shared" si="51"/>
        <v>97873.287591229368</v>
      </c>
      <c r="H64" s="28">
        <f t="shared" si="51"/>
        <v>98935.179347606871</v>
      </c>
      <c r="I64" s="28">
        <f t="shared" si="51"/>
        <v>99110.383236084483</v>
      </c>
      <c r="J64" s="28">
        <f t="shared" si="51"/>
        <v>96258.150609903809</v>
      </c>
      <c r="K64" s="28">
        <f t="shared" si="51"/>
        <v>96257.83488486975</v>
      </c>
      <c r="L64" s="28">
        <f t="shared" si="51"/>
        <v>95475.863749135315</v>
      </c>
      <c r="M64" s="28">
        <f t="shared" si="51"/>
        <v>101880.57200175925</v>
      </c>
      <c r="N64" s="28">
        <f t="shared" si="51"/>
        <v>100676.66650851177</v>
      </c>
      <c r="O64" s="28">
        <f t="shared" si="51"/>
        <v>99823.552712819946</v>
      </c>
      <c r="P64" s="28">
        <f t="shared" si="51"/>
        <v>99743.870429551753</v>
      </c>
      <c r="Q64" s="28">
        <f t="shared" si="51"/>
        <v>102053.29062878543</v>
      </c>
      <c r="R64" s="28">
        <f t="shared" ref="R64:V64" si="52">R65+R69+R73</f>
        <v>102206.925785814</v>
      </c>
      <c r="S64" s="28">
        <f t="shared" si="52"/>
        <v>101768.32617430793</v>
      </c>
      <c r="T64" s="28">
        <f t="shared" si="52"/>
        <v>100697.50060602481</v>
      </c>
      <c r="U64" s="28">
        <f t="shared" si="52"/>
        <v>100528.80295317463</v>
      </c>
      <c r="V64" s="28">
        <f t="shared" si="52"/>
        <v>73025.188902396549</v>
      </c>
      <c r="W64" s="28">
        <f t="shared" ref="W64:Y64" si="53">W65+W69+W73</f>
        <v>83524.509355402959</v>
      </c>
      <c r="X64" s="28">
        <f t="shared" si="53"/>
        <v>94241.797014956712</v>
      </c>
      <c r="Y64" s="28">
        <f t="shared" si="53"/>
        <v>93611.721057913208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81476.169126544846</v>
      </c>
      <c r="C65" s="137">
        <f t="shared" si="54"/>
        <v>83387.47806780893</v>
      </c>
      <c r="D65" s="137">
        <f t="shared" si="54"/>
        <v>83725.707245428872</v>
      </c>
      <c r="E65" s="137">
        <f t="shared" si="54"/>
        <v>82335.429466945599</v>
      </c>
      <c r="F65" s="137">
        <f t="shared" si="54"/>
        <v>81253.44412870158</v>
      </c>
      <c r="G65" s="137">
        <f t="shared" si="54"/>
        <v>79795.610397630997</v>
      </c>
      <c r="H65" s="137">
        <f t="shared" si="54"/>
        <v>80163.273329107396</v>
      </c>
      <c r="I65" s="137">
        <f t="shared" si="54"/>
        <v>79804.906947954747</v>
      </c>
      <c r="J65" s="137">
        <f t="shared" si="54"/>
        <v>76842.555487249672</v>
      </c>
      <c r="K65" s="137">
        <f t="shared" si="54"/>
        <v>78235.77695979891</v>
      </c>
      <c r="L65" s="137">
        <f t="shared" si="54"/>
        <v>77440.446395295832</v>
      </c>
      <c r="M65" s="137">
        <f t="shared" si="54"/>
        <v>81834.604394094364</v>
      </c>
      <c r="N65" s="137">
        <f t="shared" si="54"/>
        <v>81014.303512709957</v>
      </c>
      <c r="O65" s="137">
        <f t="shared" si="54"/>
        <v>80285.480481343024</v>
      </c>
      <c r="P65" s="137">
        <f t="shared" si="54"/>
        <v>80484.238197524784</v>
      </c>
      <c r="Q65" s="137">
        <f t="shared" si="54"/>
        <v>81943.627595581056</v>
      </c>
      <c r="R65" s="137">
        <f t="shared" ref="R65:V65" si="55">R66+R67+R68</f>
        <v>82068.833419969684</v>
      </c>
      <c r="S65" s="137">
        <f t="shared" si="55"/>
        <v>81258.176240766741</v>
      </c>
      <c r="T65" s="137">
        <f t="shared" si="55"/>
        <v>79343.736456990839</v>
      </c>
      <c r="U65" s="137">
        <f t="shared" si="55"/>
        <v>78129.747632453</v>
      </c>
      <c r="V65" s="137">
        <f t="shared" si="55"/>
        <v>63697.015172042797</v>
      </c>
      <c r="W65" s="137">
        <f t="shared" ref="W65:Y65" si="56">W66+W67+W68</f>
        <v>72866.773646393078</v>
      </c>
      <c r="X65" s="137">
        <f t="shared" si="56"/>
        <v>76056.584265261525</v>
      </c>
      <c r="Y65" s="137">
        <f t="shared" si="56"/>
        <v>74205.369095113027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1037.2695092802005</v>
      </c>
      <c r="C66" s="102">
        <f>TrRoad_emi!C$19</f>
        <v>1133.0083653642723</v>
      </c>
      <c r="D66" s="102">
        <f>TrRoad_emi!D$19</f>
        <v>1254.2966646852392</v>
      </c>
      <c r="E66" s="102">
        <f>TrRoad_emi!E$19</f>
        <v>1251.5887429857187</v>
      </c>
      <c r="F66" s="102">
        <f>TrRoad_emi!F$19</f>
        <v>1327.7466790151741</v>
      </c>
      <c r="G66" s="102">
        <f>TrRoad_emi!G$19</f>
        <v>1349.6838944233655</v>
      </c>
      <c r="H66" s="102">
        <f>TrRoad_emi!H$19</f>
        <v>1340.233486962785</v>
      </c>
      <c r="I66" s="102">
        <f>TrRoad_emi!I$19</f>
        <v>1366.2143076677237</v>
      </c>
      <c r="J66" s="102">
        <f>TrRoad_emi!J$19</f>
        <v>1406.5234463256479</v>
      </c>
      <c r="K66" s="102">
        <f>TrRoad_emi!K$19</f>
        <v>1454.6224689031353</v>
      </c>
      <c r="L66" s="102">
        <f>TrRoad_emi!L$19</f>
        <v>1439.5290884793601</v>
      </c>
      <c r="M66" s="102">
        <f>TrRoad_emi!M$19</f>
        <v>1433.4608161636188</v>
      </c>
      <c r="N66" s="102">
        <f>TrRoad_emi!N$19</f>
        <v>1429.3296556677153</v>
      </c>
      <c r="O66" s="102">
        <f>TrRoad_emi!O$19</f>
        <v>1445.2250053583734</v>
      </c>
      <c r="P66" s="102">
        <f>TrRoad_emi!P$19</f>
        <v>1470.5747212935451</v>
      </c>
      <c r="Q66" s="102">
        <f>TrRoad_emi!Q$19</f>
        <v>1475.7948217957169</v>
      </c>
      <c r="R66" s="102">
        <f>TrRoad_emi!R$19</f>
        <v>1359.1675838265901</v>
      </c>
      <c r="S66" s="102">
        <f>TrRoad_emi!S$19</f>
        <v>1282.5543428968683</v>
      </c>
      <c r="T66" s="102">
        <f>TrRoad_emi!T$19</f>
        <v>1268.308723140846</v>
      </c>
      <c r="U66" s="102">
        <f>TrRoad_emi!U$19</f>
        <v>1292.5760411627909</v>
      </c>
      <c r="V66" s="102">
        <f>TrRoad_emi!V$19</f>
        <v>1088.7405097385697</v>
      </c>
      <c r="W66" s="102">
        <f>TrRoad_emi!W$19</f>
        <v>1139.5645036772275</v>
      </c>
      <c r="X66" s="102">
        <f>TrRoad_emi!X$19</f>
        <v>1206.396951424806</v>
      </c>
      <c r="Y66" s="102">
        <f>TrRoad_emi!Y$19</f>
        <v>1272.0016953448267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75252.695978233111</v>
      </c>
      <c r="C67" s="102">
        <f>TrRoad_emi!C$20</f>
        <v>77184.480161986823</v>
      </c>
      <c r="D67" s="102">
        <f>TrRoad_emi!D$20</f>
        <v>77404.116798795134</v>
      </c>
      <c r="E67" s="102">
        <f>TrRoad_emi!E$20</f>
        <v>75994.41852831727</v>
      </c>
      <c r="F67" s="102">
        <f>TrRoad_emi!F$20</f>
        <v>74777.100435101791</v>
      </c>
      <c r="G67" s="102">
        <f>TrRoad_emi!G$20</f>
        <v>73322.641110371638</v>
      </c>
      <c r="H67" s="102">
        <f>TrRoad_emi!H$20</f>
        <v>73497.35103610417</v>
      </c>
      <c r="I67" s="102">
        <f>TrRoad_emi!I$20</f>
        <v>73083.887785242783</v>
      </c>
      <c r="J67" s="102">
        <f>TrRoad_emi!J$20</f>
        <v>70215.544539392344</v>
      </c>
      <c r="K67" s="102">
        <f>TrRoad_emi!K$20</f>
        <v>71800.793026400017</v>
      </c>
      <c r="L67" s="102">
        <f>TrRoad_emi!L$20</f>
        <v>71156.871715289657</v>
      </c>
      <c r="M67" s="102">
        <f>TrRoad_emi!M$20</f>
        <v>75588.874248716631</v>
      </c>
      <c r="N67" s="102">
        <f>TrRoad_emi!N$20</f>
        <v>74840.693744959353</v>
      </c>
      <c r="O67" s="102">
        <f>TrRoad_emi!O$20</f>
        <v>74452.1766078988</v>
      </c>
      <c r="P67" s="102">
        <f>TrRoad_emi!P$20</f>
        <v>74607.007176971543</v>
      </c>
      <c r="Q67" s="102">
        <f>TrRoad_emi!Q$20</f>
        <v>75971.624627751895</v>
      </c>
      <c r="R67" s="102">
        <f>TrRoad_emi!R$20</f>
        <v>76086.274384444274</v>
      </c>
      <c r="S67" s="102">
        <f>TrRoad_emi!S$20</f>
        <v>75486.466724619648</v>
      </c>
      <c r="T67" s="102">
        <f>TrRoad_emi!T$20</f>
        <v>73550.582338068009</v>
      </c>
      <c r="U67" s="102">
        <f>TrRoad_emi!U$20</f>
        <v>72313.547960408541</v>
      </c>
      <c r="V67" s="102">
        <f>TrRoad_emi!V$20</f>
        <v>59223.401848456735</v>
      </c>
      <c r="W67" s="102">
        <f>TrRoad_emi!W$20</f>
        <v>67778.374318940696</v>
      </c>
      <c r="X67" s="102">
        <f>TrRoad_emi!X$20</f>
        <v>70657.140620780599</v>
      </c>
      <c r="Y67" s="102">
        <f>TrRoad_emi!Y$20</f>
        <v>68821.856912969321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5186.2036390315379</v>
      </c>
      <c r="C68" s="102">
        <f>TrRoad_emi!C$27</f>
        <v>5069.9895404578374</v>
      </c>
      <c r="D68" s="102">
        <f>TrRoad_emi!D$27</f>
        <v>5067.2937819484869</v>
      </c>
      <c r="E68" s="102">
        <f>TrRoad_emi!E$27</f>
        <v>5089.4221956426054</v>
      </c>
      <c r="F68" s="102">
        <f>TrRoad_emi!F$27</f>
        <v>5148.5970145846122</v>
      </c>
      <c r="G68" s="102">
        <f>TrRoad_emi!G$27</f>
        <v>5123.2853928359918</v>
      </c>
      <c r="H68" s="102">
        <f>TrRoad_emi!H$27</f>
        <v>5325.6888060404481</v>
      </c>
      <c r="I68" s="102">
        <f>TrRoad_emi!I$27</f>
        <v>5354.8048550442409</v>
      </c>
      <c r="J68" s="102">
        <f>TrRoad_emi!J$27</f>
        <v>5220.4875015316729</v>
      </c>
      <c r="K68" s="102">
        <f>TrRoad_emi!K$27</f>
        <v>4980.3614644957506</v>
      </c>
      <c r="L68" s="102">
        <f>TrRoad_emi!L$27</f>
        <v>4844.0455915268167</v>
      </c>
      <c r="M68" s="102">
        <f>TrRoad_emi!M$27</f>
        <v>4812.2693292141239</v>
      </c>
      <c r="N68" s="102">
        <f>TrRoad_emi!N$27</f>
        <v>4744.2801120828954</v>
      </c>
      <c r="O68" s="102">
        <f>TrRoad_emi!O$27</f>
        <v>4388.0788680858577</v>
      </c>
      <c r="P68" s="102">
        <f>TrRoad_emi!P$27</f>
        <v>4406.6562992596992</v>
      </c>
      <c r="Q68" s="102">
        <f>TrRoad_emi!Q$27</f>
        <v>4496.2081460334457</v>
      </c>
      <c r="R68" s="102">
        <f>TrRoad_emi!R$27</f>
        <v>4623.3914516988189</v>
      </c>
      <c r="S68" s="102">
        <f>TrRoad_emi!S$27</f>
        <v>4489.1551732502257</v>
      </c>
      <c r="T68" s="102">
        <f>TrRoad_emi!T$27</f>
        <v>4524.8453957819893</v>
      </c>
      <c r="U68" s="102">
        <f>TrRoad_emi!U$27</f>
        <v>4523.6236308816697</v>
      </c>
      <c r="V68" s="102">
        <f>TrRoad_emi!V$27</f>
        <v>3384.8728138474889</v>
      </c>
      <c r="W68" s="102">
        <f>TrRoad_emi!W$27</f>
        <v>3948.8348237751493</v>
      </c>
      <c r="X68" s="102">
        <f>TrRoad_emi!X$27</f>
        <v>4193.046693056117</v>
      </c>
      <c r="Y68" s="102">
        <f>TrRoad_emi!Y$27</f>
        <v>4111.5104867988903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814.55284173035227</v>
      </c>
      <c r="C69" s="110">
        <f t="shared" si="57"/>
        <v>523.52838705770421</v>
      </c>
      <c r="D69" s="110">
        <f t="shared" si="57"/>
        <v>540.51086582687185</v>
      </c>
      <c r="E69" s="110">
        <f t="shared" si="57"/>
        <v>521.12798342809765</v>
      </c>
      <c r="F69" s="110">
        <f t="shared" si="57"/>
        <v>567.23143646348103</v>
      </c>
      <c r="G69" s="110">
        <f t="shared" si="57"/>
        <v>532.38810473560852</v>
      </c>
      <c r="H69" s="110">
        <f t="shared" si="57"/>
        <v>522.35406901646104</v>
      </c>
      <c r="I69" s="110">
        <f t="shared" si="57"/>
        <v>482.29246680807194</v>
      </c>
      <c r="J69" s="110">
        <f t="shared" si="57"/>
        <v>503.3013534906267</v>
      </c>
      <c r="K69" s="110">
        <f t="shared" si="57"/>
        <v>480.56592704682083</v>
      </c>
      <c r="L69" s="110">
        <f t="shared" si="57"/>
        <v>456.90250738746397</v>
      </c>
      <c r="M69" s="110">
        <f t="shared" si="57"/>
        <v>463.28653327571863</v>
      </c>
      <c r="N69" s="110">
        <f t="shared" si="57"/>
        <v>432.70316479467823</v>
      </c>
      <c r="O69" s="110">
        <f t="shared" si="57"/>
        <v>425.52300291910524</v>
      </c>
      <c r="P69" s="110">
        <f t="shared" si="57"/>
        <v>399.35649607266606</v>
      </c>
      <c r="Q69" s="110">
        <f t="shared" si="57"/>
        <v>403.55422838615135</v>
      </c>
      <c r="R69" s="110">
        <f t="shared" ref="R69:V69" si="58">R70+R71+R72</f>
        <v>341.65481607943474</v>
      </c>
      <c r="S69" s="110">
        <f t="shared" si="58"/>
        <v>353.7751175429068</v>
      </c>
      <c r="T69" s="110">
        <f t="shared" si="58"/>
        <v>310.89023984188401</v>
      </c>
      <c r="U69" s="110">
        <f t="shared" si="58"/>
        <v>309.42440623729971</v>
      </c>
      <c r="V69" s="110">
        <f t="shared" si="58"/>
        <v>244.74632541668004</v>
      </c>
      <c r="W69" s="110">
        <f t="shared" ref="W69:Y69" si="59">W70+W71+W72</f>
        <v>274.95623990365431</v>
      </c>
      <c r="X69" s="110">
        <f t="shared" si="59"/>
        <v>296.29057065850861</v>
      </c>
      <c r="Y69" s="110">
        <f t="shared" si="59"/>
        <v>292.05189505251701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814.55284173035227</v>
      </c>
      <c r="C71" s="102">
        <f>TrRail_emi!C$11</f>
        <v>523.52838705770421</v>
      </c>
      <c r="D71" s="102">
        <f>TrRail_emi!D$11</f>
        <v>540.51086582687185</v>
      </c>
      <c r="E71" s="102">
        <f>TrRail_emi!E$11</f>
        <v>521.12798342809765</v>
      </c>
      <c r="F71" s="102">
        <f>TrRail_emi!F$11</f>
        <v>567.23143646348103</v>
      </c>
      <c r="G71" s="102">
        <f>TrRail_emi!G$11</f>
        <v>532.38810473560852</v>
      </c>
      <c r="H71" s="102">
        <f>TrRail_emi!H$11</f>
        <v>522.35406901646104</v>
      </c>
      <c r="I71" s="102">
        <f>TrRail_emi!I$11</f>
        <v>482.29246680807194</v>
      </c>
      <c r="J71" s="102">
        <f>TrRail_emi!J$11</f>
        <v>503.3013534906267</v>
      </c>
      <c r="K71" s="102">
        <f>TrRail_emi!K$11</f>
        <v>480.56592704682083</v>
      </c>
      <c r="L71" s="102">
        <f>TrRail_emi!L$11</f>
        <v>456.90250738746397</v>
      </c>
      <c r="M71" s="102">
        <f>TrRail_emi!M$11</f>
        <v>463.28653327571863</v>
      </c>
      <c r="N71" s="102">
        <f>TrRail_emi!N$11</f>
        <v>432.70316479467823</v>
      </c>
      <c r="O71" s="102">
        <f>TrRail_emi!O$11</f>
        <v>425.52300291910524</v>
      </c>
      <c r="P71" s="102">
        <f>TrRail_emi!P$11</f>
        <v>399.35649607266606</v>
      </c>
      <c r="Q71" s="102">
        <f>TrRail_emi!Q$11</f>
        <v>403.55422838615135</v>
      </c>
      <c r="R71" s="102">
        <f>TrRail_emi!R$11</f>
        <v>341.65481607943474</v>
      </c>
      <c r="S71" s="102">
        <f>TrRail_emi!S$11</f>
        <v>353.7751175429068</v>
      </c>
      <c r="T71" s="102">
        <f>TrRail_emi!T$11</f>
        <v>310.89023984188401</v>
      </c>
      <c r="U71" s="102">
        <f>TrRail_emi!U$11</f>
        <v>309.42440623729971</v>
      </c>
      <c r="V71" s="102">
        <f>TrRail_emi!V$11</f>
        <v>244.74632541668004</v>
      </c>
      <c r="W71" s="102">
        <f>TrRail_emi!W$11</f>
        <v>274.95623990365431</v>
      </c>
      <c r="X71" s="102">
        <f>TrRail_emi!X$11</f>
        <v>296.29057065850861</v>
      </c>
      <c r="Y71" s="102">
        <f>TrRail_emi!Y$11</f>
        <v>292.05189505251701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17519.593102080053</v>
      </c>
      <c r="C73" s="110">
        <f t="shared" si="60"/>
        <v>17403.677069832866</v>
      </c>
      <c r="D73" s="110">
        <f t="shared" si="60"/>
        <v>17283.772235024579</v>
      </c>
      <c r="E73" s="110">
        <f t="shared" si="60"/>
        <v>16614.239649483425</v>
      </c>
      <c r="F73" s="110">
        <f t="shared" si="60"/>
        <v>17414.434684727203</v>
      </c>
      <c r="G73" s="110">
        <f t="shared" si="60"/>
        <v>17545.289088862752</v>
      </c>
      <c r="H73" s="110">
        <f t="shared" si="60"/>
        <v>18249.551949483008</v>
      </c>
      <c r="I73" s="110">
        <f t="shared" si="60"/>
        <v>18823.183821321665</v>
      </c>
      <c r="J73" s="110">
        <f t="shared" si="60"/>
        <v>18912.293769163516</v>
      </c>
      <c r="K73" s="110">
        <f t="shared" si="60"/>
        <v>17541.49199802403</v>
      </c>
      <c r="L73" s="110">
        <f t="shared" si="60"/>
        <v>17578.514846452024</v>
      </c>
      <c r="M73" s="110">
        <f t="shared" si="60"/>
        <v>19582.681074389169</v>
      </c>
      <c r="N73" s="110">
        <f t="shared" si="60"/>
        <v>19229.659831007146</v>
      </c>
      <c r="O73" s="110">
        <f t="shared" si="60"/>
        <v>19112.549228557829</v>
      </c>
      <c r="P73" s="110">
        <f t="shared" si="60"/>
        <v>18860.275735954307</v>
      </c>
      <c r="Q73" s="110">
        <f t="shared" si="60"/>
        <v>19706.108804818217</v>
      </c>
      <c r="R73" s="110">
        <f t="shared" ref="R73:V73" si="61">R74+R75+R76</f>
        <v>19796.437549764887</v>
      </c>
      <c r="S73" s="110">
        <f t="shared" si="61"/>
        <v>20156.374815998293</v>
      </c>
      <c r="T73" s="110">
        <f t="shared" si="61"/>
        <v>21042.87390919208</v>
      </c>
      <c r="U73" s="110">
        <f t="shared" si="61"/>
        <v>22089.630914484325</v>
      </c>
      <c r="V73" s="110">
        <f t="shared" si="61"/>
        <v>9083.4274049370761</v>
      </c>
      <c r="W73" s="110">
        <f t="shared" ref="W73:Y73" si="62">W74+W75+W76</f>
        <v>10382.779469106234</v>
      </c>
      <c r="X73" s="110">
        <f t="shared" si="62"/>
        <v>17888.922179036679</v>
      </c>
      <c r="Y73" s="110">
        <f t="shared" si="62"/>
        <v>19114.300067747674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2983.9174118206161</v>
      </c>
      <c r="C74" s="102">
        <f>TrAvia_emi!C$7</f>
        <v>3017.8289159067535</v>
      </c>
      <c r="D74" s="102">
        <f>TrAvia_emi!D$7</f>
        <v>2843.839156127367</v>
      </c>
      <c r="E74" s="102">
        <f>TrAvia_emi!E$7</f>
        <v>2651.6439830273957</v>
      </c>
      <c r="F74" s="102">
        <f>TrAvia_emi!F$7</f>
        <v>2520.5013853830424</v>
      </c>
      <c r="G74" s="102">
        <f>TrAvia_emi!G$7</f>
        <v>2500.6676590569405</v>
      </c>
      <c r="H74" s="102">
        <f>TrAvia_emi!H$7</f>
        <v>2516.3790035322054</v>
      </c>
      <c r="I74" s="102">
        <f>TrAvia_emi!I$7</f>
        <v>2536.7164397333786</v>
      </c>
      <c r="J74" s="102">
        <f>TrAvia_emi!J$7</f>
        <v>2560.3358131182072</v>
      </c>
      <c r="K74" s="102">
        <f>TrAvia_emi!K$7</f>
        <v>2436.3274070497464</v>
      </c>
      <c r="L74" s="102">
        <f>TrAvia_emi!L$7</f>
        <v>2375.7564412548318</v>
      </c>
      <c r="M74" s="102">
        <f>TrAvia_emi!M$7</f>
        <v>4424.5967570709136</v>
      </c>
      <c r="N74" s="102">
        <f>TrAvia_emi!N$7</f>
        <v>4454.9751411034376</v>
      </c>
      <c r="O74" s="102">
        <f>TrAvia_emi!O$7</f>
        <v>4387.2913624529156</v>
      </c>
      <c r="P74" s="102">
        <f>TrAvia_emi!P$7</f>
        <v>4178.2179993277095</v>
      </c>
      <c r="Q74" s="102">
        <f>TrAvia_emi!Q$7</f>
        <v>4181.9011957234843</v>
      </c>
      <c r="R74" s="102">
        <f>TrAvia_emi!R$7</f>
        <v>4330.0051846252072</v>
      </c>
      <c r="S74" s="102">
        <f>TrAvia_emi!S$7</f>
        <v>4468.760081643155</v>
      </c>
      <c r="T74" s="102">
        <f>TrAvia_emi!T$7</f>
        <v>4703.1091379005666</v>
      </c>
      <c r="U74" s="102">
        <f>TrAvia_emi!U$7</f>
        <v>4785.7374823740884</v>
      </c>
      <c r="V74" s="102">
        <f>TrAvia_emi!V$7</f>
        <v>2846.8100516396485</v>
      </c>
      <c r="W74" s="102">
        <f>TrAvia_emi!W$7</f>
        <v>3486.6371259132179</v>
      </c>
      <c r="X74" s="102">
        <f>TrAvia_emi!X$7</f>
        <v>4678.1328462549236</v>
      </c>
      <c r="Y74" s="102">
        <f>TrAvia_emi!Y$7</f>
        <v>4205.8754839263556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3873.1013813507957</v>
      </c>
      <c r="C75" s="102">
        <f>TrAvia_emi!C$8</f>
        <v>3833.2045351203933</v>
      </c>
      <c r="D75" s="102">
        <f>TrAvia_emi!D$8</f>
        <v>3847.6109277751643</v>
      </c>
      <c r="E75" s="102">
        <f>TrAvia_emi!E$8</f>
        <v>3664.9063274736341</v>
      </c>
      <c r="F75" s="102">
        <f>TrAvia_emi!F$8</f>
        <v>3807.2500867192525</v>
      </c>
      <c r="G75" s="102">
        <f>TrAvia_emi!G$8</f>
        <v>3836.0981479463994</v>
      </c>
      <c r="H75" s="102">
        <f>TrAvia_emi!H$8</f>
        <v>4097.142762570018</v>
      </c>
      <c r="I75" s="102">
        <f>TrAvia_emi!I$8</f>
        <v>4326.7863715497006</v>
      </c>
      <c r="J75" s="102">
        <f>TrAvia_emi!J$8</f>
        <v>4248.4317867165182</v>
      </c>
      <c r="K75" s="102">
        <f>TrAvia_emi!K$8</f>
        <v>3759.5294097299357</v>
      </c>
      <c r="L75" s="102">
        <f>TrAvia_emi!L$8</f>
        <v>3708.5044340243157</v>
      </c>
      <c r="M75" s="102">
        <f>TrAvia_emi!M$8</f>
        <v>3732.1285362378171</v>
      </c>
      <c r="N75" s="102">
        <f>TrAvia_emi!N$8</f>
        <v>3584.0561277447378</v>
      </c>
      <c r="O75" s="102">
        <f>TrAvia_emi!O$8</f>
        <v>3550.5865089402455</v>
      </c>
      <c r="P75" s="102">
        <f>TrAvia_emi!P$8</f>
        <v>3567.8859597847718</v>
      </c>
      <c r="Q75" s="102">
        <f>TrAvia_emi!Q$8</f>
        <v>3781.4067065746767</v>
      </c>
      <c r="R75" s="102">
        <f>TrAvia_emi!R$8</f>
        <v>3965.478764988477</v>
      </c>
      <c r="S75" s="102">
        <f>TrAvia_emi!S$8</f>
        <v>4140.7232040302242</v>
      </c>
      <c r="T75" s="102">
        <f>TrAvia_emi!T$8</f>
        <v>4247.5447670443691</v>
      </c>
      <c r="U75" s="102">
        <f>TrAvia_emi!U$8</f>
        <v>4333.2982528889925</v>
      </c>
      <c r="V75" s="102">
        <f>TrAvia_emi!V$8</f>
        <v>1243.9886383260832</v>
      </c>
      <c r="W75" s="102">
        <f>TrAvia_emi!W$8</f>
        <v>1548.1705676519359</v>
      </c>
      <c r="X75" s="102">
        <f>TrAvia_emi!X$8</f>
        <v>3541.043357221964</v>
      </c>
      <c r="Y75" s="102">
        <f>TrAvia_emi!Y$8</f>
        <v>3900.0253239071567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10662.574308908641</v>
      </c>
      <c r="C76" s="102">
        <f>TrAvia_emi!C$9</f>
        <v>10552.643618805718</v>
      </c>
      <c r="D76" s="102">
        <f>TrAvia_emi!D$9</f>
        <v>10592.322151122047</v>
      </c>
      <c r="E76" s="102">
        <f>TrAvia_emi!E$9</f>
        <v>10297.689338982393</v>
      </c>
      <c r="F76" s="102">
        <f>TrAvia_emi!F$9</f>
        <v>11086.683212624908</v>
      </c>
      <c r="G76" s="102">
        <f>TrAvia_emi!G$9</f>
        <v>11208.523281859414</v>
      </c>
      <c r="H76" s="102">
        <f>TrAvia_emi!H$9</f>
        <v>11636.030183380786</v>
      </c>
      <c r="I76" s="102">
        <f>TrAvia_emi!I$9</f>
        <v>11959.681010038586</v>
      </c>
      <c r="J76" s="102">
        <f>TrAvia_emi!J$9</f>
        <v>12103.526169328788</v>
      </c>
      <c r="K76" s="102">
        <f>TrAvia_emi!K$9</f>
        <v>11345.635181244348</v>
      </c>
      <c r="L76" s="102">
        <f>TrAvia_emi!L$9</f>
        <v>11494.253971172875</v>
      </c>
      <c r="M76" s="102">
        <f>TrAvia_emi!M$9</f>
        <v>11425.955781080438</v>
      </c>
      <c r="N76" s="102">
        <f>TrAvia_emi!N$9</f>
        <v>11190.62856215897</v>
      </c>
      <c r="O76" s="102">
        <f>TrAvia_emi!O$9</f>
        <v>11174.671357164667</v>
      </c>
      <c r="P76" s="102">
        <f>TrAvia_emi!P$9</f>
        <v>11114.171776841826</v>
      </c>
      <c r="Q76" s="102">
        <f>TrAvia_emi!Q$9</f>
        <v>11742.800902520057</v>
      </c>
      <c r="R76" s="102">
        <f>TrAvia_emi!R$9</f>
        <v>11500.953600151201</v>
      </c>
      <c r="S76" s="102">
        <f>TrAvia_emi!S$9</f>
        <v>11546.891530324914</v>
      </c>
      <c r="T76" s="102">
        <f>TrAvia_emi!T$9</f>
        <v>12092.220004247145</v>
      </c>
      <c r="U76" s="102">
        <f>TrAvia_emi!U$9</f>
        <v>12970.595179221245</v>
      </c>
      <c r="V76" s="102">
        <f>TrAvia_emi!V$9</f>
        <v>4992.6287149713444</v>
      </c>
      <c r="W76" s="102">
        <f>TrAvia_emi!W$9</f>
        <v>5347.9717755410802</v>
      </c>
      <c r="X76" s="102">
        <f>TrAvia_emi!X$9</f>
        <v>9669.7459755597938</v>
      </c>
      <c r="Y76" s="102">
        <f>TrAvia_emi!Y$9</f>
        <v>11008.399259914164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49584.174546444774</v>
      </c>
      <c r="C77" s="28">
        <f t="shared" si="63"/>
        <v>49667.402943180496</v>
      </c>
      <c r="D77" s="28">
        <f t="shared" si="63"/>
        <v>49415.619235519669</v>
      </c>
      <c r="E77" s="28">
        <f t="shared" si="63"/>
        <v>48486.903683822871</v>
      </c>
      <c r="F77" s="28">
        <f t="shared" si="63"/>
        <v>50005.479177547735</v>
      </c>
      <c r="G77" s="28">
        <f t="shared" si="63"/>
        <v>49296.104160850649</v>
      </c>
      <c r="H77" s="28">
        <f t="shared" si="63"/>
        <v>49325.015491833103</v>
      </c>
      <c r="I77" s="28">
        <f t="shared" si="63"/>
        <v>48948.796521275523</v>
      </c>
      <c r="J77" s="28">
        <f t="shared" si="63"/>
        <v>45930.993194816176</v>
      </c>
      <c r="K77" s="28">
        <f t="shared" si="63"/>
        <v>42950.431283330225</v>
      </c>
      <c r="L77" s="28">
        <f t="shared" si="63"/>
        <v>44386.216695544645</v>
      </c>
      <c r="M77" s="28">
        <f t="shared" si="63"/>
        <v>46047.712851800723</v>
      </c>
      <c r="N77" s="28">
        <f t="shared" si="63"/>
        <v>44659.533570385152</v>
      </c>
      <c r="O77" s="28">
        <f t="shared" si="63"/>
        <v>44845.31155969439</v>
      </c>
      <c r="P77" s="28">
        <f t="shared" si="63"/>
        <v>44305.893891414074</v>
      </c>
      <c r="Q77" s="28">
        <f t="shared" si="63"/>
        <v>44566.274836113276</v>
      </c>
      <c r="R77" s="28">
        <f t="shared" si="63"/>
        <v>44850.422552600197</v>
      </c>
      <c r="S77" s="28">
        <f t="shared" si="63"/>
        <v>45808.299578214792</v>
      </c>
      <c r="T77" s="28">
        <f t="shared" si="63"/>
        <v>45221.573107517041</v>
      </c>
      <c r="U77" s="28">
        <f t="shared" si="63"/>
        <v>45218.648347497096</v>
      </c>
      <c r="V77" s="28">
        <f t="shared" si="63"/>
        <v>41868.874392802361</v>
      </c>
      <c r="W77" s="28">
        <f t="shared" si="63"/>
        <v>46733.48824780024</v>
      </c>
      <c r="X77" s="28">
        <f t="shared" si="63"/>
        <v>45547.440045921496</v>
      </c>
      <c r="Y77" s="28">
        <f t="shared" si="63"/>
        <v>43459.106458456037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46417.958652895177</v>
      </c>
      <c r="C78" s="137">
        <f t="shared" si="64"/>
        <v>46736.706616671072</v>
      </c>
      <c r="D78" s="137">
        <f t="shared" si="64"/>
        <v>46502.946079891117</v>
      </c>
      <c r="E78" s="137">
        <f t="shared" si="64"/>
        <v>45568.479654694383</v>
      </c>
      <c r="F78" s="137">
        <f t="shared" si="64"/>
        <v>46818.210048618414</v>
      </c>
      <c r="G78" s="137">
        <f t="shared" si="64"/>
        <v>46264.947965369007</v>
      </c>
      <c r="H78" s="137">
        <f t="shared" si="64"/>
        <v>46211.937739372574</v>
      </c>
      <c r="I78" s="137">
        <f t="shared" si="64"/>
        <v>45730.228582925258</v>
      </c>
      <c r="J78" s="137">
        <f t="shared" si="64"/>
        <v>42761.152550110317</v>
      </c>
      <c r="K78" s="137">
        <f t="shared" si="64"/>
        <v>40147.527064281079</v>
      </c>
      <c r="L78" s="137">
        <f t="shared" si="64"/>
        <v>41387.337857144128</v>
      </c>
      <c r="M78" s="137">
        <f t="shared" si="64"/>
        <v>43024.900127705609</v>
      </c>
      <c r="N78" s="137">
        <f t="shared" si="64"/>
        <v>41607.705954986974</v>
      </c>
      <c r="O78" s="137">
        <f t="shared" si="64"/>
        <v>41881.451209291321</v>
      </c>
      <c r="P78" s="137">
        <f t="shared" si="64"/>
        <v>41135.713717481049</v>
      </c>
      <c r="Q78" s="137">
        <f t="shared" si="64"/>
        <v>41273.83266923765</v>
      </c>
      <c r="R78" s="137">
        <f t="shared" ref="R78:V78" si="65">R79+R80</f>
        <v>41836.111392684506</v>
      </c>
      <c r="S78" s="137">
        <f t="shared" si="65"/>
        <v>42741.942430835996</v>
      </c>
      <c r="T78" s="137">
        <f t="shared" si="65"/>
        <v>42205.21435091101</v>
      </c>
      <c r="U78" s="137">
        <f t="shared" si="65"/>
        <v>42246.61555785872</v>
      </c>
      <c r="V78" s="137">
        <f t="shared" si="65"/>
        <v>38769.398203436118</v>
      </c>
      <c r="W78" s="137">
        <f t="shared" ref="W78:Y78" si="66">W79+W80</f>
        <v>43366.786272970123</v>
      </c>
      <c r="X78" s="137">
        <f t="shared" si="66"/>
        <v>42380.357628776677</v>
      </c>
      <c r="Y78" s="137">
        <f t="shared" si="66"/>
        <v>40614.690705976231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21395.42230219764</v>
      </c>
      <c r="C79" s="102">
        <f>TrRoad_emi!C$34</f>
        <v>21307.028436804208</v>
      </c>
      <c r="D79" s="102">
        <f>TrRoad_emi!D$34</f>
        <v>20992.085963527235</v>
      </c>
      <c r="E79" s="102">
        <f>TrRoad_emi!E$34</f>
        <v>20340.192593148862</v>
      </c>
      <c r="F79" s="102">
        <f>TrRoad_emi!F$34</f>
        <v>19679.690277341713</v>
      </c>
      <c r="G79" s="102">
        <f>TrRoad_emi!G$34</f>
        <v>19229.509919051427</v>
      </c>
      <c r="H79" s="102">
        <f>TrRoad_emi!H$34</f>
        <v>19045.160513192852</v>
      </c>
      <c r="I79" s="102">
        <f>TrRoad_emi!I$34</f>
        <v>18526.773661685329</v>
      </c>
      <c r="J79" s="102">
        <f>TrRoad_emi!J$34</f>
        <v>17491.587667113898</v>
      </c>
      <c r="K79" s="102">
        <f>TrRoad_emi!K$34</f>
        <v>17787.370889372112</v>
      </c>
      <c r="L79" s="102">
        <f>TrRoad_emi!L$34</f>
        <v>18263.023492143722</v>
      </c>
      <c r="M79" s="102">
        <f>TrRoad_emi!M$34</f>
        <v>19478.781149676117</v>
      </c>
      <c r="N79" s="102">
        <f>TrRoad_emi!N$34</f>
        <v>19540.750066550747</v>
      </c>
      <c r="O79" s="102">
        <f>TrRoad_emi!O$34</f>
        <v>19656.260827271413</v>
      </c>
      <c r="P79" s="102">
        <f>TrRoad_emi!P$34</f>
        <v>19305.013110099837</v>
      </c>
      <c r="Q79" s="102">
        <f>TrRoad_emi!Q$34</f>
        <v>19956.194481164246</v>
      </c>
      <c r="R79" s="102">
        <f>TrRoad_emi!R$34</f>
        <v>19785.285742188</v>
      </c>
      <c r="S79" s="102">
        <f>TrRoad_emi!S$34</f>
        <v>20097.852535399899</v>
      </c>
      <c r="T79" s="102">
        <f>TrRoad_emi!T$34</f>
        <v>20032.476026373799</v>
      </c>
      <c r="U79" s="102">
        <f>TrRoad_emi!U$34</f>
        <v>19842.614900620512</v>
      </c>
      <c r="V79" s="102">
        <f>TrRoad_emi!V$34</f>
        <v>17069.329481569555</v>
      </c>
      <c r="W79" s="102">
        <f>TrRoad_emi!W$34</f>
        <v>20282.24374077058</v>
      </c>
      <c r="X79" s="102">
        <f>TrRoad_emi!X$34</f>
        <v>20081.672895235988</v>
      </c>
      <c r="Y79" s="102">
        <f>TrRoad_emi!Y$34</f>
        <v>19642.267752324642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25022.536350697534</v>
      </c>
      <c r="C80" s="102">
        <f>TrRoad_emi!C$40</f>
        <v>25429.678179866867</v>
      </c>
      <c r="D80" s="102">
        <f>TrRoad_emi!D$40</f>
        <v>25510.860116363881</v>
      </c>
      <c r="E80" s="102">
        <f>TrRoad_emi!E$40</f>
        <v>25228.287061545518</v>
      </c>
      <c r="F80" s="102">
        <f>TrRoad_emi!F$40</f>
        <v>27138.5197712767</v>
      </c>
      <c r="G80" s="102">
        <f>TrRoad_emi!G$40</f>
        <v>27035.438046317584</v>
      </c>
      <c r="H80" s="102">
        <f>TrRoad_emi!H$40</f>
        <v>27166.777226179725</v>
      </c>
      <c r="I80" s="102">
        <f>TrRoad_emi!I$40</f>
        <v>27203.454921239929</v>
      </c>
      <c r="J80" s="102">
        <f>TrRoad_emi!J$40</f>
        <v>25269.564882996423</v>
      </c>
      <c r="K80" s="102">
        <f>TrRoad_emi!K$40</f>
        <v>22360.156174908963</v>
      </c>
      <c r="L80" s="102">
        <f>TrRoad_emi!L$40</f>
        <v>23124.314365000409</v>
      </c>
      <c r="M80" s="102">
        <f>TrRoad_emi!M$40</f>
        <v>23546.118978029495</v>
      </c>
      <c r="N80" s="102">
        <f>TrRoad_emi!N$40</f>
        <v>22066.955888436227</v>
      </c>
      <c r="O80" s="102">
        <f>TrRoad_emi!O$40</f>
        <v>22225.190382019908</v>
      </c>
      <c r="P80" s="102">
        <f>TrRoad_emi!P$40</f>
        <v>21830.700607381208</v>
      </c>
      <c r="Q80" s="102">
        <f>TrRoad_emi!Q$40</f>
        <v>21317.638188073404</v>
      </c>
      <c r="R80" s="102">
        <f>TrRoad_emi!R$40</f>
        <v>22050.825650496507</v>
      </c>
      <c r="S80" s="102">
        <f>TrRoad_emi!S$40</f>
        <v>22644.089895436096</v>
      </c>
      <c r="T80" s="102">
        <f>TrRoad_emi!T$40</f>
        <v>22172.738324537211</v>
      </c>
      <c r="U80" s="102">
        <f>TrRoad_emi!U$40</f>
        <v>22404.000657238204</v>
      </c>
      <c r="V80" s="102">
        <f>TrRoad_emi!V$40</f>
        <v>21700.068721866563</v>
      </c>
      <c r="W80" s="102">
        <f>TrRoad_emi!W$40</f>
        <v>23084.542532199543</v>
      </c>
      <c r="X80" s="102">
        <f>TrRoad_emi!X$40</f>
        <v>22298.684733540686</v>
      </c>
      <c r="Y80" s="102">
        <f>TrRoad_emi!Y$40</f>
        <v>20972.422953651589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348.32776550964746</v>
      </c>
      <c r="C81" s="110">
        <f>TrRail_emi!C$15</f>
        <v>244.36988330229579</v>
      </c>
      <c r="D81" s="110">
        <f>TrRail_emi!D$15</f>
        <v>249.691474893128</v>
      </c>
      <c r="E81" s="110">
        <f>TrRail_emi!E$15</f>
        <v>220.70463381190208</v>
      </c>
      <c r="F81" s="110">
        <f>TrRail_emi!F$15</f>
        <v>171.44434293651889</v>
      </c>
      <c r="G81" s="110">
        <f>TrRail_emi!G$15</f>
        <v>136.83964302439153</v>
      </c>
      <c r="H81" s="110">
        <f>TrRail_emi!H$15</f>
        <v>124.77634738353896</v>
      </c>
      <c r="I81" s="110">
        <f>TrRail_emi!I$15</f>
        <v>120.6438203919281</v>
      </c>
      <c r="J81" s="110">
        <f>TrRail_emi!J$15</f>
        <v>121.73199830937322</v>
      </c>
      <c r="K81" s="110">
        <f>TrRail_emi!K$15</f>
        <v>90.80304879317913</v>
      </c>
      <c r="L81" s="110">
        <f>TrRail_emi!L$15</f>
        <v>82.899157092536043</v>
      </c>
      <c r="M81" s="110">
        <f>TrRail_emi!M$15</f>
        <v>82.146701564281344</v>
      </c>
      <c r="N81" s="110">
        <f>TrRail_emi!N$15</f>
        <v>67.882378845321995</v>
      </c>
      <c r="O81" s="110">
        <f>TrRail_emi!O$15</f>
        <v>69.203424080894848</v>
      </c>
      <c r="P81" s="110">
        <f>TrRail_emi!P$15</f>
        <v>61.782446087334066</v>
      </c>
      <c r="Q81" s="110">
        <f>TrRail_emi!Q$15</f>
        <v>65.031319173848544</v>
      </c>
      <c r="R81" s="110">
        <f>TrRail_emi!R$15</f>
        <v>57.362657840565085</v>
      </c>
      <c r="S81" s="110">
        <f>TrRail_emi!S$15</f>
        <v>61.168195137093235</v>
      </c>
      <c r="T81" s="110">
        <f>TrRail_emi!T$15</f>
        <v>52.705507478116012</v>
      </c>
      <c r="U81" s="110">
        <f>TrRail_emi!U$15</f>
        <v>55.493937162700313</v>
      </c>
      <c r="V81" s="110">
        <f>TrRail_emi!V$15</f>
        <v>59.177610743320002</v>
      </c>
      <c r="W81" s="110">
        <f>TrRail_emi!W$15</f>
        <v>74.727706656345688</v>
      </c>
      <c r="X81" s="110">
        <f>TrRail_emi!X$15</f>
        <v>62.235402861491337</v>
      </c>
      <c r="Y81" s="110">
        <f>TrRail_emi!Y$15</f>
        <v>46.088012507482837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1357.4759059199466</v>
      </c>
      <c r="C82" s="110">
        <f t="shared" si="67"/>
        <v>1362.4842181671365</v>
      </c>
      <c r="D82" s="110">
        <f t="shared" si="67"/>
        <v>1327.0900209754204</v>
      </c>
      <c r="E82" s="110">
        <f t="shared" si="67"/>
        <v>1297.9929801565802</v>
      </c>
      <c r="F82" s="110">
        <f t="shared" si="67"/>
        <v>1415.9898774727978</v>
      </c>
      <c r="G82" s="110">
        <f t="shared" si="67"/>
        <v>1458.2510370972523</v>
      </c>
      <c r="H82" s="110">
        <f t="shared" si="67"/>
        <v>1511.4197618369919</v>
      </c>
      <c r="I82" s="110">
        <f t="shared" si="67"/>
        <v>1565.373683558335</v>
      </c>
      <c r="J82" s="110">
        <f t="shared" si="67"/>
        <v>1584.4911970364867</v>
      </c>
      <c r="K82" s="110">
        <f t="shared" si="67"/>
        <v>1233.2382475759721</v>
      </c>
      <c r="L82" s="110">
        <f t="shared" si="67"/>
        <v>1431.2200903879759</v>
      </c>
      <c r="M82" s="110">
        <f t="shared" si="67"/>
        <v>1535.5590473708301</v>
      </c>
      <c r="N82" s="110">
        <f t="shared" si="67"/>
        <v>1569.9134470328559</v>
      </c>
      <c r="O82" s="110">
        <f t="shared" si="67"/>
        <v>1469.8278303221764</v>
      </c>
      <c r="P82" s="110">
        <f t="shared" si="67"/>
        <v>1683.740411245695</v>
      </c>
      <c r="Q82" s="110">
        <f t="shared" si="67"/>
        <v>1791.5048299817793</v>
      </c>
      <c r="R82" s="110">
        <f t="shared" si="67"/>
        <v>1554.5342487951179</v>
      </c>
      <c r="S82" s="110">
        <f t="shared" si="67"/>
        <v>1602.8448989617063</v>
      </c>
      <c r="T82" s="110">
        <f t="shared" si="67"/>
        <v>1551.6507828479173</v>
      </c>
      <c r="U82" s="110">
        <f t="shared" si="67"/>
        <v>1479.9629561156746</v>
      </c>
      <c r="V82" s="110">
        <f t="shared" si="67"/>
        <v>1805.9739604229237</v>
      </c>
      <c r="W82" s="110">
        <f t="shared" ref="W82:Y82" si="68">W83+W84+W85</f>
        <v>1874.697146693768</v>
      </c>
      <c r="X82" s="110">
        <f t="shared" si="68"/>
        <v>1569.3323848833236</v>
      </c>
      <c r="Y82" s="110">
        <f t="shared" si="68"/>
        <v>1286.2633881723264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191.39951617938436</v>
      </c>
      <c r="C83" s="102">
        <f>TrAvia_emi!C$11</f>
        <v>220.97374209324596</v>
      </c>
      <c r="D83" s="102">
        <f>TrAvia_emi!D$11</f>
        <v>176.24866987263329</v>
      </c>
      <c r="E83" s="102">
        <f>TrAvia_emi!E$11</f>
        <v>142.87874233260439</v>
      </c>
      <c r="F83" s="102">
        <f>TrAvia_emi!F$11</f>
        <v>147.26739197695753</v>
      </c>
      <c r="G83" s="102">
        <f>TrAvia_emi!G$11</f>
        <v>145.44864146305943</v>
      </c>
      <c r="H83" s="102">
        <f>TrAvia_emi!H$11</f>
        <v>123.55438590779528</v>
      </c>
      <c r="I83" s="102">
        <f>TrAvia_emi!I$11</f>
        <v>103.21694970662215</v>
      </c>
      <c r="J83" s="102">
        <f>TrAvia_emi!J$11</f>
        <v>82.712184361793206</v>
      </c>
      <c r="K83" s="102">
        <f>TrAvia_emi!K$11</f>
        <v>73.725785390254018</v>
      </c>
      <c r="L83" s="102">
        <f>TrAvia_emi!L$11</f>
        <v>53.962623745168123</v>
      </c>
      <c r="M83" s="102">
        <f>TrAvia_emi!M$11</f>
        <v>98.345838089085191</v>
      </c>
      <c r="N83" s="102">
        <f>TrAvia_emi!N$11</f>
        <v>101.79073421656321</v>
      </c>
      <c r="O83" s="102">
        <f>TrAvia_emi!O$11</f>
        <v>94.00432382708415</v>
      </c>
      <c r="P83" s="102">
        <f>TrAvia_emi!P$11</f>
        <v>109.8639333922921</v>
      </c>
      <c r="Q83" s="102">
        <f>TrAvia_emi!Q$11</f>
        <v>106.04548931651429</v>
      </c>
      <c r="R83" s="102">
        <f>TrAvia_emi!R$11</f>
        <v>93.299114334791554</v>
      </c>
      <c r="S83" s="102">
        <f>TrAvia_emi!S$11</f>
        <v>97.187091476844301</v>
      </c>
      <c r="T83" s="102">
        <f>TrAvia_emi!T$11</f>
        <v>97.342499619435273</v>
      </c>
      <c r="U83" s="102">
        <f>TrAvia_emi!U$11</f>
        <v>94.403746865912311</v>
      </c>
      <c r="V83" s="102">
        <f>TrAvia_emi!V$11</f>
        <v>107.10436032035169</v>
      </c>
      <c r="W83" s="102">
        <f>TrAvia_emi!W$11</f>
        <v>142.21033612678269</v>
      </c>
      <c r="X83" s="102">
        <f>TrAvia_emi!X$11</f>
        <v>71.189801345078422</v>
      </c>
      <c r="Y83" s="102">
        <f>TrAvia_emi!Y$11</f>
        <v>72.886975073645544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76.676426580844492</v>
      </c>
      <c r="C84" s="102">
        <f>TrAvia_emi!C$12</f>
        <v>87.319972057798054</v>
      </c>
      <c r="D84" s="102">
        <f>TrAvia_emi!D$12</f>
        <v>78.87972021299781</v>
      </c>
      <c r="E84" s="102">
        <f>TrAvia_emi!E$12</f>
        <v>73.073744375690026</v>
      </c>
      <c r="F84" s="102">
        <f>TrAvia_emi!F$12</f>
        <v>81.109796629616497</v>
      </c>
      <c r="G84" s="102">
        <f>TrAvia_emi!G$12</f>
        <v>77.895373603285535</v>
      </c>
      <c r="H84" s="102">
        <f>TrAvia_emi!H$12</f>
        <v>102.20069861691422</v>
      </c>
      <c r="I84" s="102">
        <f>TrAvia_emi!I$12</f>
        <v>123.64946793245575</v>
      </c>
      <c r="J84" s="102">
        <f>TrAvia_emi!J$12</f>
        <v>119.98103112638573</v>
      </c>
      <c r="K84" s="102">
        <f>TrAvia_emi!K$12</f>
        <v>105.35920667016248</v>
      </c>
      <c r="L84" s="102">
        <f>TrAvia_emi!L$12</f>
        <v>118.87052027519998</v>
      </c>
      <c r="M84" s="102">
        <f>TrAvia_emi!M$12</f>
        <v>137.27234906654797</v>
      </c>
      <c r="N84" s="102">
        <f>TrAvia_emi!N$12</f>
        <v>128.64603680187997</v>
      </c>
      <c r="O84" s="102">
        <f>TrAvia_emi!O$12</f>
        <v>139.23204531633621</v>
      </c>
      <c r="P84" s="102">
        <f>TrAvia_emi!P$12</f>
        <v>169.40675018997871</v>
      </c>
      <c r="Q84" s="102">
        <f>TrAvia_emi!Q$12</f>
        <v>172.78169787261891</v>
      </c>
      <c r="R84" s="102">
        <f>TrAvia_emi!R$12</f>
        <v>151.28462954054004</v>
      </c>
      <c r="S84" s="102">
        <f>TrAvia_emi!S$12</f>
        <v>164.54005096881826</v>
      </c>
      <c r="T84" s="102">
        <f>TrAvia_emi!T$12</f>
        <v>143.17289599601474</v>
      </c>
      <c r="U84" s="102">
        <f>TrAvia_emi!U$12</f>
        <v>145.47740070087102</v>
      </c>
      <c r="V84" s="102">
        <f>TrAvia_emi!V$12</f>
        <v>118.86144426604132</v>
      </c>
      <c r="W84" s="102">
        <f>TrAvia_emi!W$12</f>
        <v>126.22424558733871</v>
      </c>
      <c r="X84" s="102">
        <f>TrAvia_emi!X$12</f>
        <v>180.004850695366</v>
      </c>
      <c r="Y84" s="102">
        <f>TrAvia_emi!Y$12</f>
        <v>174.27408856591285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1089.3999631597178</v>
      </c>
      <c r="C85" s="102">
        <f>TrAvia_emi!C$13</f>
        <v>1054.1905040160925</v>
      </c>
      <c r="D85" s="102">
        <f>TrAvia_emi!D$13</f>
        <v>1071.9616308897894</v>
      </c>
      <c r="E85" s="102">
        <f>TrAvia_emi!E$13</f>
        <v>1082.0404934482858</v>
      </c>
      <c r="F85" s="102">
        <f>TrAvia_emi!F$13</f>
        <v>1187.6126888662238</v>
      </c>
      <c r="G85" s="102">
        <f>TrAvia_emi!G$13</f>
        <v>1234.9070220309072</v>
      </c>
      <c r="H85" s="102">
        <f>TrAvia_emi!H$13</f>
        <v>1285.6646773122825</v>
      </c>
      <c r="I85" s="102">
        <f>TrAvia_emi!I$13</f>
        <v>1338.507265919257</v>
      </c>
      <c r="J85" s="102">
        <f>TrAvia_emi!J$13</f>
        <v>1381.7979815483077</v>
      </c>
      <c r="K85" s="102">
        <f>TrAvia_emi!K$13</f>
        <v>1054.1532555155557</v>
      </c>
      <c r="L85" s="102">
        <f>TrAvia_emi!L$13</f>
        <v>1258.3869463676078</v>
      </c>
      <c r="M85" s="102">
        <f>TrAvia_emi!M$13</f>
        <v>1299.9408602151968</v>
      </c>
      <c r="N85" s="102">
        <f>TrAvia_emi!N$13</f>
        <v>1339.4766760144128</v>
      </c>
      <c r="O85" s="102">
        <f>TrAvia_emi!O$13</f>
        <v>1236.5914611787562</v>
      </c>
      <c r="P85" s="102">
        <f>TrAvia_emi!P$13</f>
        <v>1404.4697276634242</v>
      </c>
      <c r="Q85" s="102">
        <f>TrAvia_emi!Q$13</f>
        <v>1512.6776427926461</v>
      </c>
      <c r="R85" s="102">
        <f>TrAvia_emi!R$13</f>
        <v>1309.9505049197865</v>
      </c>
      <c r="S85" s="102">
        <f>TrAvia_emi!S$13</f>
        <v>1341.1177565160438</v>
      </c>
      <c r="T85" s="102">
        <f>TrAvia_emi!T$13</f>
        <v>1311.1353872324673</v>
      </c>
      <c r="U85" s="102">
        <f>TrAvia_emi!U$13</f>
        <v>1240.0818085488913</v>
      </c>
      <c r="V85" s="102">
        <f>TrAvia_emi!V$13</f>
        <v>1580.0081558365307</v>
      </c>
      <c r="W85" s="102">
        <f>TrAvia_emi!W$13</f>
        <v>1606.2625649796466</v>
      </c>
      <c r="X85" s="102">
        <f>TrAvia_emi!X$13</f>
        <v>1318.1377328428791</v>
      </c>
      <c r="Y85" s="102">
        <f>TrAvia_emi!Y$13</f>
        <v>1039.1023245327681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1460.41222212</v>
      </c>
      <c r="C86" s="110">
        <f t="shared" si="69"/>
        <v>1323.8422250399999</v>
      </c>
      <c r="D86" s="110">
        <f t="shared" si="69"/>
        <v>1335.8916597600005</v>
      </c>
      <c r="E86" s="110">
        <f t="shared" si="69"/>
        <v>1399.72641516</v>
      </c>
      <c r="F86" s="110">
        <f t="shared" si="69"/>
        <v>1599.8349085200002</v>
      </c>
      <c r="G86" s="110">
        <f t="shared" si="69"/>
        <v>1436.0655153600001</v>
      </c>
      <c r="H86" s="110">
        <f t="shared" si="69"/>
        <v>1476.8816432399997</v>
      </c>
      <c r="I86" s="110">
        <f t="shared" si="69"/>
        <v>1532.5504343999996</v>
      </c>
      <c r="J86" s="110">
        <f t="shared" si="69"/>
        <v>1463.6174493600001</v>
      </c>
      <c r="K86" s="110">
        <f t="shared" si="69"/>
        <v>1478.8629226800003</v>
      </c>
      <c r="L86" s="110">
        <f t="shared" si="69"/>
        <v>1484.7595909199999</v>
      </c>
      <c r="M86" s="110">
        <f t="shared" si="69"/>
        <v>1405.1069751600003</v>
      </c>
      <c r="N86" s="110">
        <f t="shared" si="69"/>
        <v>1414.0317895200003</v>
      </c>
      <c r="O86" s="110">
        <f t="shared" si="69"/>
        <v>1424.8290959999999</v>
      </c>
      <c r="P86" s="110">
        <f t="shared" si="69"/>
        <v>1424.6573166000003</v>
      </c>
      <c r="Q86" s="110">
        <f t="shared" si="69"/>
        <v>1435.9060177199999</v>
      </c>
      <c r="R86" s="110">
        <f t="shared" ref="R86:V86" si="70">R87+R88</f>
        <v>1402.4142532800001</v>
      </c>
      <c r="S86" s="110">
        <f t="shared" si="70"/>
        <v>1402.34405328</v>
      </c>
      <c r="T86" s="110">
        <f t="shared" si="70"/>
        <v>1412.0024662800001</v>
      </c>
      <c r="U86" s="110">
        <f t="shared" si="70"/>
        <v>1436.5758963600001</v>
      </c>
      <c r="V86" s="110">
        <f t="shared" si="70"/>
        <v>1234.3246181999998</v>
      </c>
      <c r="W86" s="110">
        <f t="shared" ref="W86:Y86" si="71">W87+W88</f>
        <v>1417.27712148</v>
      </c>
      <c r="X86" s="110">
        <f t="shared" si="71"/>
        <v>1535.5146293999999</v>
      </c>
      <c r="Y86" s="110">
        <f t="shared" si="71"/>
        <v>1512.0643517999999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1209.867714744265</v>
      </c>
      <c r="C87" s="102">
        <f>TrNavi_emi!C$4</f>
        <v>1037.8351561697659</v>
      </c>
      <c r="D87" s="102">
        <f>TrNavi_emi!D$4</f>
        <v>1042.0991266021761</v>
      </c>
      <c r="E87" s="102">
        <f>TrNavi_emi!E$4</f>
        <v>1033.3484976303648</v>
      </c>
      <c r="F87" s="102">
        <f>TrNavi_emi!F$4</f>
        <v>1151.7241758067594</v>
      </c>
      <c r="G87" s="102">
        <f>TrNavi_emi!G$4</f>
        <v>1075.9312286430404</v>
      </c>
      <c r="H87" s="102">
        <f>TrNavi_emi!H$4</f>
        <v>1208.9548809116616</v>
      </c>
      <c r="I87" s="102">
        <f>TrNavi_emi!I$4</f>
        <v>1127.2902317137716</v>
      </c>
      <c r="J87" s="102">
        <f>TrNavi_emi!J$4</f>
        <v>1204.4704479679963</v>
      </c>
      <c r="K87" s="102">
        <f>TrNavi_emi!K$4</f>
        <v>1143.3526059423607</v>
      </c>
      <c r="L87" s="102">
        <f>TrNavi_emi!L$4</f>
        <v>1184.1743888765266</v>
      </c>
      <c r="M87" s="102">
        <f>TrNavi_emi!M$4</f>
        <v>1127.7811018462746</v>
      </c>
      <c r="N87" s="102">
        <f>TrNavi_emi!N$4</f>
        <v>1086.4144410007282</v>
      </c>
      <c r="O87" s="102">
        <f>TrNavi_emi!O$4</f>
        <v>895.47911278986692</v>
      </c>
      <c r="P87" s="102">
        <f>TrNavi_emi!P$4</f>
        <v>1077.6857043660684</v>
      </c>
      <c r="Q87" s="102">
        <f>TrNavi_emi!Q$4</f>
        <v>1117.2329076011351</v>
      </c>
      <c r="R87" s="102">
        <f>TrNavi_emi!R$4</f>
        <v>1016.8033186747481</v>
      </c>
      <c r="S87" s="102">
        <f>TrNavi_emi!S$4</f>
        <v>1081.635084446785</v>
      </c>
      <c r="T87" s="102">
        <f>TrNavi_emi!T$4</f>
        <v>1134.9828438965433</v>
      </c>
      <c r="U87" s="102">
        <f>TrNavi_emi!U$4</f>
        <v>1146.8466907962288</v>
      </c>
      <c r="V87" s="102">
        <f>TrNavi_emi!V$4</f>
        <v>999.824433743589</v>
      </c>
      <c r="W87" s="102">
        <f>TrNavi_emi!W$4</f>
        <v>1145.7957841746229</v>
      </c>
      <c r="X87" s="102">
        <f>TrNavi_emi!X$4</f>
        <v>1241.6606111144913</v>
      </c>
      <c r="Y87" s="102">
        <f>TrNavi_emi!Y$4</f>
        <v>1298.3017795771373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250.54450737573498</v>
      </c>
      <c r="C88" s="169">
        <f>TrNavi_emi!C$5</f>
        <v>286.00706887023409</v>
      </c>
      <c r="D88" s="169">
        <f>TrNavi_emi!D$5</f>
        <v>293.79253315782432</v>
      </c>
      <c r="E88" s="169">
        <f>TrNavi_emi!E$5</f>
        <v>366.37791752963511</v>
      </c>
      <c r="F88" s="169">
        <f>TrNavi_emi!F$5</f>
        <v>448.11073271324091</v>
      </c>
      <c r="G88" s="169">
        <f>TrNavi_emi!G$5</f>
        <v>360.13428671695954</v>
      </c>
      <c r="H88" s="169">
        <f>TrNavi_emi!H$5</f>
        <v>267.92676232833816</v>
      </c>
      <c r="I88" s="169">
        <f>TrNavi_emi!I$5</f>
        <v>405.26020268622807</v>
      </c>
      <c r="J88" s="169">
        <f>TrNavi_emi!J$5</f>
        <v>259.14700139200386</v>
      </c>
      <c r="K88" s="169">
        <f>TrNavi_emi!K$5</f>
        <v>335.51031673763958</v>
      </c>
      <c r="L88" s="169">
        <f>TrNavi_emi!L$5</f>
        <v>300.58520204347343</v>
      </c>
      <c r="M88" s="169">
        <f>TrNavi_emi!M$5</f>
        <v>277.32587331372571</v>
      </c>
      <c r="N88" s="169">
        <f>TrNavi_emi!N$5</f>
        <v>327.61734851927207</v>
      </c>
      <c r="O88" s="169">
        <f>TrNavi_emi!O$5</f>
        <v>529.3499832101329</v>
      </c>
      <c r="P88" s="169">
        <f>TrNavi_emi!P$5</f>
        <v>346.97161223393192</v>
      </c>
      <c r="Q88" s="169">
        <f>TrNavi_emi!Q$5</f>
        <v>318.67311011886466</v>
      </c>
      <c r="R88" s="169">
        <f>TrNavi_emi!R$5</f>
        <v>385.61093460525194</v>
      </c>
      <c r="S88" s="169">
        <f>TrNavi_emi!S$5</f>
        <v>320.70896883321512</v>
      </c>
      <c r="T88" s="169">
        <f>TrNavi_emi!T$5</f>
        <v>277.01962238345675</v>
      </c>
      <c r="U88" s="169">
        <f>TrNavi_emi!U$5</f>
        <v>289.7292055637713</v>
      </c>
      <c r="V88" s="169">
        <f>TrNavi_emi!V$5</f>
        <v>234.50018445641075</v>
      </c>
      <c r="W88" s="169">
        <f>TrNavi_emi!W$5</f>
        <v>271.481337305377</v>
      </c>
      <c r="X88" s="169">
        <f>TrNavi_emi!X$5</f>
        <v>293.85401828550857</v>
      </c>
      <c r="Y88" s="169">
        <f>TrNavi_emi!Y$5</f>
        <v>213.76257222286264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9071.3670616800009</v>
      </c>
      <c r="C89" s="28">
        <f t="shared" si="72"/>
        <v>7692.9051250799985</v>
      </c>
      <c r="D89" s="28">
        <f t="shared" si="72"/>
        <v>7452.1726527600013</v>
      </c>
      <c r="E89" s="28">
        <f t="shared" si="72"/>
        <v>7992.1005822000006</v>
      </c>
      <c r="F89" s="28">
        <f t="shared" si="72"/>
        <v>9030.2075773200013</v>
      </c>
      <c r="G89" s="28">
        <f t="shared" si="72"/>
        <v>8255.1742711200022</v>
      </c>
      <c r="H89" s="28">
        <f t="shared" si="72"/>
        <v>8552.6431873200017</v>
      </c>
      <c r="I89" s="28">
        <f t="shared" si="72"/>
        <v>8768.2594417200035</v>
      </c>
      <c r="J89" s="28">
        <f t="shared" si="72"/>
        <v>7660.0368446400007</v>
      </c>
      <c r="K89" s="28">
        <f t="shared" si="72"/>
        <v>7643.6554953600016</v>
      </c>
      <c r="L89" s="28">
        <f t="shared" si="72"/>
        <v>7412.4722232000022</v>
      </c>
      <c r="M89" s="28">
        <f t="shared" si="72"/>
        <v>8500.0966059599978</v>
      </c>
      <c r="N89" s="28">
        <f t="shared" si="72"/>
        <v>8047.67921028</v>
      </c>
      <c r="O89" s="28">
        <f t="shared" si="72"/>
        <v>7353.8315632800022</v>
      </c>
      <c r="P89" s="28">
        <f t="shared" si="72"/>
        <v>6292.4443124400013</v>
      </c>
      <c r="Q89" s="28">
        <f t="shared" si="72"/>
        <v>5626.3191011999988</v>
      </c>
      <c r="R89" s="28">
        <f t="shared" si="72"/>
        <v>5331.5884857599995</v>
      </c>
      <c r="S89" s="28">
        <f t="shared" si="72"/>
        <v>5632.3629514800014</v>
      </c>
      <c r="T89" s="28">
        <f t="shared" si="72"/>
        <v>6348.2499759599996</v>
      </c>
      <c r="U89" s="28">
        <f t="shared" si="72"/>
        <v>5551.1508315600004</v>
      </c>
      <c r="V89" s="28">
        <f t="shared" si="72"/>
        <v>3167.7742310399999</v>
      </c>
      <c r="W89" s="28">
        <f t="shared" si="72"/>
        <v>3595.0764664799999</v>
      </c>
      <c r="X89" s="28">
        <f t="shared" ref="X89:Y89" si="73">X90+X91</f>
        <v>3803.5821398400003</v>
      </c>
      <c r="Y89" s="28">
        <f t="shared" si="73"/>
        <v>3412.9611543600004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3171.2061129931608</v>
      </c>
      <c r="C90" s="102">
        <f>MBunk_emi!C$4</f>
        <v>2693.0014619650428</v>
      </c>
      <c r="D90" s="102">
        <f>MBunk_emi!D$4</f>
        <v>2454.0439352416006</v>
      </c>
      <c r="E90" s="102">
        <f>MBunk_emi!E$4</f>
        <v>2587.8856708711296</v>
      </c>
      <c r="F90" s="102">
        <f>MBunk_emi!F$4</f>
        <v>2993.1738228742652</v>
      </c>
      <c r="G90" s="102">
        <f>MBunk_emi!G$4</f>
        <v>2627.34847498314</v>
      </c>
      <c r="H90" s="102">
        <f>MBunk_emi!H$4</f>
        <v>2504.7028085494476</v>
      </c>
      <c r="I90" s="102">
        <f>MBunk_emi!I$4</f>
        <v>2606.5872473742111</v>
      </c>
      <c r="J90" s="102">
        <f>MBunk_emi!J$4</f>
        <v>2222.1368922458646</v>
      </c>
      <c r="K90" s="102">
        <f>MBunk_emi!K$4</f>
        <v>2362.4835390734252</v>
      </c>
      <c r="L90" s="102">
        <f>MBunk_emi!L$4</f>
        <v>2300.1955214959348</v>
      </c>
      <c r="M90" s="102">
        <f>MBunk_emi!M$4</f>
        <v>2595.0547352575359</v>
      </c>
      <c r="N90" s="102">
        <f>MBunk_emi!N$4</f>
        <v>2474.4857035589066</v>
      </c>
      <c r="O90" s="102">
        <f>MBunk_emi!O$4</f>
        <v>2125.6782859693176</v>
      </c>
      <c r="P90" s="102">
        <f>MBunk_emi!P$4</f>
        <v>1836.8271672042119</v>
      </c>
      <c r="Q90" s="102">
        <f>MBunk_emi!Q$4</f>
        <v>1565.0545862186007</v>
      </c>
      <c r="R90" s="102">
        <f>MBunk_emi!R$4</f>
        <v>1624.5394142486414</v>
      </c>
      <c r="S90" s="102">
        <f>MBunk_emi!S$4</f>
        <v>1693.9697718985426</v>
      </c>
      <c r="T90" s="102">
        <f>MBunk_emi!T$4</f>
        <v>1917.1450531539015</v>
      </c>
      <c r="U90" s="102">
        <f>MBunk_emi!U$4</f>
        <v>1638.6800981128467</v>
      </c>
      <c r="V90" s="102">
        <f>MBunk_emi!V$4</f>
        <v>852.05034771346641</v>
      </c>
      <c r="W90" s="102">
        <f>MBunk_emi!W$4</f>
        <v>941.37227222217427</v>
      </c>
      <c r="X90" s="102">
        <f>MBunk_emi!X$4</f>
        <v>1016.3930990318315</v>
      </c>
      <c r="Y90" s="102">
        <f>MBunk_emi!Y$4</f>
        <v>936.7166854367963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5900.1609486868392</v>
      </c>
      <c r="C91" s="86">
        <f>MBunk_emi!C$5</f>
        <v>4999.9036631149556</v>
      </c>
      <c r="D91" s="86">
        <f>MBunk_emi!D$5</f>
        <v>4998.1287175184007</v>
      </c>
      <c r="E91" s="86">
        <f>MBunk_emi!E$5</f>
        <v>5404.2149113288706</v>
      </c>
      <c r="F91" s="86">
        <f>MBunk_emi!F$5</f>
        <v>6037.0337544457352</v>
      </c>
      <c r="G91" s="86">
        <f>MBunk_emi!G$5</f>
        <v>5627.8257961368618</v>
      </c>
      <c r="H91" s="86">
        <f>MBunk_emi!H$5</f>
        <v>6047.9403787705533</v>
      </c>
      <c r="I91" s="86">
        <f>MBunk_emi!I$5</f>
        <v>6161.6721943457924</v>
      </c>
      <c r="J91" s="86">
        <f>MBunk_emi!J$5</f>
        <v>5437.8999523941357</v>
      </c>
      <c r="K91" s="86">
        <f>MBunk_emi!K$5</f>
        <v>5281.1719562865765</v>
      </c>
      <c r="L91" s="86">
        <f>MBunk_emi!L$5</f>
        <v>5112.2767017040678</v>
      </c>
      <c r="M91" s="86">
        <f>MBunk_emi!M$5</f>
        <v>5905.0418707024619</v>
      </c>
      <c r="N91" s="86">
        <f>MBunk_emi!N$5</f>
        <v>5573.1935067210934</v>
      </c>
      <c r="O91" s="86">
        <f>MBunk_emi!O$5</f>
        <v>5228.1532773106846</v>
      </c>
      <c r="P91" s="86">
        <f>MBunk_emi!P$5</f>
        <v>4455.6171452357894</v>
      </c>
      <c r="Q91" s="86">
        <f>MBunk_emi!Q$5</f>
        <v>4061.2645149813984</v>
      </c>
      <c r="R91" s="86">
        <f>MBunk_emi!R$5</f>
        <v>3707.0490715113583</v>
      </c>
      <c r="S91" s="86">
        <f>MBunk_emi!S$5</f>
        <v>3938.3931795814592</v>
      </c>
      <c r="T91" s="86">
        <f>MBunk_emi!T$5</f>
        <v>4431.1049228060983</v>
      </c>
      <c r="U91" s="86">
        <f>MBunk_emi!U$5</f>
        <v>3912.4707334471532</v>
      </c>
      <c r="V91" s="86">
        <f>MBunk_emi!V$5</f>
        <v>2315.7238833265337</v>
      </c>
      <c r="W91" s="86">
        <f>MBunk_emi!W$5</f>
        <v>2653.7041942578257</v>
      </c>
      <c r="X91" s="86">
        <f>MBunk_emi!X$5</f>
        <v>2787.189040808169</v>
      </c>
      <c r="Y91" s="86">
        <f>MBunk_emi!Y$5</f>
        <v>2476.2444689232038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0.78862014355264032</v>
      </c>
      <c r="C97" s="139">
        <f t="shared" si="75"/>
        <v>0.79104366463162323</v>
      </c>
      <c r="D97" s="139">
        <f t="shared" si="75"/>
        <v>0.78835510305309986</v>
      </c>
      <c r="E97" s="139">
        <f t="shared" si="75"/>
        <v>0.79138399641484047</v>
      </c>
      <c r="F97" s="139">
        <f t="shared" si="75"/>
        <v>0.77927008580926016</v>
      </c>
      <c r="G97" s="139">
        <f t="shared" si="75"/>
        <v>0.76858795902448351</v>
      </c>
      <c r="H97" s="139">
        <f t="shared" si="75"/>
        <v>0.76255405123317965</v>
      </c>
      <c r="I97" s="139">
        <f t="shared" si="75"/>
        <v>0.75723583384605597</v>
      </c>
      <c r="J97" s="139">
        <f t="shared" si="75"/>
        <v>0.74847214661911277</v>
      </c>
      <c r="K97" s="139">
        <f t="shared" si="75"/>
        <v>0.75319091642980485</v>
      </c>
      <c r="L97" s="139">
        <f t="shared" si="75"/>
        <v>0.75250249584909257</v>
      </c>
      <c r="M97" s="139">
        <f t="shared" si="75"/>
        <v>0.74101741054321524</v>
      </c>
      <c r="N97" s="139">
        <f t="shared" si="75"/>
        <v>0.75527072536553408</v>
      </c>
      <c r="O97" s="139">
        <f t="shared" si="75"/>
        <v>0.75271804576584622</v>
      </c>
      <c r="P97" s="139">
        <f t="shared" si="75"/>
        <v>0.74996926743164161</v>
      </c>
      <c r="Q97" s="139">
        <f t="shared" si="75"/>
        <v>0.75067562370228913</v>
      </c>
      <c r="R97" s="139">
        <f t="shared" si="75"/>
        <v>0.75242636682345321</v>
      </c>
      <c r="S97" s="139">
        <f t="shared" si="75"/>
        <v>0.74265036411046426</v>
      </c>
      <c r="T97" s="139">
        <f t="shared" si="75"/>
        <v>0.73645668157327882</v>
      </c>
      <c r="U97" s="139">
        <f t="shared" si="75"/>
        <v>0.72972639345253487</v>
      </c>
      <c r="V97" s="139">
        <f t="shared" si="75"/>
        <v>0.84348555361746447</v>
      </c>
      <c r="W97" s="139">
        <f t="shared" si="75"/>
        <v>0.82490932361379643</v>
      </c>
      <c r="X97" s="139">
        <f t="shared" si="75"/>
        <v>0.7482051240159483</v>
      </c>
      <c r="Y97" s="139">
        <f t="shared" si="75"/>
        <v>0.7193869846217239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1.1977325491324077E-2</v>
      </c>
      <c r="C98" s="140">
        <f t="shared" si="76"/>
        <v>1.2775787436929916E-2</v>
      </c>
      <c r="D98" s="140">
        <f t="shared" si="76"/>
        <v>1.4046753784944337E-2</v>
      </c>
      <c r="E98" s="140">
        <f t="shared" si="76"/>
        <v>1.4258161600522935E-2</v>
      </c>
      <c r="F98" s="140">
        <f t="shared" si="76"/>
        <v>1.4892500933676767E-2</v>
      </c>
      <c r="G98" s="140">
        <f t="shared" si="76"/>
        <v>1.5515114579573599E-2</v>
      </c>
      <c r="H98" s="140">
        <f t="shared" si="76"/>
        <v>1.5363060196468379E-2</v>
      </c>
      <c r="I98" s="140">
        <f t="shared" si="76"/>
        <v>1.5787176631904688E-2</v>
      </c>
      <c r="J98" s="140">
        <f t="shared" si="76"/>
        <v>1.6792599700851712E-2</v>
      </c>
      <c r="K98" s="140">
        <f t="shared" si="76"/>
        <v>1.7467307219484671E-2</v>
      </c>
      <c r="L98" s="140">
        <f t="shared" si="76"/>
        <v>1.7177883355216524E-2</v>
      </c>
      <c r="M98" s="140">
        <f t="shared" si="76"/>
        <v>1.7316819932061658E-2</v>
      </c>
      <c r="N98" s="140">
        <f t="shared" si="76"/>
        <v>1.5922643504585859E-2</v>
      </c>
      <c r="O98" s="140">
        <f t="shared" si="76"/>
        <v>1.5943646520860399E-2</v>
      </c>
      <c r="P98" s="140">
        <f t="shared" si="76"/>
        <v>1.6118798565673217E-2</v>
      </c>
      <c r="Q98" s="140">
        <f t="shared" si="76"/>
        <v>1.5998558458272111E-2</v>
      </c>
      <c r="R98" s="140">
        <f t="shared" si="76"/>
        <v>1.467988643481765E-2</v>
      </c>
      <c r="S98" s="140">
        <f t="shared" si="76"/>
        <v>1.3774356170486111E-2</v>
      </c>
      <c r="T98" s="140">
        <f t="shared" si="76"/>
        <v>1.2978058349590106E-2</v>
      </c>
      <c r="U98" s="140">
        <f t="shared" si="76"/>
        <v>1.3719225155856839E-2</v>
      </c>
      <c r="V98" s="140">
        <f t="shared" si="76"/>
        <v>1.662848985118447E-2</v>
      </c>
      <c r="W98" s="140">
        <f t="shared" si="76"/>
        <v>1.5932408482616258E-2</v>
      </c>
      <c r="X98" s="140">
        <f t="shared" si="76"/>
        <v>1.3426933448953276E-2</v>
      </c>
      <c r="Y98" s="140">
        <f t="shared" si="76"/>
        <v>1.4052355491360085E-2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0.72440406900273457</v>
      </c>
      <c r="C99" s="140">
        <f t="shared" si="77"/>
        <v>0.72902139434469693</v>
      </c>
      <c r="D99" s="140">
        <f t="shared" si="77"/>
        <v>0.72510207369685886</v>
      </c>
      <c r="E99" s="140">
        <f t="shared" si="77"/>
        <v>0.72737149803261647</v>
      </c>
      <c r="F99" s="140">
        <f t="shared" si="77"/>
        <v>0.71442192416062089</v>
      </c>
      <c r="G99" s="140">
        <f t="shared" si="77"/>
        <v>0.70307750505765698</v>
      </c>
      <c r="H99" s="140">
        <f t="shared" si="77"/>
        <v>0.69518295976702704</v>
      </c>
      <c r="I99" s="140">
        <f t="shared" si="77"/>
        <v>0.6895894458180476</v>
      </c>
      <c r="J99" s="140">
        <f t="shared" si="77"/>
        <v>0.67898344875062533</v>
      </c>
      <c r="K99" s="140">
        <f t="shared" si="77"/>
        <v>0.6831018439393437</v>
      </c>
      <c r="L99" s="140">
        <f t="shared" si="77"/>
        <v>0.68233486925908038</v>
      </c>
      <c r="M99" s="140">
        <f t="shared" si="77"/>
        <v>0.67106543938845686</v>
      </c>
      <c r="N99" s="140">
        <f t="shared" si="77"/>
        <v>0.68883495019700947</v>
      </c>
      <c r="O99" s="140">
        <f t="shared" si="77"/>
        <v>0.68628194349454152</v>
      </c>
      <c r="P99" s="140">
        <f t="shared" si="77"/>
        <v>0.68325197103769386</v>
      </c>
      <c r="Q99" s="140">
        <f t="shared" si="77"/>
        <v>0.68400403017223144</v>
      </c>
      <c r="R99" s="140">
        <f t="shared" si="77"/>
        <v>0.68681819818586598</v>
      </c>
      <c r="S99" s="140">
        <f t="shared" si="77"/>
        <v>0.67913108978990633</v>
      </c>
      <c r="T99" s="140">
        <f t="shared" si="77"/>
        <v>0.6739545470903896</v>
      </c>
      <c r="U99" s="140">
        <f t="shared" si="77"/>
        <v>0.66621447322912186</v>
      </c>
      <c r="V99" s="140">
        <f t="shared" si="77"/>
        <v>0.78208164001200908</v>
      </c>
      <c r="W99" s="140">
        <f t="shared" si="77"/>
        <v>0.76490567263982823</v>
      </c>
      <c r="X99" s="140">
        <f t="shared" si="77"/>
        <v>0.69253907903467571</v>
      </c>
      <c r="Y99" s="140">
        <f t="shared" si="77"/>
        <v>0.6595021670744885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5.2238749058581752E-2</v>
      </c>
      <c r="C100" s="140">
        <f t="shared" si="78"/>
        <v>4.9246482849996373E-2</v>
      </c>
      <c r="D100" s="140">
        <f t="shared" si="78"/>
        <v>4.9206275571296719E-2</v>
      </c>
      <c r="E100" s="140">
        <f t="shared" si="78"/>
        <v>4.9754336781700943E-2</v>
      </c>
      <c r="F100" s="140">
        <f t="shared" si="78"/>
        <v>4.9955660714962533E-2</v>
      </c>
      <c r="G100" s="140">
        <f t="shared" si="78"/>
        <v>4.9995339387252917E-2</v>
      </c>
      <c r="H100" s="140">
        <f t="shared" si="78"/>
        <v>5.2008031269684132E-2</v>
      </c>
      <c r="I100" s="140">
        <f t="shared" si="78"/>
        <v>5.1859211396103763E-2</v>
      </c>
      <c r="J100" s="140">
        <f t="shared" si="78"/>
        <v>5.2696098167635631E-2</v>
      </c>
      <c r="K100" s="140">
        <f t="shared" si="78"/>
        <v>5.2621765270976437E-2</v>
      </c>
      <c r="L100" s="140">
        <f t="shared" si="78"/>
        <v>5.2989743234795578E-2</v>
      </c>
      <c r="M100" s="140">
        <f t="shared" si="78"/>
        <v>5.2635151222696713E-2</v>
      </c>
      <c r="N100" s="140">
        <f t="shared" si="78"/>
        <v>5.0513131663938796E-2</v>
      </c>
      <c r="O100" s="140">
        <f t="shared" si="78"/>
        <v>5.0492455750444455E-2</v>
      </c>
      <c r="P100" s="140">
        <f t="shared" si="78"/>
        <v>5.0598497828274601E-2</v>
      </c>
      <c r="Q100" s="140">
        <f t="shared" si="78"/>
        <v>5.0673035071785562E-2</v>
      </c>
      <c r="R100" s="140">
        <f t="shared" si="78"/>
        <v>5.0928282202769723E-2</v>
      </c>
      <c r="S100" s="140">
        <f t="shared" si="78"/>
        <v>4.9744918150071718E-2</v>
      </c>
      <c r="T100" s="140">
        <f t="shared" si="78"/>
        <v>4.9524076133299108E-2</v>
      </c>
      <c r="U100" s="140">
        <f t="shared" si="78"/>
        <v>4.9792695067556195E-2</v>
      </c>
      <c r="V100" s="140">
        <f t="shared" si="78"/>
        <v>4.4775423754270974E-2</v>
      </c>
      <c r="W100" s="140">
        <f t="shared" si="78"/>
        <v>4.4071242491351983E-2</v>
      </c>
      <c r="X100" s="140">
        <f t="shared" si="78"/>
        <v>4.2239111532319351E-2</v>
      </c>
      <c r="Y100" s="140">
        <f t="shared" si="78"/>
        <v>4.5832462055875357E-2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8.6989859057274285E-2</v>
      </c>
      <c r="C101" s="124">
        <f t="shared" si="79"/>
        <v>8.6523630329715023E-2</v>
      </c>
      <c r="D101" s="124">
        <f t="shared" si="79"/>
        <v>8.7533409966237236E-2</v>
      </c>
      <c r="E101" s="124">
        <f t="shared" si="79"/>
        <v>8.5837313411960589E-2</v>
      </c>
      <c r="F101" s="124">
        <f t="shared" si="79"/>
        <v>8.9243638648940721E-2</v>
      </c>
      <c r="G101" s="124">
        <f t="shared" si="79"/>
        <v>9.1512815121223057E-2</v>
      </c>
      <c r="H101" s="124">
        <f t="shared" si="79"/>
        <v>9.4721971422775636E-2</v>
      </c>
      <c r="I101" s="124">
        <f t="shared" si="79"/>
        <v>9.5466332971445203E-2</v>
      </c>
      <c r="J101" s="124">
        <f t="shared" si="79"/>
        <v>0.10204835258146137</v>
      </c>
      <c r="K101" s="124">
        <f t="shared" si="79"/>
        <v>0.10078439141436049</v>
      </c>
      <c r="L101" s="124">
        <f t="shared" si="79"/>
        <v>0.10017943635321987</v>
      </c>
      <c r="M101" s="124">
        <f t="shared" si="79"/>
        <v>0.10182798424916906</v>
      </c>
      <c r="N101" s="124">
        <f t="shared" si="79"/>
        <v>9.6947028610165686E-2</v>
      </c>
      <c r="O101" s="124">
        <f t="shared" si="79"/>
        <v>9.5831576489766257E-2</v>
      </c>
      <c r="P101" s="124">
        <f t="shared" si="79"/>
        <v>9.3799561618315569E-2</v>
      </c>
      <c r="Q101" s="124">
        <f t="shared" si="79"/>
        <v>9.294981138068803E-2</v>
      </c>
      <c r="R101" s="124">
        <f t="shared" si="79"/>
        <v>9.1385328319122258E-2</v>
      </c>
      <c r="S101" s="124">
        <f t="shared" si="79"/>
        <v>9.5315009513075699E-2</v>
      </c>
      <c r="T101" s="124">
        <f t="shared" si="79"/>
        <v>9.0386503204691548E-2</v>
      </c>
      <c r="U101" s="124">
        <f t="shared" si="79"/>
        <v>9.1979717432009098E-2</v>
      </c>
      <c r="V101" s="124">
        <f t="shared" si="79"/>
        <v>7.5626054265333517E-2</v>
      </c>
      <c r="W101" s="124">
        <f t="shared" si="79"/>
        <v>8.8283756256544665E-2</v>
      </c>
      <c r="X101" s="124">
        <f t="shared" si="79"/>
        <v>9.9929627978872795E-2</v>
      </c>
      <c r="Y101" s="124">
        <f t="shared" si="79"/>
        <v>0.10168920573814802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8.1358696497527729E-3</v>
      </c>
      <c r="C102" s="140">
        <f t="shared" si="80"/>
        <v>7.9529045683808218E-3</v>
      </c>
      <c r="D102" s="140">
        <f t="shared" si="80"/>
        <v>8.0687885991826379E-3</v>
      </c>
      <c r="E102" s="140">
        <f t="shared" si="80"/>
        <v>8.2584978924159433E-3</v>
      </c>
      <c r="F102" s="140">
        <f t="shared" si="80"/>
        <v>9.086985193135666E-3</v>
      </c>
      <c r="G102" s="140">
        <f t="shared" si="80"/>
        <v>9.3553647115304801E-3</v>
      </c>
      <c r="H102" s="140">
        <f t="shared" si="80"/>
        <v>9.6378749563617618E-3</v>
      </c>
      <c r="I102" s="140">
        <f t="shared" si="80"/>
        <v>9.5786059292538948E-3</v>
      </c>
      <c r="J102" s="140">
        <f t="shared" si="80"/>
        <v>1.029023015874294E-2</v>
      </c>
      <c r="K102" s="140">
        <f t="shared" si="80"/>
        <v>9.4710060378723482E-3</v>
      </c>
      <c r="L102" s="140">
        <f t="shared" si="80"/>
        <v>9.615587203395946E-3</v>
      </c>
      <c r="M102" s="140">
        <f t="shared" si="80"/>
        <v>9.5759892367584306E-3</v>
      </c>
      <c r="N102" s="140">
        <f t="shared" si="80"/>
        <v>9.543527016730842E-3</v>
      </c>
      <c r="O102" s="140">
        <f t="shared" si="80"/>
        <v>9.6935258477934549E-3</v>
      </c>
      <c r="P102" s="140">
        <f t="shared" si="80"/>
        <v>9.7498836483528931E-3</v>
      </c>
      <c r="Q102" s="140">
        <f t="shared" si="80"/>
        <v>9.7103028499547633E-3</v>
      </c>
      <c r="R102" s="140">
        <f t="shared" si="80"/>
        <v>9.678876314556991E-3</v>
      </c>
      <c r="S102" s="140">
        <f t="shared" si="80"/>
        <v>9.6642846904488773E-3</v>
      </c>
      <c r="T102" s="140">
        <f t="shared" si="80"/>
        <v>9.9195377671239295E-3</v>
      </c>
      <c r="U102" s="140">
        <f t="shared" si="80"/>
        <v>9.505652072355656E-3</v>
      </c>
      <c r="V102" s="140">
        <f t="shared" si="80"/>
        <v>7.4065313924855823E-3</v>
      </c>
      <c r="W102" s="140">
        <f t="shared" si="80"/>
        <v>8.5115633283300799E-3</v>
      </c>
      <c r="X102" s="140">
        <f t="shared" si="80"/>
        <v>9.0217457747860177E-3</v>
      </c>
      <c r="Y102" s="140">
        <f t="shared" si="80"/>
        <v>8.9804894068275173E-3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4.1786673350401426E-2</v>
      </c>
      <c r="C103" s="140">
        <f t="shared" si="81"/>
        <v>3.9681864387081933E-2</v>
      </c>
      <c r="D103" s="140">
        <f t="shared" si="81"/>
        <v>3.8597162962839021E-2</v>
      </c>
      <c r="E103" s="140">
        <f t="shared" si="81"/>
        <v>3.6981604202086175E-2</v>
      </c>
      <c r="F103" s="140">
        <f t="shared" si="81"/>
        <v>3.8059168697861363E-2</v>
      </c>
      <c r="G103" s="140">
        <f t="shared" si="81"/>
        <v>3.8828751000504633E-2</v>
      </c>
      <c r="H103" s="140">
        <f t="shared" si="81"/>
        <v>3.9685850909267677E-2</v>
      </c>
      <c r="I103" s="140">
        <f t="shared" si="81"/>
        <v>3.79968136935507E-2</v>
      </c>
      <c r="J103" s="140">
        <f t="shared" si="81"/>
        <v>3.9247208766187272E-2</v>
      </c>
      <c r="K103" s="140">
        <f t="shared" si="81"/>
        <v>3.8884145173656827E-2</v>
      </c>
      <c r="L103" s="140">
        <f t="shared" si="81"/>
        <v>3.770571562389359E-2</v>
      </c>
      <c r="M103" s="140">
        <f t="shared" si="81"/>
        <v>3.9032381820002987E-2</v>
      </c>
      <c r="N103" s="140">
        <f t="shared" si="81"/>
        <v>3.7078485593015506E-2</v>
      </c>
      <c r="O103" s="140">
        <f t="shared" si="81"/>
        <v>3.6412776839391904E-2</v>
      </c>
      <c r="P103" s="140">
        <f t="shared" si="81"/>
        <v>3.5190623843732914E-2</v>
      </c>
      <c r="Q103" s="140">
        <f t="shared" si="81"/>
        <v>3.469734326201155E-2</v>
      </c>
      <c r="R103" s="140">
        <f t="shared" si="81"/>
        <v>3.4098511548243199E-2</v>
      </c>
      <c r="S103" s="140">
        <f t="shared" si="81"/>
        <v>3.4665471032637958E-2</v>
      </c>
      <c r="T103" s="140">
        <f t="shared" si="81"/>
        <v>3.2778828451447549E-2</v>
      </c>
      <c r="U103" s="140">
        <f t="shared" si="81"/>
        <v>3.3359807396714E-2</v>
      </c>
      <c r="V103" s="140">
        <f t="shared" si="81"/>
        <v>2.8420636669244444E-2</v>
      </c>
      <c r="W103" s="140">
        <f t="shared" si="81"/>
        <v>3.294501135453274E-2</v>
      </c>
      <c r="X103" s="140">
        <f t="shared" si="81"/>
        <v>3.5930207118420113E-2</v>
      </c>
      <c r="Y103" s="140">
        <f t="shared" si="81"/>
        <v>3.6737105049558433E-2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3.7067316057120082E-2</v>
      </c>
      <c r="C104" s="140">
        <f t="shared" si="82"/>
        <v>3.8888861374252279E-2</v>
      </c>
      <c r="D104" s="140">
        <f t="shared" si="82"/>
        <v>4.0867458404215573E-2</v>
      </c>
      <c r="E104" s="140">
        <f t="shared" si="82"/>
        <v>4.0597211317458477E-2</v>
      </c>
      <c r="F104" s="140">
        <f t="shared" si="82"/>
        <v>4.2097484757943691E-2</v>
      </c>
      <c r="G104" s="140">
        <f t="shared" si="82"/>
        <v>4.3328699409187939E-2</v>
      </c>
      <c r="H104" s="140">
        <f t="shared" si="82"/>
        <v>4.5398245557146194E-2</v>
      </c>
      <c r="I104" s="140">
        <f t="shared" si="82"/>
        <v>4.7890913348640603E-2</v>
      </c>
      <c r="J104" s="140">
        <f t="shared" si="82"/>
        <v>5.2510913656531162E-2</v>
      </c>
      <c r="K104" s="140">
        <f t="shared" si="82"/>
        <v>5.2429240202831323E-2</v>
      </c>
      <c r="L104" s="140">
        <f t="shared" si="82"/>
        <v>5.2858133525930329E-2</v>
      </c>
      <c r="M104" s="140">
        <f t="shared" si="82"/>
        <v>5.3219613192407637E-2</v>
      </c>
      <c r="N104" s="140">
        <f t="shared" si="82"/>
        <v>5.0325016000419331E-2</v>
      </c>
      <c r="O104" s="140">
        <f t="shared" si="82"/>
        <v>4.9725273802580891E-2</v>
      </c>
      <c r="P104" s="140">
        <f t="shared" si="82"/>
        <v>4.8859054126229769E-2</v>
      </c>
      <c r="Q104" s="140">
        <f t="shared" si="82"/>
        <v>4.8542165268721703E-2</v>
      </c>
      <c r="R104" s="140">
        <f t="shared" si="82"/>
        <v>4.7607940456322065E-2</v>
      </c>
      <c r="S104" s="140">
        <f t="shared" si="82"/>
        <v>5.098525378998886E-2</v>
      </c>
      <c r="T104" s="140">
        <f t="shared" si="82"/>
        <v>4.7688136986120074E-2</v>
      </c>
      <c r="U104" s="140">
        <f t="shared" si="82"/>
        <v>4.9114257962939438E-2</v>
      </c>
      <c r="V104" s="140">
        <f t="shared" si="82"/>
        <v>3.9798886203603487E-2</v>
      </c>
      <c r="W104" s="140">
        <f t="shared" si="82"/>
        <v>4.6827181573681841E-2</v>
      </c>
      <c r="X104" s="140">
        <f t="shared" si="82"/>
        <v>5.4977675085666651E-2</v>
      </c>
      <c r="Y104" s="140">
        <f t="shared" si="82"/>
        <v>5.597161128176207E-2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0.12438999739008552</v>
      </c>
      <c r="C105" s="124">
        <f t="shared" si="83"/>
        <v>0.12243270503866176</v>
      </c>
      <c r="D105" s="124">
        <f t="shared" si="83"/>
        <v>0.12411148698066289</v>
      </c>
      <c r="E105" s="124">
        <f t="shared" si="83"/>
        <v>0.12277869017319892</v>
      </c>
      <c r="F105" s="124">
        <f t="shared" si="83"/>
        <v>0.13148627554179904</v>
      </c>
      <c r="G105" s="124">
        <f t="shared" si="83"/>
        <v>0.13989922585429343</v>
      </c>
      <c r="H105" s="124">
        <f t="shared" si="83"/>
        <v>0.14272397734404474</v>
      </c>
      <c r="I105" s="124">
        <f t="shared" si="83"/>
        <v>0.14729783318249878</v>
      </c>
      <c r="J105" s="124">
        <f t="shared" si="83"/>
        <v>0.14947950079942604</v>
      </c>
      <c r="K105" s="124">
        <f t="shared" si="83"/>
        <v>0.14602469215583469</v>
      </c>
      <c r="L105" s="124">
        <f t="shared" si="83"/>
        <v>0.14731806779768766</v>
      </c>
      <c r="M105" s="124">
        <f t="shared" si="83"/>
        <v>0.15715460520761571</v>
      </c>
      <c r="N105" s="124">
        <f t="shared" si="83"/>
        <v>0.14778224602430032</v>
      </c>
      <c r="O105" s="124">
        <f t="shared" si="83"/>
        <v>0.15145037774438733</v>
      </c>
      <c r="P105" s="124">
        <f t="shared" si="83"/>
        <v>0.15623117095004285</v>
      </c>
      <c r="Q105" s="124">
        <f t="shared" si="83"/>
        <v>0.15637456491702278</v>
      </c>
      <c r="R105" s="124">
        <f t="shared" si="83"/>
        <v>0.15618830485742446</v>
      </c>
      <c r="S105" s="124">
        <f t="shared" si="83"/>
        <v>0.16203462637646016</v>
      </c>
      <c r="T105" s="124">
        <f t="shared" si="83"/>
        <v>0.17315681522202978</v>
      </c>
      <c r="U105" s="124">
        <f t="shared" si="83"/>
        <v>0.17829388911545602</v>
      </c>
      <c r="V105" s="124">
        <f t="shared" si="83"/>
        <v>8.0888392117202057E-2</v>
      </c>
      <c r="W105" s="124">
        <f t="shared" si="83"/>
        <v>8.680692012965896E-2</v>
      </c>
      <c r="X105" s="124">
        <f t="shared" si="83"/>
        <v>0.15186524800517889</v>
      </c>
      <c r="Y105" s="124">
        <f t="shared" si="83"/>
        <v>0.17892380964012805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2.1896092054076825E-2</v>
      </c>
      <c r="C106" s="140">
        <f t="shared" si="84"/>
        <v>2.2021547776445365E-2</v>
      </c>
      <c r="D106" s="140">
        <f t="shared" si="84"/>
        <v>2.2874883255812023E-2</v>
      </c>
      <c r="E106" s="140">
        <f t="shared" si="84"/>
        <v>2.1930955133436517E-2</v>
      </c>
      <c r="F106" s="140">
        <f t="shared" si="84"/>
        <v>2.1381773714571749E-2</v>
      </c>
      <c r="G106" s="140">
        <f t="shared" si="84"/>
        <v>2.1341076930982871E-2</v>
      </c>
      <c r="H106" s="140">
        <f t="shared" si="84"/>
        <v>2.1556283871135961E-2</v>
      </c>
      <c r="I106" s="140">
        <f t="shared" si="84"/>
        <v>2.2013759880731728E-2</v>
      </c>
      <c r="J106" s="140">
        <f t="shared" si="84"/>
        <v>2.1828023920540285E-2</v>
      </c>
      <c r="K106" s="140">
        <f t="shared" si="84"/>
        <v>2.2550413795514073E-2</v>
      </c>
      <c r="L106" s="140">
        <f t="shared" si="84"/>
        <v>2.304105364086061E-2</v>
      </c>
      <c r="M106" s="140">
        <f t="shared" si="84"/>
        <v>2.427258538839009E-2</v>
      </c>
      <c r="N106" s="140">
        <f t="shared" si="84"/>
        <v>2.2771615144944322E-2</v>
      </c>
      <c r="O106" s="140">
        <f t="shared" si="84"/>
        <v>2.3369013264754931E-2</v>
      </c>
      <c r="P106" s="140">
        <f t="shared" si="84"/>
        <v>2.3089718420645076E-2</v>
      </c>
      <c r="Q106" s="140">
        <f t="shared" si="84"/>
        <v>2.3082132532719058E-2</v>
      </c>
      <c r="R106" s="140">
        <f t="shared" si="84"/>
        <v>2.3733443804100293E-2</v>
      </c>
      <c r="S106" s="140">
        <f t="shared" si="84"/>
        <v>2.4933392616066061E-2</v>
      </c>
      <c r="T106" s="140">
        <f t="shared" si="84"/>
        <v>2.6548782437799349E-2</v>
      </c>
      <c r="U106" s="140">
        <f t="shared" si="84"/>
        <v>2.6811020299868385E-2</v>
      </c>
      <c r="V106" s="140">
        <f t="shared" si="84"/>
        <v>2.0156496396576858E-2</v>
      </c>
      <c r="W106" s="140">
        <f t="shared" si="84"/>
        <v>2.3866194632937592E-2</v>
      </c>
      <c r="X106" s="140">
        <f t="shared" si="84"/>
        <v>2.8076718457595282E-2</v>
      </c>
      <c r="Y106" s="140">
        <f t="shared" si="84"/>
        <v>2.6599249293057216E-2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2.4177069171457628E-2</v>
      </c>
      <c r="C107" s="140">
        <f t="shared" si="85"/>
        <v>2.3785413718763315E-2</v>
      </c>
      <c r="D107" s="140">
        <f t="shared" si="85"/>
        <v>2.3880675133707913E-2</v>
      </c>
      <c r="E107" s="140">
        <f t="shared" si="85"/>
        <v>2.4169549753411106E-2</v>
      </c>
      <c r="F107" s="140">
        <f t="shared" si="85"/>
        <v>2.503238335241826E-2</v>
      </c>
      <c r="G107" s="140">
        <f t="shared" si="85"/>
        <v>2.6320067281969565E-2</v>
      </c>
      <c r="H107" s="140">
        <f t="shared" si="85"/>
        <v>2.7125819367452557E-2</v>
      </c>
      <c r="I107" s="140">
        <f t="shared" si="85"/>
        <v>2.7916947994500518E-2</v>
      </c>
      <c r="J107" s="140">
        <f t="shared" si="85"/>
        <v>2.7958861193235662E-2</v>
      </c>
      <c r="K107" s="140">
        <f t="shared" si="85"/>
        <v>2.6625676215455897E-2</v>
      </c>
      <c r="L107" s="140">
        <f t="shared" si="85"/>
        <v>2.6526557851676548E-2</v>
      </c>
      <c r="M107" s="140">
        <f t="shared" si="85"/>
        <v>2.8746207911657634E-2</v>
      </c>
      <c r="N107" s="140">
        <f t="shared" si="85"/>
        <v>2.8087321223609612E-2</v>
      </c>
      <c r="O107" s="140">
        <f t="shared" si="85"/>
        <v>2.830888271182376E-2</v>
      </c>
      <c r="P107" s="140">
        <f t="shared" si="85"/>
        <v>2.9596673908190926E-2</v>
      </c>
      <c r="Q107" s="140">
        <f t="shared" si="85"/>
        <v>3.0709099748042461E-2</v>
      </c>
      <c r="R107" s="140">
        <f t="shared" si="85"/>
        <v>3.2309391011874494E-2</v>
      </c>
      <c r="S107" s="140">
        <f t="shared" si="85"/>
        <v>3.3759475377656917E-2</v>
      </c>
      <c r="T107" s="140">
        <f t="shared" si="85"/>
        <v>3.5406875388535097E-2</v>
      </c>
      <c r="U107" s="140">
        <f t="shared" si="85"/>
        <v>3.6097571406384546E-2</v>
      </c>
      <c r="V107" s="140">
        <f t="shared" si="85"/>
        <v>1.4854135301734699E-2</v>
      </c>
      <c r="W107" s="140">
        <f t="shared" si="85"/>
        <v>1.8982515997313012E-2</v>
      </c>
      <c r="X107" s="140">
        <f t="shared" si="85"/>
        <v>3.4029378953368661E-2</v>
      </c>
      <c r="Y107" s="140">
        <f t="shared" si="85"/>
        <v>3.8304694972012422E-2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7.8316836164551068E-2</v>
      </c>
      <c r="C108" s="140">
        <f t="shared" si="86"/>
        <v>7.6625743543453084E-2</v>
      </c>
      <c r="D108" s="140">
        <f t="shared" si="86"/>
        <v>7.7355928591142945E-2</v>
      </c>
      <c r="E108" s="140">
        <f t="shared" si="86"/>
        <v>7.66781852863513E-2</v>
      </c>
      <c r="F108" s="140">
        <f t="shared" si="86"/>
        <v>8.5072118474809028E-2</v>
      </c>
      <c r="G108" s="140">
        <f t="shared" si="86"/>
        <v>9.2238081641341008E-2</v>
      </c>
      <c r="H108" s="140">
        <f t="shared" si="86"/>
        <v>9.4041874105456211E-2</v>
      </c>
      <c r="I108" s="140">
        <f t="shared" si="86"/>
        <v>9.736712530726653E-2</v>
      </c>
      <c r="J108" s="140">
        <f t="shared" si="86"/>
        <v>9.9692615685650104E-2</v>
      </c>
      <c r="K108" s="140">
        <f t="shared" si="86"/>
        <v>9.6848602144864723E-2</v>
      </c>
      <c r="L108" s="140">
        <f t="shared" si="86"/>
        <v>9.7750456305150529E-2</v>
      </c>
      <c r="M108" s="140">
        <f t="shared" si="86"/>
        <v>0.10413581190756797</v>
      </c>
      <c r="N108" s="140">
        <f t="shared" si="86"/>
        <v>9.6923309655746373E-2</v>
      </c>
      <c r="O108" s="140">
        <f t="shared" si="86"/>
        <v>9.9772481767808632E-2</v>
      </c>
      <c r="P108" s="140">
        <f t="shared" si="86"/>
        <v>0.10354477862120685</v>
      </c>
      <c r="Q108" s="140">
        <f t="shared" si="86"/>
        <v>0.10258333263626127</v>
      </c>
      <c r="R108" s="140">
        <f t="shared" si="86"/>
        <v>0.10014547004144965</v>
      </c>
      <c r="S108" s="140">
        <f t="shared" si="86"/>
        <v>0.10334175838273718</v>
      </c>
      <c r="T108" s="140">
        <f t="shared" si="86"/>
        <v>0.11120115739569532</v>
      </c>
      <c r="U108" s="140">
        <f t="shared" si="86"/>
        <v>0.11538529740920307</v>
      </c>
      <c r="V108" s="140">
        <f t="shared" si="86"/>
        <v>4.5877760418890502E-2</v>
      </c>
      <c r="W108" s="140">
        <f t="shared" si="86"/>
        <v>4.3958209499408353E-2</v>
      </c>
      <c r="X108" s="140">
        <f t="shared" si="86"/>
        <v>8.9759150594214951E-2</v>
      </c>
      <c r="Y108" s="140">
        <f t="shared" si="86"/>
        <v>0.1140198653750584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0.74092692186409037</v>
      </c>
      <c r="C110" s="139">
        <f t="shared" si="88"/>
        <v>0.77424118948642051</v>
      </c>
      <c r="D110" s="139">
        <f t="shared" si="88"/>
        <v>0.77799687825993469</v>
      </c>
      <c r="E110" s="139">
        <f t="shared" si="88"/>
        <v>0.79289073066788451</v>
      </c>
      <c r="F110" s="139">
        <f t="shared" si="88"/>
        <v>0.80879969693444265</v>
      </c>
      <c r="G110" s="139">
        <f t="shared" si="88"/>
        <v>0.81838790318710097</v>
      </c>
      <c r="H110" s="139">
        <f t="shared" si="88"/>
        <v>0.80517982968430801</v>
      </c>
      <c r="I110" s="139">
        <f t="shared" si="88"/>
        <v>0.82477664227876302</v>
      </c>
      <c r="J110" s="139">
        <f t="shared" si="88"/>
        <v>0.81186291519387943</v>
      </c>
      <c r="K110" s="139">
        <f t="shared" si="88"/>
        <v>0.82237909841413881</v>
      </c>
      <c r="L110" s="139">
        <f t="shared" si="88"/>
        <v>0.8306046815422965</v>
      </c>
      <c r="M110" s="139">
        <f t="shared" si="88"/>
        <v>0.8167987173129988</v>
      </c>
      <c r="N110" s="139">
        <f t="shared" si="88"/>
        <v>0.81739889670744148</v>
      </c>
      <c r="O110" s="139">
        <f t="shared" si="88"/>
        <v>0.8374935494488126</v>
      </c>
      <c r="P110" s="139">
        <f t="shared" si="88"/>
        <v>0.81955674903957709</v>
      </c>
      <c r="Q110" s="139">
        <f t="shared" si="88"/>
        <v>0.80510018511650538</v>
      </c>
      <c r="R110" s="139">
        <f t="shared" si="88"/>
        <v>0.82330914818978329</v>
      </c>
      <c r="S110" s="139">
        <f t="shared" si="88"/>
        <v>0.83146983889514359</v>
      </c>
      <c r="T110" s="139">
        <f t="shared" si="88"/>
        <v>0.8330603576687462</v>
      </c>
      <c r="U110" s="139">
        <f t="shared" si="88"/>
        <v>0.83376091297434507</v>
      </c>
      <c r="V110" s="139">
        <f t="shared" si="88"/>
        <v>0.83951946149559953</v>
      </c>
      <c r="W110" s="139">
        <f t="shared" si="88"/>
        <v>0.83489728412406616</v>
      </c>
      <c r="X110" s="139">
        <f t="shared" si="88"/>
        <v>0.84045321619985758</v>
      </c>
      <c r="Y110" s="139">
        <f t="shared" si="88"/>
        <v>0.8441213690918179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4.2259864806704101E-2</v>
      </c>
      <c r="C111" s="140">
        <f t="shared" si="89"/>
        <v>4.3620424822071936E-2</v>
      </c>
      <c r="D111" s="140">
        <f t="shared" si="89"/>
        <v>4.3139753189216673E-2</v>
      </c>
      <c r="E111" s="140">
        <f t="shared" si="89"/>
        <v>4.3535009363568085E-2</v>
      </c>
      <c r="F111" s="140">
        <f t="shared" si="89"/>
        <v>4.09419614940294E-2</v>
      </c>
      <c r="G111" s="140">
        <f t="shared" si="89"/>
        <v>4.1122440212504649E-2</v>
      </c>
      <c r="H111" s="140">
        <f t="shared" si="89"/>
        <v>3.9702407888481388E-2</v>
      </c>
      <c r="I111" s="140">
        <f t="shared" si="89"/>
        <v>3.9538202767190569E-2</v>
      </c>
      <c r="J111" s="140">
        <f t="shared" si="89"/>
        <v>3.96913384112242E-2</v>
      </c>
      <c r="K111" s="140">
        <f t="shared" si="89"/>
        <v>4.6841888188865095E-2</v>
      </c>
      <c r="L111" s="140">
        <f t="shared" si="89"/>
        <v>4.6263440598460569E-2</v>
      </c>
      <c r="M111" s="140">
        <f t="shared" si="89"/>
        <v>4.7523876363670593E-2</v>
      </c>
      <c r="N111" s="140">
        <f t="shared" si="89"/>
        <v>5.0540511430946733E-2</v>
      </c>
      <c r="O111" s="140">
        <f t="shared" si="89"/>
        <v>5.1789624967420393E-2</v>
      </c>
      <c r="P111" s="140">
        <f t="shared" si="89"/>
        <v>5.1682339967599744E-2</v>
      </c>
      <c r="Q111" s="140">
        <f t="shared" si="89"/>
        <v>5.428386617918983E-2</v>
      </c>
      <c r="R111" s="140">
        <f t="shared" si="89"/>
        <v>5.3959154503715155E-2</v>
      </c>
      <c r="S111" s="140">
        <f t="shared" si="89"/>
        <v>5.2200914866011333E-2</v>
      </c>
      <c r="T111" s="140">
        <f t="shared" si="89"/>
        <v>5.1704314119423514E-2</v>
      </c>
      <c r="U111" s="140">
        <f t="shared" si="89"/>
        <v>5.093016184176679E-2</v>
      </c>
      <c r="V111" s="140">
        <f t="shared" si="89"/>
        <v>4.7070047378667754E-2</v>
      </c>
      <c r="W111" s="140">
        <f t="shared" si="89"/>
        <v>5.0169271264148822E-2</v>
      </c>
      <c r="X111" s="140">
        <f t="shared" si="89"/>
        <v>5.1573597282340823E-2</v>
      </c>
      <c r="Y111" s="140">
        <f t="shared" si="89"/>
        <v>5.3982073943033775E-2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0.6986670570573863</v>
      </c>
      <c r="C112" s="140">
        <f t="shared" si="90"/>
        <v>0.73062076466434855</v>
      </c>
      <c r="D112" s="140">
        <f t="shared" si="90"/>
        <v>0.73485712507071799</v>
      </c>
      <c r="E112" s="140">
        <f t="shared" si="90"/>
        <v>0.74935572130431638</v>
      </c>
      <c r="F112" s="140">
        <f t="shared" si="90"/>
        <v>0.76785773544041325</v>
      </c>
      <c r="G112" s="140">
        <f t="shared" si="90"/>
        <v>0.77726546297459631</v>
      </c>
      <c r="H112" s="140">
        <f t="shared" si="90"/>
        <v>0.76547742179582667</v>
      </c>
      <c r="I112" s="140">
        <f t="shared" si="90"/>
        <v>0.78523843951157246</v>
      </c>
      <c r="J112" s="140">
        <f t="shared" si="90"/>
        <v>0.77217157678265513</v>
      </c>
      <c r="K112" s="140">
        <f t="shared" si="90"/>
        <v>0.77553721022527367</v>
      </c>
      <c r="L112" s="140">
        <f t="shared" si="90"/>
        <v>0.78434124094383595</v>
      </c>
      <c r="M112" s="140">
        <f t="shared" si="90"/>
        <v>0.76927484094932819</v>
      </c>
      <c r="N112" s="140">
        <f t="shared" si="90"/>
        <v>0.76685838527649486</v>
      </c>
      <c r="O112" s="140">
        <f t="shared" si="90"/>
        <v>0.78570392448139226</v>
      </c>
      <c r="P112" s="140">
        <f t="shared" si="90"/>
        <v>0.76787440907197724</v>
      </c>
      <c r="Q112" s="140">
        <f t="shared" si="90"/>
        <v>0.75081631893731549</v>
      </c>
      <c r="R112" s="140">
        <f t="shared" si="90"/>
        <v>0.76934999368606805</v>
      </c>
      <c r="S112" s="140">
        <f t="shared" si="90"/>
        <v>0.77926892402913228</v>
      </c>
      <c r="T112" s="140">
        <f t="shared" si="90"/>
        <v>0.78135604354932264</v>
      </c>
      <c r="U112" s="140">
        <f t="shared" si="90"/>
        <v>0.78283075113257838</v>
      </c>
      <c r="V112" s="140">
        <f t="shared" si="90"/>
        <v>0.79244941411693171</v>
      </c>
      <c r="W112" s="140">
        <f t="shared" si="90"/>
        <v>0.78472801285991733</v>
      </c>
      <c r="X112" s="140">
        <f t="shared" si="90"/>
        <v>0.78887961891751679</v>
      </c>
      <c r="Y112" s="140">
        <f t="shared" si="90"/>
        <v>0.79013929514878423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0.16278326580252594</v>
      </c>
      <c r="C113" s="124">
        <f t="shared" si="91"/>
        <v>0.1457860959555991</v>
      </c>
      <c r="D113" s="124">
        <f t="shared" si="91"/>
        <v>0.14184834945429159</v>
      </c>
      <c r="E113" s="124">
        <f t="shared" si="91"/>
        <v>0.13417216747466648</v>
      </c>
      <c r="F113" s="124">
        <f t="shared" si="91"/>
        <v>0.11850761454603902</v>
      </c>
      <c r="G113" s="124">
        <f t="shared" si="91"/>
        <v>0.10740720022060328</v>
      </c>
      <c r="H113" s="124">
        <f t="shared" si="91"/>
        <v>0.10371314434470222</v>
      </c>
      <c r="I113" s="124">
        <f t="shared" si="91"/>
        <v>0.10611383576202861</v>
      </c>
      <c r="J113" s="124">
        <f t="shared" si="91"/>
        <v>0.10358582029405054</v>
      </c>
      <c r="K113" s="124">
        <f t="shared" si="91"/>
        <v>9.5195300226813537E-2</v>
      </c>
      <c r="L113" s="124">
        <f t="shared" si="91"/>
        <v>8.542429053154478E-2</v>
      </c>
      <c r="M113" s="124">
        <f t="shared" si="91"/>
        <v>9.6243408371518471E-2</v>
      </c>
      <c r="N113" s="124">
        <f t="shared" si="91"/>
        <v>9.6321584376032429E-2</v>
      </c>
      <c r="O113" s="124">
        <f t="shared" si="91"/>
        <v>9.6016564472645533E-2</v>
      </c>
      <c r="P113" s="124">
        <f t="shared" si="91"/>
        <v>9.6319335265659112E-2</v>
      </c>
      <c r="Q113" s="124">
        <f t="shared" si="91"/>
        <v>0.10858922863178044</v>
      </c>
      <c r="R113" s="124">
        <f t="shared" si="91"/>
        <v>0.10329077462936269</v>
      </c>
      <c r="S113" s="124">
        <f t="shared" si="91"/>
        <v>9.9517186521230816E-2</v>
      </c>
      <c r="T113" s="124">
        <f t="shared" si="91"/>
        <v>9.391331946463484E-2</v>
      </c>
      <c r="U113" s="124">
        <f t="shared" si="91"/>
        <v>9.174679323591689E-2</v>
      </c>
      <c r="V113" s="124">
        <f t="shared" si="91"/>
        <v>8.8544726377522268E-2</v>
      </c>
      <c r="W113" s="124">
        <f t="shared" si="91"/>
        <v>9.5186121813672225E-2</v>
      </c>
      <c r="X113" s="124">
        <f t="shared" si="91"/>
        <v>9.5597632542152935E-2</v>
      </c>
      <c r="Y113" s="124">
        <f t="shared" si="91"/>
        <v>8.1889346092704138E-2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1.4775168838440335E-2</v>
      </c>
      <c r="C114" s="124">
        <f t="shared" si="92"/>
        <v>1.5118844504372257E-2</v>
      </c>
      <c r="D114" s="124">
        <f t="shared" si="92"/>
        <v>1.417586215111586E-2</v>
      </c>
      <c r="E114" s="124">
        <f t="shared" si="92"/>
        <v>1.3704543466902806E-2</v>
      </c>
      <c r="F114" s="124">
        <f t="shared" si="92"/>
        <v>1.3325187897094649E-2</v>
      </c>
      <c r="G114" s="124">
        <f t="shared" si="92"/>
        <v>1.3414727694622732E-2</v>
      </c>
      <c r="H114" s="124">
        <f t="shared" si="92"/>
        <v>1.2689471945425653E-2</v>
      </c>
      <c r="I114" s="124">
        <f t="shared" si="92"/>
        <v>1.3170606884818669E-2</v>
      </c>
      <c r="J114" s="124">
        <f t="shared" si="92"/>
        <v>1.3101105647328712E-2</v>
      </c>
      <c r="K114" s="124">
        <f t="shared" si="92"/>
        <v>1.3002091674244595E-2</v>
      </c>
      <c r="L114" s="124">
        <f t="shared" si="92"/>
        <v>1.3152152973792845E-2</v>
      </c>
      <c r="M114" s="124">
        <f t="shared" si="92"/>
        <v>1.6347055457436109E-2</v>
      </c>
      <c r="N114" s="124">
        <f t="shared" si="92"/>
        <v>1.6691766937814108E-2</v>
      </c>
      <c r="O114" s="124">
        <f t="shared" si="92"/>
        <v>1.6082116232157488E-2</v>
      </c>
      <c r="P114" s="124">
        <f t="shared" si="92"/>
        <v>2.3020541028363348E-2</v>
      </c>
      <c r="Q114" s="124">
        <f t="shared" si="92"/>
        <v>2.282955574813348E-2</v>
      </c>
      <c r="R114" s="124">
        <f t="shared" si="92"/>
        <v>2.1445305520824635E-2</v>
      </c>
      <c r="S114" s="124">
        <f t="shared" si="92"/>
        <v>2.0154380640294518E-2</v>
      </c>
      <c r="T114" s="124">
        <f t="shared" si="92"/>
        <v>2.0182893281821494E-2</v>
      </c>
      <c r="U114" s="124">
        <f t="shared" si="92"/>
        <v>1.9181499340522729E-2</v>
      </c>
      <c r="V114" s="124">
        <f t="shared" si="92"/>
        <v>1.5103211024025062E-2</v>
      </c>
      <c r="W114" s="124">
        <f t="shared" si="92"/>
        <v>1.5085207372079803E-2</v>
      </c>
      <c r="X114" s="124">
        <f t="shared" si="92"/>
        <v>1.4917233366407733E-2</v>
      </c>
      <c r="Y114" s="124">
        <f t="shared" si="92"/>
        <v>1.4619377982274846E-2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4.995159122923149E-4</v>
      </c>
      <c r="C115" s="140">
        <f t="shared" si="93"/>
        <v>5.7751516787919667E-4</v>
      </c>
      <c r="D115" s="140">
        <f t="shared" si="93"/>
        <v>5.1149377862840428E-4</v>
      </c>
      <c r="E115" s="140">
        <f t="shared" si="93"/>
        <v>4.6273306246754156E-4</v>
      </c>
      <c r="F115" s="140">
        <f t="shared" si="93"/>
        <v>4.1195775982411645E-4</v>
      </c>
      <c r="G115" s="140">
        <f t="shared" si="93"/>
        <v>3.9840578924521818E-4</v>
      </c>
      <c r="H115" s="140">
        <f t="shared" si="93"/>
        <v>3.3550597502961081E-4</v>
      </c>
      <c r="I115" s="140">
        <f t="shared" si="93"/>
        <v>2.9472043552062791E-4</v>
      </c>
      <c r="J115" s="140">
        <f t="shared" si="93"/>
        <v>2.4523874319566679E-4</v>
      </c>
      <c r="K115" s="140">
        <f t="shared" si="93"/>
        <v>2.8553763999556749E-4</v>
      </c>
      <c r="L115" s="140">
        <f t="shared" si="93"/>
        <v>2.1123143724798173E-4</v>
      </c>
      <c r="M115" s="140">
        <f t="shared" si="93"/>
        <v>2.3526112027064659E-4</v>
      </c>
      <c r="N115" s="140">
        <f t="shared" si="93"/>
        <v>2.4915772652793635E-4</v>
      </c>
      <c r="O115" s="140">
        <f t="shared" si="93"/>
        <v>2.4189828438983202E-4</v>
      </c>
      <c r="P115" s="140">
        <f t="shared" si="93"/>
        <v>3.2383183875047788E-4</v>
      </c>
      <c r="Q115" s="140">
        <f t="shared" si="93"/>
        <v>3.2204549817712853E-4</v>
      </c>
      <c r="R115" s="140">
        <f t="shared" ref="R115:V116" si="94">IF(R23=0,0,R23/R$17)</f>
        <v>3.1801134988070399E-4</v>
      </c>
      <c r="S115" s="140">
        <f t="shared" si="94"/>
        <v>2.9295968707784294E-4</v>
      </c>
      <c r="T115" s="140">
        <f t="shared" si="94"/>
        <v>2.9544675500861096E-4</v>
      </c>
      <c r="U115" s="140">
        <f t="shared" si="94"/>
        <v>3.1317219799507771E-4</v>
      </c>
      <c r="V115" s="140">
        <f t="shared" si="94"/>
        <v>3.0660568061008662E-4</v>
      </c>
      <c r="W115" s="140">
        <f t="shared" ref="W115:Y120" si="95">IF(W23=0,0,W23/W$17)</f>
        <v>3.5258806357733717E-4</v>
      </c>
      <c r="X115" s="140">
        <f t="shared" si="95"/>
        <v>2.1202232661269134E-4</v>
      </c>
      <c r="Y115" s="140">
        <f t="shared" si="95"/>
        <v>2.2874582985276114E-4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3.9054588483555358E-4</v>
      </c>
      <c r="C116" s="140">
        <f t="shared" si="96"/>
        <v>4.6389489852091301E-4</v>
      </c>
      <c r="D116" s="140">
        <f t="shared" si="96"/>
        <v>3.8594047118585751E-4</v>
      </c>
      <c r="E116" s="140">
        <f t="shared" si="96"/>
        <v>3.8522628154388013E-4</v>
      </c>
      <c r="F116" s="140">
        <f t="shared" si="96"/>
        <v>3.5968919506989118E-4</v>
      </c>
      <c r="G116" s="140">
        <f t="shared" si="96"/>
        <v>3.3768035688967187E-4</v>
      </c>
      <c r="H116" s="140">
        <f t="shared" si="96"/>
        <v>3.5310873093036542E-4</v>
      </c>
      <c r="I116" s="140">
        <f t="shared" si="96"/>
        <v>4.1090861202080874E-4</v>
      </c>
      <c r="J116" s="140">
        <f t="shared" si="96"/>
        <v>4.1592847505302093E-4</v>
      </c>
      <c r="K116" s="140">
        <f t="shared" si="96"/>
        <v>4.4840806749287307E-4</v>
      </c>
      <c r="L116" s="140">
        <f t="shared" si="96"/>
        <v>4.4471301711016703E-4</v>
      </c>
      <c r="M116" s="140">
        <f t="shared" si="96"/>
        <v>5.6606950574493041E-4</v>
      </c>
      <c r="N116" s="140">
        <f t="shared" si="96"/>
        <v>6.2859480865134912E-4</v>
      </c>
      <c r="O116" s="140">
        <f t="shared" si="96"/>
        <v>6.6269104500569999E-4</v>
      </c>
      <c r="P116" s="140">
        <f t="shared" si="96"/>
        <v>9.3852694692556549E-4</v>
      </c>
      <c r="Q116" s="140">
        <f t="shared" si="96"/>
        <v>9.342501322480984E-4</v>
      </c>
      <c r="R116" s="140">
        <f t="shared" si="94"/>
        <v>8.9758321826981268E-4</v>
      </c>
      <c r="S116" s="140">
        <f t="shared" si="94"/>
        <v>8.1456605860120328E-4</v>
      </c>
      <c r="T116" s="140">
        <f t="shared" si="94"/>
        <v>7.0637424248733865E-4</v>
      </c>
      <c r="U116" s="140">
        <f t="shared" si="94"/>
        <v>7.3745732648754063E-4</v>
      </c>
      <c r="V116" s="140">
        <f t="shared" si="94"/>
        <v>6.4239285577618525E-4</v>
      </c>
      <c r="W116" s="140">
        <f t="shared" si="95"/>
        <v>7.0109533372382201E-4</v>
      </c>
      <c r="X116" s="140">
        <f t="shared" si="95"/>
        <v>8.2351163303611644E-4</v>
      </c>
      <c r="Y116" s="140">
        <f t="shared" si="95"/>
        <v>8.3594209270540531E-4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1.3885107041312468E-2</v>
      </c>
      <c r="C117" s="140">
        <f t="shared" si="97"/>
        <v>1.4077434437972144E-2</v>
      </c>
      <c r="D117" s="140">
        <f t="shared" si="97"/>
        <v>1.3278427901301598E-2</v>
      </c>
      <c r="E117" s="140">
        <f t="shared" si="97"/>
        <v>1.2856584122891384E-2</v>
      </c>
      <c r="F117" s="140">
        <f t="shared" si="97"/>
        <v>1.2553540942200641E-2</v>
      </c>
      <c r="G117" s="140">
        <f t="shared" si="97"/>
        <v>1.2678641548487843E-2</v>
      </c>
      <c r="H117" s="140">
        <f t="shared" si="97"/>
        <v>1.2000857239465677E-2</v>
      </c>
      <c r="I117" s="140">
        <f t="shared" si="97"/>
        <v>1.2464977837277234E-2</v>
      </c>
      <c r="J117" s="140">
        <f t="shared" si="97"/>
        <v>1.2439938429080024E-2</v>
      </c>
      <c r="K117" s="140">
        <f t="shared" si="97"/>
        <v>1.2268145966756154E-2</v>
      </c>
      <c r="L117" s="140">
        <f t="shared" si="97"/>
        <v>1.2496208519434697E-2</v>
      </c>
      <c r="M117" s="140">
        <f t="shared" si="97"/>
        <v>1.5545724831420533E-2</v>
      </c>
      <c r="N117" s="140">
        <f t="shared" si="97"/>
        <v>1.5814014402634823E-2</v>
      </c>
      <c r="O117" s="140">
        <f t="shared" si="97"/>
        <v>1.5177526902761954E-2</v>
      </c>
      <c r="P117" s="140">
        <f t="shared" si="97"/>
        <v>2.1758182242687305E-2</v>
      </c>
      <c r="Q117" s="140">
        <f t="shared" si="97"/>
        <v>2.1573260117708253E-2</v>
      </c>
      <c r="R117" s="140">
        <f t="shared" ref="R117:V120" si="98">IF(R25=0,0,R25/R$17)</f>
        <v>2.0229710952674118E-2</v>
      </c>
      <c r="S117" s="140">
        <f t="shared" si="98"/>
        <v>1.9046854894615474E-2</v>
      </c>
      <c r="T117" s="140">
        <f t="shared" si="98"/>
        <v>1.9181072284325543E-2</v>
      </c>
      <c r="U117" s="140">
        <f t="shared" si="98"/>
        <v>1.8130869816040111E-2</v>
      </c>
      <c r="V117" s="140">
        <f t="shared" si="98"/>
        <v>1.4154212487638788E-2</v>
      </c>
      <c r="W117" s="140">
        <f t="shared" si="95"/>
        <v>1.4031523974778644E-2</v>
      </c>
      <c r="X117" s="140">
        <f t="shared" si="95"/>
        <v>1.3881699406758926E-2</v>
      </c>
      <c r="Y117" s="140">
        <f t="shared" si="95"/>
        <v>1.3554690059716681E-2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8.1514643494943195E-2</v>
      </c>
      <c r="C118" s="124">
        <f t="shared" si="99"/>
        <v>6.4853870053608029E-2</v>
      </c>
      <c r="D118" s="124">
        <f t="shared" si="99"/>
        <v>6.597891013465787E-2</v>
      </c>
      <c r="E118" s="124">
        <f t="shared" si="99"/>
        <v>5.9232558390546225E-2</v>
      </c>
      <c r="F118" s="124">
        <f t="shared" si="99"/>
        <v>5.9367500622423755E-2</v>
      </c>
      <c r="G118" s="124">
        <f t="shared" si="99"/>
        <v>6.0790168897673115E-2</v>
      </c>
      <c r="H118" s="124">
        <f t="shared" si="99"/>
        <v>7.8417554025564051E-2</v>
      </c>
      <c r="I118" s="124">
        <f t="shared" si="99"/>
        <v>5.5938915074389667E-2</v>
      </c>
      <c r="J118" s="124">
        <f t="shared" si="99"/>
        <v>7.1450158864741223E-2</v>
      </c>
      <c r="K118" s="124">
        <f t="shared" si="99"/>
        <v>6.9423509684803042E-2</v>
      </c>
      <c r="L118" s="124">
        <f t="shared" si="99"/>
        <v>7.0818874952365912E-2</v>
      </c>
      <c r="M118" s="124">
        <f t="shared" si="99"/>
        <v>7.0610818858046639E-2</v>
      </c>
      <c r="N118" s="124">
        <f t="shared" si="99"/>
        <v>6.9587751978711948E-2</v>
      </c>
      <c r="O118" s="124">
        <f t="shared" si="99"/>
        <v>5.0407769846384301E-2</v>
      </c>
      <c r="P118" s="124">
        <f t="shared" si="99"/>
        <v>6.1103374666400451E-2</v>
      </c>
      <c r="Q118" s="124">
        <f t="shared" si="99"/>
        <v>6.3481030503580727E-2</v>
      </c>
      <c r="R118" s="124">
        <f t="shared" si="98"/>
        <v>5.1954771660029382E-2</v>
      </c>
      <c r="S118" s="124">
        <f t="shared" si="98"/>
        <v>4.8858593943331238E-2</v>
      </c>
      <c r="T118" s="124">
        <f t="shared" si="98"/>
        <v>5.284342958479752E-2</v>
      </c>
      <c r="U118" s="124">
        <f t="shared" si="98"/>
        <v>5.5310794449215189E-2</v>
      </c>
      <c r="V118" s="124">
        <f t="shared" si="98"/>
        <v>5.6832601102853188E-2</v>
      </c>
      <c r="W118" s="124">
        <f t="shared" si="95"/>
        <v>5.4831386690181755E-2</v>
      </c>
      <c r="X118" s="124">
        <f t="shared" si="95"/>
        <v>4.9031917891581782E-2</v>
      </c>
      <c r="Y118" s="124">
        <f t="shared" si="95"/>
        <v>5.9369906833203104E-2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5.5824974115094309E-2</v>
      </c>
      <c r="C119" s="140">
        <f t="shared" si="100"/>
        <v>4.1474334624194906E-2</v>
      </c>
      <c r="D119" s="140">
        <f t="shared" si="100"/>
        <v>4.3109240855033017E-2</v>
      </c>
      <c r="E119" s="140">
        <f t="shared" si="100"/>
        <v>3.6830172659602353E-2</v>
      </c>
      <c r="F119" s="140">
        <f t="shared" si="100"/>
        <v>3.7263378727530813E-2</v>
      </c>
      <c r="G119" s="140">
        <f t="shared" si="100"/>
        <v>3.7290473117115579E-2</v>
      </c>
      <c r="H119" s="140">
        <f t="shared" si="100"/>
        <v>5.5737623361292371E-2</v>
      </c>
      <c r="I119" s="140">
        <f t="shared" si="100"/>
        <v>3.3008843740099811E-2</v>
      </c>
      <c r="J119" s="140">
        <f t="shared" si="100"/>
        <v>4.8625209344017352E-2</v>
      </c>
      <c r="K119" s="140">
        <f t="shared" si="100"/>
        <v>4.3613610208449186E-2</v>
      </c>
      <c r="L119" s="140">
        <f t="shared" si="100"/>
        <v>4.3810374084825271E-2</v>
      </c>
      <c r="M119" s="140">
        <f t="shared" si="100"/>
        <v>4.5186598209059174E-2</v>
      </c>
      <c r="N119" s="140">
        <f t="shared" si="100"/>
        <v>4.319470836038608E-2</v>
      </c>
      <c r="O119" s="140">
        <f t="shared" si="100"/>
        <v>2.2961272530638621E-2</v>
      </c>
      <c r="P119" s="140">
        <f t="shared" si="100"/>
        <v>3.5091007862387773E-2</v>
      </c>
      <c r="Q119" s="140">
        <f t="shared" si="100"/>
        <v>3.8025572701658183E-2</v>
      </c>
      <c r="R119" s="140">
        <f t="shared" si="98"/>
        <v>2.7237468415052837E-2</v>
      </c>
      <c r="S119" s="140">
        <f t="shared" si="98"/>
        <v>2.7786115086083498E-2</v>
      </c>
      <c r="T119" s="140">
        <f t="shared" si="98"/>
        <v>3.26902138509391E-2</v>
      </c>
      <c r="U119" s="140">
        <f t="shared" si="98"/>
        <v>3.3627500899047445E-2</v>
      </c>
      <c r="V119" s="140">
        <f t="shared" si="98"/>
        <v>3.7062318074891222E-2</v>
      </c>
      <c r="W119" s="140">
        <f t="shared" si="95"/>
        <v>3.5655787199286533E-2</v>
      </c>
      <c r="X119" s="140">
        <f t="shared" si="95"/>
        <v>3.1167987520559333E-2</v>
      </c>
      <c r="Y119" s="140">
        <f t="shared" si="95"/>
        <v>4.2880062659292131E-2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2.568966937984889E-2</v>
      </c>
      <c r="C120" s="127">
        <f t="shared" si="101"/>
        <v>2.337953542941312E-2</v>
      </c>
      <c r="D120" s="127">
        <f t="shared" si="101"/>
        <v>2.286966927962485E-2</v>
      </c>
      <c r="E120" s="127">
        <f t="shared" si="101"/>
        <v>2.2402385730943875E-2</v>
      </c>
      <c r="F120" s="127">
        <f t="shared" si="101"/>
        <v>2.2104121894892942E-2</v>
      </c>
      <c r="G120" s="127">
        <f t="shared" si="101"/>
        <v>2.3499695780557536E-2</v>
      </c>
      <c r="H120" s="127">
        <f t="shared" si="101"/>
        <v>2.267993066427168E-2</v>
      </c>
      <c r="I120" s="127">
        <f t="shared" si="101"/>
        <v>2.2930071334289856E-2</v>
      </c>
      <c r="J120" s="127">
        <f t="shared" si="101"/>
        <v>2.2824949520723867E-2</v>
      </c>
      <c r="K120" s="127">
        <f t="shared" si="101"/>
        <v>2.5809899476353846E-2</v>
      </c>
      <c r="L120" s="127">
        <f t="shared" si="101"/>
        <v>2.7008500867540638E-2</v>
      </c>
      <c r="M120" s="127">
        <f t="shared" si="101"/>
        <v>2.5424220648987469E-2</v>
      </c>
      <c r="N120" s="127">
        <f t="shared" si="101"/>
        <v>2.6393043618325861E-2</v>
      </c>
      <c r="O120" s="127">
        <f t="shared" si="101"/>
        <v>2.7446497315745687E-2</v>
      </c>
      <c r="P120" s="127">
        <f t="shared" si="101"/>
        <v>2.6012366804012678E-2</v>
      </c>
      <c r="Q120" s="127">
        <f t="shared" si="101"/>
        <v>2.5455457801922547E-2</v>
      </c>
      <c r="R120" s="127">
        <f t="shared" si="98"/>
        <v>2.4717303244976549E-2</v>
      </c>
      <c r="S120" s="127">
        <f t="shared" si="98"/>
        <v>2.107247885724774E-2</v>
      </c>
      <c r="T120" s="127">
        <f t="shared" si="98"/>
        <v>2.0153215733858417E-2</v>
      </c>
      <c r="U120" s="127">
        <f t="shared" si="98"/>
        <v>2.1683293550167741E-2</v>
      </c>
      <c r="V120" s="127">
        <f t="shared" si="98"/>
        <v>1.9770283027961966E-2</v>
      </c>
      <c r="W120" s="127">
        <f t="shared" si="95"/>
        <v>1.9175599490895222E-2</v>
      </c>
      <c r="X120" s="127">
        <f t="shared" si="95"/>
        <v>1.7863930371022456E-2</v>
      </c>
      <c r="Y120" s="127">
        <f t="shared" si="95"/>
        <v>1.6489844173910966E-2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0.12138115326889261</v>
      </c>
      <c r="C122" s="140">
        <f t="shared" si="103"/>
        <v>0.12220067937962288</v>
      </c>
      <c r="D122" s="140">
        <f t="shared" si="103"/>
        <v>0.11151204966582635</v>
      </c>
      <c r="E122" s="140">
        <f t="shared" si="103"/>
        <v>0.1086019291830651</v>
      </c>
      <c r="F122" s="140">
        <f t="shared" si="103"/>
        <v>0.11275407507270976</v>
      </c>
      <c r="G122" s="140">
        <f t="shared" si="103"/>
        <v>0.10457688004522038</v>
      </c>
      <c r="H122" s="140">
        <f t="shared" si="103"/>
        <v>9.1654167943244658E-2</v>
      </c>
      <c r="I122" s="140">
        <f t="shared" si="103"/>
        <v>9.3972950215052919E-2</v>
      </c>
      <c r="J122" s="140">
        <f t="shared" si="103"/>
        <v>8.9186313362916131E-2</v>
      </c>
      <c r="K122" s="140">
        <f t="shared" si="103"/>
        <v>9.9090872382392156E-2</v>
      </c>
      <c r="L122" s="140">
        <f t="shared" si="103"/>
        <v>9.8403276437964052E-2</v>
      </c>
      <c r="M122" s="140">
        <f t="shared" si="103"/>
        <v>9.449229089926299E-2</v>
      </c>
      <c r="N122" s="140">
        <f t="shared" si="103"/>
        <v>9.4421143934399598E-2</v>
      </c>
      <c r="O122" s="140">
        <f t="shared" si="103"/>
        <v>8.6075066010364978E-2</v>
      </c>
      <c r="P122" s="140">
        <f t="shared" si="103"/>
        <v>8.7755689712381957E-2</v>
      </c>
      <c r="Q122" s="140">
        <f t="shared" si="103"/>
        <v>8.1377946605713222E-2</v>
      </c>
      <c r="R122" s="140">
        <f t="shared" si="103"/>
        <v>9.5280563005414681E-2</v>
      </c>
      <c r="S122" s="140">
        <f t="shared" si="103"/>
        <v>9.2751133941695443E-2</v>
      </c>
      <c r="T122" s="140">
        <f t="shared" si="103"/>
        <v>9.2163647539701354E-2</v>
      </c>
      <c r="U122" s="140">
        <f t="shared" si="103"/>
        <v>8.7952983716226035E-2</v>
      </c>
      <c r="V122" s="140">
        <f t="shared" si="103"/>
        <v>9.4233300906520559E-2</v>
      </c>
      <c r="W122" s="140">
        <f t="shared" si="103"/>
        <v>8.6475729004014429E-2</v>
      </c>
      <c r="X122" s="140">
        <f t="shared" si="103"/>
        <v>7.9774201005431367E-2</v>
      </c>
      <c r="Y122" s="140">
        <f t="shared" si="103"/>
        <v>8.3250024773091319E-2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0.87861884673110746</v>
      </c>
      <c r="C123" s="127">
        <f t="shared" si="104"/>
        <v>0.87779932062037702</v>
      </c>
      <c r="D123" s="127">
        <f t="shared" si="104"/>
        <v>0.8884879503341736</v>
      </c>
      <c r="E123" s="127">
        <f t="shared" si="104"/>
        <v>0.8913980708169349</v>
      </c>
      <c r="F123" s="127">
        <f t="shared" si="104"/>
        <v>0.88724592492729026</v>
      </c>
      <c r="G123" s="127">
        <f t="shared" si="104"/>
        <v>0.89542311995477952</v>
      </c>
      <c r="H123" s="127">
        <f t="shared" si="104"/>
        <v>0.90834583205675534</v>
      </c>
      <c r="I123" s="127">
        <f t="shared" si="104"/>
        <v>0.90602704978494708</v>
      </c>
      <c r="J123" s="127">
        <f t="shared" si="104"/>
        <v>0.91081368663708384</v>
      </c>
      <c r="K123" s="127">
        <f t="shared" si="104"/>
        <v>0.90090912761760789</v>
      </c>
      <c r="L123" s="127">
        <f t="shared" si="104"/>
        <v>0.9015967235620358</v>
      </c>
      <c r="M123" s="127">
        <f t="shared" si="104"/>
        <v>0.90550770910073697</v>
      </c>
      <c r="N123" s="127">
        <f t="shared" si="104"/>
        <v>0.90557885606560051</v>
      </c>
      <c r="O123" s="127">
        <f t="shared" si="104"/>
        <v>0.91392493398963504</v>
      </c>
      <c r="P123" s="127">
        <f t="shared" si="104"/>
        <v>0.91224431028761799</v>
      </c>
      <c r="Q123" s="127">
        <f t="shared" si="104"/>
        <v>0.91862205339428682</v>
      </c>
      <c r="R123" s="127">
        <f t="shared" si="104"/>
        <v>0.90471943699458535</v>
      </c>
      <c r="S123" s="127">
        <f t="shared" si="104"/>
        <v>0.90724886605830446</v>
      </c>
      <c r="T123" s="127">
        <f t="shared" si="104"/>
        <v>0.9078363524602987</v>
      </c>
      <c r="U123" s="127">
        <f t="shared" si="104"/>
        <v>0.91204701628377394</v>
      </c>
      <c r="V123" s="127">
        <f t="shared" si="104"/>
        <v>0.90576669909347951</v>
      </c>
      <c r="W123" s="127">
        <f t="shared" si="104"/>
        <v>0.91352427099598543</v>
      </c>
      <c r="X123" s="127">
        <f t="shared" si="104"/>
        <v>0.92022579899456858</v>
      </c>
      <c r="Y123" s="127">
        <f t="shared" si="104"/>
        <v>0.91674997522690871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0.80354096174782785</v>
      </c>
      <c r="C127" s="139">
        <f t="shared" ref="C127:Y127" si="107">IF(C35=0,0,C35/C$34)</f>
        <v>0.80977151858826968</v>
      </c>
      <c r="D127" s="139">
        <f t="shared" si="107"/>
        <v>0.81082114544704942</v>
      </c>
      <c r="E127" s="139">
        <f t="shared" si="107"/>
        <v>0.81317956802564395</v>
      </c>
      <c r="F127" s="139">
        <f t="shared" si="107"/>
        <v>0.80352162893160861</v>
      </c>
      <c r="G127" s="139">
        <f t="shared" si="107"/>
        <v>0.80007191828626889</v>
      </c>
      <c r="H127" s="139">
        <f t="shared" si="107"/>
        <v>0.79512400721579224</v>
      </c>
      <c r="I127" s="139">
        <f t="shared" si="107"/>
        <v>0.79245659648726119</v>
      </c>
      <c r="J127" s="139">
        <f t="shared" si="107"/>
        <v>0.78786096193009481</v>
      </c>
      <c r="K127" s="139">
        <f t="shared" si="107"/>
        <v>0.8021463801914821</v>
      </c>
      <c r="L127" s="139">
        <f t="shared" si="107"/>
        <v>0.80011304137740114</v>
      </c>
      <c r="M127" s="139">
        <f t="shared" si="107"/>
        <v>0.79347288507520664</v>
      </c>
      <c r="N127" s="139">
        <f t="shared" si="107"/>
        <v>0.79524259457885627</v>
      </c>
      <c r="O127" s="139">
        <f t="shared" si="107"/>
        <v>0.79481235459518484</v>
      </c>
      <c r="P127" s="139">
        <f t="shared" si="107"/>
        <v>0.79873830088830178</v>
      </c>
      <c r="Q127" s="139">
        <f t="shared" si="107"/>
        <v>0.7952207706072727</v>
      </c>
      <c r="R127" s="139">
        <f t="shared" si="107"/>
        <v>0.79546897087224133</v>
      </c>
      <c r="S127" s="139">
        <f t="shared" si="107"/>
        <v>0.79202914850930373</v>
      </c>
      <c r="T127" s="139">
        <f t="shared" si="107"/>
        <v>0.78328900980871896</v>
      </c>
      <c r="U127" s="139">
        <f t="shared" si="107"/>
        <v>0.77394301865192383</v>
      </c>
      <c r="V127" s="139">
        <f t="shared" si="107"/>
        <v>0.86195759918235504</v>
      </c>
      <c r="W127" s="139">
        <f t="shared" si="107"/>
        <v>0.86266990686497624</v>
      </c>
      <c r="X127" s="139">
        <f t="shared" si="107"/>
        <v>0.80248880606767214</v>
      </c>
      <c r="Y127" s="139">
        <f t="shared" si="107"/>
        <v>0.78798045057970412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1.0552053058173857E-2</v>
      </c>
      <c r="C128" s="140">
        <f t="shared" ref="C128:Y128" si="108">IF(C36=0,0,C36/C$34)</f>
        <v>1.1361285184105736E-2</v>
      </c>
      <c r="D128" s="140">
        <f t="shared" si="108"/>
        <v>1.2556367439378548E-2</v>
      </c>
      <c r="E128" s="140">
        <f t="shared" si="108"/>
        <v>1.2796615163474368E-2</v>
      </c>
      <c r="F128" s="140">
        <f t="shared" si="108"/>
        <v>1.360477949942167E-2</v>
      </c>
      <c r="G128" s="140">
        <f t="shared" si="108"/>
        <v>1.4025946906373408E-2</v>
      </c>
      <c r="H128" s="140">
        <f t="shared" si="108"/>
        <v>1.382377195967412E-2</v>
      </c>
      <c r="I128" s="140">
        <f t="shared" si="108"/>
        <v>1.4098533127755067E-2</v>
      </c>
      <c r="J128" s="140">
        <f t="shared" si="108"/>
        <v>1.5001607416996498E-2</v>
      </c>
      <c r="K128" s="140">
        <f t="shared" si="108"/>
        <v>1.5440516365088596E-2</v>
      </c>
      <c r="L128" s="140">
        <f t="shared" si="108"/>
        <v>1.5484139721593954E-2</v>
      </c>
      <c r="M128" s="140">
        <f t="shared" si="108"/>
        <v>1.4481565484241831E-2</v>
      </c>
      <c r="N128" s="140">
        <f t="shared" si="108"/>
        <v>1.4615492297464271E-2</v>
      </c>
      <c r="O128" s="140">
        <f t="shared" si="108"/>
        <v>1.491156730891046E-2</v>
      </c>
      <c r="P128" s="140">
        <f t="shared" si="108"/>
        <v>1.5162748210133938E-2</v>
      </c>
      <c r="Q128" s="140">
        <f t="shared" si="108"/>
        <v>1.490274022692095E-2</v>
      </c>
      <c r="R128" s="140">
        <f t="shared" si="108"/>
        <v>1.3757665989960671E-2</v>
      </c>
      <c r="S128" s="140">
        <f t="shared" si="108"/>
        <v>1.3086174046676514E-2</v>
      </c>
      <c r="T128" s="140">
        <f t="shared" si="108"/>
        <v>1.3113356907174332E-2</v>
      </c>
      <c r="U128" s="140">
        <f t="shared" si="108"/>
        <v>1.3391263767485334E-2</v>
      </c>
      <c r="V128" s="140">
        <f t="shared" si="108"/>
        <v>1.538588265469088E-2</v>
      </c>
      <c r="W128" s="140">
        <f t="shared" si="108"/>
        <v>1.4120787570878E-2</v>
      </c>
      <c r="X128" s="140">
        <f t="shared" si="108"/>
        <v>1.3311740851271656E-2</v>
      </c>
      <c r="Y128" s="140">
        <f t="shared" si="108"/>
        <v>1.3914027159346538E-2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0.74330396623381223</v>
      </c>
      <c r="C129" s="140">
        <f t="shared" ref="C129:Y129" si="109">IF(C37=0,0,C37/C$34)</f>
        <v>0.75047127596457186</v>
      </c>
      <c r="D129" s="140">
        <f t="shared" si="109"/>
        <v>0.75042502464959038</v>
      </c>
      <c r="E129" s="140">
        <f t="shared" si="109"/>
        <v>0.75128994285959216</v>
      </c>
      <c r="F129" s="140">
        <f t="shared" si="109"/>
        <v>0.740128717454128</v>
      </c>
      <c r="G129" s="140">
        <f t="shared" si="109"/>
        <v>0.73571987086475654</v>
      </c>
      <c r="H129" s="140">
        <f t="shared" si="109"/>
        <v>0.72949368170340789</v>
      </c>
      <c r="I129" s="140">
        <f t="shared" si="109"/>
        <v>0.72606850112820587</v>
      </c>
      <c r="J129" s="140">
        <f t="shared" si="109"/>
        <v>0.72011172247730915</v>
      </c>
      <c r="K129" s="140">
        <f t="shared" si="109"/>
        <v>0.73620406052098497</v>
      </c>
      <c r="L129" s="140">
        <f t="shared" si="109"/>
        <v>0.73515589396308001</v>
      </c>
      <c r="M129" s="140">
        <f t="shared" si="109"/>
        <v>0.73264725807382158</v>
      </c>
      <c r="N129" s="140">
        <f t="shared" si="109"/>
        <v>0.73426684439124645</v>
      </c>
      <c r="O129" s="140">
        <f t="shared" si="109"/>
        <v>0.73652954068611376</v>
      </c>
      <c r="P129" s="140">
        <f t="shared" si="109"/>
        <v>0.73984474183267412</v>
      </c>
      <c r="Q129" s="140">
        <f t="shared" si="109"/>
        <v>0.7367015697264514</v>
      </c>
      <c r="R129" s="140">
        <f t="shared" si="109"/>
        <v>0.73697714177272089</v>
      </c>
      <c r="S129" s="140">
        <f t="shared" si="109"/>
        <v>0.73528017002125423</v>
      </c>
      <c r="T129" s="140">
        <f t="shared" si="109"/>
        <v>0.72563745931672152</v>
      </c>
      <c r="U129" s="140">
        <f t="shared" si="109"/>
        <v>0.71576623841905684</v>
      </c>
      <c r="V129" s="140">
        <f t="shared" si="109"/>
        <v>0.80040615024000217</v>
      </c>
      <c r="W129" s="140">
        <f t="shared" si="109"/>
        <v>0.80116845053606112</v>
      </c>
      <c r="X129" s="140">
        <f t="shared" si="109"/>
        <v>0.74425607074548306</v>
      </c>
      <c r="Y129" s="140">
        <f t="shared" si="109"/>
        <v>0.72939166523734689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4.9684942455841798E-2</v>
      </c>
      <c r="C130" s="140">
        <f t="shared" ref="C130:Y130" si="110">IF(C38=0,0,C38/C$34)</f>
        <v>4.7938957439592075E-2</v>
      </c>
      <c r="D130" s="140">
        <f t="shared" si="110"/>
        <v>4.7839753358080481E-2</v>
      </c>
      <c r="E130" s="140">
        <f t="shared" si="110"/>
        <v>4.9093010002577472E-2</v>
      </c>
      <c r="F130" s="140">
        <f t="shared" si="110"/>
        <v>4.978813197805896E-2</v>
      </c>
      <c r="G130" s="140">
        <f t="shared" si="110"/>
        <v>5.0326100515138833E-2</v>
      </c>
      <c r="H130" s="140">
        <f t="shared" si="110"/>
        <v>5.1806553552710223E-2</v>
      </c>
      <c r="I130" s="140">
        <f t="shared" si="110"/>
        <v>5.228956223130015E-2</v>
      </c>
      <c r="J130" s="140">
        <f t="shared" si="110"/>
        <v>5.2747632035789159E-2</v>
      </c>
      <c r="K130" s="140">
        <f t="shared" si="110"/>
        <v>5.0501803305408467E-2</v>
      </c>
      <c r="L130" s="140">
        <f t="shared" si="110"/>
        <v>4.9473007692727139E-2</v>
      </c>
      <c r="M130" s="140">
        <f t="shared" si="110"/>
        <v>4.6344061517143258E-2</v>
      </c>
      <c r="N130" s="140">
        <f t="shared" si="110"/>
        <v>4.6360257890145556E-2</v>
      </c>
      <c r="O130" s="140">
        <f t="shared" si="110"/>
        <v>4.3371246600160618E-2</v>
      </c>
      <c r="P130" s="140">
        <f t="shared" si="110"/>
        <v>4.3730810845493601E-2</v>
      </c>
      <c r="Q130" s="140">
        <f t="shared" si="110"/>
        <v>4.3616460653900332E-2</v>
      </c>
      <c r="R130" s="140">
        <f t="shared" si="110"/>
        <v>4.4734163109559862E-2</v>
      </c>
      <c r="S130" s="140">
        <f t="shared" si="110"/>
        <v>4.3662804441373063E-2</v>
      </c>
      <c r="T130" s="140">
        <f t="shared" si="110"/>
        <v>4.4538193584823076E-2</v>
      </c>
      <c r="U130" s="140">
        <f t="shared" si="110"/>
        <v>4.4785516465381661E-2</v>
      </c>
      <c r="V130" s="140">
        <f t="shared" si="110"/>
        <v>4.6165566287662101E-2</v>
      </c>
      <c r="W130" s="140">
        <f t="shared" si="110"/>
        <v>4.7380668758037162E-2</v>
      </c>
      <c r="X130" s="140">
        <f t="shared" si="110"/>
        <v>4.4920994470917595E-2</v>
      </c>
      <c r="Y130" s="140">
        <f t="shared" si="110"/>
        <v>4.4674758183010692E-2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2.5365378108452793E-2</v>
      </c>
      <c r="C131" s="124">
        <f t="shared" ref="C131:Y131" si="111">IF(C39=0,0,C39/C$34)</f>
        <v>2.2652963294422231E-2</v>
      </c>
      <c r="D131" s="124">
        <f t="shared" si="111"/>
        <v>2.3102338606581133E-2</v>
      </c>
      <c r="E131" s="124">
        <f t="shared" si="111"/>
        <v>2.3706453910771547E-2</v>
      </c>
      <c r="F131" s="124">
        <f t="shared" si="111"/>
        <v>2.5231596527397863E-2</v>
      </c>
      <c r="G131" s="124">
        <f t="shared" si="111"/>
        <v>2.5773688480944371E-2</v>
      </c>
      <c r="H131" s="124">
        <f t="shared" si="111"/>
        <v>2.5941946794795816E-2</v>
      </c>
      <c r="I131" s="124">
        <f t="shared" si="111"/>
        <v>2.5562631874514539E-2</v>
      </c>
      <c r="J131" s="124">
        <f t="shared" si="111"/>
        <v>2.7306286149354052E-2</v>
      </c>
      <c r="K131" s="124">
        <f t="shared" si="111"/>
        <v>2.6880265288803384E-2</v>
      </c>
      <c r="L131" s="124">
        <f t="shared" si="111"/>
        <v>2.6902780787052962E-2</v>
      </c>
      <c r="M131" s="124">
        <f t="shared" si="111"/>
        <v>2.5177266754284038E-2</v>
      </c>
      <c r="N131" s="124">
        <f t="shared" si="111"/>
        <v>2.5487861218391507E-2</v>
      </c>
      <c r="O131" s="124">
        <f t="shared" si="111"/>
        <v>2.5518994303624812E-2</v>
      </c>
      <c r="P131" s="124">
        <f t="shared" si="111"/>
        <v>2.4648471476048418E-2</v>
      </c>
      <c r="Q131" s="124">
        <f t="shared" si="111"/>
        <v>2.4388041874712451E-2</v>
      </c>
      <c r="R131" s="124">
        <f t="shared" si="111"/>
        <v>2.3586876372466981E-2</v>
      </c>
      <c r="S131" s="124">
        <f t="shared" si="111"/>
        <v>2.351581325206089E-2</v>
      </c>
      <c r="T131" s="124">
        <f t="shared" si="111"/>
        <v>2.2264927118747758E-2</v>
      </c>
      <c r="U131" s="124">
        <f t="shared" si="111"/>
        <v>2.2182074452010706E-2</v>
      </c>
      <c r="V131" s="124">
        <f t="shared" si="111"/>
        <v>2.3712104907570693E-2</v>
      </c>
      <c r="W131" s="124">
        <f t="shared" si="111"/>
        <v>2.321567717980751E-2</v>
      </c>
      <c r="X131" s="124">
        <f t="shared" si="111"/>
        <v>2.2709402204400299E-2</v>
      </c>
      <c r="Y131" s="124">
        <f t="shared" si="111"/>
        <v>2.5254524452002297E-2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1.1271970262498551E-3</v>
      </c>
      <c r="C132" s="140">
        <f t="shared" ref="C132:Y132" si="112">IF(C40=0,0,C40/C$34)</f>
        <v>1.161322370153092E-3</v>
      </c>
      <c r="D132" s="140">
        <f t="shared" si="112"/>
        <v>1.1718850784586275E-3</v>
      </c>
      <c r="E132" s="140">
        <f t="shared" si="112"/>
        <v>1.226076423653525E-3</v>
      </c>
      <c r="F132" s="140">
        <f t="shared" si="112"/>
        <v>1.3534484463416764E-3</v>
      </c>
      <c r="G132" s="140">
        <f t="shared" si="112"/>
        <v>1.3377024966932606E-3</v>
      </c>
      <c r="H132" s="140">
        <f t="shared" si="112"/>
        <v>1.3134627226265264E-3</v>
      </c>
      <c r="I132" s="140">
        <f t="shared" si="112"/>
        <v>1.2600602874185015E-3</v>
      </c>
      <c r="J132" s="140">
        <f t="shared" si="112"/>
        <v>1.3721963622124892E-3</v>
      </c>
      <c r="K132" s="140">
        <f t="shared" si="112"/>
        <v>1.222990062764292E-3</v>
      </c>
      <c r="L132" s="140">
        <f t="shared" si="112"/>
        <v>1.2457343469779757E-3</v>
      </c>
      <c r="M132" s="140">
        <f t="shared" si="112"/>
        <v>1.183720809085507E-3</v>
      </c>
      <c r="N132" s="140">
        <f t="shared" si="112"/>
        <v>1.2112913690233754E-3</v>
      </c>
      <c r="O132" s="140">
        <f t="shared" si="112"/>
        <v>1.2514423161469987E-3</v>
      </c>
      <c r="P132" s="140">
        <f t="shared" si="112"/>
        <v>1.2430593532767782E-3</v>
      </c>
      <c r="Q132" s="140">
        <f t="shared" si="112"/>
        <v>1.2105250823759913E-3</v>
      </c>
      <c r="R132" s="140">
        <f t="shared" si="112"/>
        <v>1.195297619003486E-3</v>
      </c>
      <c r="S132" s="140">
        <f t="shared" si="112"/>
        <v>1.1916586658780777E-3</v>
      </c>
      <c r="T132" s="140">
        <f t="shared" si="112"/>
        <v>1.2278413865250617E-3</v>
      </c>
      <c r="U132" s="140">
        <f t="shared" si="112"/>
        <v>1.1807160387500328E-3</v>
      </c>
      <c r="V132" s="140">
        <f t="shared" si="112"/>
        <v>1.1754849812549075E-3</v>
      </c>
      <c r="W132" s="140">
        <f t="shared" si="112"/>
        <v>1.2257825626164967E-3</v>
      </c>
      <c r="X132" s="140">
        <f t="shared" si="112"/>
        <v>1.0439239032535891E-3</v>
      </c>
      <c r="Y132" s="140">
        <f t="shared" si="112"/>
        <v>1.0312880789253079E-3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1.7532843836264123E-2</v>
      </c>
      <c r="C133" s="140">
        <f t="shared" ref="C133:Y133" si="113">IF(C41=0,0,C41/C$34)</f>
        <v>1.3965639655133533E-2</v>
      </c>
      <c r="D133" s="140">
        <f t="shared" si="113"/>
        <v>1.3974188531712775E-2</v>
      </c>
      <c r="E133" s="140">
        <f t="shared" si="113"/>
        <v>1.4515174557037124E-2</v>
      </c>
      <c r="F133" s="140">
        <f t="shared" si="113"/>
        <v>1.5338420358564536E-2</v>
      </c>
      <c r="G133" s="140">
        <f t="shared" si="113"/>
        <v>1.5673611786927999E-2</v>
      </c>
      <c r="H133" s="140">
        <f t="shared" si="113"/>
        <v>1.5812693550967424E-2</v>
      </c>
      <c r="I133" s="140">
        <f t="shared" si="113"/>
        <v>1.5291651716006723E-2</v>
      </c>
      <c r="J133" s="140">
        <f t="shared" si="113"/>
        <v>1.5888110700772961E-2</v>
      </c>
      <c r="K133" s="140">
        <f t="shared" si="113"/>
        <v>1.5712971015147573E-2</v>
      </c>
      <c r="L133" s="140">
        <f t="shared" si="113"/>
        <v>1.5854869221047594E-2</v>
      </c>
      <c r="M133" s="140">
        <f t="shared" si="113"/>
        <v>1.4659415184464916E-2</v>
      </c>
      <c r="N133" s="140">
        <f t="shared" si="113"/>
        <v>1.4679417674809205E-2</v>
      </c>
      <c r="O133" s="140">
        <f t="shared" si="113"/>
        <v>1.4725613901076635E-2</v>
      </c>
      <c r="P133" s="140">
        <f t="shared" si="113"/>
        <v>1.4280835978751622E-2</v>
      </c>
      <c r="Q133" s="140">
        <f t="shared" si="113"/>
        <v>1.4324548556932094E-2</v>
      </c>
      <c r="R133" s="140">
        <f t="shared" si="113"/>
        <v>1.3786290140817871E-2</v>
      </c>
      <c r="S133" s="140">
        <f t="shared" si="113"/>
        <v>1.3228818944402596E-2</v>
      </c>
      <c r="T133" s="140">
        <f t="shared" si="113"/>
        <v>1.2502736631412057E-2</v>
      </c>
      <c r="U133" s="140">
        <f t="shared" si="113"/>
        <v>1.2211439325444868E-2</v>
      </c>
      <c r="V133" s="140">
        <f t="shared" si="113"/>
        <v>1.311502841655459E-2</v>
      </c>
      <c r="W133" s="140">
        <f t="shared" si="113"/>
        <v>1.1965820786143224E-2</v>
      </c>
      <c r="X133" s="140">
        <f t="shared" si="113"/>
        <v>1.1834819930814713E-2</v>
      </c>
      <c r="Y133" s="140">
        <f t="shared" si="113"/>
        <v>1.4034646954339546E-2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6.7053372459388149E-3</v>
      </c>
      <c r="C134" s="140">
        <f t="shared" ref="C134:Y134" si="114">IF(C42=0,0,C42/C$34)</f>
        <v>7.5260012691356053E-3</v>
      </c>
      <c r="D134" s="140">
        <f t="shared" si="114"/>
        <v>7.9562649964097336E-3</v>
      </c>
      <c r="E134" s="140">
        <f t="shared" si="114"/>
        <v>7.9652029300808971E-3</v>
      </c>
      <c r="F134" s="140">
        <f t="shared" si="114"/>
        <v>8.5397277224916537E-3</v>
      </c>
      <c r="G134" s="140">
        <f t="shared" si="114"/>
        <v>8.7623741973231108E-3</v>
      </c>
      <c r="H134" s="140">
        <f t="shared" si="114"/>
        <v>8.8157905212018668E-3</v>
      </c>
      <c r="I134" s="140">
        <f t="shared" si="114"/>
        <v>9.0109198710893127E-3</v>
      </c>
      <c r="J134" s="140">
        <f t="shared" si="114"/>
        <v>1.00459790863686E-2</v>
      </c>
      <c r="K134" s="140">
        <f t="shared" si="114"/>
        <v>9.9443042108915206E-3</v>
      </c>
      <c r="L134" s="140">
        <f t="shared" si="114"/>
        <v>9.8021772190273904E-3</v>
      </c>
      <c r="M134" s="140">
        <f t="shared" si="114"/>
        <v>9.3341307607336162E-3</v>
      </c>
      <c r="N134" s="140">
        <f t="shared" si="114"/>
        <v>9.597152174558924E-3</v>
      </c>
      <c r="O134" s="140">
        <f t="shared" si="114"/>
        <v>9.541938086401176E-3</v>
      </c>
      <c r="P134" s="140">
        <f t="shared" si="114"/>
        <v>9.1245761440200152E-3</v>
      </c>
      <c r="Q134" s="140">
        <f t="shared" si="114"/>
        <v>8.8529682354043671E-3</v>
      </c>
      <c r="R134" s="140">
        <f t="shared" si="114"/>
        <v>8.6052886126456226E-3</v>
      </c>
      <c r="S134" s="140">
        <f t="shared" si="114"/>
        <v>9.0953356417802188E-3</v>
      </c>
      <c r="T134" s="140">
        <f t="shared" si="114"/>
        <v>8.5343491008106395E-3</v>
      </c>
      <c r="U134" s="140">
        <f t="shared" si="114"/>
        <v>8.7899190878158034E-3</v>
      </c>
      <c r="V134" s="140">
        <f t="shared" si="114"/>
        <v>9.4215915097611933E-3</v>
      </c>
      <c r="W134" s="140">
        <f t="shared" si="114"/>
        <v>1.0024073831047791E-2</v>
      </c>
      <c r="X134" s="140">
        <f t="shared" si="114"/>
        <v>9.8306583703319985E-3</v>
      </c>
      <c r="Y134" s="140">
        <f t="shared" si="114"/>
        <v>1.0188589418737444E-2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0.17109366014371929</v>
      </c>
      <c r="C135" s="124">
        <f t="shared" ref="C135:Y135" si="115">IF(C43=0,0,C43/C$34)</f>
        <v>0.16757551811730803</v>
      </c>
      <c r="D135" s="124">
        <f t="shared" si="115"/>
        <v>0.16607651594636963</v>
      </c>
      <c r="E135" s="124">
        <f t="shared" si="115"/>
        <v>0.16311397806358449</v>
      </c>
      <c r="F135" s="124">
        <f t="shared" si="115"/>
        <v>0.17124677454099352</v>
      </c>
      <c r="G135" s="124">
        <f t="shared" si="115"/>
        <v>0.17415439323278667</v>
      </c>
      <c r="H135" s="124">
        <f t="shared" si="115"/>
        <v>0.17893404598941182</v>
      </c>
      <c r="I135" s="124">
        <f t="shared" si="115"/>
        <v>0.18198077163822421</v>
      </c>
      <c r="J135" s="124">
        <f t="shared" si="115"/>
        <v>0.18483275192055124</v>
      </c>
      <c r="K135" s="124">
        <f t="shared" si="115"/>
        <v>0.17097335451971454</v>
      </c>
      <c r="L135" s="124">
        <f t="shared" si="115"/>
        <v>0.17298417783554584</v>
      </c>
      <c r="M135" s="124">
        <f t="shared" si="115"/>
        <v>0.18134984817050939</v>
      </c>
      <c r="N135" s="124">
        <f t="shared" si="115"/>
        <v>0.17926954420275218</v>
      </c>
      <c r="O135" s="124">
        <f t="shared" si="115"/>
        <v>0.17966865110119026</v>
      </c>
      <c r="P135" s="124">
        <f t="shared" si="115"/>
        <v>0.17661322763564991</v>
      </c>
      <c r="Q135" s="124">
        <f t="shared" si="115"/>
        <v>0.18039118751801506</v>
      </c>
      <c r="R135" s="124">
        <f t="shared" si="115"/>
        <v>0.1809441527552916</v>
      </c>
      <c r="S135" s="124">
        <f t="shared" si="115"/>
        <v>0.1844550382386354</v>
      </c>
      <c r="T135" s="124">
        <f t="shared" si="115"/>
        <v>0.19444606307253329</v>
      </c>
      <c r="U135" s="124">
        <f t="shared" si="115"/>
        <v>0.20387490689606547</v>
      </c>
      <c r="V135" s="124">
        <f t="shared" si="115"/>
        <v>0.11433029591007422</v>
      </c>
      <c r="W135" s="124">
        <f t="shared" si="115"/>
        <v>0.11411441595521631</v>
      </c>
      <c r="X135" s="124">
        <f t="shared" si="115"/>
        <v>0.17480179172792762</v>
      </c>
      <c r="Y135" s="124">
        <f t="shared" si="115"/>
        <v>0.1867650249682937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2.9157140908178777E-2</v>
      </c>
      <c r="C136" s="140">
        <f t="shared" ref="C136:Y136" si="116">IF(C44=0,0,C44/C$34)</f>
        <v>2.9073499861182878E-2</v>
      </c>
      <c r="D136" s="140">
        <f t="shared" si="116"/>
        <v>2.7341184162723405E-2</v>
      </c>
      <c r="E136" s="140">
        <f t="shared" si="116"/>
        <v>2.6046845020001413E-2</v>
      </c>
      <c r="F136" s="140">
        <f t="shared" si="116"/>
        <v>2.479957833404367E-2</v>
      </c>
      <c r="G136" s="140">
        <f t="shared" si="116"/>
        <v>2.4836398038368214E-2</v>
      </c>
      <c r="H136" s="140">
        <f t="shared" si="116"/>
        <v>2.4687525730878387E-2</v>
      </c>
      <c r="I136" s="140">
        <f t="shared" si="116"/>
        <v>2.4539517747578881E-2</v>
      </c>
      <c r="J136" s="140">
        <f t="shared" si="116"/>
        <v>2.5036240065509793E-2</v>
      </c>
      <c r="K136" s="140">
        <f t="shared" si="116"/>
        <v>2.3763411630157476E-2</v>
      </c>
      <c r="L136" s="140">
        <f t="shared" si="116"/>
        <v>2.3393617787201882E-2</v>
      </c>
      <c r="M136" s="140">
        <f t="shared" si="116"/>
        <v>4.0989528472845572E-2</v>
      </c>
      <c r="N136" s="140">
        <f t="shared" si="116"/>
        <v>4.1544950218431437E-2</v>
      </c>
      <c r="O136" s="140">
        <f t="shared" si="116"/>
        <v>4.125568594263064E-2</v>
      </c>
      <c r="P136" s="140">
        <f t="shared" si="116"/>
        <v>3.9136927154702975E-2</v>
      </c>
      <c r="Q136" s="140">
        <f t="shared" si="116"/>
        <v>3.8292151997687963E-2</v>
      </c>
      <c r="R136" s="140">
        <f t="shared" si="116"/>
        <v>3.9587309201544511E-2</v>
      </c>
      <c r="S136" s="140">
        <f t="shared" si="116"/>
        <v>4.0904138252982447E-2</v>
      </c>
      <c r="T136" s="140">
        <f t="shared" si="116"/>
        <v>4.3468752853176043E-2</v>
      </c>
      <c r="U136" s="140">
        <f t="shared" si="116"/>
        <v>4.4179492283472475E-2</v>
      </c>
      <c r="V136" s="140">
        <f t="shared" si="116"/>
        <v>3.5840961679887512E-2</v>
      </c>
      <c r="W136" s="140">
        <f t="shared" si="116"/>
        <v>3.8332082751904722E-2</v>
      </c>
      <c r="X136" s="140">
        <f t="shared" si="116"/>
        <v>4.5668657250008508E-2</v>
      </c>
      <c r="Y136" s="140">
        <f t="shared" si="116"/>
        <v>4.1031186521726402E-2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3.7819674876461408E-2</v>
      </c>
      <c r="C137" s="140">
        <f t="shared" ref="C137:Y137" si="117">IF(C45=0,0,C45/C$34)</f>
        <v>3.6904780227213385E-2</v>
      </c>
      <c r="D137" s="140">
        <f t="shared" si="117"/>
        <v>3.6966901143009795E-2</v>
      </c>
      <c r="E137" s="140">
        <f t="shared" si="117"/>
        <v>3.5977422477893824E-2</v>
      </c>
      <c r="F137" s="140">
        <f t="shared" si="117"/>
        <v>3.7435450344285671E-2</v>
      </c>
      <c r="G137" s="140">
        <f t="shared" si="117"/>
        <v>3.8073306629409248E-2</v>
      </c>
      <c r="H137" s="140">
        <f t="shared" si="117"/>
        <v>4.0167995120876612E-2</v>
      </c>
      <c r="I137" s="140">
        <f t="shared" si="117"/>
        <v>4.1827036870122479E-2</v>
      </c>
      <c r="J137" s="140">
        <f t="shared" si="117"/>
        <v>4.1517020909437825E-2</v>
      </c>
      <c r="K137" s="140">
        <f t="shared" si="117"/>
        <v>3.6639131362305614E-2</v>
      </c>
      <c r="L137" s="140">
        <f t="shared" si="117"/>
        <v>3.6490565754028939E-2</v>
      </c>
      <c r="M137" s="140">
        <f t="shared" si="117"/>
        <v>3.4558638382860753E-2</v>
      </c>
      <c r="N137" s="140">
        <f t="shared" si="117"/>
        <v>3.3409354268519272E-2</v>
      </c>
      <c r="O137" s="140">
        <f t="shared" si="117"/>
        <v>3.3374438072533021E-2</v>
      </c>
      <c r="P137" s="140">
        <f t="shared" si="117"/>
        <v>3.3408107438884241E-2</v>
      </c>
      <c r="Q137" s="140">
        <f t="shared" si="117"/>
        <v>3.4612668127393824E-2</v>
      </c>
      <c r="R137" s="140">
        <f t="shared" si="117"/>
        <v>3.6242848264194383E-2</v>
      </c>
      <c r="S137" s="140">
        <f t="shared" si="117"/>
        <v>3.7890052286170518E-2</v>
      </c>
      <c r="T137" s="140">
        <f t="shared" si="117"/>
        <v>3.9246763520817657E-2</v>
      </c>
      <c r="U137" s="140">
        <f t="shared" si="117"/>
        <v>3.9991454168978958E-2</v>
      </c>
      <c r="V137" s="140">
        <f t="shared" si="117"/>
        <v>1.565589717645682E-2</v>
      </c>
      <c r="W137" s="140">
        <f t="shared" si="117"/>
        <v>1.7012986677858551E-2</v>
      </c>
      <c r="X137" s="140">
        <f t="shared" si="117"/>
        <v>3.4613073944462093E-2</v>
      </c>
      <c r="Y137" s="140">
        <f t="shared" si="117"/>
        <v>3.8123790833580057E-2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0.1041168443590791</v>
      </c>
      <c r="C138" s="140">
        <f t="shared" ref="C138:Y138" si="118">IF(C46=0,0,C46/C$34)</f>
        <v>0.10159723802891177</v>
      </c>
      <c r="D138" s="140">
        <f t="shared" si="118"/>
        <v>0.10176843064063641</v>
      </c>
      <c r="E138" s="140">
        <f t="shared" si="118"/>
        <v>0.10108971056568923</v>
      </c>
      <c r="F138" s="140">
        <f t="shared" si="118"/>
        <v>0.10901174586266417</v>
      </c>
      <c r="G138" s="140">
        <f t="shared" si="118"/>
        <v>0.11124468856500921</v>
      </c>
      <c r="H138" s="140">
        <f t="shared" si="118"/>
        <v>0.1140785251376568</v>
      </c>
      <c r="I138" s="140">
        <f t="shared" si="118"/>
        <v>0.11561421702052282</v>
      </c>
      <c r="J138" s="140">
        <f t="shared" si="118"/>
        <v>0.11827949094560362</v>
      </c>
      <c r="K138" s="140">
        <f t="shared" si="118"/>
        <v>0.11057081152725146</v>
      </c>
      <c r="L138" s="140">
        <f t="shared" si="118"/>
        <v>0.11309999429431503</v>
      </c>
      <c r="M138" s="140">
        <f t="shared" si="118"/>
        <v>0.10580168131480305</v>
      </c>
      <c r="N138" s="140">
        <f t="shared" si="118"/>
        <v>0.10431523971580146</v>
      </c>
      <c r="O138" s="140">
        <f t="shared" si="118"/>
        <v>0.10503852708602661</v>
      </c>
      <c r="P138" s="140">
        <f t="shared" si="118"/>
        <v>0.1040681930420627</v>
      </c>
      <c r="Q138" s="140">
        <f t="shared" si="118"/>
        <v>0.10748636739293325</v>
      </c>
      <c r="R138" s="140">
        <f t="shared" si="118"/>
        <v>0.10511399528955273</v>
      </c>
      <c r="S138" s="140">
        <f t="shared" si="118"/>
        <v>0.10566084769948243</v>
      </c>
      <c r="T138" s="140">
        <f t="shared" si="118"/>
        <v>0.1117305466985396</v>
      </c>
      <c r="U138" s="140">
        <f t="shared" si="118"/>
        <v>0.11970396044361405</v>
      </c>
      <c r="V138" s="140">
        <f t="shared" si="118"/>
        <v>6.2833437053729888E-2</v>
      </c>
      <c r="W138" s="140">
        <f t="shared" si="118"/>
        <v>5.8769346525453035E-2</v>
      </c>
      <c r="X138" s="140">
        <f t="shared" si="118"/>
        <v>9.4520060533457004E-2</v>
      </c>
      <c r="Y138" s="140">
        <f t="shared" si="118"/>
        <v>0.10761004761298723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0.92375057264974014</v>
      </c>
      <c r="C140" s="139">
        <f t="shared" ref="C140:Y140" si="121">IF(C48=0,0,C48/C$47)</f>
        <v>0.92837153377781378</v>
      </c>
      <c r="D140" s="139">
        <f t="shared" si="121"/>
        <v>0.92840463154248432</v>
      </c>
      <c r="E140" s="139">
        <f t="shared" si="121"/>
        <v>0.92683475920803771</v>
      </c>
      <c r="F140" s="139">
        <f t="shared" si="121"/>
        <v>0.92442590938673819</v>
      </c>
      <c r="G140" s="139">
        <f t="shared" si="121"/>
        <v>0.92896768043691513</v>
      </c>
      <c r="H140" s="139">
        <f t="shared" si="121"/>
        <v>0.92797715904708733</v>
      </c>
      <c r="I140" s="139">
        <f t="shared" si="121"/>
        <v>0.92702750202302786</v>
      </c>
      <c r="J140" s="139">
        <f t="shared" si="121"/>
        <v>0.92531572735532985</v>
      </c>
      <c r="K140" s="139">
        <f t="shared" si="121"/>
        <v>0.9303428850008969</v>
      </c>
      <c r="L140" s="139">
        <f t="shared" si="121"/>
        <v>0.92833714440397597</v>
      </c>
      <c r="M140" s="139">
        <f t="shared" si="121"/>
        <v>0.93081587104510344</v>
      </c>
      <c r="N140" s="139">
        <f t="shared" si="121"/>
        <v>0.9284701747467472</v>
      </c>
      <c r="O140" s="139">
        <f t="shared" si="121"/>
        <v>0.93000341717556045</v>
      </c>
      <c r="P140" s="139">
        <f t="shared" si="121"/>
        <v>0.92555004966280108</v>
      </c>
      <c r="Q140" s="139">
        <f t="shared" si="121"/>
        <v>0.92327300645640753</v>
      </c>
      <c r="R140" s="139">
        <f t="shared" si="121"/>
        <v>0.92982430406858319</v>
      </c>
      <c r="S140" s="139">
        <f t="shared" si="121"/>
        <v>0.93001608722467621</v>
      </c>
      <c r="T140" s="139">
        <f t="shared" si="121"/>
        <v>0.93038853082845407</v>
      </c>
      <c r="U140" s="139">
        <f t="shared" si="121"/>
        <v>0.93161059285846981</v>
      </c>
      <c r="V140" s="139">
        <f t="shared" si="121"/>
        <v>0.92279023322559917</v>
      </c>
      <c r="W140" s="139">
        <f t="shared" si="121"/>
        <v>0.92468984878875227</v>
      </c>
      <c r="X140" s="139">
        <f t="shared" si="121"/>
        <v>0.92703654859051088</v>
      </c>
      <c r="Y140" s="139">
        <f t="shared" si="121"/>
        <v>0.93179650083422605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0.42798146628136163</v>
      </c>
      <c r="C141" s="140">
        <f t="shared" ref="C141:Y141" si="122">IF(C49=0,0,C49/C$47)</f>
        <v>0.42514356444525614</v>
      </c>
      <c r="D141" s="140">
        <f t="shared" si="122"/>
        <v>0.42072746657336269</v>
      </c>
      <c r="E141" s="140">
        <f t="shared" si="122"/>
        <v>0.41507163213013665</v>
      </c>
      <c r="F141" s="140">
        <f t="shared" si="122"/>
        <v>0.38970120152069854</v>
      </c>
      <c r="G141" s="140">
        <f t="shared" si="122"/>
        <v>0.38707470579690301</v>
      </c>
      <c r="H141" s="140">
        <f t="shared" si="122"/>
        <v>0.38333080399193908</v>
      </c>
      <c r="I141" s="140">
        <f t="shared" si="122"/>
        <v>0.37628460095784194</v>
      </c>
      <c r="J141" s="140">
        <f t="shared" si="122"/>
        <v>0.37912632241243127</v>
      </c>
      <c r="K141" s="140">
        <f t="shared" si="122"/>
        <v>0.4126982372219844</v>
      </c>
      <c r="L141" s="140">
        <f t="shared" si="122"/>
        <v>0.41022526735668668</v>
      </c>
      <c r="M141" s="140">
        <f t="shared" si="122"/>
        <v>0.42203027575550089</v>
      </c>
      <c r="N141" s="140">
        <f t="shared" si="122"/>
        <v>0.43667660601616082</v>
      </c>
      <c r="O141" s="140">
        <f t="shared" si="122"/>
        <v>0.43714884314946728</v>
      </c>
      <c r="P141" s="140">
        <f t="shared" si="122"/>
        <v>0.43494201037852104</v>
      </c>
      <c r="Q141" s="140">
        <f t="shared" si="122"/>
        <v>0.4469680317169058</v>
      </c>
      <c r="R141" s="140">
        <f t="shared" si="122"/>
        <v>0.44035819216991279</v>
      </c>
      <c r="S141" s="140">
        <f t="shared" si="122"/>
        <v>0.437957335863224</v>
      </c>
      <c r="T141" s="140">
        <f t="shared" si="122"/>
        <v>0.44234438106620844</v>
      </c>
      <c r="U141" s="140">
        <f t="shared" si="122"/>
        <v>0.4383229446883935</v>
      </c>
      <c r="V141" s="140">
        <f t="shared" si="122"/>
        <v>0.40708362895842598</v>
      </c>
      <c r="W141" s="140">
        <f t="shared" si="122"/>
        <v>0.43343030354962009</v>
      </c>
      <c r="X141" s="140">
        <f t="shared" si="122"/>
        <v>0.44040866445163968</v>
      </c>
      <c r="Y141" s="140">
        <f t="shared" si="122"/>
        <v>0.45192159870251314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0.49576910636837845</v>
      </c>
      <c r="C142" s="140">
        <f t="shared" ref="C142:Y142" si="123">IF(C50=0,0,C50/C$47)</f>
        <v>0.50322796933255776</v>
      </c>
      <c r="D142" s="140">
        <f t="shared" si="123"/>
        <v>0.50767716496912152</v>
      </c>
      <c r="E142" s="140">
        <f t="shared" si="123"/>
        <v>0.51176312707790095</v>
      </c>
      <c r="F142" s="140">
        <f t="shared" si="123"/>
        <v>0.53472470786603965</v>
      </c>
      <c r="G142" s="140">
        <f t="shared" si="123"/>
        <v>0.54189297464001218</v>
      </c>
      <c r="H142" s="140">
        <f t="shared" si="123"/>
        <v>0.54464635505514825</v>
      </c>
      <c r="I142" s="140">
        <f t="shared" si="123"/>
        <v>0.55074290106518597</v>
      </c>
      <c r="J142" s="140">
        <f t="shared" si="123"/>
        <v>0.54618940494289847</v>
      </c>
      <c r="K142" s="140">
        <f t="shared" si="123"/>
        <v>0.51764464777891239</v>
      </c>
      <c r="L142" s="140">
        <f t="shared" si="123"/>
        <v>0.51811187704728934</v>
      </c>
      <c r="M142" s="140">
        <f t="shared" si="123"/>
        <v>0.50878559528960243</v>
      </c>
      <c r="N142" s="140">
        <f t="shared" si="123"/>
        <v>0.49179356873058644</v>
      </c>
      <c r="O142" s="140">
        <f t="shared" si="123"/>
        <v>0.49285457402609323</v>
      </c>
      <c r="P142" s="140">
        <f t="shared" si="123"/>
        <v>0.49060803928428015</v>
      </c>
      <c r="Q142" s="140">
        <f t="shared" si="123"/>
        <v>0.47630497473950173</v>
      </c>
      <c r="R142" s="140">
        <f t="shared" si="123"/>
        <v>0.4894661118986704</v>
      </c>
      <c r="S142" s="140">
        <f t="shared" si="123"/>
        <v>0.49205875136145211</v>
      </c>
      <c r="T142" s="140">
        <f t="shared" si="123"/>
        <v>0.48804414976224564</v>
      </c>
      <c r="U142" s="140">
        <f t="shared" si="123"/>
        <v>0.49328764817007631</v>
      </c>
      <c r="V142" s="140">
        <f t="shared" si="123"/>
        <v>0.51570660426717319</v>
      </c>
      <c r="W142" s="140">
        <f t="shared" si="123"/>
        <v>0.49125954523913212</v>
      </c>
      <c r="X142" s="140">
        <f t="shared" si="123"/>
        <v>0.48662788413887131</v>
      </c>
      <c r="Y142" s="140">
        <f t="shared" si="123"/>
        <v>0.47987490213171291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1.9381642796271529E-2</v>
      </c>
      <c r="C143" s="124">
        <f t="shared" ref="C143:Y143" si="124">IF(C51=0,0,C51/C$47)</f>
        <v>1.7441512054270174E-2</v>
      </c>
      <c r="D143" s="124">
        <f t="shared" si="124"/>
        <v>1.7562595735038478E-2</v>
      </c>
      <c r="E143" s="124">
        <f t="shared" si="124"/>
        <v>1.7364604756466912E-2</v>
      </c>
      <c r="F143" s="124">
        <f t="shared" si="124"/>
        <v>1.4987838245069156E-2</v>
      </c>
      <c r="G143" s="124">
        <f t="shared" si="124"/>
        <v>1.2299368756399096E-2</v>
      </c>
      <c r="H143" s="124">
        <f t="shared" si="124"/>
        <v>1.1477031268461578E-2</v>
      </c>
      <c r="I143" s="124">
        <f t="shared" si="124"/>
        <v>1.0795649729936659E-2</v>
      </c>
      <c r="J143" s="124">
        <f t="shared" si="124"/>
        <v>1.0695695918929724E-2</v>
      </c>
      <c r="K143" s="124">
        <f t="shared" si="124"/>
        <v>9.0529045045931802E-3</v>
      </c>
      <c r="L143" s="124">
        <f t="shared" si="124"/>
        <v>8.4069596279496683E-3</v>
      </c>
      <c r="M143" s="124">
        <f t="shared" si="124"/>
        <v>7.2577464662518546E-3</v>
      </c>
      <c r="N143" s="124">
        <f t="shared" si="124"/>
        <v>7.1713995359029758E-3</v>
      </c>
      <c r="O143" s="124">
        <f t="shared" si="124"/>
        <v>7.8895668861467365E-3</v>
      </c>
      <c r="P143" s="124">
        <f t="shared" si="124"/>
        <v>7.3572981714921243E-3</v>
      </c>
      <c r="Q143" s="124">
        <f t="shared" si="124"/>
        <v>7.4534216548697392E-3</v>
      </c>
      <c r="R143" s="124">
        <f t="shared" si="124"/>
        <v>6.8178713964465619E-3</v>
      </c>
      <c r="S143" s="124">
        <f t="shared" si="124"/>
        <v>7.0302641491877841E-3</v>
      </c>
      <c r="T143" s="124">
        <f t="shared" si="124"/>
        <v>6.7156975069519826E-3</v>
      </c>
      <c r="U143" s="124">
        <f t="shared" si="124"/>
        <v>6.5505746628936427E-3</v>
      </c>
      <c r="V143" s="124">
        <f t="shared" si="124"/>
        <v>7.5836954554492032E-3</v>
      </c>
      <c r="W143" s="124">
        <f t="shared" si="124"/>
        <v>7.4087148912083114E-3</v>
      </c>
      <c r="X143" s="124">
        <f t="shared" si="124"/>
        <v>7.1022314738951944E-3</v>
      </c>
      <c r="Y143" s="124">
        <f t="shared" si="124"/>
        <v>6.3630614608397029E-3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2.7456078877883067E-2</v>
      </c>
      <c r="C144" s="124">
        <f t="shared" ref="C144:Y144" si="125">IF(C52=0,0,C52/C$47)</f>
        <v>2.7528302358254968E-2</v>
      </c>
      <c r="D144" s="124">
        <f t="shared" si="125"/>
        <v>2.6957811400459164E-2</v>
      </c>
      <c r="E144" s="124">
        <f t="shared" si="125"/>
        <v>2.6892636648122314E-2</v>
      </c>
      <c r="F144" s="124">
        <f t="shared" si="125"/>
        <v>2.847876211762224E-2</v>
      </c>
      <c r="G144" s="124">
        <f t="shared" si="125"/>
        <v>2.9650712951884681E-2</v>
      </c>
      <c r="H144" s="124">
        <f t="shared" si="125"/>
        <v>3.0672501809146237E-2</v>
      </c>
      <c r="I144" s="124">
        <f t="shared" si="125"/>
        <v>3.1508491957597855E-2</v>
      </c>
      <c r="J144" s="124">
        <f t="shared" si="125"/>
        <v>3.3274022022504159E-2</v>
      </c>
      <c r="K144" s="124">
        <f t="shared" si="125"/>
        <v>2.7562434181769953E-2</v>
      </c>
      <c r="L144" s="124">
        <f t="shared" si="125"/>
        <v>3.1040010039265379E-2</v>
      </c>
      <c r="M144" s="124">
        <f t="shared" si="125"/>
        <v>3.2205082963673505E-2</v>
      </c>
      <c r="N144" s="124">
        <f t="shared" si="125"/>
        <v>3.3718899983536041E-2</v>
      </c>
      <c r="O144" s="124">
        <f t="shared" si="125"/>
        <v>3.1400999153924018E-2</v>
      </c>
      <c r="P144" s="124">
        <f t="shared" si="125"/>
        <v>3.6188164038212067E-2</v>
      </c>
      <c r="Q144" s="124">
        <f t="shared" si="125"/>
        <v>3.8294263035606221E-2</v>
      </c>
      <c r="R144" s="124">
        <f t="shared" si="125"/>
        <v>3.306575261314279E-2</v>
      </c>
      <c r="S144" s="124">
        <f t="shared" si="125"/>
        <v>3.3294821101759693E-2</v>
      </c>
      <c r="T144" s="124">
        <f t="shared" si="125"/>
        <v>3.2618737305650784E-2</v>
      </c>
      <c r="U144" s="124">
        <f t="shared" si="125"/>
        <v>3.1064758405632917E-2</v>
      </c>
      <c r="V144" s="124">
        <f t="shared" si="125"/>
        <v>4.1011003879083636E-2</v>
      </c>
      <c r="W144" s="124">
        <f t="shared" si="125"/>
        <v>3.8320139744059054E-2</v>
      </c>
      <c r="X144" s="124">
        <f t="shared" si="125"/>
        <v>3.302934030833566E-2</v>
      </c>
      <c r="Y144" s="124">
        <f t="shared" si="125"/>
        <v>2.8215823496884011E-2</v>
      </c>
      <c r="DA144" s="176"/>
    </row>
    <row r="145" spans="1:105" ht="11.45" customHeight="1" x14ac:dyDescent="0.25">
      <c r="A145" s="128" t="s">
        <v>27</v>
      </c>
      <c r="B145" s="140">
        <f t="shared" si="119"/>
        <v>3.8735059763673084E-3</v>
      </c>
      <c r="C145" s="140">
        <f t="shared" ref="C145:Y145" si="126">IF(C53=0,0,C53/C$47)</f>
        <v>4.4670923346675218E-3</v>
      </c>
      <c r="D145" s="140">
        <f t="shared" si="126"/>
        <v>3.5822996551581015E-3</v>
      </c>
      <c r="E145" s="140">
        <f t="shared" si="126"/>
        <v>2.9619066892683519E-3</v>
      </c>
      <c r="F145" s="140">
        <f t="shared" si="126"/>
        <v>2.9636269265294899E-3</v>
      </c>
      <c r="G145" s="140">
        <f t="shared" si="126"/>
        <v>2.9592670399341283E-3</v>
      </c>
      <c r="H145" s="140">
        <f t="shared" si="126"/>
        <v>2.5089961354756267E-3</v>
      </c>
      <c r="I145" s="140">
        <f t="shared" si="126"/>
        <v>2.0789455483567602E-3</v>
      </c>
      <c r="J145" s="140">
        <f t="shared" si="126"/>
        <v>1.7379819485863481E-3</v>
      </c>
      <c r="K145" s="140">
        <f t="shared" si="126"/>
        <v>1.6490348449080257E-3</v>
      </c>
      <c r="L145" s="140">
        <f t="shared" si="126"/>
        <v>1.1711441031679506E-3</v>
      </c>
      <c r="M145" s="140">
        <f t="shared" si="126"/>
        <v>2.0634802757497706E-3</v>
      </c>
      <c r="N145" s="140">
        <f t="shared" si="126"/>
        <v>2.1871267976331615E-3</v>
      </c>
      <c r="O145" s="140">
        <f t="shared" si="126"/>
        <v>2.009033626361241E-3</v>
      </c>
      <c r="P145" s="140">
        <f t="shared" si="126"/>
        <v>2.3620613896175816E-3</v>
      </c>
      <c r="Q145" s="140">
        <f t="shared" si="126"/>
        <v>2.2675303839715544E-3</v>
      </c>
      <c r="R145" s="140">
        <f t="shared" si="126"/>
        <v>1.9851259063219428E-3</v>
      </c>
      <c r="S145" s="140">
        <f t="shared" si="126"/>
        <v>2.0193752032036049E-3</v>
      </c>
      <c r="T145" s="140">
        <f t="shared" si="126"/>
        <v>2.0468874976562607E-3</v>
      </c>
      <c r="U145" s="140">
        <f t="shared" si="126"/>
        <v>1.9820825553139793E-3</v>
      </c>
      <c r="V145" s="140">
        <f t="shared" si="126"/>
        <v>2.4330230143516083E-3</v>
      </c>
      <c r="W145" s="140">
        <f t="shared" si="126"/>
        <v>2.9080798529340065E-3</v>
      </c>
      <c r="X145" s="140">
        <f t="shared" si="126"/>
        <v>1.4964597644373462E-3</v>
      </c>
      <c r="Y145" s="140">
        <f t="shared" si="126"/>
        <v>1.5958463347144796E-3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1.5506937929450698E-3</v>
      </c>
      <c r="C146" s="140">
        <f t="shared" ref="C146:Y146" si="127">IF(C54=0,0,C54/C$47)</f>
        <v>1.7640698505059715E-3</v>
      </c>
      <c r="D146" s="140">
        <f t="shared" si="127"/>
        <v>1.6021789836958237E-3</v>
      </c>
      <c r="E146" s="140">
        <f t="shared" si="127"/>
        <v>1.5138832043410768E-3</v>
      </c>
      <c r="F146" s="140">
        <f t="shared" si="127"/>
        <v>1.6311899962251357E-3</v>
      </c>
      <c r="G146" s="140">
        <f t="shared" si="127"/>
        <v>1.5837418930964694E-3</v>
      </c>
      <c r="H146" s="140">
        <f t="shared" si="127"/>
        <v>2.0739259046818411E-3</v>
      </c>
      <c r="I146" s="140">
        <f t="shared" si="127"/>
        <v>2.4887535451895166E-3</v>
      </c>
      <c r="J146" s="140">
        <f t="shared" si="127"/>
        <v>2.519496259954253E-3</v>
      </c>
      <c r="K146" s="140">
        <f t="shared" si="127"/>
        <v>2.3546234174252377E-3</v>
      </c>
      <c r="L146" s="140">
        <f t="shared" si="127"/>
        <v>2.5779694210036393E-3</v>
      </c>
      <c r="M146" s="140">
        <f t="shared" si="127"/>
        <v>2.8789107829517236E-3</v>
      </c>
      <c r="N146" s="140">
        <f t="shared" si="127"/>
        <v>2.7630099434404563E-3</v>
      </c>
      <c r="O146" s="140">
        <f t="shared" si="127"/>
        <v>2.9744392772405432E-3</v>
      </c>
      <c r="P146" s="140">
        <f t="shared" si="127"/>
        <v>3.6409274818736902E-3</v>
      </c>
      <c r="Q146" s="140">
        <f t="shared" si="127"/>
        <v>3.6932128151459238E-3</v>
      </c>
      <c r="R146" s="140">
        <f t="shared" si="127"/>
        <v>3.2178401588775032E-3</v>
      </c>
      <c r="S146" s="140">
        <f t="shared" si="127"/>
        <v>3.4178174062121187E-3</v>
      </c>
      <c r="T146" s="140">
        <f t="shared" si="127"/>
        <v>3.0097196883517412E-3</v>
      </c>
      <c r="U146" s="140">
        <f t="shared" si="127"/>
        <v>3.0535483867349697E-3</v>
      </c>
      <c r="V146" s="140">
        <f t="shared" si="127"/>
        <v>2.6991091736369294E-3</v>
      </c>
      <c r="W146" s="140">
        <f t="shared" si="127"/>
        <v>2.5800257278657604E-3</v>
      </c>
      <c r="X146" s="140">
        <f t="shared" si="127"/>
        <v>3.7887391471736562E-3</v>
      </c>
      <c r="Y146" s="140">
        <f t="shared" si="127"/>
        <v>3.8233578694142779E-3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2.2031879108570688E-2</v>
      </c>
      <c r="C147" s="140">
        <f t="shared" ref="C147:Y147" si="128">IF(C55=0,0,C55/C$47)</f>
        <v>2.1297140173081475E-2</v>
      </c>
      <c r="D147" s="140">
        <f t="shared" si="128"/>
        <v>2.177333276160524E-2</v>
      </c>
      <c r="E147" s="140">
        <f t="shared" si="128"/>
        <v>2.2416846754512887E-2</v>
      </c>
      <c r="F147" s="140">
        <f t="shared" si="128"/>
        <v>2.3883945194867615E-2</v>
      </c>
      <c r="G147" s="140">
        <f t="shared" si="128"/>
        <v>2.5107704018854083E-2</v>
      </c>
      <c r="H147" s="140">
        <f t="shared" si="128"/>
        <v>2.608957976898877E-2</v>
      </c>
      <c r="I147" s="140">
        <f t="shared" si="128"/>
        <v>2.6940792864051578E-2</v>
      </c>
      <c r="J147" s="140">
        <f t="shared" si="128"/>
        <v>2.9016543813963555E-2</v>
      </c>
      <c r="K147" s="140">
        <f t="shared" si="128"/>
        <v>2.3558775919436691E-2</v>
      </c>
      <c r="L147" s="140">
        <f t="shared" si="128"/>
        <v>2.7290896515093789E-2</v>
      </c>
      <c r="M147" s="140">
        <f t="shared" si="128"/>
        <v>2.7262691904972009E-2</v>
      </c>
      <c r="N147" s="140">
        <f t="shared" si="128"/>
        <v>2.8768763242462424E-2</v>
      </c>
      <c r="O147" s="140">
        <f t="shared" si="128"/>
        <v>2.6417526250322235E-2</v>
      </c>
      <c r="P147" s="140">
        <f t="shared" si="128"/>
        <v>3.0185175166720792E-2</v>
      </c>
      <c r="Q147" s="140">
        <f t="shared" si="128"/>
        <v>3.2333519836488744E-2</v>
      </c>
      <c r="R147" s="140">
        <f t="shared" si="128"/>
        <v>2.7862786547943344E-2</v>
      </c>
      <c r="S147" s="140">
        <f t="shared" si="128"/>
        <v>2.785762849234397E-2</v>
      </c>
      <c r="T147" s="140">
        <f t="shared" si="128"/>
        <v>2.7562130119642779E-2</v>
      </c>
      <c r="U147" s="140">
        <f t="shared" si="128"/>
        <v>2.6029127463583969E-2</v>
      </c>
      <c r="V147" s="140">
        <f t="shared" si="128"/>
        <v>3.5878871691095097E-2</v>
      </c>
      <c r="W147" s="140">
        <f t="shared" si="128"/>
        <v>3.2832034163259291E-2</v>
      </c>
      <c r="X147" s="140">
        <f t="shared" si="128"/>
        <v>2.774414139672466E-2</v>
      </c>
      <c r="Y147" s="140">
        <f t="shared" si="128"/>
        <v>2.2796619292755255E-2</v>
      </c>
      <c r="DA147" s="175"/>
    </row>
    <row r="148" spans="1:105" ht="11.45" customHeight="1" x14ac:dyDescent="0.25">
      <c r="A148" s="109" t="s">
        <v>141</v>
      </c>
      <c r="B148" s="124">
        <f t="shared" si="119"/>
        <v>2.941170567610529E-2</v>
      </c>
      <c r="C148" s="124">
        <f t="shared" ref="C148:Y148" si="129">IF(C56=0,0,C56/C$47)</f>
        <v>2.6658651809660941E-2</v>
      </c>
      <c r="D148" s="124">
        <f t="shared" si="129"/>
        <v>2.7074961322018067E-2</v>
      </c>
      <c r="E148" s="124">
        <f t="shared" si="129"/>
        <v>2.8907999387373182E-2</v>
      </c>
      <c r="F148" s="124">
        <f t="shared" si="129"/>
        <v>3.2107490250570483E-2</v>
      </c>
      <c r="G148" s="124">
        <f t="shared" si="129"/>
        <v>2.9082237854801109E-2</v>
      </c>
      <c r="H148" s="124">
        <f t="shared" si="129"/>
        <v>2.9873307875304834E-2</v>
      </c>
      <c r="I148" s="124">
        <f t="shared" si="129"/>
        <v>3.0668356289437579E-2</v>
      </c>
      <c r="J148" s="124">
        <f t="shared" si="129"/>
        <v>3.0714554703236311E-2</v>
      </c>
      <c r="K148" s="124">
        <f t="shared" si="129"/>
        <v>3.3041776312740051E-2</v>
      </c>
      <c r="L148" s="124">
        <f t="shared" si="129"/>
        <v>3.221588592880896E-2</v>
      </c>
      <c r="M148" s="124">
        <f t="shared" si="129"/>
        <v>2.9721299524971306E-2</v>
      </c>
      <c r="N148" s="124">
        <f t="shared" si="129"/>
        <v>3.0639525733813774E-2</v>
      </c>
      <c r="O148" s="124">
        <f t="shared" si="129"/>
        <v>3.0706016784368715E-2</v>
      </c>
      <c r="P148" s="124">
        <f t="shared" si="129"/>
        <v>3.09044881274948E-2</v>
      </c>
      <c r="Q148" s="124">
        <f t="shared" si="129"/>
        <v>3.0979308853116519E-2</v>
      </c>
      <c r="R148" s="124">
        <f t="shared" si="129"/>
        <v>3.0292071921827615E-2</v>
      </c>
      <c r="S148" s="124">
        <f t="shared" si="129"/>
        <v>2.9658827524376315E-2</v>
      </c>
      <c r="T148" s="124">
        <f t="shared" si="129"/>
        <v>3.0277034358943203E-2</v>
      </c>
      <c r="U148" s="124">
        <f t="shared" si="129"/>
        <v>3.0774074073003681E-2</v>
      </c>
      <c r="V148" s="124">
        <f t="shared" si="129"/>
        <v>2.861506743986799E-2</v>
      </c>
      <c r="W148" s="124">
        <f t="shared" si="129"/>
        <v>2.9581296575980368E-2</v>
      </c>
      <c r="X148" s="124">
        <f t="shared" si="129"/>
        <v>3.2831879627258205E-2</v>
      </c>
      <c r="Y148" s="124">
        <f t="shared" si="129"/>
        <v>3.3624614208050289E-2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2.4365910250617257E-2</v>
      </c>
      <c r="C149" s="140">
        <f t="shared" ref="C149:Y149" si="130">IF(C57=0,0,C57/C$47)</f>
        <v>2.0899232205196436E-2</v>
      </c>
      <c r="D149" s="140">
        <f t="shared" si="130"/>
        <v>2.1120570175227872E-2</v>
      </c>
      <c r="E149" s="140">
        <f t="shared" si="130"/>
        <v>2.1341340288292675E-2</v>
      </c>
      <c r="F149" s="140">
        <f t="shared" si="130"/>
        <v>2.311424294414911E-2</v>
      </c>
      <c r="G149" s="140">
        <f t="shared" si="130"/>
        <v>2.1789039268839516E-2</v>
      </c>
      <c r="H149" s="140">
        <f t="shared" si="130"/>
        <v>2.4453876537862573E-2</v>
      </c>
      <c r="I149" s="140">
        <f t="shared" si="130"/>
        <v>2.2558564920139634E-2</v>
      </c>
      <c r="J149" s="140">
        <f t="shared" si="130"/>
        <v>2.5276258819352946E-2</v>
      </c>
      <c r="K149" s="140">
        <f t="shared" si="130"/>
        <v>2.554557320544203E-2</v>
      </c>
      <c r="L149" s="140">
        <f t="shared" si="130"/>
        <v>2.5693874796407192E-2</v>
      </c>
      <c r="M149" s="140">
        <f t="shared" si="130"/>
        <v>2.3855208549340846E-2</v>
      </c>
      <c r="N149" s="140">
        <f t="shared" si="130"/>
        <v>2.3540647013267094E-2</v>
      </c>
      <c r="O149" s="140">
        <f t="shared" si="130"/>
        <v>1.9298171790967739E-2</v>
      </c>
      <c r="P149" s="140">
        <f t="shared" si="130"/>
        <v>2.3377779812507108E-2</v>
      </c>
      <c r="Q149" s="140">
        <f t="shared" si="130"/>
        <v>2.4104017169868902E-2</v>
      </c>
      <c r="R149" s="140">
        <f t="shared" si="130"/>
        <v>2.1962896617465325E-2</v>
      </c>
      <c r="S149" s="140">
        <f t="shared" si="130"/>
        <v>2.2876004172362775E-2</v>
      </c>
      <c r="T149" s="140">
        <f t="shared" si="130"/>
        <v>2.4337007464300241E-2</v>
      </c>
      <c r="U149" s="140">
        <f t="shared" si="130"/>
        <v>2.4567546415311687E-2</v>
      </c>
      <c r="V149" s="140">
        <f t="shared" si="130"/>
        <v>2.317870289367014E-2</v>
      </c>
      <c r="W149" s="140">
        <f t="shared" si="130"/>
        <v>2.3914959462397429E-2</v>
      </c>
      <c r="X149" s="140">
        <f t="shared" si="130"/>
        <v>2.6548787580062402E-2</v>
      </c>
      <c r="Y149" s="140">
        <f t="shared" si="130"/>
        <v>2.8871057248283441E-2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5.0457954254880324E-3</v>
      </c>
      <c r="C150" s="127">
        <f t="shared" ref="C150:Y150" si="131">IF(C58=0,0,C58/C$47)</f>
        <v>5.7594196044645054E-3</v>
      </c>
      <c r="D150" s="127">
        <f t="shared" si="131"/>
        <v>5.9543911467901936E-3</v>
      </c>
      <c r="E150" s="127">
        <f t="shared" si="131"/>
        <v>7.5666590990805076E-3</v>
      </c>
      <c r="F150" s="127">
        <f t="shared" si="131"/>
        <v>8.9932473064213755E-3</v>
      </c>
      <c r="G150" s="127">
        <f t="shared" si="131"/>
        <v>7.2931985859615916E-3</v>
      </c>
      <c r="H150" s="127">
        <f t="shared" si="131"/>
        <v>5.4194313374422579E-3</v>
      </c>
      <c r="I150" s="127">
        <f t="shared" si="131"/>
        <v>8.1097913692979411E-3</v>
      </c>
      <c r="J150" s="127">
        <f t="shared" si="131"/>
        <v>5.4382958838833659E-3</v>
      </c>
      <c r="K150" s="127">
        <f t="shared" si="131"/>
        <v>7.4962031072980211E-3</v>
      </c>
      <c r="L150" s="127">
        <f t="shared" si="131"/>
        <v>6.5220111324017669E-3</v>
      </c>
      <c r="M150" s="127">
        <f t="shared" si="131"/>
        <v>5.8660909756304601E-3</v>
      </c>
      <c r="N150" s="127">
        <f t="shared" si="131"/>
        <v>7.0988787205466799E-3</v>
      </c>
      <c r="O150" s="127">
        <f t="shared" si="131"/>
        <v>1.1407844993400975E-2</v>
      </c>
      <c r="P150" s="127">
        <f t="shared" si="131"/>
        <v>7.5267083149876948E-3</v>
      </c>
      <c r="Q150" s="127">
        <f t="shared" si="131"/>
        <v>6.875291683247616E-3</v>
      </c>
      <c r="R150" s="127">
        <f t="shared" si="131"/>
        <v>8.3291753043622883E-3</v>
      </c>
      <c r="S150" s="127">
        <f t="shared" si="131"/>
        <v>6.7828233520135428E-3</v>
      </c>
      <c r="T150" s="127">
        <f t="shared" si="131"/>
        <v>5.9400268946429606E-3</v>
      </c>
      <c r="U150" s="127">
        <f t="shared" si="131"/>
        <v>6.2065276576919945E-3</v>
      </c>
      <c r="V150" s="127">
        <f t="shared" si="131"/>
        <v>5.4363645461978499E-3</v>
      </c>
      <c r="W150" s="127">
        <f t="shared" si="131"/>
        <v>5.6663371135829387E-3</v>
      </c>
      <c r="X150" s="127">
        <f t="shared" si="131"/>
        <v>6.2830920471958016E-3</v>
      </c>
      <c r="Y150" s="127">
        <f t="shared" si="131"/>
        <v>4.7535569597668536E-3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0.35197028154154592</v>
      </c>
      <c r="C152" s="140">
        <f t="shared" si="133"/>
        <v>0.35244353795092431</v>
      </c>
      <c r="D152" s="140">
        <f t="shared" si="133"/>
        <v>0.33135680762348341</v>
      </c>
      <c r="E152" s="140">
        <f t="shared" si="133"/>
        <v>0.32541357313328956</v>
      </c>
      <c r="F152" s="140">
        <f t="shared" si="133"/>
        <v>0.33266125960745879</v>
      </c>
      <c r="G152" s="140">
        <f t="shared" si="133"/>
        <v>0.31948065297945372</v>
      </c>
      <c r="H152" s="140">
        <f t="shared" si="133"/>
        <v>0.29370789500665861</v>
      </c>
      <c r="I152" s="140">
        <f t="shared" si="133"/>
        <v>0.29798276830205156</v>
      </c>
      <c r="J152" s="140">
        <f t="shared" si="133"/>
        <v>0.2909374501995573</v>
      </c>
      <c r="K152" s="140">
        <f t="shared" si="133"/>
        <v>0.30980487668692741</v>
      </c>
      <c r="L152" s="140">
        <f t="shared" si="133"/>
        <v>0.31117562443506769</v>
      </c>
      <c r="M152" s="140">
        <f t="shared" si="133"/>
        <v>0.30654372285992454</v>
      </c>
      <c r="N152" s="140">
        <f t="shared" si="133"/>
        <v>0.30886127009380526</v>
      </c>
      <c r="O152" s="140">
        <f t="shared" si="133"/>
        <v>0.29035426614855853</v>
      </c>
      <c r="P152" s="140">
        <f t="shared" si="133"/>
        <v>0.29345839820346736</v>
      </c>
      <c r="Q152" s="140">
        <f t="shared" si="133"/>
        <v>0.280195548723154</v>
      </c>
      <c r="R152" s="140">
        <f t="shared" si="133"/>
        <v>0.30733308976655871</v>
      </c>
      <c r="S152" s="140">
        <f t="shared" si="133"/>
        <v>0.30273229937315799</v>
      </c>
      <c r="T152" s="140">
        <f t="shared" si="133"/>
        <v>0.30363884224476356</v>
      </c>
      <c r="U152" s="140">
        <f t="shared" si="133"/>
        <v>0.29680165005926301</v>
      </c>
      <c r="V152" s="140">
        <f t="shared" si="133"/>
        <v>0.27184467355200986</v>
      </c>
      <c r="W152" s="140">
        <f t="shared" si="133"/>
        <v>0.26489923410537075</v>
      </c>
      <c r="X152" s="140">
        <f t="shared" si="133"/>
        <v>0.2694050246257999</v>
      </c>
      <c r="Y152" s="140">
        <f t="shared" si="133"/>
        <v>0.27645109153854797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0.64802971845845414</v>
      </c>
      <c r="C153" s="127">
        <f t="shared" si="134"/>
        <v>0.6475564620490758</v>
      </c>
      <c r="D153" s="127">
        <f t="shared" si="134"/>
        <v>0.66864319237651659</v>
      </c>
      <c r="E153" s="127">
        <f t="shared" si="134"/>
        <v>0.67458642686671044</v>
      </c>
      <c r="F153" s="127">
        <f t="shared" si="134"/>
        <v>0.66733874039254126</v>
      </c>
      <c r="G153" s="127">
        <f t="shared" si="134"/>
        <v>0.68051934702054628</v>
      </c>
      <c r="H153" s="127">
        <f t="shared" si="134"/>
        <v>0.70629210499334127</v>
      </c>
      <c r="I153" s="127">
        <f t="shared" si="134"/>
        <v>0.7020172316979485</v>
      </c>
      <c r="J153" s="127">
        <f t="shared" si="134"/>
        <v>0.70906254980044259</v>
      </c>
      <c r="K153" s="127">
        <f t="shared" si="134"/>
        <v>0.69019512331307253</v>
      </c>
      <c r="L153" s="127">
        <f t="shared" si="134"/>
        <v>0.68882437556493237</v>
      </c>
      <c r="M153" s="127">
        <f t="shared" si="134"/>
        <v>0.69345627714007541</v>
      </c>
      <c r="N153" s="127">
        <f t="shared" si="134"/>
        <v>0.69113872990619485</v>
      </c>
      <c r="O153" s="127">
        <f t="shared" si="134"/>
        <v>0.70964573385144147</v>
      </c>
      <c r="P153" s="127">
        <f t="shared" si="134"/>
        <v>0.70654160179653258</v>
      </c>
      <c r="Q153" s="127">
        <f t="shared" si="134"/>
        <v>0.719804451276846</v>
      </c>
      <c r="R153" s="127">
        <f t="shared" si="134"/>
        <v>0.69266691023344129</v>
      </c>
      <c r="S153" s="127">
        <f t="shared" si="134"/>
        <v>0.69726770062684207</v>
      </c>
      <c r="T153" s="127">
        <f t="shared" si="134"/>
        <v>0.69636115775523644</v>
      </c>
      <c r="U153" s="127">
        <f t="shared" si="134"/>
        <v>0.70319834994073693</v>
      </c>
      <c r="V153" s="127">
        <f t="shared" si="134"/>
        <v>0.72815532644799008</v>
      </c>
      <c r="W153" s="127">
        <f t="shared" si="134"/>
        <v>0.73510076589462936</v>
      </c>
      <c r="X153" s="127">
        <f t="shared" si="134"/>
        <v>0.73059497537420015</v>
      </c>
      <c r="Y153" s="127">
        <f t="shared" si="134"/>
        <v>0.72354890846145203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0.81631010852047847</v>
      </c>
      <c r="C157" s="139">
        <f t="shared" ref="C157:W157" si="138">IF(C65=0,0,C65/C$64)</f>
        <v>0.82305422241663417</v>
      </c>
      <c r="D157" s="139">
        <f t="shared" si="138"/>
        <v>0.82447774696903908</v>
      </c>
      <c r="E157" s="139">
        <f t="shared" si="138"/>
        <v>0.82773469065790628</v>
      </c>
      <c r="F157" s="139">
        <f t="shared" si="138"/>
        <v>0.81879733820107081</v>
      </c>
      <c r="G157" s="139">
        <f t="shared" si="138"/>
        <v>0.81529508573268417</v>
      </c>
      <c r="H157" s="139">
        <f t="shared" si="138"/>
        <v>0.81026055501911265</v>
      </c>
      <c r="I157" s="139">
        <f t="shared" si="138"/>
        <v>0.8052123737414737</v>
      </c>
      <c r="J157" s="139">
        <f t="shared" si="138"/>
        <v>0.79829661177121658</v>
      </c>
      <c r="K157" s="139">
        <f t="shared" si="138"/>
        <v>0.8127730802731401</v>
      </c>
      <c r="L157" s="139">
        <f t="shared" si="138"/>
        <v>0.8110997204358591</v>
      </c>
      <c r="M157" s="139">
        <f t="shared" si="138"/>
        <v>0.80324052747447527</v>
      </c>
      <c r="N157" s="139">
        <f t="shared" si="138"/>
        <v>0.80469791384938782</v>
      </c>
      <c r="O157" s="139">
        <f t="shared" si="138"/>
        <v>0.80427392433441491</v>
      </c>
      <c r="P157" s="139">
        <f t="shared" si="138"/>
        <v>0.80690911482495675</v>
      </c>
      <c r="Q157" s="139">
        <f t="shared" si="138"/>
        <v>0.80294939134934484</v>
      </c>
      <c r="R157" s="139">
        <f t="shared" si="138"/>
        <v>0.80296743874240051</v>
      </c>
      <c r="S157" s="139">
        <f t="shared" si="138"/>
        <v>0.79846234379042869</v>
      </c>
      <c r="T157" s="139">
        <f t="shared" si="138"/>
        <v>0.78794146805510323</v>
      </c>
      <c r="U157" s="139">
        <f t="shared" si="138"/>
        <v>0.77718768489509515</v>
      </c>
      <c r="V157" s="139">
        <f t="shared" si="138"/>
        <v>0.87226087504105565</v>
      </c>
      <c r="W157" s="139">
        <f t="shared" si="138"/>
        <v>0.87239990044526416</v>
      </c>
      <c r="X157" s="139">
        <f t="shared" ref="X157:Y157" si="139">IF(X65=0,0,X65/X$64)</f>
        <v>0.80703665119194312</v>
      </c>
      <c r="Y157" s="139">
        <f t="shared" si="139"/>
        <v>0.79269313988154988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1.0392407924461916E-2</v>
      </c>
      <c r="C158" s="140">
        <f t="shared" ref="C158:W158" si="140">IF(C66=0,0,C66/C$64)</f>
        <v>1.1183061782826931E-2</v>
      </c>
      <c r="D158" s="140">
        <f t="shared" si="140"/>
        <v>1.2351519290234802E-2</v>
      </c>
      <c r="E158" s="140">
        <f t="shared" si="140"/>
        <v>1.2582474248489926E-2</v>
      </c>
      <c r="F158" s="140">
        <f t="shared" si="140"/>
        <v>1.3379807566814445E-2</v>
      </c>
      <c r="G158" s="140">
        <f t="shared" si="140"/>
        <v>1.3790115031798661E-2</v>
      </c>
      <c r="H158" s="140">
        <f t="shared" si="140"/>
        <v>1.354658166893194E-2</v>
      </c>
      <c r="I158" s="140">
        <f t="shared" si="140"/>
        <v>1.3784774743664872E-2</v>
      </c>
      <c r="J158" s="140">
        <f t="shared" si="140"/>
        <v>1.4611993243312256E-2</v>
      </c>
      <c r="K158" s="140">
        <f t="shared" si="140"/>
        <v>1.511173059983068E-2</v>
      </c>
      <c r="L158" s="140">
        <f t="shared" si="140"/>
        <v>1.5077413620072092E-2</v>
      </c>
      <c r="M158" s="140">
        <f t="shared" si="140"/>
        <v>1.4070011465374047E-2</v>
      </c>
      <c r="N158" s="140">
        <f t="shared" si="140"/>
        <v>1.4197228665163162E-2</v>
      </c>
      <c r="O158" s="140">
        <f t="shared" si="140"/>
        <v>1.4477795731395252E-2</v>
      </c>
      <c r="P158" s="140">
        <f t="shared" si="140"/>
        <v>1.4743509701001621E-2</v>
      </c>
      <c r="Q158" s="140">
        <f t="shared" si="140"/>
        <v>1.4461021420307345E-2</v>
      </c>
      <c r="R158" s="140">
        <f t="shared" si="140"/>
        <v>1.329819455361447E-2</v>
      </c>
      <c r="S158" s="140">
        <f t="shared" si="140"/>
        <v>1.2602686819277346E-2</v>
      </c>
      <c r="T158" s="140">
        <f t="shared" si="140"/>
        <v>1.2595235388245198E-2</v>
      </c>
      <c r="U158" s="140">
        <f t="shared" si="140"/>
        <v>1.2857768153917646E-2</v>
      </c>
      <c r="V158" s="140">
        <f t="shared" si="140"/>
        <v>1.490910911841324E-2</v>
      </c>
      <c r="W158" s="140">
        <f t="shared" si="140"/>
        <v>1.3643474382211531E-2</v>
      </c>
      <c r="X158" s="140">
        <f t="shared" ref="X158:Y158" si="141">IF(X66=0,0,X66/X$64)</f>
        <v>1.280108178787533E-2</v>
      </c>
      <c r="Y158" s="140">
        <f t="shared" si="141"/>
        <v>1.3588060137874171E-2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0.75395710278229533</v>
      </c>
      <c r="C159" s="140">
        <f t="shared" ref="C159:W159" si="142">IF(C67=0,0,C67/C$64)</f>
        <v>0.76182915917780092</v>
      </c>
      <c r="D159" s="140">
        <f t="shared" si="142"/>
        <v>0.76222672729806296</v>
      </c>
      <c r="E159" s="140">
        <f t="shared" si="142"/>
        <v>0.76398722784967432</v>
      </c>
      <c r="F159" s="140">
        <f t="shared" si="142"/>
        <v>0.75353471414300144</v>
      </c>
      <c r="G159" s="140">
        <f t="shared" si="142"/>
        <v>0.7491588656611371</v>
      </c>
      <c r="H159" s="140">
        <f t="shared" si="142"/>
        <v>0.74288389146061606</v>
      </c>
      <c r="I159" s="140">
        <f t="shared" si="142"/>
        <v>0.73739890210246029</v>
      </c>
      <c r="J159" s="140">
        <f t="shared" si="142"/>
        <v>0.72945037998858053</v>
      </c>
      <c r="K159" s="140">
        <f t="shared" si="142"/>
        <v>0.74592154615027595</v>
      </c>
      <c r="L159" s="140">
        <f t="shared" si="142"/>
        <v>0.74528649358183052</v>
      </c>
      <c r="M159" s="140">
        <f t="shared" si="142"/>
        <v>0.74193609992110543</v>
      </c>
      <c r="N159" s="140">
        <f t="shared" si="142"/>
        <v>0.74337675591028729</v>
      </c>
      <c r="O159" s="140">
        <f t="shared" si="142"/>
        <v>0.74583777660256723</v>
      </c>
      <c r="P159" s="140">
        <f t="shared" si="142"/>
        <v>0.74798588480347605</v>
      </c>
      <c r="Q159" s="140">
        <f t="shared" si="142"/>
        <v>0.74443091604067424</v>
      </c>
      <c r="R159" s="140">
        <f t="shared" si="142"/>
        <v>0.74443364575793558</v>
      </c>
      <c r="S159" s="140">
        <f t="shared" si="142"/>
        <v>0.74174814072629103</v>
      </c>
      <c r="T159" s="140">
        <f t="shared" si="142"/>
        <v>0.7304112008284287</v>
      </c>
      <c r="U159" s="140">
        <f t="shared" si="142"/>
        <v>0.71933163268731559</v>
      </c>
      <c r="V159" s="140">
        <f t="shared" si="142"/>
        <v>0.81099963914661144</v>
      </c>
      <c r="W159" s="140">
        <f t="shared" si="142"/>
        <v>0.81147886820308879</v>
      </c>
      <c r="X159" s="140">
        <f t="shared" ref="X159:Y159" si="143">IF(X67=0,0,X67/X$64)</f>
        <v>0.7497431379578523</v>
      </c>
      <c r="Y159" s="140">
        <f t="shared" si="143"/>
        <v>0.73518418564692822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5.1960597813721324E-2</v>
      </c>
      <c r="C160" s="140">
        <f t="shared" ref="C160:W160" si="144">IF(C68=0,0,C68/C$64)</f>
        <v>5.0042001456006374E-2</v>
      </c>
      <c r="D160" s="140">
        <f t="shared" si="144"/>
        <v>4.9899500380741264E-2</v>
      </c>
      <c r="E160" s="140">
        <f t="shared" si="144"/>
        <v>5.1164988559741977E-2</v>
      </c>
      <c r="F160" s="140">
        <f t="shared" si="144"/>
        <v>5.1882816491254945E-2</v>
      </c>
      <c r="G160" s="140">
        <f t="shared" si="144"/>
        <v>5.2346105039748354E-2</v>
      </c>
      <c r="H160" s="140">
        <f t="shared" si="144"/>
        <v>5.3830081889564702E-2</v>
      </c>
      <c r="I160" s="140">
        <f t="shared" si="144"/>
        <v>5.4028696895348532E-2</v>
      </c>
      <c r="J160" s="140">
        <f t="shared" si="144"/>
        <v>5.4234238539323729E-2</v>
      </c>
      <c r="K160" s="140">
        <f t="shared" si="144"/>
        <v>5.1739803523033395E-2</v>
      </c>
      <c r="L160" s="140">
        <f t="shared" si="144"/>
        <v>5.0735813233956602E-2</v>
      </c>
      <c r="M160" s="140">
        <f t="shared" si="144"/>
        <v>4.7234416087995917E-2</v>
      </c>
      <c r="N160" s="140">
        <f t="shared" si="144"/>
        <v>4.7123929273937444E-2</v>
      </c>
      <c r="O160" s="140">
        <f t="shared" si="144"/>
        <v>4.3958352000452436E-2</v>
      </c>
      <c r="P160" s="140">
        <f t="shared" si="144"/>
        <v>4.4179720320479073E-2</v>
      </c>
      <c r="Q160" s="140">
        <f t="shared" si="144"/>
        <v>4.4057453888363234E-2</v>
      </c>
      <c r="R160" s="140">
        <f t="shared" si="144"/>
        <v>4.5235598430850475E-2</v>
      </c>
      <c r="S160" s="140">
        <f t="shared" si="144"/>
        <v>4.4111516244860295E-2</v>
      </c>
      <c r="T160" s="140">
        <f t="shared" si="144"/>
        <v>4.4935031838429403E-2</v>
      </c>
      <c r="U160" s="140">
        <f t="shared" si="144"/>
        <v>4.499828405386197E-2</v>
      </c>
      <c r="V160" s="140">
        <f t="shared" si="144"/>
        <v>4.6352126776030893E-2</v>
      </c>
      <c r="W160" s="140">
        <f t="shared" si="144"/>
        <v>4.7277557859963779E-2</v>
      </c>
      <c r="X160" s="140">
        <f t="shared" ref="X160:Y160" si="145">IF(X68=0,0,X68/X$64)</f>
        <v>4.4492431446215487E-2</v>
      </c>
      <c r="Y160" s="140">
        <f t="shared" si="145"/>
        <v>4.3920894096747674E-2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8.1610086207641215E-3</v>
      </c>
      <c r="C161" s="124">
        <f t="shared" ref="C161:W161" si="146">IF(C69=0,0,C69/C$64)</f>
        <v>5.1673495770242746E-3</v>
      </c>
      <c r="D161" s="124">
        <f t="shared" si="146"/>
        <v>5.3226087366799067E-3</v>
      </c>
      <c r="E161" s="124">
        <f t="shared" si="146"/>
        <v>5.2390047996191853E-3</v>
      </c>
      <c r="F161" s="124">
        <f t="shared" si="146"/>
        <v>5.7160357360926794E-3</v>
      </c>
      <c r="G161" s="124">
        <f t="shared" si="146"/>
        <v>5.4395649501337174E-3</v>
      </c>
      <c r="H161" s="124">
        <f t="shared" si="146"/>
        <v>5.2797606721991172E-3</v>
      </c>
      <c r="I161" s="124">
        <f t="shared" si="146"/>
        <v>4.8662153354733177E-3</v>
      </c>
      <c r="J161" s="124">
        <f t="shared" si="146"/>
        <v>5.2286621995295537E-3</v>
      </c>
      <c r="K161" s="124">
        <f t="shared" si="146"/>
        <v>4.9924863531535593E-3</v>
      </c>
      <c r="L161" s="124">
        <f t="shared" si="146"/>
        <v>4.7855289226603299E-3</v>
      </c>
      <c r="M161" s="124">
        <f t="shared" si="146"/>
        <v>4.5473491576757015E-3</v>
      </c>
      <c r="N161" s="124">
        <f t="shared" si="146"/>
        <v>4.2979488674080709E-3</v>
      </c>
      <c r="O161" s="124">
        <f t="shared" si="146"/>
        <v>4.2627515386402092E-3</v>
      </c>
      <c r="P161" s="124">
        <f t="shared" si="146"/>
        <v>4.0038199275085097E-3</v>
      </c>
      <c r="Q161" s="124">
        <f t="shared" si="146"/>
        <v>3.9543480264057629E-3</v>
      </c>
      <c r="R161" s="124">
        <f t="shared" si="146"/>
        <v>3.3427755844590264E-3</v>
      </c>
      <c r="S161" s="124">
        <f t="shared" si="146"/>
        <v>3.4762792200882203E-3</v>
      </c>
      <c r="T161" s="124">
        <f t="shared" si="146"/>
        <v>3.0873679879923773E-3</v>
      </c>
      <c r="U161" s="124">
        <f t="shared" si="146"/>
        <v>3.0779676783919E-3</v>
      </c>
      <c r="V161" s="124">
        <f t="shared" si="146"/>
        <v>3.3515329312437826E-3</v>
      </c>
      <c r="W161" s="124">
        <f t="shared" si="146"/>
        <v>3.2919228382856484E-3</v>
      </c>
      <c r="X161" s="124">
        <f t="shared" ref="X161:Y161" si="147">IF(X69=0,0,X69/X$64)</f>
        <v>3.1439401628927514E-3</v>
      </c>
      <c r="Y161" s="124">
        <f t="shared" si="147"/>
        <v>3.1198218743552224E-3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8.1610086207641215E-3</v>
      </c>
      <c r="C163" s="140">
        <f t="shared" ref="C163:W163" si="150">IF(C71=0,0,C71/C$64)</f>
        <v>5.1673495770242746E-3</v>
      </c>
      <c r="D163" s="140">
        <f t="shared" si="150"/>
        <v>5.3226087366799067E-3</v>
      </c>
      <c r="E163" s="140">
        <f t="shared" si="150"/>
        <v>5.2390047996191853E-3</v>
      </c>
      <c r="F163" s="140">
        <f t="shared" si="150"/>
        <v>5.7160357360926794E-3</v>
      </c>
      <c r="G163" s="140">
        <f t="shared" si="150"/>
        <v>5.4395649501337174E-3</v>
      </c>
      <c r="H163" s="140">
        <f t="shared" si="150"/>
        <v>5.2797606721991172E-3</v>
      </c>
      <c r="I163" s="140">
        <f t="shared" si="150"/>
        <v>4.8662153354733177E-3</v>
      </c>
      <c r="J163" s="140">
        <f t="shared" si="150"/>
        <v>5.2286621995295537E-3</v>
      </c>
      <c r="K163" s="140">
        <f t="shared" si="150"/>
        <v>4.9924863531535593E-3</v>
      </c>
      <c r="L163" s="140">
        <f t="shared" si="150"/>
        <v>4.7855289226603299E-3</v>
      </c>
      <c r="M163" s="140">
        <f t="shared" si="150"/>
        <v>4.5473491576757015E-3</v>
      </c>
      <c r="N163" s="140">
        <f t="shared" si="150"/>
        <v>4.2979488674080709E-3</v>
      </c>
      <c r="O163" s="140">
        <f t="shared" si="150"/>
        <v>4.2627515386402092E-3</v>
      </c>
      <c r="P163" s="140">
        <f t="shared" si="150"/>
        <v>4.0038199275085097E-3</v>
      </c>
      <c r="Q163" s="140">
        <f t="shared" si="150"/>
        <v>3.9543480264057629E-3</v>
      </c>
      <c r="R163" s="140">
        <f t="shared" si="150"/>
        <v>3.3427755844590264E-3</v>
      </c>
      <c r="S163" s="140">
        <f t="shared" si="150"/>
        <v>3.4762792200882203E-3</v>
      </c>
      <c r="T163" s="140">
        <f t="shared" si="150"/>
        <v>3.0873679879923773E-3</v>
      </c>
      <c r="U163" s="140">
        <f t="shared" si="150"/>
        <v>3.0779676783919E-3</v>
      </c>
      <c r="V163" s="140">
        <f t="shared" si="150"/>
        <v>3.3515329312437826E-3</v>
      </c>
      <c r="W163" s="140">
        <f t="shared" si="150"/>
        <v>3.2919228382856484E-3</v>
      </c>
      <c r="X163" s="140">
        <f t="shared" ref="X163:Y163" si="151">IF(X71=0,0,X71/X$64)</f>
        <v>3.1439401628927514E-3</v>
      </c>
      <c r="Y163" s="140">
        <f t="shared" si="151"/>
        <v>3.1198218743552224E-3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0.17552888285875737</v>
      </c>
      <c r="C165" s="124">
        <f t="shared" ref="C165:W165" si="154">IF(C73=0,0,C73/C$64)</f>
        <v>0.17177842800634149</v>
      </c>
      <c r="D165" s="124">
        <f t="shared" si="154"/>
        <v>0.170199644294281</v>
      </c>
      <c r="E165" s="124">
        <f t="shared" si="154"/>
        <v>0.1670263045424745</v>
      </c>
      <c r="F165" s="124">
        <f t="shared" si="154"/>
        <v>0.17548662606283658</v>
      </c>
      <c r="G165" s="124">
        <f t="shared" si="154"/>
        <v>0.17926534931718205</v>
      </c>
      <c r="H165" s="124">
        <f t="shared" si="154"/>
        <v>0.18445968430868817</v>
      </c>
      <c r="I165" s="124">
        <f t="shared" si="154"/>
        <v>0.18992141092305301</v>
      </c>
      <c r="J165" s="124">
        <f t="shared" si="154"/>
        <v>0.19647472602925398</v>
      </c>
      <c r="K165" s="124">
        <f t="shared" si="154"/>
        <v>0.18223443337370643</v>
      </c>
      <c r="L165" s="124">
        <f t="shared" si="154"/>
        <v>0.18411475064148058</v>
      </c>
      <c r="M165" s="124">
        <f t="shared" si="154"/>
        <v>0.19221212336784896</v>
      </c>
      <c r="N165" s="124">
        <f t="shared" si="154"/>
        <v>0.19100413728320417</v>
      </c>
      <c r="O165" s="124">
        <f t="shared" si="154"/>
        <v>0.19146332412694503</v>
      </c>
      <c r="P165" s="124">
        <f t="shared" si="154"/>
        <v>0.18908706524753477</v>
      </c>
      <c r="Q165" s="124">
        <f t="shared" si="154"/>
        <v>0.19309626062424937</v>
      </c>
      <c r="R165" s="124">
        <f t="shared" si="154"/>
        <v>0.19368978567314046</v>
      </c>
      <c r="S165" s="124">
        <f t="shared" si="154"/>
        <v>0.1980613769894832</v>
      </c>
      <c r="T165" s="124">
        <f t="shared" si="154"/>
        <v>0.20897116395690429</v>
      </c>
      <c r="U165" s="124">
        <f t="shared" si="154"/>
        <v>0.21973434742651285</v>
      </c>
      <c r="V165" s="124">
        <f t="shared" si="154"/>
        <v>0.12438759202770067</v>
      </c>
      <c r="W165" s="124">
        <f t="shared" si="154"/>
        <v>0.12430817671645025</v>
      </c>
      <c r="X165" s="124">
        <f t="shared" ref="X165:Y165" si="155">IF(X73=0,0,X73/X$64)</f>
        <v>0.18981940864516414</v>
      </c>
      <c r="Y165" s="124">
        <f t="shared" si="155"/>
        <v>0.20418703824409495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2.9895882101136379E-2</v>
      </c>
      <c r="C166" s="140">
        <f t="shared" ref="C166:W166" si="156">IF(C74=0,0,C74/C$64)</f>
        <v>2.978668847315737E-2</v>
      </c>
      <c r="D166" s="140">
        <f t="shared" si="156"/>
        <v>2.800432719323773E-2</v>
      </c>
      <c r="E166" s="140">
        <f t="shared" si="156"/>
        <v>2.6657512157718544E-2</v>
      </c>
      <c r="F166" s="140">
        <f t="shared" si="156"/>
        <v>2.5399290422875094E-2</v>
      </c>
      <c r="G166" s="140">
        <f t="shared" si="156"/>
        <v>2.5550052732478463E-2</v>
      </c>
      <c r="H166" s="140">
        <f t="shared" si="156"/>
        <v>2.5434623155540615E-2</v>
      </c>
      <c r="I166" s="140">
        <f t="shared" si="156"/>
        <v>2.5594860567644352E-2</v>
      </c>
      <c r="J166" s="140">
        <f t="shared" si="156"/>
        <v>2.6598639147912106E-2</v>
      </c>
      <c r="K166" s="140">
        <f t="shared" si="156"/>
        <v>2.531043223612647E-2</v>
      </c>
      <c r="L166" s="140">
        <f t="shared" si="156"/>
        <v>2.488331969949157E-2</v>
      </c>
      <c r="M166" s="140">
        <f t="shared" si="156"/>
        <v>4.3429249268393491E-2</v>
      </c>
      <c r="N166" s="140">
        <f t="shared" si="156"/>
        <v>4.425032428667857E-2</v>
      </c>
      <c r="O166" s="140">
        <f t="shared" si="156"/>
        <v>4.3950463024238495E-2</v>
      </c>
      <c r="P166" s="140">
        <f t="shared" si="156"/>
        <v>4.1889471316222379E-2</v>
      </c>
      <c r="Q166" s="140">
        <f t="shared" si="156"/>
        <v>4.0977622279079418E-2</v>
      </c>
      <c r="R166" s="140">
        <f t="shared" si="156"/>
        <v>4.2365085842609292E-2</v>
      </c>
      <c r="S166" s="140">
        <f t="shared" si="156"/>
        <v>4.3911109179383574E-2</v>
      </c>
      <c r="T166" s="140">
        <f t="shared" si="156"/>
        <v>4.6705321478646269E-2</v>
      </c>
      <c r="U166" s="140">
        <f t="shared" si="156"/>
        <v>4.7605634820930276E-2</v>
      </c>
      <c r="V166" s="140">
        <f t="shared" si="156"/>
        <v>3.898394642216696E-2</v>
      </c>
      <c r="W166" s="140">
        <f t="shared" si="156"/>
        <v>4.1743880363035946E-2</v>
      </c>
      <c r="X166" s="140">
        <f t="shared" ref="X166:Y166" si="157">IF(X74=0,0,X74/X$64)</f>
        <v>4.9639682120158186E-2</v>
      </c>
      <c r="Y166" s="140">
        <f t="shared" si="157"/>
        <v>4.4928940910341525E-2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3.8804620330280364E-2</v>
      </c>
      <c r="C167" s="140">
        <f t="shared" ref="C167:W167" si="158">IF(C75=0,0,C75/C$64)</f>
        <v>3.7834639578041979E-2</v>
      </c>
      <c r="D167" s="140">
        <f t="shared" si="158"/>
        <v>3.7888835977778097E-2</v>
      </c>
      <c r="E167" s="140">
        <f t="shared" si="158"/>
        <v>3.6844043018922364E-2</v>
      </c>
      <c r="F167" s="140">
        <f t="shared" si="158"/>
        <v>3.836595814860181E-2</v>
      </c>
      <c r="G167" s="140">
        <f t="shared" si="158"/>
        <v>3.9194536551872813E-2</v>
      </c>
      <c r="H167" s="140">
        <f t="shared" si="158"/>
        <v>4.141239536418876E-2</v>
      </c>
      <c r="I167" s="140">
        <f t="shared" si="158"/>
        <v>4.3656236917610745E-2</v>
      </c>
      <c r="J167" s="140">
        <f t="shared" si="158"/>
        <v>4.4135813536806158E-2</v>
      </c>
      <c r="K167" s="140">
        <f t="shared" si="158"/>
        <v>3.9056866531712066E-2</v>
      </c>
      <c r="L167" s="140">
        <f t="shared" si="158"/>
        <v>3.8842324001053113E-2</v>
      </c>
      <c r="M167" s="140">
        <f t="shared" si="158"/>
        <v>3.6632386949823674E-2</v>
      </c>
      <c r="N167" s="140">
        <f t="shared" si="158"/>
        <v>3.5599670231847826E-2</v>
      </c>
      <c r="O167" s="140">
        <f t="shared" si="158"/>
        <v>3.5568624963237337E-2</v>
      </c>
      <c r="P167" s="140">
        <f t="shared" si="158"/>
        <v>3.5770478370445224E-2</v>
      </c>
      <c r="Q167" s="140">
        <f t="shared" si="158"/>
        <v>3.7053256031982208E-2</v>
      </c>
      <c r="R167" s="140">
        <f t="shared" si="158"/>
        <v>3.879853282446416E-2</v>
      </c>
      <c r="S167" s="140">
        <f t="shared" si="158"/>
        <v>4.0687740082685726E-2</v>
      </c>
      <c r="T167" s="140">
        <f t="shared" si="158"/>
        <v>4.2181233312460542E-2</v>
      </c>
      <c r="U167" s="140">
        <f t="shared" si="158"/>
        <v>4.3105041794911272E-2</v>
      </c>
      <c r="V167" s="140">
        <f t="shared" si="158"/>
        <v>1.7035062243916467E-2</v>
      </c>
      <c r="W167" s="140">
        <f t="shared" si="158"/>
        <v>1.8535524238332917E-2</v>
      </c>
      <c r="X167" s="140">
        <f t="shared" ref="X167:Y167" si="159">IF(X75=0,0,X75/X$64)</f>
        <v>3.7574022030373425E-2</v>
      </c>
      <c r="Y167" s="140">
        <f t="shared" si="159"/>
        <v>4.1661720133255462E-2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0.10682838042734064</v>
      </c>
      <c r="C168" s="140">
        <f t="shared" ref="C168:W168" si="160">IF(C76=0,0,C76/C$64)</f>
        <v>0.10415709995514214</v>
      </c>
      <c r="D168" s="140">
        <f t="shared" si="160"/>
        <v>0.10430648112326515</v>
      </c>
      <c r="E168" s="140">
        <f t="shared" si="160"/>
        <v>0.10352474936583356</v>
      </c>
      <c r="F168" s="140">
        <f t="shared" si="160"/>
        <v>0.11172137749135967</v>
      </c>
      <c r="G168" s="140">
        <f t="shared" si="160"/>
        <v>0.11452076003283079</v>
      </c>
      <c r="H168" s="140">
        <f t="shared" si="160"/>
        <v>0.11761266578895881</v>
      </c>
      <c r="I168" s="140">
        <f t="shared" si="160"/>
        <v>0.12067031343779791</v>
      </c>
      <c r="J168" s="140">
        <f t="shared" si="160"/>
        <v>0.12574027334453566</v>
      </c>
      <c r="K168" s="140">
        <f t="shared" si="160"/>
        <v>0.11786713460586788</v>
      </c>
      <c r="L168" s="140">
        <f t="shared" si="160"/>
        <v>0.12038910694093588</v>
      </c>
      <c r="M168" s="140">
        <f t="shared" si="160"/>
        <v>0.1121504871496318</v>
      </c>
      <c r="N168" s="140">
        <f t="shared" si="160"/>
        <v>0.11115414276467778</v>
      </c>
      <c r="O168" s="140">
        <f t="shared" si="160"/>
        <v>0.11194423613946919</v>
      </c>
      <c r="P168" s="140">
        <f t="shared" si="160"/>
        <v>0.11142711556086718</v>
      </c>
      <c r="Q168" s="140">
        <f t="shared" si="160"/>
        <v>0.11506538231318776</v>
      </c>
      <c r="R168" s="140">
        <f t="shared" si="160"/>
        <v>0.11252616700606698</v>
      </c>
      <c r="S168" s="140">
        <f t="shared" si="160"/>
        <v>0.11346252772741389</v>
      </c>
      <c r="T168" s="140">
        <f t="shared" si="160"/>
        <v>0.12008460916579748</v>
      </c>
      <c r="U168" s="140">
        <f t="shared" si="160"/>
        <v>0.12902367081067131</v>
      </c>
      <c r="V168" s="140">
        <f t="shared" si="160"/>
        <v>6.8368583361617233E-2</v>
      </c>
      <c r="W168" s="140">
        <f t="shared" si="160"/>
        <v>6.40287721150814E-2</v>
      </c>
      <c r="X168" s="140">
        <f t="shared" ref="X168:Y168" si="161">IF(X76=0,0,X76/X$64)</f>
        <v>0.10260570449463256</v>
      </c>
      <c r="Y168" s="140">
        <f t="shared" si="161"/>
        <v>0.11759637720049801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0.93614462835145418</v>
      </c>
      <c r="C170" s="139">
        <f t="shared" ref="C170:W170" si="165">IF(C78=0,0,C78/C$77)</f>
        <v>0.94099356614514074</v>
      </c>
      <c r="D170" s="139">
        <f t="shared" si="165"/>
        <v>0.94105764127438196</v>
      </c>
      <c r="E170" s="139">
        <f t="shared" si="165"/>
        <v>0.93981005575940313</v>
      </c>
      <c r="F170" s="139">
        <f t="shared" si="165"/>
        <v>0.93626160210138742</v>
      </c>
      <c r="G170" s="139">
        <f t="shared" si="165"/>
        <v>0.93851124247889572</v>
      </c>
      <c r="H170" s="139">
        <f t="shared" si="165"/>
        <v>0.93688643132862326</v>
      </c>
      <c r="I170" s="139">
        <f t="shared" si="165"/>
        <v>0.93424622938479562</v>
      </c>
      <c r="J170" s="139">
        <f t="shared" si="165"/>
        <v>0.93098689089388964</v>
      </c>
      <c r="K170" s="139">
        <f t="shared" si="165"/>
        <v>0.93474095287753256</v>
      </c>
      <c r="L170" s="139">
        <f t="shared" si="165"/>
        <v>0.93243670982434657</v>
      </c>
      <c r="M170" s="139">
        <f t="shared" si="165"/>
        <v>0.93435476950128471</v>
      </c>
      <c r="N170" s="139">
        <f t="shared" si="165"/>
        <v>0.93166458824321619</v>
      </c>
      <c r="O170" s="139">
        <f t="shared" si="165"/>
        <v>0.93390924831779076</v>
      </c>
      <c r="P170" s="139">
        <f t="shared" si="165"/>
        <v>0.92844789043862697</v>
      </c>
      <c r="Q170" s="139">
        <f t="shared" si="165"/>
        <v>0.92612256288004424</v>
      </c>
      <c r="R170" s="139">
        <f t="shared" si="165"/>
        <v>0.93279191168420916</v>
      </c>
      <c r="S170" s="139">
        <f t="shared" si="165"/>
        <v>0.93306110081333227</v>
      </c>
      <c r="T170" s="139">
        <f t="shared" si="165"/>
        <v>0.93329823468470563</v>
      </c>
      <c r="U170" s="139">
        <f t="shared" si="165"/>
        <v>0.93427417894496001</v>
      </c>
      <c r="V170" s="139">
        <f t="shared" si="165"/>
        <v>0.92597182908984366</v>
      </c>
      <c r="W170" s="139">
        <f t="shared" si="165"/>
        <v>0.92795954034121153</v>
      </c>
      <c r="X170" s="139">
        <f t="shared" ref="X170:Y170" si="166">IF(X78=0,0,X78/X$77)</f>
        <v>0.93046629154236271</v>
      </c>
      <c r="Y170" s="139">
        <f t="shared" si="166"/>
        <v>0.93454960342548976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0.43149699471465153</v>
      </c>
      <c r="C171" s="140">
        <f t="shared" ref="C171:W171" si="167">IF(C79=0,0,C79/C$77)</f>
        <v>0.42899421298873724</v>
      </c>
      <c r="D171" s="140">
        <f t="shared" si="167"/>
        <v>0.42480669651182357</v>
      </c>
      <c r="E171" s="140">
        <f t="shared" si="167"/>
        <v>0.41949869032233433</v>
      </c>
      <c r="F171" s="140">
        <f t="shared" si="167"/>
        <v>0.39355067886596351</v>
      </c>
      <c r="G171" s="140">
        <f t="shared" si="167"/>
        <v>0.39008173660755274</v>
      </c>
      <c r="H171" s="140">
        <f t="shared" si="167"/>
        <v>0.38611565193215641</v>
      </c>
      <c r="I171" s="140">
        <f t="shared" si="167"/>
        <v>0.37849293503329939</v>
      </c>
      <c r="J171" s="140">
        <f t="shared" si="167"/>
        <v>0.38082319694075367</v>
      </c>
      <c r="K171" s="140">
        <f t="shared" si="167"/>
        <v>0.41413718926439946</v>
      </c>
      <c r="L171" s="140">
        <f t="shared" si="167"/>
        <v>0.41145708852399016</v>
      </c>
      <c r="M171" s="140">
        <f t="shared" si="167"/>
        <v>0.4230129998500976</v>
      </c>
      <c r="N171" s="140">
        <f t="shared" si="167"/>
        <v>0.43754935406465384</v>
      </c>
      <c r="O171" s="140">
        <f t="shared" si="167"/>
        <v>0.43831250455483212</v>
      </c>
      <c r="P171" s="140">
        <f t="shared" si="167"/>
        <v>0.4357211064833274</v>
      </c>
      <c r="Q171" s="140">
        <f t="shared" si="167"/>
        <v>0.44778690959813394</v>
      </c>
      <c r="R171" s="140">
        <f t="shared" si="167"/>
        <v>0.44113933863129123</v>
      </c>
      <c r="S171" s="140">
        <f t="shared" si="167"/>
        <v>0.43873823565714504</v>
      </c>
      <c r="T171" s="140">
        <f t="shared" si="167"/>
        <v>0.4429849439059842</v>
      </c>
      <c r="U171" s="140">
        <f t="shared" si="167"/>
        <v>0.43881486125223429</v>
      </c>
      <c r="V171" s="140">
        <f t="shared" si="167"/>
        <v>0.4076854161740715</v>
      </c>
      <c r="W171" s="140">
        <f t="shared" si="167"/>
        <v>0.4339980707886763</v>
      </c>
      <c r="X171" s="140">
        <f t="shared" ref="X171:Y171" si="168">IF(X79=0,0,X79/X$77)</f>
        <v>0.44089575341642462</v>
      </c>
      <c r="Y171" s="140">
        <f t="shared" si="168"/>
        <v>0.45197127490647604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0.50464763363680254</v>
      </c>
      <c r="C172" s="140">
        <f t="shared" ref="C172:W172" si="169">IF(C80=0,0,C80/C$77)</f>
        <v>0.51199935315640355</v>
      </c>
      <c r="D172" s="140">
        <f t="shared" si="169"/>
        <v>0.51625094476255839</v>
      </c>
      <c r="E172" s="140">
        <f t="shared" si="169"/>
        <v>0.5203113654370688</v>
      </c>
      <c r="F172" s="140">
        <f t="shared" si="169"/>
        <v>0.54271092323542391</v>
      </c>
      <c r="G172" s="140">
        <f t="shared" si="169"/>
        <v>0.54842950587134309</v>
      </c>
      <c r="H172" s="140">
        <f t="shared" si="169"/>
        <v>0.55077077939646701</v>
      </c>
      <c r="I172" s="140">
        <f t="shared" si="169"/>
        <v>0.55575329435149623</v>
      </c>
      <c r="J172" s="140">
        <f t="shared" si="169"/>
        <v>0.55016369395313613</v>
      </c>
      <c r="K172" s="140">
        <f t="shared" si="169"/>
        <v>0.5206037636131331</v>
      </c>
      <c r="L172" s="140">
        <f t="shared" si="169"/>
        <v>0.52097962130035647</v>
      </c>
      <c r="M172" s="140">
        <f t="shared" si="169"/>
        <v>0.51134176965118716</v>
      </c>
      <c r="N172" s="140">
        <f t="shared" si="169"/>
        <v>0.49411523417856235</v>
      </c>
      <c r="O172" s="140">
        <f t="shared" si="169"/>
        <v>0.49559674376295865</v>
      </c>
      <c r="P172" s="140">
        <f t="shared" si="169"/>
        <v>0.49272678395529956</v>
      </c>
      <c r="Q172" s="140">
        <f t="shared" si="169"/>
        <v>0.4783356532819103</v>
      </c>
      <c r="R172" s="140">
        <f t="shared" si="169"/>
        <v>0.49165257305291793</v>
      </c>
      <c r="S172" s="140">
        <f t="shared" si="169"/>
        <v>0.49432286515618717</v>
      </c>
      <c r="T172" s="140">
        <f t="shared" si="169"/>
        <v>0.49031329077872143</v>
      </c>
      <c r="U172" s="140">
        <f t="shared" si="169"/>
        <v>0.49545931769272561</v>
      </c>
      <c r="V172" s="140">
        <f t="shared" si="169"/>
        <v>0.51828641291577215</v>
      </c>
      <c r="W172" s="140">
        <f t="shared" si="169"/>
        <v>0.49396146955253528</v>
      </c>
      <c r="X172" s="140">
        <f t="shared" ref="X172:Y172" si="170">IF(X80=0,0,X80/X$77)</f>
        <v>0.48957053812593804</v>
      </c>
      <c r="Y172" s="140">
        <f t="shared" si="170"/>
        <v>0.48257832851901372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7.0249786085149792E-3</v>
      </c>
      <c r="C173" s="124">
        <f t="shared" ref="C173:W173" si="171">IF(C81=0,0,C81/C$77)</f>
        <v>4.9201260549470429E-3</v>
      </c>
      <c r="D173" s="124">
        <f t="shared" si="171"/>
        <v>5.0528856818139629E-3</v>
      </c>
      <c r="E173" s="124">
        <f t="shared" si="171"/>
        <v>4.5518401267915527E-3</v>
      </c>
      <c r="F173" s="124">
        <f t="shared" si="171"/>
        <v>3.4285111503040396E-3</v>
      </c>
      <c r="G173" s="124">
        <f t="shared" si="171"/>
        <v>2.7758713463013392E-3</v>
      </c>
      <c r="H173" s="124">
        <f t="shared" si="171"/>
        <v>2.529676800693526E-3</v>
      </c>
      <c r="I173" s="124">
        <f t="shared" si="171"/>
        <v>2.4646943125453645E-3</v>
      </c>
      <c r="J173" s="124">
        <f t="shared" si="171"/>
        <v>2.6503236669202274E-3</v>
      </c>
      <c r="K173" s="124">
        <f t="shared" si="171"/>
        <v>2.1141359022492819E-3</v>
      </c>
      <c r="L173" s="124">
        <f t="shared" si="171"/>
        <v>1.8676779249099014E-3</v>
      </c>
      <c r="M173" s="124">
        <f t="shared" si="171"/>
        <v>1.7839474857016477E-3</v>
      </c>
      <c r="N173" s="124">
        <f t="shared" si="171"/>
        <v>1.5199974880690758E-3</v>
      </c>
      <c r="O173" s="124">
        <f t="shared" si="171"/>
        <v>1.5431585080812058E-3</v>
      </c>
      <c r="P173" s="124">
        <f t="shared" si="171"/>
        <v>1.3944520843829928E-3</v>
      </c>
      <c r="Q173" s="124">
        <f t="shared" si="171"/>
        <v>1.4592047330182481E-3</v>
      </c>
      <c r="R173" s="124">
        <f t="shared" si="171"/>
        <v>1.2789769767116608E-3</v>
      </c>
      <c r="S173" s="124">
        <f t="shared" si="171"/>
        <v>1.3353081363051337E-3</v>
      </c>
      <c r="T173" s="124">
        <f t="shared" si="171"/>
        <v>1.1654947817229945E-3</v>
      </c>
      <c r="U173" s="124">
        <f t="shared" si="171"/>
        <v>1.2272356470330447E-3</v>
      </c>
      <c r="V173" s="124">
        <f t="shared" si="171"/>
        <v>1.4134034315833714E-3</v>
      </c>
      <c r="W173" s="124">
        <f t="shared" si="171"/>
        <v>1.5990183797132487E-3</v>
      </c>
      <c r="X173" s="124">
        <f t="shared" ref="X173:Y173" si="172">IF(X81=0,0,X81/X$77)</f>
        <v>1.3663864050042073E-3</v>
      </c>
      <c r="Y173" s="124">
        <f t="shared" si="172"/>
        <v>1.0604914887410272E-3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2.7377200857673221E-2</v>
      </c>
      <c r="C174" s="124">
        <f t="shared" ref="C174:W174" si="173">IF(C82=0,0,C82/C$77)</f>
        <v>2.7432161486796849E-2</v>
      </c>
      <c r="D174" s="124">
        <f t="shared" si="173"/>
        <v>2.6855679267123615E-2</v>
      </c>
      <c r="E174" s="124">
        <f t="shared" si="173"/>
        <v>2.6769970477402157E-2</v>
      </c>
      <c r="F174" s="124">
        <f t="shared" si="173"/>
        <v>2.8316694505520743E-2</v>
      </c>
      <c r="G174" s="124">
        <f t="shared" si="173"/>
        <v>2.9581466160876611E-2</v>
      </c>
      <c r="H174" s="124">
        <f t="shared" si="173"/>
        <v>3.0642053464478739E-2</v>
      </c>
      <c r="I174" s="124">
        <f t="shared" si="173"/>
        <v>3.197981962391961E-2</v>
      </c>
      <c r="J174" s="124">
        <f t="shared" si="173"/>
        <v>3.44972117262057E-2</v>
      </c>
      <c r="K174" s="124">
        <f t="shared" si="173"/>
        <v>2.8713058535796643E-2</v>
      </c>
      <c r="L174" s="124">
        <f t="shared" si="173"/>
        <v>3.2244696595906036E-2</v>
      </c>
      <c r="M174" s="124">
        <f t="shared" si="173"/>
        <v>3.3347129580851294E-2</v>
      </c>
      <c r="N174" s="124">
        <f t="shared" si="173"/>
        <v>3.5152929767137214E-2</v>
      </c>
      <c r="O174" s="124">
        <f t="shared" si="173"/>
        <v>3.2775507164570873E-2</v>
      </c>
      <c r="P174" s="124">
        <f t="shared" si="173"/>
        <v>3.8002628168889802E-2</v>
      </c>
      <c r="Q174" s="124">
        <f t="shared" si="173"/>
        <v>4.0198666740036207E-2</v>
      </c>
      <c r="R174" s="124">
        <f t="shared" si="173"/>
        <v>3.4660414781420915E-2</v>
      </c>
      <c r="S174" s="124">
        <f t="shared" si="173"/>
        <v>3.4990272804711939E-2</v>
      </c>
      <c r="T174" s="124">
        <f t="shared" si="173"/>
        <v>3.4312180585995389E-2</v>
      </c>
      <c r="U174" s="124">
        <f t="shared" si="173"/>
        <v>3.2729040123942413E-2</v>
      </c>
      <c r="V174" s="124">
        <f t="shared" si="173"/>
        <v>4.3134046152752244E-2</v>
      </c>
      <c r="W174" s="124">
        <f t="shared" si="173"/>
        <v>4.0114641919159769E-2</v>
      </c>
      <c r="X174" s="124">
        <f t="shared" ref="X174:Y174" si="174">IF(X82=0,0,X82/X$77)</f>
        <v>3.4454897647400229E-2</v>
      </c>
      <c r="Y174" s="124">
        <f t="shared" si="174"/>
        <v>2.9597096972113476E-2</v>
      </c>
      <c r="DA174" s="176"/>
    </row>
    <row r="175" spans="1:105" ht="11.45" customHeight="1" x14ac:dyDescent="0.25">
      <c r="A175" s="128" t="s">
        <v>27</v>
      </c>
      <c r="B175" s="140">
        <f t="shared" si="162"/>
        <v>3.8600928205450558E-3</v>
      </c>
      <c r="C175" s="140">
        <f t="shared" ref="C175:W175" si="175">IF(C83=0,0,C83/C$77)</f>
        <v>4.4490697922345548E-3</v>
      </c>
      <c r="D175" s="140">
        <f t="shared" si="175"/>
        <v>3.566659137318808E-3</v>
      </c>
      <c r="E175" s="140">
        <f t="shared" si="175"/>
        <v>2.9467491523958527E-3</v>
      </c>
      <c r="F175" s="140">
        <f t="shared" si="175"/>
        <v>2.9450251132295919E-3</v>
      </c>
      <c r="G175" s="140">
        <f t="shared" si="175"/>
        <v>2.9505098615596071E-3</v>
      </c>
      <c r="H175" s="140">
        <f t="shared" si="175"/>
        <v>2.5049031343589252E-3</v>
      </c>
      <c r="I175" s="140">
        <f t="shared" si="175"/>
        <v>2.1086718579844768E-3</v>
      </c>
      <c r="J175" s="140">
        <f t="shared" si="175"/>
        <v>1.8007924194229747E-3</v>
      </c>
      <c r="K175" s="140">
        <f t="shared" si="175"/>
        <v>1.716531899386729E-3</v>
      </c>
      <c r="L175" s="140">
        <f t="shared" si="175"/>
        <v>1.2157518203299523E-3</v>
      </c>
      <c r="M175" s="140">
        <f t="shared" si="175"/>
        <v>2.1357377380631253E-3</v>
      </c>
      <c r="N175" s="140">
        <f t="shared" si="175"/>
        <v>2.2792610239902545E-3</v>
      </c>
      <c r="O175" s="140">
        <f t="shared" si="175"/>
        <v>2.0961906731755743E-3</v>
      </c>
      <c r="P175" s="140">
        <f t="shared" si="175"/>
        <v>2.4796685890493306E-3</v>
      </c>
      <c r="Q175" s="140">
        <f t="shared" si="175"/>
        <v>2.3795008603811488E-3</v>
      </c>
      <c r="R175" s="140">
        <f t="shared" si="175"/>
        <v>2.0802282124626841E-3</v>
      </c>
      <c r="S175" s="140">
        <f t="shared" si="175"/>
        <v>2.1216044335132644E-3</v>
      </c>
      <c r="T175" s="140">
        <f t="shared" si="175"/>
        <v>2.1525677443373667E-3</v>
      </c>
      <c r="U175" s="140">
        <f t="shared" si="175"/>
        <v>2.0877171325519657E-3</v>
      </c>
      <c r="V175" s="140">
        <f t="shared" si="175"/>
        <v>2.5580902728725829E-3</v>
      </c>
      <c r="W175" s="140">
        <f t="shared" si="175"/>
        <v>3.0430070910334108E-3</v>
      </c>
      <c r="X175" s="140">
        <f t="shared" ref="X175:Y175" si="176">IF(X83=0,0,X83/X$77)</f>
        <v>1.5629813941969951E-3</v>
      </c>
      <c r="Y175" s="140">
        <f t="shared" si="176"/>
        <v>1.6771392928504078E-3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1.54638909051562E-3</v>
      </c>
      <c r="C176" s="140">
        <f t="shared" ref="C176:W176" si="177">IF(C84=0,0,C84/C$77)</f>
        <v>1.7580941801545794E-3</v>
      </c>
      <c r="D176" s="140">
        <f t="shared" si="177"/>
        <v>1.5962507691555854E-3</v>
      </c>
      <c r="E176" s="140">
        <f t="shared" si="177"/>
        <v>1.5070820948311098E-3</v>
      </c>
      <c r="F176" s="140">
        <f t="shared" si="177"/>
        <v>1.6220181860797862E-3</v>
      </c>
      <c r="G176" s="140">
        <f t="shared" si="177"/>
        <v>1.5801527307130994E-3</v>
      </c>
      <c r="H176" s="140">
        <f t="shared" si="177"/>
        <v>2.0719851296110777E-3</v>
      </c>
      <c r="I176" s="140">
        <f t="shared" si="177"/>
        <v>2.5260982234509418E-3</v>
      </c>
      <c r="J176" s="140">
        <f t="shared" si="177"/>
        <v>2.612201974764328E-3</v>
      </c>
      <c r="K176" s="140">
        <f t="shared" si="177"/>
        <v>2.4530418792570808E-3</v>
      </c>
      <c r="L176" s="140">
        <f t="shared" si="177"/>
        <v>2.6780953441146033E-3</v>
      </c>
      <c r="M176" s="140">
        <f t="shared" si="177"/>
        <v>2.9810894084651559E-3</v>
      </c>
      <c r="N176" s="140">
        <f t="shared" si="177"/>
        <v>2.8805951723416198E-3</v>
      </c>
      <c r="O176" s="140">
        <f t="shared" si="177"/>
        <v>3.1047179844207787E-3</v>
      </c>
      <c r="P176" s="140">
        <f t="shared" si="177"/>
        <v>3.8235714328473938E-3</v>
      </c>
      <c r="Q176" s="140">
        <f t="shared" si="177"/>
        <v>3.8769607401112458E-3</v>
      </c>
      <c r="R176" s="140">
        <f t="shared" si="177"/>
        <v>3.3730926250051425E-3</v>
      </c>
      <c r="S176" s="140">
        <f t="shared" si="177"/>
        <v>3.5919266264812224E-3</v>
      </c>
      <c r="T176" s="140">
        <f t="shared" si="177"/>
        <v>3.1660308599971185E-3</v>
      </c>
      <c r="U176" s="140">
        <f t="shared" si="177"/>
        <v>3.2171992312309654E-3</v>
      </c>
      <c r="V176" s="140">
        <f t="shared" si="177"/>
        <v>2.8388975340229035E-3</v>
      </c>
      <c r="W176" s="140">
        <f t="shared" si="177"/>
        <v>2.7009378139728341E-3</v>
      </c>
      <c r="X176" s="140">
        <f t="shared" ref="X176:Y176" si="178">IF(X84=0,0,X84/X$77)</f>
        <v>3.9520300265807008E-3</v>
      </c>
      <c r="Y176" s="140">
        <f t="shared" si="178"/>
        <v>4.0100706794905473E-3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2.1970718946612545E-2</v>
      </c>
      <c r="C177" s="140">
        <f t="shared" ref="C177:W177" si="179">IF(C85=0,0,C85/C$77)</f>
        <v>2.1224997514407717E-2</v>
      </c>
      <c r="D177" s="140">
        <f t="shared" si="179"/>
        <v>2.1692769360649223E-2</v>
      </c>
      <c r="E177" s="140">
        <f t="shared" si="179"/>
        <v>2.2316139230175197E-2</v>
      </c>
      <c r="F177" s="140">
        <f t="shared" si="179"/>
        <v>2.3749651206211364E-2</v>
      </c>
      <c r="G177" s="140">
        <f t="shared" si="179"/>
        <v>2.5050803568603904E-2</v>
      </c>
      <c r="H177" s="140">
        <f t="shared" si="179"/>
        <v>2.6065165200508736E-2</v>
      </c>
      <c r="I177" s="140">
        <f t="shared" si="179"/>
        <v>2.7345049542484189E-2</v>
      </c>
      <c r="J177" s="140">
        <f t="shared" si="179"/>
        <v>3.0084217332018395E-2</v>
      </c>
      <c r="K177" s="140">
        <f t="shared" si="179"/>
        <v>2.4543484757152834E-2</v>
      </c>
      <c r="L177" s="140">
        <f t="shared" si="179"/>
        <v>2.8350849431461479E-2</v>
      </c>
      <c r="M177" s="140">
        <f t="shared" si="179"/>
        <v>2.8230302434323007E-2</v>
      </c>
      <c r="N177" s="140">
        <f t="shared" si="179"/>
        <v>2.9993073570805339E-2</v>
      </c>
      <c r="O177" s="140">
        <f t="shared" si="179"/>
        <v>2.757459850697452E-2</v>
      </c>
      <c r="P177" s="140">
        <f t="shared" si="179"/>
        <v>3.1699388146993072E-2</v>
      </c>
      <c r="Q177" s="140">
        <f t="shared" si="179"/>
        <v>3.394220513954381E-2</v>
      </c>
      <c r="R177" s="140">
        <f t="shared" si="179"/>
        <v>2.9207093943953093E-2</v>
      </c>
      <c r="S177" s="140">
        <f t="shared" si="179"/>
        <v>2.9276741744717449E-2</v>
      </c>
      <c r="T177" s="140">
        <f t="shared" si="179"/>
        <v>2.8993581981660903E-2</v>
      </c>
      <c r="U177" s="140">
        <f t="shared" si="179"/>
        <v>2.7424123760159482E-2</v>
      </c>
      <c r="V177" s="140">
        <f t="shared" si="179"/>
        <v>3.7737058345856757E-2</v>
      </c>
      <c r="W177" s="140">
        <f t="shared" si="179"/>
        <v>3.4370697014153524E-2</v>
      </c>
      <c r="X177" s="140">
        <f t="shared" ref="X177:Y177" si="180">IF(X85=0,0,X85/X$77)</f>
        <v>2.8939886226622535E-2</v>
      </c>
      <c r="Y177" s="140">
        <f t="shared" si="180"/>
        <v>2.3909886999772523E-2</v>
      </c>
      <c r="DA177" s="175"/>
    </row>
    <row r="178" spans="1:105" ht="11.45" customHeight="1" x14ac:dyDescent="0.25">
      <c r="A178" s="109" t="s">
        <v>141</v>
      </c>
      <c r="B178" s="124">
        <f t="shared" si="162"/>
        <v>2.9453192182357563E-2</v>
      </c>
      <c r="C178" s="124">
        <f t="shared" ref="C178:W178" si="181">IF(C86=0,0,C86/C$77)</f>
        <v>2.6654146313115572E-2</v>
      </c>
      <c r="D178" s="124">
        <f t="shared" si="181"/>
        <v>2.7033793776680411E-2</v>
      </c>
      <c r="E178" s="124">
        <f t="shared" si="181"/>
        <v>2.8868133636403007E-2</v>
      </c>
      <c r="F178" s="124">
        <f t="shared" si="181"/>
        <v>3.1993192242787662E-2</v>
      </c>
      <c r="G178" s="124">
        <f t="shared" si="181"/>
        <v>2.9131420013926299E-2</v>
      </c>
      <c r="H178" s="124">
        <f t="shared" si="181"/>
        <v>2.9941838406204485E-2</v>
      </c>
      <c r="I178" s="124">
        <f t="shared" si="181"/>
        <v>3.1309256678739364E-2</v>
      </c>
      <c r="J178" s="124">
        <f t="shared" si="181"/>
        <v>3.1865573712984409E-2</v>
      </c>
      <c r="K178" s="124">
        <f t="shared" si="181"/>
        <v>3.4431852684421622E-2</v>
      </c>
      <c r="L178" s="124">
        <f t="shared" si="181"/>
        <v>3.3450915654837411E-2</v>
      </c>
      <c r="M178" s="124">
        <f t="shared" si="181"/>
        <v>3.0514153432162325E-2</v>
      </c>
      <c r="N178" s="124">
        <f t="shared" si="181"/>
        <v>3.1662484501577506E-2</v>
      </c>
      <c r="O178" s="124">
        <f t="shared" si="181"/>
        <v>3.17720860095572E-2</v>
      </c>
      <c r="P178" s="124">
        <f t="shared" si="181"/>
        <v>3.2155029308100269E-2</v>
      </c>
      <c r="Q178" s="124">
        <f t="shared" si="181"/>
        <v>3.2219565646901364E-2</v>
      </c>
      <c r="R178" s="124">
        <f t="shared" si="181"/>
        <v>3.1268696557658078E-2</v>
      </c>
      <c r="S178" s="124">
        <f t="shared" si="181"/>
        <v>3.0613318245650785E-2</v>
      </c>
      <c r="T178" s="124">
        <f t="shared" si="181"/>
        <v>3.1224089947576091E-2</v>
      </c>
      <c r="U178" s="124">
        <f t="shared" si="181"/>
        <v>3.176954528406456E-2</v>
      </c>
      <c r="V178" s="124">
        <f t="shared" si="181"/>
        <v>2.9480721325820771E-2</v>
      </c>
      <c r="W178" s="124">
        <f t="shared" si="181"/>
        <v>3.0326799359915352E-2</v>
      </c>
      <c r="X178" s="124">
        <f t="shared" ref="X178:Y178" si="182">IF(X86=0,0,X86/X$77)</f>
        <v>3.3712424405232762E-2</v>
      </c>
      <c r="Y178" s="124">
        <f t="shared" si="182"/>
        <v>3.4792808113655788E-2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2.4400279440187099E-2</v>
      </c>
      <c r="C179" s="140">
        <f t="shared" ref="C179:W179" si="183">IF(C87=0,0,C87/C$77)</f>
        <v>2.0895700090400322E-2</v>
      </c>
      <c r="D179" s="140">
        <f t="shared" si="183"/>
        <v>2.1088456296286195E-2</v>
      </c>
      <c r="E179" s="140">
        <f t="shared" si="183"/>
        <v>2.131190938420616E-2</v>
      </c>
      <c r="F179" s="140">
        <f t="shared" si="183"/>
        <v>2.3031959592217627E-2</v>
      </c>
      <c r="G179" s="140">
        <f t="shared" si="183"/>
        <v>2.1825887602239972E-2</v>
      </c>
      <c r="H179" s="140">
        <f t="shared" si="183"/>
        <v>2.45099746823563E-2</v>
      </c>
      <c r="I179" s="140">
        <f t="shared" si="183"/>
        <v>2.3029988719412062E-2</v>
      </c>
      <c r="J179" s="140">
        <f t="shared" si="183"/>
        <v>2.6223479271594199E-2</v>
      </c>
      <c r="K179" s="140">
        <f t="shared" si="183"/>
        <v>2.6620282306364519E-2</v>
      </c>
      <c r="L179" s="140">
        <f t="shared" si="183"/>
        <v>2.6678876395324552E-2</v>
      </c>
      <c r="M179" s="140">
        <f t="shared" si="183"/>
        <v>2.4491576931864316E-2</v>
      </c>
      <c r="N179" s="140">
        <f t="shared" si="183"/>
        <v>2.432659623030986E-2</v>
      </c>
      <c r="O179" s="140">
        <f t="shared" si="183"/>
        <v>1.9968176864996887E-2</v>
      </c>
      <c r="P179" s="140">
        <f t="shared" si="183"/>
        <v>2.4323754916383944E-2</v>
      </c>
      <c r="Q179" s="140">
        <f t="shared" si="183"/>
        <v>2.5069021624751338E-2</v>
      </c>
      <c r="R179" s="140">
        <f t="shared" si="183"/>
        <v>2.2670986376599901E-2</v>
      </c>
      <c r="S179" s="140">
        <f t="shared" si="183"/>
        <v>2.3612207709215686E-2</v>
      </c>
      <c r="T179" s="140">
        <f t="shared" si="183"/>
        <v>2.5098260982607846E-2</v>
      </c>
      <c r="U179" s="140">
        <f t="shared" si="183"/>
        <v>2.5362250591457764E-2</v>
      </c>
      <c r="V179" s="140">
        <f t="shared" si="183"/>
        <v>2.3879897614717531E-2</v>
      </c>
      <c r="W179" s="140">
        <f t="shared" si="183"/>
        <v>2.4517660186184707E-2</v>
      </c>
      <c r="X179" s="140">
        <f t="shared" ref="X179:Y179" si="184">IF(X87=0,0,X87/X$77)</f>
        <v>2.7260821022271144E-2</v>
      </c>
      <c r="Y179" s="140">
        <f t="shared" si="184"/>
        <v>2.9874102009396487E-2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5.0529127421704602E-3</v>
      </c>
      <c r="C180" s="127">
        <f t="shared" ref="C180:W180" si="185">IF(C88=0,0,C88/C$77)</f>
        <v>5.7584462227152512E-3</v>
      </c>
      <c r="D180" s="127">
        <f t="shared" si="185"/>
        <v>5.9453374803942133E-3</v>
      </c>
      <c r="E180" s="127">
        <f t="shared" si="185"/>
        <v>7.5562242521968487E-3</v>
      </c>
      <c r="F180" s="127">
        <f t="shared" si="185"/>
        <v>8.9612326505700366E-3</v>
      </c>
      <c r="G180" s="127">
        <f t="shared" si="185"/>
        <v>7.3055324116863257E-3</v>
      </c>
      <c r="H180" s="127">
        <f t="shared" si="185"/>
        <v>5.4318637238481892E-3</v>
      </c>
      <c r="I180" s="127">
        <f t="shared" si="185"/>
        <v>8.2792679593273015E-3</v>
      </c>
      <c r="J180" s="127">
        <f t="shared" si="185"/>
        <v>5.6420944413902085E-3</v>
      </c>
      <c r="K180" s="127">
        <f t="shared" si="185"/>
        <v>7.811570378057105E-3</v>
      </c>
      <c r="L180" s="127">
        <f t="shared" si="185"/>
        <v>6.7720392595128588E-3</v>
      </c>
      <c r="M180" s="127">
        <f t="shared" si="185"/>
        <v>6.0225765002980105E-3</v>
      </c>
      <c r="N180" s="127">
        <f t="shared" si="185"/>
        <v>7.3358882712676442E-3</v>
      </c>
      <c r="O180" s="127">
        <f t="shared" si="185"/>
        <v>1.1803909144560313E-2</v>
      </c>
      <c r="P180" s="127">
        <f t="shared" si="185"/>
        <v>7.8312743917163287E-3</v>
      </c>
      <c r="Q180" s="127">
        <f t="shared" si="185"/>
        <v>7.1505440221500205E-3</v>
      </c>
      <c r="R180" s="127">
        <f t="shared" si="185"/>
        <v>8.5977101810581751E-3</v>
      </c>
      <c r="S180" s="127">
        <f t="shared" si="185"/>
        <v>7.0011105364351E-3</v>
      </c>
      <c r="T180" s="127">
        <f t="shared" si="185"/>
        <v>6.1258289649682406E-3</v>
      </c>
      <c r="U180" s="127">
        <f t="shared" si="185"/>
        <v>6.4072946926067983E-3</v>
      </c>
      <c r="V180" s="127">
        <f t="shared" si="185"/>
        <v>5.6008237111032401E-3</v>
      </c>
      <c r="W180" s="127">
        <f t="shared" si="185"/>
        <v>5.8091391737306432E-3</v>
      </c>
      <c r="X180" s="127">
        <f t="shared" ref="X180:Y180" si="186">IF(X88=0,0,X88/X$77)</f>
        <v>6.4516033829616175E-3</v>
      </c>
      <c r="Y180" s="127">
        <f t="shared" si="186"/>
        <v>4.9187061042593036E-3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0.34958414662650183</v>
      </c>
      <c r="C182" s="140">
        <f t="shared" ref="C182:W182" si="189">IF(C90=0,0,C90/C$89)</f>
        <v>0.35006300197118811</v>
      </c>
      <c r="D182" s="140">
        <f t="shared" si="189"/>
        <v>0.32930583463236268</v>
      </c>
      <c r="E182" s="140">
        <f t="shared" si="189"/>
        <v>0.3238054431690795</v>
      </c>
      <c r="F182" s="140">
        <f t="shared" si="189"/>
        <v>0.33146234981262568</v>
      </c>
      <c r="G182" s="140">
        <f t="shared" si="189"/>
        <v>0.31826686980730212</v>
      </c>
      <c r="H182" s="140">
        <f t="shared" si="189"/>
        <v>0.29285716166235903</v>
      </c>
      <c r="I182" s="140">
        <f t="shared" si="189"/>
        <v>0.29727533322883709</v>
      </c>
      <c r="J182" s="140">
        <f t="shared" si="189"/>
        <v>0.29009480467457183</v>
      </c>
      <c r="K182" s="140">
        <f t="shared" si="189"/>
        <v>0.30907771033212383</v>
      </c>
      <c r="L182" s="140">
        <f t="shared" si="189"/>
        <v>0.31031421801442227</v>
      </c>
      <c r="M182" s="140">
        <f t="shared" si="189"/>
        <v>0.30529708726345134</v>
      </c>
      <c r="N182" s="140">
        <f t="shared" si="189"/>
        <v>0.30747817338420136</v>
      </c>
      <c r="O182" s="140">
        <f t="shared" si="189"/>
        <v>0.28905724419682099</v>
      </c>
      <c r="P182" s="140">
        <f t="shared" si="189"/>
        <v>0.29190995994558927</v>
      </c>
      <c r="Q182" s="140">
        <f t="shared" si="189"/>
        <v>0.27816669443523045</v>
      </c>
      <c r="R182" s="140">
        <f t="shared" si="189"/>
        <v>0.30470082576470059</v>
      </c>
      <c r="S182" s="140">
        <f t="shared" si="189"/>
        <v>0.30075650068918636</v>
      </c>
      <c r="T182" s="140">
        <f t="shared" si="189"/>
        <v>0.301995835137854</v>
      </c>
      <c r="U182" s="140">
        <f t="shared" si="189"/>
        <v>0.29519646427123658</v>
      </c>
      <c r="V182" s="140">
        <f t="shared" si="189"/>
        <v>0.26897445511252011</v>
      </c>
      <c r="W182" s="140">
        <f t="shared" si="189"/>
        <v>0.26185041709109674</v>
      </c>
      <c r="X182" s="140">
        <f t="shared" ref="X182:Y182" si="190">IF(X90=0,0,X90/X$89)</f>
        <v>0.26721996835188278</v>
      </c>
      <c r="Y182" s="140">
        <f t="shared" si="190"/>
        <v>0.27445864253103397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0.65041585337349805</v>
      </c>
      <c r="C183" s="127">
        <f t="shared" ref="C183:W183" si="191">IF(C91=0,0,C91/C$89)</f>
        <v>0.64993699802881189</v>
      </c>
      <c r="D183" s="127">
        <f t="shared" si="191"/>
        <v>0.67069416536763726</v>
      </c>
      <c r="E183" s="127">
        <f t="shared" si="191"/>
        <v>0.67619455683092045</v>
      </c>
      <c r="F183" s="127">
        <f t="shared" si="191"/>
        <v>0.66853765018737421</v>
      </c>
      <c r="G183" s="127">
        <f t="shared" si="191"/>
        <v>0.68173313019269777</v>
      </c>
      <c r="H183" s="127">
        <f t="shared" si="191"/>
        <v>0.7071428383376408</v>
      </c>
      <c r="I183" s="127">
        <f t="shared" si="191"/>
        <v>0.70272466677116296</v>
      </c>
      <c r="J183" s="127">
        <f t="shared" si="191"/>
        <v>0.70990519532542806</v>
      </c>
      <c r="K183" s="127">
        <f t="shared" si="191"/>
        <v>0.69092228966787617</v>
      </c>
      <c r="L183" s="127">
        <f t="shared" si="191"/>
        <v>0.68968578198557784</v>
      </c>
      <c r="M183" s="127">
        <f t="shared" si="191"/>
        <v>0.69470291273654872</v>
      </c>
      <c r="N183" s="127">
        <f t="shared" si="191"/>
        <v>0.69252182661579864</v>
      </c>
      <c r="O183" s="127">
        <f t="shared" si="191"/>
        <v>0.71094275580317901</v>
      </c>
      <c r="P183" s="127">
        <f t="shared" si="191"/>
        <v>0.70809004005441067</v>
      </c>
      <c r="Q183" s="127">
        <f t="shared" si="191"/>
        <v>0.72183330556476955</v>
      </c>
      <c r="R183" s="127">
        <f t="shared" si="191"/>
        <v>0.69529917423529941</v>
      </c>
      <c r="S183" s="127">
        <f t="shared" si="191"/>
        <v>0.69924349931081375</v>
      </c>
      <c r="T183" s="127">
        <f t="shared" si="191"/>
        <v>0.69800416486214611</v>
      </c>
      <c r="U183" s="127">
        <f t="shared" si="191"/>
        <v>0.70480353572876342</v>
      </c>
      <c r="V183" s="127">
        <f t="shared" si="191"/>
        <v>0.73102554488747995</v>
      </c>
      <c r="W183" s="127">
        <f t="shared" si="191"/>
        <v>0.73814958290890331</v>
      </c>
      <c r="X183" s="127">
        <f t="shared" ref="X183:Y183" si="192">IF(X91=0,0,X91/X$89)</f>
        <v>0.73278003164811722</v>
      </c>
      <c r="Y183" s="127">
        <f t="shared" si="192"/>
        <v>0.72554135746896598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35.83350241976774</v>
      </c>
      <c r="C186" s="32">
        <f t="shared" si="193"/>
        <v>35.317995306937313</v>
      </c>
      <c r="D186" s="32">
        <f t="shared" si="193"/>
        <v>34.971961617631038</v>
      </c>
      <c r="E186" s="32">
        <f t="shared" si="193"/>
        <v>34.266872439106088</v>
      </c>
      <c r="F186" s="32">
        <f t="shared" si="193"/>
        <v>33.758759348093847</v>
      </c>
      <c r="G186" s="32">
        <f t="shared" si="193"/>
        <v>33.397117548664951</v>
      </c>
      <c r="H186" s="32">
        <f t="shared" si="193"/>
        <v>33.606563471000634</v>
      </c>
      <c r="I186" s="32">
        <f t="shared" si="193"/>
        <v>33.595672391215963</v>
      </c>
      <c r="J186" s="32">
        <f t="shared" si="193"/>
        <v>33.466595465995788</v>
      </c>
      <c r="K186" s="32">
        <f t="shared" si="193"/>
        <v>33.738943434255972</v>
      </c>
      <c r="L186" s="32">
        <f t="shared" si="193"/>
        <v>33.103639373640128</v>
      </c>
      <c r="M186" s="32">
        <f t="shared" si="193"/>
        <v>34.59475159655257</v>
      </c>
      <c r="N186" s="32">
        <f t="shared" si="193"/>
        <v>32.497532909106027</v>
      </c>
      <c r="O186" s="32">
        <f t="shared" si="193"/>
        <v>32.00190010366142</v>
      </c>
      <c r="P186" s="32">
        <f t="shared" si="193"/>
        <v>31.592435577964949</v>
      </c>
      <c r="Q186" s="32">
        <f t="shared" si="193"/>
        <v>31.913061444825654</v>
      </c>
      <c r="R186" s="32">
        <f t="shared" si="193"/>
        <v>31.59746045392766</v>
      </c>
      <c r="S186" s="32">
        <f t="shared" si="193"/>
        <v>31.031300979769028</v>
      </c>
      <c r="T186" s="32">
        <f t="shared" si="193"/>
        <v>30.581253170102038</v>
      </c>
      <c r="U186" s="32">
        <f t="shared" si="193"/>
        <v>30.001545759143962</v>
      </c>
      <c r="V186" s="32">
        <f t="shared" si="193"/>
        <v>31.77240328029448</v>
      </c>
      <c r="W186" s="32">
        <f t="shared" si="193"/>
        <v>32.525293529619198</v>
      </c>
      <c r="X186" s="32">
        <f t="shared" si="193"/>
        <v>30.611814303224435</v>
      </c>
      <c r="Y186" s="32">
        <f t="shared" si="193"/>
        <v>29.710380992826998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36.511477968925746</v>
      </c>
      <c r="C187" s="141">
        <f t="shared" si="194"/>
        <v>36.154144166631255</v>
      </c>
      <c r="D187" s="141">
        <f t="shared" si="194"/>
        <v>35.968570340348158</v>
      </c>
      <c r="E187" s="141">
        <f t="shared" si="194"/>
        <v>35.210619185955011</v>
      </c>
      <c r="F187" s="141">
        <f t="shared" si="194"/>
        <v>34.80936044647563</v>
      </c>
      <c r="G187" s="141">
        <f t="shared" si="194"/>
        <v>34.765176306309023</v>
      </c>
      <c r="H187" s="141">
        <f t="shared" si="194"/>
        <v>35.041955875260072</v>
      </c>
      <c r="I187" s="141">
        <f t="shared" si="194"/>
        <v>35.15828360185138</v>
      </c>
      <c r="J187" s="141">
        <f t="shared" si="194"/>
        <v>35.227796004789226</v>
      </c>
      <c r="K187" s="141">
        <f t="shared" si="194"/>
        <v>35.931887595720688</v>
      </c>
      <c r="L187" s="141">
        <f t="shared" si="194"/>
        <v>35.198093994382631</v>
      </c>
      <c r="M187" s="141">
        <f t="shared" si="194"/>
        <v>37.043660468994922</v>
      </c>
      <c r="N187" s="141">
        <f t="shared" si="194"/>
        <v>34.217428956407133</v>
      </c>
      <c r="O187" s="141">
        <f t="shared" si="194"/>
        <v>33.791544810157831</v>
      </c>
      <c r="P187" s="141">
        <f t="shared" si="194"/>
        <v>33.646829823952615</v>
      </c>
      <c r="Q187" s="141">
        <f t="shared" si="194"/>
        <v>33.806784865917194</v>
      </c>
      <c r="R187" s="141">
        <f t="shared" si="194"/>
        <v>33.404995435732417</v>
      </c>
      <c r="S187" s="141">
        <f t="shared" si="194"/>
        <v>33.094570581112144</v>
      </c>
      <c r="T187" s="141">
        <f t="shared" si="194"/>
        <v>32.525958571177014</v>
      </c>
      <c r="U187" s="141">
        <f t="shared" si="194"/>
        <v>31.819442324400477</v>
      </c>
      <c r="V187" s="141">
        <f t="shared" si="194"/>
        <v>32.468208061517622</v>
      </c>
      <c r="W187" s="141">
        <f t="shared" si="194"/>
        <v>34.014152994455657</v>
      </c>
      <c r="X187" s="141">
        <f t="shared" si="194"/>
        <v>32.832758722508082</v>
      </c>
      <c r="Y187" s="141">
        <f t="shared" si="194"/>
        <v>32.543262391566387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31.569403291868802</v>
      </c>
      <c r="C188" s="97">
        <f t="shared" si="195"/>
        <v>31.407677905875293</v>
      </c>
      <c r="D188" s="97">
        <f t="shared" si="195"/>
        <v>31.261372333405564</v>
      </c>
      <c r="E188" s="97">
        <f t="shared" si="195"/>
        <v>30.754314037443958</v>
      </c>
      <c r="F188" s="97">
        <f t="shared" si="195"/>
        <v>30.839714508009521</v>
      </c>
      <c r="G188" s="97">
        <f t="shared" si="195"/>
        <v>30.191604139372071</v>
      </c>
      <c r="H188" s="97">
        <f t="shared" si="195"/>
        <v>30.239383549263263</v>
      </c>
      <c r="I188" s="97">
        <f t="shared" si="195"/>
        <v>30.002179059652395</v>
      </c>
      <c r="J188" s="97">
        <f t="shared" si="195"/>
        <v>29.897260442576972</v>
      </c>
      <c r="K188" s="97">
        <f t="shared" si="195"/>
        <v>29.824099484339236</v>
      </c>
      <c r="L188" s="97">
        <f t="shared" si="195"/>
        <v>29.839612177774136</v>
      </c>
      <c r="M188" s="97">
        <f t="shared" si="195"/>
        <v>28.930609813005699</v>
      </c>
      <c r="N188" s="97">
        <f t="shared" si="195"/>
        <v>29.829685113708415</v>
      </c>
      <c r="O188" s="97">
        <f t="shared" si="195"/>
        <v>29.930322826990519</v>
      </c>
      <c r="P188" s="97">
        <f t="shared" si="195"/>
        <v>29.718601176250427</v>
      </c>
      <c r="Q188" s="97">
        <f t="shared" si="195"/>
        <v>29.727182345737951</v>
      </c>
      <c r="R188" s="97">
        <f t="shared" si="195"/>
        <v>29.612443460399813</v>
      </c>
      <c r="S188" s="97">
        <f t="shared" si="195"/>
        <v>29.480942738082977</v>
      </c>
      <c r="T188" s="97">
        <f t="shared" si="195"/>
        <v>30.900068152403573</v>
      </c>
      <c r="U188" s="97">
        <f t="shared" si="195"/>
        <v>29.284351567148388</v>
      </c>
      <c r="V188" s="97">
        <f t="shared" si="195"/>
        <v>29.39812772554961</v>
      </c>
      <c r="W188" s="97">
        <f t="shared" si="195"/>
        <v>28.826951123762971</v>
      </c>
      <c r="X188" s="97">
        <f t="shared" si="195"/>
        <v>30.349188855445018</v>
      </c>
      <c r="Y188" s="97">
        <f t="shared" si="195"/>
        <v>29.417918462345785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36.768408147306694</v>
      </c>
      <c r="C189" s="97">
        <f t="shared" si="196"/>
        <v>36.357151118086129</v>
      </c>
      <c r="D189" s="97">
        <f t="shared" si="196"/>
        <v>36.193297621056011</v>
      </c>
      <c r="E189" s="97">
        <f t="shared" si="196"/>
        <v>35.393683566631218</v>
      </c>
      <c r="F189" s="97">
        <f t="shared" si="196"/>
        <v>34.973488934432226</v>
      </c>
      <c r="G189" s="97">
        <f t="shared" si="196"/>
        <v>34.947673383667563</v>
      </c>
      <c r="H189" s="97">
        <f t="shared" si="196"/>
        <v>35.265213813749625</v>
      </c>
      <c r="I189" s="97">
        <f t="shared" si="196"/>
        <v>35.372872432158132</v>
      </c>
      <c r="J189" s="97">
        <f t="shared" si="196"/>
        <v>35.49377786868672</v>
      </c>
      <c r="K189" s="97">
        <f t="shared" si="196"/>
        <v>36.361704150505325</v>
      </c>
      <c r="L189" s="97">
        <f t="shared" si="196"/>
        <v>35.666264020166018</v>
      </c>
      <c r="M189" s="97">
        <f t="shared" si="196"/>
        <v>37.769416234662344</v>
      </c>
      <c r="N189" s="97">
        <f t="shared" si="196"/>
        <v>34.640897551504004</v>
      </c>
      <c r="O189" s="97">
        <f t="shared" si="196"/>
        <v>34.344987519870706</v>
      </c>
      <c r="P189" s="97">
        <f t="shared" si="196"/>
        <v>34.209191242501952</v>
      </c>
      <c r="Q189" s="97">
        <f t="shared" si="196"/>
        <v>34.371730902316266</v>
      </c>
      <c r="R189" s="97">
        <f t="shared" si="196"/>
        <v>33.905051080650594</v>
      </c>
      <c r="S189" s="97">
        <f t="shared" si="196"/>
        <v>33.596901398585331</v>
      </c>
      <c r="T189" s="97">
        <f t="shared" si="196"/>
        <v>32.926408685685551</v>
      </c>
      <c r="U189" s="97">
        <f t="shared" si="196"/>
        <v>32.233003661261485</v>
      </c>
      <c r="V189" s="97">
        <f t="shared" si="196"/>
        <v>32.51684439627406</v>
      </c>
      <c r="W189" s="97">
        <f t="shared" si="196"/>
        <v>34.067258163250216</v>
      </c>
      <c r="X189" s="97">
        <f t="shared" si="196"/>
        <v>32.897823850554779</v>
      </c>
      <c r="Y189" s="97">
        <f t="shared" si="196"/>
        <v>32.858882577024943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34.081702525473226</v>
      </c>
      <c r="C190" s="97">
        <f t="shared" si="197"/>
        <v>34.380280090826936</v>
      </c>
      <c r="D190" s="97">
        <f t="shared" si="197"/>
        <v>34.00074479954462</v>
      </c>
      <c r="E190" s="97">
        <f t="shared" si="197"/>
        <v>33.811402587699625</v>
      </c>
      <c r="F190" s="97">
        <f t="shared" si="197"/>
        <v>33.645547707369332</v>
      </c>
      <c r="G190" s="97">
        <f t="shared" si="197"/>
        <v>33.618067509279712</v>
      </c>
      <c r="H190" s="97">
        <f t="shared" si="197"/>
        <v>33.476372546288154</v>
      </c>
      <c r="I190" s="97">
        <f t="shared" si="197"/>
        <v>33.874464244838904</v>
      </c>
      <c r="J190" s="97">
        <f t="shared" si="197"/>
        <v>33.499323944540926</v>
      </c>
      <c r="K190" s="97">
        <f t="shared" si="197"/>
        <v>32.379709731799366</v>
      </c>
      <c r="L190" s="97">
        <f t="shared" si="197"/>
        <v>30.906671846523448</v>
      </c>
      <c r="M190" s="97">
        <f t="shared" si="197"/>
        <v>30.459897215410351</v>
      </c>
      <c r="N190" s="97">
        <f t="shared" si="197"/>
        <v>29.825788994492328</v>
      </c>
      <c r="O190" s="97">
        <f t="shared" si="197"/>
        <v>27.488508539365064</v>
      </c>
      <c r="P190" s="97">
        <f t="shared" si="197"/>
        <v>27.304423722168405</v>
      </c>
      <c r="Q190" s="97">
        <f t="shared" si="197"/>
        <v>27.468944516188309</v>
      </c>
      <c r="R190" s="97">
        <f t="shared" si="197"/>
        <v>27.754439942939904</v>
      </c>
      <c r="S190" s="97">
        <f t="shared" si="197"/>
        <v>27.237226969667656</v>
      </c>
      <c r="T190" s="97">
        <f t="shared" si="197"/>
        <v>27.502456988605616</v>
      </c>
      <c r="U190" s="97">
        <f t="shared" si="197"/>
        <v>26.984575142198427</v>
      </c>
      <c r="V190" s="97">
        <f t="shared" si="197"/>
        <v>32.758841050942721</v>
      </c>
      <c r="W190" s="97">
        <f t="shared" si="197"/>
        <v>34.967703923646305</v>
      </c>
      <c r="X190" s="97">
        <f t="shared" si="197"/>
        <v>32.555446626942668</v>
      </c>
      <c r="Y190" s="97">
        <f t="shared" si="197"/>
        <v>28.959912403604193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10.448693073857324</v>
      </c>
      <c r="C191" s="130">
        <f t="shared" si="198"/>
        <v>9.246690739533868</v>
      </c>
      <c r="D191" s="130">
        <f t="shared" si="198"/>
        <v>9.2300082829916228</v>
      </c>
      <c r="E191" s="130">
        <f t="shared" si="198"/>
        <v>9.463786782855717</v>
      </c>
      <c r="F191" s="130">
        <f t="shared" si="198"/>
        <v>9.544516651627303</v>
      </c>
      <c r="G191" s="130">
        <f t="shared" si="198"/>
        <v>9.405971204366848</v>
      </c>
      <c r="H191" s="130">
        <f t="shared" si="198"/>
        <v>9.2039858168640318</v>
      </c>
      <c r="I191" s="130">
        <f t="shared" si="198"/>
        <v>8.9957766176094545</v>
      </c>
      <c r="J191" s="130">
        <f t="shared" si="198"/>
        <v>8.9550532578138871</v>
      </c>
      <c r="K191" s="130">
        <f t="shared" si="198"/>
        <v>8.9985337744224179</v>
      </c>
      <c r="L191" s="130">
        <f t="shared" si="198"/>
        <v>8.8898479143227025</v>
      </c>
      <c r="M191" s="130">
        <f t="shared" si="198"/>
        <v>8.5536534545679697</v>
      </c>
      <c r="N191" s="130">
        <f t="shared" si="198"/>
        <v>8.5437647816732767</v>
      </c>
      <c r="O191" s="130">
        <f t="shared" si="198"/>
        <v>8.5217872476272571</v>
      </c>
      <c r="P191" s="130">
        <f t="shared" si="198"/>
        <v>8.3018004963715537</v>
      </c>
      <c r="Q191" s="130">
        <f t="shared" si="198"/>
        <v>8.3733045533472108</v>
      </c>
      <c r="R191" s="130">
        <f t="shared" si="198"/>
        <v>8.155416269974225</v>
      </c>
      <c r="S191" s="130">
        <f t="shared" si="198"/>
        <v>7.6559429887969097</v>
      </c>
      <c r="T191" s="130">
        <f t="shared" si="198"/>
        <v>7.5330867871980454</v>
      </c>
      <c r="U191" s="130">
        <f t="shared" si="198"/>
        <v>7.235252947984633</v>
      </c>
      <c r="V191" s="130">
        <f t="shared" si="198"/>
        <v>9.9620503418665756</v>
      </c>
      <c r="W191" s="130">
        <f t="shared" si="198"/>
        <v>8.5530651025753599</v>
      </c>
      <c r="X191" s="130">
        <f t="shared" si="198"/>
        <v>6.9566555713117664</v>
      </c>
      <c r="Y191" s="130">
        <f t="shared" si="198"/>
        <v>7.3785761017127864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4.9646096983506318</v>
      </c>
      <c r="C192" s="97">
        <f t="shared" si="199"/>
        <v>5.1573079578973022</v>
      </c>
      <c r="D192" s="97">
        <f t="shared" si="199"/>
        <v>5.0792159789985361</v>
      </c>
      <c r="E192" s="97">
        <f t="shared" si="199"/>
        <v>5.0873421483237813</v>
      </c>
      <c r="F192" s="97">
        <f t="shared" si="199"/>
        <v>5.0281517377859348</v>
      </c>
      <c r="G192" s="97">
        <f t="shared" si="199"/>
        <v>4.7753785025767099</v>
      </c>
      <c r="H192" s="97">
        <f t="shared" si="199"/>
        <v>4.5799482307668997</v>
      </c>
      <c r="I192" s="97">
        <f t="shared" si="199"/>
        <v>4.4194920348488331</v>
      </c>
      <c r="J192" s="97">
        <f t="shared" si="199"/>
        <v>4.4627515464324992</v>
      </c>
      <c r="K192" s="97">
        <f t="shared" si="199"/>
        <v>4.3567063924637903</v>
      </c>
      <c r="L192" s="97">
        <f t="shared" si="199"/>
        <v>4.2886970608671522</v>
      </c>
      <c r="M192" s="97">
        <f t="shared" si="199"/>
        <v>4.2763756660033083</v>
      </c>
      <c r="N192" s="97">
        <f t="shared" si="199"/>
        <v>4.1246785447711201</v>
      </c>
      <c r="O192" s="97">
        <f t="shared" si="199"/>
        <v>4.1314721408564887</v>
      </c>
      <c r="P192" s="97">
        <f t="shared" si="199"/>
        <v>4.0278708910149632</v>
      </c>
      <c r="Q192" s="97">
        <f t="shared" si="199"/>
        <v>3.9784095235039567</v>
      </c>
      <c r="R192" s="97">
        <f t="shared" si="199"/>
        <v>3.9021440113180357</v>
      </c>
      <c r="S192" s="97">
        <f t="shared" si="199"/>
        <v>3.8263275462651021</v>
      </c>
      <c r="T192" s="97">
        <f t="shared" si="199"/>
        <v>3.7853506055997364</v>
      </c>
      <c r="U192" s="97">
        <f t="shared" si="199"/>
        <v>3.7265519498796289</v>
      </c>
      <c r="V192" s="97">
        <f t="shared" si="199"/>
        <v>5.0425740330017801</v>
      </c>
      <c r="W192" s="97">
        <f t="shared" si="199"/>
        <v>4.6840910552694472</v>
      </c>
      <c r="X192" s="97">
        <f t="shared" si="199"/>
        <v>3.5421530899715528</v>
      </c>
      <c r="Y192" s="97">
        <f t="shared" si="199"/>
        <v>3.4118365213968365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15.035013597849488</v>
      </c>
      <c r="C193" s="97">
        <f t="shared" si="200"/>
        <v>12.429819097888783</v>
      </c>
      <c r="D193" s="97">
        <f t="shared" si="200"/>
        <v>12.661676337173262</v>
      </c>
      <c r="E193" s="97">
        <f t="shared" si="200"/>
        <v>13.449650054642332</v>
      </c>
      <c r="F193" s="97">
        <f t="shared" si="200"/>
        <v>13.60529037760565</v>
      </c>
      <c r="G193" s="97">
        <f t="shared" si="200"/>
        <v>13.481078885421061</v>
      </c>
      <c r="H193" s="97">
        <f t="shared" si="200"/>
        <v>13.3904219587735</v>
      </c>
      <c r="I193" s="97">
        <f t="shared" si="200"/>
        <v>13.520431621316039</v>
      </c>
      <c r="J193" s="97">
        <f t="shared" si="200"/>
        <v>13.547994628342137</v>
      </c>
      <c r="K193" s="97">
        <f t="shared" si="200"/>
        <v>13.633809818797957</v>
      </c>
      <c r="L193" s="97">
        <f t="shared" si="200"/>
        <v>13.919743050233835</v>
      </c>
      <c r="M193" s="97">
        <f t="shared" si="200"/>
        <v>12.992771724665809</v>
      </c>
      <c r="N193" s="97">
        <f t="shared" si="200"/>
        <v>12.865812919378941</v>
      </c>
      <c r="O193" s="97">
        <f t="shared" si="200"/>
        <v>12.941820589676629</v>
      </c>
      <c r="P193" s="97">
        <f t="shared" si="200"/>
        <v>12.820642017079296</v>
      </c>
      <c r="Q193" s="97">
        <f t="shared" si="200"/>
        <v>13.17507783851749</v>
      </c>
      <c r="R193" s="97">
        <f t="shared" si="200"/>
        <v>12.775095971991446</v>
      </c>
      <c r="S193" s="97">
        <f t="shared" si="200"/>
        <v>11.841969834597938</v>
      </c>
      <c r="T193" s="97">
        <f t="shared" si="200"/>
        <v>11.664521653379465</v>
      </c>
      <c r="U193" s="97">
        <f t="shared" si="200"/>
        <v>10.982139415572032</v>
      </c>
      <c r="V193" s="97">
        <f t="shared" si="200"/>
        <v>14.661739521628112</v>
      </c>
      <c r="W193" s="97">
        <f t="shared" si="200"/>
        <v>11.813376817627963</v>
      </c>
      <c r="X193" s="97">
        <f t="shared" si="200"/>
        <v>10.083028712864529</v>
      </c>
      <c r="Y193" s="97">
        <f t="shared" si="200"/>
        <v>11.350233164827419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6.4821450265632015</v>
      </c>
      <c r="C194" s="97">
        <f t="shared" si="201"/>
        <v>6.8349462573702375</v>
      </c>
      <c r="D194" s="97">
        <f t="shared" si="201"/>
        <v>6.8085025332879718</v>
      </c>
      <c r="E194" s="97">
        <f t="shared" si="201"/>
        <v>6.7231857533844837</v>
      </c>
      <c r="F194" s="97">
        <f t="shared" si="201"/>
        <v>6.8481671705443521</v>
      </c>
      <c r="G194" s="97">
        <f t="shared" si="201"/>
        <v>6.7539078039193159</v>
      </c>
      <c r="H194" s="97">
        <f t="shared" si="201"/>
        <v>6.5259883958484899</v>
      </c>
      <c r="I194" s="97">
        <f t="shared" si="201"/>
        <v>6.3211972953781119</v>
      </c>
      <c r="J194" s="97">
        <f t="shared" si="201"/>
        <v>6.4025684325821226</v>
      </c>
      <c r="K194" s="97">
        <f t="shared" si="201"/>
        <v>6.3992977194848617</v>
      </c>
      <c r="L194" s="97">
        <f t="shared" si="201"/>
        <v>6.1388421817053231</v>
      </c>
      <c r="M194" s="97">
        <f t="shared" si="201"/>
        <v>6.0675363022628419</v>
      </c>
      <c r="N194" s="97">
        <f t="shared" si="201"/>
        <v>6.1973903520235014</v>
      </c>
      <c r="O194" s="97">
        <f t="shared" si="201"/>
        <v>6.1409445556533777</v>
      </c>
      <c r="P194" s="97">
        <f t="shared" si="201"/>
        <v>5.8999829030958049</v>
      </c>
      <c r="Q194" s="97">
        <f t="shared" si="201"/>
        <v>5.8202043048869809</v>
      </c>
      <c r="R194" s="97">
        <f t="shared" si="201"/>
        <v>5.7113427723714221</v>
      </c>
      <c r="S194" s="97">
        <f t="shared" si="201"/>
        <v>5.5357201706725938</v>
      </c>
      <c r="T194" s="97">
        <f t="shared" si="201"/>
        <v>5.4728724372245008</v>
      </c>
      <c r="U194" s="97">
        <f t="shared" si="201"/>
        <v>5.3693402011951301</v>
      </c>
      <c r="V194" s="97">
        <f t="shared" si="201"/>
        <v>7.5214819695941042</v>
      </c>
      <c r="W194" s="97">
        <f t="shared" si="201"/>
        <v>6.9625361330873892</v>
      </c>
      <c r="X194" s="97">
        <f t="shared" si="201"/>
        <v>5.4737543565115088</v>
      </c>
      <c r="Y194" s="97">
        <f t="shared" si="201"/>
        <v>5.4082215337047117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49.287605220703576</v>
      </c>
      <c r="C195" s="130">
        <f t="shared" si="202"/>
        <v>48.340280977666495</v>
      </c>
      <c r="D195" s="130">
        <f t="shared" si="202"/>
        <v>46.796808922056044</v>
      </c>
      <c r="E195" s="130">
        <f t="shared" si="202"/>
        <v>45.524234469802948</v>
      </c>
      <c r="F195" s="130">
        <f t="shared" si="202"/>
        <v>43.967164078876799</v>
      </c>
      <c r="G195" s="130">
        <f t="shared" si="202"/>
        <v>41.574602767777215</v>
      </c>
      <c r="H195" s="130">
        <f t="shared" si="202"/>
        <v>42.132783051375817</v>
      </c>
      <c r="I195" s="130">
        <f t="shared" si="202"/>
        <v>41.506152896924441</v>
      </c>
      <c r="J195" s="130">
        <f t="shared" si="202"/>
        <v>41.381747358736135</v>
      </c>
      <c r="K195" s="130">
        <f t="shared" si="202"/>
        <v>39.503321333830677</v>
      </c>
      <c r="L195" s="130">
        <f t="shared" si="202"/>
        <v>38.871035481388681</v>
      </c>
      <c r="M195" s="130">
        <f t="shared" si="202"/>
        <v>39.920897903329596</v>
      </c>
      <c r="N195" s="130">
        <f t="shared" si="202"/>
        <v>39.42163601554288</v>
      </c>
      <c r="O195" s="130">
        <f t="shared" si="202"/>
        <v>37.964502366604165</v>
      </c>
      <c r="P195" s="130">
        <f t="shared" si="202"/>
        <v>35.714012654234658</v>
      </c>
      <c r="Q195" s="130">
        <f t="shared" si="202"/>
        <v>36.814395323320248</v>
      </c>
      <c r="R195" s="130">
        <f t="shared" si="202"/>
        <v>36.605658255103315</v>
      </c>
      <c r="S195" s="130">
        <f t="shared" si="202"/>
        <v>35.325040929951783</v>
      </c>
      <c r="T195" s="130">
        <f t="shared" si="202"/>
        <v>34.341150679665773</v>
      </c>
      <c r="U195" s="130">
        <f t="shared" si="202"/>
        <v>34.306068361225108</v>
      </c>
      <c r="V195" s="130">
        <f t="shared" si="202"/>
        <v>44.908152748875921</v>
      </c>
      <c r="W195" s="130">
        <f t="shared" si="202"/>
        <v>42.757016023153916</v>
      </c>
      <c r="X195" s="130">
        <f t="shared" si="202"/>
        <v>35.235184207935141</v>
      </c>
      <c r="Y195" s="130">
        <f t="shared" si="202"/>
        <v>31.012418409284667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47.716390518745634</v>
      </c>
      <c r="C196" s="97">
        <f t="shared" si="203"/>
        <v>46.627863857589603</v>
      </c>
      <c r="D196" s="97">
        <f t="shared" si="203"/>
        <v>41.800206472153285</v>
      </c>
      <c r="E196" s="97">
        <f t="shared" si="203"/>
        <v>40.697904414603357</v>
      </c>
      <c r="F196" s="97">
        <f t="shared" si="203"/>
        <v>39.15498349618327</v>
      </c>
      <c r="G196" s="97">
        <f t="shared" si="203"/>
        <v>38.867021915309394</v>
      </c>
      <c r="H196" s="97">
        <f t="shared" si="203"/>
        <v>38.488215565190771</v>
      </c>
      <c r="I196" s="97">
        <f t="shared" si="203"/>
        <v>37.450285791828414</v>
      </c>
      <c r="J196" s="97">
        <f t="shared" si="203"/>
        <v>38.385413233560037</v>
      </c>
      <c r="K196" s="97">
        <f t="shared" si="203"/>
        <v>35.553777773883482</v>
      </c>
      <c r="L196" s="97">
        <f t="shared" si="203"/>
        <v>33.610176814960056</v>
      </c>
      <c r="M196" s="97">
        <f t="shared" si="203"/>
        <v>58.420746405373492</v>
      </c>
      <c r="N196" s="97">
        <f t="shared" si="203"/>
        <v>59.289092070853563</v>
      </c>
      <c r="O196" s="97">
        <f t="shared" si="203"/>
        <v>56.496195422821167</v>
      </c>
      <c r="P196" s="97">
        <f t="shared" si="203"/>
        <v>53.548979131288931</v>
      </c>
      <c r="Q196" s="97">
        <f t="shared" si="203"/>
        <v>52.942239969578161</v>
      </c>
      <c r="R196" s="97">
        <f t="shared" si="203"/>
        <v>52.704464101290917</v>
      </c>
      <c r="S196" s="97">
        <f t="shared" si="203"/>
        <v>50.907978909716896</v>
      </c>
      <c r="T196" s="97">
        <f t="shared" si="203"/>
        <v>50.071182703238158</v>
      </c>
      <c r="U196" s="97">
        <f t="shared" si="203"/>
        <v>49.436875006388838</v>
      </c>
      <c r="V196" s="97">
        <f t="shared" si="203"/>
        <v>56.495606480517083</v>
      </c>
      <c r="W196" s="97">
        <f t="shared" si="203"/>
        <v>52.239674664628161</v>
      </c>
      <c r="X196" s="97">
        <f t="shared" si="203"/>
        <v>49.792159910934295</v>
      </c>
      <c r="Y196" s="97">
        <f t="shared" si="203"/>
        <v>45.830322905632883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56.053585386619616</v>
      </c>
      <c r="C197" s="97">
        <f t="shared" si="204"/>
        <v>54.798410079370427</v>
      </c>
      <c r="D197" s="97">
        <f t="shared" si="204"/>
        <v>54.136034289553521</v>
      </c>
      <c r="E197" s="97">
        <f t="shared" si="204"/>
        <v>51.007724981050707</v>
      </c>
      <c r="F197" s="97">
        <f t="shared" si="204"/>
        <v>50.485578678954255</v>
      </c>
      <c r="G197" s="97">
        <f t="shared" si="204"/>
        <v>48.310617269576916</v>
      </c>
      <c r="H197" s="97">
        <f t="shared" si="204"/>
        <v>49.764700532965186</v>
      </c>
      <c r="I197" s="97">
        <f t="shared" si="204"/>
        <v>50.335281208417335</v>
      </c>
      <c r="J197" s="97">
        <f t="shared" si="204"/>
        <v>49.695634386768305</v>
      </c>
      <c r="K197" s="97">
        <f t="shared" si="204"/>
        <v>46.427575041099743</v>
      </c>
      <c r="L197" s="97">
        <f t="shared" si="204"/>
        <v>45.538155987514585</v>
      </c>
      <c r="M197" s="97">
        <f t="shared" si="204"/>
        <v>41.589746864848799</v>
      </c>
      <c r="N197" s="97">
        <f t="shared" si="204"/>
        <v>38.65522030988673</v>
      </c>
      <c r="O197" s="97">
        <f t="shared" si="204"/>
        <v>37.728279285531322</v>
      </c>
      <c r="P197" s="97">
        <f t="shared" si="204"/>
        <v>35.660881534143826</v>
      </c>
      <c r="Q197" s="97">
        <f t="shared" si="204"/>
        <v>35.969670676825672</v>
      </c>
      <c r="R197" s="97">
        <f t="shared" si="204"/>
        <v>35.4442448124355</v>
      </c>
      <c r="S197" s="97">
        <f t="shared" si="204"/>
        <v>34.828077257667033</v>
      </c>
      <c r="T197" s="97">
        <f t="shared" si="204"/>
        <v>33.897800869654958</v>
      </c>
      <c r="U197" s="97">
        <f t="shared" si="204"/>
        <v>33.237843862624018</v>
      </c>
      <c r="V197" s="97">
        <f t="shared" si="204"/>
        <v>33.487339969706568</v>
      </c>
      <c r="W197" s="97">
        <f t="shared" si="204"/>
        <v>29.150634488661971</v>
      </c>
      <c r="X197" s="97">
        <f t="shared" si="204"/>
        <v>31.136888907188247</v>
      </c>
      <c r="Y197" s="97">
        <f t="shared" si="204"/>
        <v>29.57006579439161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47.638175608125039</v>
      </c>
      <c r="C198" s="97">
        <f t="shared" si="205"/>
        <v>46.827744958430181</v>
      </c>
      <c r="D198" s="97">
        <f t="shared" si="205"/>
        <v>46.008647495679917</v>
      </c>
      <c r="E198" s="97">
        <f t="shared" si="205"/>
        <v>45.176189341523511</v>
      </c>
      <c r="F198" s="97">
        <f t="shared" si="205"/>
        <v>43.258606470261711</v>
      </c>
      <c r="G198" s="97">
        <f t="shared" si="205"/>
        <v>40.278937663910227</v>
      </c>
      <c r="H198" s="97">
        <f t="shared" si="205"/>
        <v>40.766809808763398</v>
      </c>
      <c r="I198" s="97">
        <f t="shared" si="205"/>
        <v>39.891671306214015</v>
      </c>
      <c r="J198" s="97">
        <f t="shared" si="205"/>
        <v>39.706169290231671</v>
      </c>
      <c r="K198" s="97">
        <f t="shared" si="205"/>
        <v>38.519320599151492</v>
      </c>
      <c r="L198" s="97">
        <f t="shared" si="205"/>
        <v>38.301830659408246</v>
      </c>
      <c r="M198" s="97">
        <f t="shared" si="205"/>
        <v>35.148166769295905</v>
      </c>
      <c r="N198" s="97">
        <f t="shared" si="205"/>
        <v>34.975982017392425</v>
      </c>
      <c r="O198" s="97">
        <f t="shared" si="205"/>
        <v>33.690977625128255</v>
      </c>
      <c r="P198" s="97">
        <f t="shared" si="205"/>
        <v>31.752133986630813</v>
      </c>
      <c r="Q198" s="97">
        <f t="shared" si="205"/>
        <v>33.438366242736656</v>
      </c>
      <c r="R198" s="97">
        <f t="shared" si="205"/>
        <v>33.165107797100546</v>
      </c>
      <c r="S198" s="97">
        <f t="shared" si="205"/>
        <v>31.727673479261068</v>
      </c>
      <c r="T198" s="97">
        <f t="shared" si="205"/>
        <v>30.726839679046513</v>
      </c>
      <c r="U198" s="97">
        <f t="shared" si="205"/>
        <v>31.124449366054197</v>
      </c>
      <c r="V198" s="97">
        <f t="shared" si="205"/>
        <v>43.514968545327783</v>
      </c>
      <c r="W198" s="97">
        <f t="shared" si="205"/>
        <v>43.484260802524119</v>
      </c>
      <c r="X198" s="97">
        <f t="shared" si="205"/>
        <v>32.23549378336255</v>
      </c>
      <c r="Y198" s="97">
        <f t="shared" si="205"/>
        <v>28.040162148248516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46.319605142441112</v>
      </c>
      <c r="C199" s="32">
        <f t="shared" si="206"/>
        <v>46.350940494454257</v>
      </c>
      <c r="D199" s="32">
        <f t="shared" si="206"/>
        <v>45.232450574162968</v>
      </c>
      <c r="E199" s="32">
        <f t="shared" si="206"/>
        <v>44.767334396557459</v>
      </c>
      <c r="F199" s="32">
        <f t="shared" si="206"/>
        <v>43.383561051230672</v>
      </c>
      <c r="G199" s="32">
        <f t="shared" si="206"/>
        <v>43.116596363817173</v>
      </c>
      <c r="H199" s="32">
        <f t="shared" si="206"/>
        <v>41.229448709238177</v>
      </c>
      <c r="I199" s="32">
        <f t="shared" si="206"/>
        <v>41.099766027766677</v>
      </c>
      <c r="J199" s="32">
        <f t="shared" si="206"/>
        <v>40.524707398430344</v>
      </c>
      <c r="K199" s="32">
        <f t="shared" si="206"/>
        <v>44.041106969540905</v>
      </c>
      <c r="L199" s="32">
        <f t="shared" si="206"/>
        <v>43.666903319753693</v>
      </c>
      <c r="M199" s="32">
        <f t="shared" si="206"/>
        <v>44.572115315587396</v>
      </c>
      <c r="N199" s="32">
        <f t="shared" si="206"/>
        <v>45.784900362313429</v>
      </c>
      <c r="O199" s="32">
        <f t="shared" si="206"/>
        <v>46.324298017304699</v>
      </c>
      <c r="P199" s="32">
        <f t="shared" si="206"/>
        <v>45.672706072917329</v>
      </c>
      <c r="Q199" s="32">
        <f t="shared" si="206"/>
        <v>46.454475057565858</v>
      </c>
      <c r="R199" s="32">
        <f t="shared" si="206"/>
        <v>46.470367619823527</v>
      </c>
      <c r="S199" s="32">
        <f t="shared" si="206"/>
        <v>44.855314116006888</v>
      </c>
      <c r="T199" s="32">
        <f t="shared" si="206"/>
        <v>43.842183240915638</v>
      </c>
      <c r="U199" s="32">
        <f t="shared" si="206"/>
        <v>42.82087445631209</v>
      </c>
      <c r="V199" s="32">
        <f t="shared" si="206"/>
        <v>41.387523102498022</v>
      </c>
      <c r="W199" s="32">
        <f t="shared" si="206"/>
        <v>43.247632066298799</v>
      </c>
      <c r="X199" s="32">
        <f t="shared" si="206"/>
        <v>43.002583132958449</v>
      </c>
      <c r="Y199" s="32">
        <f t="shared" si="206"/>
        <v>42.539307717967475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57.748963511260378</v>
      </c>
      <c r="C200" s="141">
        <f t="shared" si="207"/>
        <v>55.578150973115335</v>
      </c>
      <c r="D200" s="141">
        <f t="shared" si="207"/>
        <v>53.977101685797365</v>
      </c>
      <c r="E200" s="141">
        <f t="shared" si="207"/>
        <v>52.329936510758145</v>
      </c>
      <c r="F200" s="141">
        <f t="shared" si="207"/>
        <v>49.585686084239093</v>
      </c>
      <c r="G200" s="141">
        <f t="shared" si="207"/>
        <v>48.942468915346105</v>
      </c>
      <c r="H200" s="141">
        <f t="shared" si="207"/>
        <v>47.517318829605152</v>
      </c>
      <c r="I200" s="141">
        <f t="shared" si="207"/>
        <v>46.195068435963258</v>
      </c>
      <c r="J200" s="141">
        <f t="shared" si="207"/>
        <v>46.187784169554817</v>
      </c>
      <c r="K200" s="141">
        <f t="shared" si="207"/>
        <v>49.822923023807427</v>
      </c>
      <c r="L200" s="141">
        <f t="shared" si="207"/>
        <v>48.804936010657876</v>
      </c>
      <c r="M200" s="141">
        <f t="shared" si="207"/>
        <v>50.793948940425231</v>
      </c>
      <c r="N200" s="141">
        <f t="shared" si="207"/>
        <v>52.006327157270988</v>
      </c>
      <c r="O200" s="141">
        <f t="shared" si="207"/>
        <v>51.441298243677466</v>
      </c>
      <c r="P200" s="141">
        <f t="shared" si="207"/>
        <v>51.57955861331304</v>
      </c>
      <c r="Q200" s="141">
        <f t="shared" si="207"/>
        <v>53.273075379490102</v>
      </c>
      <c r="R200" s="141">
        <f t="shared" si="207"/>
        <v>52.482445174960382</v>
      </c>
      <c r="S200" s="141">
        <f t="shared" si="207"/>
        <v>50.171589844840206</v>
      </c>
      <c r="T200" s="141">
        <f t="shared" si="207"/>
        <v>48.964356637946032</v>
      </c>
      <c r="U200" s="141">
        <f t="shared" si="207"/>
        <v>47.846306558857009</v>
      </c>
      <c r="V200" s="141">
        <f t="shared" si="207"/>
        <v>45.492694151896337</v>
      </c>
      <c r="W200" s="141">
        <f t="shared" si="207"/>
        <v>47.898881834085358</v>
      </c>
      <c r="X200" s="141">
        <f t="shared" si="207"/>
        <v>47.432701166051018</v>
      </c>
      <c r="Y200" s="141">
        <f t="shared" si="207"/>
        <v>46.957676385042348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469.09597598359522</v>
      </c>
      <c r="C201" s="97">
        <f t="shared" si="208"/>
        <v>451.7563535335197</v>
      </c>
      <c r="D201" s="97">
        <f t="shared" si="208"/>
        <v>441.13683853270982</v>
      </c>
      <c r="E201" s="97">
        <f t="shared" si="208"/>
        <v>426.82086958834134</v>
      </c>
      <c r="F201" s="97">
        <f t="shared" si="208"/>
        <v>412.94127713877799</v>
      </c>
      <c r="G201" s="97">
        <f t="shared" si="208"/>
        <v>405.84517276320094</v>
      </c>
      <c r="H201" s="97">
        <f t="shared" si="208"/>
        <v>398.07453911232301</v>
      </c>
      <c r="I201" s="97">
        <f t="shared" si="208"/>
        <v>391.14597975738366</v>
      </c>
      <c r="J201" s="97">
        <f t="shared" si="208"/>
        <v>387.08655081437126</v>
      </c>
      <c r="K201" s="97">
        <f t="shared" si="208"/>
        <v>388.0220869481297</v>
      </c>
      <c r="L201" s="97">
        <f t="shared" si="208"/>
        <v>387.20135937275319</v>
      </c>
      <c r="M201" s="97">
        <f t="shared" si="208"/>
        <v>395.81750389417203</v>
      </c>
      <c r="N201" s="97">
        <f t="shared" si="208"/>
        <v>395.58750655540416</v>
      </c>
      <c r="O201" s="97">
        <f t="shared" si="208"/>
        <v>391.01679729704716</v>
      </c>
      <c r="P201" s="97">
        <f t="shared" si="208"/>
        <v>384.3668574456097</v>
      </c>
      <c r="Q201" s="97">
        <f t="shared" si="208"/>
        <v>382.50159287442631</v>
      </c>
      <c r="R201" s="97">
        <f t="shared" si="208"/>
        <v>379.24254489806356</v>
      </c>
      <c r="S201" s="97">
        <f t="shared" si="208"/>
        <v>376.3289191382612</v>
      </c>
      <c r="T201" s="97">
        <f t="shared" si="208"/>
        <v>375.08172655574822</v>
      </c>
      <c r="U201" s="97">
        <f t="shared" si="208"/>
        <v>368.53155590073834</v>
      </c>
      <c r="V201" s="97">
        <f t="shared" si="208"/>
        <v>357.93852006618584</v>
      </c>
      <c r="W201" s="97">
        <f t="shared" si="208"/>
        <v>373.63178339991782</v>
      </c>
      <c r="X201" s="97">
        <f t="shared" si="208"/>
        <v>367.21716543983621</v>
      </c>
      <c r="Y201" s="97">
        <f t="shared" si="208"/>
        <v>356.12622019467392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32.868057849359857</v>
      </c>
      <c r="C202" s="97">
        <f t="shared" si="209"/>
        <v>31.92502976888991</v>
      </c>
      <c r="D202" s="97">
        <f t="shared" si="209"/>
        <v>31.248907425218352</v>
      </c>
      <c r="E202" s="97">
        <f t="shared" si="209"/>
        <v>30.573291682950092</v>
      </c>
      <c r="F202" s="97">
        <f t="shared" si="209"/>
        <v>30.211666743191948</v>
      </c>
      <c r="G202" s="97">
        <f t="shared" si="209"/>
        <v>30.059975353240738</v>
      </c>
      <c r="H202" s="97">
        <f t="shared" si="209"/>
        <v>29.335246633060368</v>
      </c>
      <c r="I202" s="97">
        <f t="shared" si="209"/>
        <v>28.826154243432196</v>
      </c>
      <c r="J202" s="97">
        <f t="shared" si="209"/>
        <v>28.66482849790766</v>
      </c>
      <c r="K202" s="97">
        <f t="shared" si="209"/>
        <v>29.395937428223817</v>
      </c>
      <c r="L202" s="97">
        <f t="shared" si="209"/>
        <v>28.845023138927555</v>
      </c>
      <c r="M202" s="97">
        <f t="shared" si="209"/>
        <v>29.479256329470562</v>
      </c>
      <c r="N202" s="97">
        <f t="shared" si="209"/>
        <v>29.362291624467169</v>
      </c>
      <c r="O202" s="97">
        <f t="shared" si="209"/>
        <v>29.058200493839088</v>
      </c>
      <c r="P202" s="97">
        <f t="shared" si="209"/>
        <v>29.181069860528233</v>
      </c>
      <c r="Q202" s="97">
        <f t="shared" si="209"/>
        <v>29.469920952368149</v>
      </c>
      <c r="R202" s="97">
        <f t="shared" si="209"/>
        <v>29.56478890498077</v>
      </c>
      <c r="S202" s="97">
        <f t="shared" si="209"/>
        <v>28.323277337597187</v>
      </c>
      <c r="T202" s="97">
        <f t="shared" si="209"/>
        <v>27.384341901724312</v>
      </c>
      <c r="U202" s="97">
        <f t="shared" si="209"/>
        <v>26.982854751911685</v>
      </c>
      <c r="V202" s="97">
        <f t="shared" si="209"/>
        <v>26.93398293694618</v>
      </c>
      <c r="W202" s="97">
        <f t="shared" si="209"/>
        <v>27.074109389990475</v>
      </c>
      <c r="X202" s="97">
        <f t="shared" si="209"/>
        <v>26.526551758571266</v>
      </c>
      <c r="Y202" s="97">
        <f t="shared" si="209"/>
        <v>25.835376437095899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5.515002029902786</v>
      </c>
      <c r="C203" s="130">
        <f t="shared" si="210"/>
        <v>5.5453195454729833</v>
      </c>
      <c r="D203" s="130">
        <f t="shared" si="210"/>
        <v>5.6003418199456458</v>
      </c>
      <c r="E203" s="130">
        <f t="shared" si="210"/>
        <v>5.7938027120534068</v>
      </c>
      <c r="F203" s="130">
        <f t="shared" si="210"/>
        <v>5.4867849464501832</v>
      </c>
      <c r="G203" s="130">
        <f t="shared" si="210"/>
        <v>4.9373497969429252</v>
      </c>
      <c r="H203" s="130">
        <f t="shared" si="210"/>
        <v>4.5625043479990737</v>
      </c>
      <c r="I203" s="130">
        <f t="shared" si="210"/>
        <v>4.1813461442781117</v>
      </c>
      <c r="J203" s="130">
        <f t="shared" si="210"/>
        <v>4.184355989138286</v>
      </c>
      <c r="K203" s="130">
        <f t="shared" si="210"/>
        <v>4.1882312963127317</v>
      </c>
      <c r="L203" s="130">
        <f t="shared" si="210"/>
        <v>4.297441523979515</v>
      </c>
      <c r="M203" s="130">
        <f t="shared" si="210"/>
        <v>3.3611975915932613</v>
      </c>
      <c r="N203" s="130">
        <f t="shared" si="210"/>
        <v>3.408808268018475</v>
      </c>
      <c r="O203" s="130">
        <f t="shared" si="210"/>
        <v>3.8064124629812435</v>
      </c>
      <c r="P203" s="130">
        <f t="shared" si="210"/>
        <v>3.4886839277967518</v>
      </c>
      <c r="Q203" s="130">
        <f t="shared" si="210"/>
        <v>3.1885739932250812</v>
      </c>
      <c r="R203" s="130">
        <f t="shared" si="210"/>
        <v>3.0673503157898252</v>
      </c>
      <c r="S203" s="130">
        <f t="shared" si="210"/>
        <v>3.1687462010699514</v>
      </c>
      <c r="T203" s="130">
        <f t="shared" si="210"/>
        <v>3.1351339976990555</v>
      </c>
      <c r="U203" s="130">
        <f t="shared" si="210"/>
        <v>3.0573421191429428</v>
      </c>
      <c r="V203" s="130">
        <f t="shared" si="210"/>
        <v>3.5447663989212064</v>
      </c>
      <c r="W203" s="130">
        <f t="shared" si="210"/>
        <v>3.3661354154788503</v>
      </c>
      <c r="X203" s="130">
        <f t="shared" si="210"/>
        <v>3.1947893610338349</v>
      </c>
      <c r="Y203" s="130">
        <f t="shared" si="210"/>
        <v>3.3054388931689833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86.073786789803464</v>
      </c>
      <c r="C204" s="130">
        <f t="shared" si="211"/>
        <v>84.39551740556773</v>
      </c>
      <c r="D204" s="130">
        <f t="shared" si="211"/>
        <v>86.017193082178267</v>
      </c>
      <c r="E204" s="130">
        <f t="shared" si="211"/>
        <v>87.847629549945808</v>
      </c>
      <c r="F204" s="130">
        <f t="shared" si="211"/>
        <v>92.719901928191462</v>
      </c>
      <c r="G204" s="130">
        <f t="shared" si="211"/>
        <v>95.301063975996854</v>
      </c>
      <c r="H204" s="130">
        <f t="shared" si="211"/>
        <v>99.65823208112937</v>
      </c>
      <c r="I204" s="130">
        <f t="shared" si="211"/>
        <v>98.324371737018012</v>
      </c>
      <c r="J204" s="130">
        <f t="shared" si="211"/>
        <v>102.92413806355714</v>
      </c>
      <c r="K204" s="130">
        <f t="shared" si="211"/>
        <v>93.360371742709319</v>
      </c>
      <c r="L204" s="130">
        <f t="shared" si="211"/>
        <v>103.05697630871657</v>
      </c>
      <c r="M204" s="130">
        <f t="shared" si="211"/>
        <v>87.810840022075269</v>
      </c>
      <c r="N204" s="130">
        <f t="shared" si="211"/>
        <v>92.489697575131729</v>
      </c>
      <c r="O204" s="130">
        <f t="shared" si="211"/>
        <v>90.450113769160581</v>
      </c>
      <c r="P204" s="130">
        <f t="shared" si="211"/>
        <v>71.797243053469785</v>
      </c>
      <c r="Q204" s="130">
        <f t="shared" si="211"/>
        <v>77.92266773219535</v>
      </c>
      <c r="R204" s="130">
        <f t="shared" si="211"/>
        <v>71.651004368614849</v>
      </c>
      <c r="S204" s="130">
        <f t="shared" si="211"/>
        <v>74.100498825046571</v>
      </c>
      <c r="T204" s="130">
        <f t="shared" si="211"/>
        <v>70.855879683498415</v>
      </c>
      <c r="U204" s="130">
        <f t="shared" si="211"/>
        <v>69.349121050879347</v>
      </c>
      <c r="V204" s="130">
        <f t="shared" si="211"/>
        <v>112.38298053322582</v>
      </c>
      <c r="W204" s="130">
        <f t="shared" si="211"/>
        <v>109.85963026584056</v>
      </c>
      <c r="X204" s="130">
        <f t="shared" si="211"/>
        <v>95.21517278361236</v>
      </c>
      <c r="Y204" s="130">
        <f t="shared" si="211"/>
        <v>82.102097620369221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359.18629001997454</v>
      </c>
      <c r="C205" s="97">
        <f t="shared" si="212"/>
        <v>358.52552885800242</v>
      </c>
      <c r="D205" s="97">
        <f t="shared" si="212"/>
        <v>316.79015242040265</v>
      </c>
      <c r="E205" s="97">
        <f t="shared" si="212"/>
        <v>286.55109817050891</v>
      </c>
      <c r="F205" s="97">
        <f t="shared" si="212"/>
        <v>312.10163332050547</v>
      </c>
      <c r="G205" s="97">
        <f t="shared" si="212"/>
        <v>320.26021191939611</v>
      </c>
      <c r="H205" s="97">
        <f t="shared" si="212"/>
        <v>308.32395002842924</v>
      </c>
      <c r="I205" s="97">
        <f t="shared" si="212"/>
        <v>289.91601980701319</v>
      </c>
      <c r="J205" s="97">
        <f t="shared" si="212"/>
        <v>287.19446614526629</v>
      </c>
      <c r="K205" s="97">
        <f t="shared" si="212"/>
        <v>254.34587188652975</v>
      </c>
      <c r="L205" s="97">
        <f t="shared" si="212"/>
        <v>242.10523297484772</v>
      </c>
      <c r="M205" s="97">
        <f t="shared" si="212"/>
        <v>390.94296880143855</v>
      </c>
      <c r="N205" s="97">
        <f t="shared" si="212"/>
        <v>401.90358093571786</v>
      </c>
      <c r="O205" s="97">
        <f t="shared" si="212"/>
        <v>384.73638897067138</v>
      </c>
      <c r="P205" s="97">
        <f t="shared" si="212"/>
        <v>333.1412253670232</v>
      </c>
      <c r="Q205" s="97">
        <f t="shared" si="212"/>
        <v>327.08711738160309</v>
      </c>
      <c r="R205" s="97">
        <f t="shared" si="212"/>
        <v>290.0825101777711</v>
      </c>
      <c r="S205" s="97">
        <f t="shared" si="212"/>
        <v>309.18830492095935</v>
      </c>
      <c r="T205" s="97">
        <f t="shared" si="212"/>
        <v>303.74345029841169</v>
      </c>
      <c r="U205" s="97">
        <f t="shared" si="212"/>
        <v>271.01546307913384</v>
      </c>
      <c r="V205" s="97">
        <f t="shared" si="212"/>
        <v>328.42443106409246</v>
      </c>
      <c r="W205" s="97">
        <f t="shared" si="212"/>
        <v>356.69831310531646</v>
      </c>
      <c r="X205" s="97">
        <f t="shared" si="212"/>
        <v>303.51348583631852</v>
      </c>
      <c r="Y205" s="97">
        <f t="shared" si="212"/>
        <v>296.77567607115145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183.91571125194224</v>
      </c>
      <c r="C206" s="97">
        <f t="shared" si="213"/>
        <v>176.26039201889816</v>
      </c>
      <c r="D206" s="97">
        <f t="shared" si="213"/>
        <v>187.77632070642409</v>
      </c>
      <c r="E206" s="97">
        <f t="shared" si="213"/>
        <v>175.92910684716384</v>
      </c>
      <c r="F206" s="97">
        <f t="shared" si="213"/>
        <v>196.74438864820283</v>
      </c>
      <c r="G206" s="97">
        <f t="shared" si="213"/>
        <v>202.21952078609851</v>
      </c>
      <c r="H206" s="97">
        <f t="shared" si="213"/>
        <v>242.15436839680601</v>
      </c>
      <c r="I206" s="97">
        <f t="shared" si="213"/>
        <v>248.9292884493841</v>
      </c>
      <c r="J206" s="97">
        <f t="shared" si="213"/>
        <v>245.47934284391127</v>
      </c>
      <c r="K206" s="97">
        <f t="shared" si="213"/>
        <v>231.26305996146925</v>
      </c>
      <c r="L206" s="97">
        <f t="shared" si="213"/>
        <v>253.13390239791505</v>
      </c>
      <c r="M206" s="97">
        <f t="shared" si="213"/>
        <v>226.68443026647071</v>
      </c>
      <c r="N206" s="97">
        <f t="shared" si="213"/>
        <v>201.24909276918356</v>
      </c>
      <c r="O206" s="97">
        <f t="shared" si="213"/>
        <v>207.92315295596327</v>
      </c>
      <c r="P206" s="97">
        <f t="shared" si="213"/>
        <v>177.1829900645491</v>
      </c>
      <c r="Q206" s="97">
        <f t="shared" si="213"/>
        <v>183.6406083140034</v>
      </c>
      <c r="R206" s="97">
        <f t="shared" si="213"/>
        <v>166.59649164688267</v>
      </c>
      <c r="S206" s="97">
        <f t="shared" si="213"/>
        <v>188.20729359883254</v>
      </c>
      <c r="T206" s="97">
        <f t="shared" si="213"/>
        <v>186.80279396353231</v>
      </c>
      <c r="U206" s="97">
        <f t="shared" si="213"/>
        <v>177.30600458935379</v>
      </c>
      <c r="V206" s="97">
        <f t="shared" si="213"/>
        <v>173.89583690977912</v>
      </c>
      <c r="W206" s="97">
        <f t="shared" si="213"/>
        <v>159.15097139168401</v>
      </c>
      <c r="X206" s="97">
        <f t="shared" si="213"/>
        <v>197.84246343279511</v>
      </c>
      <c r="Y206" s="97">
        <f t="shared" si="213"/>
        <v>194.5625161625203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73.496584348875842</v>
      </c>
      <c r="C207" s="97">
        <f t="shared" si="214"/>
        <v>70.122328128331077</v>
      </c>
      <c r="D207" s="97">
        <f t="shared" si="214"/>
        <v>74.170015102282761</v>
      </c>
      <c r="E207" s="97">
        <f t="shared" si="214"/>
        <v>78.056695711953253</v>
      </c>
      <c r="F207" s="97">
        <f t="shared" si="214"/>
        <v>82.540105558786308</v>
      </c>
      <c r="G207" s="97">
        <f t="shared" si="214"/>
        <v>85.384442462783909</v>
      </c>
      <c r="H207" s="97">
        <f t="shared" si="214"/>
        <v>89.631846247926262</v>
      </c>
      <c r="I207" s="97">
        <f t="shared" si="214"/>
        <v>88.829703331178038</v>
      </c>
      <c r="J207" s="97">
        <f t="shared" si="214"/>
        <v>94.525142104064898</v>
      </c>
      <c r="K207" s="97">
        <f t="shared" si="214"/>
        <v>84.573053919548173</v>
      </c>
      <c r="L207" s="97">
        <f t="shared" si="214"/>
        <v>95.365641328775936</v>
      </c>
      <c r="M207" s="97">
        <f t="shared" si="214"/>
        <v>78.16656094064578</v>
      </c>
      <c r="N207" s="97">
        <f t="shared" si="214"/>
        <v>83.291625078049037</v>
      </c>
      <c r="O207" s="97">
        <f t="shared" si="214"/>
        <v>80.630617012920524</v>
      </c>
      <c r="P207" s="97">
        <f t="shared" si="214"/>
        <v>63.361847868174173</v>
      </c>
      <c r="Q207" s="97">
        <f t="shared" si="214"/>
        <v>69.624928386903449</v>
      </c>
      <c r="R207" s="97">
        <f t="shared" si="214"/>
        <v>64.004569161896271</v>
      </c>
      <c r="S207" s="97">
        <f t="shared" si="214"/>
        <v>65.604672449327168</v>
      </c>
      <c r="T207" s="97">
        <f t="shared" si="214"/>
        <v>62.998769896863898</v>
      </c>
      <c r="U207" s="97">
        <f t="shared" si="214"/>
        <v>61.474711948977379</v>
      </c>
      <c r="V207" s="97">
        <f t="shared" si="214"/>
        <v>104.91135641093365</v>
      </c>
      <c r="W207" s="97">
        <f t="shared" si="214"/>
        <v>101.19412089756204</v>
      </c>
      <c r="X207" s="97">
        <f t="shared" si="214"/>
        <v>85.945510841727838</v>
      </c>
      <c r="Y207" s="97">
        <f t="shared" si="214"/>
        <v>71.54367962317977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16.712808092786474</v>
      </c>
      <c r="C208" s="130">
        <f t="shared" si="215"/>
        <v>19.052888943567776</v>
      </c>
      <c r="D208" s="130">
        <f t="shared" si="215"/>
        <v>18.561489531974772</v>
      </c>
      <c r="E208" s="130">
        <f t="shared" si="215"/>
        <v>21.848356891445075</v>
      </c>
      <c r="F208" s="130">
        <f t="shared" si="215"/>
        <v>23.462959512923987</v>
      </c>
      <c r="G208" s="130">
        <f t="shared" si="215"/>
        <v>20.627136487360222</v>
      </c>
      <c r="H208" s="130">
        <f t="shared" si="215"/>
        <v>15.706432445197684</v>
      </c>
      <c r="I208" s="130">
        <f t="shared" si="215"/>
        <v>22.532833650346294</v>
      </c>
      <c r="J208" s="130">
        <f t="shared" si="215"/>
        <v>17.420511892464948</v>
      </c>
      <c r="K208" s="130">
        <f t="shared" si="215"/>
        <v>20.961147191490564</v>
      </c>
      <c r="L208" s="130">
        <f t="shared" si="215"/>
        <v>19.864308451097717</v>
      </c>
      <c r="M208" s="130">
        <f t="shared" si="215"/>
        <v>18.761164523801156</v>
      </c>
      <c r="N208" s="130">
        <f t="shared" si="215"/>
        <v>20.159116985131956</v>
      </c>
      <c r="O208" s="130">
        <f t="shared" si="215"/>
        <v>28.218559892220387</v>
      </c>
      <c r="P208" s="130">
        <f t="shared" si="215"/>
        <v>23.100059698620619</v>
      </c>
      <c r="Q208" s="130">
        <f t="shared" si="215"/>
        <v>22.670197994604933</v>
      </c>
      <c r="R208" s="130">
        <f t="shared" si="215"/>
        <v>27.094406792599639</v>
      </c>
      <c r="S208" s="130">
        <f t="shared" si="215"/>
        <v>27.228700573360484</v>
      </c>
      <c r="T208" s="130">
        <f t="shared" si="215"/>
        <v>25.119703599596956</v>
      </c>
      <c r="U208" s="130">
        <f t="shared" si="215"/>
        <v>23.8248749726291</v>
      </c>
      <c r="V208" s="130">
        <f t="shared" si="215"/>
        <v>20.838510674599746</v>
      </c>
      <c r="W208" s="130">
        <f t="shared" si="215"/>
        <v>23.33191092887574</v>
      </c>
      <c r="X208" s="130">
        <f t="shared" si="215"/>
        <v>28.79462386530173</v>
      </c>
      <c r="Y208" s="130">
        <f t="shared" si="215"/>
        <v>24.092471876581214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20.217104613750038</v>
      </c>
      <c r="C209" s="97">
        <f t="shared" si="216"/>
        <v>23.356590939923883</v>
      </c>
      <c r="D209" s="97">
        <f t="shared" si="216"/>
        <v>22.160797258335382</v>
      </c>
      <c r="E209" s="97">
        <f t="shared" si="216"/>
        <v>25.940549505070855</v>
      </c>
      <c r="F209" s="97">
        <f t="shared" si="216"/>
        <v>26.910554119441702</v>
      </c>
      <c r="G209" s="97">
        <f t="shared" si="216"/>
        <v>25.193276801809144</v>
      </c>
      <c r="H209" s="97">
        <f t="shared" si="216"/>
        <v>18.088676690151406</v>
      </c>
      <c r="I209" s="97">
        <f t="shared" si="216"/>
        <v>28.087979919563239</v>
      </c>
      <c r="J209" s="97">
        <f t="shared" si="216"/>
        <v>21.065472140888584</v>
      </c>
      <c r="K209" s="97">
        <f t="shared" si="216"/>
        <v>25.79596866120373</v>
      </c>
      <c r="L209" s="97">
        <f t="shared" si="216"/>
        <v>25.609732171476477</v>
      </c>
      <c r="M209" s="97">
        <f t="shared" si="216"/>
        <v>23.5308066657126</v>
      </c>
      <c r="N209" s="97">
        <f t="shared" si="216"/>
        <v>24.952273527913952</v>
      </c>
      <c r="O209" s="97">
        <f t="shared" si="216"/>
        <v>38.934003332831317</v>
      </c>
      <c r="P209" s="97">
        <f t="shared" si="216"/>
        <v>30.427352505838336</v>
      </c>
      <c r="Q209" s="97">
        <f t="shared" si="216"/>
        <v>29.447011178242835</v>
      </c>
      <c r="R209" s="97">
        <f t="shared" si="216"/>
        <v>37.471319443393739</v>
      </c>
      <c r="S209" s="97">
        <f t="shared" si="216"/>
        <v>36.928888752222051</v>
      </c>
      <c r="T209" s="97">
        <f t="shared" si="216"/>
        <v>32.639356403437262</v>
      </c>
      <c r="U209" s="97">
        <f t="shared" si="216"/>
        <v>31.28403219459825</v>
      </c>
      <c r="V209" s="97">
        <f t="shared" si="216"/>
        <v>25.883677851969495</v>
      </c>
      <c r="W209" s="97">
        <f t="shared" si="216"/>
        <v>29.00694246152867</v>
      </c>
      <c r="X209" s="97">
        <f t="shared" si="216"/>
        <v>36.629456561409718</v>
      </c>
      <c r="Y209" s="97">
        <f t="shared" si="216"/>
        <v>28.641627653070667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9.0977913449315118</v>
      </c>
      <c r="C210" s="98">
        <f t="shared" si="217"/>
        <v>11.418298544687069</v>
      </c>
      <c r="D210" s="98">
        <f t="shared" si="217"/>
        <v>11.776807961380326</v>
      </c>
      <c r="E210" s="98">
        <f t="shared" si="217"/>
        <v>15.120673406020282</v>
      </c>
      <c r="F210" s="98">
        <f t="shared" si="217"/>
        <v>17.650965526800324</v>
      </c>
      <c r="G210" s="98">
        <f t="shared" si="217"/>
        <v>13.381360446897133</v>
      </c>
      <c r="H210" s="98">
        <f t="shared" si="217"/>
        <v>9.8518893054776875</v>
      </c>
      <c r="I210" s="98">
        <f t="shared" si="217"/>
        <v>14.535956864369236</v>
      </c>
      <c r="J210" s="98">
        <f t="shared" si="217"/>
        <v>9.6554583500990034</v>
      </c>
      <c r="K210" s="98">
        <f t="shared" si="217"/>
        <v>12.791257990616394</v>
      </c>
      <c r="L210" s="98">
        <f t="shared" si="217"/>
        <v>10.544681134494914</v>
      </c>
      <c r="M210" s="98">
        <f t="shared" si="217"/>
        <v>10.284054997294101</v>
      </c>
      <c r="N210" s="98">
        <f t="shared" si="217"/>
        <v>12.314663651701769</v>
      </c>
      <c r="O210" s="98">
        <f t="shared" si="217"/>
        <v>19.254202280534848</v>
      </c>
      <c r="P210" s="98">
        <f t="shared" si="217"/>
        <v>13.215450141737447</v>
      </c>
      <c r="Q210" s="98">
        <f t="shared" si="217"/>
        <v>12.546938597537002</v>
      </c>
      <c r="R210" s="98">
        <f t="shared" si="217"/>
        <v>15.659468774868699</v>
      </c>
      <c r="S210" s="98">
        <f t="shared" si="217"/>
        <v>14.438058004899167</v>
      </c>
      <c r="T210" s="98">
        <f t="shared" si="217"/>
        <v>12.922193212737694</v>
      </c>
      <c r="U210" s="98">
        <f t="shared" si="217"/>
        <v>12.256853001817229</v>
      </c>
      <c r="V210" s="98">
        <f t="shared" si="217"/>
        <v>11.380598999576321</v>
      </c>
      <c r="W210" s="98">
        <f t="shared" si="217"/>
        <v>12.77955678873057</v>
      </c>
      <c r="X210" s="98">
        <f t="shared" si="217"/>
        <v>15.124845567571647</v>
      </c>
      <c r="Y210" s="98">
        <f t="shared" si="217"/>
        <v>12.262882543567928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4.4758227475450019</v>
      </c>
      <c r="C211" s="32">
        <f t="shared" si="218"/>
        <v>3.9219811410755843</v>
      </c>
      <c r="D211" s="32">
        <f t="shared" si="218"/>
        <v>3.7011958414930679</v>
      </c>
      <c r="E211" s="32">
        <f t="shared" si="218"/>
        <v>3.9263284854786216</v>
      </c>
      <c r="F211" s="32">
        <f t="shared" si="218"/>
        <v>4.3541099506872136</v>
      </c>
      <c r="G211" s="32">
        <f t="shared" si="218"/>
        <v>3.910554413127691</v>
      </c>
      <c r="H211" s="32">
        <f t="shared" si="218"/>
        <v>3.9281804893931569</v>
      </c>
      <c r="I211" s="32">
        <f t="shared" si="218"/>
        <v>5.5761059922771024</v>
      </c>
      <c r="J211" s="32">
        <f t="shared" si="218"/>
        <v>3.8972938235292025</v>
      </c>
      <c r="K211" s="32">
        <f t="shared" si="218"/>
        <v>4.368968592613899</v>
      </c>
      <c r="L211" s="32">
        <f t="shared" si="218"/>
        <v>3.9865730116083151</v>
      </c>
      <c r="M211" s="32">
        <f t="shared" si="218"/>
        <v>4.5930786202441611</v>
      </c>
      <c r="N211" s="32">
        <f t="shared" si="218"/>
        <v>4.6048157879579872</v>
      </c>
      <c r="O211" s="32">
        <f t="shared" si="218"/>
        <v>5.3003382425878449</v>
      </c>
      <c r="P211" s="32">
        <f t="shared" si="218"/>
        <v>3.3581610683421861</v>
      </c>
      <c r="Q211" s="32">
        <f t="shared" si="218"/>
        <v>2.926015436792154</v>
      </c>
      <c r="R211" s="32">
        <f t="shared" si="218"/>
        <v>2.9649415984240677</v>
      </c>
      <c r="S211" s="32">
        <f t="shared" si="218"/>
        <v>2.9467480619643753</v>
      </c>
      <c r="T211" s="32">
        <f t="shared" si="218"/>
        <v>3.308503354789281</v>
      </c>
      <c r="U211" s="32">
        <f t="shared" si="218"/>
        <v>2.926066399881059</v>
      </c>
      <c r="V211" s="32">
        <f t="shared" si="218"/>
        <v>1.8700409340274973</v>
      </c>
      <c r="W211" s="32">
        <f t="shared" si="218"/>
        <v>2.0093534841797527</v>
      </c>
      <c r="X211" s="32">
        <f t="shared" si="218"/>
        <v>2.7704121509528199</v>
      </c>
      <c r="Y211" s="32">
        <f t="shared" si="218"/>
        <v>2.007519831243485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12.978593053022179</v>
      </c>
      <c r="C212" s="97">
        <f t="shared" si="219"/>
        <v>11.311532113854831</v>
      </c>
      <c r="D212" s="97">
        <f t="shared" si="219"/>
        <v>10.99806202201213</v>
      </c>
      <c r="E212" s="97">
        <f t="shared" si="219"/>
        <v>11.764805573581389</v>
      </c>
      <c r="F212" s="97">
        <f t="shared" si="219"/>
        <v>12.846043034195846</v>
      </c>
      <c r="G212" s="97">
        <f t="shared" si="219"/>
        <v>11.946679580395644</v>
      </c>
      <c r="H212" s="97">
        <f t="shared" si="219"/>
        <v>12.587944974420838</v>
      </c>
      <c r="I212" s="97">
        <f t="shared" si="219"/>
        <v>17.681508307677145</v>
      </c>
      <c r="J212" s="97">
        <f t="shared" si="219"/>
        <v>12.713483548559086</v>
      </c>
      <c r="K212" s="97">
        <f t="shared" si="219"/>
        <v>13.65945968121602</v>
      </c>
      <c r="L212" s="97">
        <f t="shared" si="219"/>
        <v>12.606534976762324</v>
      </c>
      <c r="M212" s="97">
        <f t="shared" si="219"/>
        <v>14.900468665099877</v>
      </c>
      <c r="N212" s="97">
        <f t="shared" si="219"/>
        <v>15.062825904808337</v>
      </c>
      <c r="O212" s="97">
        <f t="shared" si="219"/>
        <v>17.879461406168584</v>
      </c>
      <c r="P212" s="97">
        <f t="shared" si="219"/>
        <v>11.229819641949616</v>
      </c>
      <c r="Q212" s="97">
        <f t="shared" si="219"/>
        <v>10.07467667937984</v>
      </c>
      <c r="R212" s="97">
        <f t="shared" si="219"/>
        <v>9.5635944381361835</v>
      </c>
      <c r="S212" s="97">
        <f t="shared" si="219"/>
        <v>9.6179505151133</v>
      </c>
      <c r="T212" s="97">
        <f t="shared" si="219"/>
        <v>10.900069116496132</v>
      </c>
      <c r="U212" s="97">
        <f t="shared" si="219"/>
        <v>9.8741543376139873</v>
      </c>
      <c r="V212" s="97">
        <f t="shared" si="219"/>
        <v>5.3947029590303153</v>
      </c>
      <c r="W212" s="97">
        <f t="shared" si="219"/>
        <v>6.1552091567966416</v>
      </c>
      <c r="X212" s="97">
        <f t="shared" si="219"/>
        <v>9.3559439561199014</v>
      </c>
      <c r="Y212" s="97">
        <f t="shared" si="219"/>
        <v>6.6664370388503231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3.3011654208792436</v>
      </c>
      <c r="C213" s="98">
        <f t="shared" si="220"/>
        <v>2.8932629272749817</v>
      </c>
      <c r="D213" s="98">
        <f t="shared" si="220"/>
        <v>2.7853831919001388</v>
      </c>
      <c r="E213" s="98">
        <f t="shared" si="220"/>
        <v>2.9713413013072985</v>
      </c>
      <c r="F213" s="98">
        <f t="shared" si="220"/>
        <v>3.2749276929734612</v>
      </c>
      <c r="G213" s="98">
        <f t="shared" si="220"/>
        <v>2.9720116405352224</v>
      </c>
      <c r="H213" s="98">
        <f t="shared" si="220"/>
        <v>3.0543904851361869</v>
      </c>
      <c r="I213" s="98">
        <f t="shared" si="220"/>
        <v>4.3205360074865942</v>
      </c>
      <c r="J213" s="98">
        <f t="shared" si="220"/>
        <v>3.0340179735729271</v>
      </c>
      <c r="K213" s="98">
        <f t="shared" si="220"/>
        <v>3.3471087417043011</v>
      </c>
      <c r="L213" s="98">
        <f t="shared" si="220"/>
        <v>3.0457615845319377</v>
      </c>
      <c r="M213" s="98">
        <f t="shared" si="220"/>
        <v>3.5174733120376453</v>
      </c>
      <c r="N213" s="98">
        <f t="shared" si="220"/>
        <v>3.5144002245904149</v>
      </c>
      <c r="O213" s="98">
        <f t="shared" si="220"/>
        <v>4.1156141844191865</v>
      </c>
      <c r="P213" s="98">
        <f t="shared" si="220"/>
        <v>2.6009266087602891</v>
      </c>
      <c r="Q213" s="98">
        <f t="shared" si="220"/>
        <v>2.2927371796981686</v>
      </c>
      <c r="R213" s="98">
        <f t="shared" si="220"/>
        <v>2.2700042156995139</v>
      </c>
      <c r="S213" s="98">
        <f t="shared" si="220"/>
        <v>2.2647283698676559</v>
      </c>
      <c r="T213" s="98">
        <f t="shared" si="220"/>
        <v>2.5378067537551066</v>
      </c>
      <c r="U213" s="98">
        <f t="shared" si="220"/>
        <v>2.2560295987780425</v>
      </c>
      <c r="V213" s="98">
        <f t="shared" si="220"/>
        <v>1.503345473123167</v>
      </c>
      <c r="W213" s="98">
        <f t="shared" si="220"/>
        <v>1.616899881119928</v>
      </c>
      <c r="X213" s="98">
        <f t="shared" si="220"/>
        <v>2.1995136404708719</v>
      </c>
      <c r="Y213" s="98">
        <f t="shared" si="220"/>
        <v>1.5844437653258923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105.13194934930063</v>
      </c>
      <c r="C216" s="32">
        <f t="shared" si="221"/>
        <v>103.70511386061656</v>
      </c>
      <c r="D216" s="32">
        <f t="shared" si="221"/>
        <v>102.71476621162465</v>
      </c>
      <c r="E216" s="32">
        <f t="shared" si="221"/>
        <v>100.72756586374939</v>
      </c>
      <c r="F216" s="32">
        <f t="shared" si="221"/>
        <v>99.159561340028745</v>
      </c>
      <c r="G216" s="32">
        <f t="shared" si="221"/>
        <v>97.659647858704659</v>
      </c>
      <c r="H216" s="32">
        <f t="shared" si="221"/>
        <v>98.126207655365732</v>
      </c>
      <c r="I216" s="32">
        <f t="shared" si="221"/>
        <v>96.895865205916081</v>
      </c>
      <c r="J216" s="32">
        <f t="shared" si="221"/>
        <v>94.767120898938316</v>
      </c>
      <c r="K216" s="32">
        <f t="shared" si="221"/>
        <v>95.277500480497778</v>
      </c>
      <c r="L216" s="32">
        <f t="shared" si="221"/>
        <v>93.618620694943502</v>
      </c>
      <c r="M216" s="32">
        <f t="shared" si="221"/>
        <v>98.245513578844054</v>
      </c>
      <c r="N216" s="32">
        <f t="shared" si="221"/>
        <v>91.808650730965397</v>
      </c>
      <c r="O216" s="32">
        <f t="shared" si="221"/>
        <v>90.392782879356986</v>
      </c>
      <c r="P216" s="32">
        <f t="shared" si="221"/>
        <v>88.822161984399415</v>
      </c>
      <c r="Q216" s="32">
        <f t="shared" si="221"/>
        <v>89.740456668105594</v>
      </c>
      <c r="R216" s="32">
        <f t="shared" si="221"/>
        <v>88.852633160246867</v>
      </c>
      <c r="S216" s="32">
        <f t="shared" si="221"/>
        <v>86.990679976487186</v>
      </c>
      <c r="T216" s="32">
        <f t="shared" si="221"/>
        <v>85.654652767138586</v>
      </c>
      <c r="U216" s="32">
        <f t="shared" si="221"/>
        <v>83.790322675603306</v>
      </c>
      <c r="V216" s="32">
        <f t="shared" si="221"/>
        <v>87.901322209519861</v>
      </c>
      <c r="W216" s="32">
        <f t="shared" si="221"/>
        <v>89.868608814762027</v>
      </c>
      <c r="X216" s="32">
        <f t="shared" si="221"/>
        <v>84.417105160104484</v>
      </c>
      <c r="Y216" s="32">
        <f t="shared" si="221"/>
        <v>81.144557977241007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108.82333362128804</v>
      </c>
      <c r="C217" s="141">
        <f t="shared" si="222"/>
        <v>107.90166923203506</v>
      </c>
      <c r="D217" s="141">
        <f t="shared" si="222"/>
        <v>107.42118456345912</v>
      </c>
      <c r="E217" s="141">
        <f t="shared" si="222"/>
        <v>105.35429190970051</v>
      </c>
      <c r="F217" s="141">
        <f t="shared" si="222"/>
        <v>104.18927450305641</v>
      </c>
      <c r="G217" s="141">
        <f t="shared" si="222"/>
        <v>103.59442928906202</v>
      </c>
      <c r="H217" s="141">
        <f t="shared" si="222"/>
        <v>104.26512763020499</v>
      </c>
      <c r="I217" s="141">
        <f t="shared" si="222"/>
        <v>103.03494121760113</v>
      </c>
      <c r="J217" s="141">
        <f t="shared" si="222"/>
        <v>101.07560029142155</v>
      </c>
      <c r="K217" s="141">
        <f t="shared" si="222"/>
        <v>102.81455319897881</v>
      </c>
      <c r="L217" s="141">
        <f t="shared" si="222"/>
        <v>100.90868467828615</v>
      </c>
      <c r="M217" s="141">
        <f t="shared" si="222"/>
        <v>106.49517410288865</v>
      </c>
      <c r="N217" s="141">
        <f t="shared" si="222"/>
        <v>97.816885039175219</v>
      </c>
      <c r="O217" s="141">
        <f t="shared" si="222"/>
        <v>96.584051128893307</v>
      </c>
      <c r="P217" s="141">
        <f t="shared" si="222"/>
        <v>95.56579878148591</v>
      </c>
      <c r="Q217" s="141">
        <f t="shared" si="222"/>
        <v>95.989589625524843</v>
      </c>
      <c r="R217" s="141">
        <f t="shared" si="222"/>
        <v>94.820934539288729</v>
      </c>
      <c r="S217" s="141">
        <f t="shared" si="222"/>
        <v>93.52824098476782</v>
      </c>
      <c r="T217" s="141">
        <f t="shared" si="222"/>
        <v>91.642664851529119</v>
      </c>
      <c r="U217" s="141">
        <f t="shared" si="222"/>
        <v>89.240032265738421</v>
      </c>
      <c r="V217" s="141">
        <f t="shared" si="222"/>
        <v>90.900056200030747</v>
      </c>
      <c r="W217" s="141">
        <f t="shared" si="222"/>
        <v>95.04240422412596</v>
      </c>
      <c r="X217" s="141">
        <f t="shared" si="222"/>
        <v>91.054839996359931</v>
      </c>
      <c r="Y217" s="141">
        <f t="shared" si="222"/>
        <v>89.413258541371206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91.220206407784445</v>
      </c>
      <c r="C218" s="97">
        <f t="shared" si="223"/>
        <v>90.776455167531196</v>
      </c>
      <c r="D218" s="97">
        <f t="shared" si="223"/>
        <v>90.318619923034902</v>
      </c>
      <c r="E218" s="97">
        <f t="shared" si="223"/>
        <v>88.889580515570557</v>
      </c>
      <c r="F218" s="97">
        <f t="shared" si="223"/>
        <v>89.087511563564064</v>
      </c>
      <c r="G218" s="97">
        <f t="shared" si="223"/>
        <v>86.801664984771207</v>
      </c>
      <c r="H218" s="97">
        <f t="shared" si="223"/>
        <v>86.524082368144121</v>
      </c>
      <c r="I218" s="97">
        <f t="shared" si="223"/>
        <v>84.605861237831732</v>
      </c>
      <c r="J218" s="97">
        <f t="shared" si="223"/>
        <v>82.461117095121907</v>
      </c>
      <c r="K218" s="97">
        <f t="shared" si="223"/>
        <v>82.428728217502467</v>
      </c>
      <c r="L218" s="97">
        <f t="shared" si="223"/>
        <v>82.171163790657374</v>
      </c>
      <c r="M218" s="97">
        <f t="shared" si="223"/>
        <v>79.825020292356044</v>
      </c>
      <c r="N218" s="97">
        <f t="shared" si="223"/>
        <v>81.860050907515188</v>
      </c>
      <c r="O218" s="97">
        <f t="shared" si="223"/>
        <v>82.082116183862112</v>
      </c>
      <c r="P218" s="97">
        <f t="shared" si="223"/>
        <v>81.243673437905258</v>
      </c>
      <c r="Q218" s="97">
        <f t="shared" si="223"/>
        <v>81.115974888014833</v>
      </c>
      <c r="R218" s="97">
        <f t="shared" si="223"/>
        <v>80.489696402789406</v>
      </c>
      <c r="S218" s="97">
        <f t="shared" si="223"/>
        <v>79.591109912541086</v>
      </c>
      <c r="T218" s="97">
        <f t="shared" si="223"/>
        <v>83.128036925076103</v>
      </c>
      <c r="U218" s="97">
        <f t="shared" si="223"/>
        <v>78.528964301232719</v>
      </c>
      <c r="V218" s="97">
        <f t="shared" si="223"/>
        <v>78.812352546926078</v>
      </c>
      <c r="W218" s="97">
        <f t="shared" si="223"/>
        <v>76.957608980902421</v>
      </c>
      <c r="X218" s="97">
        <f t="shared" si="223"/>
        <v>80.482283729082809</v>
      </c>
      <c r="Y218" s="97">
        <f t="shared" si="223"/>
        <v>78.463509860242723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109.42094796675487</v>
      </c>
      <c r="C219" s="97">
        <f t="shared" si="224"/>
        <v>108.37210033580455</v>
      </c>
      <c r="D219" s="97">
        <f t="shared" si="224"/>
        <v>107.97368113362144</v>
      </c>
      <c r="E219" s="97">
        <f t="shared" si="224"/>
        <v>105.79817056406108</v>
      </c>
      <c r="F219" s="97">
        <f t="shared" si="224"/>
        <v>104.58829605025518</v>
      </c>
      <c r="G219" s="97">
        <f t="shared" si="224"/>
        <v>104.06049188658577</v>
      </c>
      <c r="H219" s="97">
        <f t="shared" si="224"/>
        <v>104.85927189832152</v>
      </c>
      <c r="I219" s="97">
        <f t="shared" si="224"/>
        <v>103.61368645419098</v>
      </c>
      <c r="J219" s="97">
        <f t="shared" si="224"/>
        <v>101.81089462100181</v>
      </c>
      <c r="K219" s="97">
        <f t="shared" si="224"/>
        <v>104.03945048940201</v>
      </c>
      <c r="L219" s="97">
        <f t="shared" si="224"/>
        <v>102.25579359217733</v>
      </c>
      <c r="M219" s="97">
        <f t="shared" si="224"/>
        <v>108.62114020632633</v>
      </c>
      <c r="N219" s="97">
        <f t="shared" si="224"/>
        <v>99.078040284347324</v>
      </c>
      <c r="O219" s="97">
        <f t="shared" si="224"/>
        <v>98.23710625455854</v>
      </c>
      <c r="P219" s="97">
        <f t="shared" si="224"/>
        <v>97.237514472378209</v>
      </c>
      <c r="Q219" s="97">
        <f t="shared" si="224"/>
        <v>97.668387051059796</v>
      </c>
      <c r="R219" s="97">
        <f t="shared" si="224"/>
        <v>96.306256609663919</v>
      </c>
      <c r="S219" s="97">
        <f t="shared" si="224"/>
        <v>95.011369827048327</v>
      </c>
      <c r="T219" s="97">
        <f t="shared" si="224"/>
        <v>92.829877110090834</v>
      </c>
      <c r="U219" s="97">
        <f t="shared" si="224"/>
        <v>90.470909948108954</v>
      </c>
      <c r="V219" s="97">
        <f t="shared" si="224"/>
        <v>91.151533222715713</v>
      </c>
      <c r="W219" s="97">
        <f t="shared" si="224"/>
        <v>95.340483900853698</v>
      </c>
      <c r="X219" s="97">
        <f t="shared" si="224"/>
        <v>91.38999839297982</v>
      </c>
      <c r="Y219" s="97">
        <f t="shared" si="224"/>
        <v>90.456405990004754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104.57216215850634</v>
      </c>
      <c r="C220" s="97">
        <f t="shared" si="225"/>
        <v>105.38034715323154</v>
      </c>
      <c r="D220" s="97">
        <f t="shared" si="225"/>
        <v>104.16182603087523</v>
      </c>
      <c r="E220" s="97">
        <f t="shared" si="225"/>
        <v>103.5834278664302</v>
      </c>
      <c r="F220" s="97">
        <f t="shared" si="225"/>
        <v>102.98487199904324</v>
      </c>
      <c r="G220" s="97">
        <f t="shared" si="225"/>
        <v>102.25157479899015</v>
      </c>
      <c r="H220" s="97">
        <f t="shared" si="225"/>
        <v>101.56396357729018</v>
      </c>
      <c r="I220" s="97">
        <f t="shared" si="225"/>
        <v>100.94942037657579</v>
      </c>
      <c r="J220" s="97">
        <f t="shared" si="225"/>
        <v>97.533267532785842</v>
      </c>
      <c r="K220" s="97">
        <f t="shared" si="225"/>
        <v>93.680611618432735</v>
      </c>
      <c r="L220" s="97">
        <f t="shared" si="225"/>
        <v>89.636532748479567</v>
      </c>
      <c r="M220" s="97">
        <f t="shared" si="225"/>
        <v>88.164835843787245</v>
      </c>
      <c r="N220" s="97">
        <f t="shared" si="225"/>
        <v>85.648706014999135</v>
      </c>
      <c r="O220" s="97">
        <f t="shared" si="225"/>
        <v>78.695276532995081</v>
      </c>
      <c r="P220" s="97">
        <f t="shared" si="225"/>
        <v>77.554442190144115</v>
      </c>
      <c r="Q220" s="97">
        <f t="shared" si="225"/>
        <v>78.024456714990365</v>
      </c>
      <c r="R220" s="97">
        <f t="shared" si="225"/>
        <v>78.920824722849332</v>
      </c>
      <c r="S220" s="97">
        <f t="shared" si="225"/>
        <v>77.139352835154384</v>
      </c>
      <c r="T220" s="97">
        <f t="shared" si="225"/>
        <v>77.717644622815271</v>
      </c>
      <c r="U220" s="97">
        <f t="shared" si="225"/>
        <v>75.722367218846728</v>
      </c>
      <c r="V220" s="97">
        <f t="shared" si="225"/>
        <v>90.996642559921298</v>
      </c>
      <c r="W220" s="97">
        <f t="shared" si="225"/>
        <v>96.40682024946517</v>
      </c>
      <c r="X220" s="97">
        <f t="shared" si="225"/>
        <v>88.920484545468241</v>
      </c>
      <c r="Y220" s="97">
        <f t="shared" si="225"/>
        <v>77.760202650709118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9.8630202905890663</v>
      </c>
      <c r="C221" s="130">
        <f t="shared" si="226"/>
        <v>6.1934592226520628</v>
      </c>
      <c r="D221" s="130">
        <f t="shared" si="226"/>
        <v>6.2457353396251882</v>
      </c>
      <c r="E221" s="130">
        <f t="shared" si="226"/>
        <v>6.1478182393882941</v>
      </c>
      <c r="F221" s="130">
        <f t="shared" si="226"/>
        <v>6.3511484378680247</v>
      </c>
      <c r="G221" s="130">
        <f t="shared" si="226"/>
        <v>5.8049355910526756</v>
      </c>
      <c r="H221" s="130">
        <f t="shared" si="226"/>
        <v>5.4695112898196321</v>
      </c>
      <c r="I221" s="130">
        <f t="shared" si="226"/>
        <v>4.9390830309782494</v>
      </c>
      <c r="J221" s="130">
        <f t="shared" si="226"/>
        <v>4.8555929641978555</v>
      </c>
      <c r="K221" s="130">
        <f t="shared" si="226"/>
        <v>4.7196953242076107</v>
      </c>
      <c r="L221" s="130">
        <f t="shared" si="226"/>
        <v>4.4721215585160294</v>
      </c>
      <c r="M221" s="130">
        <f t="shared" si="226"/>
        <v>4.3873661716113057</v>
      </c>
      <c r="N221" s="130">
        <f t="shared" si="226"/>
        <v>4.0701493597508769</v>
      </c>
      <c r="O221" s="130">
        <f t="shared" si="226"/>
        <v>4.0208247470717273</v>
      </c>
      <c r="P221" s="130">
        <f t="shared" si="226"/>
        <v>3.7913603861458371</v>
      </c>
      <c r="Q221" s="130">
        <f t="shared" si="226"/>
        <v>3.8178129943790795</v>
      </c>
      <c r="R221" s="130">
        <f t="shared" si="226"/>
        <v>3.2501323593846276</v>
      </c>
      <c r="S221" s="130">
        <f t="shared" si="226"/>
        <v>3.1726786231094257</v>
      </c>
      <c r="T221" s="130">
        <f t="shared" si="226"/>
        <v>2.9257402775831705</v>
      </c>
      <c r="U221" s="130">
        <f t="shared" si="226"/>
        <v>2.8039214748422774</v>
      </c>
      <c r="V221" s="130">
        <f t="shared" si="226"/>
        <v>3.895538104519634</v>
      </c>
      <c r="W221" s="130">
        <f t="shared" si="226"/>
        <v>3.3510187869961952</v>
      </c>
      <c r="X221" s="130">
        <f t="shared" si="226"/>
        <v>2.6558922785553145</v>
      </c>
      <c r="Y221" s="130">
        <f t="shared" si="226"/>
        <v>2.4895126786039201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20.53244913187465</v>
      </c>
      <c r="C223" s="97">
        <f t="shared" si="228"/>
        <v>13.504420332058851</v>
      </c>
      <c r="D223" s="97">
        <f t="shared" si="228"/>
        <v>14.164525837051681</v>
      </c>
      <c r="E223" s="97">
        <f t="shared" si="228"/>
        <v>14.269586525518324</v>
      </c>
      <c r="F223" s="97">
        <f t="shared" si="228"/>
        <v>14.892590027241667</v>
      </c>
      <c r="G223" s="97">
        <f t="shared" si="228"/>
        <v>13.681253809263843</v>
      </c>
      <c r="H223" s="97">
        <f t="shared" si="228"/>
        <v>13.054599566866239</v>
      </c>
      <c r="I223" s="97">
        <f t="shared" si="228"/>
        <v>12.409360137716391</v>
      </c>
      <c r="J223" s="97">
        <f t="shared" si="228"/>
        <v>12.625235739806792</v>
      </c>
      <c r="K223" s="97">
        <f t="shared" si="228"/>
        <v>12.23304816878742</v>
      </c>
      <c r="L223" s="97">
        <f t="shared" si="228"/>
        <v>11.881875456338465</v>
      </c>
      <c r="M223" s="97">
        <f t="shared" si="228"/>
        <v>11.445795326515869</v>
      </c>
      <c r="N223" s="97">
        <f t="shared" si="228"/>
        <v>10.641990364939412</v>
      </c>
      <c r="O223" s="97">
        <f t="shared" si="228"/>
        <v>10.582054096025491</v>
      </c>
      <c r="P223" s="97">
        <f t="shared" si="228"/>
        <v>10.105758389982645</v>
      </c>
      <c r="Q223" s="97">
        <f t="shared" si="228"/>
        <v>10.227440038695981</v>
      </c>
      <c r="R223" s="97">
        <f t="shared" si="228"/>
        <v>8.7104802895207403</v>
      </c>
      <c r="S223" s="97">
        <f t="shared" si="228"/>
        <v>8.7234900936118791</v>
      </c>
      <c r="T223" s="97">
        <f t="shared" si="228"/>
        <v>8.0676291822805553</v>
      </c>
      <c r="U223" s="97">
        <f t="shared" si="228"/>
        <v>7.7309770374435338</v>
      </c>
      <c r="V223" s="97">
        <f t="shared" si="228"/>
        <v>10.365854203536683</v>
      </c>
      <c r="W223" s="97">
        <f t="shared" si="228"/>
        <v>8.979827708014156</v>
      </c>
      <c r="X223" s="97">
        <f t="shared" si="228"/>
        <v>7.3866072208621159</v>
      </c>
      <c r="Y223" s="97">
        <f t="shared" si="228"/>
        <v>6.8910320130226168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148.35351723801105</v>
      </c>
      <c r="C225" s="130">
        <f t="shared" si="230"/>
        <v>145.50280033076109</v>
      </c>
      <c r="D225" s="130">
        <f t="shared" si="230"/>
        <v>140.85736218527882</v>
      </c>
      <c r="E225" s="130">
        <f t="shared" si="230"/>
        <v>137.02828290518178</v>
      </c>
      <c r="F225" s="130">
        <f t="shared" si="230"/>
        <v>132.34215350408002</v>
      </c>
      <c r="G225" s="130">
        <f t="shared" si="230"/>
        <v>125.14001261034427</v>
      </c>
      <c r="H225" s="130">
        <f t="shared" si="230"/>
        <v>126.82052184466249</v>
      </c>
      <c r="I225" s="130">
        <f t="shared" si="230"/>
        <v>124.9346241890546</v>
      </c>
      <c r="J225" s="130">
        <f t="shared" si="230"/>
        <v>124.56118742451397</v>
      </c>
      <c r="K225" s="130">
        <f t="shared" si="230"/>
        <v>118.90346116804184</v>
      </c>
      <c r="L225" s="130">
        <f t="shared" si="230"/>
        <v>117.00241024284887</v>
      </c>
      <c r="M225" s="130">
        <f t="shared" si="230"/>
        <v>120.16179068635614</v>
      </c>
      <c r="N225" s="130">
        <f t="shared" si="230"/>
        <v>118.65993784611707</v>
      </c>
      <c r="O225" s="130">
        <f t="shared" si="230"/>
        <v>114.27441083294542</v>
      </c>
      <c r="P225" s="130">
        <f t="shared" si="230"/>
        <v>107.50173500230447</v>
      </c>
      <c r="Q225" s="130">
        <f t="shared" si="230"/>
        <v>110.81435538138024</v>
      </c>
      <c r="R225" s="130">
        <f t="shared" si="230"/>
        <v>110.18653086101608</v>
      </c>
      <c r="S225" s="130">
        <f t="shared" si="230"/>
        <v>106.33217261454159</v>
      </c>
      <c r="T225" s="130">
        <f t="shared" si="230"/>
        <v>103.3707651883181</v>
      </c>
      <c r="U225" s="130">
        <f t="shared" si="230"/>
        <v>103.26552393423876</v>
      </c>
      <c r="V225" s="130">
        <f t="shared" si="230"/>
        <v>135.17185246865586</v>
      </c>
      <c r="W225" s="130">
        <f t="shared" si="230"/>
        <v>128.69253844187577</v>
      </c>
      <c r="X225" s="130">
        <f t="shared" si="230"/>
        <v>105.51462689134264</v>
      </c>
      <c r="Y225" s="130">
        <f t="shared" si="230"/>
        <v>92.601800712403119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143.5421606306289</v>
      </c>
      <c r="C226" s="97">
        <f t="shared" si="231"/>
        <v>140.27315205081013</v>
      </c>
      <c r="D226" s="97">
        <f t="shared" si="231"/>
        <v>125.74743610271364</v>
      </c>
      <c r="E226" s="97">
        <f t="shared" si="231"/>
        <v>122.43635971588165</v>
      </c>
      <c r="F226" s="97">
        <f t="shared" si="231"/>
        <v>117.79109302629394</v>
      </c>
      <c r="G226" s="97">
        <f t="shared" si="231"/>
        <v>116.92048909690445</v>
      </c>
      <c r="H226" s="97">
        <f t="shared" si="231"/>
        <v>115.7807685367538</v>
      </c>
      <c r="I226" s="97">
        <f t="shared" si="231"/>
        <v>112.6584542106057</v>
      </c>
      <c r="J226" s="97">
        <f t="shared" si="231"/>
        <v>115.47891192777421</v>
      </c>
      <c r="K226" s="97">
        <f t="shared" si="231"/>
        <v>106.93882344717177</v>
      </c>
      <c r="L226" s="97">
        <f t="shared" si="231"/>
        <v>101.10397314672045</v>
      </c>
      <c r="M226" s="97">
        <f t="shared" si="231"/>
        <v>175.78386605482044</v>
      </c>
      <c r="N226" s="97">
        <f t="shared" si="231"/>
        <v>178.40467359512638</v>
      </c>
      <c r="O226" s="97">
        <f t="shared" si="231"/>
        <v>170.00309840163291</v>
      </c>
      <c r="P226" s="97">
        <f t="shared" si="231"/>
        <v>161.14156694797879</v>
      </c>
      <c r="Q226" s="97">
        <f t="shared" si="231"/>
        <v>159.31589212067206</v>
      </c>
      <c r="R226" s="97">
        <f t="shared" si="231"/>
        <v>158.6052771037553</v>
      </c>
      <c r="S226" s="97">
        <f t="shared" si="231"/>
        <v>153.20246646158313</v>
      </c>
      <c r="T226" s="97">
        <f t="shared" si="231"/>
        <v>150.68593458113531</v>
      </c>
      <c r="U226" s="97">
        <f t="shared" si="231"/>
        <v>148.77805686649924</v>
      </c>
      <c r="V226" s="97">
        <f t="shared" si="231"/>
        <v>170.0067495874687</v>
      </c>
      <c r="W226" s="97">
        <f t="shared" si="231"/>
        <v>157.18737370802006</v>
      </c>
      <c r="X226" s="97">
        <f t="shared" si="231"/>
        <v>149.24957387667786</v>
      </c>
      <c r="Y226" s="97">
        <f t="shared" si="231"/>
        <v>137.06172720847547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168.73862378232664</v>
      </c>
      <c r="C227" s="97">
        <f t="shared" si="232"/>
        <v>164.96015800730152</v>
      </c>
      <c r="D227" s="97">
        <f t="shared" si="232"/>
        <v>162.96620207335846</v>
      </c>
      <c r="E227" s="97">
        <f t="shared" si="232"/>
        <v>153.54902378152684</v>
      </c>
      <c r="F227" s="97">
        <f t="shared" si="232"/>
        <v>151.97720196457988</v>
      </c>
      <c r="G227" s="97">
        <f t="shared" si="232"/>
        <v>145.42989562428633</v>
      </c>
      <c r="H227" s="97">
        <f t="shared" si="232"/>
        <v>149.80713584963004</v>
      </c>
      <c r="I227" s="97">
        <f t="shared" si="232"/>
        <v>151.52476010628584</v>
      </c>
      <c r="J227" s="97">
        <f t="shared" si="232"/>
        <v>149.59922539432498</v>
      </c>
      <c r="K227" s="97">
        <f t="shared" si="232"/>
        <v>139.76135627991289</v>
      </c>
      <c r="L227" s="97">
        <f t="shared" si="232"/>
        <v>137.08392992025026</v>
      </c>
      <c r="M227" s="97">
        <f t="shared" si="232"/>
        <v>125.19799761292546</v>
      </c>
      <c r="N227" s="97">
        <f t="shared" si="232"/>
        <v>116.36416532687888</v>
      </c>
      <c r="O227" s="97">
        <f t="shared" si="232"/>
        <v>113.57378623340439</v>
      </c>
      <c r="P227" s="97">
        <f t="shared" si="232"/>
        <v>107.35027976234328</v>
      </c>
      <c r="Q227" s="97">
        <f t="shared" si="232"/>
        <v>108.27983055941857</v>
      </c>
      <c r="R227" s="97">
        <f t="shared" si="232"/>
        <v>106.69813624592689</v>
      </c>
      <c r="S227" s="97">
        <f t="shared" si="232"/>
        <v>104.84328138706582</v>
      </c>
      <c r="T227" s="97">
        <f t="shared" si="232"/>
        <v>102.04286181769029</v>
      </c>
      <c r="U227" s="97">
        <f t="shared" si="232"/>
        <v>100.05618716782062</v>
      </c>
      <c r="V227" s="97">
        <f t="shared" si="232"/>
        <v>100.80724759433541</v>
      </c>
      <c r="W227" s="97">
        <f t="shared" si="232"/>
        <v>87.752423187056451</v>
      </c>
      <c r="X227" s="97">
        <f t="shared" si="232"/>
        <v>93.210345489191539</v>
      </c>
      <c r="Y227" s="97">
        <f t="shared" si="232"/>
        <v>88.256070626710638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143.4056383043544</v>
      </c>
      <c r="C228" s="97">
        <f t="shared" si="233"/>
        <v>140.96599146361598</v>
      </c>
      <c r="D228" s="97">
        <f t="shared" si="233"/>
        <v>138.50025483580225</v>
      </c>
      <c r="E228" s="97">
        <f t="shared" si="233"/>
        <v>135.99429839573023</v>
      </c>
      <c r="F228" s="97">
        <f t="shared" si="233"/>
        <v>130.22178103660838</v>
      </c>
      <c r="G228" s="97">
        <f t="shared" si="233"/>
        <v>121.25205661589553</v>
      </c>
      <c r="H228" s="97">
        <f t="shared" si="233"/>
        <v>122.72070262197073</v>
      </c>
      <c r="I228" s="97">
        <f t="shared" si="233"/>
        <v>120.08626513647209</v>
      </c>
      <c r="J228" s="97">
        <f t="shared" si="233"/>
        <v>119.52784671114188</v>
      </c>
      <c r="K228" s="97">
        <f t="shared" si="233"/>
        <v>115.95506517737526</v>
      </c>
      <c r="L228" s="97">
        <f t="shared" si="233"/>
        <v>115.3003532108587</v>
      </c>
      <c r="M228" s="97">
        <f t="shared" si="233"/>
        <v>105.80684978874575</v>
      </c>
      <c r="N228" s="97">
        <f t="shared" si="233"/>
        <v>105.28852044599097</v>
      </c>
      <c r="O228" s="97">
        <f t="shared" si="233"/>
        <v>101.42025990191779</v>
      </c>
      <c r="P228" s="97">
        <f t="shared" si="233"/>
        <v>95.58374105958741</v>
      </c>
      <c r="Q228" s="97">
        <f t="shared" si="233"/>
        <v>100.65982153347959</v>
      </c>
      <c r="R228" s="97">
        <f t="shared" si="233"/>
        <v>99.83722912060351</v>
      </c>
      <c r="S228" s="97">
        <f t="shared" si="233"/>
        <v>95.510107369215604</v>
      </c>
      <c r="T228" s="97">
        <f t="shared" si="233"/>
        <v>92.497288172758729</v>
      </c>
      <c r="U228" s="97">
        <f t="shared" si="233"/>
        <v>93.694216271567143</v>
      </c>
      <c r="V228" s="97">
        <f t="shared" si="233"/>
        <v>130.99351014971083</v>
      </c>
      <c r="W228" s="97">
        <f t="shared" si="233"/>
        <v>130.90107034903775</v>
      </c>
      <c r="X228" s="97">
        <f t="shared" si="233"/>
        <v>96.499092170645554</v>
      </c>
      <c r="Y228" s="97">
        <f t="shared" si="233"/>
        <v>83.689855414850101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139.82448414609055</v>
      </c>
      <c r="C229" s="32">
        <f t="shared" si="234"/>
        <v>140.0049200382235</v>
      </c>
      <c r="D229" s="32">
        <f t="shared" si="234"/>
        <v>136.66935169478811</v>
      </c>
      <c r="E229" s="32">
        <f t="shared" si="234"/>
        <v>135.3716748783803</v>
      </c>
      <c r="F229" s="32">
        <f t="shared" si="234"/>
        <v>131.33640769404062</v>
      </c>
      <c r="G229" s="32">
        <f t="shared" si="234"/>
        <v>130.08910173460603</v>
      </c>
      <c r="H229" s="32">
        <f t="shared" si="234"/>
        <v>124.22964257289297</v>
      </c>
      <c r="I229" s="32">
        <f t="shared" si="234"/>
        <v>121.89393961343256</v>
      </c>
      <c r="J229" s="32">
        <f t="shared" si="234"/>
        <v>117.66246926020098</v>
      </c>
      <c r="K229" s="32">
        <f t="shared" si="234"/>
        <v>127.25821534712395</v>
      </c>
      <c r="L229" s="32">
        <f t="shared" si="234"/>
        <v>126.53632806929113</v>
      </c>
      <c r="M229" s="32">
        <f t="shared" si="234"/>
        <v>129.57689119262841</v>
      </c>
      <c r="N229" s="32">
        <f t="shared" si="234"/>
        <v>132.20065247838306</v>
      </c>
      <c r="O229" s="32">
        <f t="shared" si="234"/>
        <v>133.59890625712916</v>
      </c>
      <c r="P229" s="32">
        <f t="shared" si="234"/>
        <v>130.92140900637594</v>
      </c>
      <c r="Q229" s="32">
        <f t="shared" si="234"/>
        <v>133.21452894311463</v>
      </c>
      <c r="R229" s="32">
        <f t="shared" si="234"/>
        <v>133.45148608377923</v>
      </c>
      <c r="S229" s="32">
        <f t="shared" si="234"/>
        <v>128.48321900018658</v>
      </c>
      <c r="T229" s="32">
        <f t="shared" si="234"/>
        <v>125.46257140146491</v>
      </c>
      <c r="U229" s="32">
        <f t="shared" si="234"/>
        <v>122.34704592720078</v>
      </c>
      <c r="V229" s="32">
        <f t="shared" si="234"/>
        <v>118.45442140925756</v>
      </c>
      <c r="W229" s="32">
        <f t="shared" si="234"/>
        <v>124.36062357095145</v>
      </c>
      <c r="X229" s="32">
        <f t="shared" si="234"/>
        <v>123.4121488789112</v>
      </c>
      <c r="Y229" s="32">
        <f t="shared" si="234"/>
        <v>121.05302254009253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176.66511484837937</v>
      </c>
      <c r="C230" s="141">
        <f t="shared" si="235"/>
        <v>170.15851232614366</v>
      </c>
      <c r="D230" s="141">
        <f t="shared" si="235"/>
        <v>165.3139509094861</v>
      </c>
      <c r="E230" s="141">
        <f t="shared" si="235"/>
        <v>160.45547815715878</v>
      </c>
      <c r="F230" s="141">
        <f t="shared" si="235"/>
        <v>152.03422546760726</v>
      </c>
      <c r="G230" s="141">
        <f t="shared" si="235"/>
        <v>149.18363776693823</v>
      </c>
      <c r="H230" s="141">
        <f t="shared" si="235"/>
        <v>144.55040005284474</v>
      </c>
      <c r="I230" s="141">
        <f t="shared" si="235"/>
        <v>138.07247639078733</v>
      </c>
      <c r="J230" s="141">
        <f t="shared" si="235"/>
        <v>134.92698629459238</v>
      </c>
      <c r="K230" s="141">
        <f t="shared" si="235"/>
        <v>144.64553598754227</v>
      </c>
      <c r="L230" s="141">
        <f t="shared" si="235"/>
        <v>142.04966579179549</v>
      </c>
      <c r="M230" s="141">
        <f t="shared" si="235"/>
        <v>148.22597506184232</v>
      </c>
      <c r="N230" s="141">
        <f t="shared" si="235"/>
        <v>150.6812242503434</v>
      </c>
      <c r="O230" s="141">
        <f t="shared" si="235"/>
        <v>148.97936133453211</v>
      </c>
      <c r="P230" s="141">
        <f t="shared" si="235"/>
        <v>148.31639925809762</v>
      </c>
      <c r="Q230" s="141">
        <f t="shared" si="235"/>
        <v>153.23929026274158</v>
      </c>
      <c r="R230" s="141">
        <f t="shared" si="235"/>
        <v>151.19772092280007</v>
      </c>
      <c r="S230" s="141">
        <f t="shared" si="235"/>
        <v>144.18165055229733</v>
      </c>
      <c r="T230" s="141">
        <f t="shared" si="235"/>
        <v>140.55883866046557</v>
      </c>
      <c r="U230" s="141">
        <f t="shared" si="235"/>
        <v>137.09647945980649</v>
      </c>
      <c r="V230" s="141">
        <f t="shared" si="235"/>
        <v>130.6526677305435</v>
      </c>
      <c r="W230" s="141">
        <f t="shared" si="235"/>
        <v>138.2225445930398</v>
      </c>
      <c r="X230" s="141">
        <f t="shared" si="235"/>
        <v>136.62966871356224</v>
      </c>
      <c r="Y230" s="141">
        <f t="shared" si="235"/>
        <v>134.02107605688965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1427.6866471894905</v>
      </c>
      <c r="C231" s="97">
        <f t="shared" si="236"/>
        <v>1376.9077383207364</v>
      </c>
      <c r="D231" s="97">
        <f t="shared" si="236"/>
        <v>1345.8133511618671</v>
      </c>
      <c r="E231" s="97">
        <f t="shared" si="236"/>
        <v>1304.4269692001985</v>
      </c>
      <c r="F231" s="97">
        <f t="shared" si="236"/>
        <v>1262.4586248840149</v>
      </c>
      <c r="G231" s="97">
        <f t="shared" si="236"/>
        <v>1234.0070884927907</v>
      </c>
      <c r="H231" s="97">
        <f t="shared" si="236"/>
        <v>1208.1637357125562</v>
      </c>
      <c r="I231" s="97">
        <f t="shared" si="236"/>
        <v>1166.8713228752076</v>
      </c>
      <c r="J231" s="97">
        <f t="shared" si="236"/>
        <v>1128.926347591786</v>
      </c>
      <c r="K231" s="97">
        <f t="shared" si="236"/>
        <v>1125.1117675309592</v>
      </c>
      <c r="L231" s="97">
        <f t="shared" si="236"/>
        <v>1125.3868814426103</v>
      </c>
      <c r="M231" s="97">
        <f t="shared" si="236"/>
        <v>1153.372023679128</v>
      </c>
      <c r="N231" s="97">
        <f t="shared" si="236"/>
        <v>1144.5137467173181</v>
      </c>
      <c r="O231" s="97">
        <f t="shared" si="236"/>
        <v>1130.6911614862242</v>
      </c>
      <c r="P231" s="97">
        <f t="shared" si="236"/>
        <v>1103.7662232471807</v>
      </c>
      <c r="Q231" s="97">
        <f t="shared" si="236"/>
        <v>1098.8849252575244</v>
      </c>
      <c r="R231" s="97">
        <f t="shared" si="236"/>
        <v>1091.0234019013035</v>
      </c>
      <c r="S231" s="97">
        <f t="shared" si="236"/>
        <v>1079.8757255573689</v>
      </c>
      <c r="T231" s="97">
        <f t="shared" si="236"/>
        <v>1074.9205574259756</v>
      </c>
      <c r="U231" s="97">
        <f t="shared" si="236"/>
        <v>1054.1435574064317</v>
      </c>
      <c r="V231" s="97">
        <f t="shared" si="236"/>
        <v>1025.9632776953208</v>
      </c>
      <c r="W231" s="97">
        <f t="shared" si="236"/>
        <v>1075.8033623350341</v>
      </c>
      <c r="X231" s="97">
        <f t="shared" si="236"/>
        <v>1055.0338783394996</v>
      </c>
      <c r="Y231" s="97">
        <f t="shared" si="236"/>
        <v>1013.5306951427063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100.99530861810116</v>
      </c>
      <c r="C232" s="97">
        <f t="shared" si="237"/>
        <v>98.111677035644846</v>
      </c>
      <c r="D232" s="97">
        <f t="shared" si="237"/>
        <v>96.012788779493562</v>
      </c>
      <c r="E232" s="97">
        <f t="shared" si="237"/>
        <v>93.994639655081627</v>
      </c>
      <c r="F232" s="97">
        <f t="shared" si="237"/>
        <v>92.826704458703816</v>
      </c>
      <c r="G232" s="97">
        <f t="shared" si="237"/>
        <v>91.789363071042132</v>
      </c>
      <c r="H232" s="97">
        <f t="shared" si="237"/>
        <v>89.384814124885807</v>
      </c>
      <c r="I232" s="97">
        <f t="shared" si="237"/>
        <v>86.270558206223825</v>
      </c>
      <c r="J232" s="97">
        <f t="shared" si="237"/>
        <v>83.833205823969621</v>
      </c>
      <c r="K232" s="97">
        <f t="shared" si="237"/>
        <v>85.426082703574025</v>
      </c>
      <c r="L232" s="97">
        <f t="shared" si="237"/>
        <v>84.048682941813439</v>
      </c>
      <c r="M232" s="97">
        <f t="shared" si="237"/>
        <v>86.130565204201602</v>
      </c>
      <c r="N232" s="97">
        <f t="shared" si="237"/>
        <v>85.181772296018735</v>
      </c>
      <c r="O232" s="97">
        <f t="shared" si="237"/>
        <v>84.269889519807336</v>
      </c>
      <c r="P232" s="97">
        <f t="shared" si="237"/>
        <v>84.009160936318239</v>
      </c>
      <c r="Q232" s="97">
        <f t="shared" si="237"/>
        <v>84.869304411012251</v>
      </c>
      <c r="R232" s="97">
        <f t="shared" si="237"/>
        <v>85.282078441919779</v>
      </c>
      <c r="S232" s="97">
        <f t="shared" si="237"/>
        <v>81.502278587318273</v>
      </c>
      <c r="T232" s="97">
        <f t="shared" si="237"/>
        <v>78.729750363195848</v>
      </c>
      <c r="U232" s="97">
        <f t="shared" si="237"/>
        <v>77.43434172598738</v>
      </c>
      <c r="V232" s="97">
        <f t="shared" si="237"/>
        <v>77.472853247839382</v>
      </c>
      <c r="W232" s="97">
        <f t="shared" si="237"/>
        <v>78.281080026313077</v>
      </c>
      <c r="X232" s="97">
        <f t="shared" si="237"/>
        <v>76.588304082228007</v>
      </c>
      <c r="Y232" s="97">
        <f t="shared" si="237"/>
        <v>73.933249033731755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6.0341829685646093</v>
      </c>
      <c r="C233" s="130">
        <f t="shared" si="238"/>
        <v>4.7250175017419762</v>
      </c>
      <c r="D233" s="130">
        <f t="shared" si="238"/>
        <v>4.8684007461357082</v>
      </c>
      <c r="E233" s="130">
        <f t="shared" si="238"/>
        <v>4.5925338566117784</v>
      </c>
      <c r="F233" s="130">
        <f t="shared" si="238"/>
        <v>3.7996574308308526</v>
      </c>
      <c r="G233" s="130">
        <f t="shared" si="238"/>
        <v>3.3620707851008955</v>
      </c>
      <c r="H233" s="130">
        <f t="shared" si="238"/>
        <v>3.0300965876669896</v>
      </c>
      <c r="I233" s="130">
        <f t="shared" si="238"/>
        <v>2.8312170372648104</v>
      </c>
      <c r="J233" s="130">
        <f t="shared" si="238"/>
        <v>3.0104856639967656</v>
      </c>
      <c r="K233" s="130">
        <f t="shared" si="238"/>
        <v>2.8262021473802217</v>
      </c>
      <c r="L233" s="130">
        <f t="shared" si="238"/>
        <v>2.7665328580856348</v>
      </c>
      <c r="M233" s="130">
        <f t="shared" si="238"/>
        <v>2.4018098814186697</v>
      </c>
      <c r="N233" s="130">
        <f t="shared" si="238"/>
        <v>2.0861851576668613</v>
      </c>
      <c r="O233" s="130">
        <f t="shared" si="238"/>
        <v>2.1471741880513453</v>
      </c>
      <c r="P233" s="130">
        <f t="shared" si="238"/>
        <v>1.8953996222645133</v>
      </c>
      <c r="Q233" s="130">
        <f t="shared" si="238"/>
        <v>1.7901155905595834</v>
      </c>
      <c r="R233" s="130">
        <f t="shared" si="238"/>
        <v>1.6524358426158059</v>
      </c>
      <c r="S233" s="130">
        <f t="shared" si="238"/>
        <v>1.7239704387444896</v>
      </c>
      <c r="T233" s="130">
        <f t="shared" si="238"/>
        <v>1.5570312401215956</v>
      </c>
      <c r="U233" s="130">
        <f t="shared" si="238"/>
        <v>1.636554813256077</v>
      </c>
      <c r="V233" s="130">
        <f t="shared" si="238"/>
        <v>1.8908397208460874</v>
      </c>
      <c r="W233" s="130">
        <f t="shared" si="238"/>
        <v>2.0891167642254875</v>
      </c>
      <c r="X233" s="130">
        <f t="shared" si="238"/>
        <v>1.7639420345074355</v>
      </c>
      <c r="Y233" s="130">
        <f t="shared" si="238"/>
        <v>1.567672795247554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259.08353597481801</v>
      </c>
      <c r="C234" s="130">
        <f t="shared" si="239"/>
        <v>254.02983503957222</v>
      </c>
      <c r="D234" s="130">
        <f t="shared" si="239"/>
        <v>258.91534748537561</v>
      </c>
      <c r="E234" s="130">
        <f t="shared" si="239"/>
        <v>264.43024159999368</v>
      </c>
      <c r="F234" s="130">
        <f t="shared" si="239"/>
        <v>279.09647224828592</v>
      </c>
      <c r="G234" s="130">
        <f t="shared" si="239"/>
        <v>286.86578277721117</v>
      </c>
      <c r="H234" s="130">
        <f t="shared" si="239"/>
        <v>299.98500851439337</v>
      </c>
      <c r="I234" s="130">
        <f t="shared" si="239"/>
        <v>295.97316480380175</v>
      </c>
      <c r="J234" s="130">
        <f t="shared" si="239"/>
        <v>309.8232487824377</v>
      </c>
      <c r="K234" s="130">
        <f t="shared" si="239"/>
        <v>281.02959723480615</v>
      </c>
      <c r="L234" s="130">
        <f t="shared" si="239"/>
        <v>310.22491261198326</v>
      </c>
      <c r="M234" s="130">
        <f t="shared" si="239"/>
        <v>264.33001298217664</v>
      </c>
      <c r="N234" s="130">
        <f t="shared" si="239"/>
        <v>278.41511740822921</v>
      </c>
      <c r="O234" s="130">
        <f t="shared" si="239"/>
        <v>272.27585263024412</v>
      </c>
      <c r="P234" s="130">
        <f t="shared" si="239"/>
        <v>216.12687641382379</v>
      </c>
      <c r="Q234" s="130">
        <f t="shared" si="239"/>
        <v>234.56638898253618</v>
      </c>
      <c r="R234" s="130">
        <f t="shared" si="239"/>
        <v>215.68747791301911</v>
      </c>
      <c r="S234" s="130">
        <f t="shared" si="239"/>
        <v>223.06132666046446</v>
      </c>
      <c r="T234" s="130">
        <f t="shared" si="239"/>
        <v>213.2942163742091</v>
      </c>
      <c r="U234" s="130">
        <f t="shared" si="239"/>
        <v>208.75851799226737</v>
      </c>
      <c r="V234" s="130">
        <f t="shared" si="239"/>
        <v>338.30014504444108</v>
      </c>
      <c r="W234" s="130">
        <f t="shared" si="239"/>
        <v>330.70025226337651</v>
      </c>
      <c r="X234" s="130">
        <f t="shared" si="239"/>
        <v>285.04970416592596</v>
      </c>
      <c r="Y234" s="130">
        <f t="shared" si="239"/>
        <v>245.07322070956218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1080.5171048743066</v>
      </c>
      <c r="C235" s="97">
        <f t="shared" si="240"/>
        <v>1078.5719495363446</v>
      </c>
      <c r="D235" s="97">
        <f t="shared" si="240"/>
        <v>952.99886798385501</v>
      </c>
      <c r="E235" s="97">
        <f t="shared" si="240"/>
        <v>862.0658443533099</v>
      </c>
      <c r="F235" s="97">
        <f t="shared" si="240"/>
        <v>938.90455930590485</v>
      </c>
      <c r="G235" s="97">
        <f t="shared" si="240"/>
        <v>963.41265089684691</v>
      </c>
      <c r="H235" s="97">
        <f t="shared" si="240"/>
        <v>927.50425989779899</v>
      </c>
      <c r="I235" s="97">
        <f t="shared" si="240"/>
        <v>872.12927623308371</v>
      </c>
      <c r="J235" s="97">
        <f t="shared" si="240"/>
        <v>863.99758836352828</v>
      </c>
      <c r="K235" s="97">
        <f t="shared" si="240"/>
        <v>765.02273432586696</v>
      </c>
      <c r="L235" s="97">
        <f t="shared" si="240"/>
        <v>728.28539725129679</v>
      </c>
      <c r="M235" s="97">
        <f t="shared" si="240"/>
        <v>1176.3195558306832</v>
      </c>
      <c r="N235" s="97">
        <f t="shared" si="240"/>
        <v>1209.3536039961987</v>
      </c>
      <c r="O235" s="97">
        <f t="shared" si="240"/>
        <v>1157.7129699330089</v>
      </c>
      <c r="P235" s="97">
        <f t="shared" si="240"/>
        <v>1002.5008868795535</v>
      </c>
      <c r="Q235" s="97">
        <f t="shared" si="240"/>
        <v>984.28355008727999</v>
      </c>
      <c r="R235" s="97">
        <f t="shared" si="240"/>
        <v>872.95483777761035</v>
      </c>
      <c r="S235" s="97">
        <f t="shared" si="240"/>
        <v>930.4712528260618</v>
      </c>
      <c r="T235" s="97">
        <f t="shared" si="240"/>
        <v>914.09595719724825</v>
      </c>
      <c r="U235" s="97">
        <f t="shared" si="240"/>
        <v>815.60887439744533</v>
      </c>
      <c r="V235" s="97">
        <f t="shared" si="240"/>
        <v>988.29578950665734</v>
      </c>
      <c r="W235" s="97">
        <f t="shared" si="240"/>
        <v>1073.2928832933576</v>
      </c>
      <c r="X235" s="97">
        <f t="shared" si="240"/>
        <v>909.76688916336775</v>
      </c>
      <c r="Y235" s="97">
        <f t="shared" si="240"/>
        <v>887.54746152520784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553.64315760626528</v>
      </c>
      <c r="C236" s="97">
        <f t="shared" si="241"/>
        <v>530.59827969009575</v>
      </c>
      <c r="D236" s="97">
        <f t="shared" si="241"/>
        <v>565.26478576469901</v>
      </c>
      <c r="E236" s="97">
        <f t="shared" si="241"/>
        <v>529.60100888980071</v>
      </c>
      <c r="F236" s="97">
        <f t="shared" si="241"/>
        <v>592.26144319606044</v>
      </c>
      <c r="G236" s="97">
        <f t="shared" si="241"/>
        <v>608.74328384198384</v>
      </c>
      <c r="H236" s="97">
        <f t="shared" si="241"/>
        <v>728.95952300509475</v>
      </c>
      <c r="I236" s="97">
        <f t="shared" si="241"/>
        <v>749.35412716863505</v>
      </c>
      <c r="J236" s="97">
        <f t="shared" si="241"/>
        <v>738.96872417298005</v>
      </c>
      <c r="K236" s="97">
        <f t="shared" si="241"/>
        <v>696.17331702216256</v>
      </c>
      <c r="L236" s="97">
        <f t="shared" si="241"/>
        <v>762.01131522034598</v>
      </c>
      <c r="M236" s="97">
        <f t="shared" si="241"/>
        <v>682.39022592791537</v>
      </c>
      <c r="N236" s="97">
        <f t="shared" si="241"/>
        <v>605.82199545472668</v>
      </c>
      <c r="O236" s="97">
        <f t="shared" si="241"/>
        <v>625.91298023634363</v>
      </c>
      <c r="P236" s="97">
        <f t="shared" si="241"/>
        <v>533.37558507482061</v>
      </c>
      <c r="Q236" s="97">
        <f t="shared" si="241"/>
        <v>552.81501270124113</v>
      </c>
      <c r="R236" s="97">
        <f t="shared" si="241"/>
        <v>501.50695149233417</v>
      </c>
      <c r="S236" s="97">
        <f t="shared" si="241"/>
        <v>566.56214742766667</v>
      </c>
      <c r="T236" s="97">
        <f t="shared" si="241"/>
        <v>562.33416925412564</v>
      </c>
      <c r="U236" s="97">
        <f t="shared" si="241"/>
        <v>533.74589683057411</v>
      </c>
      <c r="V236" s="97">
        <f t="shared" si="241"/>
        <v>523.48023769120766</v>
      </c>
      <c r="W236" s="97">
        <f t="shared" si="241"/>
        <v>479.09363336932324</v>
      </c>
      <c r="X236" s="97">
        <f t="shared" si="241"/>
        <v>592.25455773605893</v>
      </c>
      <c r="Y236" s="97">
        <f t="shared" si="241"/>
        <v>580.69952522752601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221.247444033997</v>
      </c>
      <c r="C237" s="97">
        <f t="shared" si="242"/>
        <v>211.08988949013388</v>
      </c>
      <c r="D237" s="97">
        <f t="shared" si="242"/>
        <v>223.27467882654079</v>
      </c>
      <c r="E237" s="97">
        <f t="shared" si="242"/>
        <v>234.9747892232935</v>
      </c>
      <c r="F237" s="97">
        <f t="shared" si="242"/>
        <v>248.47123913258562</v>
      </c>
      <c r="G237" s="97">
        <f t="shared" si="242"/>
        <v>257.03357268258918</v>
      </c>
      <c r="H237" s="97">
        <f t="shared" si="242"/>
        <v>269.81957137311798</v>
      </c>
      <c r="I237" s="97">
        <f t="shared" si="242"/>
        <v>267.40487317111592</v>
      </c>
      <c r="J237" s="97">
        <f t="shared" si="242"/>
        <v>284.54990490717398</v>
      </c>
      <c r="K237" s="97">
        <f t="shared" si="242"/>
        <v>254.5910422861119</v>
      </c>
      <c r="L237" s="97">
        <f t="shared" si="242"/>
        <v>287.08006745591445</v>
      </c>
      <c r="M237" s="97">
        <f t="shared" si="242"/>
        <v>235.30551753198671</v>
      </c>
      <c r="N237" s="97">
        <f t="shared" si="242"/>
        <v>250.73354525540171</v>
      </c>
      <c r="O237" s="97">
        <f t="shared" si="242"/>
        <v>242.72308819567127</v>
      </c>
      <c r="P237" s="97">
        <f t="shared" si="242"/>
        <v>190.73875356656512</v>
      </c>
      <c r="Q237" s="97">
        <f t="shared" si="242"/>
        <v>209.59256247243667</v>
      </c>
      <c r="R237" s="97">
        <f t="shared" si="242"/>
        <v>192.67354339009268</v>
      </c>
      <c r="S237" s="97">
        <f t="shared" si="242"/>
        <v>197.4903490371961</v>
      </c>
      <c r="T237" s="97">
        <f t="shared" si="242"/>
        <v>189.64577660921239</v>
      </c>
      <c r="U237" s="97">
        <f t="shared" si="242"/>
        <v>185.05789094735658</v>
      </c>
      <c r="V237" s="97">
        <f t="shared" si="242"/>
        <v>315.81562138831248</v>
      </c>
      <c r="W237" s="97">
        <f t="shared" si="242"/>
        <v>304.62559312384332</v>
      </c>
      <c r="X237" s="97">
        <f t="shared" si="242"/>
        <v>257.28359640172954</v>
      </c>
      <c r="Y237" s="97">
        <f t="shared" si="242"/>
        <v>213.53229599224244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50.521933566565778</v>
      </c>
      <c r="C238" s="130">
        <f t="shared" si="243"/>
        <v>57.540307466157898</v>
      </c>
      <c r="D238" s="130">
        <f t="shared" si="243"/>
        <v>55.998061528584358</v>
      </c>
      <c r="E238" s="130">
        <f t="shared" si="243"/>
        <v>65.976005547592649</v>
      </c>
      <c r="F238" s="130">
        <f t="shared" si="243"/>
        <v>70.777292218454718</v>
      </c>
      <c r="G238" s="130">
        <f t="shared" si="243"/>
        <v>62.340347634899494</v>
      </c>
      <c r="H238" s="130">
        <f t="shared" si="243"/>
        <v>47.434071738140361</v>
      </c>
      <c r="I238" s="130">
        <f t="shared" si="243"/>
        <v>68.22457385640233</v>
      </c>
      <c r="J238" s="130">
        <f t="shared" si="243"/>
        <v>52.475489866446168</v>
      </c>
      <c r="K238" s="130">
        <f t="shared" si="243"/>
        <v>63.116027173050661</v>
      </c>
      <c r="L238" s="130">
        <f t="shared" si="243"/>
        <v>59.768755721772244</v>
      </c>
      <c r="M238" s="130">
        <f t="shared" si="243"/>
        <v>55.996081097194157</v>
      </c>
      <c r="N238" s="130">
        <f t="shared" si="243"/>
        <v>60.151405831815701</v>
      </c>
      <c r="O238" s="130">
        <f t="shared" si="243"/>
        <v>84.207572628582511</v>
      </c>
      <c r="P238" s="130">
        <f t="shared" si="243"/>
        <v>68.896059614407477</v>
      </c>
      <c r="Q238" s="130">
        <f t="shared" si="243"/>
        <v>67.612548604761869</v>
      </c>
      <c r="R238" s="130">
        <f t="shared" si="243"/>
        <v>80.317050584451806</v>
      </c>
      <c r="S238" s="130">
        <f t="shared" si="243"/>
        <v>80.50370170374535</v>
      </c>
      <c r="T238" s="130">
        <f t="shared" si="243"/>
        <v>74.133239369091541</v>
      </c>
      <c r="U238" s="130">
        <f t="shared" si="243"/>
        <v>70.273986382975977</v>
      </c>
      <c r="V238" s="130">
        <f t="shared" si="243"/>
        <v>61.445749791704401</v>
      </c>
      <c r="W238" s="130">
        <f t="shared" si="243"/>
        <v>68.782861550089734</v>
      </c>
      <c r="X238" s="130">
        <f t="shared" si="243"/>
        <v>84.853355093457168</v>
      </c>
      <c r="Y238" s="130">
        <f t="shared" si="243"/>
        <v>70.941236216662205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61.115236322557081</v>
      </c>
      <c r="C239" s="97">
        <f t="shared" si="244"/>
        <v>70.537619151882566</v>
      </c>
      <c r="D239" s="97">
        <f t="shared" si="244"/>
        <v>66.85679434600425</v>
      </c>
      <c r="E239" s="97">
        <f t="shared" si="244"/>
        <v>78.333297398867188</v>
      </c>
      <c r="F239" s="97">
        <f t="shared" si="244"/>
        <v>81.177148672277838</v>
      </c>
      <c r="G239" s="97">
        <f t="shared" si="244"/>
        <v>76.140361743833338</v>
      </c>
      <c r="H239" s="97">
        <f t="shared" si="244"/>
        <v>54.628547301396431</v>
      </c>
      <c r="I239" s="97">
        <f t="shared" si="244"/>
        <v>85.044361940245238</v>
      </c>
      <c r="J239" s="97">
        <f t="shared" si="244"/>
        <v>63.455137063982647</v>
      </c>
      <c r="K239" s="97">
        <f t="shared" si="244"/>
        <v>77.674138924832363</v>
      </c>
      <c r="L239" s="97">
        <f t="shared" si="244"/>
        <v>77.055882918109035</v>
      </c>
      <c r="M239" s="97">
        <f t="shared" si="244"/>
        <v>70.231938783119702</v>
      </c>
      <c r="N239" s="97">
        <f t="shared" si="244"/>
        <v>74.453376728306083</v>
      </c>
      <c r="O239" s="97">
        <f t="shared" si="244"/>
        <v>116.18374310712895</v>
      </c>
      <c r="P239" s="97">
        <f t="shared" si="244"/>
        <v>90.749752143541315</v>
      </c>
      <c r="Q239" s="97">
        <f t="shared" si="244"/>
        <v>87.824000259182839</v>
      </c>
      <c r="R239" s="97">
        <f t="shared" si="244"/>
        <v>111.07775424790709</v>
      </c>
      <c r="S239" s="97">
        <f t="shared" si="244"/>
        <v>109.18303781518918</v>
      </c>
      <c r="T239" s="97">
        <f t="shared" si="244"/>
        <v>96.325229774921738</v>
      </c>
      <c r="U239" s="97">
        <f t="shared" si="244"/>
        <v>92.27555884232109</v>
      </c>
      <c r="V239" s="97">
        <f t="shared" si="244"/>
        <v>76.322248639381073</v>
      </c>
      <c r="W239" s="97">
        <f t="shared" si="244"/>
        <v>85.512948913819812</v>
      </c>
      <c r="X239" s="97">
        <f t="shared" si="244"/>
        <v>107.94140944591545</v>
      </c>
      <c r="Y239" s="97">
        <f t="shared" si="244"/>
        <v>84.336405304315264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27.502141314570249</v>
      </c>
      <c r="C240" s="98">
        <f t="shared" si="245"/>
        <v>34.483610907913445</v>
      </c>
      <c r="D240" s="98">
        <f t="shared" si="245"/>
        <v>35.529390876505545</v>
      </c>
      <c r="E240" s="98">
        <f t="shared" si="245"/>
        <v>45.660258914461011</v>
      </c>
      <c r="F240" s="98">
        <f t="shared" si="245"/>
        <v>53.245096567637944</v>
      </c>
      <c r="G240" s="98">
        <f t="shared" si="245"/>
        <v>40.441806481410396</v>
      </c>
      <c r="H240" s="98">
        <f t="shared" si="245"/>
        <v>29.7531107527305</v>
      </c>
      <c r="I240" s="98">
        <f t="shared" si="245"/>
        <v>44.011750943334931</v>
      </c>
      <c r="J240" s="98">
        <f t="shared" si="245"/>
        <v>29.084960874523439</v>
      </c>
      <c r="K240" s="98">
        <f t="shared" si="245"/>
        <v>38.515706203379587</v>
      </c>
      <c r="L240" s="98">
        <f t="shared" si="245"/>
        <v>31.727380414130611</v>
      </c>
      <c r="M240" s="98">
        <f t="shared" si="245"/>
        <v>30.694617964994542</v>
      </c>
      <c r="N240" s="98">
        <f t="shared" si="245"/>
        <v>36.744879824952001</v>
      </c>
      <c r="O240" s="98">
        <f t="shared" si="245"/>
        <v>57.456852622395843</v>
      </c>
      <c r="P240" s="98">
        <f t="shared" si="245"/>
        <v>39.41515531454413</v>
      </c>
      <c r="Q240" s="98">
        <f t="shared" si="245"/>
        <v>37.420515514192658</v>
      </c>
      <c r="R240" s="98">
        <f t="shared" si="245"/>
        <v>46.41999935057806</v>
      </c>
      <c r="S240" s="98">
        <f t="shared" si="245"/>
        <v>42.687204689633319</v>
      </c>
      <c r="T240" s="98">
        <f t="shared" si="245"/>
        <v>38.135961231202749</v>
      </c>
      <c r="U240" s="98">
        <f t="shared" si="245"/>
        <v>36.152883149958988</v>
      </c>
      <c r="V240" s="98">
        <f t="shared" si="245"/>
        <v>33.557553585634054</v>
      </c>
      <c r="W240" s="98">
        <f t="shared" si="245"/>
        <v>37.674346004076746</v>
      </c>
      <c r="X240" s="98">
        <f t="shared" si="245"/>
        <v>44.570607960793048</v>
      </c>
      <c r="Y240" s="98">
        <f t="shared" si="245"/>
        <v>36.10854260521328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14.405884952056111</v>
      </c>
      <c r="C241" s="32">
        <f t="shared" si="246"/>
        <v>12.622933881519149</v>
      </c>
      <c r="D241" s="32">
        <f t="shared" si="246"/>
        <v>11.922373782283445</v>
      </c>
      <c r="E241" s="32">
        <f t="shared" si="246"/>
        <v>12.661877126472637</v>
      </c>
      <c r="F241" s="32">
        <f t="shared" si="246"/>
        <v>14.058379422867757</v>
      </c>
      <c r="G241" s="32">
        <f t="shared" si="246"/>
        <v>12.623559590435983</v>
      </c>
      <c r="H241" s="32">
        <f t="shared" si="246"/>
        <v>12.694129237975494</v>
      </c>
      <c r="I241" s="32">
        <f t="shared" si="246"/>
        <v>18.025559864345805</v>
      </c>
      <c r="J241" s="32">
        <f t="shared" si="246"/>
        <v>12.594481063830784</v>
      </c>
      <c r="K241" s="32">
        <f t="shared" si="246"/>
        <v>14.124073767441132</v>
      </c>
      <c r="L241" s="32">
        <f t="shared" si="246"/>
        <v>12.883891499965827</v>
      </c>
      <c r="M241" s="32">
        <f t="shared" si="246"/>
        <v>14.82344783815989</v>
      </c>
      <c r="N241" s="32">
        <f t="shared" si="246"/>
        <v>14.85555872905252</v>
      </c>
      <c r="O241" s="32">
        <f t="shared" si="246"/>
        <v>17.10104580943197</v>
      </c>
      <c r="P241" s="32">
        <f t="shared" si="246"/>
        <v>10.825117881362797</v>
      </c>
      <c r="Q241" s="32">
        <f t="shared" si="246"/>
        <v>9.4182266317981291</v>
      </c>
      <c r="R241" s="32">
        <f t="shared" si="246"/>
        <v>9.5290757479168011</v>
      </c>
      <c r="S241" s="32">
        <f t="shared" si="246"/>
        <v>9.4878475929423089</v>
      </c>
      <c r="T241" s="32">
        <f t="shared" si="246"/>
        <v>10.664577725857756</v>
      </c>
      <c r="U241" s="32">
        <f t="shared" si="246"/>
        <v>9.4318152604759629</v>
      </c>
      <c r="V241" s="32">
        <f t="shared" si="246"/>
        <v>6.0023961650435531</v>
      </c>
      <c r="W241" s="32">
        <f t="shared" si="246"/>
        <v>6.4487381359191929</v>
      </c>
      <c r="X241" s="32">
        <f t="shared" si="246"/>
        <v>8.9116976765999762</v>
      </c>
      <c r="Y241" s="32">
        <f t="shared" si="246"/>
        <v>6.4598943139426392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41.489711225661395</v>
      </c>
      <c r="C242" s="97">
        <f t="shared" si="247"/>
        <v>36.160372844745893</v>
      </c>
      <c r="D242" s="97">
        <f t="shared" si="247"/>
        <v>35.207919331941319</v>
      </c>
      <c r="E242" s="97">
        <f t="shared" si="247"/>
        <v>37.7524116296199</v>
      </c>
      <c r="F242" s="97">
        <f t="shared" si="247"/>
        <v>41.327317660637199</v>
      </c>
      <c r="G242" s="97">
        <f t="shared" si="247"/>
        <v>38.418250715996898</v>
      </c>
      <c r="H242" s="97">
        <f t="shared" si="247"/>
        <v>40.560803090926655</v>
      </c>
      <c r="I242" s="97">
        <f t="shared" si="247"/>
        <v>57.022305919383577</v>
      </c>
      <c r="J242" s="97">
        <f t="shared" si="247"/>
        <v>40.965854360661993</v>
      </c>
      <c r="K242" s="97">
        <f t="shared" si="247"/>
        <v>44.054878876799869</v>
      </c>
      <c r="L242" s="97">
        <f t="shared" si="247"/>
        <v>40.629284516913756</v>
      </c>
      <c r="M242" s="97">
        <f t="shared" si="247"/>
        <v>47.893382678345212</v>
      </c>
      <c r="N242" s="97">
        <f t="shared" si="247"/>
        <v>48.376453326855604</v>
      </c>
      <c r="O242" s="97">
        <f t="shared" si="247"/>
        <v>57.428723597641522</v>
      </c>
      <c r="P242" s="97">
        <f t="shared" si="247"/>
        <v>36.00860226284609</v>
      </c>
      <c r="Q242" s="97">
        <f t="shared" si="247"/>
        <v>32.19345140646756</v>
      </c>
      <c r="R242" s="97">
        <f t="shared" si="247"/>
        <v>30.473342700542474</v>
      </c>
      <c r="S242" s="97">
        <f t="shared" si="247"/>
        <v>30.765465820821287</v>
      </c>
      <c r="T242" s="97">
        <f t="shared" si="247"/>
        <v>34.944993418642682</v>
      </c>
      <c r="U242" s="97">
        <f t="shared" si="247"/>
        <v>31.655987084362501</v>
      </c>
      <c r="V242" s="97">
        <f t="shared" si="247"/>
        <v>17.132916095804024</v>
      </c>
      <c r="W242" s="97">
        <f t="shared" si="247"/>
        <v>19.526921484793878</v>
      </c>
      <c r="X242" s="97">
        <f t="shared" si="247"/>
        <v>29.851550264232149</v>
      </c>
      <c r="Y242" s="97">
        <f t="shared" si="247"/>
        <v>21.296976537017379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10.664255597922029</v>
      </c>
      <c r="C243" s="98">
        <f t="shared" si="248"/>
        <v>9.3462270481965604</v>
      </c>
      <c r="D243" s="98">
        <f t="shared" si="248"/>
        <v>8.9998592891463307</v>
      </c>
      <c r="E243" s="98">
        <f t="shared" si="248"/>
        <v>9.6050156181469664</v>
      </c>
      <c r="F243" s="98">
        <f t="shared" si="248"/>
        <v>10.592954761191782</v>
      </c>
      <c r="G243" s="98">
        <f t="shared" si="248"/>
        <v>9.6109856915427692</v>
      </c>
      <c r="H243" s="98">
        <f t="shared" si="248"/>
        <v>9.8823182347204845</v>
      </c>
      <c r="I243" s="98">
        <f t="shared" si="248"/>
        <v>13.980824912504179</v>
      </c>
      <c r="J243" s="98">
        <f t="shared" si="248"/>
        <v>9.816373722547846</v>
      </c>
      <c r="K243" s="98">
        <f t="shared" si="248"/>
        <v>10.83198858540201</v>
      </c>
      <c r="L243" s="98">
        <f t="shared" si="248"/>
        <v>9.8556666766323549</v>
      </c>
      <c r="M243" s="98">
        <f t="shared" si="248"/>
        <v>11.372506591020464</v>
      </c>
      <c r="N243" s="98">
        <f t="shared" si="248"/>
        <v>11.360466951644982</v>
      </c>
      <c r="O243" s="98">
        <f t="shared" si="248"/>
        <v>13.302913820066381</v>
      </c>
      <c r="P243" s="98">
        <f t="shared" si="248"/>
        <v>8.4025277743756845</v>
      </c>
      <c r="Q243" s="98">
        <f t="shared" si="248"/>
        <v>7.4006384204135971</v>
      </c>
      <c r="R243" s="98">
        <f t="shared" si="248"/>
        <v>7.3233294520142191</v>
      </c>
      <c r="S243" s="98">
        <f t="shared" si="248"/>
        <v>7.3125643911141642</v>
      </c>
      <c r="T243" s="98">
        <f t="shared" si="248"/>
        <v>8.1996272224297417</v>
      </c>
      <c r="U243" s="98">
        <f t="shared" si="248"/>
        <v>7.2886338371131103</v>
      </c>
      <c r="V243" s="98">
        <f t="shared" si="248"/>
        <v>4.8444096383462103</v>
      </c>
      <c r="W243" s="98">
        <f t="shared" si="248"/>
        <v>5.2107355178726387</v>
      </c>
      <c r="X243" s="98">
        <f t="shared" si="248"/>
        <v>7.0964258040063131</v>
      </c>
      <c r="Y243" s="98">
        <f t="shared" si="248"/>
        <v>5.1125395323669558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748701.27954439411</v>
      </c>
      <c r="C4" s="29">
        <f t="shared" si="0"/>
        <v>772809.89869109378</v>
      </c>
      <c r="D4" s="29">
        <f t="shared" si="0"/>
        <v>779415.22973960382</v>
      </c>
      <c r="E4" s="29">
        <f t="shared" si="0"/>
        <v>781509.96959398245</v>
      </c>
      <c r="F4" s="29">
        <f t="shared" si="0"/>
        <v>779863.80571560643</v>
      </c>
      <c r="G4" s="29">
        <f t="shared" si="0"/>
        <v>770269.31800527021</v>
      </c>
      <c r="H4" s="29">
        <f t="shared" si="0"/>
        <v>768840.69632006646</v>
      </c>
      <c r="I4" s="29">
        <f t="shared" si="0"/>
        <v>774542.16991703317</v>
      </c>
      <c r="J4" s="29">
        <f t="shared" si="0"/>
        <v>760248.32170867082</v>
      </c>
      <c r="K4" s="29">
        <f t="shared" si="0"/>
        <v>760940.68909085111</v>
      </c>
      <c r="L4" s="29">
        <f t="shared" ref="L4" si="1">L5+L6+L13</f>
        <v>767430.93661550537</v>
      </c>
      <c r="M4" s="29">
        <f t="shared" ref="M4:V4" si="2">M5+M6+M13</f>
        <v>768434.86179975758</v>
      </c>
      <c r="N4" s="29">
        <f t="shared" si="2"/>
        <v>828224.11979551474</v>
      </c>
      <c r="O4" s="29">
        <f t="shared" si="2"/>
        <v>831249.87555347499</v>
      </c>
      <c r="P4" s="29">
        <f t="shared" si="2"/>
        <v>842186.63186768757</v>
      </c>
      <c r="Q4" s="29">
        <f t="shared" si="2"/>
        <v>853672.02751110855</v>
      </c>
      <c r="R4" s="29">
        <f t="shared" si="2"/>
        <v>865513.86377619742</v>
      </c>
      <c r="S4" s="29">
        <f t="shared" si="2"/>
        <v>868808.98630393995</v>
      </c>
      <c r="T4" s="29">
        <f t="shared" si="2"/>
        <v>865794.73202286451</v>
      </c>
      <c r="U4" s="29">
        <f t="shared" si="2"/>
        <v>875501.1136683448</v>
      </c>
      <c r="V4" s="29">
        <f t="shared" si="2"/>
        <v>700736.80737747718</v>
      </c>
      <c r="W4" s="29">
        <f t="shared" ref="W4:Y4" si="3">W5+W6+W13</f>
        <v>766676.45606440026</v>
      </c>
      <c r="X4" s="29">
        <f t="shared" si="3"/>
        <v>835283.26740568655</v>
      </c>
      <c r="Y4" s="29">
        <f t="shared" si="3"/>
        <v>829914.60445184936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11371.049793981645</v>
      </c>
      <c r="C5" s="152">
        <f t="shared" si="4"/>
        <v>12481.302153441275</v>
      </c>
      <c r="D5" s="152">
        <f t="shared" si="4"/>
        <v>13887.464907613616</v>
      </c>
      <c r="E5" s="152">
        <f t="shared" si="4"/>
        <v>14080.263802870362</v>
      </c>
      <c r="F5" s="152">
        <f t="shared" si="4"/>
        <v>14903.847416007629</v>
      </c>
      <c r="G5" s="152">
        <f t="shared" si="4"/>
        <v>15549.05536270714</v>
      </c>
      <c r="H5" s="152">
        <f t="shared" si="4"/>
        <v>15489.716276450494</v>
      </c>
      <c r="I5" s="152">
        <f t="shared" si="4"/>
        <v>16147.986530474764</v>
      </c>
      <c r="J5" s="152">
        <f t="shared" si="4"/>
        <v>17056.808055403515</v>
      </c>
      <c r="K5" s="152">
        <f t="shared" si="4"/>
        <v>17647.032780426529</v>
      </c>
      <c r="L5" s="152">
        <f t="shared" ref="L5:L7" si="5">IF(L32=0,0,L32*L142)</f>
        <v>17518.664968002198</v>
      </c>
      <c r="M5" s="152">
        <f t="shared" ref="M5:V5" si="6">IF(M32=0,0,M32*M142)</f>
        <v>17957.537760887804</v>
      </c>
      <c r="N5" s="152">
        <f t="shared" si="6"/>
        <v>17460.649484356662</v>
      </c>
      <c r="O5" s="152">
        <f t="shared" si="6"/>
        <v>17607.063177088436</v>
      </c>
      <c r="P5" s="152">
        <f t="shared" si="6"/>
        <v>18100.790610083739</v>
      </c>
      <c r="Q5" s="152">
        <f t="shared" si="6"/>
        <v>18193.639709479354</v>
      </c>
      <c r="R5" s="152">
        <f t="shared" si="6"/>
        <v>16886.230717345425</v>
      </c>
      <c r="S5" s="152">
        <f t="shared" si="6"/>
        <v>16114.291461775148</v>
      </c>
      <c r="T5" s="152">
        <f t="shared" si="6"/>
        <v>15257.291884373282</v>
      </c>
      <c r="U5" s="152">
        <f t="shared" si="6"/>
        <v>16459.863601467368</v>
      </c>
      <c r="V5" s="152">
        <f t="shared" si="6"/>
        <v>13814.33841973334</v>
      </c>
      <c r="W5" s="152">
        <f t="shared" ref="W5:Y5" si="7">IF(W32=0,0,W32*W142)</f>
        <v>14807.69112720249</v>
      </c>
      <c r="X5" s="152">
        <f t="shared" si="7"/>
        <v>14989.596412121522</v>
      </c>
      <c r="Y5" s="152">
        <f t="shared" si="7"/>
        <v>16211.378991463482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687735.73412192496</v>
      </c>
      <c r="C6" s="116">
        <f t="shared" si="8"/>
        <v>712217.25815796712</v>
      </c>
      <c r="D6" s="116">
        <f t="shared" si="8"/>
        <v>716879.48383462697</v>
      </c>
      <c r="E6" s="116">
        <f t="shared" si="8"/>
        <v>718296.14938665158</v>
      </c>
      <c r="F6" s="116">
        <f t="shared" si="8"/>
        <v>714966.23674957885</v>
      </c>
      <c r="G6" s="116">
        <f t="shared" si="8"/>
        <v>704615.55371355603</v>
      </c>
      <c r="H6" s="116">
        <f t="shared" si="8"/>
        <v>700914.18436866568</v>
      </c>
      <c r="I6" s="116">
        <f t="shared" si="8"/>
        <v>705349.74950007361</v>
      </c>
      <c r="J6" s="116">
        <f t="shared" si="8"/>
        <v>689666.31518929906</v>
      </c>
      <c r="K6" s="116">
        <f t="shared" si="8"/>
        <v>690130.45232984971</v>
      </c>
      <c r="L6" s="116">
        <f t="shared" ref="L6" si="9">SUM(L7:L12)</f>
        <v>695871.29702480964</v>
      </c>
      <c r="M6" s="116">
        <f t="shared" ref="M6:V6" si="10">SUM(M7:M12)</f>
        <v>695894.68592518207</v>
      </c>
      <c r="N6" s="116">
        <f t="shared" si="10"/>
        <v>755371.15520423686</v>
      </c>
      <c r="O6" s="116">
        <f t="shared" si="10"/>
        <v>757882.42799999984</v>
      </c>
      <c r="P6" s="116">
        <f t="shared" si="10"/>
        <v>767265.67500000016</v>
      </c>
      <c r="Q6" s="116">
        <f t="shared" si="10"/>
        <v>777852.76199999999</v>
      </c>
      <c r="R6" s="116">
        <f t="shared" si="10"/>
        <v>790044.97799999989</v>
      </c>
      <c r="S6" s="116">
        <f t="shared" si="10"/>
        <v>794499.299</v>
      </c>
      <c r="T6" s="116">
        <f t="shared" si="10"/>
        <v>792315.84299999988</v>
      </c>
      <c r="U6" s="116">
        <f t="shared" si="10"/>
        <v>799301.65399999998</v>
      </c>
      <c r="V6" s="116">
        <f t="shared" si="10"/>
        <v>649724.69200000004</v>
      </c>
      <c r="W6" s="116">
        <f t="shared" ref="W6:Y6" si="11">SUM(W7:W12)</f>
        <v>710908.64599999995</v>
      </c>
      <c r="X6" s="116">
        <f t="shared" si="11"/>
        <v>773138.65700000024</v>
      </c>
      <c r="Y6" s="116">
        <f t="shared" si="11"/>
        <v>760829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347005.49656136381</v>
      </c>
      <c r="C7" s="87">
        <f t="shared" si="12"/>
        <v>337676.5383323523</v>
      </c>
      <c r="D7" s="87">
        <f t="shared" si="12"/>
        <v>325038.02442002954</v>
      </c>
      <c r="E7" s="87">
        <f t="shared" si="12"/>
        <v>305483.0391006039</v>
      </c>
      <c r="F7" s="87">
        <f t="shared" si="12"/>
        <v>288802.82131694607</v>
      </c>
      <c r="G7" s="87">
        <f t="shared" si="12"/>
        <v>269793.3046574826</v>
      </c>
      <c r="H7" s="87">
        <f t="shared" si="12"/>
        <v>248110.42470777943</v>
      </c>
      <c r="I7" s="87">
        <f t="shared" si="12"/>
        <v>230591.31257582226</v>
      </c>
      <c r="J7" s="87">
        <f t="shared" si="12"/>
        <v>206933.50474299057</v>
      </c>
      <c r="K7" s="87">
        <f t="shared" si="12"/>
        <v>196208.61358504737</v>
      </c>
      <c r="L7" s="87">
        <f t="shared" si="5"/>
        <v>182351.55413854113</v>
      </c>
      <c r="M7" s="87">
        <f t="shared" ref="M7:V7" si="13">IF(M34=0,0,M34*M144)</f>
        <v>178715.42045332413</v>
      </c>
      <c r="N7" s="87">
        <f t="shared" si="13"/>
        <v>180979.20050764465</v>
      </c>
      <c r="O7" s="87">
        <f t="shared" si="13"/>
        <v>175306.53048634523</v>
      </c>
      <c r="P7" s="87">
        <f t="shared" si="13"/>
        <v>177902.99830437073</v>
      </c>
      <c r="Q7" s="87">
        <f t="shared" si="13"/>
        <v>183055.18160887843</v>
      </c>
      <c r="R7" s="87">
        <f t="shared" si="13"/>
        <v>194128.9108120905</v>
      </c>
      <c r="S7" s="87">
        <f t="shared" si="13"/>
        <v>205826.82742751355</v>
      </c>
      <c r="T7" s="87">
        <f t="shared" si="13"/>
        <v>221749.81766482515</v>
      </c>
      <c r="U7" s="87">
        <f t="shared" si="13"/>
        <v>243429.62542479925</v>
      </c>
      <c r="V7" s="87">
        <f t="shared" si="13"/>
        <v>208921.02944951362</v>
      </c>
      <c r="W7" s="87">
        <f t="shared" ref="W7:Y7" si="14">IF(W34=0,0,W34*W144)</f>
        <v>246832.49944751442</v>
      </c>
      <c r="X7" s="87">
        <f t="shared" si="14"/>
        <v>280589.95404458774</v>
      </c>
      <c r="Y7" s="87">
        <f t="shared" si="14"/>
        <v>290926.14953852101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334521.25577398506</v>
      </c>
      <c r="C8" s="87">
        <f t="shared" si="15"/>
        <v>368713.55054167245</v>
      </c>
      <c r="D8" s="87">
        <f t="shared" si="15"/>
        <v>386801.94685003959</v>
      </c>
      <c r="E8" s="87">
        <f t="shared" si="15"/>
        <v>408611.14918740554</v>
      </c>
      <c r="F8" s="87">
        <f t="shared" si="15"/>
        <v>422469.86822726351</v>
      </c>
      <c r="G8" s="87">
        <f t="shared" si="15"/>
        <v>431552.91373857425</v>
      </c>
      <c r="H8" s="87">
        <f t="shared" si="15"/>
        <v>449921.5733597186</v>
      </c>
      <c r="I8" s="87">
        <f t="shared" si="15"/>
        <v>472305.1044987404</v>
      </c>
      <c r="J8" s="87">
        <f t="shared" si="15"/>
        <v>480094.39006422751</v>
      </c>
      <c r="K8" s="87">
        <f t="shared" si="15"/>
        <v>491153.42374581215</v>
      </c>
      <c r="L8" s="87">
        <f t="shared" ref="L8" si="16">IF(L35=0,0,L35*L145)</f>
        <v>510566.16429809888</v>
      </c>
      <c r="M8" s="87">
        <f t="shared" ref="M8:V8" si="17">IF(M35=0,0,M35*M145)</f>
        <v>514093.33600456349</v>
      </c>
      <c r="N8" s="87">
        <f t="shared" si="17"/>
        <v>571321.2079103702</v>
      </c>
      <c r="O8" s="87">
        <f t="shared" si="17"/>
        <v>579768.06569721585</v>
      </c>
      <c r="P8" s="87">
        <f t="shared" si="17"/>
        <v>586607.8922422186</v>
      </c>
      <c r="Q8" s="87">
        <f t="shared" si="17"/>
        <v>591791.97698080202</v>
      </c>
      <c r="R8" s="87">
        <f t="shared" si="17"/>
        <v>592486.23158243881</v>
      </c>
      <c r="S8" s="87">
        <f t="shared" si="17"/>
        <v>584643.93441067217</v>
      </c>
      <c r="T8" s="87">
        <f t="shared" si="17"/>
        <v>565570.47474066925</v>
      </c>
      <c r="U8" s="87">
        <f t="shared" si="17"/>
        <v>549497.22086656361</v>
      </c>
      <c r="V8" s="87">
        <f t="shared" si="17"/>
        <v>432152.05983562709</v>
      </c>
      <c r="W8" s="87">
        <f t="shared" ref="W8:Y8" si="18">IF(W35=0,0,W35*W145)</f>
        <v>448905.12919062818</v>
      </c>
      <c r="X8" s="87">
        <f t="shared" si="18"/>
        <v>469635.40451947658</v>
      </c>
      <c r="Y8" s="87">
        <f t="shared" si="18"/>
        <v>440130.56461536104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6208.9817865760806</v>
      </c>
      <c r="C9" s="87">
        <f t="shared" si="19"/>
        <v>5827.1692839422794</v>
      </c>
      <c r="D9" s="87">
        <f t="shared" si="19"/>
        <v>5039.5125645578601</v>
      </c>
      <c r="E9" s="87">
        <f t="shared" si="19"/>
        <v>4201.9610986421321</v>
      </c>
      <c r="F9" s="87">
        <f t="shared" si="19"/>
        <v>3693.5472053693734</v>
      </c>
      <c r="G9" s="87">
        <f t="shared" si="19"/>
        <v>3269.335317499078</v>
      </c>
      <c r="H9" s="87">
        <f t="shared" si="19"/>
        <v>2881.8411826887041</v>
      </c>
      <c r="I9" s="87">
        <f t="shared" si="19"/>
        <v>2435.2224698571331</v>
      </c>
      <c r="J9" s="87">
        <f t="shared" si="19"/>
        <v>2544.2888607576579</v>
      </c>
      <c r="K9" s="87">
        <f t="shared" si="19"/>
        <v>2665.6852175288313</v>
      </c>
      <c r="L9" s="87">
        <f t="shared" ref="L9" si="20">IF(L36=0,0,L36*L146)</f>
        <v>2847.5685585803953</v>
      </c>
      <c r="M9" s="87">
        <f t="shared" ref="M9:V9" si="21">IF(M36=0,0,M36*M146)</f>
        <v>2924.1867781313967</v>
      </c>
      <c r="N9" s="87">
        <f t="shared" si="21"/>
        <v>2840.8696484729867</v>
      </c>
      <c r="O9" s="87">
        <f t="shared" si="21"/>
        <v>2352.8609090424488</v>
      </c>
      <c r="P9" s="87">
        <f t="shared" si="21"/>
        <v>2080.6946752974854</v>
      </c>
      <c r="Q9" s="87">
        <f t="shared" si="21"/>
        <v>1889.2662770916036</v>
      </c>
      <c r="R9" s="87">
        <f t="shared" si="21"/>
        <v>1710.9146315837729</v>
      </c>
      <c r="S9" s="87">
        <f t="shared" si="21"/>
        <v>1550.0211083859895</v>
      </c>
      <c r="T9" s="87">
        <f t="shared" si="21"/>
        <v>1435.6178277720899</v>
      </c>
      <c r="U9" s="87">
        <f t="shared" si="21"/>
        <v>1382.3157283595419</v>
      </c>
      <c r="V9" s="87">
        <f t="shared" si="21"/>
        <v>1058.186812223305</v>
      </c>
      <c r="W9" s="87">
        <f t="shared" ref="W9:Y9" si="22">IF(W36=0,0,W36*W146)</f>
        <v>1215.7338418494244</v>
      </c>
      <c r="X9" s="87">
        <f t="shared" si="22"/>
        <v>1531.6360915001273</v>
      </c>
      <c r="Y9" s="87">
        <f t="shared" si="22"/>
        <v>1836.5028219149585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17.625778188686088</v>
      </c>
      <c r="J10" s="87">
        <f t="shared" si="23"/>
        <v>31.699302908833008</v>
      </c>
      <c r="K10" s="87">
        <f t="shared" si="23"/>
        <v>42.03498689141167</v>
      </c>
      <c r="L10" s="87">
        <f t="shared" ref="L10" si="24">IF(L37=0,0,L37*L147)</f>
        <v>45.138398106096894</v>
      </c>
      <c r="M10" s="87">
        <f t="shared" ref="M10:V10" si="25">IF(M37=0,0,M37*M147)</f>
        <v>44.809805166496858</v>
      </c>
      <c r="N10" s="87">
        <f t="shared" si="25"/>
        <v>51.706186924689511</v>
      </c>
      <c r="O10" s="87">
        <f t="shared" si="25"/>
        <v>51.264416100691982</v>
      </c>
      <c r="P10" s="87">
        <f t="shared" si="25"/>
        <v>51.477015763315435</v>
      </c>
      <c r="Q10" s="87">
        <f t="shared" si="25"/>
        <v>53.289559291273179</v>
      </c>
      <c r="R10" s="87">
        <f t="shared" si="25"/>
        <v>62.242623919668091</v>
      </c>
      <c r="S10" s="87">
        <f t="shared" si="25"/>
        <v>62.197790551556402</v>
      </c>
      <c r="T10" s="87">
        <f t="shared" si="25"/>
        <v>61.342169578101107</v>
      </c>
      <c r="U10" s="87">
        <f t="shared" si="25"/>
        <v>65.894964900325121</v>
      </c>
      <c r="V10" s="87">
        <f t="shared" si="25"/>
        <v>58.560649972459302</v>
      </c>
      <c r="W10" s="87">
        <f t="shared" ref="W10:Y10" si="26">IF(W37=0,0,W37*W147)</f>
        <v>65.356883290435988</v>
      </c>
      <c r="X10" s="87">
        <f t="shared" si="26"/>
        <v>71.279767021873639</v>
      </c>
      <c r="Y10" s="87">
        <f t="shared" si="26"/>
        <v>121.6721185472669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9.3403063681372931</v>
      </c>
      <c r="O11" s="87">
        <f t="shared" si="29"/>
        <v>20.091221359221358</v>
      </c>
      <c r="P11" s="87">
        <f t="shared" si="29"/>
        <v>41.745440975959056</v>
      </c>
      <c r="Q11" s="87">
        <f t="shared" si="29"/>
        <v>113.40384653748832</v>
      </c>
      <c r="R11" s="87">
        <f t="shared" si="29"/>
        <v>210.36060759335007</v>
      </c>
      <c r="S11" s="87">
        <f t="shared" si="29"/>
        <v>376.4290830337182</v>
      </c>
      <c r="T11" s="87">
        <f t="shared" si="29"/>
        <v>592.20155837217669</v>
      </c>
      <c r="U11" s="87">
        <f t="shared" si="29"/>
        <v>915.19974711261943</v>
      </c>
      <c r="V11" s="87">
        <f t="shared" si="29"/>
        <v>1748.3999910929167</v>
      </c>
      <c r="W11" s="87">
        <f t="shared" ref="W11:Y11" si="30">IF(W38=0,0,W38*W148)</f>
        <v>4041.5010244562081</v>
      </c>
      <c r="X11" s="87">
        <f t="shared" si="30"/>
        <v>6901.8124626332083</v>
      </c>
      <c r="Y11" s="87">
        <f t="shared" si="30"/>
        <v>9558.3786570431494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0.34511847894473252</v>
      </c>
      <c r="I12" s="87">
        <f t="shared" si="31"/>
        <v>0.48417746515028487</v>
      </c>
      <c r="J12" s="87">
        <f t="shared" si="31"/>
        <v>62.432218414501889</v>
      </c>
      <c r="K12" s="87">
        <f t="shared" si="31"/>
        <v>60.694794569813006</v>
      </c>
      <c r="L12" s="87">
        <f t="shared" ref="L12" si="32">IF(L39=0,0,L39*L149)</f>
        <v>60.871631483152512</v>
      </c>
      <c r="M12" s="87">
        <f t="shared" ref="M12:V12" si="33">IF(M39=0,0,M39*M149)</f>
        <v>116.93288399666463</v>
      </c>
      <c r="N12" s="87">
        <f t="shared" si="33"/>
        <v>168.83064445612445</v>
      </c>
      <c r="O12" s="87">
        <f t="shared" si="33"/>
        <v>383.61526993649375</v>
      </c>
      <c r="P12" s="87">
        <f t="shared" si="33"/>
        <v>580.86732137400713</v>
      </c>
      <c r="Q12" s="87">
        <f t="shared" si="33"/>
        <v>949.64372739914995</v>
      </c>
      <c r="R12" s="87">
        <f t="shared" si="33"/>
        <v>1446.317742373868</v>
      </c>
      <c r="S12" s="87">
        <f t="shared" si="33"/>
        <v>2039.8891798429947</v>
      </c>
      <c r="T12" s="87">
        <f t="shared" si="33"/>
        <v>2906.3890387832294</v>
      </c>
      <c r="U12" s="87">
        <f t="shared" si="33"/>
        <v>4011.3972682646622</v>
      </c>
      <c r="V12" s="87">
        <f t="shared" si="33"/>
        <v>5786.4552615706143</v>
      </c>
      <c r="W12" s="87">
        <f t="shared" ref="W12:Y12" si="34">IF(W39=0,0,W39*W149)</f>
        <v>9848.425612261286</v>
      </c>
      <c r="X12" s="87">
        <f t="shared" si="34"/>
        <v>14408.570114780519</v>
      </c>
      <c r="Y12" s="87">
        <f t="shared" si="34"/>
        <v>18255.732248612574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49594.495628487588</v>
      </c>
      <c r="C13" s="116">
        <f t="shared" si="35"/>
        <v>48111.338379685381</v>
      </c>
      <c r="D13" s="116">
        <f t="shared" si="35"/>
        <v>48648.280997363276</v>
      </c>
      <c r="E13" s="116">
        <f t="shared" si="35"/>
        <v>49133.556404460418</v>
      </c>
      <c r="F13" s="116">
        <f t="shared" si="35"/>
        <v>49993.721550019931</v>
      </c>
      <c r="G13" s="116">
        <f t="shared" si="35"/>
        <v>50104.708929007029</v>
      </c>
      <c r="H13" s="116">
        <f t="shared" si="35"/>
        <v>52436.79567495019</v>
      </c>
      <c r="I13" s="116">
        <f t="shared" si="35"/>
        <v>53044.433886484854</v>
      </c>
      <c r="J13" s="116">
        <f t="shared" si="35"/>
        <v>53525.198463968249</v>
      </c>
      <c r="K13" s="116">
        <f t="shared" si="35"/>
        <v>53163.203980574865</v>
      </c>
      <c r="L13" s="116">
        <f t="shared" ref="L13" si="36">SUM(L14:L18)</f>
        <v>54040.974622693473</v>
      </c>
      <c r="M13" s="116">
        <f t="shared" ref="M13:V13" si="37">SUM(M14:M18)</f>
        <v>54582.638113687732</v>
      </c>
      <c r="N13" s="116">
        <f t="shared" si="37"/>
        <v>55392.315106921269</v>
      </c>
      <c r="O13" s="116">
        <f t="shared" si="37"/>
        <v>55760.384376386799</v>
      </c>
      <c r="P13" s="116">
        <f t="shared" si="37"/>
        <v>56820.166257603647</v>
      </c>
      <c r="Q13" s="116">
        <f t="shared" si="37"/>
        <v>57625.625801629154</v>
      </c>
      <c r="R13" s="116">
        <f t="shared" si="37"/>
        <v>58582.655058852222</v>
      </c>
      <c r="S13" s="116">
        <f t="shared" si="37"/>
        <v>58195.395842164784</v>
      </c>
      <c r="T13" s="116">
        <f t="shared" si="37"/>
        <v>58221.59713849135</v>
      </c>
      <c r="U13" s="116">
        <f t="shared" si="37"/>
        <v>59739.596066877493</v>
      </c>
      <c r="V13" s="116">
        <f t="shared" si="37"/>
        <v>37197.776957743801</v>
      </c>
      <c r="W13" s="116">
        <f t="shared" ref="W13:Y13" si="38">SUM(W14:W18)</f>
        <v>40960.118937197869</v>
      </c>
      <c r="X13" s="116">
        <f t="shared" si="38"/>
        <v>47155.013993564789</v>
      </c>
      <c r="Y13" s="116">
        <f t="shared" si="38"/>
        <v>52874.225460385896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105.21807253098299</v>
      </c>
      <c r="C14" s="101">
        <f t="shared" si="39"/>
        <v>98.612280134493972</v>
      </c>
      <c r="D14" s="101">
        <f t="shared" si="39"/>
        <v>95.821771183165609</v>
      </c>
      <c r="E14" s="101">
        <f t="shared" si="39"/>
        <v>89.941822438411137</v>
      </c>
      <c r="F14" s="101">
        <f t="shared" si="39"/>
        <v>84.418790257149666</v>
      </c>
      <c r="G14" s="101">
        <f t="shared" si="39"/>
        <v>77.196827312989782</v>
      </c>
      <c r="H14" s="101">
        <f t="shared" si="39"/>
        <v>72.510906073612901</v>
      </c>
      <c r="I14" s="101">
        <f t="shared" si="39"/>
        <v>66.126587690115997</v>
      </c>
      <c r="J14" s="101">
        <f t="shared" si="39"/>
        <v>60.924483652889023</v>
      </c>
      <c r="K14" s="101">
        <f t="shared" si="39"/>
        <v>54.041163234420196</v>
      </c>
      <c r="L14" s="101">
        <f t="shared" ref="L14" si="40">IF(L41=0,0,L41*L151)</f>
        <v>47.226185810867655</v>
      </c>
      <c r="M14" s="101">
        <f t="shared" ref="M14:V14" si="41">IF(M41=0,0,M41*M151)</f>
        <v>40.718513347054554</v>
      </c>
      <c r="N14" s="101">
        <f t="shared" si="41"/>
        <v>35.254348497923026</v>
      </c>
      <c r="O14" s="101">
        <f t="shared" si="41"/>
        <v>31.502807739587237</v>
      </c>
      <c r="P14" s="101">
        <f t="shared" si="41"/>
        <v>26.685894167788433</v>
      </c>
      <c r="Q14" s="101">
        <f t="shared" si="41"/>
        <v>22.444749948650792</v>
      </c>
      <c r="R14" s="101">
        <f t="shared" si="41"/>
        <v>22.096409531857155</v>
      </c>
      <c r="S14" s="101">
        <f t="shared" si="41"/>
        <v>22.307814995486734</v>
      </c>
      <c r="T14" s="101">
        <f t="shared" si="41"/>
        <v>21.894625064080504</v>
      </c>
      <c r="U14" s="101">
        <f t="shared" si="41"/>
        <v>22.40118519151601</v>
      </c>
      <c r="V14" s="101">
        <f t="shared" si="41"/>
        <v>15.925867922078545</v>
      </c>
      <c r="W14" s="101">
        <f t="shared" ref="W14:Y14" si="42">IF(W41=0,0,W41*W151)</f>
        <v>17.389241437119807</v>
      </c>
      <c r="X14" s="101">
        <f t="shared" si="42"/>
        <v>15.790346416845482</v>
      </c>
      <c r="Y14" s="101">
        <f t="shared" si="42"/>
        <v>13.406909265005725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49317.961246113773</v>
      </c>
      <c r="C15" s="101">
        <f t="shared" si="43"/>
        <v>47541.15720245531</v>
      </c>
      <c r="D15" s="101">
        <f t="shared" si="43"/>
        <v>48020.280365858547</v>
      </c>
      <c r="E15" s="101">
        <f t="shared" si="43"/>
        <v>48361.016872079694</v>
      </c>
      <c r="F15" s="101">
        <f t="shared" si="43"/>
        <v>49114.557413027367</v>
      </c>
      <c r="G15" s="101">
        <f t="shared" si="43"/>
        <v>49177.857652183229</v>
      </c>
      <c r="H15" s="101">
        <f t="shared" si="43"/>
        <v>51399.413642594001</v>
      </c>
      <c r="I15" s="101">
        <f t="shared" si="43"/>
        <v>51909.876634448898</v>
      </c>
      <c r="J15" s="101">
        <f t="shared" si="43"/>
        <v>52220.77608736424</v>
      </c>
      <c r="K15" s="101">
        <f t="shared" si="43"/>
        <v>51856.069564400263</v>
      </c>
      <c r="L15" s="101">
        <f t="shared" ref="L15" si="44">IF(L42=0,0,L42*L152)</f>
        <v>52732.01201199169</v>
      </c>
      <c r="M15" s="101">
        <f t="shared" ref="M15:V15" si="45">IF(M42=0,0,M42*M152)</f>
        <v>51713.605816867363</v>
      </c>
      <c r="N15" s="101">
        <f t="shared" si="45"/>
        <v>52150.254960251696</v>
      </c>
      <c r="O15" s="101">
        <f t="shared" si="45"/>
        <v>51359.600687285354</v>
      </c>
      <c r="P15" s="101">
        <f t="shared" si="45"/>
        <v>52149.042688296613</v>
      </c>
      <c r="Q15" s="101">
        <f t="shared" si="45"/>
        <v>52828.021276198953</v>
      </c>
      <c r="R15" s="101">
        <f t="shared" si="45"/>
        <v>53750.959632375074</v>
      </c>
      <c r="S15" s="101">
        <f t="shared" si="45"/>
        <v>53004.481559618493</v>
      </c>
      <c r="T15" s="101">
        <f t="shared" si="45"/>
        <v>52344.493856349378</v>
      </c>
      <c r="U15" s="101">
        <f t="shared" si="45"/>
        <v>52113.335572532967</v>
      </c>
      <c r="V15" s="101">
        <f t="shared" si="45"/>
        <v>30746.305535820833</v>
      </c>
      <c r="W15" s="101">
        <f t="shared" ref="W15:Y15" si="46">IF(W42=0,0,W42*W152)</f>
        <v>32356.823316301863</v>
      </c>
      <c r="X15" s="101">
        <f t="shared" si="46"/>
        <v>35768.161962704311</v>
      </c>
      <c r="Y15" s="101">
        <f t="shared" si="46"/>
        <v>38591.677858990624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57.434077243474547</v>
      </c>
      <c r="C16" s="101">
        <f t="shared" si="47"/>
        <v>65.332633447204913</v>
      </c>
      <c r="D16" s="101">
        <f t="shared" si="47"/>
        <v>66.184694305327014</v>
      </c>
      <c r="E16" s="101">
        <f t="shared" si="47"/>
        <v>69.685775835545513</v>
      </c>
      <c r="F16" s="101">
        <f t="shared" si="47"/>
        <v>72.135202466221202</v>
      </c>
      <c r="G16" s="101">
        <f t="shared" si="47"/>
        <v>72.018635258580716</v>
      </c>
      <c r="H16" s="101">
        <f t="shared" si="47"/>
        <v>59.647544466111789</v>
      </c>
      <c r="I16" s="101">
        <f t="shared" si="47"/>
        <v>69.995511135026263</v>
      </c>
      <c r="J16" s="101">
        <f t="shared" si="47"/>
        <v>68.941036115226311</v>
      </c>
      <c r="K16" s="101">
        <f t="shared" si="47"/>
        <v>67.660138002508148</v>
      </c>
      <c r="L16" s="101">
        <f t="shared" ref="L16" si="48">IF(L43=0,0,L43*L153)</f>
        <v>66.121438748805488</v>
      </c>
      <c r="M16" s="101">
        <f t="shared" ref="M16:V16" si="49">IF(M43=0,0,M43*M153)</f>
        <v>61.757013522575967</v>
      </c>
      <c r="N16" s="101">
        <f t="shared" si="49"/>
        <v>58.472117239957491</v>
      </c>
      <c r="O16" s="101">
        <f t="shared" si="49"/>
        <v>57.779463494282915</v>
      </c>
      <c r="P16" s="101">
        <f t="shared" si="49"/>
        <v>54.234033063375747</v>
      </c>
      <c r="Q16" s="101">
        <f t="shared" si="49"/>
        <v>51.14042033859085</v>
      </c>
      <c r="R16" s="101">
        <f t="shared" si="49"/>
        <v>48.214295043760686</v>
      </c>
      <c r="S16" s="101">
        <f t="shared" si="49"/>
        <v>45.010564982598289</v>
      </c>
      <c r="T16" s="101">
        <f t="shared" si="49"/>
        <v>41.257928572076153</v>
      </c>
      <c r="U16" s="101">
        <f t="shared" si="49"/>
        <v>37.400674643354378</v>
      </c>
      <c r="V16" s="101">
        <f t="shared" si="49"/>
        <v>21.699401629240981</v>
      </c>
      <c r="W16" s="101">
        <f t="shared" ref="W16:Y16" si="50">IF(W43=0,0,W43*W153)</f>
        <v>19.608713477998929</v>
      </c>
      <c r="X16" s="101">
        <f t="shared" si="50"/>
        <v>19.544110418124049</v>
      </c>
      <c r="Y16" s="101">
        <f t="shared" si="50"/>
        <v>18.758323088235613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11.303401996935815</v>
      </c>
      <c r="C17" s="101">
        <f t="shared" si="51"/>
        <v>294.56255971028554</v>
      </c>
      <c r="D17" s="101">
        <f t="shared" si="51"/>
        <v>340.77394248372303</v>
      </c>
      <c r="E17" s="101">
        <f t="shared" si="51"/>
        <v>477.45565952361972</v>
      </c>
      <c r="F17" s="101">
        <f t="shared" si="51"/>
        <v>576.96122853924226</v>
      </c>
      <c r="G17" s="101">
        <f t="shared" si="51"/>
        <v>633.80488654685939</v>
      </c>
      <c r="H17" s="101">
        <f t="shared" si="51"/>
        <v>764.52552837651035</v>
      </c>
      <c r="I17" s="101">
        <f t="shared" si="51"/>
        <v>863.94377425007042</v>
      </c>
      <c r="J17" s="101">
        <f t="shared" si="51"/>
        <v>1043.2269867958346</v>
      </c>
      <c r="K17" s="101">
        <f t="shared" si="51"/>
        <v>1057.3001196587575</v>
      </c>
      <c r="L17" s="101">
        <f t="shared" ref="L17" si="52">IF(L44=0,0,L44*L154)</f>
        <v>1069.471638809358</v>
      </c>
      <c r="M17" s="101">
        <f t="shared" ref="M17:V17" si="53">IF(M44=0,0,M44*M154)</f>
        <v>2646.5722698430832</v>
      </c>
      <c r="N17" s="101">
        <f t="shared" si="53"/>
        <v>3012.2913659159544</v>
      </c>
      <c r="O17" s="101">
        <f t="shared" si="53"/>
        <v>4085.5418618199715</v>
      </c>
      <c r="P17" s="101">
        <f t="shared" si="53"/>
        <v>4342.598409932657</v>
      </c>
      <c r="Q17" s="101">
        <f t="shared" si="53"/>
        <v>4451.8280524997172</v>
      </c>
      <c r="R17" s="101">
        <f t="shared" si="53"/>
        <v>4454.9494561813253</v>
      </c>
      <c r="S17" s="101">
        <f t="shared" si="53"/>
        <v>4772.2187792802533</v>
      </c>
      <c r="T17" s="101">
        <f t="shared" si="53"/>
        <v>5452.5808263465033</v>
      </c>
      <c r="U17" s="101">
        <f t="shared" si="53"/>
        <v>6993.1792701638651</v>
      </c>
      <c r="V17" s="101">
        <f t="shared" si="53"/>
        <v>5956.5426787253673</v>
      </c>
      <c r="W17" s="101">
        <f t="shared" ref="W17:Y17" si="54">IF(W44=0,0,W44*W154)</f>
        <v>7642.8068539851956</v>
      </c>
      <c r="X17" s="101">
        <f t="shared" si="54"/>
        <v>10011.605611923369</v>
      </c>
      <c r="Y17" s="101">
        <f t="shared" si="54"/>
        <v>12462.338661662348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102.5788306024285</v>
      </c>
      <c r="C18" s="101">
        <f t="shared" si="55"/>
        <v>111.67370393807923</v>
      </c>
      <c r="D18" s="101">
        <f t="shared" si="55"/>
        <v>125.22022353252001</v>
      </c>
      <c r="E18" s="101">
        <f t="shared" si="55"/>
        <v>135.45627458314038</v>
      </c>
      <c r="F18" s="101">
        <f t="shared" si="55"/>
        <v>145.64891572994983</v>
      </c>
      <c r="G18" s="101">
        <f t="shared" si="55"/>
        <v>143.83092770536686</v>
      </c>
      <c r="H18" s="101">
        <f t="shared" si="55"/>
        <v>140.69805343995668</v>
      </c>
      <c r="I18" s="101">
        <f t="shared" si="55"/>
        <v>134.49137896073481</v>
      </c>
      <c r="J18" s="101">
        <f t="shared" si="55"/>
        <v>131.32987004006392</v>
      </c>
      <c r="K18" s="101">
        <f t="shared" si="55"/>
        <v>128.13299527891897</v>
      </c>
      <c r="L18" s="101">
        <f t="shared" ref="L18" si="56">IF(L45=0,0,L45*L155)</f>
        <v>126.14334733275179</v>
      </c>
      <c r="M18" s="101">
        <f t="shared" ref="M18:V18" si="57">IF(M45=0,0,M45*M155)</f>
        <v>119.98450010765501</v>
      </c>
      <c r="N18" s="101">
        <f t="shared" si="57"/>
        <v>136.04231501573818</v>
      </c>
      <c r="O18" s="101">
        <f t="shared" si="57"/>
        <v>225.95955604760846</v>
      </c>
      <c r="P18" s="101">
        <f t="shared" si="57"/>
        <v>247.60523214321719</v>
      </c>
      <c r="Q18" s="101">
        <f t="shared" si="57"/>
        <v>272.19130264324758</v>
      </c>
      <c r="R18" s="101">
        <f t="shared" si="57"/>
        <v>306.43526572020517</v>
      </c>
      <c r="S18" s="101">
        <f t="shared" si="57"/>
        <v>351.37712328795408</v>
      </c>
      <c r="T18" s="101">
        <f t="shared" si="57"/>
        <v>361.3699021593099</v>
      </c>
      <c r="U18" s="101">
        <f t="shared" si="57"/>
        <v>573.27936434580033</v>
      </c>
      <c r="V18" s="101">
        <f t="shared" si="57"/>
        <v>457.30347364628085</v>
      </c>
      <c r="W18" s="101">
        <f t="shared" ref="W18:Y18" si="58">IF(W45=0,0,W45*W155)</f>
        <v>923.49081199569844</v>
      </c>
      <c r="X18" s="101">
        <f t="shared" si="58"/>
        <v>1339.9119621021355</v>
      </c>
      <c r="Y18" s="101">
        <f t="shared" si="58"/>
        <v>1788.0437073796884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262745.47011011658</v>
      </c>
      <c r="C19" s="29">
        <f t="shared" si="59"/>
        <v>274665.69834067777</v>
      </c>
      <c r="D19" s="29">
        <f t="shared" si="59"/>
        <v>281300.79659975431</v>
      </c>
      <c r="E19" s="29">
        <f t="shared" si="59"/>
        <v>283994.5396570515</v>
      </c>
      <c r="F19" s="29">
        <f t="shared" si="59"/>
        <v>307945.20052719052</v>
      </c>
      <c r="G19" s="29">
        <f t="shared" si="59"/>
        <v>310120.79245343449</v>
      </c>
      <c r="H19" s="29">
        <f t="shared" si="59"/>
        <v>319694.29155836592</v>
      </c>
      <c r="I19" s="29">
        <f t="shared" si="59"/>
        <v>331204.52227926103</v>
      </c>
      <c r="J19" s="29">
        <f t="shared" si="59"/>
        <v>316920.68224771507</v>
      </c>
      <c r="K19" s="29">
        <f t="shared" si="59"/>
        <v>277558.00958654418</v>
      </c>
      <c r="L19" s="29">
        <f t="shared" ref="L19" si="60">L20+L26</f>
        <v>291358.22056636319</v>
      </c>
      <c r="M19" s="29">
        <f t="shared" ref="M19:V19" si="61">M20+M26</f>
        <v>290265.59015553724</v>
      </c>
      <c r="N19" s="29">
        <f t="shared" si="61"/>
        <v>276130.66035260959</v>
      </c>
      <c r="O19" s="29">
        <f t="shared" si="61"/>
        <v>281122.50471558148</v>
      </c>
      <c r="P19" s="29">
        <f t="shared" si="61"/>
        <v>277351.081358828</v>
      </c>
      <c r="Q19" s="29">
        <f t="shared" si="61"/>
        <v>269342.36381851032</v>
      </c>
      <c r="R19" s="29">
        <f t="shared" si="61"/>
        <v>276698.02915908751</v>
      </c>
      <c r="S19" s="29">
        <f t="shared" si="61"/>
        <v>296445.09039194771</v>
      </c>
      <c r="T19" s="29">
        <f t="shared" si="61"/>
        <v>300267.23863920133</v>
      </c>
      <c r="U19" s="29">
        <f t="shared" si="61"/>
        <v>308152.44654217723</v>
      </c>
      <c r="V19" s="29">
        <f t="shared" si="61"/>
        <v>296736.36885389639</v>
      </c>
      <c r="W19" s="29">
        <f t="shared" ref="W19:Y19" si="62">W20+W26</f>
        <v>313746.11428730609</v>
      </c>
      <c r="X19" s="29">
        <f t="shared" si="62"/>
        <v>310184.14981028117</v>
      </c>
      <c r="Y19" s="29">
        <f t="shared" si="62"/>
        <v>303047.0423080023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14986.077193000407</v>
      </c>
      <c r="C20" s="152">
        <f t="shared" si="63"/>
        <v>15474.550577215912</v>
      </c>
      <c r="D20" s="152">
        <f t="shared" si="63"/>
        <v>15598.066362920501</v>
      </c>
      <c r="E20" s="152">
        <f t="shared" si="63"/>
        <v>15593.201515620553</v>
      </c>
      <c r="F20" s="152">
        <f t="shared" si="63"/>
        <v>15588.384355289058</v>
      </c>
      <c r="G20" s="152">
        <f t="shared" si="63"/>
        <v>15582.981733547609</v>
      </c>
      <c r="H20" s="152">
        <f t="shared" si="63"/>
        <v>15763.724692465057</v>
      </c>
      <c r="I20" s="152">
        <f t="shared" si="63"/>
        <v>15877.306519141097</v>
      </c>
      <c r="J20" s="152">
        <f t="shared" si="63"/>
        <v>15494.002513473773</v>
      </c>
      <c r="K20" s="152">
        <f t="shared" si="63"/>
        <v>15809.425696796532</v>
      </c>
      <c r="L20" s="152">
        <f t="shared" ref="L20" si="64">SUM(L21:L25)</f>
        <v>16228.217862938591</v>
      </c>
      <c r="M20" s="152">
        <f t="shared" ref="M20:V20" si="65">SUM(M21:M25)</f>
        <v>16888.550051301729</v>
      </c>
      <c r="N20" s="152">
        <f t="shared" si="65"/>
        <v>17073.407918950135</v>
      </c>
      <c r="O20" s="152">
        <f t="shared" si="65"/>
        <v>17384.288032670622</v>
      </c>
      <c r="P20" s="152">
        <f t="shared" si="65"/>
        <v>17490.128528581194</v>
      </c>
      <c r="Q20" s="152">
        <f t="shared" si="65"/>
        <v>18160.404262973669</v>
      </c>
      <c r="R20" s="152">
        <f t="shared" si="65"/>
        <v>18134.611693670915</v>
      </c>
      <c r="S20" s="152">
        <f t="shared" si="65"/>
        <v>18611.264296200898</v>
      </c>
      <c r="T20" s="152">
        <f t="shared" si="65"/>
        <v>18636.238639201329</v>
      </c>
      <c r="U20" s="152">
        <f t="shared" si="65"/>
        <v>18823.44654217724</v>
      </c>
      <c r="V20" s="152">
        <f t="shared" si="65"/>
        <v>16637.368853896362</v>
      </c>
      <c r="W20" s="152">
        <f t="shared" ref="W20:Y20" si="66">SUM(W21:W25)</f>
        <v>18853.114287306107</v>
      </c>
      <c r="X20" s="152">
        <f t="shared" si="66"/>
        <v>19034.149810281167</v>
      </c>
      <c r="Y20" s="152">
        <f t="shared" si="66"/>
        <v>19380.04230800231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1678.9049887840154</v>
      </c>
      <c r="C21" s="87">
        <f t="shared" si="67"/>
        <v>1425.3522640095584</v>
      </c>
      <c r="D21" s="87">
        <f t="shared" si="67"/>
        <v>1186.1115687539859</v>
      </c>
      <c r="E21" s="87">
        <f t="shared" si="67"/>
        <v>941.93963855826905</v>
      </c>
      <c r="F21" s="87">
        <f t="shared" si="67"/>
        <v>746.52275581405127</v>
      </c>
      <c r="G21" s="87">
        <f t="shared" si="67"/>
        <v>624.90248578698333</v>
      </c>
      <c r="H21" s="87">
        <f t="shared" si="67"/>
        <v>536.69347914733646</v>
      </c>
      <c r="I21" s="87">
        <f t="shared" si="67"/>
        <v>470.55137453351506</v>
      </c>
      <c r="J21" s="87">
        <f t="shared" si="67"/>
        <v>417.67826122438646</v>
      </c>
      <c r="K21" s="87">
        <f t="shared" si="67"/>
        <v>381.47860208991784</v>
      </c>
      <c r="L21" s="87">
        <f t="shared" ref="L21" si="68">IF(L48=0,0,L48*L158)</f>
        <v>418.19388603931168</v>
      </c>
      <c r="M21" s="87">
        <f t="shared" ref="M21:V21" si="69">IF(M48=0,0,M48*M158)</f>
        <v>473.9337160482167</v>
      </c>
      <c r="N21" s="87">
        <f t="shared" si="69"/>
        <v>513.66212042962741</v>
      </c>
      <c r="O21" s="87">
        <f t="shared" si="69"/>
        <v>558.60435246234488</v>
      </c>
      <c r="P21" s="87">
        <f t="shared" si="69"/>
        <v>503.39017680473484</v>
      </c>
      <c r="Q21" s="87">
        <f t="shared" si="69"/>
        <v>468.76626087157945</v>
      </c>
      <c r="R21" s="87">
        <f t="shared" si="69"/>
        <v>453.07616511139423</v>
      </c>
      <c r="S21" s="87">
        <f t="shared" si="69"/>
        <v>448.67516988917288</v>
      </c>
      <c r="T21" s="87">
        <f t="shared" si="69"/>
        <v>439.77917604227554</v>
      </c>
      <c r="U21" s="87">
        <f t="shared" si="69"/>
        <v>422.82869090190678</v>
      </c>
      <c r="V21" s="87">
        <f t="shared" si="69"/>
        <v>366.71230682218408</v>
      </c>
      <c r="W21" s="87">
        <f t="shared" ref="W21:Y21" si="70">IF(W48=0,0,W48*W158)</f>
        <v>439.87153382834828</v>
      </c>
      <c r="X21" s="87">
        <f t="shared" si="70"/>
        <v>481.05413685973866</v>
      </c>
      <c r="Y21" s="87">
        <f t="shared" si="70"/>
        <v>574.05796823566118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13258.512498132579</v>
      </c>
      <c r="C22" s="87">
        <f t="shared" si="71"/>
        <v>13995.896555758482</v>
      </c>
      <c r="D22" s="87">
        <f t="shared" si="71"/>
        <v>14356.810274251404</v>
      </c>
      <c r="E22" s="87">
        <f t="shared" si="71"/>
        <v>14595.13410159424</v>
      </c>
      <c r="F22" s="87">
        <f t="shared" si="71"/>
        <v>14784.478820512986</v>
      </c>
      <c r="G22" s="87">
        <f t="shared" si="71"/>
        <v>14899.252429989487</v>
      </c>
      <c r="H22" s="87">
        <f t="shared" si="71"/>
        <v>15163.582359971462</v>
      </c>
      <c r="I22" s="87">
        <f t="shared" si="71"/>
        <v>15354.255562845852</v>
      </c>
      <c r="J22" s="87">
        <f t="shared" si="71"/>
        <v>15028.391111512627</v>
      </c>
      <c r="K22" s="87">
        <f t="shared" si="71"/>
        <v>15377.026696731955</v>
      </c>
      <c r="L22" s="87">
        <f t="shared" ref="L22" si="72">IF(L49=0,0,L49*L159)</f>
        <v>15760.344567801601</v>
      </c>
      <c r="M22" s="87">
        <f t="shared" ref="M22:V22" si="73">IF(M49=0,0,M49*M159)</f>
        <v>16361.768380023283</v>
      </c>
      <c r="N22" s="87">
        <f t="shared" si="73"/>
        <v>16506.631519629471</v>
      </c>
      <c r="O22" s="87">
        <f t="shared" si="73"/>
        <v>16768.922449194208</v>
      </c>
      <c r="P22" s="87">
        <f t="shared" si="73"/>
        <v>16925.796966437501</v>
      </c>
      <c r="Q22" s="87">
        <f t="shared" si="73"/>
        <v>17626.094829104335</v>
      </c>
      <c r="R22" s="87">
        <f t="shared" si="73"/>
        <v>17608.286357845784</v>
      </c>
      <c r="S22" s="87">
        <f t="shared" si="73"/>
        <v>18086.888619141155</v>
      </c>
      <c r="T22" s="87">
        <f t="shared" si="73"/>
        <v>18099.905162203919</v>
      </c>
      <c r="U22" s="87">
        <f t="shared" si="73"/>
        <v>18299.271638779675</v>
      </c>
      <c r="V22" s="87">
        <f t="shared" si="73"/>
        <v>16170.959349943838</v>
      </c>
      <c r="W22" s="87">
        <f t="shared" ref="W22:Y22" si="74">IF(W49=0,0,W49*W159)</f>
        <v>18287.537611418898</v>
      </c>
      <c r="X22" s="87">
        <f t="shared" si="74"/>
        <v>18413.442056680971</v>
      </c>
      <c r="Y22" s="87">
        <f t="shared" si="74"/>
        <v>18636.152385073041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43.41269850901373</v>
      </c>
      <c r="C23" s="87">
        <f t="shared" si="75"/>
        <v>47.264176710952789</v>
      </c>
      <c r="D23" s="87">
        <f t="shared" si="75"/>
        <v>48.71803311746369</v>
      </c>
      <c r="E23" s="87">
        <f t="shared" si="75"/>
        <v>49.165765306286154</v>
      </c>
      <c r="F23" s="87">
        <f t="shared" si="75"/>
        <v>50.188436771908663</v>
      </c>
      <c r="G23" s="87">
        <f t="shared" si="75"/>
        <v>51.739236243289028</v>
      </c>
      <c r="H23" s="87">
        <f t="shared" si="75"/>
        <v>55.584624871030393</v>
      </c>
      <c r="I23" s="87">
        <f t="shared" si="75"/>
        <v>44.431556453116421</v>
      </c>
      <c r="J23" s="87">
        <f t="shared" si="75"/>
        <v>40.472577655138572</v>
      </c>
      <c r="K23" s="87">
        <f t="shared" si="75"/>
        <v>42.762536642907172</v>
      </c>
      <c r="L23" s="87">
        <f t="shared" ref="L23" si="76">IF(L50=0,0,L50*L160)</f>
        <v>42.154693407174626</v>
      </c>
      <c r="M23" s="87">
        <f t="shared" ref="M23:V23" si="77">IF(M50=0,0,M50*M160)</f>
        <v>42.260575313777323</v>
      </c>
      <c r="N23" s="87">
        <f t="shared" si="77"/>
        <v>40.537746650700988</v>
      </c>
      <c r="O23" s="87">
        <f t="shared" si="77"/>
        <v>39.865040296254726</v>
      </c>
      <c r="P23" s="87">
        <f t="shared" si="77"/>
        <v>38.596366377972345</v>
      </c>
      <c r="Q23" s="87">
        <f t="shared" si="77"/>
        <v>38.873724475770565</v>
      </c>
      <c r="R23" s="87">
        <f t="shared" si="77"/>
        <v>37.901107014417775</v>
      </c>
      <c r="S23" s="87">
        <f t="shared" si="77"/>
        <v>36.918615070820422</v>
      </c>
      <c r="T23" s="87">
        <f t="shared" si="77"/>
        <v>31.651189332048872</v>
      </c>
      <c r="U23" s="87">
        <f t="shared" si="77"/>
        <v>29.565098390489723</v>
      </c>
      <c r="V23" s="87">
        <f t="shared" si="77"/>
        <v>24.204578875076781</v>
      </c>
      <c r="W23" s="87">
        <f t="shared" ref="W23:Y23" si="78">IF(W50=0,0,W50*W160)</f>
        <v>27.74979591539676</v>
      </c>
      <c r="X23" s="87">
        <f t="shared" si="78"/>
        <v>28.133563351874695</v>
      </c>
      <c r="Y23" s="87">
        <f t="shared" si="78"/>
        <v>32.64828191453708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0.54874505037927801</v>
      </c>
      <c r="C24" s="87">
        <f t="shared" si="79"/>
        <v>0.51430691782361215</v>
      </c>
      <c r="D24" s="87">
        <f t="shared" si="79"/>
        <v>0.52557585013265529</v>
      </c>
      <c r="E24" s="87">
        <f t="shared" si="79"/>
        <v>0.8403628109424216</v>
      </c>
      <c r="F24" s="87">
        <f t="shared" si="79"/>
        <v>0.79804924803890798</v>
      </c>
      <c r="G24" s="87">
        <f t="shared" si="79"/>
        <v>0.76159336461605787</v>
      </c>
      <c r="H24" s="87">
        <f t="shared" si="79"/>
        <v>1.5575733177043201</v>
      </c>
      <c r="I24" s="87">
        <f t="shared" si="79"/>
        <v>1.4495258482288547</v>
      </c>
      <c r="J24" s="87">
        <f t="shared" si="79"/>
        <v>1.4291877768248424</v>
      </c>
      <c r="K24" s="87">
        <f t="shared" si="79"/>
        <v>1.7633196159844984</v>
      </c>
      <c r="L24" s="87">
        <f t="shared" ref="L24" si="80">IF(L51=0,0,L51*L161)</f>
        <v>1.7143703598879265</v>
      </c>
      <c r="M24" s="87">
        <f t="shared" ref="M24:V24" si="81">IF(M51=0,0,M51*M161)</f>
        <v>2.1488071983117405</v>
      </c>
      <c r="N24" s="87">
        <f t="shared" si="81"/>
        <v>2.9781791691575048</v>
      </c>
      <c r="O24" s="87">
        <f t="shared" si="81"/>
        <v>3.8842339912516408</v>
      </c>
      <c r="P24" s="87">
        <f t="shared" si="81"/>
        <v>4.4878349779839199</v>
      </c>
      <c r="Q24" s="87">
        <f t="shared" si="81"/>
        <v>5.1902063153716398</v>
      </c>
      <c r="R24" s="87">
        <f t="shared" si="81"/>
        <v>5.8871058939641561</v>
      </c>
      <c r="S24" s="87">
        <f t="shared" si="81"/>
        <v>6.8675494301367817</v>
      </c>
      <c r="T24" s="87">
        <f t="shared" si="81"/>
        <v>17.645182408042782</v>
      </c>
      <c r="U24" s="87">
        <f t="shared" si="81"/>
        <v>15.461535037658631</v>
      </c>
      <c r="V24" s="87">
        <f t="shared" si="81"/>
        <v>14.710655692509876</v>
      </c>
      <c r="W24" s="87">
        <f t="shared" ref="W24:Y24" si="82">IF(W51=0,0,W51*W161)</f>
        <v>18.149274910494459</v>
      </c>
      <c r="X24" s="87">
        <f t="shared" si="82"/>
        <v>18.108200099727544</v>
      </c>
      <c r="Y24" s="87">
        <f t="shared" si="82"/>
        <v>18.549814801886285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4.6982625244198308</v>
      </c>
      <c r="C25" s="87">
        <f t="shared" si="83"/>
        <v>5.5232738190965884</v>
      </c>
      <c r="D25" s="87">
        <f t="shared" si="83"/>
        <v>5.9009109475130916</v>
      </c>
      <c r="E25" s="87">
        <f t="shared" si="83"/>
        <v>6.1216473508144844</v>
      </c>
      <c r="F25" s="87">
        <f t="shared" si="83"/>
        <v>6.396292942073412</v>
      </c>
      <c r="G25" s="87">
        <f t="shared" si="83"/>
        <v>6.3259881632342054</v>
      </c>
      <c r="H25" s="87">
        <f t="shared" si="83"/>
        <v>6.3066551575252507</v>
      </c>
      <c r="I25" s="87">
        <f t="shared" si="83"/>
        <v>6.618499460382</v>
      </c>
      <c r="J25" s="87">
        <f t="shared" si="83"/>
        <v>6.0313753047978151</v>
      </c>
      <c r="K25" s="87">
        <f t="shared" si="83"/>
        <v>6.3945417157675086</v>
      </c>
      <c r="L25" s="87">
        <f t="shared" ref="L25" si="84">IF(L52=0,0,L52*L162)</f>
        <v>5.8103453306166033</v>
      </c>
      <c r="M25" s="87">
        <f t="shared" ref="M25:V25" si="85">IF(M52=0,0,M52*M162)</f>
        <v>8.4385727181436785</v>
      </c>
      <c r="N25" s="87">
        <f t="shared" si="85"/>
        <v>9.5983530711781295</v>
      </c>
      <c r="O25" s="87">
        <f t="shared" si="85"/>
        <v>13.011956726560078</v>
      </c>
      <c r="P25" s="87">
        <f t="shared" si="85"/>
        <v>17.857183982998592</v>
      </c>
      <c r="Q25" s="87">
        <f t="shared" si="85"/>
        <v>21.479242206609317</v>
      </c>
      <c r="R25" s="87">
        <f t="shared" si="85"/>
        <v>29.460957805353598</v>
      </c>
      <c r="S25" s="87">
        <f t="shared" si="85"/>
        <v>31.914342669616481</v>
      </c>
      <c r="T25" s="87">
        <f t="shared" si="85"/>
        <v>47.257929215040996</v>
      </c>
      <c r="U25" s="87">
        <f t="shared" si="85"/>
        <v>56.319579067507519</v>
      </c>
      <c r="V25" s="87">
        <f t="shared" si="85"/>
        <v>60.781962562752845</v>
      </c>
      <c r="W25" s="87">
        <f t="shared" ref="W25:Y25" si="86">IF(W52=0,0,W52*W162)</f>
        <v>79.806071232971377</v>
      </c>
      <c r="X25" s="87">
        <f t="shared" si="86"/>
        <v>93.411853288856889</v>
      </c>
      <c r="Y25" s="87">
        <f t="shared" si="86"/>
        <v>118.63385797718195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247759.39291711617</v>
      </c>
      <c r="C26" s="116">
        <f t="shared" si="87"/>
        <v>259191.14776346183</v>
      </c>
      <c r="D26" s="116">
        <f t="shared" si="87"/>
        <v>265702.7302368338</v>
      </c>
      <c r="E26" s="116">
        <f t="shared" si="87"/>
        <v>268401.33814143093</v>
      </c>
      <c r="F26" s="116">
        <f t="shared" si="87"/>
        <v>292356.81617190148</v>
      </c>
      <c r="G26" s="116">
        <f t="shared" si="87"/>
        <v>294537.81071988691</v>
      </c>
      <c r="H26" s="116">
        <f t="shared" si="87"/>
        <v>303930.56686590088</v>
      </c>
      <c r="I26" s="116">
        <f t="shared" si="87"/>
        <v>315327.21576011996</v>
      </c>
      <c r="J26" s="116">
        <f t="shared" si="87"/>
        <v>301426.67973424128</v>
      </c>
      <c r="K26" s="116">
        <f t="shared" si="87"/>
        <v>261748.58388974765</v>
      </c>
      <c r="L26" s="116">
        <f t="shared" ref="L26" si="88">SUM(L27:L28)</f>
        <v>275130.0027034246</v>
      </c>
      <c r="M26" s="116">
        <f t="shared" ref="M26:V26" si="89">SUM(M27:M28)</f>
        <v>273377.04010423552</v>
      </c>
      <c r="N26" s="116">
        <f t="shared" si="89"/>
        <v>259057.25243365948</v>
      </c>
      <c r="O26" s="116">
        <f t="shared" si="89"/>
        <v>263738.21668291086</v>
      </c>
      <c r="P26" s="116">
        <f t="shared" si="89"/>
        <v>259860.9528302468</v>
      </c>
      <c r="Q26" s="116">
        <f t="shared" si="89"/>
        <v>251181.95955553662</v>
      </c>
      <c r="R26" s="116">
        <f t="shared" si="89"/>
        <v>258563.4174654166</v>
      </c>
      <c r="S26" s="116">
        <f t="shared" si="89"/>
        <v>277833.82609574683</v>
      </c>
      <c r="T26" s="116">
        <f t="shared" si="89"/>
        <v>281631</v>
      </c>
      <c r="U26" s="116">
        <f t="shared" si="89"/>
        <v>289329</v>
      </c>
      <c r="V26" s="116">
        <f t="shared" si="89"/>
        <v>280099</v>
      </c>
      <c r="W26" s="116">
        <f t="shared" ref="W26:Y26" si="90">SUM(W27:W28)</f>
        <v>294893</v>
      </c>
      <c r="X26" s="116">
        <f t="shared" si="90"/>
        <v>291150</v>
      </c>
      <c r="Y26" s="116">
        <f t="shared" si="90"/>
        <v>283667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163163</v>
      </c>
      <c r="C27" s="101">
        <f t="shared" si="91"/>
        <v>168572</v>
      </c>
      <c r="D27" s="101">
        <f t="shared" si="91"/>
        <v>169742</v>
      </c>
      <c r="E27" s="101">
        <f t="shared" si="91"/>
        <v>170896</v>
      </c>
      <c r="F27" s="101">
        <f t="shared" si="91"/>
        <v>179183</v>
      </c>
      <c r="G27" s="101">
        <f t="shared" si="91"/>
        <v>177331</v>
      </c>
      <c r="H27" s="101">
        <f t="shared" si="91"/>
        <v>182753</v>
      </c>
      <c r="I27" s="101">
        <f t="shared" si="91"/>
        <v>191388</v>
      </c>
      <c r="J27" s="101">
        <f t="shared" si="91"/>
        <v>181879</v>
      </c>
      <c r="K27" s="101">
        <f t="shared" si="91"/>
        <v>156021</v>
      </c>
      <c r="L27" s="101">
        <f t="shared" ref="L27:V27" si="92">IF(L54=0,0,L54*L164)</f>
        <v>164325</v>
      </c>
      <c r="M27" s="101">
        <f t="shared" si="92"/>
        <v>168242</v>
      </c>
      <c r="N27" s="101">
        <f t="shared" si="92"/>
        <v>156449</v>
      </c>
      <c r="O27" s="101">
        <f t="shared" si="92"/>
        <v>155712</v>
      </c>
      <c r="P27" s="101">
        <f t="shared" si="92"/>
        <v>151112</v>
      </c>
      <c r="Q27" s="101">
        <f t="shared" si="92"/>
        <v>141242</v>
      </c>
      <c r="R27" s="101">
        <f t="shared" si="92"/>
        <v>144205</v>
      </c>
      <c r="S27" s="101">
        <f t="shared" si="92"/>
        <v>155876</v>
      </c>
      <c r="T27" s="101">
        <f t="shared" si="92"/>
        <v>159623</v>
      </c>
      <c r="U27" s="101">
        <f t="shared" si="92"/>
        <v>162504</v>
      </c>
      <c r="V27" s="101">
        <f t="shared" si="92"/>
        <v>158158</v>
      </c>
      <c r="W27" s="101">
        <f t="shared" ref="W27:Y27" si="93">IF(W54=0,0,W54*W164)</f>
        <v>162574</v>
      </c>
      <c r="X27" s="101">
        <f t="shared" si="93"/>
        <v>160535</v>
      </c>
      <c r="Y27" s="101">
        <f t="shared" si="93"/>
        <v>157313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84596.392917116173</v>
      </c>
      <c r="C28" s="88">
        <f t="shared" si="94"/>
        <v>90619.147763461835</v>
      </c>
      <c r="D28" s="88">
        <f t="shared" si="94"/>
        <v>95960.730236833799</v>
      </c>
      <c r="E28" s="88">
        <f t="shared" si="94"/>
        <v>97505.338141430926</v>
      </c>
      <c r="F28" s="88">
        <f t="shared" si="94"/>
        <v>113173.81617190148</v>
      </c>
      <c r="G28" s="88">
        <f t="shared" si="94"/>
        <v>117206.81071988691</v>
      </c>
      <c r="H28" s="88">
        <f t="shared" si="94"/>
        <v>121177.56686590088</v>
      </c>
      <c r="I28" s="88">
        <f t="shared" si="94"/>
        <v>123939.21576011996</v>
      </c>
      <c r="J28" s="88">
        <f t="shared" si="94"/>
        <v>119547.67973424128</v>
      </c>
      <c r="K28" s="88">
        <f t="shared" si="94"/>
        <v>105727.58388974765</v>
      </c>
      <c r="L28" s="88">
        <f t="shared" ref="L28:V28" si="95">IF(L55=0,0,L55*L165)</f>
        <v>110805.0027034246</v>
      </c>
      <c r="M28" s="88">
        <f t="shared" si="95"/>
        <v>105135.04010423552</v>
      </c>
      <c r="N28" s="88">
        <f t="shared" si="95"/>
        <v>102608.25243365948</v>
      </c>
      <c r="O28" s="88">
        <f t="shared" si="95"/>
        <v>108026.21668291086</v>
      </c>
      <c r="P28" s="88">
        <f t="shared" si="95"/>
        <v>108748.9528302468</v>
      </c>
      <c r="Q28" s="88">
        <f t="shared" si="95"/>
        <v>109939.95955553662</v>
      </c>
      <c r="R28" s="88">
        <f t="shared" si="95"/>
        <v>114358.4174654166</v>
      </c>
      <c r="S28" s="88">
        <f t="shared" si="95"/>
        <v>121957.82609574683</v>
      </c>
      <c r="T28" s="88">
        <f t="shared" si="95"/>
        <v>122008</v>
      </c>
      <c r="U28" s="88">
        <f t="shared" si="95"/>
        <v>126825</v>
      </c>
      <c r="V28" s="88">
        <f t="shared" si="95"/>
        <v>121941</v>
      </c>
      <c r="W28" s="88">
        <f t="shared" ref="W28:Y28" si="96">IF(W55=0,0,W55*W165)</f>
        <v>132319</v>
      </c>
      <c r="X28" s="88">
        <f t="shared" si="96"/>
        <v>130615</v>
      </c>
      <c r="Y28" s="88">
        <f t="shared" si="96"/>
        <v>126354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402558.36492152518</v>
      </c>
      <c r="C30" s="62">
        <f t="shared" ref="C30:V30" si="98">C31+C46</f>
        <v>425712.43551473168</v>
      </c>
      <c r="D30" s="62">
        <f t="shared" si="98"/>
        <v>434185.55720622052</v>
      </c>
      <c r="E30" s="62">
        <f t="shared" si="98"/>
        <v>434957.97393668914</v>
      </c>
      <c r="F30" s="62">
        <f t="shared" si="98"/>
        <v>439837.03411650879</v>
      </c>
      <c r="G30" s="62">
        <f t="shared" si="98"/>
        <v>440066.74304557848</v>
      </c>
      <c r="H30" s="62">
        <f t="shared" si="98"/>
        <v>448549.97364239389</v>
      </c>
      <c r="I30" s="62">
        <f t="shared" si="98"/>
        <v>459149.94018022669</v>
      </c>
      <c r="J30" s="62">
        <f t="shared" si="98"/>
        <v>453075.11704590067</v>
      </c>
      <c r="K30" s="62">
        <f t="shared" si="98"/>
        <v>462086.07920125406</v>
      </c>
      <c r="L30" s="62">
        <f t="shared" si="98"/>
        <v>468481.13658402744</v>
      </c>
      <c r="M30" s="62">
        <f t="shared" si="98"/>
        <v>493713.49879816856</v>
      </c>
      <c r="N30" s="62">
        <f t="shared" si="98"/>
        <v>495772.39923216682</v>
      </c>
      <c r="O30" s="62">
        <f t="shared" si="98"/>
        <v>501693.71230082243</v>
      </c>
      <c r="P30" s="62">
        <f t="shared" si="98"/>
        <v>511148.01854042185</v>
      </c>
      <c r="Q30" s="62">
        <f t="shared" si="98"/>
        <v>526477.69531895663</v>
      </c>
      <c r="R30" s="62">
        <f t="shared" si="98"/>
        <v>536933.34824754763</v>
      </c>
      <c r="S30" s="62">
        <f t="shared" si="98"/>
        <v>545549.95696398942</v>
      </c>
      <c r="T30" s="62">
        <f t="shared" si="98"/>
        <v>540964.46563741937</v>
      </c>
      <c r="U30" s="62">
        <f t="shared" si="98"/>
        <v>549568.68097456533</v>
      </c>
      <c r="V30" s="62">
        <f t="shared" si="98"/>
        <v>462881.08484481147</v>
      </c>
      <c r="W30" s="62">
        <f t="shared" ref="W30:Y30" si="99">W31+W46</f>
        <v>531106.39251720661</v>
      </c>
      <c r="X30" s="62">
        <f t="shared" si="99"/>
        <v>566651.12646341266</v>
      </c>
      <c r="Y30" s="62">
        <f t="shared" si="99"/>
        <v>582334.99449805624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320259.54835228459</v>
      </c>
      <c r="C31" s="29">
        <f t="shared" ref="C31:V31" si="101">C32+C33+C40</f>
        <v>340714.82567728322</v>
      </c>
      <c r="D31" s="29">
        <f t="shared" si="101"/>
        <v>348702.47888744081</v>
      </c>
      <c r="E31" s="29">
        <f t="shared" si="101"/>
        <v>349820.23199280538</v>
      </c>
      <c r="F31" s="29">
        <f t="shared" si="101"/>
        <v>353027.19517295581</v>
      </c>
      <c r="G31" s="29">
        <f t="shared" si="101"/>
        <v>353279.79699746886</v>
      </c>
      <c r="H31" s="29">
        <f t="shared" si="101"/>
        <v>360640.01511039917</v>
      </c>
      <c r="I31" s="29">
        <f t="shared" si="101"/>
        <v>370156.46763600426</v>
      </c>
      <c r="J31" s="29">
        <f t="shared" si="101"/>
        <v>367397.54237559927</v>
      </c>
      <c r="K31" s="29">
        <f t="shared" si="101"/>
        <v>377729.83737594855</v>
      </c>
      <c r="L31" s="29">
        <f t="shared" si="101"/>
        <v>381189.28340621589</v>
      </c>
      <c r="M31" s="29">
        <f t="shared" si="101"/>
        <v>402724.77102035715</v>
      </c>
      <c r="N31" s="29">
        <f t="shared" si="101"/>
        <v>404962.81351167342</v>
      </c>
      <c r="O31" s="29">
        <f t="shared" si="101"/>
        <v>408961.50277594361</v>
      </c>
      <c r="P31" s="29">
        <f t="shared" si="101"/>
        <v>418365.33941715513</v>
      </c>
      <c r="Q31" s="29">
        <f t="shared" si="101"/>
        <v>430922.49718527053</v>
      </c>
      <c r="R31" s="29">
        <f t="shared" si="101"/>
        <v>440588.39876912773</v>
      </c>
      <c r="S31" s="29">
        <f t="shared" si="101"/>
        <v>445786.00358254352</v>
      </c>
      <c r="T31" s="29">
        <f t="shared" si="101"/>
        <v>441328.77673805301</v>
      </c>
      <c r="U31" s="29">
        <f t="shared" si="101"/>
        <v>448211.44885229855</v>
      </c>
      <c r="V31" s="29">
        <f t="shared" si="101"/>
        <v>373507.31356927339</v>
      </c>
      <c r="W31" s="29">
        <f t="shared" ref="W31:Y31" si="102">W32+W33+W40</f>
        <v>429193.62368191668</v>
      </c>
      <c r="X31" s="29">
        <f t="shared" si="102"/>
        <v>464105.73228844663</v>
      </c>
      <c r="Y31" s="29">
        <f t="shared" si="102"/>
        <v>478233.2014777576</v>
      </c>
      <c r="DA31" s="173" t="s">
        <v>475</v>
      </c>
    </row>
    <row r="32" spans="1:105" ht="11.45" customHeight="1" x14ac:dyDescent="0.25">
      <c r="A32" s="136" t="s">
        <v>173</v>
      </c>
      <c r="B32" s="152">
        <v>9800.7568577540969</v>
      </c>
      <c r="C32" s="152">
        <v>10759.053785945445</v>
      </c>
      <c r="D32" s="152">
        <v>11972.752414596795</v>
      </c>
      <c r="E32" s="152">
        <v>12007.178992436851</v>
      </c>
      <c r="F32" s="152">
        <v>12820.638752390581</v>
      </c>
      <c r="G32" s="152">
        <v>13181.525198208627</v>
      </c>
      <c r="H32" s="152">
        <v>13246.737497712062</v>
      </c>
      <c r="I32" s="152">
        <v>13770.325744143469</v>
      </c>
      <c r="J32" s="152">
        <v>14587.470000000001</v>
      </c>
      <c r="K32" s="152">
        <v>15170.62</v>
      </c>
      <c r="L32" s="152">
        <v>15170.62</v>
      </c>
      <c r="M32" s="152">
        <v>15185.880000000001</v>
      </c>
      <c r="N32" s="152">
        <v>15325.2</v>
      </c>
      <c r="O32" s="152">
        <v>15603.840000000002</v>
      </c>
      <c r="P32" s="152">
        <v>16021.8</v>
      </c>
      <c r="Q32" s="152">
        <v>16161.119999999999</v>
      </c>
      <c r="R32" s="152">
        <v>15010.959471985361</v>
      </c>
      <c r="S32" s="152">
        <v>14331.451002667369</v>
      </c>
      <c r="T32" s="152">
        <v>13576.684974487673</v>
      </c>
      <c r="U32" s="152">
        <v>14635.684218527051</v>
      </c>
      <c r="V32" s="152">
        <v>12304.893266235342</v>
      </c>
      <c r="W32" s="152">
        <v>13180.55004054299</v>
      </c>
      <c r="X32" s="152">
        <v>13342.664003308719</v>
      </c>
      <c r="Y32" s="152">
        <v>14413.27851480718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307501.08567188197</v>
      </c>
      <c r="C33" s="116">
        <f t="shared" ref="C33:V33" si="104">SUM(C34:C39)</f>
        <v>327013.25929614471</v>
      </c>
      <c r="D33" s="116">
        <f t="shared" si="104"/>
        <v>333766.23549557652</v>
      </c>
      <c r="E33" s="116">
        <f t="shared" si="104"/>
        <v>334819.40083833184</v>
      </c>
      <c r="F33" s="116">
        <f t="shared" si="104"/>
        <v>337159.27434581716</v>
      </c>
      <c r="G33" s="116">
        <f t="shared" si="104"/>
        <v>337033.43786478363</v>
      </c>
      <c r="H33" s="116">
        <f t="shared" si="104"/>
        <v>344189.3871963881</v>
      </c>
      <c r="I33" s="116">
        <f t="shared" si="104"/>
        <v>353094.62389510305</v>
      </c>
      <c r="J33" s="116">
        <f t="shared" si="104"/>
        <v>349508.07237559929</v>
      </c>
      <c r="K33" s="116">
        <f t="shared" si="104"/>
        <v>359370.02623174706</v>
      </c>
      <c r="L33" s="116">
        <f t="shared" si="104"/>
        <v>362919.83807066735</v>
      </c>
      <c r="M33" s="116">
        <f t="shared" si="104"/>
        <v>384436.27315990225</v>
      </c>
      <c r="N33" s="116">
        <f t="shared" si="104"/>
        <v>386551.55511987384</v>
      </c>
      <c r="O33" s="116">
        <f t="shared" si="104"/>
        <v>390461.46277594357</v>
      </c>
      <c r="P33" s="116">
        <f t="shared" si="104"/>
        <v>399419.87841715512</v>
      </c>
      <c r="Q33" s="116">
        <f t="shared" si="104"/>
        <v>411787.28718527051</v>
      </c>
      <c r="R33" s="116">
        <f t="shared" si="104"/>
        <v>422539.68929714238</v>
      </c>
      <c r="S33" s="116">
        <f t="shared" si="104"/>
        <v>428500.65857987618</v>
      </c>
      <c r="T33" s="116">
        <f t="shared" si="104"/>
        <v>424751.7347635653</v>
      </c>
      <c r="U33" s="116">
        <f t="shared" si="104"/>
        <v>430523.00563377148</v>
      </c>
      <c r="V33" s="116">
        <f t="shared" si="104"/>
        <v>358909.00930303801</v>
      </c>
      <c r="W33" s="116">
        <f t="shared" ref="W33:Y33" si="105">SUM(W34:W39)</f>
        <v>413288.17164137372</v>
      </c>
      <c r="X33" s="116">
        <f t="shared" si="105"/>
        <v>447768.53028513788</v>
      </c>
      <c r="Y33" s="116">
        <f t="shared" si="105"/>
        <v>460778.04196295043</v>
      </c>
      <c r="DA33" s="176" t="s">
        <v>477</v>
      </c>
    </row>
    <row r="34" spans="1:105" ht="11.45" customHeight="1" x14ac:dyDescent="0.25">
      <c r="A34" s="111" t="s">
        <v>110</v>
      </c>
      <c r="B34" s="87">
        <v>158081.28373093795</v>
      </c>
      <c r="C34" s="87">
        <v>158165.70552319582</v>
      </c>
      <c r="D34" s="87">
        <v>154514.16017371821</v>
      </c>
      <c r="E34" s="87">
        <v>145558.64421371851</v>
      </c>
      <c r="F34" s="87">
        <v>139339.48576297698</v>
      </c>
      <c r="G34" s="87">
        <v>132143.53063437305</v>
      </c>
      <c r="H34" s="87">
        <v>124904.19726591597</v>
      </c>
      <c r="I34" s="87">
        <v>118469.00201528182</v>
      </c>
      <c r="J34" s="87">
        <v>107739.53769708316</v>
      </c>
      <c r="K34" s="87">
        <v>105031.99950842075</v>
      </c>
      <c r="L34" s="87">
        <v>97850.329239609535</v>
      </c>
      <c r="M34" s="87">
        <v>101600.91892655008</v>
      </c>
      <c r="N34" s="87">
        <v>95374.291412865117</v>
      </c>
      <c r="O34" s="87">
        <v>93039.833710545514</v>
      </c>
      <c r="P34" s="87">
        <v>95399.336401175082</v>
      </c>
      <c r="Q34" s="87">
        <v>99805.63771087474</v>
      </c>
      <c r="R34" s="87">
        <v>106879.64315189689</v>
      </c>
      <c r="S34" s="87">
        <v>114203.79587477703</v>
      </c>
      <c r="T34" s="87">
        <v>122180.34195784127</v>
      </c>
      <c r="U34" s="87">
        <v>134603.5672185469</v>
      </c>
      <c r="V34" s="87">
        <v>118331.49720911197</v>
      </c>
      <c r="W34" s="87">
        <v>146865.97555236518</v>
      </c>
      <c r="X34" s="87">
        <v>166083.43735838772</v>
      </c>
      <c r="Y34" s="87">
        <v>179762.50411514443</v>
      </c>
      <c r="DA34" s="171" t="s">
        <v>478</v>
      </c>
    </row>
    <row r="35" spans="1:105" ht="11.45" customHeight="1" x14ac:dyDescent="0.25">
      <c r="A35" s="111" t="s">
        <v>111</v>
      </c>
      <c r="B35" s="87">
        <v>146557.77501954499</v>
      </c>
      <c r="C35" s="87">
        <v>166089.27110993461</v>
      </c>
      <c r="D35" s="87">
        <v>176833.20243325943</v>
      </c>
      <c r="E35" s="87">
        <v>187241.51927951217</v>
      </c>
      <c r="F35" s="87">
        <v>196024.13938138477</v>
      </c>
      <c r="G35" s="87">
        <v>203277.74591237537</v>
      </c>
      <c r="H35" s="87">
        <v>217826.08345015024</v>
      </c>
      <c r="I35" s="87">
        <v>233359.4929862174</v>
      </c>
      <c r="J35" s="87">
        <v>240387.54952056371</v>
      </c>
      <c r="K35" s="87">
        <v>252849.31691958837</v>
      </c>
      <c r="L35" s="87">
        <v>263478.93372902891</v>
      </c>
      <c r="M35" s="87">
        <v>281072.67552030913</v>
      </c>
      <c r="N35" s="87">
        <v>289550.32013327681</v>
      </c>
      <c r="O35" s="87">
        <v>295914.44507166243</v>
      </c>
      <c r="P35" s="87">
        <v>302517.86907117686</v>
      </c>
      <c r="Q35" s="87">
        <v>310300.99275219755</v>
      </c>
      <c r="R35" s="87">
        <v>313706.90960461687</v>
      </c>
      <c r="S35" s="87">
        <v>311968.72079157818</v>
      </c>
      <c r="T35" s="87">
        <v>299685.57477617695</v>
      </c>
      <c r="U35" s="87">
        <v>292206.37305589672</v>
      </c>
      <c r="V35" s="87">
        <v>235394.24154058335</v>
      </c>
      <c r="W35" s="87">
        <v>256870.6388580761</v>
      </c>
      <c r="X35" s="87">
        <v>267335.16006631823</v>
      </c>
      <c r="Y35" s="87">
        <v>261540.48444570342</v>
      </c>
      <c r="DA35" s="171" t="s">
        <v>479</v>
      </c>
    </row>
    <row r="36" spans="1:105" ht="11.45" customHeight="1" x14ac:dyDescent="0.25">
      <c r="A36" s="111" t="s">
        <v>112</v>
      </c>
      <c r="B36" s="87">
        <v>2862.0269213989754</v>
      </c>
      <c r="C36" s="87">
        <v>2758.2826630142231</v>
      </c>
      <c r="D36" s="87">
        <v>2418.8728885988903</v>
      </c>
      <c r="E36" s="87">
        <v>2019.2373451011101</v>
      </c>
      <c r="F36" s="87">
        <v>1795.6492014554192</v>
      </c>
      <c r="G36" s="87">
        <v>1612.1613180352117</v>
      </c>
      <c r="H36" s="87">
        <v>1458.9181768487115</v>
      </c>
      <c r="I36" s="87">
        <v>1256.763319913056</v>
      </c>
      <c r="J36" s="87">
        <v>1329.269005618308</v>
      </c>
      <c r="K36" s="87">
        <v>1431.0268731255494</v>
      </c>
      <c r="L36" s="87">
        <v>1531.0319011214046</v>
      </c>
      <c r="M36" s="87">
        <v>1665.3833298728528</v>
      </c>
      <c r="N36" s="87">
        <v>1498.7410431327362</v>
      </c>
      <c r="O36" s="87">
        <v>1249.6858695945639</v>
      </c>
      <c r="P36" s="87">
        <v>1116.6588877955737</v>
      </c>
      <c r="Q36" s="87">
        <v>1031.0909499779782</v>
      </c>
      <c r="R36" s="87">
        <v>943.34879263944492</v>
      </c>
      <c r="S36" s="87">
        <v>861.83445696597335</v>
      </c>
      <c r="T36" s="87">
        <v>793.4214361335562</v>
      </c>
      <c r="U36" s="87">
        <v>767.57561142446355</v>
      </c>
      <c r="V36" s="87">
        <v>602.62285506550222</v>
      </c>
      <c r="W36" s="87">
        <v>728.62815970607164</v>
      </c>
      <c r="X36" s="87">
        <v>914.49226456218958</v>
      </c>
      <c r="Y36" s="87">
        <v>1146.6333858340436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9.0962660646621796</v>
      </c>
      <c r="J37" s="87">
        <v>16.56136671677686</v>
      </c>
      <c r="K37" s="87">
        <v>22.565753622197779</v>
      </c>
      <c r="L37" s="87">
        <v>24.269240948637623</v>
      </c>
      <c r="M37" s="87">
        <v>25.520087532445935</v>
      </c>
      <c r="N37" s="87">
        <v>27.278331679026447</v>
      </c>
      <c r="O37" s="87">
        <v>27.228305833056371</v>
      </c>
      <c r="P37" s="87">
        <v>27.626478719699975</v>
      </c>
      <c r="Q37" s="87">
        <v>29.083450533046541</v>
      </c>
      <c r="R37" s="87">
        <v>34.318780751191994</v>
      </c>
      <c r="S37" s="87">
        <v>34.582883261700282</v>
      </c>
      <c r="T37" s="87">
        <v>33.901914103237026</v>
      </c>
      <c r="U37" s="87">
        <v>36.590315031129322</v>
      </c>
      <c r="V37" s="87">
        <v>33.349485812196875</v>
      </c>
      <c r="W37" s="87">
        <v>39.170469684048655</v>
      </c>
      <c r="X37" s="87">
        <v>42.558931539315374</v>
      </c>
      <c r="Y37" s="87">
        <v>75.966838485976538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4.9276109929527925</v>
      </c>
      <c r="O38" s="87">
        <v>10.671143091808851</v>
      </c>
      <c r="P38" s="87">
        <v>22.403776125435325</v>
      </c>
      <c r="Q38" s="87">
        <v>61.891582608196941</v>
      </c>
      <c r="R38" s="87">
        <v>115.98674856640285</v>
      </c>
      <c r="S38" s="87">
        <v>209.30008798420582</v>
      </c>
      <c r="T38" s="87">
        <v>327.29142940037065</v>
      </c>
      <c r="U38" s="87">
        <v>508.19432279711867</v>
      </c>
      <c r="V38" s="87">
        <v>995.68978015818402</v>
      </c>
      <c r="W38" s="87">
        <v>2422.2007749821728</v>
      </c>
      <c r="X38" s="87">
        <v>4120.8575219425484</v>
      </c>
      <c r="Y38" s="87">
        <v>5967.8405890937202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0.18830347316757984</v>
      </c>
      <c r="I39" s="87">
        <v>0.26930762611329384</v>
      </c>
      <c r="J39" s="87">
        <v>35.154785617343812</v>
      </c>
      <c r="K39" s="87">
        <v>35.117176990150888</v>
      </c>
      <c r="L39" s="87">
        <v>35.273959958807701</v>
      </c>
      <c r="M39" s="87">
        <v>71.775295637749508</v>
      </c>
      <c r="N39" s="87">
        <v>95.996587927192152</v>
      </c>
      <c r="O39" s="87">
        <v>219.59867521619771</v>
      </c>
      <c r="P39" s="87">
        <v>335.98380216243498</v>
      </c>
      <c r="Q39" s="87">
        <v>558.59073907900734</v>
      </c>
      <c r="R39" s="87">
        <v>859.48221867157542</v>
      </c>
      <c r="S39" s="87">
        <v>1222.4244853091313</v>
      </c>
      <c r="T39" s="87">
        <v>1731.2032499098375</v>
      </c>
      <c r="U39" s="87">
        <v>2400.705110075171</v>
      </c>
      <c r="V39" s="87">
        <v>3551.6084323068608</v>
      </c>
      <c r="W39" s="87">
        <v>6361.5578265601853</v>
      </c>
      <c r="X39" s="87">
        <v>9272.0241423879143</v>
      </c>
      <c r="Y39" s="87">
        <v>12284.612588688846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2957.7058226485265</v>
      </c>
      <c r="C40" s="116">
        <f t="shared" ref="C40:V40" si="107">SUM(C41:C45)</f>
        <v>2942.5125951930677</v>
      </c>
      <c r="D40" s="116">
        <f t="shared" si="107"/>
        <v>2963.4909772674928</v>
      </c>
      <c r="E40" s="116">
        <f t="shared" si="107"/>
        <v>2993.652162036663</v>
      </c>
      <c r="F40" s="116">
        <f t="shared" si="107"/>
        <v>3047.2820747480955</v>
      </c>
      <c r="G40" s="116">
        <f t="shared" si="107"/>
        <v>3064.8339344765923</v>
      </c>
      <c r="H40" s="116">
        <f t="shared" si="107"/>
        <v>3203.8904162990125</v>
      </c>
      <c r="I40" s="116">
        <f t="shared" si="107"/>
        <v>3291.5179967577433</v>
      </c>
      <c r="J40" s="116">
        <f t="shared" si="107"/>
        <v>3301.9999999999995</v>
      </c>
      <c r="K40" s="116">
        <f t="shared" si="107"/>
        <v>3189.1911442015244</v>
      </c>
      <c r="L40" s="116">
        <f t="shared" si="107"/>
        <v>3098.8253355485454</v>
      </c>
      <c r="M40" s="116">
        <f t="shared" si="107"/>
        <v>3102.6178604548709</v>
      </c>
      <c r="N40" s="116">
        <f t="shared" si="107"/>
        <v>3086.0583917995787</v>
      </c>
      <c r="O40" s="116">
        <f t="shared" si="107"/>
        <v>2896.2</v>
      </c>
      <c r="P40" s="116">
        <f t="shared" si="107"/>
        <v>2923.6610000000001</v>
      </c>
      <c r="Q40" s="116">
        <f t="shared" si="107"/>
        <v>2974.09</v>
      </c>
      <c r="R40" s="116">
        <f t="shared" si="107"/>
        <v>3037.75</v>
      </c>
      <c r="S40" s="116">
        <f t="shared" si="107"/>
        <v>2953.8939999999998</v>
      </c>
      <c r="T40" s="116">
        <f t="shared" si="107"/>
        <v>3000.3570000000004</v>
      </c>
      <c r="U40" s="116">
        <f t="shared" si="107"/>
        <v>3052.759</v>
      </c>
      <c r="V40" s="116">
        <f t="shared" si="107"/>
        <v>2293.4110000000001</v>
      </c>
      <c r="W40" s="116">
        <f t="shared" ref="W40:Y40" si="108">SUM(W41:W45)</f>
        <v>2724.902</v>
      </c>
      <c r="X40" s="116">
        <f t="shared" si="108"/>
        <v>2994.5379999999996</v>
      </c>
      <c r="Y40" s="116">
        <f t="shared" si="108"/>
        <v>3041.8810000000003</v>
      </c>
      <c r="DA40" s="176" t="s">
        <v>484</v>
      </c>
    </row>
    <row r="41" spans="1:105" ht="11.45" customHeight="1" x14ac:dyDescent="0.25">
      <c r="A41" s="111" t="s">
        <v>110</v>
      </c>
      <c r="B41" s="101">
        <v>15.834365018007935</v>
      </c>
      <c r="C41" s="101">
        <v>14.876199166390721</v>
      </c>
      <c r="D41" s="101">
        <v>14.449749078887107</v>
      </c>
      <c r="E41" s="101">
        <v>13.563322234150045</v>
      </c>
      <c r="F41" s="101">
        <v>12.730928722059721</v>
      </c>
      <c r="G41" s="101">
        <v>11.645707846868047</v>
      </c>
      <c r="H41" s="101">
        <v>10.937638431097572</v>
      </c>
      <c r="I41" s="101">
        <v>9.9891721196704193</v>
      </c>
      <c r="J41" s="101">
        <v>9.198288090713536</v>
      </c>
      <c r="K41" s="101">
        <v>8.1373244144099033</v>
      </c>
      <c r="L41" s="101">
        <v>7.0409319131620656</v>
      </c>
      <c r="M41" s="101">
        <v>6.0178176968356842</v>
      </c>
      <c r="N41" s="101">
        <v>5.1067037427580786</v>
      </c>
      <c r="O41" s="101">
        <v>4.2542734464448486</v>
      </c>
      <c r="P41" s="101">
        <v>3.5700937578113745</v>
      </c>
      <c r="Q41" s="101">
        <v>3.0118030678207171</v>
      </c>
      <c r="R41" s="101">
        <v>2.9790516795238071</v>
      </c>
      <c r="S41" s="101">
        <v>2.9439922484965853</v>
      </c>
      <c r="T41" s="101">
        <v>2.9335917680948413</v>
      </c>
      <c r="U41" s="101">
        <v>2.9762854611793532</v>
      </c>
      <c r="V41" s="101">
        <v>2.4043315567465089</v>
      </c>
      <c r="W41" s="101">
        <v>2.643486991488107</v>
      </c>
      <c r="X41" s="101">
        <v>2.3904288726662224</v>
      </c>
      <c r="Y41" s="101">
        <v>2.0053963483682353</v>
      </c>
      <c r="DA41" s="175" t="s">
        <v>485</v>
      </c>
    </row>
    <row r="42" spans="1:105" ht="11.45" customHeight="1" x14ac:dyDescent="0.25">
      <c r="A42" s="111" t="s">
        <v>111</v>
      </c>
      <c r="B42" s="101">
        <v>2931.6876241408622</v>
      </c>
      <c r="C42" s="101">
        <v>2898.8818890755701</v>
      </c>
      <c r="D42" s="101">
        <v>2916.7170694359529</v>
      </c>
      <c r="E42" s="101">
        <v>2938.6114357650972</v>
      </c>
      <c r="F42" s="101">
        <v>2986.2295853273531</v>
      </c>
      <c r="G42" s="101">
        <v>3001.3336599529594</v>
      </c>
      <c r="H42" s="101">
        <v>3134.1190144250195</v>
      </c>
      <c r="I42" s="101">
        <v>3215.3491710979188</v>
      </c>
      <c r="J42" s="101">
        <v>3216.2161401651979</v>
      </c>
      <c r="K42" s="101">
        <v>3105.9978997281878</v>
      </c>
      <c r="L42" s="101">
        <v>3019.5349837875174</v>
      </c>
      <c r="M42" s="101">
        <v>2936.0234321984408</v>
      </c>
      <c r="N42" s="101">
        <v>2902.4737558511447</v>
      </c>
      <c r="O42" s="101">
        <v>2665.2100947357549</v>
      </c>
      <c r="P42" s="101">
        <v>2681.292717911505</v>
      </c>
      <c r="Q42" s="101">
        <v>2724.7832382723068</v>
      </c>
      <c r="R42" s="101">
        <v>2785.5241565147139</v>
      </c>
      <c r="S42" s="101">
        <v>2688.7617723880985</v>
      </c>
      <c r="T42" s="101">
        <v>2695.8662055166806</v>
      </c>
      <c r="U42" s="101">
        <v>2661.450363516889</v>
      </c>
      <c r="V42" s="101">
        <v>1894.4724091975538</v>
      </c>
      <c r="W42" s="101">
        <v>2151.3865436245037</v>
      </c>
      <c r="X42" s="101">
        <v>2270.3729645931498</v>
      </c>
      <c r="Y42" s="101">
        <v>2219.2978323647399</v>
      </c>
      <c r="DA42" s="175" t="s">
        <v>486</v>
      </c>
    </row>
    <row r="43" spans="1:105" ht="11.45" customHeight="1" x14ac:dyDescent="0.25">
      <c r="A43" s="111" t="s">
        <v>112</v>
      </c>
      <c r="B43" s="101">
        <v>3.414147081595202</v>
      </c>
      <c r="C43" s="101">
        <v>3.9837395429645506</v>
      </c>
      <c r="D43" s="101">
        <v>4.0200104236167009</v>
      </c>
      <c r="E43" s="101">
        <v>4.2343902387776842</v>
      </c>
      <c r="F43" s="101">
        <v>4.3859150340438875</v>
      </c>
      <c r="G43" s="101">
        <v>4.3953105007992823</v>
      </c>
      <c r="H43" s="101">
        <v>3.6370551729424023</v>
      </c>
      <c r="I43" s="101">
        <v>4.3355912843612003</v>
      </c>
      <c r="J43" s="101">
        <v>4.2459972770713774</v>
      </c>
      <c r="K43" s="101">
        <v>4.0526065376034861</v>
      </c>
      <c r="L43" s="101">
        <v>3.7862389440967719</v>
      </c>
      <c r="M43" s="101">
        <v>3.5062346927998997</v>
      </c>
      <c r="N43" s="101">
        <v>3.2543232217633786</v>
      </c>
      <c r="O43" s="101">
        <v>2.9983568274023176</v>
      </c>
      <c r="P43" s="101">
        <v>2.7884944846444135</v>
      </c>
      <c r="Q43" s="101">
        <v>2.6377395323639252</v>
      </c>
      <c r="R43" s="101">
        <v>2.4985988055333381</v>
      </c>
      <c r="S43" s="101">
        <v>2.2832538479350375</v>
      </c>
      <c r="T43" s="101">
        <v>2.1248816666815378</v>
      </c>
      <c r="U43" s="101">
        <v>1.9100684696489918</v>
      </c>
      <c r="V43" s="101">
        <v>1.337036010222423</v>
      </c>
      <c r="W43" s="101">
        <v>1.3037720638385852</v>
      </c>
      <c r="X43" s="101">
        <v>1.2405563348935731</v>
      </c>
      <c r="Y43" s="101">
        <v>1.0787379061524847</v>
      </c>
      <c r="DA43" s="175" t="s">
        <v>487</v>
      </c>
    </row>
    <row r="44" spans="1:105" ht="11.45" customHeight="1" x14ac:dyDescent="0.25">
      <c r="A44" s="111" t="s">
        <v>113</v>
      </c>
      <c r="B44" s="101">
        <v>0.67192647278616136</v>
      </c>
      <c r="C44" s="101">
        <v>17.961322773602731</v>
      </c>
      <c r="D44" s="101">
        <v>20.698362593649758</v>
      </c>
      <c r="E44" s="101">
        <v>29.012141429079495</v>
      </c>
      <c r="F44" s="101">
        <v>35.080000329875752</v>
      </c>
      <c r="G44" s="101">
        <v>38.681228313964702</v>
      </c>
      <c r="H44" s="101">
        <v>46.617535603801684</v>
      </c>
      <c r="I44" s="101">
        <v>53.513533040583042</v>
      </c>
      <c r="J44" s="101">
        <v>64.251122334440581</v>
      </c>
      <c r="K44" s="101">
        <v>63.328593521035835</v>
      </c>
      <c r="L44" s="101">
        <v>61.239973677072165</v>
      </c>
      <c r="M44" s="101">
        <v>150.2582942443253</v>
      </c>
      <c r="N44" s="101">
        <v>167.6520400755843</v>
      </c>
      <c r="O44" s="101">
        <v>212.01152787162823</v>
      </c>
      <c r="P44" s="101">
        <v>223.27883491482831</v>
      </c>
      <c r="Q44" s="101">
        <v>229.61803535478671</v>
      </c>
      <c r="R44" s="101">
        <v>230.86786563659425</v>
      </c>
      <c r="S44" s="101">
        <v>242.08065140244523</v>
      </c>
      <c r="T44" s="101">
        <v>280.82090970133078</v>
      </c>
      <c r="U44" s="101">
        <v>357.14465992704748</v>
      </c>
      <c r="V44" s="101">
        <v>367.01989271218093</v>
      </c>
      <c r="W44" s="101">
        <v>508.16582519399628</v>
      </c>
      <c r="X44" s="101">
        <v>635.48355482120314</v>
      </c>
      <c r="Y44" s="101">
        <v>716.67371600375225</v>
      </c>
      <c r="DA44" s="175" t="s">
        <v>488</v>
      </c>
    </row>
    <row r="45" spans="1:105" ht="11.45" customHeight="1" x14ac:dyDescent="0.25">
      <c r="A45" s="111" t="s">
        <v>115</v>
      </c>
      <c r="B45" s="101">
        <v>6.0977599352746719</v>
      </c>
      <c r="C45" s="101">
        <v>6.809444634540065</v>
      </c>
      <c r="D45" s="101">
        <v>7.6057857353860685</v>
      </c>
      <c r="E45" s="101">
        <v>8.2308723695585062</v>
      </c>
      <c r="F45" s="101">
        <v>8.8556453347630288</v>
      </c>
      <c r="G45" s="101">
        <v>8.7780278620008936</v>
      </c>
      <c r="H45" s="101">
        <v>8.5791726661514751</v>
      </c>
      <c r="I45" s="101">
        <v>8.3305292152098289</v>
      </c>
      <c r="J45" s="101">
        <v>8.0884521325766965</v>
      </c>
      <c r="K45" s="101">
        <v>7.6747200002875289</v>
      </c>
      <c r="L45" s="101">
        <v>7.2232072266972356</v>
      </c>
      <c r="M45" s="101">
        <v>6.8120816224690657</v>
      </c>
      <c r="N45" s="101">
        <v>7.5715689083278939</v>
      </c>
      <c r="O45" s="101">
        <v>11.72574711876964</v>
      </c>
      <c r="P45" s="101">
        <v>12.730858931210834</v>
      </c>
      <c r="Q45" s="101">
        <v>14.039183772722014</v>
      </c>
      <c r="R45" s="101">
        <v>15.880327363634825</v>
      </c>
      <c r="S45" s="101">
        <v>17.824330113024331</v>
      </c>
      <c r="T45" s="101">
        <v>18.611411347212442</v>
      </c>
      <c r="U45" s="101">
        <v>29.277622625235118</v>
      </c>
      <c r="V45" s="101">
        <v>28.177330523296344</v>
      </c>
      <c r="W45" s="101">
        <v>61.402372126173425</v>
      </c>
      <c r="X45" s="101">
        <v>85.050495378086993</v>
      </c>
      <c r="Y45" s="101">
        <v>102.82531737698706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82298.816569240575</v>
      </c>
      <c r="C46" s="29">
        <f t="shared" ref="C46:V46" si="110">C47+C53</f>
        <v>84997.609837448443</v>
      </c>
      <c r="D46" s="29">
        <f t="shared" si="110"/>
        <v>85483.078318779691</v>
      </c>
      <c r="E46" s="29">
        <f t="shared" si="110"/>
        <v>85137.741943883768</v>
      </c>
      <c r="F46" s="29">
        <f t="shared" si="110"/>
        <v>86809.838943552983</v>
      </c>
      <c r="G46" s="29">
        <f t="shared" si="110"/>
        <v>86786.946048109647</v>
      </c>
      <c r="H46" s="29">
        <f t="shared" si="110"/>
        <v>87909.958531994722</v>
      </c>
      <c r="I46" s="29">
        <f t="shared" si="110"/>
        <v>88993.472544222401</v>
      </c>
      <c r="J46" s="29">
        <f t="shared" si="110"/>
        <v>85677.574670301372</v>
      </c>
      <c r="K46" s="29">
        <f t="shared" si="110"/>
        <v>84356.241825305478</v>
      </c>
      <c r="L46" s="29">
        <f t="shared" si="110"/>
        <v>87291.853177811514</v>
      </c>
      <c r="M46" s="29">
        <f t="shared" si="110"/>
        <v>90988.727777811422</v>
      </c>
      <c r="N46" s="29">
        <f t="shared" si="110"/>
        <v>90809.585720493385</v>
      </c>
      <c r="O46" s="29">
        <f t="shared" si="110"/>
        <v>92732.209524878825</v>
      </c>
      <c r="P46" s="29">
        <f t="shared" si="110"/>
        <v>92782.679123266687</v>
      </c>
      <c r="Q46" s="29">
        <f t="shared" si="110"/>
        <v>95555.198133686135</v>
      </c>
      <c r="R46" s="29">
        <f t="shared" si="110"/>
        <v>96344.949478419876</v>
      </c>
      <c r="S46" s="29">
        <f t="shared" si="110"/>
        <v>99763.953381445957</v>
      </c>
      <c r="T46" s="29">
        <f t="shared" si="110"/>
        <v>99635.688899366418</v>
      </c>
      <c r="U46" s="29">
        <f t="shared" si="110"/>
        <v>101357.23212226674</v>
      </c>
      <c r="V46" s="29">
        <f t="shared" si="110"/>
        <v>89373.771275538078</v>
      </c>
      <c r="W46" s="29">
        <f t="shared" ref="W46:Y46" si="111">W47+W53</f>
        <v>101912.7688352899</v>
      </c>
      <c r="X46" s="29">
        <f t="shared" si="111"/>
        <v>102545.39417496604</v>
      </c>
      <c r="Y46" s="29">
        <f t="shared" si="111"/>
        <v>104101.79302029868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62612.317996854377</v>
      </c>
      <c r="C47" s="152">
        <f t="shared" ref="C47:V47" si="113">SUM(C48:C52)</f>
        <v>64545.165377449062</v>
      </c>
      <c r="D47" s="152">
        <f t="shared" si="113"/>
        <v>64681.604468894511</v>
      </c>
      <c r="E47" s="152">
        <f t="shared" si="113"/>
        <v>64159.255413303887</v>
      </c>
      <c r="F47" s="152">
        <f t="shared" si="113"/>
        <v>63727.030694916022</v>
      </c>
      <c r="G47" s="152">
        <f t="shared" si="113"/>
        <v>63440.674406292579</v>
      </c>
      <c r="H47" s="152">
        <f t="shared" si="113"/>
        <v>64146.002814503801</v>
      </c>
      <c r="I47" s="152">
        <f t="shared" si="113"/>
        <v>64511.961417941449</v>
      </c>
      <c r="J47" s="152">
        <f t="shared" si="113"/>
        <v>62426.56993784746</v>
      </c>
      <c r="K47" s="152">
        <f t="shared" si="113"/>
        <v>63901.772570672569</v>
      </c>
      <c r="L47" s="152">
        <f t="shared" si="113"/>
        <v>66027.961736745128</v>
      </c>
      <c r="M47" s="152">
        <f t="shared" si="113"/>
        <v>69585.859524323823</v>
      </c>
      <c r="N47" s="152">
        <f t="shared" si="113"/>
        <v>70614.39233338859</v>
      </c>
      <c r="O47" s="152">
        <f t="shared" si="113"/>
        <v>72238.58185471801</v>
      </c>
      <c r="P47" s="152">
        <f t="shared" si="113"/>
        <v>72451.832648962562</v>
      </c>
      <c r="Q47" s="152">
        <f t="shared" si="113"/>
        <v>75742.459282806667</v>
      </c>
      <c r="R47" s="152">
        <f t="shared" si="113"/>
        <v>75635.377108742468</v>
      </c>
      <c r="S47" s="152">
        <f t="shared" si="113"/>
        <v>78262.164175018741</v>
      </c>
      <c r="T47" s="152">
        <f t="shared" si="113"/>
        <v>78436.05421003708</v>
      </c>
      <c r="U47" s="152">
        <f t="shared" si="113"/>
        <v>79467.268932171108</v>
      </c>
      <c r="V47" s="152">
        <f t="shared" si="113"/>
        <v>68117.932213323467</v>
      </c>
      <c r="W47" s="152">
        <f t="shared" ref="W47:Y47" si="114">SUM(W48:W52)</f>
        <v>79662.567746972141</v>
      </c>
      <c r="X47" s="152">
        <f t="shared" si="114"/>
        <v>80648.373223810268</v>
      </c>
      <c r="Y47" s="152">
        <f t="shared" si="114"/>
        <v>82536.389785408246</v>
      </c>
      <c r="DA47" s="174" t="s">
        <v>491</v>
      </c>
    </row>
    <row r="48" spans="1:105" ht="11.45" customHeight="1" x14ac:dyDescent="0.25">
      <c r="A48" s="111" t="s">
        <v>110</v>
      </c>
      <c r="B48" s="87">
        <v>9202.7176375496801</v>
      </c>
      <c r="C48" s="87">
        <v>7847.7441648477079</v>
      </c>
      <c r="D48" s="87">
        <v>6524.7291493074563</v>
      </c>
      <c r="E48" s="87">
        <v>5165.2530913320898</v>
      </c>
      <c r="F48" s="87">
        <v>4082.1108190080449</v>
      </c>
      <c r="G48" s="87">
        <v>3411.0288571859514</v>
      </c>
      <c r="H48" s="87">
        <v>2932.884042329054</v>
      </c>
      <c r="I48" s="87">
        <v>2563.5005718111811</v>
      </c>
      <c r="J48" s="87">
        <v>2236.141287375001</v>
      </c>
      <c r="K48" s="87">
        <v>2030.5871095073198</v>
      </c>
      <c r="L48" s="87">
        <v>2218.9877245440189</v>
      </c>
      <c r="M48" s="87">
        <v>2522.0599803617665</v>
      </c>
      <c r="N48" s="87">
        <v>2715.8561826691039</v>
      </c>
      <c r="O48" s="87">
        <v>2937.0423813703997</v>
      </c>
      <c r="P48" s="87">
        <v>2614.8430339971001</v>
      </c>
      <c r="Q48" s="87">
        <v>2429.9219802477255</v>
      </c>
      <c r="R48" s="87">
        <v>2372.9677883324889</v>
      </c>
      <c r="S48" s="87">
        <v>2393.3311948405303</v>
      </c>
      <c r="T48" s="87">
        <v>2370.5192088349086</v>
      </c>
      <c r="U48" s="87">
        <v>2309.2341121527984</v>
      </c>
      <c r="V48" s="87">
        <v>1958.7213765407694</v>
      </c>
      <c r="W48" s="87">
        <v>2450.1190458071251</v>
      </c>
      <c r="X48" s="87">
        <v>2709.6930957000122</v>
      </c>
      <c r="Y48" s="87">
        <v>3275.534851429567</v>
      </c>
      <c r="DA48" s="171" t="s">
        <v>492</v>
      </c>
    </row>
    <row r="49" spans="1:105" ht="11.45" customHeight="1" x14ac:dyDescent="0.25">
      <c r="A49" s="111" t="s">
        <v>111</v>
      </c>
      <c r="B49" s="87">
        <v>53158.848473350292</v>
      </c>
      <c r="C49" s="87">
        <v>56421.631759885626</v>
      </c>
      <c r="D49" s="87">
        <v>57871.77711033474</v>
      </c>
      <c r="E49" s="87">
        <v>58704.629314824459</v>
      </c>
      <c r="F49" s="87">
        <v>59349.811078097759</v>
      </c>
      <c r="G49" s="87">
        <v>59727.591996936695</v>
      </c>
      <c r="H49" s="87">
        <v>60887.355452227639</v>
      </c>
      <c r="I49" s="87">
        <v>61679.338164491819</v>
      </c>
      <c r="J49" s="87">
        <v>59946.765963812883</v>
      </c>
      <c r="K49" s="87">
        <v>61611.88092492117</v>
      </c>
      <c r="L49" s="87">
        <v>63554.991437649303</v>
      </c>
      <c r="M49" s="87">
        <v>66790.996994524176</v>
      </c>
      <c r="N49" s="87">
        <v>67624.035785955784</v>
      </c>
      <c r="O49" s="87">
        <v>69007.64237663844</v>
      </c>
      <c r="P49" s="87">
        <v>69522.390301342952</v>
      </c>
      <c r="Q49" s="87">
        <v>72972.784188872189</v>
      </c>
      <c r="R49" s="87">
        <v>72882.133679731109</v>
      </c>
      <c r="S49" s="87">
        <v>75473.507535329671</v>
      </c>
      <c r="T49" s="87">
        <v>75561.452589284439</v>
      </c>
      <c r="U49" s="87">
        <v>76628.543964573124</v>
      </c>
      <c r="V49" s="87">
        <v>65652.411424541438</v>
      </c>
      <c r="W49" s="87">
        <v>76556.537136405008</v>
      </c>
      <c r="X49" s="87">
        <v>77210.032811405676</v>
      </c>
      <c r="Y49" s="87">
        <v>78374.250692226051</v>
      </c>
      <c r="DA49" s="171" t="s">
        <v>493</v>
      </c>
    </row>
    <row r="50" spans="1:105" ht="11.45" customHeight="1" x14ac:dyDescent="0.25">
      <c r="A50" s="111" t="s">
        <v>112</v>
      </c>
      <c r="B50" s="87">
        <v>223.6490433275479</v>
      </c>
      <c r="C50" s="87">
        <v>244.57665972106318</v>
      </c>
      <c r="D50" s="87">
        <v>251.87611029821483</v>
      </c>
      <c r="E50" s="87">
        <v>253.391254724443</v>
      </c>
      <c r="F50" s="87">
        <v>257.93227814976609</v>
      </c>
      <c r="G50" s="87">
        <v>265.43209815643377</v>
      </c>
      <c r="H50" s="87">
        <v>285.15663029998314</v>
      </c>
      <c r="I50" s="87">
        <v>227.47266662499766</v>
      </c>
      <c r="J50" s="87">
        <v>205.21218176904674</v>
      </c>
      <c r="K50" s="87">
        <v>217.25680644775244</v>
      </c>
      <c r="L50" s="87">
        <v>215.15687619999218</v>
      </c>
      <c r="M50" s="87">
        <v>218.01123231793417</v>
      </c>
      <c r="N50" s="87">
        <v>209.39585329895371</v>
      </c>
      <c r="O50" s="87">
        <v>206.37207718152601</v>
      </c>
      <c r="P50" s="87">
        <v>198.93615631947267</v>
      </c>
      <c r="Q50" s="87">
        <v>201.50792717491808</v>
      </c>
      <c r="R50" s="87">
        <v>196.96947936885135</v>
      </c>
      <c r="S50" s="87">
        <v>193.89606542554182</v>
      </c>
      <c r="T50" s="87">
        <v>166.67792922463948</v>
      </c>
      <c r="U50" s="87">
        <v>156.52672699845471</v>
      </c>
      <c r="V50" s="87">
        <v>124.35887471949755</v>
      </c>
      <c r="W50" s="87">
        <v>147.52975180026735</v>
      </c>
      <c r="X50" s="87">
        <v>150.0844846433925</v>
      </c>
      <c r="Y50" s="87">
        <v>175.06451562551453</v>
      </c>
      <c r="DA50" s="171" t="s">
        <v>494</v>
      </c>
    </row>
    <row r="51" spans="1:105" ht="11.45" customHeight="1" x14ac:dyDescent="0.25">
      <c r="A51" s="111" t="s">
        <v>113</v>
      </c>
      <c r="B51" s="87">
        <v>2.8212912212464087</v>
      </c>
      <c r="C51" s="87">
        <v>2.6613701282050464</v>
      </c>
      <c r="D51" s="87">
        <v>2.7172689931654315</v>
      </c>
      <c r="E51" s="87">
        <v>4.3310743921489268</v>
      </c>
      <c r="F51" s="87">
        <v>4.1013961354858735</v>
      </c>
      <c r="G51" s="87">
        <v>3.9071184538074561</v>
      </c>
      <c r="H51" s="87">
        <v>7.9905614142808119</v>
      </c>
      <c r="I51" s="87">
        <v>7.4210209220647769</v>
      </c>
      <c r="J51" s="87">
        <v>7.2465545520459935</v>
      </c>
      <c r="K51" s="87">
        <v>8.9586170183150546</v>
      </c>
      <c r="L51" s="87">
        <v>8.7501187049450539</v>
      </c>
      <c r="M51" s="87">
        <v>11.085133172923623</v>
      </c>
      <c r="N51" s="87">
        <v>15.383646599215227</v>
      </c>
      <c r="O51" s="87">
        <v>20.107779424695568</v>
      </c>
      <c r="P51" s="87">
        <v>23.131520516028147</v>
      </c>
      <c r="Q51" s="87">
        <v>26.904232365812611</v>
      </c>
      <c r="R51" s="87">
        <v>30.594889549856838</v>
      </c>
      <c r="S51" s="87">
        <v>36.068276425444814</v>
      </c>
      <c r="T51" s="87">
        <v>92.550118434232701</v>
      </c>
      <c r="U51" s="87">
        <v>81.205849293417984</v>
      </c>
      <c r="V51" s="87">
        <v>74.67918607685597</v>
      </c>
      <c r="W51" s="87">
        <v>94.957692804468834</v>
      </c>
      <c r="X51" s="87">
        <v>94.689137637696618</v>
      </c>
      <c r="Y51" s="87">
        <v>97.107764775738474</v>
      </c>
      <c r="DA51" s="171" t="s">
        <v>495</v>
      </c>
    </row>
    <row r="52" spans="1:105" ht="11.45" customHeight="1" x14ac:dyDescent="0.25">
      <c r="A52" s="111" t="s">
        <v>115</v>
      </c>
      <c r="B52" s="87">
        <v>24.281551405613111</v>
      </c>
      <c r="C52" s="87">
        <v>28.55142286646295</v>
      </c>
      <c r="D52" s="87">
        <v>30.504829960929772</v>
      </c>
      <c r="E52" s="87">
        <v>31.650678030756694</v>
      </c>
      <c r="F52" s="87">
        <v>33.075123524970522</v>
      </c>
      <c r="G52" s="87">
        <v>32.714335559697744</v>
      </c>
      <c r="H52" s="87">
        <v>32.616128232846805</v>
      </c>
      <c r="I52" s="87">
        <v>34.228994091390888</v>
      </c>
      <c r="J52" s="87">
        <v>31.203950338479729</v>
      </c>
      <c r="K52" s="87">
        <v>33.089112778008854</v>
      </c>
      <c r="L52" s="87">
        <v>30.07557964686351</v>
      </c>
      <c r="M52" s="87">
        <v>43.706183947022616</v>
      </c>
      <c r="N52" s="87">
        <v>49.720864865537685</v>
      </c>
      <c r="O52" s="87">
        <v>67.417240102954409</v>
      </c>
      <c r="P52" s="87">
        <v>92.531636787013269</v>
      </c>
      <c r="Q52" s="87">
        <v>111.34095414602184</v>
      </c>
      <c r="R52" s="87">
        <v>152.71127176015443</v>
      </c>
      <c r="S52" s="87">
        <v>165.36110299755796</v>
      </c>
      <c r="T52" s="87">
        <v>244.85436425885925</v>
      </c>
      <c r="U52" s="87">
        <v>291.75827915330802</v>
      </c>
      <c r="V52" s="87">
        <v>307.76135144489871</v>
      </c>
      <c r="W52" s="87">
        <v>413.42412015528379</v>
      </c>
      <c r="X52" s="87">
        <v>483.87369442348938</v>
      </c>
      <c r="Y52" s="87">
        <v>614.43196135137487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19686.498572386201</v>
      </c>
      <c r="C53" s="116">
        <f t="shared" ref="C53:V53" si="116">SUM(C54:C55)</f>
        <v>20452.44445999938</v>
      </c>
      <c r="D53" s="116">
        <f t="shared" si="116"/>
        <v>20801.47384988518</v>
      </c>
      <c r="E53" s="116">
        <f t="shared" si="116"/>
        <v>20978.486530579881</v>
      </c>
      <c r="F53" s="116">
        <f t="shared" si="116"/>
        <v>23082.808248636968</v>
      </c>
      <c r="G53" s="116">
        <f t="shared" si="116"/>
        <v>23346.271641817068</v>
      </c>
      <c r="H53" s="116">
        <f t="shared" si="116"/>
        <v>23763.955717490913</v>
      </c>
      <c r="I53" s="116">
        <f t="shared" si="116"/>
        <v>24481.511126280959</v>
      </c>
      <c r="J53" s="116">
        <f t="shared" si="116"/>
        <v>23251.004732453919</v>
      </c>
      <c r="K53" s="116">
        <f t="shared" si="116"/>
        <v>20454.469254632906</v>
      </c>
      <c r="L53" s="116">
        <f t="shared" si="116"/>
        <v>21263.891441066386</v>
      </c>
      <c r="M53" s="116">
        <f t="shared" si="116"/>
        <v>21402.868253487595</v>
      </c>
      <c r="N53" s="116">
        <f t="shared" si="116"/>
        <v>20195.193387104795</v>
      </c>
      <c r="O53" s="116">
        <f t="shared" si="116"/>
        <v>20493.627670160822</v>
      </c>
      <c r="P53" s="116">
        <f t="shared" si="116"/>
        <v>20330.846474304126</v>
      </c>
      <c r="Q53" s="116">
        <f t="shared" si="116"/>
        <v>19812.738850879465</v>
      </c>
      <c r="R53" s="116">
        <f t="shared" si="116"/>
        <v>20709.572369677415</v>
      </c>
      <c r="S53" s="116">
        <f t="shared" si="116"/>
        <v>21501.789206427209</v>
      </c>
      <c r="T53" s="116">
        <f t="shared" si="116"/>
        <v>21199.63468932933</v>
      </c>
      <c r="U53" s="116">
        <f t="shared" si="116"/>
        <v>21889.96319009563</v>
      </c>
      <c r="V53" s="116">
        <f t="shared" si="116"/>
        <v>21255.839062214607</v>
      </c>
      <c r="W53" s="116">
        <f t="shared" ref="W53:Y53" si="117">SUM(W54:W55)</f>
        <v>22250.20108831775</v>
      </c>
      <c r="X53" s="116">
        <f t="shared" si="117"/>
        <v>21897.020951155773</v>
      </c>
      <c r="Y53" s="116">
        <f t="shared" si="117"/>
        <v>21565.403234890426</v>
      </c>
      <c r="DA53" s="176" t="s">
        <v>497</v>
      </c>
    </row>
    <row r="54" spans="1:105" ht="11.45" customHeight="1" x14ac:dyDescent="0.25">
      <c r="A54" s="128" t="s">
        <v>27</v>
      </c>
      <c r="B54" s="101">
        <v>13753</v>
      </c>
      <c r="C54" s="101">
        <v>14091</v>
      </c>
      <c r="D54" s="101">
        <v>14109</v>
      </c>
      <c r="E54" s="101">
        <v>14138</v>
      </c>
      <c r="F54" s="101">
        <v>14995</v>
      </c>
      <c r="G54" s="101">
        <v>14974</v>
      </c>
      <c r="H54" s="101">
        <v>15163</v>
      </c>
      <c r="I54" s="101">
        <v>15701</v>
      </c>
      <c r="J54" s="101">
        <v>14660</v>
      </c>
      <c r="K54" s="101">
        <v>12755</v>
      </c>
      <c r="L54" s="101">
        <v>13449</v>
      </c>
      <c r="M54" s="101">
        <v>13964</v>
      </c>
      <c r="N54" s="101">
        <v>12911</v>
      </c>
      <c r="O54" s="101">
        <v>12835</v>
      </c>
      <c r="P54" s="101">
        <v>12639</v>
      </c>
      <c r="Q54" s="101">
        <v>11963</v>
      </c>
      <c r="R54" s="101">
        <v>12502</v>
      </c>
      <c r="S54" s="101">
        <v>12798</v>
      </c>
      <c r="T54" s="101">
        <v>12575</v>
      </c>
      <c r="U54" s="101">
        <v>12871</v>
      </c>
      <c r="V54" s="101">
        <v>12459</v>
      </c>
      <c r="W54" s="101">
        <v>12830</v>
      </c>
      <c r="X54" s="101">
        <v>12563</v>
      </c>
      <c r="Y54" s="101">
        <v>12434</v>
      </c>
      <c r="DA54" s="175" t="s">
        <v>498</v>
      </c>
    </row>
    <row r="55" spans="1:105" ht="11.45" customHeight="1" x14ac:dyDescent="0.25">
      <c r="A55" s="138" t="s">
        <v>116</v>
      </c>
      <c r="B55" s="88">
        <v>5933.4985723862019</v>
      </c>
      <c r="C55" s="88">
        <v>6361.4444599993785</v>
      </c>
      <c r="D55" s="88">
        <v>6692.4738498851821</v>
      </c>
      <c r="E55" s="88">
        <v>6840.4865305798794</v>
      </c>
      <c r="F55" s="88">
        <v>8087.8082486369694</v>
      </c>
      <c r="G55" s="88">
        <v>8372.2716418170676</v>
      </c>
      <c r="H55" s="88">
        <v>8600.9557174909114</v>
      </c>
      <c r="I55" s="88">
        <v>8780.5111262809569</v>
      </c>
      <c r="J55" s="88">
        <v>8591.0047324539191</v>
      </c>
      <c r="K55" s="88">
        <v>7699.4692546329052</v>
      </c>
      <c r="L55" s="88">
        <v>7814.8914410663874</v>
      </c>
      <c r="M55" s="88">
        <v>7438.8682534875943</v>
      </c>
      <c r="N55" s="88">
        <v>7284.1933871047968</v>
      </c>
      <c r="O55" s="88">
        <v>7658.6276701608231</v>
      </c>
      <c r="P55" s="88">
        <v>7691.8464743041259</v>
      </c>
      <c r="Q55" s="88">
        <v>7849.7388508794647</v>
      </c>
      <c r="R55" s="88">
        <v>8207.5723696774148</v>
      </c>
      <c r="S55" s="88">
        <v>8703.7892064272091</v>
      </c>
      <c r="T55" s="88">
        <v>8624.6346893293321</v>
      </c>
      <c r="U55" s="88">
        <v>9018.9631900956283</v>
      </c>
      <c r="V55" s="88">
        <v>8796.8390622146071</v>
      </c>
      <c r="W55" s="88">
        <v>9420.2010883177518</v>
      </c>
      <c r="X55" s="88">
        <v>9334.0209511557732</v>
      </c>
      <c r="Y55" s="88">
        <v>9131.4032348904257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38142673</v>
      </c>
      <c r="C57" s="54">
        <f t="shared" si="118"/>
        <v>38676945</v>
      </c>
      <c r="D57" s="54">
        <f t="shared" si="118"/>
        <v>39185694</v>
      </c>
      <c r="E57" s="54">
        <f t="shared" si="118"/>
        <v>39642290</v>
      </c>
      <c r="F57" s="54">
        <f t="shared" si="118"/>
        <v>40052579</v>
      </c>
      <c r="G57" s="54">
        <f t="shared" si="118"/>
        <v>40305561</v>
      </c>
      <c r="H57" s="54">
        <f t="shared" si="118"/>
        <v>40742273</v>
      </c>
      <c r="I57" s="54">
        <f t="shared" si="118"/>
        <v>41337595</v>
      </c>
      <c r="J57" s="54">
        <f t="shared" si="118"/>
        <v>42574876</v>
      </c>
      <c r="K57" s="54">
        <f t="shared" si="118"/>
        <v>43767591</v>
      </c>
      <c r="L57" s="54">
        <f t="shared" ref="L57" si="119">L58+L73</f>
        <v>44672453</v>
      </c>
      <c r="M57" s="54">
        <f t="shared" ref="M57:V57" si="120">M58+M73</f>
        <v>46297477</v>
      </c>
      <c r="N57" s="54">
        <f t="shared" si="120"/>
        <v>46525394</v>
      </c>
      <c r="O57" s="54">
        <f t="shared" si="120"/>
        <v>47128888</v>
      </c>
      <c r="P57" s="54">
        <f t="shared" si="120"/>
        <v>47719259</v>
      </c>
      <c r="Q57" s="54">
        <f t="shared" si="120"/>
        <v>48280423</v>
      </c>
      <c r="R57" s="54">
        <f t="shared" si="120"/>
        <v>48767445</v>
      </c>
      <c r="S57" s="54">
        <f t="shared" si="120"/>
        <v>49107743</v>
      </c>
      <c r="T57" s="54">
        <f t="shared" si="120"/>
        <v>49236027</v>
      </c>
      <c r="U57" s="54">
        <f t="shared" si="120"/>
        <v>49439235</v>
      </c>
      <c r="V57" s="54">
        <f t="shared" si="120"/>
        <v>49464025</v>
      </c>
      <c r="W57" s="54">
        <f t="shared" ref="W57:Y57" si="121">W58+W73</f>
        <v>49487480</v>
      </c>
      <c r="X57" s="54">
        <f t="shared" si="121"/>
        <v>49638528</v>
      </c>
      <c r="Y57" s="54">
        <f t="shared" si="121"/>
        <v>50182105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31727690</v>
      </c>
      <c r="C58" s="28">
        <f t="shared" si="122"/>
        <v>32201089</v>
      </c>
      <c r="D58" s="28">
        <f t="shared" si="122"/>
        <v>32662351</v>
      </c>
      <c r="E58" s="28">
        <f t="shared" si="122"/>
        <v>33074955</v>
      </c>
      <c r="F58" s="28">
        <f t="shared" si="122"/>
        <v>33435028</v>
      </c>
      <c r="G58" s="28">
        <f t="shared" si="122"/>
        <v>33654493</v>
      </c>
      <c r="H58" s="28">
        <f t="shared" si="122"/>
        <v>34057039</v>
      </c>
      <c r="I58" s="28">
        <f t="shared" si="122"/>
        <v>34611291</v>
      </c>
      <c r="J58" s="28">
        <f t="shared" si="122"/>
        <v>35806984</v>
      </c>
      <c r="K58" s="28">
        <f t="shared" si="122"/>
        <v>36979364</v>
      </c>
      <c r="L58" s="28">
        <f t="shared" ref="L58" si="123">L59+L60+L67</f>
        <v>37847142</v>
      </c>
      <c r="M58" s="28">
        <f t="shared" ref="M58:V58" si="124">M59+M60+M67</f>
        <v>39519586</v>
      </c>
      <c r="N58" s="28">
        <f t="shared" si="124"/>
        <v>39763334</v>
      </c>
      <c r="O58" s="28">
        <f t="shared" si="124"/>
        <v>40351983</v>
      </c>
      <c r="P58" s="28">
        <f t="shared" si="124"/>
        <v>40854984</v>
      </c>
      <c r="Q58" s="28">
        <f t="shared" si="124"/>
        <v>41384982</v>
      </c>
      <c r="R58" s="28">
        <f t="shared" si="124"/>
        <v>41889178</v>
      </c>
      <c r="S58" s="28">
        <f t="shared" si="124"/>
        <v>42275695</v>
      </c>
      <c r="T58" s="28">
        <f t="shared" si="124"/>
        <v>42402036</v>
      </c>
      <c r="U58" s="28">
        <f t="shared" si="124"/>
        <v>42615123</v>
      </c>
      <c r="V58" s="28">
        <f t="shared" si="124"/>
        <v>42644089</v>
      </c>
      <c r="W58" s="28">
        <f t="shared" ref="W58:Y58" si="125">W59+W60+W67</f>
        <v>42640559</v>
      </c>
      <c r="X58" s="28">
        <f t="shared" si="125"/>
        <v>42773115</v>
      </c>
      <c r="Y58" s="28">
        <f t="shared" si="125"/>
        <v>43265009</v>
      </c>
      <c r="DA58" s="173" t="s">
        <v>501</v>
      </c>
    </row>
    <row r="59" spans="1:105" ht="11.45" customHeight="1" x14ac:dyDescent="0.25">
      <c r="A59" s="136" t="s">
        <v>173</v>
      </c>
      <c r="B59" s="137">
        <v>3228941</v>
      </c>
      <c r="C59" s="137">
        <v>3269135</v>
      </c>
      <c r="D59" s="137">
        <v>3270475</v>
      </c>
      <c r="E59" s="137">
        <v>3279854</v>
      </c>
      <c r="F59" s="137">
        <v>3298611</v>
      </c>
      <c r="G59" s="137">
        <v>3316438</v>
      </c>
      <c r="H59" s="137">
        <v>3407887</v>
      </c>
      <c r="I59" s="137">
        <v>3659899</v>
      </c>
      <c r="J59" s="137">
        <v>3905029</v>
      </c>
      <c r="K59" s="137">
        <v>4094912</v>
      </c>
      <c r="L59" s="137">
        <v>4200457</v>
      </c>
      <c r="M59" s="137">
        <v>4175456</v>
      </c>
      <c r="N59" s="137">
        <v>4138839</v>
      </c>
      <c r="O59" s="137">
        <v>4113767</v>
      </c>
      <c r="P59" s="137">
        <v>4117278</v>
      </c>
      <c r="Q59" s="137">
        <v>4114816</v>
      </c>
      <c r="R59" s="137">
        <v>4124034</v>
      </c>
      <c r="S59" s="137">
        <v>4064982</v>
      </c>
      <c r="T59" s="137">
        <v>4077802</v>
      </c>
      <c r="U59" s="137">
        <v>4096337</v>
      </c>
      <c r="V59" s="137">
        <v>4076015</v>
      </c>
      <c r="W59" s="137">
        <v>3722031</v>
      </c>
      <c r="X59" s="137">
        <v>3810424</v>
      </c>
      <c r="Y59" s="137">
        <v>3899195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28413000</v>
      </c>
      <c r="C60" s="110">
        <f t="shared" si="126"/>
        <v>28845000</v>
      </c>
      <c r="D60" s="110">
        <f t="shared" si="126"/>
        <v>29306000</v>
      </c>
      <c r="E60" s="110">
        <f t="shared" si="126"/>
        <v>29708000</v>
      </c>
      <c r="F60" s="110">
        <f t="shared" si="126"/>
        <v>30048000</v>
      </c>
      <c r="G60" s="110">
        <f t="shared" si="126"/>
        <v>30248000</v>
      </c>
      <c r="H60" s="110">
        <f t="shared" si="126"/>
        <v>30557000</v>
      </c>
      <c r="I60" s="110">
        <f t="shared" si="126"/>
        <v>30857000</v>
      </c>
      <c r="J60" s="110">
        <f t="shared" si="126"/>
        <v>31809081</v>
      </c>
      <c r="K60" s="110">
        <f t="shared" si="126"/>
        <v>32794000</v>
      </c>
      <c r="L60" s="110">
        <f t="shared" ref="L60" si="127">SUM(L61:L66)</f>
        <v>33557000</v>
      </c>
      <c r="M60" s="110">
        <f t="shared" ref="M60:V60" si="128">SUM(M61:M66)</f>
        <v>35252631</v>
      </c>
      <c r="N60" s="110">
        <f t="shared" si="128"/>
        <v>35531728</v>
      </c>
      <c r="O60" s="110">
        <f t="shared" si="128"/>
        <v>36149230</v>
      </c>
      <c r="P60" s="110">
        <f t="shared" si="128"/>
        <v>36647883</v>
      </c>
      <c r="Q60" s="110">
        <f t="shared" si="128"/>
        <v>37180101</v>
      </c>
      <c r="R60" s="110">
        <f t="shared" si="128"/>
        <v>37673476</v>
      </c>
      <c r="S60" s="110">
        <f t="shared" si="128"/>
        <v>38117663</v>
      </c>
      <c r="T60" s="110">
        <f t="shared" si="128"/>
        <v>38229305</v>
      </c>
      <c r="U60" s="110">
        <f t="shared" si="128"/>
        <v>38421218</v>
      </c>
      <c r="V60" s="110">
        <f t="shared" si="128"/>
        <v>38467643</v>
      </c>
      <c r="W60" s="110">
        <f t="shared" ref="W60:Y60" si="129">SUM(W61:W66)</f>
        <v>38814659</v>
      </c>
      <c r="X60" s="110">
        <f t="shared" si="129"/>
        <v>38856492</v>
      </c>
      <c r="Y60" s="110">
        <f t="shared" si="129"/>
        <v>39258636</v>
      </c>
      <c r="DA60" s="176" t="s">
        <v>503</v>
      </c>
    </row>
    <row r="61" spans="1:105" ht="11.45" customHeight="1" x14ac:dyDescent="0.25">
      <c r="A61" s="111" t="s">
        <v>110</v>
      </c>
      <c r="B61" s="84">
        <v>18086443</v>
      </c>
      <c r="C61" s="84">
        <v>17700627</v>
      </c>
      <c r="D61" s="84">
        <v>17250179</v>
      </c>
      <c r="E61" s="84">
        <v>16768647</v>
      </c>
      <c r="F61" s="84">
        <v>16262618</v>
      </c>
      <c r="G61" s="84">
        <v>15720999</v>
      </c>
      <c r="H61" s="84">
        <v>15247017</v>
      </c>
      <c r="I61" s="84">
        <v>14783826</v>
      </c>
      <c r="J61" s="84">
        <v>14386759</v>
      </c>
      <c r="K61" s="84">
        <v>14043689</v>
      </c>
      <c r="L61" s="84">
        <v>13735839</v>
      </c>
      <c r="M61" s="84">
        <v>13397124</v>
      </c>
      <c r="N61" s="84">
        <v>13085232</v>
      </c>
      <c r="O61" s="84">
        <v>12957630</v>
      </c>
      <c r="P61" s="84">
        <v>12979782</v>
      </c>
      <c r="Q61" s="84">
        <v>13187804</v>
      </c>
      <c r="R61" s="84">
        <v>13533676</v>
      </c>
      <c r="S61" s="84">
        <v>14034890</v>
      </c>
      <c r="T61" s="84">
        <v>14658014</v>
      </c>
      <c r="U61" s="84">
        <v>15372042</v>
      </c>
      <c r="V61" s="84">
        <v>15788667</v>
      </c>
      <c r="W61" s="84">
        <v>16367202</v>
      </c>
      <c r="X61" s="84">
        <v>16837627</v>
      </c>
      <c r="Y61" s="84">
        <v>17478037</v>
      </c>
      <c r="DA61" s="171" t="s">
        <v>504</v>
      </c>
    </row>
    <row r="62" spans="1:105" ht="11.45" customHeight="1" x14ac:dyDescent="0.25">
      <c r="A62" s="111" t="s">
        <v>111</v>
      </c>
      <c r="B62" s="84">
        <v>9983557</v>
      </c>
      <c r="C62" s="84">
        <v>10821522</v>
      </c>
      <c r="D62" s="84">
        <v>11762119</v>
      </c>
      <c r="E62" s="84">
        <v>12681843</v>
      </c>
      <c r="F62" s="84">
        <v>13550519</v>
      </c>
      <c r="G62" s="84">
        <v>14317878</v>
      </c>
      <c r="H62" s="84">
        <v>15125088</v>
      </c>
      <c r="I62" s="84">
        <v>15912958</v>
      </c>
      <c r="J62" s="84">
        <v>17233800</v>
      </c>
      <c r="K62" s="84">
        <v>18556428</v>
      </c>
      <c r="L62" s="84">
        <v>19621210</v>
      </c>
      <c r="M62" s="84">
        <v>21625270</v>
      </c>
      <c r="N62" s="84">
        <v>22229392</v>
      </c>
      <c r="O62" s="84">
        <v>22988226</v>
      </c>
      <c r="P62" s="84">
        <v>23469050</v>
      </c>
      <c r="Q62" s="84">
        <v>23779488</v>
      </c>
      <c r="R62" s="84">
        <v>23905996</v>
      </c>
      <c r="S62" s="84">
        <v>23818127</v>
      </c>
      <c r="T62" s="84">
        <v>23258237</v>
      </c>
      <c r="U62" s="84">
        <v>22667514</v>
      </c>
      <c r="V62" s="84">
        <v>22103314</v>
      </c>
      <c r="W62" s="84">
        <v>21541996</v>
      </c>
      <c r="X62" s="84">
        <v>20741554</v>
      </c>
      <c r="Y62" s="84">
        <v>20082525</v>
      </c>
      <c r="DA62" s="171" t="s">
        <v>505</v>
      </c>
    </row>
    <row r="63" spans="1:105" ht="11.45" customHeight="1" x14ac:dyDescent="0.25">
      <c r="A63" s="111" t="s">
        <v>112</v>
      </c>
      <c r="B63" s="84">
        <v>343000</v>
      </c>
      <c r="C63" s="84">
        <v>322851</v>
      </c>
      <c r="D63" s="84">
        <v>293702</v>
      </c>
      <c r="E63" s="84">
        <v>257510</v>
      </c>
      <c r="F63" s="84">
        <v>234863</v>
      </c>
      <c r="G63" s="84">
        <v>209123</v>
      </c>
      <c r="H63" s="84">
        <v>184881</v>
      </c>
      <c r="I63" s="84">
        <v>159721</v>
      </c>
      <c r="J63" s="84">
        <v>185000</v>
      </c>
      <c r="K63" s="84">
        <v>190000</v>
      </c>
      <c r="L63" s="84">
        <v>195918</v>
      </c>
      <c r="M63" s="84">
        <v>223377</v>
      </c>
      <c r="N63" s="84">
        <v>207684</v>
      </c>
      <c r="O63" s="84">
        <v>184011</v>
      </c>
      <c r="P63" s="84">
        <v>169613</v>
      </c>
      <c r="Q63" s="84">
        <v>161929</v>
      </c>
      <c r="R63" s="84">
        <v>153985</v>
      </c>
      <c r="S63" s="84">
        <v>147128</v>
      </c>
      <c r="T63" s="84">
        <v>144435</v>
      </c>
      <c r="U63" s="84">
        <v>144469</v>
      </c>
      <c r="V63" s="84">
        <v>143788</v>
      </c>
      <c r="W63" s="84">
        <v>158723</v>
      </c>
      <c r="X63" s="84">
        <v>172911</v>
      </c>
      <c r="Y63" s="84">
        <v>202541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475</v>
      </c>
      <c r="J64" s="84">
        <v>920</v>
      </c>
      <c r="K64" s="84">
        <v>1284</v>
      </c>
      <c r="L64" s="84">
        <v>1429</v>
      </c>
      <c r="M64" s="84">
        <v>1567</v>
      </c>
      <c r="N64" s="84">
        <v>1681</v>
      </c>
      <c r="O64" s="84">
        <v>1732</v>
      </c>
      <c r="P64" s="84">
        <v>1761</v>
      </c>
      <c r="Q64" s="84">
        <v>1862</v>
      </c>
      <c r="R64" s="84">
        <v>2127</v>
      </c>
      <c r="S64" s="84">
        <v>2173</v>
      </c>
      <c r="T64" s="84">
        <v>2202</v>
      </c>
      <c r="U64" s="84">
        <v>2382</v>
      </c>
      <c r="V64" s="84">
        <v>2668</v>
      </c>
      <c r="W64" s="84">
        <v>2686</v>
      </c>
      <c r="X64" s="84">
        <v>2714</v>
      </c>
      <c r="Y64" s="84">
        <v>4849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668</v>
      </c>
      <c r="O65" s="84">
        <v>1466</v>
      </c>
      <c r="P65" s="84">
        <v>2985</v>
      </c>
      <c r="Q65" s="84">
        <v>8025</v>
      </c>
      <c r="R65" s="84">
        <v>14492</v>
      </c>
      <c r="S65" s="84">
        <v>25295</v>
      </c>
      <c r="T65" s="84">
        <v>38734</v>
      </c>
      <c r="U65" s="84">
        <v>57294</v>
      </c>
      <c r="V65" s="84">
        <v>132309</v>
      </c>
      <c r="W65" s="84">
        <v>273600</v>
      </c>
      <c r="X65" s="84">
        <v>411593</v>
      </c>
      <c r="Y65" s="84">
        <v>574602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14</v>
      </c>
      <c r="I66" s="84">
        <v>20</v>
      </c>
      <c r="J66" s="84">
        <v>2602</v>
      </c>
      <c r="K66" s="84">
        <v>2599</v>
      </c>
      <c r="L66" s="84">
        <v>2604</v>
      </c>
      <c r="M66" s="84">
        <v>5293</v>
      </c>
      <c r="N66" s="84">
        <v>7071</v>
      </c>
      <c r="O66" s="84">
        <v>16165</v>
      </c>
      <c r="P66" s="84">
        <v>24692</v>
      </c>
      <c r="Q66" s="84">
        <v>40993</v>
      </c>
      <c r="R66" s="84">
        <v>63200</v>
      </c>
      <c r="S66" s="84">
        <v>90050</v>
      </c>
      <c r="T66" s="84">
        <v>127683</v>
      </c>
      <c r="U66" s="84">
        <v>177517</v>
      </c>
      <c r="V66" s="84">
        <v>296897</v>
      </c>
      <c r="W66" s="84">
        <v>470452</v>
      </c>
      <c r="X66" s="84">
        <v>690093</v>
      </c>
      <c r="Y66" s="84">
        <v>916082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85749</v>
      </c>
      <c r="C67" s="110">
        <f t="shared" si="130"/>
        <v>86954</v>
      </c>
      <c r="D67" s="110">
        <f t="shared" si="130"/>
        <v>85876</v>
      </c>
      <c r="E67" s="110">
        <f t="shared" si="130"/>
        <v>87101</v>
      </c>
      <c r="F67" s="110">
        <f t="shared" si="130"/>
        <v>88417</v>
      </c>
      <c r="G67" s="110">
        <f t="shared" si="130"/>
        <v>90055</v>
      </c>
      <c r="H67" s="110">
        <f t="shared" si="130"/>
        <v>92152</v>
      </c>
      <c r="I67" s="110">
        <f t="shared" si="130"/>
        <v>94392</v>
      </c>
      <c r="J67" s="110">
        <f t="shared" si="130"/>
        <v>92874</v>
      </c>
      <c r="K67" s="110">
        <f t="shared" si="130"/>
        <v>90452</v>
      </c>
      <c r="L67" s="110">
        <f t="shared" ref="L67" si="131">SUM(L68:L72)</f>
        <v>89685</v>
      </c>
      <c r="M67" s="110">
        <f t="shared" ref="M67:V67" si="132">SUM(M68:M72)</f>
        <v>91499</v>
      </c>
      <c r="N67" s="110">
        <f t="shared" si="132"/>
        <v>92767</v>
      </c>
      <c r="O67" s="110">
        <f t="shared" si="132"/>
        <v>88986</v>
      </c>
      <c r="P67" s="110">
        <f t="shared" si="132"/>
        <v>89823</v>
      </c>
      <c r="Q67" s="110">
        <f t="shared" si="132"/>
        <v>90065</v>
      </c>
      <c r="R67" s="110">
        <f t="shared" si="132"/>
        <v>91668</v>
      </c>
      <c r="S67" s="110">
        <f t="shared" si="132"/>
        <v>93050</v>
      </c>
      <c r="T67" s="110">
        <f t="shared" si="132"/>
        <v>94929</v>
      </c>
      <c r="U67" s="110">
        <f t="shared" si="132"/>
        <v>97568</v>
      </c>
      <c r="V67" s="110">
        <f t="shared" si="132"/>
        <v>100431</v>
      </c>
      <c r="W67" s="110">
        <f t="shared" ref="W67:Y67" si="133">SUM(W68:W72)</f>
        <v>103869</v>
      </c>
      <c r="X67" s="110">
        <f t="shared" si="133"/>
        <v>106199</v>
      </c>
      <c r="Y67" s="110">
        <f t="shared" si="133"/>
        <v>107178</v>
      </c>
      <c r="DA67" s="176" t="s">
        <v>510</v>
      </c>
    </row>
    <row r="68" spans="1:105" ht="11.45" customHeight="1" x14ac:dyDescent="0.25">
      <c r="A68" s="111" t="s">
        <v>110</v>
      </c>
      <c r="B68" s="102">
        <v>1273</v>
      </c>
      <c r="C68" s="102">
        <v>1208</v>
      </c>
      <c r="D68" s="102">
        <v>1138</v>
      </c>
      <c r="E68" s="102">
        <v>1062</v>
      </c>
      <c r="F68" s="102">
        <v>984</v>
      </c>
      <c r="G68" s="102">
        <v>903</v>
      </c>
      <c r="H68" s="102">
        <v>821</v>
      </c>
      <c r="I68" s="102">
        <v>740</v>
      </c>
      <c r="J68" s="102">
        <v>661</v>
      </c>
      <c r="K68" s="102">
        <v>584</v>
      </c>
      <c r="L68" s="102">
        <v>511</v>
      </c>
      <c r="M68" s="102">
        <v>441</v>
      </c>
      <c r="N68" s="102">
        <v>378</v>
      </c>
      <c r="O68" s="102">
        <v>319</v>
      </c>
      <c r="P68" s="102">
        <v>265</v>
      </c>
      <c r="Q68" s="102">
        <v>218</v>
      </c>
      <c r="R68" s="102">
        <v>217</v>
      </c>
      <c r="S68" s="102">
        <v>219</v>
      </c>
      <c r="T68" s="102">
        <v>218</v>
      </c>
      <c r="U68" s="102">
        <v>230</v>
      </c>
      <c r="V68" s="102">
        <v>250</v>
      </c>
      <c r="W68" s="102">
        <v>261</v>
      </c>
      <c r="X68" s="102">
        <v>221</v>
      </c>
      <c r="Y68" s="102">
        <v>186</v>
      </c>
      <c r="DA68" s="175" t="s">
        <v>511</v>
      </c>
    </row>
    <row r="69" spans="1:105" ht="11.45" customHeight="1" x14ac:dyDescent="0.25">
      <c r="A69" s="111" t="s">
        <v>111</v>
      </c>
      <c r="B69" s="102">
        <v>84165</v>
      </c>
      <c r="C69" s="102">
        <v>84948</v>
      </c>
      <c r="D69" s="102">
        <v>83869</v>
      </c>
      <c r="E69" s="102">
        <v>84940</v>
      </c>
      <c r="F69" s="102">
        <v>86174</v>
      </c>
      <c r="G69" s="102">
        <v>87802</v>
      </c>
      <c r="H69" s="102">
        <v>89866</v>
      </c>
      <c r="I69" s="102">
        <v>92009</v>
      </c>
      <c r="J69" s="102">
        <v>90377</v>
      </c>
      <c r="K69" s="102">
        <v>88073</v>
      </c>
      <c r="L69" s="102">
        <v>87431</v>
      </c>
      <c r="M69" s="102">
        <v>87172</v>
      </c>
      <c r="N69" s="102">
        <v>87958</v>
      </c>
      <c r="O69" s="102">
        <v>82883</v>
      </c>
      <c r="P69" s="102">
        <v>83418</v>
      </c>
      <c r="Q69" s="102">
        <v>83553</v>
      </c>
      <c r="R69" s="102">
        <v>85166</v>
      </c>
      <c r="S69" s="102">
        <v>86100</v>
      </c>
      <c r="T69" s="102">
        <v>86980</v>
      </c>
      <c r="U69" s="102">
        <v>87225</v>
      </c>
      <c r="V69" s="102">
        <v>86632</v>
      </c>
      <c r="W69" s="102">
        <v>85758</v>
      </c>
      <c r="X69" s="102">
        <v>84968</v>
      </c>
      <c r="Y69" s="102">
        <v>83367</v>
      </c>
      <c r="DA69" s="175" t="s">
        <v>512</v>
      </c>
    </row>
    <row r="70" spans="1:105" ht="11.45" customHeight="1" x14ac:dyDescent="0.25">
      <c r="A70" s="111" t="s">
        <v>112</v>
      </c>
      <c r="B70" s="102">
        <v>147</v>
      </c>
      <c r="C70" s="102">
        <v>175</v>
      </c>
      <c r="D70" s="102">
        <v>173</v>
      </c>
      <c r="E70" s="102">
        <v>183</v>
      </c>
      <c r="F70" s="102">
        <v>189</v>
      </c>
      <c r="G70" s="102">
        <v>191</v>
      </c>
      <c r="H70" s="102">
        <v>153</v>
      </c>
      <c r="I70" s="102">
        <v>180</v>
      </c>
      <c r="J70" s="102">
        <v>171</v>
      </c>
      <c r="K70" s="102">
        <v>163</v>
      </c>
      <c r="L70" s="102">
        <v>154</v>
      </c>
      <c r="M70" s="102">
        <v>144</v>
      </c>
      <c r="N70" s="102">
        <v>135</v>
      </c>
      <c r="O70" s="102">
        <v>126</v>
      </c>
      <c r="P70" s="102">
        <v>116</v>
      </c>
      <c r="Q70" s="102">
        <v>107</v>
      </c>
      <c r="R70" s="102">
        <v>102</v>
      </c>
      <c r="S70" s="102">
        <v>97</v>
      </c>
      <c r="T70" s="102">
        <v>92</v>
      </c>
      <c r="U70" s="102">
        <v>86</v>
      </c>
      <c r="V70" s="102">
        <v>81</v>
      </c>
      <c r="W70" s="102">
        <v>75</v>
      </c>
      <c r="X70" s="102">
        <v>66</v>
      </c>
      <c r="Y70" s="102">
        <v>57</v>
      </c>
      <c r="DA70" s="175" t="s">
        <v>513</v>
      </c>
    </row>
    <row r="71" spans="1:105" ht="11.45" customHeight="1" x14ac:dyDescent="0.25">
      <c r="A71" s="111" t="s">
        <v>113</v>
      </c>
      <c r="B71" s="102">
        <v>17</v>
      </c>
      <c r="C71" s="102">
        <v>459</v>
      </c>
      <c r="D71" s="102">
        <v>513</v>
      </c>
      <c r="E71" s="102">
        <v>718</v>
      </c>
      <c r="F71" s="102">
        <v>857</v>
      </c>
      <c r="G71" s="102">
        <v>948</v>
      </c>
      <c r="H71" s="102">
        <v>1106</v>
      </c>
      <c r="I71" s="102">
        <v>1263</v>
      </c>
      <c r="J71" s="102">
        <v>1471</v>
      </c>
      <c r="K71" s="102">
        <v>1448</v>
      </c>
      <c r="L71" s="102">
        <v>1416</v>
      </c>
      <c r="M71" s="102">
        <v>3579</v>
      </c>
      <c r="N71" s="102">
        <v>4115</v>
      </c>
      <c r="O71" s="102">
        <v>5378</v>
      </c>
      <c r="P71" s="102">
        <v>5720</v>
      </c>
      <c r="Q71" s="102">
        <v>5852</v>
      </c>
      <c r="R71" s="102">
        <v>5804</v>
      </c>
      <c r="S71" s="102">
        <v>6208</v>
      </c>
      <c r="T71" s="102">
        <v>7194</v>
      </c>
      <c r="U71" s="102">
        <v>9326</v>
      </c>
      <c r="V71" s="102">
        <v>12640</v>
      </c>
      <c r="W71" s="102">
        <v>16289</v>
      </c>
      <c r="X71" s="102">
        <v>18897</v>
      </c>
      <c r="Y71" s="102">
        <v>21094</v>
      </c>
      <c r="DA71" s="175" t="s">
        <v>514</v>
      </c>
    </row>
    <row r="72" spans="1:105" ht="11.45" customHeight="1" x14ac:dyDescent="0.25">
      <c r="A72" s="111" t="s">
        <v>115</v>
      </c>
      <c r="B72" s="102">
        <v>147</v>
      </c>
      <c r="C72" s="102">
        <v>164</v>
      </c>
      <c r="D72" s="102">
        <v>183</v>
      </c>
      <c r="E72" s="102">
        <v>198</v>
      </c>
      <c r="F72" s="102">
        <v>213</v>
      </c>
      <c r="G72" s="102">
        <v>211</v>
      </c>
      <c r="H72" s="102">
        <v>206</v>
      </c>
      <c r="I72" s="102">
        <v>200</v>
      </c>
      <c r="J72" s="102">
        <v>194</v>
      </c>
      <c r="K72" s="102">
        <v>184</v>
      </c>
      <c r="L72" s="102">
        <v>173</v>
      </c>
      <c r="M72" s="102">
        <v>163</v>
      </c>
      <c r="N72" s="102">
        <v>181</v>
      </c>
      <c r="O72" s="102">
        <v>280</v>
      </c>
      <c r="P72" s="102">
        <v>304</v>
      </c>
      <c r="Q72" s="102">
        <v>335</v>
      </c>
      <c r="R72" s="102">
        <v>379</v>
      </c>
      <c r="S72" s="102">
        <v>426</v>
      </c>
      <c r="T72" s="102">
        <v>445</v>
      </c>
      <c r="U72" s="102">
        <v>701</v>
      </c>
      <c r="V72" s="102">
        <v>828</v>
      </c>
      <c r="W72" s="102">
        <v>1486</v>
      </c>
      <c r="X72" s="102">
        <v>2047</v>
      </c>
      <c r="Y72" s="102">
        <v>2474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6414983</v>
      </c>
      <c r="C73" s="28">
        <f t="shared" si="134"/>
        <v>6475856</v>
      </c>
      <c r="D73" s="28">
        <f t="shared" si="134"/>
        <v>6523343</v>
      </c>
      <c r="E73" s="28">
        <f t="shared" si="134"/>
        <v>6567335</v>
      </c>
      <c r="F73" s="28">
        <f t="shared" si="134"/>
        <v>6617551</v>
      </c>
      <c r="G73" s="28">
        <f t="shared" si="134"/>
        <v>6651068</v>
      </c>
      <c r="H73" s="28">
        <f t="shared" si="134"/>
        <v>6685234</v>
      </c>
      <c r="I73" s="28">
        <f t="shared" si="134"/>
        <v>6726304</v>
      </c>
      <c r="J73" s="28">
        <f t="shared" si="134"/>
        <v>6767892</v>
      </c>
      <c r="K73" s="28">
        <f t="shared" si="134"/>
        <v>6788227</v>
      </c>
      <c r="L73" s="28">
        <f t="shared" ref="L73" si="135">L74+L80</f>
        <v>6825311</v>
      </c>
      <c r="M73" s="28">
        <f t="shared" ref="M73:V73" si="136">M74+M80</f>
        <v>6777891</v>
      </c>
      <c r="N73" s="28">
        <f t="shared" si="136"/>
        <v>6762060</v>
      </c>
      <c r="O73" s="28">
        <f t="shared" si="136"/>
        <v>6776905</v>
      </c>
      <c r="P73" s="28">
        <f t="shared" si="136"/>
        <v>6864275</v>
      </c>
      <c r="Q73" s="28">
        <f t="shared" si="136"/>
        <v>6895441</v>
      </c>
      <c r="R73" s="28">
        <f t="shared" si="136"/>
        <v>6878267</v>
      </c>
      <c r="S73" s="28">
        <f t="shared" si="136"/>
        <v>6832048</v>
      </c>
      <c r="T73" s="28">
        <f t="shared" si="136"/>
        <v>6833991</v>
      </c>
      <c r="U73" s="28">
        <f t="shared" si="136"/>
        <v>6824112</v>
      </c>
      <c r="V73" s="28">
        <f t="shared" si="136"/>
        <v>6819936</v>
      </c>
      <c r="W73" s="28">
        <f t="shared" ref="W73:Y73" si="137">W74+W80</f>
        <v>6846921</v>
      </c>
      <c r="X73" s="28">
        <f t="shared" si="137"/>
        <v>6865413</v>
      </c>
      <c r="Y73" s="28">
        <f t="shared" si="137"/>
        <v>6917096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5894666</v>
      </c>
      <c r="C74" s="137">
        <f t="shared" si="138"/>
        <v>5936465</v>
      </c>
      <c r="D74" s="137">
        <f t="shared" si="138"/>
        <v>5969141</v>
      </c>
      <c r="E74" s="137">
        <f t="shared" si="138"/>
        <v>6002578</v>
      </c>
      <c r="F74" s="137">
        <f t="shared" si="138"/>
        <v>6033918</v>
      </c>
      <c r="G74" s="137">
        <f t="shared" si="138"/>
        <v>6056108</v>
      </c>
      <c r="H74" s="137">
        <f t="shared" si="138"/>
        <v>6079536</v>
      </c>
      <c r="I74" s="137">
        <f t="shared" si="138"/>
        <v>6109204</v>
      </c>
      <c r="J74" s="137">
        <f t="shared" si="138"/>
        <v>6136275</v>
      </c>
      <c r="K74" s="137">
        <f t="shared" si="138"/>
        <v>6154035</v>
      </c>
      <c r="L74" s="137">
        <f t="shared" ref="L74" si="139">SUM(L75:L79)</f>
        <v>6168004</v>
      </c>
      <c r="M74" s="137">
        <f t="shared" ref="M74:V74" si="140">SUM(M75:M79)</f>
        <v>6128783</v>
      </c>
      <c r="N74" s="137">
        <f t="shared" si="140"/>
        <v>6124619</v>
      </c>
      <c r="O74" s="137">
        <f t="shared" si="140"/>
        <v>6145325</v>
      </c>
      <c r="P74" s="137">
        <f t="shared" si="140"/>
        <v>6231811</v>
      </c>
      <c r="Q74" s="137">
        <f t="shared" si="140"/>
        <v>6270612</v>
      </c>
      <c r="R74" s="137">
        <f t="shared" si="140"/>
        <v>6257151</v>
      </c>
      <c r="S74" s="137">
        <f t="shared" si="140"/>
        <v>6204939</v>
      </c>
      <c r="T74" s="137">
        <f t="shared" si="140"/>
        <v>6201035</v>
      </c>
      <c r="U74" s="137">
        <f t="shared" si="140"/>
        <v>6179774</v>
      </c>
      <c r="V74" s="137">
        <f t="shared" si="140"/>
        <v>6179040</v>
      </c>
      <c r="W74" s="137">
        <f t="shared" ref="W74:Y74" si="141">SUM(W75:W79)</f>
        <v>6196224</v>
      </c>
      <c r="X74" s="137">
        <f t="shared" si="141"/>
        <v>6218463</v>
      </c>
      <c r="Y74" s="137">
        <f t="shared" si="141"/>
        <v>6270016</v>
      </c>
      <c r="DA74" s="174" t="s">
        <v>517</v>
      </c>
    </row>
    <row r="75" spans="1:105" ht="11.45" customHeight="1" x14ac:dyDescent="0.25">
      <c r="A75" s="111" t="s">
        <v>110</v>
      </c>
      <c r="B75" s="84">
        <v>770989</v>
      </c>
      <c r="C75" s="84">
        <v>643004</v>
      </c>
      <c r="D75" s="84">
        <v>536982</v>
      </c>
      <c r="E75" s="84">
        <v>431848</v>
      </c>
      <c r="F75" s="84">
        <v>346145</v>
      </c>
      <c r="G75" s="84">
        <v>291811</v>
      </c>
      <c r="H75" s="84">
        <v>249479</v>
      </c>
      <c r="I75" s="84">
        <v>221454</v>
      </c>
      <c r="J75" s="84">
        <v>210763</v>
      </c>
      <c r="K75" s="84">
        <v>196991</v>
      </c>
      <c r="L75" s="84">
        <v>218701</v>
      </c>
      <c r="M75" s="84">
        <v>244990</v>
      </c>
      <c r="N75" s="84">
        <v>272485</v>
      </c>
      <c r="O75" s="84">
        <v>303014</v>
      </c>
      <c r="P75" s="84">
        <v>286631</v>
      </c>
      <c r="Q75" s="84">
        <v>269150</v>
      </c>
      <c r="R75" s="84">
        <v>249615</v>
      </c>
      <c r="S75" s="84">
        <v>229737</v>
      </c>
      <c r="T75" s="84">
        <v>215964</v>
      </c>
      <c r="U75" s="84">
        <v>197030</v>
      </c>
      <c r="V75" s="84">
        <v>186775</v>
      </c>
      <c r="W75" s="84">
        <v>189436</v>
      </c>
      <c r="X75" s="84">
        <v>198094</v>
      </c>
      <c r="Y75" s="84">
        <v>224508</v>
      </c>
      <c r="DA75" s="171" t="s">
        <v>518</v>
      </c>
    </row>
    <row r="76" spans="1:105" ht="11.45" customHeight="1" x14ac:dyDescent="0.25">
      <c r="A76" s="111" t="s">
        <v>111</v>
      </c>
      <c r="B76" s="84">
        <v>5097990</v>
      </c>
      <c r="C76" s="84">
        <v>5265605</v>
      </c>
      <c r="D76" s="84">
        <v>5403184</v>
      </c>
      <c r="E76" s="84">
        <v>5540874</v>
      </c>
      <c r="F76" s="84">
        <v>5656919</v>
      </c>
      <c r="G76" s="84">
        <v>5732573</v>
      </c>
      <c r="H76" s="84">
        <v>5795993</v>
      </c>
      <c r="I76" s="84">
        <v>5858848</v>
      </c>
      <c r="J76" s="84">
        <v>5898297</v>
      </c>
      <c r="K76" s="84">
        <v>5928314</v>
      </c>
      <c r="L76" s="84">
        <v>5921846</v>
      </c>
      <c r="M76" s="84">
        <v>5854728</v>
      </c>
      <c r="N76" s="84">
        <v>5822576</v>
      </c>
      <c r="O76" s="84">
        <v>5809841</v>
      </c>
      <c r="P76" s="84">
        <v>5908457</v>
      </c>
      <c r="Q76" s="84">
        <v>5961617</v>
      </c>
      <c r="R76" s="84">
        <v>5961127</v>
      </c>
      <c r="S76" s="84">
        <v>5927457</v>
      </c>
      <c r="T76" s="84">
        <v>5921170</v>
      </c>
      <c r="U76" s="84">
        <v>5913355</v>
      </c>
      <c r="V76" s="84">
        <v>5914301</v>
      </c>
      <c r="W76" s="84">
        <v>5916628</v>
      </c>
      <c r="X76" s="84">
        <v>5918439</v>
      </c>
      <c r="Y76" s="84">
        <v>5919907</v>
      </c>
      <c r="DA76" s="171" t="s">
        <v>519</v>
      </c>
    </row>
    <row r="77" spans="1:105" ht="11.45" customHeight="1" x14ac:dyDescent="0.25">
      <c r="A77" s="111" t="s">
        <v>112</v>
      </c>
      <c r="B77" s="84">
        <v>21292</v>
      </c>
      <c r="C77" s="84">
        <v>22772</v>
      </c>
      <c r="D77" s="84">
        <v>23556</v>
      </c>
      <c r="E77" s="84">
        <v>24074</v>
      </c>
      <c r="F77" s="84">
        <v>24854</v>
      </c>
      <c r="G77" s="84">
        <v>25804</v>
      </c>
      <c r="H77" s="84">
        <v>27723</v>
      </c>
      <c r="I77" s="84">
        <v>22343</v>
      </c>
      <c r="J77" s="84">
        <v>21154</v>
      </c>
      <c r="K77" s="84">
        <v>22173</v>
      </c>
      <c r="L77" s="84">
        <v>21459</v>
      </c>
      <c r="M77" s="84">
        <v>20614</v>
      </c>
      <c r="N77" s="84">
        <v>19671</v>
      </c>
      <c r="O77" s="84">
        <v>19176</v>
      </c>
      <c r="P77" s="84">
        <v>18892</v>
      </c>
      <c r="Q77" s="84">
        <v>18600</v>
      </c>
      <c r="R77" s="84">
        <v>17950</v>
      </c>
      <c r="S77" s="84">
        <v>16763</v>
      </c>
      <c r="T77" s="84">
        <v>14218</v>
      </c>
      <c r="U77" s="84">
        <v>13000</v>
      </c>
      <c r="V77" s="84">
        <v>12000</v>
      </c>
      <c r="W77" s="84">
        <v>12000</v>
      </c>
      <c r="X77" s="84">
        <v>12000</v>
      </c>
      <c r="Y77" s="84">
        <v>13643</v>
      </c>
      <c r="DA77" s="171" t="s">
        <v>520</v>
      </c>
    </row>
    <row r="78" spans="1:105" ht="11.45" customHeight="1" x14ac:dyDescent="0.25">
      <c r="A78" s="111" t="s">
        <v>113</v>
      </c>
      <c r="B78" s="84">
        <v>300</v>
      </c>
      <c r="C78" s="84">
        <v>274</v>
      </c>
      <c r="D78" s="84">
        <v>281</v>
      </c>
      <c r="E78" s="84">
        <v>455</v>
      </c>
      <c r="F78" s="84">
        <v>437</v>
      </c>
      <c r="G78" s="84">
        <v>420</v>
      </c>
      <c r="H78" s="84">
        <v>859</v>
      </c>
      <c r="I78" s="84">
        <v>806</v>
      </c>
      <c r="J78" s="84">
        <v>826</v>
      </c>
      <c r="K78" s="84">
        <v>1011</v>
      </c>
      <c r="L78" s="84">
        <v>965</v>
      </c>
      <c r="M78" s="84">
        <v>1159</v>
      </c>
      <c r="N78" s="84">
        <v>1598</v>
      </c>
      <c r="O78" s="84">
        <v>2066</v>
      </c>
      <c r="P78" s="84">
        <v>2429</v>
      </c>
      <c r="Q78" s="84">
        <v>2746</v>
      </c>
      <c r="R78" s="84">
        <v>3083</v>
      </c>
      <c r="S78" s="84">
        <v>3448</v>
      </c>
      <c r="T78" s="84">
        <v>8906</v>
      </c>
      <c r="U78" s="84">
        <v>7762</v>
      </c>
      <c r="V78" s="84">
        <v>8461</v>
      </c>
      <c r="W78" s="84">
        <v>9252</v>
      </c>
      <c r="X78" s="84">
        <v>9252</v>
      </c>
      <c r="Y78" s="84">
        <v>9435</v>
      </c>
      <c r="DA78" s="171" t="s">
        <v>521</v>
      </c>
    </row>
    <row r="79" spans="1:105" ht="11.45" customHeight="1" x14ac:dyDescent="0.25">
      <c r="A79" s="111" t="s">
        <v>115</v>
      </c>
      <c r="B79" s="84">
        <v>4095</v>
      </c>
      <c r="C79" s="84">
        <v>4810</v>
      </c>
      <c r="D79" s="84">
        <v>5138</v>
      </c>
      <c r="E79" s="84">
        <v>5327</v>
      </c>
      <c r="F79" s="84">
        <v>5563</v>
      </c>
      <c r="G79" s="84">
        <v>5500</v>
      </c>
      <c r="H79" s="84">
        <v>5482</v>
      </c>
      <c r="I79" s="84">
        <v>5753</v>
      </c>
      <c r="J79" s="84">
        <v>5235</v>
      </c>
      <c r="K79" s="84">
        <v>5546</v>
      </c>
      <c r="L79" s="84">
        <v>5033</v>
      </c>
      <c r="M79" s="84">
        <v>7292</v>
      </c>
      <c r="N79" s="84">
        <v>8289</v>
      </c>
      <c r="O79" s="84">
        <v>11228</v>
      </c>
      <c r="P79" s="84">
        <v>15402</v>
      </c>
      <c r="Q79" s="84">
        <v>18499</v>
      </c>
      <c r="R79" s="84">
        <v>25376</v>
      </c>
      <c r="S79" s="84">
        <v>27534</v>
      </c>
      <c r="T79" s="84">
        <v>40777</v>
      </c>
      <c r="U79" s="84">
        <v>48627</v>
      </c>
      <c r="V79" s="84">
        <v>57503</v>
      </c>
      <c r="W79" s="84">
        <v>68908</v>
      </c>
      <c r="X79" s="84">
        <v>80678</v>
      </c>
      <c r="Y79" s="84">
        <v>102523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520317</v>
      </c>
      <c r="C80" s="110">
        <f t="shared" si="142"/>
        <v>539391</v>
      </c>
      <c r="D80" s="110">
        <f t="shared" si="142"/>
        <v>554202</v>
      </c>
      <c r="E80" s="110">
        <f t="shared" si="142"/>
        <v>564757</v>
      </c>
      <c r="F80" s="110">
        <f t="shared" si="142"/>
        <v>583633</v>
      </c>
      <c r="G80" s="110">
        <f t="shared" si="142"/>
        <v>594960</v>
      </c>
      <c r="H80" s="110">
        <f t="shared" si="142"/>
        <v>605698</v>
      </c>
      <c r="I80" s="110">
        <f t="shared" si="142"/>
        <v>617100</v>
      </c>
      <c r="J80" s="110">
        <f t="shared" si="142"/>
        <v>631617</v>
      </c>
      <c r="K80" s="110">
        <f t="shared" si="142"/>
        <v>634192</v>
      </c>
      <c r="L80" s="110">
        <f t="shared" ref="L80" si="143">SUM(L81:L82)</f>
        <v>657307</v>
      </c>
      <c r="M80" s="110">
        <f t="shared" ref="M80:V80" si="144">SUM(M81:M82)</f>
        <v>649108</v>
      </c>
      <c r="N80" s="110">
        <f t="shared" si="144"/>
        <v>637441</v>
      </c>
      <c r="O80" s="110">
        <f t="shared" si="144"/>
        <v>631580</v>
      </c>
      <c r="P80" s="110">
        <f t="shared" si="144"/>
        <v>632464</v>
      </c>
      <c r="Q80" s="110">
        <f t="shared" si="144"/>
        <v>624829</v>
      </c>
      <c r="R80" s="110">
        <f t="shared" si="144"/>
        <v>621116</v>
      </c>
      <c r="S80" s="110">
        <f t="shared" si="144"/>
        <v>627109</v>
      </c>
      <c r="T80" s="110">
        <f t="shared" si="144"/>
        <v>632956</v>
      </c>
      <c r="U80" s="110">
        <f t="shared" si="144"/>
        <v>644338</v>
      </c>
      <c r="V80" s="110">
        <f t="shared" si="144"/>
        <v>640896</v>
      </c>
      <c r="W80" s="110">
        <f t="shared" ref="W80:Y80" si="145">SUM(W81:W82)</f>
        <v>650697</v>
      </c>
      <c r="X80" s="110">
        <f t="shared" si="145"/>
        <v>646950</v>
      </c>
      <c r="Y80" s="110">
        <f t="shared" si="145"/>
        <v>647080</v>
      </c>
      <c r="DA80" s="176" t="s">
        <v>523</v>
      </c>
    </row>
    <row r="81" spans="1:105" ht="11.45" customHeight="1" x14ac:dyDescent="0.25">
      <c r="A81" s="128" t="s">
        <v>27</v>
      </c>
      <c r="B81" s="102">
        <v>450511</v>
      </c>
      <c r="C81" s="102">
        <v>464550</v>
      </c>
      <c r="D81" s="102">
        <v>475467</v>
      </c>
      <c r="E81" s="102">
        <v>484281</v>
      </c>
      <c r="F81" s="102">
        <v>488482</v>
      </c>
      <c r="G81" s="102">
        <v>496463</v>
      </c>
      <c r="H81" s="102">
        <v>504510</v>
      </c>
      <c r="I81" s="102">
        <v>513800</v>
      </c>
      <c r="J81" s="102">
        <v>530546</v>
      </c>
      <c r="K81" s="102">
        <v>543610</v>
      </c>
      <c r="L81" s="102">
        <v>565367</v>
      </c>
      <c r="M81" s="102">
        <v>561592</v>
      </c>
      <c r="N81" s="102">
        <v>551745</v>
      </c>
      <c r="O81" s="102">
        <v>541478</v>
      </c>
      <c r="P81" s="102">
        <v>541972</v>
      </c>
      <c r="Q81" s="102">
        <v>532479</v>
      </c>
      <c r="R81" s="102">
        <v>524556</v>
      </c>
      <c r="S81" s="102">
        <v>524711</v>
      </c>
      <c r="T81" s="102">
        <v>531490</v>
      </c>
      <c r="U81" s="102">
        <v>538233</v>
      </c>
      <c r="V81" s="102">
        <v>537404</v>
      </c>
      <c r="W81" s="102">
        <v>539871</v>
      </c>
      <c r="X81" s="102">
        <v>537138</v>
      </c>
      <c r="Y81" s="102">
        <v>539652</v>
      </c>
      <c r="DA81" s="175" t="s">
        <v>524</v>
      </c>
    </row>
    <row r="82" spans="1:105" ht="11.45" customHeight="1" x14ac:dyDescent="0.25">
      <c r="A82" s="138" t="s">
        <v>116</v>
      </c>
      <c r="B82" s="86">
        <v>69806</v>
      </c>
      <c r="C82" s="86">
        <v>74841</v>
      </c>
      <c r="D82" s="86">
        <v>78735</v>
      </c>
      <c r="E82" s="86">
        <v>80476</v>
      </c>
      <c r="F82" s="86">
        <v>95151</v>
      </c>
      <c r="G82" s="86">
        <v>98497</v>
      </c>
      <c r="H82" s="86">
        <v>101188</v>
      </c>
      <c r="I82" s="86">
        <v>103300</v>
      </c>
      <c r="J82" s="86">
        <v>101071</v>
      </c>
      <c r="K82" s="86">
        <v>90582</v>
      </c>
      <c r="L82" s="86">
        <v>91940</v>
      </c>
      <c r="M82" s="86">
        <v>87516</v>
      </c>
      <c r="N82" s="86">
        <v>85696</v>
      </c>
      <c r="O82" s="86">
        <v>90102</v>
      </c>
      <c r="P82" s="86">
        <v>90492</v>
      </c>
      <c r="Q82" s="86">
        <v>92350</v>
      </c>
      <c r="R82" s="86">
        <v>96560</v>
      </c>
      <c r="S82" s="86">
        <v>102398</v>
      </c>
      <c r="T82" s="86">
        <v>101466</v>
      </c>
      <c r="U82" s="86">
        <v>106105</v>
      </c>
      <c r="V82" s="86">
        <v>103492</v>
      </c>
      <c r="W82" s="86">
        <v>110826</v>
      </c>
      <c r="X82" s="86">
        <v>109812</v>
      </c>
      <c r="Y82" s="86">
        <v>107428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38142673</v>
      </c>
      <c r="C84" s="54">
        <f t="shared" si="146"/>
        <v>38676945</v>
      </c>
      <c r="D84" s="54">
        <f t="shared" ref="D84:V84" si="147">D85+D100</f>
        <v>39185694</v>
      </c>
      <c r="E84" s="54">
        <f t="shared" si="147"/>
        <v>39642290</v>
      </c>
      <c r="F84" s="54">
        <f t="shared" si="147"/>
        <v>40052579</v>
      </c>
      <c r="G84" s="54">
        <f t="shared" si="147"/>
        <v>40305561</v>
      </c>
      <c r="H84" s="54">
        <f t="shared" si="147"/>
        <v>40742273</v>
      </c>
      <c r="I84" s="54">
        <f t="shared" si="147"/>
        <v>41337595</v>
      </c>
      <c r="J84" s="54">
        <f t="shared" si="147"/>
        <v>42574876</v>
      </c>
      <c r="K84" s="54">
        <f t="shared" si="147"/>
        <v>43767591</v>
      </c>
      <c r="L84" s="54">
        <f t="shared" si="147"/>
        <v>44672453</v>
      </c>
      <c r="M84" s="54">
        <f t="shared" si="147"/>
        <v>46297477</v>
      </c>
      <c r="N84" s="54">
        <f t="shared" si="147"/>
        <v>46525394</v>
      </c>
      <c r="O84" s="54">
        <f t="shared" si="147"/>
        <v>47128888</v>
      </c>
      <c r="P84" s="54">
        <f t="shared" si="147"/>
        <v>47719259</v>
      </c>
      <c r="Q84" s="54">
        <f t="shared" si="147"/>
        <v>48280423</v>
      </c>
      <c r="R84" s="54">
        <f t="shared" si="147"/>
        <v>48767445</v>
      </c>
      <c r="S84" s="54">
        <f t="shared" si="147"/>
        <v>49107743</v>
      </c>
      <c r="T84" s="54">
        <f t="shared" si="147"/>
        <v>49236027</v>
      </c>
      <c r="U84" s="54">
        <f t="shared" si="147"/>
        <v>49439235</v>
      </c>
      <c r="V84" s="54">
        <f t="shared" si="147"/>
        <v>49464025</v>
      </c>
      <c r="W84" s="54">
        <f t="shared" ref="W84:Y84" si="148">W85+W100</f>
        <v>49487480</v>
      </c>
      <c r="X84" s="54">
        <f t="shared" si="148"/>
        <v>49638528</v>
      </c>
      <c r="Y84" s="54">
        <f t="shared" si="148"/>
        <v>50182105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31727690</v>
      </c>
      <c r="C85" s="28">
        <f t="shared" si="149"/>
        <v>32201089</v>
      </c>
      <c r="D85" s="28">
        <f t="shared" ref="D85:V85" si="150">D86+D87+D94</f>
        <v>32662351</v>
      </c>
      <c r="E85" s="28">
        <f t="shared" si="150"/>
        <v>33074955</v>
      </c>
      <c r="F85" s="28">
        <f t="shared" si="150"/>
        <v>33435028</v>
      </c>
      <c r="G85" s="28">
        <f t="shared" si="150"/>
        <v>33654493</v>
      </c>
      <c r="H85" s="28">
        <f t="shared" si="150"/>
        <v>34057039</v>
      </c>
      <c r="I85" s="28">
        <f t="shared" si="150"/>
        <v>34611291</v>
      </c>
      <c r="J85" s="28">
        <f t="shared" si="150"/>
        <v>35806984</v>
      </c>
      <c r="K85" s="28">
        <f t="shared" si="150"/>
        <v>36979364</v>
      </c>
      <c r="L85" s="28">
        <f t="shared" si="150"/>
        <v>37847142</v>
      </c>
      <c r="M85" s="28">
        <f t="shared" si="150"/>
        <v>39519586</v>
      </c>
      <c r="N85" s="28">
        <f t="shared" si="150"/>
        <v>39763334</v>
      </c>
      <c r="O85" s="28">
        <f t="shared" si="150"/>
        <v>40351983</v>
      </c>
      <c r="P85" s="28">
        <f t="shared" si="150"/>
        <v>40854984</v>
      </c>
      <c r="Q85" s="28">
        <f t="shared" si="150"/>
        <v>41384982</v>
      </c>
      <c r="R85" s="28">
        <f t="shared" si="150"/>
        <v>41889178</v>
      </c>
      <c r="S85" s="28">
        <f t="shared" si="150"/>
        <v>42275695</v>
      </c>
      <c r="T85" s="28">
        <f t="shared" si="150"/>
        <v>42402036</v>
      </c>
      <c r="U85" s="28">
        <f t="shared" si="150"/>
        <v>42615123</v>
      </c>
      <c r="V85" s="28">
        <f t="shared" si="150"/>
        <v>42644089</v>
      </c>
      <c r="W85" s="28">
        <f t="shared" ref="W85:Y85" si="151">W86+W87+W94</f>
        <v>42640559</v>
      </c>
      <c r="X85" s="28">
        <f t="shared" si="151"/>
        <v>42773115</v>
      </c>
      <c r="Y85" s="28">
        <f t="shared" si="151"/>
        <v>43265009</v>
      </c>
      <c r="DA85" s="173"/>
    </row>
    <row r="86" spans="1:105" ht="11.45" hidden="1" customHeight="1" x14ac:dyDescent="0.25">
      <c r="A86" s="136" t="s">
        <v>173</v>
      </c>
      <c r="B86" s="137">
        <v>3228941</v>
      </c>
      <c r="C86" s="137">
        <v>3269135</v>
      </c>
      <c r="D86" s="137">
        <v>3270475</v>
      </c>
      <c r="E86" s="137">
        <v>3279854</v>
      </c>
      <c r="F86" s="137">
        <v>3298611</v>
      </c>
      <c r="G86" s="137">
        <v>3316438</v>
      </c>
      <c r="H86" s="137">
        <v>3407887</v>
      </c>
      <c r="I86" s="137">
        <v>3659899</v>
      </c>
      <c r="J86" s="137">
        <v>3905029</v>
      </c>
      <c r="K86" s="137">
        <v>4094912</v>
      </c>
      <c r="L86" s="137">
        <v>4200457</v>
      </c>
      <c r="M86" s="137">
        <v>4175456</v>
      </c>
      <c r="N86" s="137">
        <v>4138839</v>
      </c>
      <c r="O86" s="137">
        <v>4113767</v>
      </c>
      <c r="P86" s="137">
        <v>4117278</v>
      </c>
      <c r="Q86" s="137">
        <v>4114816</v>
      </c>
      <c r="R86" s="137">
        <v>4124034</v>
      </c>
      <c r="S86" s="137">
        <v>4064982</v>
      </c>
      <c r="T86" s="137">
        <v>4077802</v>
      </c>
      <c r="U86" s="137">
        <v>4096337</v>
      </c>
      <c r="V86" s="137">
        <v>4076015</v>
      </c>
      <c r="W86" s="137">
        <v>3722031</v>
      </c>
      <c r="X86" s="137">
        <v>3810424</v>
      </c>
      <c r="Y86" s="137">
        <v>3899195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28413000</v>
      </c>
      <c r="C87" s="110">
        <f t="shared" si="152"/>
        <v>28845000</v>
      </c>
      <c r="D87" s="110">
        <f t="shared" ref="D87:V87" si="153">SUM(D88:D93)</f>
        <v>29306000</v>
      </c>
      <c r="E87" s="110">
        <f t="shared" si="153"/>
        <v>29708000</v>
      </c>
      <c r="F87" s="110">
        <f t="shared" si="153"/>
        <v>30048000</v>
      </c>
      <c r="G87" s="110">
        <f t="shared" si="153"/>
        <v>30248000</v>
      </c>
      <c r="H87" s="110">
        <f t="shared" si="153"/>
        <v>30557000</v>
      </c>
      <c r="I87" s="110">
        <f t="shared" si="153"/>
        <v>30857000</v>
      </c>
      <c r="J87" s="110">
        <f t="shared" si="153"/>
        <v>31809081</v>
      </c>
      <c r="K87" s="110">
        <f t="shared" si="153"/>
        <v>32794000</v>
      </c>
      <c r="L87" s="110">
        <f t="shared" si="153"/>
        <v>33557000</v>
      </c>
      <c r="M87" s="110">
        <f t="shared" si="153"/>
        <v>35252631</v>
      </c>
      <c r="N87" s="110">
        <f t="shared" si="153"/>
        <v>35531728</v>
      </c>
      <c r="O87" s="110">
        <f t="shared" si="153"/>
        <v>36149230</v>
      </c>
      <c r="P87" s="110">
        <f t="shared" si="153"/>
        <v>36647883</v>
      </c>
      <c r="Q87" s="110">
        <f t="shared" si="153"/>
        <v>37180101</v>
      </c>
      <c r="R87" s="110">
        <f t="shared" si="153"/>
        <v>37673476</v>
      </c>
      <c r="S87" s="110">
        <f t="shared" si="153"/>
        <v>38117663</v>
      </c>
      <c r="T87" s="110">
        <f t="shared" si="153"/>
        <v>38229305</v>
      </c>
      <c r="U87" s="110">
        <f t="shared" si="153"/>
        <v>38421218</v>
      </c>
      <c r="V87" s="110">
        <f t="shared" si="153"/>
        <v>38467643</v>
      </c>
      <c r="W87" s="110">
        <f t="shared" ref="W87:Y87" si="154">SUM(W88:W93)</f>
        <v>38814659</v>
      </c>
      <c r="X87" s="110">
        <f t="shared" si="154"/>
        <v>38856492</v>
      </c>
      <c r="Y87" s="110">
        <f t="shared" si="154"/>
        <v>39258636</v>
      </c>
      <c r="DA87" s="176"/>
    </row>
    <row r="88" spans="1:105" ht="11.45" hidden="1" customHeight="1" x14ac:dyDescent="0.25">
      <c r="A88" s="111" t="s">
        <v>110</v>
      </c>
      <c r="B88" s="84">
        <v>18086443</v>
      </c>
      <c r="C88" s="84">
        <v>17700627</v>
      </c>
      <c r="D88" s="84">
        <v>17250179</v>
      </c>
      <c r="E88" s="84">
        <v>16768647</v>
      </c>
      <c r="F88" s="84">
        <v>16262618</v>
      </c>
      <c r="G88" s="84">
        <v>15720999</v>
      </c>
      <c r="H88" s="84">
        <v>15247017</v>
      </c>
      <c r="I88" s="84">
        <v>14783826</v>
      </c>
      <c r="J88" s="84">
        <v>14386759</v>
      </c>
      <c r="K88" s="84">
        <v>14043689</v>
      </c>
      <c r="L88" s="84">
        <v>13735839</v>
      </c>
      <c r="M88" s="84">
        <v>13397124</v>
      </c>
      <c r="N88" s="84">
        <v>13085232</v>
      </c>
      <c r="O88" s="84">
        <v>12957630</v>
      </c>
      <c r="P88" s="84">
        <v>12979782</v>
      </c>
      <c r="Q88" s="84">
        <v>13187804</v>
      </c>
      <c r="R88" s="84">
        <v>13533676</v>
      </c>
      <c r="S88" s="84">
        <v>14034890</v>
      </c>
      <c r="T88" s="84">
        <v>14658014</v>
      </c>
      <c r="U88" s="84">
        <v>15372042</v>
      </c>
      <c r="V88" s="84">
        <v>15788667</v>
      </c>
      <c r="W88" s="84">
        <v>16367202</v>
      </c>
      <c r="X88" s="84">
        <v>16837627</v>
      </c>
      <c r="Y88" s="84">
        <v>17478037</v>
      </c>
      <c r="DA88" s="171"/>
    </row>
    <row r="89" spans="1:105" ht="11.45" hidden="1" customHeight="1" x14ac:dyDescent="0.25">
      <c r="A89" s="111" t="s">
        <v>111</v>
      </c>
      <c r="B89" s="84">
        <v>9983557</v>
      </c>
      <c r="C89" s="84">
        <v>10821522</v>
      </c>
      <c r="D89" s="84">
        <v>11762119</v>
      </c>
      <c r="E89" s="84">
        <v>12681843</v>
      </c>
      <c r="F89" s="84">
        <v>13550519</v>
      </c>
      <c r="G89" s="84">
        <v>14317878</v>
      </c>
      <c r="H89" s="84">
        <v>15125088</v>
      </c>
      <c r="I89" s="84">
        <v>15912958</v>
      </c>
      <c r="J89" s="84">
        <v>17233800</v>
      </c>
      <c r="K89" s="84">
        <v>18556428</v>
      </c>
      <c r="L89" s="84">
        <v>19621210</v>
      </c>
      <c r="M89" s="84">
        <v>21625270</v>
      </c>
      <c r="N89" s="84">
        <v>22229392</v>
      </c>
      <c r="O89" s="84">
        <v>22988226</v>
      </c>
      <c r="P89" s="84">
        <v>23469050</v>
      </c>
      <c r="Q89" s="84">
        <v>23779488</v>
      </c>
      <c r="R89" s="84">
        <v>23905996</v>
      </c>
      <c r="S89" s="84">
        <v>23818127</v>
      </c>
      <c r="T89" s="84">
        <v>23258237</v>
      </c>
      <c r="U89" s="84">
        <v>22667514</v>
      </c>
      <c r="V89" s="84">
        <v>22103314</v>
      </c>
      <c r="W89" s="84">
        <v>21541996</v>
      </c>
      <c r="X89" s="84">
        <v>20741554</v>
      </c>
      <c r="Y89" s="84">
        <v>20082525</v>
      </c>
      <c r="DA89" s="171"/>
    </row>
    <row r="90" spans="1:105" ht="11.45" hidden="1" customHeight="1" x14ac:dyDescent="0.25">
      <c r="A90" s="111" t="s">
        <v>112</v>
      </c>
      <c r="B90" s="84">
        <v>343000</v>
      </c>
      <c r="C90" s="84">
        <v>322851</v>
      </c>
      <c r="D90" s="84">
        <v>293702</v>
      </c>
      <c r="E90" s="84">
        <v>257510</v>
      </c>
      <c r="F90" s="84">
        <v>234863</v>
      </c>
      <c r="G90" s="84">
        <v>209123</v>
      </c>
      <c r="H90" s="84">
        <v>184881</v>
      </c>
      <c r="I90" s="84">
        <v>159721</v>
      </c>
      <c r="J90" s="84">
        <v>185000</v>
      </c>
      <c r="K90" s="84">
        <v>190000</v>
      </c>
      <c r="L90" s="84">
        <v>195918</v>
      </c>
      <c r="M90" s="84">
        <v>223377</v>
      </c>
      <c r="N90" s="84">
        <v>207684</v>
      </c>
      <c r="O90" s="84">
        <v>184011</v>
      </c>
      <c r="P90" s="84">
        <v>169613</v>
      </c>
      <c r="Q90" s="84">
        <v>161929</v>
      </c>
      <c r="R90" s="84">
        <v>153985</v>
      </c>
      <c r="S90" s="84">
        <v>147128</v>
      </c>
      <c r="T90" s="84">
        <v>144435</v>
      </c>
      <c r="U90" s="84">
        <v>144469</v>
      </c>
      <c r="V90" s="84">
        <v>143788</v>
      </c>
      <c r="W90" s="84">
        <v>158723</v>
      </c>
      <c r="X90" s="84">
        <v>172911</v>
      </c>
      <c r="Y90" s="84">
        <v>202541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475</v>
      </c>
      <c r="J91" s="84">
        <v>920</v>
      </c>
      <c r="K91" s="84">
        <v>1284</v>
      </c>
      <c r="L91" s="84">
        <v>1429</v>
      </c>
      <c r="M91" s="84">
        <v>1567</v>
      </c>
      <c r="N91" s="84">
        <v>1681</v>
      </c>
      <c r="O91" s="84">
        <v>1732</v>
      </c>
      <c r="P91" s="84">
        <v>1761</v>
      </c>
      <c r="Q91" s="84">
        <v>1862</v>
      </c>
      <c r="R91" s="84">
        <v>2127</v>
      </c>
      <c r="S91" s="84">
        <v>2173</v>
      </c>
      <c r="T91" s="84">
        <v>2202</v>
      </c>
      <c r="U91" s="84">
        <v>2382</v>
      </c>
      <c r="V91" s="84">
        <v>2668</v>
      </c>
      <c r="W91" s="84">
        <v>2686</v>
      </c>
      <c r="X91" s="84">
        <v>2714</v>
      </c>
      <c r="Y91" s="84">
        <v>4849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668</v>
      </c>
      <c r="O92" s="84">
        <v>1466</v>
      </c>
      <c r="P92" s="84">
        <v>2985</v>
      </c>
      <c r="Q92" s="84">
        <v>8025</v>
      </c>
      <c r="R92" s="84">
        <v>14492</v>
      </c>
      <c r="S92" s="84">
        <v>25295</v>
      </c>
      <c r="T92" s="84">
        <v>38734</v>
      </c>
      <c r="U92" s="84">
        <v>57294</v>
      </c>
      <c r="V92" s="84">
        <v>132309</v>
      </c>
      <c r="W92" s="84">
        <v>273600</v>
      </c>
      <c r="X92" s="84">
        <v>411593</v>
      </c>
      <c r="Y92" s="84">
        <v>574602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14</v>
      </c>
      <c r="I93" s="84">
        <v>20</v>
      </c>
      <c r="J93" s="84">
        <v>2602</v>
      </c>
      <c r="K93" s="84">
        <v>2599</v>
      </c>
      <c r="L93" s="84">
        <v>2604</v>
      </c>
      <c r="M93" s="84">
        <v>5293</v>
      </c>
      <c r="N93" s="84">
        <v>7071</v>
      </c>
      <c r="O93" s="84">
        <v>16165</v>
      </c>
      <c r="P93" s="84">
        <v>24692</v>
      </c>
      <c r="Q93" s="84">
        <v>40993</v>
      </c>
      <c r="R93" s="84">
        <v>63200</v>
      </c>
      <c r="S93" s="84">
        <v>90050</v>
      </c>
      <c r="T93" s="84">
        <v>127683</v>
      </c>
      <c r="U93" s="84">
        <v>177517</v>
      </c>
      <c r="V93" s="84">
        <v>296897</v>
      </c>
      <c r="W93" s="84">
        <v>470452</v>
      </c>
      <c r="X93" s="84">
        <v>690093</v>
      </c>
      <c r="Y93" s="84">
        <v>916082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85749</v>
      </c>
      <c r="C94" s="110">
        <f t="shared" si="155"/>
        <v>86954</v>
      </c>
      <c r="D94" s="110">
        <f t="shared" ref="D94:V94" si="156">SUM(D95:D99)</f>
        <v>85876</v>
      </c>
      <c r="E94" s="110">
        <f t="shared" si="156"/>
        <v>87101</v>
      </c>
      <c r="F94" s="110">
        <f t="shared" si="156"/>
        <v>88417</v>
      </c>
      <c r="G94" s="110">
        <f t="shared" si="156"/>
        <v>90055</v>
      </c>
      <c r="H94" s="110">
        <f t="shared" si="156"/>
        <v>92152</v>
      </c>
      <c r="I94" s="110">
        <f t="shared" si="156"/>
        <v>94392</v>
      </c>
      <c r="J94" s="110">
        <f t="shared" si="156"/>
        <v>92874</v>
      </c>
      <c r="K94" s="110">
        <f t="shared" si="156"/>
        <v>90452</v>
      </c>
      <c r="L94" s="110">
        <f t="shared" si="156"/>
        <v>89685</v>
      </c>
      <c r="M94" s="110">
        <f t="shared" si="156"/>
        <v>91499</v>
      </c>
      <c r="N94" s="110">
        <f t="shared" si="156"/>
        <v>92767</v>
      </c>
      <c r="O94" s="110">
        <f t="shared" si="156"/>
        <v>88986</v>
      </c>
      <c r="P94" s="110">
        <f t="shared" si="156"/>
        <v>89823</v>
      </c>
      <c r="Q94" s="110">
        <f t="shared" si="156"/>
        <v>90065</v>
      </c>
      <c r="R94" s="110">
        <f t="shared" si="156"/>
        <v>91668</v>
      </c>
      <c r="S94" s="110">
        <f t="shared" si="156"/>
        <v>93050</v>
      </c>
      <c r="T94" s="110">
        <f t="shared" si="156"/>
        <v>94929</v>
      </c>
      <c r="U94" s="110">
        <f t="shared" si="156"/>
        <v>97568</v>
      </c>
      <c r="V94" s="110">
        <f t="shared" si="156"/>
        <v>100431</v>
      </c>
      <c r="W94" s="110">
        <f t="shared" ref="W94:Y94" si="157">SUM(W95:W99)</f>
        <v>103869</v>
      </c>
      <c r="X94" s="110">
        <f t="shared" si="157"/>
        <v>106199</v>
      </c>
      <c r="Y94" s="110">
        <f t="shared" si="157"/>
        <v>107178</v>
      </c>
      <c r="DA94" s="176"/>
    </row>
    <row r="95" spans="1:105" ht="11.45" hidden="1" customHeight="1" x14ac:dyDescent="0.25">
      <c r="A95" s="111" t="s">
        <v>110</v>
      </c>
      <c r="B95" s="102">
        <v>1273</v>
      </c>
      <c r="C95" s="102">
        <v>1208</v>
      </c>
      <c r="D95" s="102">
        <v>1138</v>
      </c>
      <c r="E95" s="102">
        <v>1062</v>
      </c>
      <c r="F95" s="102">
        <v>984</v>
      </c>
      <c r="G95" s="102">
        <v>903</v>
      </c>
      <c r="H95" s="102">
        <v>821</v>
      </c>
      <c r="I95" s="102">
        <v>740</v>
      </c>
      <c r="J95" s="102">
        <v>661</v>
      </c>
      <c r="K95" s="102">
        <v>584</v>
      </c>
      <c r="L95" s="102">
        <v>511</v>
      </c>
      <c r="M95" s="102">
        <v>441</v>
      </c>
      <c r="N95" s="102">
        <v>378</v>
      </c>
      <c r="O95" s="102">
        <v>319</v>
      </c>
      <c r="P95" s="102">
        <v>265</v>
      </c>
      <c r="Q95" s="102">
        <v>218</v>
      </c>
      <c r="R95" s="102">
        <v>217</v>
      </c>
      <c r="S95" s="102">
        <v>219</v>
      </c>
      <c r="T95" s="102">
        <v>218</v>
      </c>
      <c r="U95" s="102">
        <v>230</v>
      </c>
      <c r="V95" s="102">
        <v>250</v>
      </c>
      <c r="W95" s="102">
        <v>261</v>
      </c>
      <c r="X95" s="102">
        <v>221</v>
      </c>
      <c r="Y95" s="102">
        <v>186</v>
      </c>
      <c r="DA95" s="175"/>
    </row>
    <row r="96" spans="1:105" ht="11.45" hidden="1" customHeight="1" x14ac:dyDescent="0.25">
      <c r="A96" s="111" t="s">
        <v>111</v>
      </c>
      <c r="B96" s="102">
        <v>84165</v>
      </c>
      <c r="C96" s="102">
        <v>84948</v>
      </c>
      <c r="D96" s="102">
        <v>83869</v>
      </c>
      <c r="E96" s="102">
        <v>84940</v>
      </c>
      <c r="F96" s="102">
        <v>86174</v>
      </c>
      <c r="G96" s="102">
        <v>87802</v>
      </c>
      <c r="H96" s="102">
        <v>89866</v>
      </c>
      <c r="I96" s="102">
        <v>92009</v>
      </c>
      <c r="J96" s="102">
        <v>90377</v>
      </c>
      <c r="K96" s="102">
        <v>88073</v>
      </c>
      <c r="L96" s="102">
        <v>87431</v>
      </c>
      <c r="M96" s="102">
        <v>87172</v>
      </c>
      <c r="N96" s="102">
        <v>87958</v>
      </c>
      <c r="O96" s="102">
        <v>82883</v>
      </c>
      <c r="P96" s="102">
        <v>83418</v>
      </c>
      <c r="Q96" s="102">
        <v>83553</v>
      </c>
      <c r="R96" s="102">
        <v>85166</v>
      </c>
      <c r="S96" s="102">
        <v>86100</v>
      </c>
      <c r="T96" s="102">
        <v>86980</v>
      </c>
      <c r="U96" s="102">
        <v>87225</v>
      </c>
      <c r="V96" s="102">
        <v>86632</v>
      </c>
      <c r="W96" s="102">
        <v>85758</v>
      </c>
      <c r="X96" s="102">
        <v>84968</v>
      </c>
      <c r="Y96" s="102">
        <v>83367</v>
      </c>
      <c r="DA96" s="175"/>
    </row>
    <row r="97" spans="1:105" ht="11.45" hidden="1" customHeight="1" x14ac:dyDescent="0.25">
      <c r="A97" s="111" t="s">
        <v>112</v>
      </c>
      <c r="B97" s="102">
        <v>147</v>
      </c>
      <c r="C97" s="102">
        <v>175</v>
      </c>
      <c r="D97" s="102">
        <v>173</v>
      </c>
      <c r="E97" s="102">
        <v>183</v>
      </c>
      <c r="F97" s="102">
        <v>189</v>
      </c>
      <c r="G97" s="102">
        <v>191</v>
      </c>
      <c r="H97" s="102">
        <v>153</v>
      </c>
      <c r="I97" s="102">
        <v>180</v>
      </c>
      <c r="J97" s="102">
        <v>171</v>
      </c>
      <c r="K97" s="102">
        <v>163</v>
      </c>
      <c r="L97" s="102">
        <v>154</v>
      </c>
      <c r="M97" s="102">
        <v>144</v>
      </c>
      <c r="N97" s="102">
        <v>135</v>
      </c>
      <c r="O97" s="102">
        <v>126</v>
      </c>
      <c r="P97" s="102">
        <v>116</v>
      </c>
      <c r="Q97" s="102">
        <v>107</v>
      </c>
      <c r="R97" s="102">
        <v>102</v>
      </c>
      <c r="S97" s="102">
        <v>97</v>
      </c>
      <c r="T97" s="102">
        <v>92</v>
      </c>
      <c r="U97" s="102">
        <v>86</v>
      </c>
      <c r="V97" s="102">
        <v>81</v>
      </c>
      <c r="W97" s="102">
        <v>75</v>
      </c>
      <c r="X97" s="102">
        <v>66</v>
      </c>
      <c r="Y97" s="102">
        <v>57</v>
      </c>
      <c r="DA97" s="175"/>
    </row>
    <row r="98" spans="1:105" ht="11.45" hidden="1" customHeight="1" x14ac:dyDescent="0.25">
      <c r="A98" s="111" t="s">
        <v>113</v>
      </c>
      <c r="B98" s="102">
        <v>17</v>
      </c>
      <c r="C98" s="102">
        <v>459</v>
      </c>
      <c r="D98" s="102">
        <v>513</v>
      </c>
      <c r="E98" s="102">
        <v>718</v>
      </c>
      <c r="F98" s="102">
        <v>857</v>
      </c>
      <c r="G98" s="102">
        <v>948</v>
      </c>
      <c r="H98" s="102">
        <v>1106</v>
      </c>
      <c r="I98" s="102">
        <v>1263</v>
      </c>
      <c r="J98" s="102">
        <v>1471</v>
      </c>
      <c r="K98" s="102">
        <v>1448</v>
      </c>
      <c r="L98" s="102">
        <v>1416</v>
      </c>
      <c r="M98" s="102">
        <v>3579</v>
      </c>
      <c r="N98" s="102">
        <v>4115</v>
      </c>
      <c r="O98" s="102">
        <v>5378</v>
      </c>
      <c r="P98" s="102">
        <v>5720</v>
      </c>
      <c r="Q98" s="102">
        <v>5852</v>
      </c>
      <c r="R98" s="102">
        <v>5804</v>
      </c>
      <c r="S98" s="102">
        <v>6208</v>
      </c>
      <c r="T98" s="102">
        <v>7194</v>
      </c>
      <c r="U98" s="102">
        <v>9326</v>
      </c>
      <c r="V98" s="102">
        <v>12640</v>
      </c>
      <c r="W98" s="102">
        <v>16289</v>
      </c>
      <c r="X98" s="102">
        <v>18897</v>
      </c>
      <c r="Y98" s="102">
        <v>21094</v>
      </c>
      <c r="DA98" s="175"/>
    </row>
    <row r="99" spans="1:105" ht="11.45" hidden="1" customHeight="1" x14ac:dyDescent="0.25">
      <c r="A99" s="111" t="s">
        <v>115</v>
      </c>
      <c r="B99" s="102">
        <v>147</v>
      </c>
      <c r="C99" s="102">
        <v>164</v>
      </c>
      <c r="D99" s="102">
        <v>183</v>
      </c>
      <c r="E99" s="102">
        <v>198</v>
      </c>
      <c r="F99" s="102">
        <v>213</v>
      </c>
      <c r="G99" s="102">
        <v>211</v>
      </c>
      <c r="H99" s="102">
        <v>206</v>
      </c>
      <c r="I99" s="102">
        <v>200</v>
      </c>
      <c r="J99" s="102">
        <v>194</v>
      </c>
      <c r="K99" s="102">
        <v>184</v>
      </c>
      <c r="L99" s="102">
        <v>173</v>
      </c>
      <c r="M99" s="102">
        <v>163</v>
      </c>
      <c r="N99" s="102">
        <v>181</v>
      </c>
      <c r="O99" s="102">
        <v>280</v>
      </c>
      <c r="P99" s="102">
        <v>304</v>
      </c>
      <c r="Q99" s="102">
        <v>335</v>
      </c>
      <c r="R99" s="102">
        <v>379</v>
      </c>
      <c r="S99" s="102">
        <v>426</v>
      </c>
      <c r="T99" s="102">
        <v>445</v>
      </c>
      <c r="U99" s="102">
        <v>701</v>
      </c>
      <c r="V99" s="102">
        <v>828</v>
      </c>
      <c r="W99" s="102">
        <v>1486</v>
      </c>
      <c r="X99" s="102">
        <v>2047</v>
      </c>
      <c r="Y99" s="102">
        <v>2474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6414983</v>
      </c>
      <c r="C100" s="28">
        <f t="shared" si="158"/>
        <v>6475856</v>
      </c>
      <c r="D100" s="28">
        <f t="shared" ref="D100:V100" si="159">D101+D107</f>
        <v>6523343</v>
      </c>
      <c r="E100" s="28">
        <f t="shared" si="159"/>
        <v>6567335</v>
      </c>
      <c r="F100" s="28">
        <f t="shared" si="159"/>
        <v>6617551</v>
      </c>
      <c r="G100" s="28">
        <f t="shared" si="159"/>
        <v>6651068</v>
      </c>
      <c r="H100" s="28">
        <f t="shared" si="159"/>
        <v>6685234</v>
      </c>
      <c r="I100" s="28">
        <f t="shared" si="159"/>
        <v>6726304</v>
      </c>
      <c r="J100" s="28">
        <f t="shared" si="159"/>
        <v>6767892</v>
      </c>
      <c r="K100" s="28">
        <f t="shared" si="159"/>
        <v>6788227</v>
      </c>
      <c r="L100" s="28">
        <f t="shared" si="159"/>
        <v>6825311</v>
      </c>
      <c r="M100" s="28">
        <f t="shared" si="159"/>
        <v>6777891</v>
      </c>
      <c r="N100" s="28">
        <f t="shared" si="159"/>
        <v>6762060</v>
      </c>
      <c r="O100" s="28">
        <f t="shared" si="159"/>
        <v>6776905</v>
      </c>
      <c r="P100" s="28">
        <f t="shared" si="159"/>
        <v>6864275</v>
      </c>
      <c r="Q100" s="28">
        <f t="shared" si="159"/>
        <v>6895441</v>
      </c>
      <c r="R100" s="28">
        <f t="shared" si="159"/>
        <v>6878267</v>
      </c>
      <c r="S100" s="28">
        <f t="shared" si="159"/>
        <v>6832048</v>
      </c>
      <c r="T100" s="28">
        <f t="shared" si="159"/>
        <v>6833991</v>
      </c>
      <c r="U100" s="28">
        <f t="shared" si="159"/>
        <v>6824112</v>
      </c>
      <c r="V100" s="28">
        <f t="shared" si="159"/>
        <v>6819936</v>
      </c>
      <c r="W100" s="28">
        <f t="shared" ref="W100:Y100" si="160">W101+W107</f>
        <v>6846921</v>
      </c>
      <c r="X100" s="28">
        <f t="shared" si="160"/>
        <v>6865413</v>
      </c>
      <c r="Y100" s="28">
        <f t="shared" si="160"/>
        <v>6917096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5894666</v>
      </c>
      <c r="C101" s="137">
        <f t="shared" si="161"/>
        <v>5936465</v>
      </c>
      <c r="D101" s="137">
        <f t="shared" ref="D101:V101" si="162">SUM(D102:D106)</f>
        <v>5969141</v>
      </c>
      <c r="E101" s="137">
        <f t="shared" si="162"/>
        <v>6002578</v>
      </c>
      <c r="F101" s="137">
        <f t="shared" si="162"/>
        <v>6033918</v>
      </c>
      <c r="G101" s="137">
        <f t="shared" si="162"/>
        <v>6056108</v>
      </c>
      <c r="H101" s="137">
        <f t="shared" si="162"/>
        <v>6079536</v>
      </c>
      <c r="I101" s="137">
        <f t="shared" si="162"/>
        <v>6109204</v>
      </c>
      <c r="J101" s="137">
        <f t="shared" si="162"/>
        <v>6136275</v>
      </c>
      <c r="K101" s="137">
        <f t="shared" si="162"/>
        <v>6154035</v>
      </c>
      <c r="L101" s="137">
        <f t="shared" si="162"/>
        <v>6168004</v>
      </c>
      <c r="M101" s="137">
        <f t="shared" si="162"/>
        <v>6128783</v>
      </c>
      <c r="N101" s="137">
        <f t="shared" si="162"/>
        <v>6124619</v>
      </c>
      <c r="O101" s="137">
        <f t="shared" si="162"/>
        <v>6145325</v>
      </c>
      <c r="P101" s="137">
        <f t="shared" si="162"/>
        <v>6231811</v>
      </c>
      <c r="Q101" s="137">
        <f t="shared" si="162"/>
        <v>6270612</v>
      </c>
      <c r="R101" s="137">
        <f t="shared" si="162"/>
        <v>6257151</v>
      </c>
      <c r="S101" s="137">
        <f t="shared" si="162"/>
        <v>6204939</v>
      </c>
      <c r="T101" s="137">
        <f t="shared" si="162"/>
        <v>6201035</v>
      </c>
      <c r="U101" s="137">
        <f t="shared" si="162"/>
        <v>6179774</v>
      </c>
      <c r="V101" s="137">
        <f t="shared" si="162"/>
        <v>6179040</v>
      </c>
      <c r="W101" s="137">
        <f t="shared" ref="W101:Y101" si="163">SUM(W102:W106)</f>
        <v>6196224</v>
      </c>
      <c r="X101" s="137">
        <f t="shared" si="163"/>
        <v>6218463</v>
      </c>
      <c r="Y101" s="137">
        <f t="shared" si="163"/>
        <v>6270016</v>
      </c>
      <c r="DA101" s="174"/>
    </row>
    <row r="102" spans="1:105" ht="11.45" hidden="1" customHeight="1" x14ac:dyDescent="0.25">
      <c r="A102" s="111" t="s">
        <v>110</v>
      </c>
      <c r="B102" s="84">
        <v>770989</v>
      </c>
      <c r="C102" s="84">
        <v>643004</v>
      </c>
      <c r="D102" s="84">
        <v>536982</v>
      </c>
      <c r="E102" s="84">
        <v>431848</v>
      </c>
      <c r="F102" s="84">
        <v>346145</v>
      </c>
      <c r="G102" s="84">
        <v>291811</v>
      </c>
      <c r="H102" s="84">
        <v>249479</v>
      </c>
      <c r="I102" s="84">
        <v>221454</v>
      </c>
      <c r="J102" s="84">
        <v>210763</v>
      </c>
      <c r="K102" s="84">
        <v>196991</v>
      </c>
      <c r="L102" s="84">
        <v>218701</v>
      </c>
      <c r="M102" s="84">
        <v>244990</v>
      </c>
      <c r="N102" s="84">
        <v>272485</v>
      </c>
      <c r="O102" s="84">
        <v>303014</v>
      </c>
      <c r="P102" s="84">
        <v>286631</v>
      </c>
      <c r="Q102" s="84">
        <v>269150</v>
      </c>
      <c r="R102" s="84">
        <v>249615</v>
      </c>
      <c r="S102" s="84">
        <v>229737</v>
      </c>
      <c r="T102" s="84">
        <v>215964</v>
      </c>
      <c r="U102" s="84">
        <v>197030</v>
      </c>
      <c r="V102" s="84">
        <v>186775</v>
      </c>
      <c r="W102" s="84">
        <v>189436</v>
      </c>
      <c r="X102" s="84">
        <v>198094</v>
      </c>
      <c r="Y102" s="84">
        <v>224508</v>
      </c>
      <c r="DA102" s="171"/>
    </row>
    <row r="103" spans="1:105" ht="11.45" hidden="1" customHeight="1" x14ac:dyDescent="0.25">
      <c r="A103" s="111" t="s">
        <v>111</v>
      </c>
      <c r="B103" s="84">
        <v>5097990</v>
      </c>
      <c r="C103" s="84">
        <v>5265605</v>
      </c>
      <c r="D103" s="84">
        <v>5403184</v>
      </c>
      <c r="E103" s="84">
        <v>5540874</v>
      </c>
      <c r="F103" s="84">
        <v>5656919</v>
      </c>
      <c r="G103" s="84">
        <v>5732573</v>
      </c>
      <c r="H103" s="84">
        <v>5795993</v>
      </c>
      <c r="I103" s="84">
        <v>5858848</v>
      </c>
      <c r="J103" s="84">
        <v>5898297</v>
      </c>
      <c r="K103" s="84">
        <v>5928314</v>
      </c>
      <c r="L103" s="84">
        <v>5921846</v>
      </c>
      <c r="M103" s="84">
        <v>5854728</v>
      </c>
      <c r="N103" s="84">
        <v>5822576</v>
      </c>
      <c r="O103" s="84">
        <v>5809841</v>
      </c>
      <c r="P103" s="84">
        <v>5908457</v>
      </c>
      <c r="Q103" s="84">
        <v>5961617</v>
      </c>
      <c r="R103" s="84">
        <v>5961127</v>
      </c>
      <c r="S103" s="84">
        <v>5927457</v>
      </c>
      <c r="T103" s="84">
        <v>5921170</v>
      </c>
      <c r="U103" s="84">
        <v>5913355</v>
      </c>
      <c r="V103" s="84">
        <v>5914301</v>
      </c>
      <c r="W103" s="84">
        <v>5916628</v>
      </c>
      <c r="X103" s="84">
        <v>5918439</v>
      </c>
      <c r="Y103" s="84">
        <v>5919907</v>
      </c>
      <c r="DA103" s="171"/>
    </row>
    <row r="104" spans="1:105" ht="11.45" hidden="1" customHeight="1" x14ac:dyDescent="0.25">
      <c r="A104" s="111" t="s">
        <v>112</v>
      </c>
      <c r="B104" s="84">
        <v>21292</v>
      </c>
      <c r="C104" s="84">
        <v>22772</v>
      </c>
      <c r="D104" s="84">
        <v>23556</v>
      </c>
      <c r="E104" s="84">
        <v>24074</v>
      </c>
      <c r="F104" s="84">
        <v>24854</v>
      </c>
      <c r="G104" s="84">
        <v>25804</v>
      </c>
      <c r="H104" s="84">
        <v>27723</v>
      </c>
      <c r="I104" s="84">
        <v>22343</v>
      </c>
      <c r="J104" s="84">
        <v>21154</v>
      </c>
      <c r="K104" s="84">
        <v>22173</v>
      </c>
      <c r="L104" s="84">
        <v>21459</v>
      </c>
      <c r="M104" s="84">
        <v>20614</v>
      </c>
      <c r="N104" s="84">
        <v>19671</v>
      </c>
      <c r="O104" s="84">
        <v>19176</v>
      </c>
      <c r="P104" s="84">
        <v>18892</v>
      </c>
      <c r="Q104" s="84">
        <v>18600</v>
      </c>
      <c r="R104" s="84">
        <v>17950</v>
      </c>
      <c r="S104" s="84">
        <v>16763</v>
      </c>
      <c r="T104" s="84">
        <v>14218</v>
      </c>
      <c r="U104" s="84">
        <v>13000</v>
      </c>
      <c r="V104" s="84">
        <v>12000</v>
      </c>
      <c r="W104" s="84">
        <v>12000</v>
      </c>
      <c r="X104" s="84">
        <v>12000</v>
      </c>
      <c r="Y104" s="84">
        <v>13643</v>
      </c>
      <c r="DA104" s="171"/>
    </row>
    <row r="105" spans="1:105" ht="11.45" hidden="1" customHeight="1" x14ac:dyDescent="0.25">
      <c r="A105" s="111" t="s">
        <v>113</v>
      </c>
      <c r="B105" s="84">
        <v>300</v>
      </c>
      <c r="C105" s="84">
        <v>274</v>
      </c>
      <c r="D105" s="84">
        <v>281</v>
      </c>
      <c r="E105" s="84">
        <v>455</v>
      </c>
      <c r="F105" s="84">
        <v>437</v>
      </c>
      <c r="G105" s="84">
        <v>420</v>
      </c>
      <c r="H105" s="84">
        <v>859</v>
      </c>
      <c r="I105" s="84">
        <v>806</v>
      </c>
      <c r="J105" s="84">
        <v>826</v>
      </c>
      <c r="K105" s="84">
        <v>1011</v>
      </c>
      <c r="L105" s="84">
        <v>965</v>
      </c>
      <c r="M105" s="84">
        <v>1159</v>
      </c>
      <c r="N105" s="84">
        <v>1598</v>
      </c>
      <c r="O105" s="84">
        <v>2066</v>
      </c>
      <c r="P105" s="84">
        <v>2429</v>
      </c>
      <c r="Q105" s="84">
        <v>2746</v>
      </c>
      <c r="R105" s="84">
        <v>3083</v>
      </c>
      <c r="S105" s="84">
        <v>3448</v>
      </c>
      <c r="T105" s="84">
        <v>8906</v>
      </c>
      <c r="U105" s="84">
        <v>7762</v>
      </c>
      <c r="V105" s="84">
        <v>8461</v>
      </c>
      <c r="W105" s="84">
        <v>9252</v>
      </c>
      <c r="X105" s="84">
        <v>9252</v>
      </c>
      <c r="Y105" s="84">
        <v>9435</v>
      </c>
      <c r="DA105" s="171"/>
    </row>
    <row r="106" spans="1:105" ht="11.45" hidden="1" customHeight="1" x14ac:dyDescent="0.25">
      <c r="A106" s="111" t="s">
        <v>115</v>
      </c>
      <c r="B106" s="84">
        <v>4095</v>
      </c>
      <c r="C106" s="84">
        <v>4810</v>
      </c>
      <c r="D106" s="84">
        <v>5138</v>
      </c>
      <c r="E106" s="84">
        <v>5327</v>
      </c>
      <c r="F106" s="84">
        <v>5563</v>
      </c>
      <c r="G106" s="84">
        <v>5500</v>
      </c>
      <c r="H106" s="84">
        <v>5482</v>
      </c>
      <c r="I106" s="84">
        <v>5753</v>
      </c>
      <c r="J106" s="84">
        <v>5235</v>
      </c>
      <c r="K106" s="84">
        <v>5546</v>
      </c>
      <c r="L106" s="84">
        <v>5033</v>
      </c>
      <c r="M106" s="84">
        <v>7292</v>
      </c>
      <c r="N106" s="84">
        <v>8289</v>
      </c>
      <c r="O106" s="84">
        <v>11228</v>
      </c>
      <c r="P106" s="84">
        <v>15402</v>
      </c>
      <c r="Q106" s="84">
        <v>18499</v>
      </c>
      <c r="R106" s="84">
        <v>25376</v>
      </c>
      <c r="S106" s="84">
        <v>27534</v>
      </c>
      <c r="T106" s="84">
        <v>40777</v>
      </c>
      <c r="U106" s="84">
        <v>48627</v>
      </c>
      <c r="V106" s="84">
        <v>57503</v>
      </c>
      <c r="W106" s="84">
        <v>68908</v>
      </c>
      <c r="X106" s="84">
        <v>80678</v>
      </c>
      <c r="Y106" s="84">
        <v>102523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520317</v>
      </c>
      <c r="C107" s="110">
        <f t="shared" si="164"/>
        <v>539391</v>
      </c>
      <c r="D107" s="110">
        <f t="shared" ref="D107:V107" si="165">SUM(D108:D109)</f>
        <v>554202</v>
      </c>
      <c r="E107" s="110">
        <f t="shared" si="165"/>
        <v>564757</v>
      </c>
      <c r="F107" s="110">
        <f t="shared" si="165"/>
        <v>583633</v>
      </c>
      <c r="G107" s="110">
        <f t="shared" si="165"/>
        <v>594960</v>
      </c>
      <c r="H107" s="110">
        <f t="shared" si="165"/>
        <v>605698</v>
      </c>
      <c r="I107" s="110">
        <f t="shared" si="165"/>
        <v>617100</v>
      </c>
      <c r="J107" s="110">
        <f t="shared" si="165"/>
        <v>631617</v>
      </c>
      <c r="K107" s="110">
        <f t="shared" si="165"/>
        <v>634192</v>
      </c>
      <c r="L107" s="110">
        <f t="shared" si="165"/>
        <v>657307</v>
      </c>
      <c r="M107" s="110">
        <f t="shared" si="165"/>
        <v>649108</v>
      </c>
      <c r="N107" s="110">
        <f t="shared" si="165"/>
        <v>637441</v>
      </c>
      <c r="O107" s="110">
        <f t="shared" si="165"/>
        <v>631580</v>
      </c>
      <c r="P107" s="110">
        <f t="shared" si="165"/>
        <v>632464</v>
      </c>
      <c r="Q107" s="110">
        <f t="shared" si="165"/>
        <v>624829</v>
      </c>
      <c r="R107" s="110">
        <f t="shared" si="165"/>
        <v>621116</v>
      </c>
      <c r="S107" s="110">
        <f t="shared" si="165"/>
        <v>627109</v>
      </c>
      <c r="T107" s="110">
        <f t="shared" si="165"/>
        <v>632956</v>
      </c>
      <c r="U107" s="110">
        <f t="shared" si="165"/>
        <v>644338</v>
      </c>
      <c r="V107" s="110">
        <f t="shared" si="165"/>
        <v>640896</v>
      </c>
      <c r="W107" s="110">
        <f t="shared" ref="W107:Y107" si="166">SUM(W108:W109)</f>
        <v>650697</v>
      </c>
      <c r="X107" s="110">
        <f t="shared" si="166"/>
        <v>646950</v>
      </c>
      <c r="Y107" s="110">
        <f t="shared" si="166"/>
        <v>647080</v>
      </c>
      <c r="DA107" s="176"/>
    </row>
    <row r="108" spans="1:105" ht="11.45" hidden="1" customHeight="1" x14ac:dyDescent="0.25">
      <c r="A108" s="128" t="s">
        <v>27</v>
      </c>
      <c r="B108" s="102">
        <v>450511</v>
      </c>
      <c r="C108" s="102">
        <v>464550</v>
      </c>
      <c r="D108" s="102">
        <v>475467</v>
      </c>
      <c r="E108" s="102">
        <v>484281</v>
      </c>
      <c r="F108" s="102">
        <v>488482</v>
      </c>
      <c r="G108" s="102">
        <v>496463</v>
      </c>
      <c r="H108" s="102">
        <v>504510</v>
      </c>
      <c r="I108" s="102">
        <v>513800</v>
      </c>
      <c r="J108" s="102">
        <v>530546</v>
      </c>
      <c r="K108" s="102">
        <v>543610</v>
      </c>
      <c r="L108" s="102">
        <v>565367</v>
      </c>
      <c r="M108" s="102">
        <v>561592</v>
      </c>
      <c r="N108" s="102">
        <v>551745</v>
      </c>
      <c r="O108" s="102">
        <v>541478</v>
      </c>
      <c r="P108" s="102">
        <v>541972</v>
      </c>
      <c r="Q108" s="102">
        <v>532479</v>
      </c>
      <c r="R108" s="102">
        <v>524556</v>
      </c>
      <c r="S108" s="102">
        <v>524711</v>
      </c>
      <c r="T108" s="102">
        <v>531490</v>
      </c>
      <c r="U108" s="102">
        <v>538233</v>
      </c>
      <c r="V108" s="102">
        <v>537404</v>
      </c>
      <c r="W108" s="102">
        <v>539871</v>
      </c>
      <c r="X108" s="102">
        <v>537138</v>
      </c>
      <c r="Y108" s="102">
        <v>539652</v>
      </c>
      <c r="DA108" s="175"/>
    </row>
    <row r="109" spans="1:105" ht="11.45" hidden="1" customHeight="1" x14ac:dyDescent="0.25">
      <c r="A109" s="138" t="s">
        <v>116</v>
      </c>
      <c r="B109" s="86">
        <v>69806</v>
      </c>
      <c r="C109" s="86">
        <v>74841</v>
      </c>
      <c r="D109" s="86">
        <v>78735</v>
      </c>
      <c r="E109" s="86">
        <v>80476</v>
      </c>
      <c r="F109" s="86">
        <v>95151</v>
      </c>
      <c r="G109" s="86">
        <v>98497</v>
      </c>
      <c r="H109" s="86">
        <v>101188</v>
      </c>
      <c r="I109" s="86">
        <v>103300</v>
      </c>
      <c r="J109" s="86">
        <v>101071</v>
      </c>
      <c r="K109" s="86">
        <v>90582</v>
      </c>
      <c r="L109" s="86">
        <v>91940</v>
      </c>
      <c r="M109" s="86">
        <v>87516</v>
      </c>
      <c r="N109" s="86">
        <v>85696</v>
      </c>
      <c r="O109" s="86">
        <v>90102</v>
      </c>
      <c r="P109" s="86">
        <v>90492</v>
      </c>
      <c r="Q109" s="86">
        <v>92350</v>
      </c>
      <c r="R109" s="86">
        <v>96560</v>
      </c>
      <c r="S109" s="86">
        <v>102398</v>
      </c>
      <c r="T109" s="86">
        <v>101466</v>
      </c>
      <c r="U109" s="86">
        <v>106105</v>
      </c>
      <c r="V109" s="86">
        <v>103492</v>
      </c>
      <c r="W109" s="86">
        <v>110826</v>
      </c>
      <c r="X109" s="86">
        <v>109812</v>
      </c>
      <c r="Y109" s="86">
        <v>107428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2765708</v>
      </c>
      <c r="C111" s="54">
        <f t="shared" si="167"/>
        <v>2910911</v>
      </c>
      <c r="D111" s="54">
        <f t="shared" si="167"/>
        <v>2755246</v>
      </c>
      <c r="E111" s="54">
        <f t="shared" si="167"/>
        <v>2629491</v>
      </c>
      <c r="F111" s="54">
        <f t="shared" si="167"/>
        <v>2719964</v>
      </c>
      <c r="G111" s="54">
        <f t="shared" si="167"/>
        <v>2775358</v>
      </c>
      <c r="H111" s="54">
        <f t="shared" si="167"/>
        <v>2753268</v>
      </c>
      <c r="I111" s="54">
        <f t="shared" si="167"/>
        <v>2852874</v>
      </c>
      <c r="J111" s="54">
        <f t="shared" si="167"/>
        <v>2831949</v>
      </c>
      <c r="K111" s="54">
        <f t="shared" si="167"/>
        <v>3000732</v>
      </c>
      <c r="L111" s="54">
        <f t="shared" ref="L111" si="168">L112+L127</f>
        <v>2968057</v>
      </c>
      <c r="M111" s="54">
        <f t="shared" ref="M111:V111" si="169">M112+M127</f>
        <v>3309559</v>
      </c>
      <c r="N111" s="54">
        <f t="shared" si="169"/>
        <v>2621189</v>
      </c>
      <c r="O111" s="54">
        <f t="shared" si="169"/>
        <v>2566682</v>
      </c>
      <c r="P111" s="54">
        <f t="shared" si="169"/>
        <v>2636712</v>
      </c>
      <c r="Q111" s="54">
        <f t="shared" si="169"/>
        <v>2777032</v>
      </c>
      <c r="R111" s="54">
        <f t="shared" si="169"/>
        <v>2890906</v>
      </c>
      <c r="S111" s="54">
        <f t="shared" si="169"/>
        <v>2955253</v>
      </c>
      <c r="T111" s="54">
        <f t="shared" si="169"/>
        <v>3097100</v>
      </c>
      <c r="U111" s="54">
        <f t="shared" si="169"/>
        <v>3116436</v>
      </c>
      <c r="V111" s="54">
        <f t="shared" si="169"/>
        <v>2543352</v>
      </c>
      <c r="W111" s="54">
        <f t="shared" ref="W111:Y111" si="170">W112+W127</f>
        <v>2749145</v>
      </c>
      <c r="X111" s="54">
        <f t="shared" si="170"/>
        <v>2779891</v>
      </c>
      <c r="Y111" s="54">
        <f t="shared" si="170"/>
        <v>3099249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2313057</v>
      </c>
      <c r="C112" s="28">
        <f t="shared" si="171"/>
        <v>2440833</v>
      </c>
      <c r="D112" s="28">
        <f t="shared" si="171"/>
        <v>2320021</v>
      </c>
      <c r="E112" s="28">
        <f t="shared" si="171"/>
        <v>2211158</v>
      </c>
      <c r="F112" s="28">
        <f t="shared" si="171"/>
        <v>2243271</v>
      </c>
      <c r="G112" s="28">
        <f t="shared" si="171"/>
        <v>2314254</v>
      </c>
      <c r="H112" s="28">
        <f t="shared" si="171"/>
        <v>2280901</v>
      </c>
      <c r="I112" s="28">
        <f t="shared" si="171"/>
        <v>2361165</v>
      </c>
      <c r="J112" s="28">
        <f t="shared" si="171"/>
        <v>2344424</v>
      </c>
      <c r="K112" s="28">
        <f t="shared" si="171"/>
        <v>2530512</v>
      </c>
      <c r="L112" s="28">
        <f t="shared" ref="L112" si="172">L113+L114+L121</f>
        <v>2496128</v>
      </c>
      <c r="M112" s="28">
        <f t="shared" ref="M112:V112" si="173">M113+M114+M121</f>
        <v>2861194</v>
      </c>
      <c r="N112" s="28">
        <f t="shared" si="173"/>
        <v>2160678</v>
      </c>
      <c r="O112" s="28">
        <f t="shared" si="173"/>
        <v>2065554</v>
      </c>
      <c r="P112" s="28">
        <f t="shared" si="173"/>
        <v>2063152</v>
      </c>
      <c r="Q112" s="28">
        <f t="shared" si="173"/>
        <v>2246599</v>
      </c>
      <c r="R112" s="28">
        <f t="shared" si="173"/>
        <v>2409371</v>
      </c>
      <c r="S112" s="28">
        <f t="shared" si="173"/>
        <v>2506559</v>
      </c>
      <c r="T112" s="28">
        <f t="shared" si="173"/>
        <v>2611985</v>
      </c>
      <c r="U112" s="28">
        <f t="shared" si="173"/>
        <v>2639790</v>
      </c>
      <c r="V112" s="28">
        <f t="shared" si="173"/>
        <v>2140792</v>
      </c>
      <c r="W112" s="28">
        <f t="shared" ref="W112:Y112" si="174">W113+W114+W121</f>
        <v>2324396</v>
      </c>
      <c r="X112" s="28">
        <f t="shared" si="174"/>
        <v>2279182</v>
      </c>
      <c r="Y112" s="28">
        <f t="shared" si="174"/>
        <v>2571671</v>
      </c>
      <c r="DA112" s="173" t="s">
        <v>527</v>
      </c>
    </row>
    <row r="113" spans="1:105" ht="11.45" customHeight="1" x14ac:dyDescent="0.25">
      <c r="A113" s="136" t="s">
        <v>173</v>
      </c>
      <c r="B113" s="137">
        <v>180536</v>
      </c>
      <c r="C113" s="137">
        <v>180425</v>
      </c>
      <c r="D113" s="137">
        <v>169587</v>
      </c>
      <c r="E113" s="137">
        <v>196928</v>
      </c>
      <c r="F113" s="137">
        <v>224696</v>
      </c>
      <c r="G113" s="137">
        <v>241023</v>
      </c>
      <c r="H113" s="137">
        <v>274502</v>
      </c>
      <c r="I113" s="137">
        <v>290446</v>
      </c>
      <c r="J113" s="137">
        <v>287398</v>
      </c>
      <c r="K113" s="137">
        <v>254067</v>
      </c>
      <c r="L113" s="137">
        <v>231020</v>
      </c>
      <c r="M113" s="137">
        <v>215309</v>
      </c>
      <c r="N113" s="137">
        <v>197455</v>
      </c>
      <c r="O113" s="137">
        <v>172383</v>
      </c>
      <c r="P113" s="137">
        <v>175894</v>
      </c>
      <c r="Q113" s="137">
        <v>173432</v>
      </c>
      <c r="R113" s="137">
        <v>182650</v>
      </c>
      <c r="S113" s="137">
        <v>170849</v>
      </c>
      <c r="T113" s="137">
        <v>183669</v>
      </c>
      <c r="U113" s="137">
        <v>202204</v>
      </c>
      <c r="V113" s="137">
        <v>181882</v>
      </c>
      <c r="W113" s="137">
        <v>206955</v>
      </c>
      <c r="X113" s="137">
        <v>193356</v>
      </c>
      <c r="Y113" s="137">
        <v>206951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2127334</v>
      </c>
      <c r="C114" s="110">
        <f t="shared" si="175"/>
        <v>2254732</v>
      </c>
      <c r="D114" s="110">
        <f t="shared" si="175"/>
        <v>2145071</v>
      </c>
      <c r="E114" s="110">
        <f t="shared" si="175"/>
        <v>2009246</v>
      </c>
      <c r="F114" s="110">
        <f t="shared" si="175"/>
        <v>2013709</v>
      </c>
      <c r="G114" s="110">
        <f t="shared" si="175"/>
        <v>2067789.0000000002</v>
      </c>
      <c r="H114" s="110">
        <f t="shared" si="175"/>
        <v>2000549</v>
      </c>
      <c r="I114" s="110">
        <f t="shared" si="175"/>
        <v>2064543</v>
      </c>
      <c r="J114" s="110">
        <f t="shared" si="175"/>
        <v>2050283</v>
      </c>
      <c r="K114" s="110">
        <f t="shared" si="175"/>
        <v>2269011</v>
      </c>
      <c r="L114" s="110">
        <f t="shared" ref="L114" si="176">SUM(L115:L120)</f>
        <v>2259208</v>
      </c>
      <c r="M114" s="110">
        <f t="shared" ref="M114:V114" si="177">SUM(M115:M120)</f>
        <v>2639085</v>
      </c>
      <c r="N114" s="110">
        <f t="shared" si="177"/>
        <v>1956649</v>
      </c>
      <c r="O114" s="110">
        <f t="shared" si="177"/>
        <v>1884803</v>
      </c>
      <c r="P114" s="110">
        <f t="shared" si="177"/>
        <v>1880149</v>
      </c>
      <c r="Q114" s="110">
        <f t="shared" si="177"/>
        <v>2065823</v>
      </c>
      <c r="R114" s="110">
        <f t="shared" si="177"/>
        <v>2219435</v>
      </c>
      <c r="S114" s="110">
        <f t="shared" si="177"/>
        <v>2328220</v>
      </c>
      <c r="T114" s="110">
        <f t="shared" si="177"/>
        <v>2420184</v>
      </c>
      <c r="U114" s="110">
        <f t="shared" si="177"/>
        <v>2428130</v>
      </c>
      <c r="V114" s="110">
        <f t="shared" si="177"/>
        <v>1948160</v>
      </c>
      <c r="W114" s="110">
        <f t="shared" ref="W114:Y114" si="178">SUM(W115:W120)</f>
        <v>2106008</v>
      </c>
      <c r="X114" s="110">
        <f t="shared" si="178"/>
        <v>2075392</v>
      </c>
      <c r="Y114" s="110">
        <f t="shared" si="178"/>
        <v>2354244</v>
      </c>
      <c r="DA114" s="176" t="s">
        <v>529</v>
      </c>
    </row>
    <row r="115" spans="1:105" ht="11.45" customHeight="1" x14ac:dyDescent="0.25">
      <c r="A115" s="111" t="s">
        <v>110</v>
      </c>
      <c r="B115" s="84">
        <v>1080849</v>
      </c>
      <c r="C115" s="84">
        <v>966844</v>
      </c>
      <c r="D115" s="84">
        <v>790138</v>
      </c>
      <c r="E115" s="84">
        <v>655332</v>
      </c>
      <c r="F115" s="84">
        <v>620784</v>
      </c>
      <c r="G115" s="84">
        <v>638752.00000000023</v>
      </c>
      <c r="H115" s="84">
        <v>572838</v>
      </c>
      <c r="I115" s="84">
        <v>538623</v>
      </c>
      <c r="J115" s="84">
        <v>431337</v>
      </c>
      <c r="K115" s="84">
        <v>645250</v>
      </c>
      <c r="L115" s="84">
        <v>590071</v>
      </c>
      <c r="M115" s="84">
        <v>599265</v>
      </c>
      <c r="N115" s="84">
        <v>530542</v>
      </c>
      <c r="O115" s="84">
        <v>625803</v>
      </c>
      <c r="P115" s="84">
        <v>677504</v>
      </c>
      <c r="Q115" s="84">
        <v>839442</v>
      </c>
      <c r="R115" s="84">
        <v>1015348</v>
      </c>
      <c r="S115" s="84">
        <v>1186390</v>
      </c>
      <c r="T115" s="84">
        <v>1420679</v>
      </c>
      <c r="U115" s="84">
        <v>1512278</v>
      </c>
      <c r="V115" s="84">
        <v>1120357</v>
      </c>
      <c r="W115" s="84">
        <v>1262553</v>
      </c>
      <c r="X115" s="84">
        <v>1320639</v>
      </c>
      <c r="Y115" s="84">
        <v>1566065</v>
      </c>
      <c r="DA115" s="171" t="s">
        <v>530</v>
      </c>
    </row>
    <row r="116" spans="1:105" ht="11.45" customHeight="1" x14ac:dyDescent="0.25">
      <c r="A116" s="111" t="s">
        <v>111</v>
      </c>
      <c r="B116" s="84">
        <v>1046485</v>
      </c>
      <c r="C116" s="84">
        <v>1267761</v>
      </c>
      <c r="D116" s="84">
        <v>1354933</v>
      </c>
      <c r="E116" s="84">
        <v>1353914</v>
      </c>
      <c r="F116" s="84">
        <v>1392925</v>
      </c>
      <c r="G116" s="84">
        <v>1429037</v>
      </c>
      <c r="H116" s="84">
        <v>1427697</v>
      </c>
      <c r="I116" s="84">
        <v>1525439</v>
      </c>
      <c r="J116" s="84">
        <v>1584438</v>
      </c>
      <c r="K116" s="84">
        <v>1598535</v>
      </c>
      <c r="L116" s="84">
        <v>1593402</v>
      </c>
      <c r="M116" s="84">
        <v>2004071</v>
      </c>
      <c r="N116" s="84">
        <v>1417436</v>
      </c>
      <c r="O116" s="84">
        <v>1246310</v>
      </c>
      <c r="P116" s="84">
        <v>1187395</v>
      </c>
      <c r="Q116" s="84">
        <v>1201315</v>
      </c>
      <c r="R116" s="84">
        <v>1171962</v>
      </c>
      <c r="S116" s="84">
        <v>1101724</v>
      </c>
      <c r="T116" s="84">
        <v>944522</v>
      </c>
      <c r="U116" s="84">
        <v>843594</v>
      </c>
      <c r="V116" s="84">
        <v>614816</v>
      </c>
      <c r="W116" s="84">
        <v>480007</v>
      </c>
      <c r="X116" s="84">
        <v>333379</v>
      </c>
      <c r="Y116" s="84">
        <v>246013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20127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31455</v>
      </c>
      <c r="K117" s="84">
        <v>24821</v>
      </c>
      <c r="L117" s="84">
        <v>75405</v>
      </c>
      <c r="M117" s="84">
        <v>32879</v>
      </c>
      <c r="N117" s="84">
        <v>2185</v>
      </c>
      <c r="O117" s="84">
        <v>2647</v>
      </c>
      <c r="P117" s="84">
        <v>2154</v>
      </c>
      <c r="Q117" s="84">
        <v>1422</v>
      </c>
      <c r="R117" s="84">
        <v>544</v>
      </c>
      <c r="S117" s="84">
        <v>942</v>
      </c>
      <c r="T117" s="84">
        <v>2163</v>
      </c>
      <c r="U117" s="84">
        <v>2748</v>
      </c>
      <c r="V117" s="84">
        <v>16450</v>
      </c>
      <c r="W117" s="84">
        <v>46414</v>
      </c>
      <c r="X117" s="84">
        <v>60881</v>
      </c>
      <c r="Y117" s="84">
        <v>63540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475</v>
      </c>
      <c r="J118" s="84">
        <v>471</v>
      </c>
      <c r="K118" s="84">
        <v>393</v>
      </c>
      <c r="L118" s="84">
        <v>178</v>
      </c>
      <c r="M118" s="84">
        <v>170</v>
      </c>
      <c r="N118" s="84">
        <v>155</v>
      </c>
      <c r="O118" s="84">
        <v>106</v>
      </c>
      <c r="P118" s="84">
        <v>92</v>
      </c>
      <c r="Q118" s="84">
        <v>177</v>
      </c>
      <c r="R118" s="84">
        <v>1208</v>
      </c>
      <c r="S118" s="84">
        <v>237</v>
      </c>
      <c r="T118" s="84">
        <v>257</v>
      </c>
      <c r="U118" s="84">
        <v>353</v>
      </c>
      <c r="V118" s="84">
        <v>416</v>
      </c>
      <c r="W118" s="84">
        <v>473</v>
      </c>
      <c r="X118" s="84">
        <v>132</v>
      </c>
      <c r="Y118" s="84">
        <v>4849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668</v>
      </c>
      <c r="O119" s="84">
        <v>810</v>
      </c>
      <c r="P119" s="84">
        <v>1865</v>
      </c>
      <c r="Q119" s="84">
        <v>5726</v>
      </c>
      <c r="R119" s="84">
        <v>7362</v>
      </c>
      <c r="S119" s="84">
        <v>11801</v>
      </c>
      <c r="T119" s="84">
        <v>14507</v>
      </c>
      <c r="U119" s="84">
        <v>18698</v>
      </c>
      <c r="V119" s="84">
        <v>75839</v>
      </c>
      <c r="W119" s="84">
        <v>141688</v>
      </c>
      <c r="X119" s="84">
        <v>138741</v>
      </c>
      <c r="Y119" s="84">
        <v>164349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14</v>
      </c>
      <c r="I120" s="84">
        <v>6</v>
      </c>
      <c r="J120" s="84">
        <v>2582</v>
      </c>
      <c r="K120" s="84">
        <v>12</v>
      </c>
      <c r="L120" s="84">
        <v>152</v>
      </c>
      <c r="M120" s="84">
        <v>2700</v>
      </c>
      <c r="N120" s="84">
        <v>5663</v>
      </c>
      <c r="O120" s="84">
        <v>9127</v>
      </c>
      <c r="P120" s="84">
        <v>11139</v>
      </c>
      <c r="Q120" s="84">
        <v>17741</v>
      </c>
      <c r="R120" s="84">
        <v>23011</v>
      </c>
      <c r="S120" s="84">
        <v>27126</v>
      </c>
      <c r="T120" s="84">
        <v>38056</v>
      </c>
      <c r="U120" s="84">
        <v>50459</v>
      </c>
      <c r="V120" s="84">
        <v>120282</v>
      </c>
      <c r="W120" s="84">
        <v>174873</v>
      </c>
      <c r="X120" s="84">
        <v>221620</v>
      </c>
      <c r="Y120" s="84">
        <v>309428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5187</v>
      </c>
      <c r="C121" s="110">
        <f t="shared" si="179"/>
        <v>5676</v>
      </c>
      <c r="D121" s="110">
        <f t="shared" si="179"/>
        <v>5363</v>
      </c>
      <c r="E121" s="110">
        <f t="shared" si="179"/>
        <v>4984</v>
      </c>
      <c r="F121" s="110">
        <f t="shared" si="179"/>
        <v>4866</v>
      </c>
      <c r="G121" s="110">
        <f t="shared" si="179"/>
        <v>5442</v>
      </c>
      <c r="H121" s="110">
        <f t="shared" si="179"/>
        <v>5850</v>
      </c>
      <c r="I121" s="110">
        <f t="shared" si="179"/>
        <v>6176</v>
      </c>
      <c r="J121" s="110">
        <f t="shared" si="179"/>
        <v>6743</v>
      </c>
      <c r="K121" s="110">
        <f t="shared" si="179"/>
        <v>7434</v>
      </c>
      <c r="L121" s="110">
        <f t="shared" ref="L121" si="180">SUM(L122:L126)</f>
        <v>5900</v>
      </c>
      <c r="M121" s="110">
        <f t="shared" ref="M121:V121" si="181">SUM(M122:M126)</f>
        <v>6800</v>
      </c>
      <c r="N121" s="110">
        <f t="shared" si="181"/>
        <v>6574</v>
      </c>
      <c r="O121" s="110">
        <f t="shared" si="181"/>
        <v>8368</v>
      </c>
      <c r="P121" s="110">
        <f t="shared" si="181"/>
        <v>7109</v>
      </c>
      <c r="Q121" s="110">
        <f t="shared" si="181"/>
        <v>7344</v>
      </c>
      <c r="R121" s="110">
        <f t="shared" si="181"/>
        <v>7286</v>
      </c>
      <c r="S121" s="110">
        <f t="shared" si="181"/>
        <v>7490</v>
      </c>
      <c r="T121" s="110">
        <f t="shared" si="181"/>
        <v>8132</v>
      </c>
      <c r="U121" s="110">
        <f t="shared" si="181"/>
        <v>9456</v>
      </c>
      <c r="V121" s="110">
        <f t="shared" si="181"/>
        <v>10750</v>
      </c>
      <c r="W121" s="110">
        <f t="shared" ref="W121:Y121" si="182">SUM(W122:W126)</f>
        <v>11433</v>
      </c>
      <c r="X121" s="110">
        <f t="shared" si="182"/>
        <v>10434</v>
      </c>
      <c r="Y121" s="110">
        <f t="shared" si="182"/>
        <v>10476</v>
      </c>
      <c r="DA121" s="176" t="s">
        <v>536</v>
      </c>
    </row>
    <row r="122" spans="1:105" ht="11.45" customHeight="1" x14ac:dyDescent="0.25">
      <c r="A122" s="111" t="s">
        <v>110</v>
      </c>
      <c r="B122" s="102">
        <v>3</v>
      </c>
      <c r="C122" s="102">
        <v>5</v>
      </c>
      <c r="D122" s="102">
        <v>4</v>
      </c>
      <c r="E122" s="102">
        <v>1</v>
      </c>
      <c r="F122" s="102">
        <v>1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1</v>
      </c>
      <c r="O122" s="102">
        <v>0</v>
      </c>
      <c r="P122" s="102">
        <v>0</v>
      </c>
      <c r="Q122" s="102">
        <v>0</v>
      </c>
      <c r="R122" s="102">
        <v>0</v>
      </c>
      <c r="S122" s="102">
        <v>2</v>
      </c>
      <c r="T122" s="102">
        <v>0</v>
      </c>
      <c r="U122" s="102">
        <v>13</v>
      </c>
      <c r="V122" s="102">
        <v>21</v>
      </c>
      <c r="W122" s="102">
        <v>11</v>
      </c>
      <c r="X122" s="102">
        <v>2</v>
      </c>
      <c r="Y122" s="102">
        <v>1</v>
      </c>
      <c r="DA122" s="175" t="s">
        <v>537</v>
      </c>
    </row>
    <row r="123" spans="1:105" ht="11.45" customHeight="1" x14ac:dyDescent="0.25">
      <c r="A123" s="111" t="s">
        <v>111</v>
      </c>
      <c r="B123" s="102">
        <v>5126</v>
      </c>
      <c r="C123" s="102">
        <v>5177</v>
      </c>
      <c r="D123" s="102">
        <v>5276</v>
      </c>
      <c r="E123" s="102">
        <v>4742</v>
      </c>
      <c r="F123" s="102">
        <v>4691</v>
      </c>
      <c r="G123" s="102">
        <v>5328</v>
      </c>
      <c r="H123" s="102">
        <v>5675</v>
      </c>
      <c r="I123" s="102">
        <v>5963</v>
      </c>
      <c r="J123" s="102">
        <v>6510</v>
      </c>
      <c r="K123" s="102">
        <v>7428</v>
      </c>
      <c r="L123" s="102">
        <v>5900</v>
      </c>
      <c r="M123" s="102">
        <v>4600</v>
      </c>
      <c r="N123" s="102">
        <v>5959</v>
      </c>
      <c r="O123" s="102">
        <v>6942</v>
      </c>
      <c r="P123" s="102">
        <v>6644</v>
      </c>
      <c r="Q123" s="102">
        <v>7061</v>
      </c>
      <c r="R123" s="102">
        <v>7132</v>
      </c>
      <c r="S123" s="102">
        <v>6837</v>
      </c>
      <c r="T123" s="102">
        <v>6886</v>
      </c>
      <c r="U123" s="102">
        <v>6834</v>
      </c>
      <c r="V123" s="102">
        <v>7018</v>
      </c>
      <c r="W123" s="102">
        <v>6847</v>
      </c>
      <c r="X123" s="102">
        <v>6723</v>
      </c>
      <c r="Y123" s="102">
        <v>7157</v>
      </c>
      <c r="DA123" s="175" t="s">
        <v>538</v>
      </c>
    </row>
    <row r="124" spans="1:105" ht="11.45" customHeight="1" x14ac:dyDescent="0.25">
      <c r="A124" s="111" t="s">
        <v>112</v>
      </c>
      <c r="B124" s="102">
        <v>28</v>
      </c>
      <c r="C124" s="102">
        <v>28</v>
      </c>
      <c r="D124" s="102">
        <v>1</v>
      </c>
      <c r="E124" s="102">
        <v>10</v>
      </c>
      <c r="F124" s="102">
        <v>6</v>
      </c>
      <c r="G124" s="102">
        <v>7</v>
      </c>
      <c r="H124" s="102">
        <v>1</v>
      </c>
      <c r="I124" s="102">
        <v>36</v>
      </c>
      <c r="J124" s="102">
        <v>0</v>
      </c>
      <c r="K124" s="102">
        <v>2</v>
      </c>
      <c r="L124" s="102">
        <v>0</v>
      </c>
      <c r="M124" s="102">
        <v>0</v>
      </c>
      <c r="N124" s="102">
        <v>1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443</v>
      </c>
      <c r="D125" s="102">
        <v>56</v>
      </c>
      <c r="E125" s="102">
        <v>208</v>
      </c>
      <c r="F125" s="102">
        <v>145</v>
      </c>
      <c r="G125" s="102">
        <v>100</v>
      </c>
      <c r="H125" s="102">
        <v>170</v>
      </c>
      <c r="I125" s="102">
        <v>173</v>
      </c>
      <c r="J125" s="102">
        <v>229</v>
      </c>
      <c r="K125" s="102">
        <v>4</v>
      </c>
      <c r="L125" s="102">
        <v>0</v>
      </c>
      <c r="M125" s="102">
        <v>2200</v>
      </c>
      <c r="N125" s="102">
        <v>584</v>
      </c>
      <c r="O125" s="102">
        <v>1324</v>
      </c>
      <c r="P125" s="102">
        <v>422</v>
      </c>
      <c r="Q125" s="102">
        <v>232</v>
      </c>
      <c r="R125" s="102">
        <v>74</v>
      </c>
      <c r="S125" s="102">
        <v>548</v>
      </c>
      <c r="T125" s="102">
        <v>1154</v>
      </c>
      <c r="U125" s="102">
        <v>2324</v>
      </c>
      <c r="V125" s="102">
        <v>3537</v>
      </c>
      <c r="W125" s="102">
        <v>3912</v>
      </c>
      <c r="X125" s="102">
        <v>2922</v>
      </c>
      <c r="Y125" s="102">
        <v>2575</v>
      </c>
      <c r="DA125" s="175" t="s">
        <v>540</v>
      </c>
    </row>
    <row r="126" spans="1:105" ht="11.45" customHeight="1" x14ac:dyDescent="0.25">
      <c r="A126" s="111" t="s">
        <v>115</v>
      </c>
      <c r="B126" s="102">
        <v>30</v>
      </c>
      <c r="C126" s="102">
        <v>23</v>
      </c>
      <c r="D126" s="102">
        <v>26</v>
      </c>
      <c r="E126" s="102">
        <v>23</v>
      </c>
      <c r="F126" s="102">
        <v>23</v>
      </c>
      <c r="G126" s="102">
        <v>7</v>
      </c>
      <c r="H126" s="102">
        <v>4</v>
      </c>
      <c r="I126" s="102">
        <v>4</v>
      </c>
      <c r="J126" s="102">
        <v>4</v>
      </c>
      <c r="K126" s="102">
        <v>0</v>
      </c>
      <c r="L126" s="102">
        <v>0</v>
      </c>
      <c r="M126" s="102">
        <v>0</v>
      </c>
      <c r="N126" s="102">
        <v>29</v>
      </c>
      <c r="O126" s="102">
        <v>102</v>
      </c>
      <c r="P126" s="102">
        <v>43</v>
      </c>
      <c r="Q126" s="102">
        <v>51</v>
      </c>
      <c r="R126" s="102">
        <v>80</v>
      </c>
      <c r="S126" s="102">
        <v>103</v>
      </c>
      <c r="T126" s="102">
        <v>92</v>
      </c>
      <c r="U126" s="102">
        <v>285</v>
      </c>
      <c r="V126" s="102">
        <v>174</v>
      </c>
      <c r="W126" s="102">
        <v>663</v>
      </c>
      <c r="X126" s="102">
        <v>787</v>
      </c>
      <c r="Y126" s="102">
        <v>743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452651</v>
      </c>
      <c r="C127" s="28">
        <f t="shared" si="183"/>
        <v>470078</v>
      </c>
      <c r="D127" s="28">
        <f t="shared" si="183"/>
        <v>435225</v>
      </c>
      <c r="E127" s="28">
        <f t="shared" si="183"/>
        <v>418333</v>
      </c>
      <c r="F127" s="28">
        <f t="shared" si="183"/>
        <v>476693</v>
      </c>
      <c r="G127" s="28">
        <f t="shared" si="183"/>
        <v>461104</v>
      </c>
      <c r="H127" s="28">
        <f t="shared" si="183"/>
        <v>472367</v>
      </c>
      <c r="I127" s="28">
        <f t="shared" si="183"/>
        <v>491709</v>
      </c>
      <c r="J127" s="28">
        <f t="shared" si="183"/>
        <v>487525</v>
      </c>
      <c r="K127" s="28">
        <f t="shared" si="183"/>
        <v>470220</v>
      </c>
      <c r="L127" s="28">
        <f t="shared" ref="L127" si="184">L128+L134</f>
        <v>471929</v>
      </c>
      <c r="M127" s="28">
        <f t="shared" ref="M127:V127" si="185">M128+M134</f>
        <v>448365</v>
      </c>
      <c r="N127" s="28">
        <f t="shared" si="185"/>
        <v>460511</v>
      </c>
      <c r="O127" s="28">
        <f t="shared" si="185"/>
        <v>501128</v>
      </c>
      <c r="P127" s="28">
        <f t="shared" si="185"/>
        <v>573560</v>
      </c>
      <c r="Q127" s="28">
        <f t="shared" si="185"/>
        <v>530433</v>
      </c>
      <c r="R127" s="28">
        <f t="shared" si="185"/>
        <v>481535</v>
      </c>
      <c r="S127" s="28">
        <f t="shared" si="185"/>
        <v>448694</v>
      </c>
      <c r="T127" s="28">
        <f t="shared" si="185"/>
        <v>485115</v>
      </c>
      <c r="U127" s="28">
        <f t="shared" si="185"/>
        <v>476646</v>
      </c>
      <c r="V127" s="28">
        <f t="shared" si="185"/>
        <v>402560</v>
      </c>
      <c r="W127" s="28">
        <f t="shared" ref="W127:Y127" si="186">W128+W134</f>
        <v>424749</v>
      </c>
      <c r="X127" s="28">
        <f t="shared" si="186"/>
        <v>500709</v>
      </c>
      <c r="Y127" s="28">
        <f t="shared" si="186"/>
        <v>527578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394454</v>
      </c>
      <c r="C128" s="137">
        <f t="shared" si="187"/>
        <v>411239</v>
      </c>
      <c r="D128" s="137">
        <f t="shared" si="187"/>
        <v>382489</v>
      </c>
      <c r="E128" s="137">
        <f t="shared" si="187"/>
        <v>372062</v>
      </c>
      <c r="F128" s="137">
        <f t="shared" si="187"/>
        <v>415172</v>
      </c>
      <c r="G128" s="137">
        <f t="shared" si="187"/>
        <v>402185</v>
      </c>
      <c r="H128" s="137">
        <f t="shared" si="187"/>
        <v>415658</v>
      </c>
      <c r="I128" s="137">
        <f t="shared" si="187"/>
        <v>435249</v>
      </c>
      <c r="J128" s="137">
        <f t="shared" si="187"/>
        <v>430402</v>
      </c>
      <c r="K128" s="137">
        <f t="shared" si="187"/>
        <v>438693</v>
      </c>
      <c r="L128" s="137">
        <f t="shared" ref="L128" si="188">SUM(L129:L133)</f>
        <v>432216</v>
      </c>
      <c r="M128" s="137">
        <f t="shared" ref="M128:V128" si="189">SUM(M129:M133)</f>
        <v>401715</v>
      </c>
      <c r="N128" s="137">
        <f t="shared" si="189"/>
        <v>414731</v>
      </c>
      <c r="O128" s="137">
        <f t="shared" si="189"/>
        <v>449485</v>
      </c>
      <c r="P128" s="137">
        <f t="shared" si="189"/>
        <v>531504</v>
      </c>
      <c r="Q128" s="137">
        <f t="shared" si="189"/>
        <v>482915</v>
      </c>
      <c r="R128" s="137">
        <f t="shared" si="189"/>
        <v>426429</v>
      </c>
      <c r="S128" s="137">
        <f t="shared" si="189"/>
        <v>388954</v>
      </c>
      <c r="T128" s="137">
        <f t="shared" si="189"/>
        <v>428621</v>
      </c>
      <c r="U128" s="137">
        <f t="shared" si="189"/>
        <v>413579</v>
      </c>
      <c r="V128" s="137">
        <f t="shared" si="189"/>
        <v>358512</v>
      </c>
      <c r="W128" s="137">
        <f t="shared" ref="W128:Y128" si="190">SUM(W129:W133)</f>
        <v>370348</v>
      </c>
      <c r="X128" s="137">
        <f t="shared" si="190"/>
        <v>457851</v>
      </c>
      <c r="Y128" s="137">
        <f t="shared" si="190"/>
        <v>482824</v>
      </c>
      <c r="DA128" s="174" t="s">
        <v>543</v>
      </c>
    </row>
    <row r="129" spans="1:105" ht="11.45" customHeight="1" x14ac:dyDescent="0.25">
      <c r="A129" s="111" t="s">
        <v>110</v>
      </c>
      <c r="B129" s="84">
        <v>15104</v>
      </c>
      <c r="C129" s="84">
        <v>12705</v>
      </c>
      <c r="D129" s="84">
        <v>9481</v>
      </c>
      <c r="E129" s="84">
        <v>6995</v>
      </c>
      <c r="F129" s="84">
        <v>6749</v>
      </c>
      <c r="G129" s="84">
        <v>6275</v>
      </c>
      <c r="H129" s="84">
        <v>5374</v>
      </c>
      <c r="I129" s="84">
        <v>4575</v>
      </c>
      <c r="J129" s="84">
        <v>3969</v>
      </c>
      <c r="K129" s="84">
        <v>4829</v>
      </c>
      <c r="L129" s="84">
        <v>24399</v>
      </c>
      <c r="M129" s="84">
        <v>27578</v>
      </c>
      <c r="N129" s="84">
        <v>34973</v>
      </c>
      <c r="O129" s="84">
        <v>30529</v>
      </c>
      <c r="P129" s="84">
        <v>3787</v>
      </c>
      <c r="Q129" s="84">
        <v>3899</v>
      </c>
      <c r="R129" s="84">
        <v>2876</v>
      </c>
      <c r="S129" s="84">
        <v>4651</v>
      </c>
      <c r="T129" s="84">
        <v>7636</v>
      </c>
      <c r="U129" s="84">
        <v>7685</v>
      </c>
      <c r="V129" s="84">
        <v>5528</v>
      </c>
      <c r="W129" s="84">
        <v>2677</v>
      </c>
      <c r="X129" s="84">
        <v>8685</v>
      </c>
      <c r="Y129" s="84">
        <v>26507</v>
      </c>
      <c r="DA129" s="171" t="s">
        <v>544</v>
      </c>
    </row>
    <row r="130" spans="1:105" ht="11.45" customHeight="1" x14ac:dyDescent="0.25">
      <c r="A130" s="111" t="s">
        <v>111</v>
      </c>
      <c r="B130" s="84">
        <v>375534</v>
      </c>
      <c r="C130" s="84">
        <v>395934</v>
      </c>
      <c r="D130" s="84">
        <v>371128</v>
      </c>
      <c r="E130" s="84">
        <v>363195</v>
      </c>
      <c r="F130" s="84">
        <v>406453</v>
      </c>
      <c r="G130" s="84">
        <v>394206</v>
      </c>
      <c r="H130" s="84">
        <v>407668</v>
      </c>
      <c r="I130" s="84">
        <v>429755</v>
      </c>
      <c r="J130" s="84">
        <v>425585</v>
      </c>
      <c r="K130" s="84">
        <v>431613</v>
      </c>
      <c r="L130" s="84">
        <v>406817</v>
      </c>
      <c r="M130" s="84">
        <v>371493</v>
      </c>
      <c r="N130" s="84">
        <v>375629</v>
      </c>
      <c r="O130" s="84">
        <v>413296</v>
      </c>
      <c r="P130" s="84">
        <v>522759</v>
      </c>
      <c r="Q130" s="84">
        <v>473848</v>
      </c>
      <c r="R130" s="84">
        <v>416108</v>
      </c>
      <c r="S130" s="84">
        <v>378669</v>
      </c>
      <c r="T130" s="84">
        <v>402011</v>
      </c>
      <c r="U130" s="84">
        <v>397098</v>
      </c>
      <c r="V130" s="84">
        <v>337136</v>
      </c>
      <c r="W130" s="84">
        <v>354551</v>
      </c>
      <c r="X130" s="84">
        <v>433842</v>
      </c>
      <c r="Y130" s="84">
        <v>427355</v>
      </c>
      <c r="DA130" s="171" t="s">
        <v>545</v>
      </c>
    </row>
    <row r="131" spans="1:105" ht="11.45" customHeight="1" x14ac:dyDescent="0.25">
      <c r="A131" s="111" t="s">
        <v>112</v>
      </c>
      <c r="B131" s="84">
        <v>3009</v>
      </c>
      <c r="C131" s="84">
        <v>1885</v>
      </c>
      <c r="D131" s="84">
        <v>1530</v>
      </c>
      <c r="E131" s="84">
        <v>1433</v>
      </c>
      <c r="F131" s="84">
        <v>1576</v>
      </c>
      <c r="G131" s="84">
        <v>1438</v>
      </c>
      <c r="H131" s="84">
        <v>1919</v>
      </c>
      <c r="I131" s="84">
        <v>454</v>
      </c>
      <c r="J131" s="84">
        <v>332</v>
      </c>
      <c r="K131" s="84">
        <v>1429</v>
      </c>
      <c r="L131" s="84">
        <v>0</v>
      </c>
      <c r="M131" s="84">
        <v>0</v>
      </c>
      <c r="N131" s="84">
        <v>27</v>
      </c>
      <c r="O131" s="84">
        <v>90</v>
      </c>
      <c r="P131" s="84">
        <v>120</v>
      </c>
      <c r="Q131" s="84">
        <v>95</v>
      </c>
      <c r="R131" s="84">
        <v>8</v>
      </c>
      <c r="S131" s="84">
        <v>6</v>
      </c>
      <c r="T131" s="84">
        <v>13</v>
      </c>
      <c r="U131" s="84">
        <v>16</v>
      </c>
      <c r="V131" s="84">
        <v>5888</v>
      </c>
      <c r="W131" s="84">
        <v>195</v>
      </c>
      <c r="X131" s="84">
        <v>618</v>
      </c>
      <c r="Y131" s="84">
        <v>1876</v>
      </c>
      <c r="DA131" s="171" t="s">
        <v>546</v>
      </c>
    </row>
    <row r="132" spans="1:105" ht="11.45" customHeight="1" x14ac:dyDescent="0.25">
      <c r="A132" s="111" t="s">
        <v>113</v>
      </c>
      <c r="B132" s="84">
        <v>2</v>
      </c>
      <c r="C132" s="84">
        <v>0</v>
      </c>
      <c r="D132" s="84">
        <v>7</v>
      </c>
      <c r="E132" s="84">
        <v>204</v>
      </c>
      <c r="F132" s="84">
        <v>9</v>
      </c>
      <c r="G132" s="84">
        <v>3</v>
      </c>
      <c r="H132" s="84">
        <v>439</v>
      </c>
      <c r="I132" s="84">
        <v>14</v>
      </c>
      <c r="J132" s="84">
        <v>49</v>
      </c>
      <c r="K132" s="84">
        <v>219</v>
      </c>
      <c r="L132" s="84">
        <v>247</v>
      </c>
      <c r="M132" s="84">
        <v>295</v>
      </c>
      <c r="N132" s="84">
        <v>451</v>
      </c>
      <c r="O132" s="84">
        <v>482</v>
      </c>
      <c r="P132" s="84">
        <v>380</v>
      </c>
      <c r="Q132" s="84">
        <v>337</v>
      </c>
      <c r="R132" s="84">
        <v>403</v>
      </c>
      <c r="S132" s="84">
        <v>487</v>
      </c>
      <c r="T132" s="84">
        <v>5489</v>
      </c>
      <c r="U132" s="84">
        <v>649</v>
      </c>
      <c r="V132" s="84">
        <v>749</v>
      </c>
      <c r="W132" s="84">
        <v>1105</v>
      </c>
      <c r="X132" s="84">
        <v>143</v>
      </c>
      <c r="Y132" s="84">
        <v>276</v>
      </c>
      <c r="DA132" s="171" t="s">
        <v>547</v>
      </c>
    </row>
    <row r="133" spans="1:105" ht="11.45" customHeight="1" x14ac:dyDescent="0.25">
      <c r="A133" s="111" t="s">
        <v>115</v>
      </c>
      <c r="B133" s="84">
        <v>805</v>
      </c>
      <c r="C133" s="84">
        <v>715</v>
      </c>
      <c r="D133" s="84">
        <v>343</v>
      </c>
      <c r="E133" s="84">
        <v>235</v>
      </c>
      <c r="F133" s="84">
        <v>385</v>
      </c>
      <c r="G133" s="84">
        <v>263</v>
      </c>
      <c r="H133" s="84">
        <v>258</v>
      </c>
      <c r="I133" s="84">
        <v>451</v>
      </c>
      <c r="J133" s="84">
        <v>467</v>
      </c>
      <c r="K133" s="84">
        <v>603</v>
      </c>
      <c r="L133" s="84">
        <v>753</v>
      </c>
      <c r="M133" s="84">
        <v>2349</v>
      </c>
      <c r="N133" s="84">
        <v>3651</v>
      </c>
      <c r="O133" s="84">
        <v>5088</v>
      </c>
      <c r="P133" s="84">
        <v>4458</v>
      </c>
      <c r="Q133" s="84">
        <v>4736</v>
      </c>
      <c r="R133" s="84">
        <v>7034</v>
      </c>
      <c r="S133" s="84">
        <v>5141</v>
      </c>
      <c r="T133" s="84">
        <v>13472</v>
      </c>
      <c r="U133" s="84">
        <v>8131</v>
      </c>
      <c r="V133" s="84">
        <v>9211</v>
      </c>
      <c r="W133" s="84">
        <v>11820</v>
      </c>
      <c r="X133" s="84">
        <v>14563</v>
      </c>
      <c r="Y133" s="84">
        <v>26810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58197</v>
      </c>
      <c r="C134" s="110">
        <f t="shared" si="191"/>
        <v>58839</v>
      </c>
      <c r="D134" s="110">
        <f t="shared" si="191"/>
        <v>52736</v>
      </c>
      <c r="E134" s="110">
        <f t="shared" si="191"/>
        <v>46271</v>
      </c>
      <c r="F134" s="110">
        <f t="shared" si="191"/>
        <v>61521</v>
      </c>
      <c r="G134" s="110">
        <f t="shared" si="191"/>
        <v>58919</v>
      </c>
      <c r="H134" s="110">
        <f t="shared" si="191"/>
        <v>56709</v>
      </c>
      <c r="I134" s="110">
        <f t="shared" si="191"/>
        <v>56460</v>
      </c>
      <c r="J134" s="110">
        <f t="shared" si="191"/>
        <v>57123</v>
      </c>
      <c r="K134" s="110">
        <f t="shared" si="191"/>
        <v>31527</v>
      </c>
      <c r="L134" s="110">
        <f t="shared" ref="L134" si="192">SUM(L135:L136)</f>
        <v>39713</v>
      </c>
      <c r="M134" s="110">
        <f t="shared" ref="M134:V134" si="193">SUM(M135:M136)</f>
        <v>46650</v>
      </c>
      <c r="N134" s="110">
        <f t="shared" si="193"/>
        <v>45780</v>
      </c>
      <c r="O134" s="110">
        <f t="shared" si="193"/>
        <v>51643</v>
      </c>
      <c r="P134" s="110">
        <f t="shared" si="193"/>
        <v>42056</v>
      </c>
      <c r="Q134" s="110">
        <f t="shared" si="193"/>
        <v>47518</v>
      </c>
      <c r="R134" s="110">
        <f t="shared" si="193"/>
        <v>55106</v>
      </c>
      <c r="S134" s="110">
        <f t="shared" si="193"/>
        <v>59740</v>
      </c>
      <c r="T134" s="110">
        <f t="shared" si="193"/>
        <v>56494</v>
      </c>
      <c r="U134" s="110">
        <f t="shared" si="193"/>
        <v>63067</v>
      </c>
      <c r="V134" s="110">
        <f t="shared" si="193"/>
        <v>44048</v>
      </c>
      <c r="W134" s="110">
        <f t="shared" ref="W134:Y134" si="194">SUM(W135:W136)</f>
        <v>54401</v>
      </c>
      <c r="X134" s="110">
        <f t="shared" si="194"/>
        <v>42858</v>
      </c>
      <c r="Y134" s="110">
        <f t="shared" si="194"/>
        <v>44754</v>
      </c>
      <c r="DA134" s="176" t="s">
        <v>549</v>
      </c>
    </row>
    <row r="135" spans="1:105" ht="11.45" customHeight="1" x14ac:dyDescent="0.25">
      <c r="A135" s="128" t="s">
        <v>27</v>
      </c>
      <c r="B135" s="102">
        <v>51216</v>
      </c>
      <c r="C135" s="102">
        <v>50753</v>
      </c>
      <c r="D135" s="102">
        <v>45136</v>
      </c>
      <c r="E135" s="102">
        <v>40159</v>
      </c>
      <c r="F135" s="102">
        <v>41834</v>
      </c>
      <c r="G135" s="102">
        <v>49820</v>
      </c>
      <c r="H135" s="102">
        <v>47575</v>
      </c>
      <c r="I135" s="102">
        <v>47275</v>
      </c>
      <c r="J135" s="102">
        <v>51727</v>
      </c>
      <c r="K135" s="102">
        <v>31527</v>
      </c>
      <c r="L135" s="102">
        <v>30385</v>
      </c>
      <c r="M135" s="102">
        <v>42982</v>
      </c>
      <c r="N135" s="102">
        <v>39514</v>
      </c>
      <c r="O135" s="102">
        <v>39289</v>
      </c>
      <c r="P135" s="102">
        <v>33928</v>
      </c>
      <c r="Q135" s="102">
        <v>38042</v>
      </c>
      <c r="R135" s="102">
        <v>43175</v>
      </c>
      <c r="S135" s="102">
        <v>46062</v>
      </c>
      <c r="T135" s="102">
        <v>49425</v>
      </c>
      <c r="U135" s="102">
        <v>50251</v>
      </c>
      <c r="V135" s="102">
        <v>38337</v>
      </c>
      <c r="W135" s="102">
        <v>38705</v>
      </c>
      <c r="X135" s="102">
        <v>35463</v>
      </c>
      <c r="Y135" s="102">
        <v>38658</v>
      </c>
      <c r="DA135" s="175" t="s">
        <v>550</v>
      </c>
    </row>
    <row r="136" spans="1:105" ht="11.45" customHeight="1" x14ac:dyDescent="0.25">
      <c r="A136" s="138" t="s">
        <v>116</v>
      </c>
      <c r="B136" s="86">
        <v>6981</v>
      </c>
      <c r="C136" s="86">
        <v>8086</v>
      </c>
      <c r="D136" s="86">
        <v>7600</v>
      </c>
      <c r="E136" s="86">
        <v>6112</v>
      </c>
      <c r="F136" s="86">
        <v>19687</v>
      </c>
      <c r="G136" s="86">
        <v>9099</v>
      </c>
      <c r="H136" s="86">
        <v>9134</v>
      </c>
      <c r="I136" s="86">
        <v>9185</v>
      </c>
      <c r="J136" s="86">
        <v>5396</v>
      </c>
      <c r="K136" s="86">
        <v>0</v>
      </c>
      <c r="L136" s="86">
        <v>9328</v>
      </c>
      <c r="M136" s="86">
        <v>3668</v>
      </c>
      <c r="N136" s="86">
        <v>6266</v>
      </c>
      <c r="O136" s="86">
        <v>12354</v>
      </c>
      <c r="P136" s="86">
        <v>8128</v>
      </c>
      <c r="Q136" s="86">
        <v>9476</v>
      </c>
      <c r="R136" s="86">
        <v>11931</v>
      </c>
      <c r="S136" s="86">
        <v>13678</v>
      </c>
      <c r="T136" s="86">
        <v>7069</v>
      </c>
      <c r="U136" s="86">
        <v>12816</v>
      </c>
      <c r="V136" s="86">
        <v>5711</v>
      </c>
      <c r="W136" s="86">
        <v>15696</v>
      </c>
      <c r="X136" s="86">
        <v>7395</v>
      </c>
      <c r="Y136" s="86">
        <v>6096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2.3377953394252118</v>
      </c>
      <c r="C141" s="32">
        <f t="shared" si="195"/>
        <v>2.2682015587518944</v>
      </c>
      <c r="D141" s="32">
        <f t="shared" si="195"/>
        <v>2.2351869485596478</v>
      </c>
      <c r="E141" s="32">
        <f t="shared" si="195"/>
        <v>2.234033077909729</v>
      </c>
      <c r="F141" s="32">
        <f t="shared" si="195"/>
        <v>2.2090757210178493</v>
      </c>
      <c r="G141" s="32">
        <f t="shared" si="195"/>
        <v>2.1803378640720545</v>
      </c>
      <c r="H141" s="32">
        <f t="shared" si="195"/>
        <v>2.131878505175608</v>
      </c>
      <c r="I141" s="32">
        <f t="shared" si="195"/>
        <v>2.0924723397746603</v>
      </c>
      <c r="J141" s="32">
        <f t="shared" si="195"/>
        <v>2.0692798236833356</v>
      </c>
      <c r="K141" s="32">
        <f t="shared" si="195"/>
        <v>2.0145104087541243</v>
      </c>
      <c r="L141" s="32">
        <f t="shared" ref="L141" si="196">IF(L4=0,0,L4/L31)</f>
        <v>2.0132542283401222</v>
      </c>
      <c r="M141" s="32">
        <f t="shared" ref="M141:V141" si="197">IF(M4=0,0,M4/M31)</f>
        <v>1.908089387828876</v>
      </c>
      <c r="N141" s="32">
        <f t="shared" si="197"/>
        <v>2.045185612509679</v>
      </c>
      <c r="O141" s="32">
        <f t="shared" si="197"/>
        <v>2.0325871015025321</v>
      </c>
      <c r="P141" s="32">
        <f t="shared" si="197"/>
        <v>2.013041121047404</v>
      </c>
      <c r="Q141" s="32">
        <f t="shared" si="197"/>
        <v>1.9810337893407346</v>
      </c>
      <c r="R141" s="32">
        <f t="shared" si="197"/>
        <v>1.9644499632631827</v>
      </c>
      <c r="S141" s="32">
        <f t="shared" si="197"/>
        <v>1.948937336124928</v>
      </c>
      <c r="T141" s="32">
        <f t="shared" si="197"/>
        <v>1.9617907955654332</v>
      </c>
      <c r="U141" s="32">
        <f t="shared" si="197"/>
        <v>1.9533216206551056</v>
      </c>
      <c r="V141" s="32">
        <f t="shared" si="197"/>
        <v>1.8760992942311245</v>
      </c>
      <c r="W141" s="32">
        <f t="shared" ref="W141:Y141" si="198">IF(W4=0,0,W4/W31)</f>
        <v>1.7863183741811559</v>
      </c>
      <c r="X141" s="32">
        <f t="shared" si="198"/>
        <v>1.7997693398161891</v>
      </c>
      <c r="Y141" s="32">
        <f t="shared" si="198"/>
        <v>1.7353763851764865</v>
      </c>
      <c r="DA141" s="173" t="s">
        <v>552</v>
      </c>
    </row>
    <row r="142" spans="1:105" ht="11.45" customHeight="1" x14ac:dyDescent="0.25">
      <c r="A142" s="136" t="s">
        <v>173</v>
      </c>
      <c r="B142" s="141">
        <v>1.1602215991089682</v>
      </c>
      <c r="C142" s="141">
        <v>1.1600743338364572</v>
      </c>
      <c r="D142" s="141">
        <v>1.1599224995818394</v>
      </c>
      <c r="E142" s="141">
        <v>1.1726537775225403</v>
      </c>
      <c r="F142" s="141">
        <v>1.1624886796867751</v>
      </c>
      <c r="G142" s="141">
        <v>1.1796097286845275</v>
      </c>
      <c r="H142" s="141">
        <v>1.1693231091146656</v>
      </c>
      <c r="I142" s="141">
        <v>1.1726655440480422</v>
      </c>
      <c r="J142" s="141">
        <v>1.1692780211649803</v>
      </c>
      <c r="K142" s="141">
        <v>1.1632374141878532</v>
      </c>
      <c r="L142" s="141">
        <v>1.1547758079763515</v>
      </c>
      <c r="M142" s="141">
        <v>1.1825154525709278</v>
      </c>
      <c r="N142" s="141">
        <v>1.1393423566646217</v>
      </c>
      <c r="O142" s="141">
        <v>1.128380140855612</v>
      </c>
      <c r="P142" s="141">
        <v>1.1297601149735823</v>
      </c>
      <c r="Q142" s="141">
        <v>1.1257660180407889</v>
      </c>
      <c r="R142" s="141">
        <v>1.1249268075674872</v>
      </c>
      <c r="S142" s="141">
        <v>1.1244005550293517</v>
      </c>
      <c r="T142" s="141">
        <v>1.1237862492238484</v>
      </c>
      <c r="U142" s="141">
        <v>1.1246391597210823</v>
      </c>
      <c r="V142" s="141">
        <v>1.1226703166649905</v>
      </c>
      <c r="W142" s="141">
        <v>1.1234501657104188</v>
      </c>
      <c r="X142" s="141">
        <v>1.1234335518307585</v>
      </c>
      <c r="Y142" s="141">
        <v>1.1247530514871451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2.2365310763675517</v>
      </c>
      <c r="C143" s="130">
        <f t="shared" si="199"/>
        <v>2.1779461165914986</v>
      </c>
      <c r="D143" s="130">
        <f t="shared" si="199"/>
        <v>2.1478490260412455</v>
      </c>
      <c r="E143" s="130">
        <f t="shared" si="199"/>
        <v>2.1453241586006007</v>
      </c>
      <c r="F143" s="130">
        <f t="shared" si="199"/>
        <v>2.1205593057963847</v>
      </c>
      <c r="G143" s="130">
        <f t="shared" si="199"/>
        <v>2.0906399026088467</v>
      </c>
      <c r="H143" s="130">
        <f t="shared" si="199"/>
        <v>2.0364200944078994</v>
      </c>
      <c r="I143" s="130">
        <f t="shared" si="199"/>
        <v>1.9976224551909862</v>
      </c>
      <c r="J143" s="130">
        <f t="shared" si="199"/>
        <v>1.9732486019611823</v>
      </c>
      <c r="K143" s="130">
        <f t="shared" si="199"/>
        <v>1.9203895760766789</v>
      </c>
      <c r="L143" s="130">
        <f t="shared" ref="L143" si="200">IF(L6=0,0,L6/L33)</f>
        <v>1.9174242464235596</v>
      </c>
      <c r="M143" s="130">
        <f t="shared" ref="M143:V143" si="201">IF(M6=0,0,M6/M33)</f>
        <v>1.8101691606913792</v>
      </c>
      <c r="N143" s="130">
        <f t="shared" si="201"/>
        <v>1.9541278393511781</v>
      </c>
      <c r="O143" s="130">
        <f t="shared" si="201"/>
        <v>1.9409916220973937</v>
      </c>
      <c r="P143" s="130">
        <f t="shared" si="201"/>
        <v>1.9209501491026593</v>
      </c>
      <c r="Q143" s="130">
        <f t="shared" si="201"/>
        <v>1.888967401876178</v>
      </c>
      <c r="R143" s="130">
        <f t="shared" si="201"/>
        <v>1.8697532989484851</v>
      </c>
      <c r="S143" s="130">
        <f t="shared" si="201"/>
        <v>1.8541378714168266</v>
      </c>
      <c r="T143" s="130">
        <f t="shared" si="201"/>
        <v>1.8653622296352392</v>
      </c>
      <c r="U143" s="130">
        <f t="shared" si="201"/>
        <v>1.8565829085564212</v>
      </c>
      <c r="V143" s="130">
        <f t="shared" si="201"/>
        <v>1.8102769090742366</v>
      </c>
      <c r="W143" s="130">
        <f t="shared" ref="W143:Y143" si="202">IF(W6=0,0,W6/W33)</f>
        <v>1.7201282175016688</v>
      </c>
      <c r="X143" s="130">
        <f t="shared" si="202"/>
        <v>1.7266480440411198</v>
      </c>
      <c r="Y143" s="130">
        <f t="shared" si="202"/>
        <v>1.6511832828639339</v>
      </c>
      <c r="DA143" s="176" t="s">
        <v>554</v>
      </c>
    </row>
    <row r="144" spans="1:105" ht="11.45" customHeight="1" x14ac:dyDescent="0.25">
      <c r="A144" s="111" t="s">
        <v>110</v>
      </c>
      <c r="B144" s="96">
        <v>2.1951080379128505</v>
      </c>
      <c r="C144" s="96">
        <v>2.1349542065098954</v>
      </c>
      <c r="D144" s="96">
        <v>2.1036131837664174</v>
      </c>
      <c r="E144" s="96">
        <v>2.0986939027274407</v>
      </c>
      <c r="F144" s="96">
        <v>2.07265600081382</v>
      </c>
      <c r="G144" s="96">
        <v>2.0416686565154043</v>
      </c>
      <c r="H144" s="96">
        <v>1.986405822532628</v>
      </c>
      <c r="I144" s="96">
        <v>1.9464274084631632</v>
      </c>
      <c r="J144" s="96">
        <v>1.9206830581062806</v>
      </c>
      <c r="K144" s="96">
        <v>1.8680841505765746</v>
      </c>
      <c r="L144" s="96">
        <v>1.8635762961206854</v>
      </c>
      <c r="M144" s="96">
        <v>1.7589941345168552</v>
      </c>
      <c r="N144" s="96">
        <v>1.8975679695926131</v>
      </c>
      <c r="O144" s="96">
        <v>1.8842094132684943</v>
      </c>
      <c r="P144" s="96">
        <v>1.8648242746285959</v>
      </c>
      <c r="Q144" s="96">
        <v>1.8341166471894892</v>
      </c>
      <c r="R144" s="96">
        <v>1.8163319514100111</v>
      </c>
      <c r="S144" s="96">
        <v>1.8022765867887611</v>
      </c>
      <c r="T144" s="96">
        <v>1.8149385908687394</v>
      </c>
      <c r="U144" s="96">
        <v>1.8084931213565736</v>
      </c>
      <c r="V144" s="96">
        <v>1.7655572216779651</v>
      </c>
      <c r="W144" s="96">
        <v>1.6806649635436228</v>
      </c>
      <c r="X144" s="96">
        <v>1.6894517509238984</v>
      </c>
      <c r="Y144" s="96">
        <v>1.6183917272991046</v>
      </c>
      <c r="DA144" s="171" t="s">
        <v>555</v>
      </c>
    </row>
    <row r="145" spans="1:105" ht="11.45" customHeight="1" x14ac:dyDescent="0.25">
      <c r="A145" s="111" t="s">
        <v>111</v>
      </c>
      <c r="B145" s="96">
        <v>2.2825213860497895</v>
      </c>
      <c r="C145" s="96">
        <v>2.2199721154632601</v>
      </c>
      <c r="D145" s="96">
        <v>2.1873830339979663</v>
      </c>
      <c r="E145" s="96">
        <v>2.1822678578965977</v>
      </c>
      <c r="F145" s="96">
        <v>2.155193077549014</v>
      </c>
      <c r="G145" s="96">
        <v>2.1229717586724859</v>
      </c>
      <c r="H145" s="96">
        <v>2.0655082542614034</v>
      </c>
      <c r="I145" s="96">
        <v>2.0239378242334265</v>
      </c>
      <c r="J145" s="96">
        <v>1.9971682852200228</v>
      </c>
      <c r="K145" s="96">
        <v>1.9424747898449326</v>
      </c>
      <c r="L145" s="96">
        <v>1.937787424110283</v>
      </c>
      <c r="M145" s="96">
        <v>1.8290406032991182</v>
      </c>
      <c r="N145" s="96">
        <v>1.973132710222518</v>
      </c>
      <c r="O145" s="96">
        <v>1.959242190954253</v>
      </c>
      <c r="P145" s="96">
        <v>1.9390850994795306</v>
      </c>
      <c r="Q145" s="96">
        <v>1.9071546363159708</v>
      </c>
      <c r="R145" s="96">
        <v>1.888661720359248</v>
      </c>
      <c r="S145" s="96">
        <v>1.874046644571346</v>
      </c>
      <c r="T145" s="96">
        <v>1.8872128735694769</v>
      </c>
      <c r="U145" s="96">
        <v>1.8805107332872895</v>
      </c>
      <c r="V145" s="96">
        <v>1.8358650449871841</v>
      </c>
      <c r="W145" s="96">
        <v>1.7475922167914772</v>
      </c>
      <c r="X145" s="96">
        <v>1.7567289106415087</v>
      </c>
      <c r="Y145" s="96">
        <v>1.6828391426595122</v>
      </c>
      <c r="DA145" s="171" t="s">
        <v>556</v>
      </c>
    </row>
    <row r="146" spans="1:105" ht="11.45" customHeight="1" x14ac:dyDescent="0.25">
      <c r="A146" s="111" t="s">
        <v>112</v>
      </c>
      <c r="B146" s="96">
        <v>2.1694351440765254</v>
      </c>
      <c r="C146" s="96">
        <v>2.1126077330937534</v>
      </c>
      <c r="D146" s="96">
        <v>2.0834135552600084</v>
      </c>
      <c r="E146" s="96">
        <v>2.080964433842583</v>
      </c>
      <c r="F146" s="96">
        <v>2.0569425266224939</v>
      </c>
      <c r="G146" s="96">
        <v>2.027920705530581</v>
      </c>
      <c r="H146" s="96">
        <v>1.9753274915756625</v>
      </c>
      <c r="I146" s="96">
        <v>1.9376937815352568</v>
      </c>
      <c r="J146" s="96">
        <v>1.9140511439023471</v>
      </c>
      <c r="K146" s="96">
        <v>1.8627778887943782</v>
      </c>
      <c r="L146" s="96">
        <v>1.859901519030853</v>
      </c>
      <c r="M146" s="96">
        <v>1.7558640858706387</v>
      </c>
      <c r="N146" s="96">
        <v>1.8955040041706421</v>
      </c>
      <c r="O146" s="96">
        <v>1.8827618734344724</v>
      </c>
      <c r="P146" s="96">
        <v>1.8633216446295795</v>
      </c>
      <c r="Q146" s="96">
        <v>1.8322983798198929</v>
      </c>
      <c r="R146" s="96">
        <v>1.8136606999800311</v>
      </c>
      <c r="S146" s="96">
        <v>1.7985137352743219</v>
      </c>
      <c r="T146" s="96">
        <v>1.8094013627461827</v>
      </c>
      <c r="U146" s="96">
        <v>1.8008854212997287</v>
      </c>
      <c r="V146" s="96">
        <v>1.7559686018020095</v>
      </c>
      <c r="W146" s="96">
        <v>1.6685243709766187</v>
      </c>
      <c r="X146" s="96">
        <v>1.6748486027198859</v>
      </c>
      <c r="Y146" s="96">
        <v>1.6016477843780159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1.9376937815352568</v>
      </c>
      <c r="J147" s="96">
        <v>1.9140511439023471</v>
      </c>
      <c r="K147" s="96">
        <v>1.8627778887943782</v>
      </c>
      <c r="L147" s="96">
        <v>1.859901519030853</v>
      </c>
      <c r="M147" s="96">
        <v>1.7558640858706385</v>
      </c>
      <c r="N147" s="96">
        <v>1.8955040041706424</v>
      </c>
      <c r="O147" s="96">
        <v>1.8827618734344722</v>
      </c>
      <c r="P147" s="96">
        <v>1.8633216446295795</v>
      </c>
      <c r="Q147" s="96">
        <v>1.8322983798198929</v>
      </c>
      <c r="R147" s="96">
        <v>1.8136606999800311</v>
      </c>
      <c r="S147" s="96">
        <v>1.7985137352743219</v>
      </c>
      <c r="T147" s="96">
        <v>1.8094013627461827</v>
      </c>
      <c r="U147" s="96">
        <v>1.8008854212997285</v>
      </c>
      <c r="V147" s="96">
        <v>1.7559686018020095</v>
      </c>
      <c r="W147" s="96">
        <v>1.6685243709766187</v>
      </c>
      <c r="X147" s="96">
        <v>1.6748486027198859</v>
      </c>
      <c r="Y147" s="96">
        <v>1.6016477843780159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1.8955040041706424</v>
      </c>
      <c r="O148" s="96">
        <v>1.8827618734344722</v>
      </c>
      <c r="P148" s="96">
        <v>1.8633216446295795</v>
      </c>
      <c r="Q148" s="96">
        <v>1.8322983798198929</v>
      </c>
      <c r="R148" s="96">
        <v>1.8136606999800311</v>
      </c>
      <c r="S148" s="96">
        <v>1.7985137352743219</v>
      </c>
      <c r="T148" s="96">
        <v>1.8094013627461827</v>
      </c>
      <c r="U148" s="96">
        <v>1.8008854212997287</v>
      </c>
      <c r="V148" s="96">
        <v>1.7559686018020095</v>
      </c>
      <c r="W148" s="96">
        <v>1.6685243709766187</v>
      </c>
      <c r="X148" s="96">
        <v>1.6748486027198859</v>
      </c>
      <c r="Y148" s="96">
        <v>1.6016477843780157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1.8327780849671098</v>
      </c>
      <c r="I149" s="96">
        <v>1.7978602096718879</v>
      </c>
      <c r="J149" s="96">
        <v>1.7759237417650644</v>
      </c>
      <c r="K149" s="96">
        <v>1.7283506184690109</v>
      </c>
      <c r="L149" s="96">
        <v>1.7256818217812038</v>
      </c>
      <c r="M149" s="96">
        <v>1.629152244622242</v>
      </c>
      <c r="N149" s="96">
        <v>1.7587150554160602</v>
      </c>
      <c r="O149" s="96">
        <v>1.7468924598876547</v>
      </c>
      <c r="P149" s="96">
        <v>1.7288551341923935</v>
      </c>
      <c r="Q149" s="96">
        <v>1.7000706616885604</v>
      </c>
      <c r="R149" s="96">
        <v>1.6827779690536375</v>
      </c>
      <c r="S149" s="96">
        <v>1.6687240842751443</v>
      </c>
      <c r="T149" s="96">
        <v>1.678826006671716</v>
      </c>
      <c r="U149" s="96">
        <v>1.6709246177007793</v>
      </c>
      <c r="V149" s="96">
        <v>1.6292492181668132</v>
      </c>
      <c r="W149" s="96">
        <v>1.5481153957515019</v>
      </c>
      <c r="X149" s="96">
        <v>1.5539832396370077</v>
      </c>
      <c r="Y149" s="96">
        <v>1.4860649545775406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16.767893293754746</v>
      </c>
      <c r="C150" s="130">
        <f t="shared" si="203"/>
        <v>16.350427338282522</v>
      </c>
      <c r="D150" s="130">
        <f t="shared" si="203"/>
        <v>16.415869449422033</v>
      </c>
      <c r="E150" s="130">
        <f t="shared" si="203"/>
        <v>16.41258026818771</v>
      </c>
      <c r="F150" s="130">
        <f t="shared" si="203"/>
        <v>16.406003882706749</v>
      </c>
      <c r="G150" s="130">
        <f t="shared" si="203"/>
        <v>16.348262255052273</v>
      </c>
      <c r="H150" s="130">
        <f t="shared" si="203"/>
        <v>16.366600870051847</v>
      </c>
      <c r="I150" s="130">
        <f t="shared" si="203"/>
        <v>16.115492589964695</v>
      </c>
      <c r="J150" s="130">
        <f t="shared" si="203"/>
        <v>16.209932908530664</v>
      </c>
      <c r="K150" s="130">
        <f t="shared" si="203"/>
        <v>16.669807978500863</v>
      </c>
      <c r="L150" s="130">
        <f t="shared" ref="L150" si="204">IF(L13=0,0,L13/L40)</f>
        <v>17.439180583286181</v>
      </c>
      <c r="M150" s="130">
        <f t="shared" ref="M150:V150" si="205">IF(M13=0,0,M13/M40)</f>
        <v>17.592446304581461</v>
      </c>
      <c r="N150" s="130">
        <f t="shared" si="205"/>
        <v>17.949211607308651</v>
      </c>
      <c r="O150" s="130">
        <f t="shared" si="205"/>
        <v>19.252946749667426</v>
      </c>
      <c r="P150" s="130">
        <f t="shared" si="205"/>
        <v>19.43459459137145</v>
      </c>
      <c r="Q150" s="130">
        <f t="shared" si="205"/>
        <v>19.375884993940719</v>
      </c>
      <c r="R150" s="130">
        <f t="shared" si="205"/>
        <v>19.284883568052745</v>
      </c>
      <c r="S150" s="130">
        <f t="shared" si="205"/>
        <v>19.701247181572796</v>
      </c>
      <c r="T150" s="130">
        <f t="shared" si="205"/>
        <v>19.404889864269933</v>
      </c>
      <c r="U150" s="130">
        <f t="shared" si="205"/>
        <v>19.56905083790679</v>
      </c>
      <c r="V150" s="130">
        <f t="shared" si="205"/>
        <v>16.219411591617813</v>
      </c>
      <c r="W150" s="130">
        <f t="shared" ref="W150:Y150" si="206">IF(W13=0,0,W13/W40)</f>
        <v>15.031776899572121</v>
      </c>
      <c r="X150" s="130">
        <f t="shared" si="206"/>
        <v>15.747008050512232</v>
      </c>
      <c r="Y150" s="130">
        <f t="shared" si="206"/>
        <v>17.382082159159378</v>
      </c>
      <c r="DA150" s="176" t="s">
        <v>561</v>
      </c>
    </row>
    <row r="151" spans="1:105" ht="11.45" customHeight="1" x14ac:dyDescent="0.25">
      <c r="A151" s="111" t="s">
        <v>110</v>
      </c>
      <c r="B151" s="97">
        <v>6.6449189728367211</v>
      </c>
      <c r="C151" s="97">
        <v>6.6288625899339433</v>
      </c>
      <c r="D151" s="97">
        <v>6.6313795942085401</v>
      </c>
      <c r="E151" s="97">
        <v>6.6312530872379885</v>
      </c>
      <c r="F151" s="97">
        <v>6.6310001493348754</v>
      </c>
      <c r="G151" s="97">
        <v>6.6287793175020102</v>
      </c>
      <c r="H151" s="97">
        <v>6.6294846488481491</v>
      </c>
      <c r="I151" s="97">
        <v>6.6198266380755646</v>
      </c>
      <c r="J151" s="97">
        <v>6.62345895802041</v>
      </c>
      <c r="K151" s="97">
        <v>6.641146460711572</v>
      </c>
      <c r="L151" s="97">
        <v>6.7073771474177608</v>
      </c>
      <c r="M151" s="97">
        <v>6.7663255017620996</v>
      </c>
      <c r="N151" s="97">
        <v>6.9035429258879448</v>
      </c>
      <c r="O151" s="97">
        <v>7.4049795191028585</v>
      </c>
      <c r="P151" s="97">
        <v>7.4748440736044053</v>
      </c>
      <c r="Q151" s="97">
        <v>7.4522634592079697</v>
      </c>
      <c r="R151" s="97">
        <v>7.4172629107895176</v>
      </c>
      <c r="S151" s="97">
        <v>7.5774027621433833</v>
      </c>
      <c r="T151" s="97">
        <v>7.4634191785653607</v>
      </c>
      <c r="U151" s="97">
        <v>7.5265580145795354</v>
      </c>
      <c r="V151" s="97">
        <v>6.623823522754531</v>
      </c>
      <c r="W151" s="97">
        <v>6.5781452653681578</v>
      </c>
      <c r="X151" s="97">
        <v>6.6056541557889314</v>
      </c>
      <c r="Y151" s="97">
        <v>6.6854162150613021</v>
      </c>
      <c r="DA151" s="175" t="s">
        <v>562</v>
      </c>
    </row>
    <row r="152" spans="1:105" ht="11.45" customHeight="1" x14ac:dyDescent="0.25">
      <c r="A152" s="111" t="s">
        <v>111</v>
      </c>
      <c r="B152" s="97">
        <v>16.822379314906211</v>
      </c>
      <c r="C152" s="97">
        <v>16.399825526391417</v>
      </c>
      <c r="D152" s="97">
        <v>16.463811615140617</v>
      </c>
      <c r="E152" s="97">
        <v>16.4570981666681</v>
      </c>
      <c r="F152" s="97">
        <v>16.447013201646847</v>
      </c>
      <c r="G152" s="97">
        <v>16.385335062331592</v>
      </c>
      <c r="H152" s="97">
        <v>16.399955906595864</v>
      </c>
      <c r="I152" s="97">
        <v>16.144397971161453</v>
      </c>
      <c r="J152" s="97">
        <v>16.236712276645054</v>
      </c>
      <c r="K152" s="97">
        <v>16.69546188970002</v>
      </c>
      <c r="L152" s="97">
        <v>17.463620158441724</v>
      </c>
      <c r="M152" s="97">
        <v>17.61348538630196</v>
      </c>
      <c r="N152" s="97">
        <v>17.96751989750851</v>
      </c>
      <c r="O152" s="97">
        <v>19.270376016033158</v>
      </c>
      <c r="P152" s="97">
        <v>19.449216543919981</v>
      </c>
      <c r="Q152" s="97">
        <v>19.387972053767999</v>
      </c>
      <c r="R152" s="97">
        <v>19.296533295776193</v>
      </c>
      <c r="S152" s="97">
        <v>19.713342440353536</v>
      </c>
      <c r="T152" s="97">
        <v>19.416577035327023</v>
      </c>
      <c r="U152" s="97">
        <v>19.580803116564404</v>
      </c>
      <c r="V152" s="97">
        <v>16.229481826470156</v>
      </c>
      <c r="W152" s="97">
        <v>15.039985916147536</v>
      </c>
      <c r="X152" s="97">
        <v>15.754311084793047</v>
      </c>
      <c r="Y152" s="97">
        <v>17.389138715946853</v>
      </c>
      <c r="DA152" s="175" t="s">
        <v>563</v>
      </c>
    </row>
    <row r="153" spans="1:105" ht="11.45" customHeight="1" x14ac:dyDescent="0.25">
      <c r="A153" s="111" t="s">
        <v>112</v>
      </c>
      <c r="B153" s="97">
        <v>16.822379314906215</v>
      </c>
      <c r="C153" s="97">
        <v>16.399825526391417</v>
      </c>
      <c r="D153" s="97">
        <v>16.463811615140621</v>
      </c>
      <c r="E153" s="97">
        <v>16.457098166668096</v>
      </c>
      <c r="F153" s="97">
        <v>16.447013201646847</v>
      </c>
      <c r="G153" s="97">
        <v>16.385335062331592</v>
      </c>
      <c r="H153" s="97">
        <v>16.399955906595864</v>
      </c>
      <c r="I153" s="97">
        <v>16.144397971161457</v>
      </c>
      <c r="J153" s="97">
        <v>16.236712276645054</v>
      </c>
      <c r="K153" s="97">
        <v>16.69546188970002</v>
      </c>
      <c r="L153" s="97">
        <v>17.463620158441724</v>
      </c>
      <c r="M153" s="97">
        <v>17.613485386301956</v>
      </c>
      <c r="N153" s="97">
        <v>17.967519897508506</v>
      </c>
      <c r="O153" s="97">
        <v>19.270376016033165</v>
      </c>
      <c r="P153" s="97">
        <v>19.449216543919981</v>
      </c>
      <c r="Q153" s="97">
        <v>19.387972053767999</v>
      </c>
      <c r="R153" s="97">
        <v>19.296533295776193</v>
      </c>
      <c r="S153" s="97">
        <v>19.713342440353536</v>
      </c>
      <c r="T153" s="97">
        <v>19.416577035327023</v>
      </c>
      <c r="U153" s="97">
        <v>19.580803116564404</v>
      </c>
      <c r="V153" s="97">
        <v>16.229481826470156</v>
      </c>
      <c r="W153" s="97">
        <v>15.039985916147536</v>
      </c>
      <c r="X153" s="97">
        <v>15.754311084793043</v>
      </c>
      <c r="Y153" s="97">
        <v>17.389138715946853</v>
      </c>
      <c r="DA153" s="175" t="s">
        <v>564</v>
      </c>
    </row>
    <row r="154" spans="1:105" ht="11.45" customHeight="1" x14ac:dyDescent="0.25">
      <c r="A154" s="111" t="s">
        <v>113</v>
      </c>
      <c r="B154" s="97">
        <v>16.822379314906215</v>
      </c>
      <c r="C154" s="97">
        <v>16.399825526391417</v>
      </c>
      <c r="D154" s="97">
        <v>16.463811615140621</v>
      </c>
      <c r="E154" s="97">
        <v>16.457098166668096</v>
      </c>
      <c r="F154" s="97">
        <v>16.447013201646847</v>
      </c>
      <c r="G154" s="97">
        <v>16.385335062331592</v>
      </c>
      <c r="H154" s="97">
        <v>16.399955906595864</v>
      </c>
      <c r="I154" s="97">
        <v>16.144397971161457</v>
      </c>
      <c r="J154" s="97">
        <v>16.236712276645054</v>
      </c>
      <c r="K154" s="97">
        <v>16.69546188970002</v>
      </c>
      <c r="L154" s="97">
        <v>17.463620158441724</v>
      </c>
      <c r="M154" s="97">
        <v>17.613485386301956</v>
      </c>
      <c r="N154" s="97">
        <v>17.967519897508506</v>
      </c>
      <c r="O154" s="97">
        <v>19.270376016033165</v>
      </c>
      <c r="P154" s="97">
        <v>19.449216543919981</v>
      </c>
      <c r="Q154" s="97">
        <v>19.387972053767999</v>
      </c>
      <c r="R154" s="97">
        <v>19.296533295776193</v>
      </c>
      <c r="S154" s="97">
        <v>19.713342440353536</v>
      </c>
      <c r="T154" s="97">
        <v>19.416577035327023</v>
      </c>
      <c r="U154" s="97">
        <v>19.580803116564404</v>
      </c>
      <c r="V154" s="97">
        <v>16.229481826470156</v>
      </c>
      <c r="W154" s="97">
        <v>15.039985916147538</v>
      </c>
      <c r="X154" s="97">
        <v>15.754311084793045</v>
      </c>
      <c r="Y154" s="97">
        <v>17.389138715946853</v>
      </c>
      <c r="DA154" s="175" t="s">
        <v>565</v>
      </c>
    </row>
    <row r="155" spans="1:105" ht="11.45" customHeight="1" x14ac:dyDescent="0.25">
      <c r="A155" s="111" t="s">
        <v>115</v>
      </c>
      <c r="B155" s="97">
        <v>16.822379314906215</v>
      </c>
      <c r="C155" s="97">
        <v>16.399825526391417</v>
      </c>
      <c r="D155" s="97">
        <v>16.463811615140621</v>
      </c>
      <c r="E155" s="97">
        <v>16.457098166668096</v>
      </c>
      <c r="F155" s="97">
        <v>16.447013201646847</v>
      </c>
      <c r="G155" s="97">
        <v>16.385335062331592</v>
      </c>
      <c r="H155" s="97">
        <v>16.399955906595864</v>
      </c>
      <c r="I155" s="97">
        <v>16.144397971161457</v>
      </c>
      <c r="J155" s="97">
        <v>16.236712276645054</v>
      </c>
      <c r="K155" s="97">
        <v>16.69546188970002</v>
      </c>
      <c r="L155" s="97">
        <v>17.463620158441724</v>
      </c>
      <c r="M155" s="97">
        <v>17.613485386301956</v>
      </c>
      <c r="N155" s="97">
        <v>17.967519897508506</v>
      </c>
      <c r="O155" s="97">
        <v>19.270376016033165</v>
      </c>
      <c r="P155" s="97">
        <v>19.449216543919981</v>
      </c>
      <c r="Q155" s="97">
        <v>19.387972053767999</v>
      </c>
      <c r="R155" s="97">
        <v>19.296533295776193</v>
      </c>
      <c r="S155" s="97">
        <v>19.713342440353536</v>
      </c>
      <c r="T155" s="97">
        <v>19.416577035327023</v>
      </c>
      <c r="U155" s="97">
        <v>19.580803116564404</v>
      </c>
      <c r="V155" s="97">
        <v>16.229481826470156</v>
      </c>
      <c r="W155" s="97">
        <v>15.039985916147538</v>
      </c>
      <c r="X155" s="97">
        <v>15.754311084793045</v>
      </c>
      <c r="Y155" s="97">
        <v>17.389138715946853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3.1925789587637703</v>
      </c>
      <c r="C156" s="32">
        <f t="shared" si="207"/>
        <v>3.2314520239563835</v>
      </c>
      <c r="D156" s="32">
        <f t="shared" si="207"/>
        <v>3.290719077180865</v>
      </c>
      <c r="E156" s="32">
        <f t="shared" si="207"/>
        <v>3.3357067403107634</v>
      </c>
      <c r="F156" s="32">
        <f t="shared" si="207"/>
        <v>3.547353667220003</v>
      </c>
      <c r="G156" s="32">
        <f t="shared" si="207"/>
        <v>3.5733575909160522</v>
      </c>
      <c r="H156" s="32">
        <f t="shared" si="207"/>
        <v>3.63661065136339</v>
      </c>
      <c r="I156" s="32">
        <f t="shared" si="207"/>
        <v>3.7216720823505316</v>
      </c>
      <c r="J156" s="32">
        <f t="shared" si="207"/>
        <v>3.69899222132825</v>
      </c>
      <c r="K156" s="32">
        <f t="shared" si="207"/>
        <v>3.2903079082321254</v>
      </c>
      <c r="L156" s="32">
        <f t="shared" ref="L156" si="208">IF(L19=0,0,L19/L46)</f>
        <v>3.3377481398278159</v>
      </c>
      <c r="M156" s="32">
        <f t="shared" ref="M156:V156" si="209">IF(M19=0,0,M19/M46)</f>
        <v>3.1901269228024267</v>
      </c>
      <c r="N156" s="32">
        <f t="shared" si="209"/>
        <v>3.0407655553294086</v>
      </c>
      <c r="O156" s="32">
        <f t="shared" si="209"/>
        <v>3.0315518864042601</v>
      </c>
      <c r="P156" s="32">
        <f t="shared" si="209"/>
        <v>2.989254933998537</v>
      </c>
      <c r="Q156" s="32">
        <f t="shared" si="209"/>
        <v>2.8187096995151211</v>
      </c>
      <c r="R156" s="32">
        <f t="shared" si="209"/>
        <v>2.8719515725218643</v>
      </c>
      <c r="S156" s="32">
        <f t="shared" si="209"/>
        <v>2.9714649464470844</v>
      </c>
      <c r="T156" s="32">
        <f t="shared" si="209"/>
        <v>3.013651453170318</v>
      </c>
      <c r="U156" s="32">
        <f t="shared" si="209"/>
        <v>3.0402610656381621</v>
      </c>
      <c r="V156" s="32">
        <f t="shared" si="209"/>
        <v>3.3201728495831548</v>
      </c>
      <c r="W156" s="32">
        <f t="shared" ref="W156:Y156" si="210">IF(W19=0,0,W19/W46)</f>
        <v>3.0785751174553848</v>
      </c>
      <c r="X156" s="32">
        <f t="shared" si="210"/>
        <v>3.0248472133330107</v>
      </c>
      <c r="Y156" s="32">
        <f t="shared" si="210"/>
        <v>2.9110645793479422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0.23934710728571496</v>
      </c>
      <c r="C157" s="141">
        <f t="shared" si="211"/>
        <v>0.23974763232417787</v>
      </c>
      <c r="D157" s="141">
        <f t="shared" si="211"/>
        <v>0.24115150653725104</v>
      </c>
      <c r="E157" s="141">
        <f t="shared" si="211"/>
        <v>0.24303900372863724</v>
      </c>
      <c r="F157" s="141">
        <f t="shared" si="211"/>
        <v>0.24461181048770658</v>
      </c>
      <c r="G157" s="141">
        <f t="shared" si="211"/>
        <v>0.24563077046989837</v>
      </c>
      <c r="H157" s="141">
        <f t="shared" si="211"/>
        <v>0.24574757585519863</v>
      </c>
      <c r="I157" s="141">
        <f t="shared" si="211"/>
        <v>0.24611414953391034</v>
      </c>
      <c r="J157" s="141">
        <f t="shared" si="211"/>
        <v>0.24819564055657331</v>
      </c>
      <c r="K157" s="141">
        <f t="shared" si="211"/>
        <v>0.2474019899731576</v>
      </c>
      <c r="L157" s="141">
        <f t="shared" ref="L157" si="212">IF(L20=0,0,L20/L47)</f>
        <v>0.24577796188288889</v>
      </c>
      <c r="M157" s="141">
        <f t="shared" ref="M157:V157" si="213">IF(M20=0,0,M20/M47)</f>
        <v>0.2427008901916102</v>
      </c>
      <c r="N157" s="141">
        <f t="shared" si="213"/>
        <v>0.24178368395981112</v>
      </c>
      <c r="O157" s="141">
        <f t="shared" si="213"/>
        <v>0.24065101482242385</v>
      </c>
      <c r="P157" s="141">
        <f t="shared" si="213"/>
        <v>0.24140353513654889</v>
      </c>
      <c r="Q157" s="141">
        <f t="shared" si="213"/>
        <v>0.23976517840761519</v>
      </c>
      <c r="R157" s="141">
        <f t="shared" si="213"/>
        <v>0.23976361838717916</v>
      </c>
      <c r="S157" s="141">
        <f t="shared" si="213"/>
        <v>0.23780666548627857</v>
      </c>
      <c r="T157" s="141">
        <f t="shared" si="213"/>
        <v>0.23759786015366055</v>
      </c>
      <c r="U157" s="141">
        <f t="shared" si="213"/>
        <v>0.23687043477288616</v>
      </c>
      <c r="V157" s="141">
        <f t="shared" si="213"/>
        <v>0.24424359802633866</v>
      </c>
      <c r="W157" s="141">
        <f t="shared" ref="W157:Y157" si="214">IF(W20=0,0,W20/W47)</f>
        <v>0.23666214660803081</v>
      </c>
      <c r="X157" s="141">
        <f t="shared" si="214"/>
        <v>0.23601405768543895</v>
      </c>
      <c r="Y157" s="141">
        <f t="shared" si="214"/>
        <v>0.23480603353732515</v>
      </c>
      <c r="DA157" s="174" t="s">
        <v>568</v>
      </c>
    </row>
    <row r="158" spans="1:105" ht="11.45" customHeight="1" x14ac:dyDescent="0.25">
      <c r="A158" s="111" t="s">
        <v>110</v>
      </c>
      <c r="B158" s="96">
        <v>0.18243578200569907</v>
      </c>
      <c r="C158" s="96">
        <v>0.18162573015493028</v>
      </c>
      <c r="D158" s="96">
        <v>0.18178709669195717</v>
      </c>
      <c r="E158" s="96">
        <v>0.18236079082725995</v>
      </c>
      <c r="F158" s="96">
        <v>0.18287665105462686</v>
      </c>
      <c r="G158" s="96">
        <v>0.18320058608431672</v>
      </c>
      <c r="H158" s="96">
        <v>0.18299171443584891</v>
      </c>
      <c r="I158" s="96">
        <v>0.18355813129429421</v>
      </c>
      <c r="J158" s="96">
        <v>0.1867852731768562</v>
      </c>
      <c r="K158" s="96">
        <v>0.18786615964605222</v>
      </c>
      <c r="L158" s="96">
        <v>0.18846155903149334</v>
      </c>
      <c r="M158" s="96">
        <v>0.18791532308451889</v>
      </c>
      <c r="N158" s="96">
        <v>0.18913450708748789</v>
      </c>
      <c r="O158" s="96">
        <v>0.19019281301678212</v>
      </c>
      <c r="P158" s="96">
        <v>0.19251257924849233</v>
      </c>
      <c r="Q158" s="96">
        <v>0.19291412015779605</v>
      </c>
      <c r="R158" s="96">
        <v>0.19093228628685935</v>
      </c>
      <c r="S158" s="96">
        <v>0.18746890144431869</v>
      </c>
      <c r="T158" s="96">
        <v>0.18552019085237598</v>
      </c>
      <c r="U158" s="96">
        <v>0.18310343185937178</v>
      </c>
      <c r="V158" s="96">
        <v>0.18722025052374835</v>
      </c>
      <c r="W158" s="96">
        <v>0.17953067814443463</v>
      </c>
      <c r="X158" s="96">
        <v>0.17753085676865737</v>
      </c>
      <c r="Y158" s="96">
        <v>0.17525625410003517</v>
      </c>
      <c r="DA158" s="171" t="s">
        <v>569</v>
      </c>
    </row>
    <row r="159" spans="1:105" ht="11.45" customHeight="1" x14ac:dyDescent="0.25">
      <c r="A159" s="111" t="s">
        <v>111</v>
      </c>
      <c r="B159" s="96">
        <v>0.24941308698173484</v>
      </c>
      <c r="C159" s="96">
        <v>0.24805905322485222</v>
      </c>
      <c r="D159" s="96">
        <v>0.24807965110315516</v>
      </c>
      <c r="E159" s="96">
        <v>0.24861981536963024</v>
      </c>
      <c r="F159" s="96">
        <v>0.24910742851494935</v>
      </c>
      <c r="G159" s="96">
        <v>0.24945342565884188</v>
      </c>
      <c r="H159" s="96">
        <v>0.24904320851755246</v>
      </c>
      <c r="I159" s="96">
        <v>0.24893677558435839</v>
      </c>
      <c r="J159" s="96">
        <v>0.25069561084553882</v>
      </c>
      <c r="K159" s="96">
        <v>0.24957891994029607</v>
      </c>
      <c r="L159" s="96">
        <v>0.24797965055605908</v>
      </c>
      <c r="M159" s="96">
        <v>0.24496966831270228</v>
      </c>
      <c r="N159" s="96">
        <v>0.24409414977651456</v>
      </c>
      <c r="O159" s="96">
        <v>0.24300094702077649</v>
      </c>
      <c r="P159" s="96">
        <v>0.24345821386567815</v>
      </c>
      <c r="Q159" s="96">
        <v>0.2415434058742161</v>
      </c>
      <c r="R159" s="96">
        <v>0.24159949042137796</v>
      </c>
      <c r="S159" s="96">
        <v>0.2396455287396648</v>
      </c>
      <c r="T159" s="96">
        <v>0.23953887255961398</v>
      </c>
      <c r="U159" s="96">
        <v>0.2388048981752777</v>
      </c>
      <c r="V159" s="96">
        <v>0.24631173477199947</v>
      </c>
      <c r="W159" s="96">
        <v>0.23887623833918956</v>
      </c>
      <c r="X159" s="96">
        <v>0.23848509560484071</v>
      </c>
      <c r="Y159" s="96">
        <v>0.23778412195935114</v>
      </c>
      <c r="DA159" s="171" t="s">
        <v>570</v>
      </c>
    </row>
    <row r="160" spans="1:105" ht="11.45" customHeight="1" x14ac:dyDescent="0.25">
      <c r="A160" s="111" t="s">
        <v>112</v>
      </c>
      <c r="B160" s="96">
        <v>0.19411081694381827</v>
      </c>
      <c r="C160" s="96">
        <v>0.19324892557146309</v>
      </c>
      <c r="D160" s="96">
        <v>0.19342061881050487</v>
      </c>
      <c r="E160" s="96">
        <v>0.19403102668145655</v>
      </c>
      <c r="F160" s="96">
        <v>0.19457989954544266</v>
      </c>
      <c r="G160" s="96">
        <v>0.19492456489868926</v>
      </c>
      <c r="H160" s="96">
        <v>0.19492664369247065</v>
      </c>
      <c r="I160" s="96">
        <v>0.19532701274551156</v>
      </c>
      <c r="J160" s="96">
        <v>0.19722307567826497</v>
      </c>
      <c r="K160" s="96">
        <v>0.19682944503370958</v>
      </c>
      <c r="L160" s="96">
        <v>0.19592538315155256</v>
      </c>
      <c r="M160" s="96">
        <v>0.19384586227257822</v>
      </c>
      <c r="N160" s="96">
        <v>0.19359383680261039</v>
      </c>
      <c r="O160" s="96">
        <v>0.19317070817283685</v>
      </c>
      <c r="P160" s="96">
        <v>0.19401383384521728</v>
      </c>
      <c r="Q160" s="96">
        <v>0.19291412015779608</v>
      </c>
      <c r="R160" s="96">
        <v>0.19242121741837448</v>
      </c>
      <c r="S160" s="96">
        <v>0.19040414765403049</v>
      </c>
      <c r="T160" s="96">
        <v>0.18989430381866043</v>
      </c>
      <c r="U160" s="96">
        <v>0.18888210951208098</v>
      </c>
      <c r="V160" s="96">
        <v>0.19463491391082743</v>
      </c>
      <c r="W160" s="96">
        <v>0.18809626923907338</v>
      </c>
      <c r="X160" s="96">
        <v>0.18745151051903405</v>
      </c>
      <c r="Y160" s="96">
        <v>0.18649285834929533</v>
      </c>
      <c r="DA160" s="171" t="s">
        <v>571</v>
      </c>
    </row>
    <row r="161" spans="1:105" ht="11.45" customHeight="1" x14ac:dyDescent="0.25">
      <c r="A161" s="111" t="s">
        <v>113</v>
      </c>
      <c r="B161" s="96">
        <v>0.19450138512707305</v>
      </c>
      <c r="C161" s="96">
        <v>0.19324892557146309</v>
      </c>
      <c r="D161" s="96">
        <v>0.19342061881050487</v>
      </c>
      <c r="E161" s="96">
        <v>0.19403102668145655</v>
      </c>
      <c r="F161" s="96">
        <v>0.19457989954544266</v>
      </c>
      <c r="G161" s="96">
        <v>0.19492456489868926</v>
      </c>
      <c r="H161" s="96">
        <v>0.19492664369247065</v>
      </c>
      <c r="I161" s="96">
        <v>0.19532701274551156</v>
      </c>
      <c r="J161" s="96">
        <v>0.19722307567826497</v>
      </c>
      <c r="K161" s="96">
        <v>0.19682944503370958</v>
      </c>
      <c r="L161" s="96">
        <v>0.19592538315155256</v>
      </c>
      <c r="M161" s="96">
        <v>0.19384586227257822</v>
      </c>
      <c r="N161" s="96">
        <v>0.19359383680261039</v>
      </c>
      <c r="O161" s="96">
        <v>0.19317070817283685</v>
      </c>
      <c r="P161" s="96">
        <v>0.19401383384521731</v>
      </c>
      <c r="Q161" s="96">
        <v>0.19291412015779605</v>
      </c>
      <c r="R161" s="96">
        <v>0.19242121741837448</v>
      </c>
      <c r="S161" s="96">
        <v>0.19040414765403049</v>
      </c>
      <c r="T161" s="96">
        <v>0.19065542763817936</v>
      </c>
      <c r="U161" s="96">
        <v>0.1903992775420901</v>
      </c>
      <c r="V161" s="96">
        <v>0.19698468161356802</v>
      </c>
      <c r="W161" s="96">
        <v>0.19113011673384223</v>
      </c>
      <c r="X161" s="96">
        <v>0.19123840972143888</v>
      </c>
      <c r="Y161" s="96">
        <v>0.19102298199042467</v>
      </c>
      <c r="DA161" s="171" t="s">
        <v>572</v>
      </c>
    </row>
    <row r="162" spans="1:105" ht="11.45" customHeight="1" x14ac:dyDescent="0.25">
      <c r="A162" s="111" t="s">
        <v>115</v>
      </c>
      <c r="B162" s="96">
        <v>0.19349103547534216</v>
      </c>
      <c r="C162" s="96">
        <v>0.193450037321409</v>
      </c>
      <c r="D162" s="96">
        <v>0.19344185675091155</v>
      </c>
      <c r="E162" s="96">
        <v>0.19341283446963584</v>
      </c>
      <c r="F162" s="96">
        <v>0.19338681947006009</v>
      </c>
      <c r="G162" s="96">
        <v>0.19337052258605164</v>
      </c>
      <c r="H162" s="96">
        <v>0.19336001847006451</v>
      </c>
      <c r="I162" s="96">
        <v>0.1933594496733006</v>
      </c>
      <c r="J162" s="96">
        <v>0.19328883809176278</v>
      </c>
      <c r="K162" s="96">
        <v>0.19325213579063821</v>
      </c>
      <c r="L162" s="96">
        <v>0.19319146626065264</v>
      </c>
      <c r="M162" s="96">
        <v>0.1930750286589259</v>
      </c>
      <c r="N162" s="96">
        <v>0.19304477299691741</v>
      </c>
      <c r="O162" s="96">
        <v>0.19300636909326488</v>
      </c>
      <c r="P162" s="96">
        <v>0.1929846331812087</v>
      </c>
      <c r="Q162" s="96">
        <v>0.19291412015779605</v>
      </c>
      <c r="R162" s="96">
        <v>0.19291934030661761</v>
      </c>
      <c r="S162" s="96">
        <v>0.19299788215665076</v>
      </c>
      <c r="T162" s="96">
        <v>0.19300423481559864</v>
      </c>
      <c r="U162" s="96">
        <v>0.19303506735421103</v>
      </c>
      <c r="V162" s="96">
        <v>0.19749706152962221</v>
      </c>
      <c r="W162" s="96">
        <v>0.19303680492322484</v>
      </c>
      <c r="X162" s="96">
        <v>0.193050075599072</v>
      </c>
      <c r="Y162" s="96">
        <v>0.19307891750334724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12.585244247783228</v>
      </c>
      <c r="C163" s="130">
        <f t="shared" si="215"/>
        <v>12.672868921384163</v>
      </c>
      <c r="D163" s="130">
        <f t="shared" si="215"/>
        <v>12.773264632799105</v>
      </c>
      <c r="E163" s="130">
        <f t="shared" si="215"/>
        <v>12.794123053166308</v>
      </c>
      <c r="F163" s="130">
        <f t="shared" si="215"/>
        <v>12.665565342950204</v>
      </c>
      <c r="G163" s="130">
        <f t="shared" si="215"/>
        <v>12.616053442654225</v>
      </c>
      <c r="H163" s="130">
        <f t="shared" si="215"/>
        <v>12.789561236313858</v>
      </c>
      <c r="I163" s="130">
        <f t="shared" si="215"/>
        <v>12.88021863248529</v>
      </c>
      <c r="J163" s="130">
        <f t="shared" si="215"/>
        <v>12.964028144276611</v>
      </c>
      <c r="K163" s="130">
        <f t="shared" si="215"/>
        <v>12.796645106323744</v>
      </c>
      <c r="L163" s="130">
        <f t="shared" ref="L163" si="216">IF(L26=0,0,L26/L53)</f>
        <v>12.938835935367567</v>
      </c>
      <c r="M163" s="130">
        <f t="shared" ref="M163:V163" si="217">IF(M26=0,0,M26/M53)</f>
        <v>12.772916081455053</v>
      </c>
      <c r="N163" s="130">
        <f t="shared" si="217"/>
        <v>12.827668815445705</v>
      </c>
      <c r="O163" s="130">
        <f t="shared" si="217"/>
        <v>12.869279218286939</v>
      </c>
      <c r="P163" s="130">
        <f t="shared" si="217"/>
        <v>12.781610109479772</v>
      </c>
      <c r="Q163" s="130">
        <f t="shared" si="217"/>
        <v>12.677800956549071</v>
      </c>
      <c r="R163" s="130">
        <f t="shared" si="217"/>
        <v>12.485212772621058</v>
      </c>
      <c r="S163" s="130">
        <f t="shared" si="217"/>
        <v>12.921428232246743</v>
      </c>
      <c r="T163" s="130">
        <f t="shared" si="217"/>
        <v>13.284710049355557</v>
      </c>
      <c r="U163" s="130">
        <f t="shared" si="217"/>
        <v>13.217427434090446</v>
      </c>
      <c r="V163" s="130">
        <f t="shared" si="217"/>
        <v>13.177508503906456</v>
      </c>
      <c r="W163" s="130">
        <f t="shared" ref="W163:Y163" si="218">IF(W26=0,0,W26/W53)</f>
        <v>13.253498196689588</v>
      </c>
      <c r="X163" s="130">
        <f t="shared" si="218"/>
        <v>13.296329242660402</v>
      </c>
      <c r="Y163" s="130">
        <f t="shared" si="218"/>
        <v>13.153799950332406</v>
      </c>
      <c r="DA163" s="176" t="s">
        <v>574</v>
      </c>
    </row>
    <row r="164" spans="1:105" ht="11.45" customHeight="1" x14ac:dyDescent="0.25">
      <c r="A164" s="128" t="s">
        <v>27</v>
      </c>
      <c r="B164" s="97">
        <v>11.863811532029375</v>
      </c>
      <c r="C164" s="97">
        <v>11.963097012277339</v>
      </c>
      <c r="D164" s="97">
        <v>12.030760507477497</v>
      </c>
      <c r="E164" s="97">
        <v>12.087706889234687</v>
      </c>
      <c r="F164" s="97">
        <v>11.949516505501833</v>
      </c>
      <c r="G164" s="97">
        <v>11.842593829304127</v>
      </c>
      <c r="H164" s="97">
        <v>12.052562157884324</v>
      </c>
      <c r="I164" s="97">
        <v>12.189542067384243</v>
      </c>
      <c r="J164" s="97">
        <v>12.406480218281036</v>
      </c>
      <c r="K164" s="97">
        <v>12.232144257154058</v>
      </c>
      <c r="L164" s="97">
        <v>12.218380548739683</v>
      </c>
      <c r="M164" s="97">
        <v>12.048266972214265</v>
      </c>
      <c r="N164" s="97">
        <v>12.11749670823329</v>
      </c>
      <c r="O164" s="97">
        <v>12.131827035449941</v>
      </c>
      <c r="P164" s="97">
        <v>11.956009177941294</v>
      </c>
      <c r="Q164" s="97">
        <v>11.806570258296414</v>
      </c>
      <c r="R164" s="97">
        <v>11.534554471284595</v>
      </c>
      <c r="S164" s="97">
        <v>12.179715580559462</v>
      </c>
      <c r="T164" s="97">
        <v>12.693677932405567</v>
      </c>
      <c r="U164" s="97">
        <v>12.625592417061611</v>
      </c>
      <c r="V164" s="97">
        <v>12.694277229312144</v>
      </c>
      <c r="W164" s="97">
        <v>12.671395167575994</v>
      </c>
      <c r="X164" s="97">
        <v>12.778396879726181</v>
      </c>
      <c r="Y164" s="97">
        <v>12.651841724304326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13.915448013039784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14.012038113892801</v>
      </c>
      <c r="T165" s="98">
        <v>14.146454243557946</v>
      </c>
      <c r="U165" s="98">
        <v>14.062037656310167</v>
      </c>
      <c r="V165" s="98">
        <v>13.861910981613583</v>
      </c>
      <c r="W165" s="98">
        <v>14.046303126595928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10554.015575193831</v>
      </c>
      <c r="C167" s="54">
        <f t="shared" si="219"/>
        <v>11006.878529695965</v>
      </c>
      <c r="D167" s="54">
        <f t="shared" si="219"/>
        <v>11080.20588345891</v>
      </c>
      <c r="E167" s="54">
        <f t="shared" si="219"/>
        <v>10972.06982585237</v>
      </c>
      <c r="F167" s="54">
        <f t="shared" si="219"/>
        <v>10981.490957586246</v>
      </c>
      <c r="G167" s="54">
        <f t="shared" si="219"/>
        <v>10918.263686878803</v>
      </c>
      <c r="H167" s="54">
        <f t="shared" si="219"/>
        <v>11009.448924030181</v>
      </c>
      <c r="I167" s="54">
        <f t="shared" si="219"/>
        <v>11107.321076134853</v>
      </c>
      <c r="J167" s="54">
        <f t="shared" si="219"/>
        <v>10641.842316719858</v>
      </c>
      <c r="K167" s="54">
        <f t="shared" si="219"/>
        <v>10557.722475547125</v>
      </c>
      <c r="L167" s="54">
        <f t="shared" si="219"/>
        <v>10487.025115545535</v>
      </c>
      <c r="M167" s="54">
        <f>IF(M30=0,0,M30*1000000/M57)</f>
        <v>10663.939609455794</v>
      </c>
      <c r="N167" s="54">
        <f t="shared" ref="N167:V167" si="220">IF(N30=0,0,N30*1000000/N57)</f>
        <v>10655.952730505986</v>
      </c>
      <c r="O167" s="54">
        <f t="shared" si="220"/>
        <v>10645.142153594255</v>
      </c>
      <c r="P167" s="54">
        <f t="shared" si="220"/>
        <v>10711.56655094795</v>
      </c>
      <c r="Q167" s="54">
        <f t="shared" si="220"/>
        <v>10904.57917733978</v>
      </c>
      <c r="R167" s="54">
        <f t="shared" si="220"/>
        <v>11010.077486067757</v>
      </c>
      <c r="S167" s="54">
        <f t="shared" si="220"/>
        <v>11109.245174716936</v>
      </c>
      <c r="T167" s="54">
        <f t="shared" si="220"/>
        <v>10987.167295960322</v>
      </c>
      <c r="U167" s="54">
        <f t="shared" si="220"/>
        <v>11116.04338082022</v>
      </c>
      <c r="V167" s="54">
        <f t="shared" si="220"/>
        <v>9357.9340711721597</v>
      </c>
      <c r="W167" s="54">
        <f t="shared" ref="W167:Y191" si="221">IF(W30=0,0,W30*1000000/W57)</f>
        <v>10732.13654276206</v>
      </c>
      <c r="X167" s="54">
        <f t="shared" si="221"/>
        <v>11415.550567160504</v>
      </c>
      <c r="Y167" s="54">
        <f t="shared" si="221"/>
        <v>11604.435375878638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10094.007737477408</v>
      </c>
      <c r="C168" s="28">
        <f t="shared" si="219"/>
        <v>10580.847923412875</v>
      </c>
      <c r="D168" s="28">
        <f t="shared" si="219"/>
        <v>10675.976107397804</v>
      </c>
      <c r="E168" s="28">
        <f t="shared" si="219"/>
        <v>10576.589809201716</v>
      </c>
      <c r="F168" s="28">
        <f t="shared" si="219"/>
        <v>10558.603246061461</v>
      </c>
      <c r="G168" s="28">
        <f t="shared" si="219"/>
        <v>10497.255061826927</v>
      </c>
      <c r="H168" s="28">
        <f t="shared" si="219"/>
        <v>10589.294480662255</v>
      </c>
      <c r="I168" s="28">
        <f t="shared" si="219"/>
        <v>10694.673817165742</v>
      </c>
      <c r="J168" s="28">
        <f t="shared" si="219"/>
        <v>10260.499526449903</v>
      </c>
      <c r="K168" s="28">
        <f t="shared" si="219"/>
        <v>10214.611516194507</v>
      </c>
      <c r="L168" s="28">
        <f t="shared" si="219"/>
        <v>10071.811589002305</v>
      </c>
      <c r="M168" s="28">
        <f t="shared" ref="M168:M192" si="222">IF(M31=0,0,M31*1000000/M58)</f>
        <v>10190.51087783048</v>
      </c>
      <c r="N168" s="28">
        <f t="shared" si="219"/>
        <v>10184.327438732211</v>
      </c>
      <c r="O168" s="28">
        <f t="shared" si="219"/>
        <v>10134.855151379887</v>
      </c>
      <c r="P168" s="28">
        <f t="shared" si="219"/>
        <v>10240.252190948237</v>
      </c>
      <c r="Q168" s="28">
        <f t="shared" si="219"/>
        <v>10412.533154787176</v>
      </c>
      <c r="R168" s="28">
        <f t="shared" si="219"/>
        <v>10517.952841402803</v>
      </c>
      <c r="S168" s="28">
        <f t="shared" si="219"/>
        <v>10544.735067810087</v>
      </c>
      <c r="T168" s="28">
        <f t="shared" si="219"/>
        <v>10408.197774702447</v>
      </c>
      <c r="U168" s="28">
        <f t="shared" si="219"/>
        <v>10517.661743045972</v>
      </c>
      <c r="V168" s="28">
        <f t="shared" si="219"/>
        <v>8758.7124576462029</v>
      </c>
      <c r="W168" s="28">
        <f t="shared" si="221"/>
        <v>10065.384548122754</v>
      </c>
      <c r="X168" s="28">
        <f t="shared" si="221"/>
        <v>10850.407605067965</v>
      </c>
      <c r="Y168" s="28">
        <f t="shared" si="221"/>
        <v>11053.579151636315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3035.2852089134167</v>
      </c>
      <c r="C169" s="137">
        <f t="shared" si="219"/>
        <v>3291.1010973684006</v>
      </c>
      <c r="D169" s="137">
        <f t="shared" si="219"/>
        <v>3660.8603993599691</v>
      </c>
      <c r="E169" s="137">
        <f t="shared" si="219"/>
        <v>3660.8882567446149</v>
      </c>
      <c r="F169" s="137">
        <f t="shared" si="219"/>
        <v>3886.677984275982</v>
      </c>
      <c r="G169" s="137">
        <f t="shared" si="219"/>
        <v>3974.603233411457</v>
      </c>
      <c r="H169" s="137">
        <f t="shared" si="219"/>
        <v>3887.0823761797446</v>
      </c>
      <c r="I169" s="137">
        <f t="shared" si="219"/>
        <v>3762.4879113176262</v>
      </c>
      <c r="J169" s="137">
        <f t="shared" si="219"/>
        <v>3735.5599663920552</v>
      </c>
      <c r="K169" s="137">
        <f t="shared" si="219"/>
        <v>3704.7487223168655</v>
      </c>
      <c r="L169" s="137">
        <f t="shared" si="219"/>
        <v>3611.6593980131211</v>
      </c>
      <c r="M169" s="137">
        <f t="shared" si="222"/>
        <v>3636.9392947740325</v>
      </c>
      <c r="N169" s="137">
        <f t="shared" si="219"/>
        <v>3702.7775180431036</v>
      </c>
      <c r="O169" s="137">
        <f t="shared" si="219"/>
        <v>3793.078217604449</v>
      </c>
      <c r="P169" s="137">
        <f t="shared" si="219"/>
        <v>3891.357348228611</v>
      </c>
      <c r="Q169" s="137">
        <f t="shared" si="219"/>
        <v>3927.5437832457146</v>
      </c>
      <c r="R169" s="137">
        <f t="shared" si="219"/>
        <v>3639.8728701037289</v>
      </c>
      <c r="S169" s="137">
        <f t="shared" si="219"/>
        <v>3525.5878138371504</v>
      </c>
      <c r="T169" s="137">
        <f t="shared" si="219"/>
        <v>3329.4125056801859</v>
      </c>
      <c r="U169" s="137">
        <f t="shared" si="219"/>
        <v>3572.8711330457063</v>
      </c>
      <c r="V169" s="137">
        <f t="shared" si="219"/>
        <v>3018.8537741483638</v>
      </c>
      <c r="W169" s="137">
        <f t="shared" si="221"/>
        <v>3541.2252183130636</v>
      </c>
      <c r="X169" s="137">
        <f t="shared" si="221"/>
        <v>3501.6218676212202</v>
      </c>
      <c r="Y169" s="137">
        <f t="shared" si="221"/>
        <v>3696.4754301354974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10822.549032903318</v>
      </c>
      <c r="C170" s="110">
        <f t="shared" si="219"/>
        <v>11336.913132124968</v>
      </c>
      <c r="D170" s="110">
        <f t="shared" si="219"/>
        <v>11389.006875574167</v>
      </c>
      <c r="E170" s="110">
        <f t="shared" si="219"/>
        <v>11270.344716518508</v>
      </c>
      <c r="F170" s="110">
        <f t="shared" si="219"/>
        <v>11220.689375193595</v>
      </c>
      <c r="G170" s="110">
        <f t="shared" si="219"/>
        <v>11142.337935228234</v>
      </c>
      <c r="H170" s="110">
        <f t="shared" si="219"/>
        <v>11263.847471819488</v>
      </c>
      <c r="I170" s="110">
        <f t="shared" si="219"/>
        <v>11442.934306481609</v>
      </c>
      <c r="J170" s="110">
        <f t="shared" si="219"/>
        <v>10987.682177161902</v>
      </c>
      <c r="K170" s="110">
        <f t="shared" si="219"/>
        <v>10958.407825570137</v>
      </c>
      <c r="L170" s="110">
        <f t="shared" si="219"/>
        <v>10815.026315542729</v>
      </c>
      <c r="M170" s="110">
        <f t="shared" si="222"/>
        <v>10905.179620775034</v>
      </c>
      <c r="N170" s="110">
        <f t="shared" si="219"/>
        <v>10879.053085171479</v>
      </c>
      <c r="O170" s="110">
        <f t="shared" si="219"/>
        <v>10801.377035581216</v>
      </c>
      <c r="P170" s="110">
        <f t="shared" si="219"/>
        <v>10898.85269545188</v>
      </c>
      <c r="Q170" s="110">
        <f t="shared" si="219"/>
        <v>11075.475216844368</v>
      </c>
      <c r="R170" s="110">
        <f t="shared" si="219"/>
        <v>11215.840271737665</v>
      </c>
      <c r="S170" s="110">
        <f t="shared" si="219"/>
        <v>11241.524921920742</v>
      </c>
      <c r="T170" s="110">
        <f t="shared" si="219"/>
        <v>11110.631876869467</v>
      </c>
      <c r="U170" s="110">
        <f t="shared" si="219"/>
        <v>11205.345068284183</v>
      </c>
      <c r="V170" s="110">
        <f t="shared" si="219"/>
        <v>9330.1533785950451</v>
      </c>
      <c r="W170" s="110">
        <f t="shared" si="221"/>
        <v>10647.734188296585</v>
      </c>
      <c r="X170" s="110">
        <f t="shared" si="221"/>
        <v>11523.647844615974</v>
      </c>
      <c r="Y170" s="110">
        <f t="shared" si="221"/>
        <v>11736.985512256473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8740.3191291365565</v>
      </c>
      <c r="C171" s="84">
        <f t="shared" si="219"/>
        <v>8935.5990340452809</v>
      </c>
      <c r="D171" s="84">
        <f t="shared" si="219"/>
        <v>8957.2496710740343</v>
      </c>
      <c r="E171" s="84">
        <f t="shared" si="219"/>
        <v>8680.4048182133301</v>
      </c>
      <c r="F171" s="84">
        <f t="shared" si="219"/>
        <v>8568.0845336819075</v>
      </c>
      <c r="G171" s="84">
        <f t="shared" si="219"/>
        <v>8405.5428433252273</v>
      </c>
      <c r="H171" s="84">
        <f t="shared" si="219"/>
        <v>8192.0415820298476</v>
      </c>
      <c r="I171" s="84">
        <f t="shared" si="219"/>
        <v>8013.4196665519339</v>
      </c>
      <c r="J171" s="84">
        <f t="shared" si="219"/>
        <v>7488.7983942097844</v>
      </c>
      <c r="K171" s="84">
        <f t="shared" si="219"/>
        <v>7478.9465580176793</v>
      </c>
      <c r="L171" s="84">
        <f t="shared" si="219"/>
        <v>7123.7242398960507</v>
      </c>
      <c r="M171" s="84">
        <f t="shared" si="222"/>
        <v>7583.7858130259956</v>
      </c>
      <c r="N171" s="84">
        <f t="shared" si="219"/>
        <v>7288.6970145324985</v>
      </c>
      <c r="O171" s="84">
        <f t="shared" si="219"/>
        <v>7180.3125811236714</v>
      </c>
      <c r="P171" s="84">
        <f t="shared" si="219"/>
        <v>7349.84119156817</v>
      </c>
      <c r="Q171" s="84">
        <f t="shared" si="219"/>
        <v>7568.0255568610773</v>
      </c>
      <c r="R171" s="84">
        <f t="shared" si="219"/>
        <v>7897.3106162654476</v>
      </c>
      <c r="S171" s="84">
        <f t="shared" si="219"/>
        <v>8137.135087968416</v>
      </c>
      <c r="T171" s="84">
        <f t="shared" si="219"/>
        <v>8335.3953651457341</v>
      </c>
      <c r="U171" s="84">
        <f t="shared" si="219"/>
        <v>8756.3882025918811</v>
      </c>
      <c r="V171" s="84">
        <f t="shared" si="219"/>
        <v>7494.7110613652167</v>
      </c>
      <c r="W171" s="84">
        <f t="shared" si="221"/>
        <v>8973.187692824049</v>
      </c>
      <c r="X171" s="84">
        <f t="shared" si="221"/>
        <v>9863.8268538902612</v>
      </c>
      <c r="Y171" s="84">
        <f t="shared" si="221"/>
        <v>10285.051125314842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14679.915687319157</v>
      </c>
      <c r="C172" s="84">
        <f t="shared" si="219"/>
        <v>15348.050958999538</v>
      </c>
      <c r="D172" s="84">
        <f t="shared" si="219"/>
        <v>15034.127986059266</v>
      </c>
      <c r="E172" s="84">
        <f t="shared" si="219"/>
        <v>14764.535350225688</v>
      </c>
      <c r="F172" s="84">
        <f t="shared" si="219"/>
        <v>14466.172061851266</v>
      </c>
      <c r="G172" s="84">
        <f t="shared" si="219"/>
        <v>14197.477161935265</v>
      </c>
      <c r="H172" s="84">
        <f t="shared" si="219"/>
        <v>14401.640734265497</v>
      </c>
      <c r="I172" s="84">
        <f t="shared" si="219"/>
        <v>14664.746364957251</v>
      </c>
      <c r="J172" s="84">
        <f t="shared" si="219"/>
        <v>13948.609681008467</v>
      </c>
      <c r="K172" s="84">
        <f t="shared" si="219"/>
        <v>13625.969228538401</v>
      </c>
      <c r="L172" s="84">
        <f t="shared" si="219"/>
        <v>13428.271433261705</v>
      </c>
      <c r="M172" s="84">
        <f t="shared" si="222"/>
        <v>12997.418090979172</v>
      </c>
      <c r="N172" s="84">
        <f t="shared" si="219"/>
        <v>13025.561838725809</v>
      </c>
      <c r="O172" s="84">
        <f t="shared" si="219"/>
        <v>12872.435005278894</v>
      </c>
      <c r="P172" s="84">
        <f t="shared" si="219"/>
        <v>12890.077317623716</v>
      </c>
      <c r="Q172" s="84">
        <f t="shared" si="219"/>
        <v>13049.103191464743</v>
      </c>
      <c r="R172" s="84">
        <f t="shared" si="219"/>
        <v>13122.519957111048</v>
      </c>
      <c r="S172" s="84">
        <f t="shared" si="219"/>
        <v>13097.953537302836</v>
      </c>
      <c r="T172" s="84">
        <f t="shared" si="219"/>
        <v>12885.137200045598</v>
      </c>
      <c r="U172" s="84">
        <f t="shared" si="219"/>
        <v>12890.975739814112</v>
      </c>
      <c r="V172" s="84">
        <f t="shared" si="219"/>
        <v>10649.726169595353</v>
      </c>
      <c r="W172" s="84">
        <f t="shared" si="221"/>
        <v>11924.180046179385</v>
      </c>
      <c r="X172" s="84">
        <f t="shared" si="221"/>
        <v>12888.868407175192</v>
      </c>
      <c r="Y172" s="84">
        <f t="shared" si="221"/>
        <v>13023.28688477686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8344.1018116588202</v>
      </c>
      <c r="C173" s="84">
        <f t="shared" si="219"/>
        <v>8543.5159346392702</v>
      </c>
      <c r="D173" s="84">
        <f t="shared" si="219"/>
        <v>8235.8066632126793</v>
      </c>
      <c r="E173" s="84">
        <f t="shared" si="219"/>
        <v>7841.3939074253822</v>
      </c>
      <c r="F173" s="84">
        <f t="shared" si="219"/>
        <v>7645.5176058187935</v>
      </c>
      <c r="G173" s="84">
        <f t="shared" si="219"/>
        <v>7709.1535509494979</v>
      </c>
      <c r="H173" s="84">
        <f t="shared" si="219"/>
        <v>7891.1201088738781</v>
      </c>
      <c r="I173" s="84">
        <f t="shared" si="219"/>
        <v>7868.4914313900854</v>
      </c>
      <c r="J173" s="84">
        <f t="shared" si="219"/>
        <v>7185.2378682070703</v>
      </c>
      <c r="K173" s="84">
        <f t="shared" si="219"/>
        <v>7531.7203848713125</v>
      </c>
      <c r="L173" s="84">
        <f t="shared" si="219"/>
        <v>7814.6566477883844</v>
      </c>
      <c r="M173" s="84">
        <f t="shared" si="222"/>
        <v>7455.4825692566956</v>
      </c>
      <c r="N173" s="84">
        <f t="shared" si="219"/>
        <v>7216.4492360159484</v>
      </c>
      <c r="O173" s="84">
        <f t="shared" si="219"/>
        <v>6791.3650248874465</v>
      </c>
      <c r="P173" s="84">
        <f t="shared" si="219"/>
        <v>6583.5689940958164</v>
      </c>
      <c r="Q173" s="84">
        <f t="shared" si="219"/>
        <v>6367.5496666932931</v>
      </c>
      <c r="R173" s="84">
        <f t="shared" si="219"/>
        <v>6126.2382221608923</v>
      </c>
      <c r="S173" s="84">
        <f t="shared" si="219"/>
        <v>5857.7188364279637</v>
      </c>
      <c r="T173" s="84">
        <f t="shared" si="219"/>
        <v>5493.2768105622335</v>
      </c>
      <c r="U173" s="84">
        <f t="shared" si="219"/>
        <v>5313.0817782670574</v>
      </c>
      <c r="V173" s="84">
        <f t="shared" si="219"/>
        <v>4191.0510965136327</v>
      </c>
      <c r="W173" s="84">
        <f t="shared" si="221"/>
        <v>4590.5644406045221</v>
      </c>
      <c r="X173" s="84">
        <f t="shared" si="221"/>
        <v>5288.8032835515933</v>
      </c>
      <c r="Y173" s="84">
        <f t="shared" si="221"/>
        <v>5661.2408639931837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19150.033820341429</v>
      </c>
      <c r="J174" s="84">
        <f t="shared" si="219"/>
        <v>18001.485561713976</v>
      </c>
      <c r="K174" s="84">
        <f t="shared" si="219"/>
        <v>17574.574472116648</v>
      </c>
      <c r="L174" s="84">
        <f t="shared" si="219"/>
        <v>16983.373651950751</v>
      </c>
      <c r="M174" s="84">
        <f t="shared" si="222"/>
        <v>16285.952477629824</v>
      </c>
      <c r="N174" s="84">
        <f t="shared" si="219"/>
        <v>16227.442997636197</v>
      </c>
      <c r="O174" s="84">
        <f t="shared" si="219"/>
        <v>15720.730850494441</v>
      </c>
      <c r="P174" s="84">
        <f t="shared" si="219"/>
        <v>15687.949301362847</v>
      </c>
      <c r="Q174" s="84">
        <f t="shared" si="219"/>
        <v>15619.468599917584</v>
      </c>
      <c r="R174" s="84">
        <f t="shared" si="219"/>
        <v>16134.82874997273</v>
      </c>
      <c r="S174" s="84">
        <f t="shared" si="219"/>
        <v>15914.810520800866</v>
      </c>
      <c r="T174" s="84">
        <f t="shared" si="219"/>
        <v>15395.964624539974</v>
      </c>
      <c r="U174" s="84">
        <f t="shared" si="219"/>
        <v>15361.173396779732</v>
      </c>
      <c r="V174" s="84">
        <f t="shared" si="219"/>
        <v>12499.80727593586</v>
      </c>
      <c r="W174" s="84">
        <f t="shared" si="221"/>
        <v>14583.197946406795</v>
      </c>
      <c r="X174" s="84">
        <f t="shared" si="221"/>
        <v>15681.257015223055</v>
      </c>
      <c r="Y174" s="84">
        <f t="shared" si="221"/>
        <v>15666.495872546202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7376.6631631029832</v>
      </c>
      <c r="O175" s="84">
        <f t="shared" si="219"/>
        <v>7279.0880571683847</v>
      </c>
      <c r="P175" s="84">
        <f t="shared" si="219"/>
        <v>7505.4526383367929</v>
      </c>
      <c r="Q175" s="84">
        <f t="shared" si="219"/>
        <v>7712.3467424544478</v>
      </c>
      <c r="R175" s="84">
        <f t="shared" si="219"/>
        <v>8003.5018331771216</v>
      </c>
      <c r="S175" s="84">
        <f t="shared" si="219"/>
        <v>8274.3660005616057</v>
      </c>
      <c r="T175" s="84">
        <f t="shared" si="219"/>
        <v>8449.7193525164112</v>
      </c>
      <c r="U175" s="84">
        <f t="shared" si="219"/>
        <v>8869.9396585527047</v>
      </c>
      <c r="V175" s="84">
        <f t="shared" si="219"/>
        <v>7525.4879120708647</v>
      </c>
      <c r="W175" s="84">
        <f t="shared" si="221"/>
        <v>8853.0730079757777</v>
      </c>
      <c r="X175" s="84">
        <f t="shared" si="221"/>
        <v>10011.971831256966</v>
      </c>
      <c r="Y175" s="84">
        <f t="shared" si="221"/>
        <v>10386.042145856994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13450.248083398559</v>
      </c>
      <c r="I176" s="84">
        <f t="shared" si="219"/>
        <v>13465.381305664694</v>
      </c>
      <c r="J176" s="84">
        <f t="shared" si="219"/>
        <v>13510.678561623296</v>
      </c>
      <c r="K176" s="84">
        <f t="shared" si="219"/>
        <v>13511.803382128084</v>
      </c>
      <c r="L176" s="84">
        <f t="shared" si="219"/>
        <v>13546.067572506798</v>
      </c>
      <c r="M176" s="84">
        <f t="shared" si="222"/>
        <v>13560.418597723316</v>
      </c>
      <c r="N176" s="84">
        <f t="shared" si="219"/>
        <v>13576.097854220357</v>
      </c>
      <c r="O176" s="84">
        <f t="shared" si="219"/>
        <v>13584.823706538677</v>
      </c>
      <c r="P176" s="84">
        <f t="shared" si="219"/>
        <v>13606.990205833266</v>
      </c>
      <c r="Q176" s="84">
        <f t="shared" si="219"/>
        <v>13626.490841826833</v>
      </c>
      <c r="R176" s="84">
        <f t="shared" si="219"/>
        <v>13599.402194170498</v>
      </c>
      <c r="S176" s="84">
        <f t="shared" si="219"/>
        <v>13574.95264085654</v>
      </c>
      <c r="T176" s="84">
        <f t="shared" si="219"/>
        <v>13558.604120437627</v>
      </c>
      <c r="U176" s="84">
        <f t="shared" si="219"/>
        <v>13523.803974127384</v>
      </c>
      <c r="V176" s="84">
        <f t="shared" si="219"/>
        <v>11962.426135349502</v>
      </c>
      <c r="W176" s="84">
        <f t="shared" si="221"/>
        <v>13522.225065596884</v>
      </c>
      <c r="X176" s="84">
        <f t="shared" si="221"/>
        <v>13435.905222032268</v>
      </c>
      <c r="Y176" s="84">
        <f t="shared" si="221"/>
        <v>13409.948660369755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34492.598428535923</v>
      </c>
      <c r="C177" s="110">
        <f t="shared" si="219"/>
        <v>33839.876201130108</v>
      </c>
      <c r="D177" s="110">
        <f t="shared" si="219"/>
        <v>34508.954507283677</v>
      </c>
      <c r="E177" s="110">
        <f t="shared" si="219"/>
        <v>34369.894284068643</v>
      </c>
      <c r="F177" s="110">
        <f t="shared" si="219"/>
        <v>34464.888819436259</v>
      </c>
      <c r="G177" s="110">
        <f t="shared" si="219"/>
        <v>34032.912492105846</v>
      </c>
      <c r="H177" s="110">
        <f t="shared" si="219"/>
        <v>34767.453948899783</v>
      </c>
      <c r="I177" s="110">
        <f t="shared" si="219"/>
        <v>34870.730536038471</v>
      </c>
      <c r="J177" s="110">
        <f t="shared" si="219"/>
        <v>35553.545664017911</v>
      </c>
      <c r="K177" s="110">
        <f t="shared" si="219"/>
        <v>35258.381729552959</v>
      </c>
      <c r="L177" s="110">
        <f t="shared" si="219"/>
        <v>34552.325757356812</v>
      </c>
      <c r="M177" s="110">
        <f t="shared" si="222"/>
        <v>33908.76250510793</v>
      </c>
      <c r="N177" s="110">
        <f t="shared" si="219"/>
        <v>33266.769344697779</v>
      </c>
      <c r="O177" s="110">
        <f t="shared" si="219"/>
        <v>32546.692738183534</v>
      </c>
      <c r="P177" s="110">
        <f t="shared" si="219"/>
        <v>32549.135522082317</v>
      </c>
      <c r="Q177" s="110">
        <f t="shared" si="219"/>
        <v>33021.595514350745</v>
      </c>
      <c r="R177" s="110">
        <f t="shared" si="219"/>
        <v>33138.608892961558</v>
      </c>
      <c r="S177" s="110">
        <f t="shared" si="219"/>
        <v>31745.233745298228</v>
      </c>
      <c r="T177" s="110">
        <f t="shared" si="219"/>
        <v>31606.326833738905</v>
      </c>
      <c r="U177" s="110">
        <f t="shared" si="219"/>
        <v>31288.526976057725</v>
      </c>
      <c r="V177" s="110">
        <f t="shared" si="219"/>
        <v>22835.688183927272</v>
      </c>
      <c r="W177" s="110">
        <f t="shared" si="221"/>
        <v>26234.025551415725</v>
      </c>
      <c r="X177" s="110">
        <f t="shared" si="221"/>
        <v>28197.421821297747</v>
      </c>
      <c r="Y177" s="110">
        <f t="shared" si="221"/>
        <v>28381.580175035924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12438.621380996021</v>
      </c>
      <c r="C178" s="102">
        <f t="shared" si="219"/>
        <v>12314.734409263841</v>
      </c>
      <c r="D178" s="102">
        <f t="shared" si="219"/>
        <v>12697.494796913099</v>
      </c>
      <c r="E178" s="102">
        <f t="shared" si="219"/>
        <v>12771.489862664825</v>
      </c>
      <c r="F178" s="102">
        <f t="shared" si="219"/>
        <v>12937.935693150122</v>
      </c>
      <c r="G178" s="102">
        <f t="shared" si="219"/>
        <v>12896.68643064014</v>
      </c>
      <c r="H178" s="102">
        <f t="shared" si="219"/>
        <v>13322.336700484251</v>
      </c>
      <c r="I178" s="102">
        <f t="shared" si="219"/>
        <v>13498.881242797863</v>
      </c>
      <c r="J178" s="102">
        <f t="shared" si="219"/>
        <v>13915.715719687649</v>
      </c>
      <c r="K178" s="102">
        <f t="shared" si="219"/>
        <v>13933.774682208737</v>
      </c>
      <c r="L178" s="102">
        <f t="shared" si="219"/>
        <v>13778.731728301498</v>
      </c>
      <c r="M178" s="102">
        <f t="shared" si="222"/>
        <v>13645.845117541236</v>
      </c>
      <c r="N178" s="102">
        <f t="shared" si="219"/>
        <v>13509.798261264757</v>
      </c>
      <c r="O178" s="102">
        <f t="shared" si="219"/>
        <v>13336.280396378836</v>
      </c>
      <c r="P178" s="102">
        <f t="shared" si="219"/>
        <v>13472.051916269338</v>
      </c>
      <c r="Q178" s="102">
        <f t="shared" si="219"/>
        <v>13815.610402847326</v>
      </c>
      <c r="R178" s="102">
        <f t="shared" si="219"/>
        <v>13728.348753565931</v>
      </c>
      <c r="S178" s="102">
        <f t="shared" si="219"/>
        <v>13442.886979436462</v>
      </c>
      <c r="T178" s="102">
        <f t="shared" si="219"/>
        <v>13456.842972912116</v>
      </c>
      <c r="U178" s="102">
        <f t="shared" si="219"/>
        <v>12940.371570345014</v>
      </c>
      <c r="V178" s="102">
        <f t="shared" si="219"/>
        <v>9617.3262269860352</v>
      </c>
      <c r="W178" s="102">
        <f t="shared" si="221"/>
        <v>10128.302649379721</v>
      </c>
      <c r="X178" s="102">
        <f t="shared" si="221"/>
        <v>10816.420238308699</v>
      </c>
      <c r="Y178" s="102">
        <f t="shared" si="221"/>
        <v>10781.700797678684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34832.621922899802</v>
      </c>
      <c r="C179" s="102">
        <f t="shared" si="219"/>
        <v>34125.369509294746</v>
      </c>
      <c r="D179" s="102">
        <f t="shared" si="219"/>
        <v>34777.05790501798</v>
      </c>
      <c r="E179" s="102">
        <f t="shared" si="219"/>
        <v>34596.32017618433</v>
      </c>
      <c r="F179" s="102">
        <f t="shared" si="219"/>
        <v>34653.486960421389</v>
      </c>
      <c r="G179" s="102">
        <f t="shared" si="219"/>
        <v>34182.976013678046</v>
      </c>
      <c r="H179" s="102">
        <f t="shared" si="219"/>
        <v>34875.470304954259</v>
      </c>
      <c r="I179" s="102">
        <f t="shared" si="219"/>
        <v>34946.028878674035</v>
      </c>
      <c r="J179" s="102">
        <f t="shared" si="219"/>
        <v>35586.666299669138</v>
      </c>
      <c r="K179" s="102">
        <f t="shared" si="219"/>
        <v>35266.175782909493</v>
      </c>
      <c r="L179" s="102">
        <f t="shared" si="219"/>
        <v>34536.205508200954</v>
      </c>
      <c r="M179" s="102">
        <f t="shared" si="222"/>
        <v>33680.80842699996</v>
      </c>
      <c r="N179" s="102">
        <f t="shared" si="219"/>
        <v>32998.405555505407</v>
      </c>
      <c r="O179" s="102">
        <f t="shared" si="219"/>
        <v>32156.293748244574</v>
      </c>
      <c r="P179" s="102">
        <f t="shared" si="219"/>
        <v>32142.855473776701</v>
      </c>
      <c r="Q179" s="102">
        <f t="shared" si="219"/>
        <v>32611.435116301112</v>
      </c>
      <c r="R179" s="102">
        <f t="shared" si="219"/>
        <v>32706.997587238027</v>
      </c>
      <c r="S179" s="102">
        <f t="shared" si="219"/>
        <v>31228.359725761889</v>
      </c>
      <c r="T179" s="102">
        <f t="shared" si="219"/>
        <v>30994.092958343077</v>
      </c>
      <c r="U179" s="102">
        <f t="shared" si="219"/>
        <v>30512.471923380788</v>
      </c>
      <c r="V179" s="102">
        <f t="shared" si="219"/>
        <v>21868.044246901307</v>
      </c>
      <c r="W179" s="102">
        <f t="shared" si="221"/>
        <v>25086.715450739332</v>
      </c>
      <c r="X179" s="102">
        <f t="shared" si="221"/>
        <v>26720.329589882658</v>
      </c>
      <c r="Y179" s="102">
        <f t="shared" si="221"/>
        <v>26620.819177429199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23225.490350987769</v>
      </c>
      <c r="C180" s="102">
        <f t="shared" si="219"/>
        <v>22764.225959797433</v>
      </c>
      <c r="D180" s="102">
        <f t="shared" si="219"/>
        <v>23237.054471772837</v>
      </c>
      <c r="E180" s="102">
        <f t="shared" si="219"/>
        <v>23138.744474194995</v>
      </c>
      <c r="F180" s="102">
        <f t="shared" ref="B180:V192" si="223">IF(F43=0,0,F43*1000000/F70)</f>
        <v>23205.899651025862</v>
      </c>
      <c r="G180" s="102">
        <f t="shared" si="223"/>
        <v>23012.09686282347</v>
      </c>
      <c r="H180" s="102">
        <f t="shared" si="223"/>
        <v>23771.602437532041</v>
      </c>
      <c r="I180" s="102">
        <f t="shared" si="223"/>
        <v>24086.618246451115</v>
      </c>
      <c r="J180" s="102">
        <f t="shared" si="223"/>
        <v>24830.393433165947</v>
      </c>
      <c r="K180" s="102">
        <f t="shared" si="223"/>
        <v>24862.616795113412</v>
      </c>
      <c r="L180" s="102">
        <f t="shared" si="223"/>
        <v>24585.96716945956</v>
      </c>
      <c r="M180" s="102">
        <f t="shared" si="222"/>
        <v>24348.852033332638</v>
      </c>
      <c r="N180" s="102">
        <f t="shared" si="223"/>
        <v>24106.09793898799</v>
      </c>
      <c r="O180" s="102">
        <f t="shared" si="223"/>
        <v>23796.482757161248</v>
      </c>
      <c r="P180" s="102">
        <f t="shared" si="223"/>
        <v>24038.745557279428</v>
      </c>
      <c r="Q180" s="102">
        <f t="shared" si="223"/>
        <v>24651.771330503972</v>
      </c>
      <c r="R180" s="102">
        <f t="shared" si="223"/>
        <v>24496.066720915082</v>
      </c>
      <c r="S180" s="102">
        <f t="shared" si="223"/>
        <v>23538.699463247813</v>
      </c>
      <c r="T180" s="102">
        <f t="shared" si="223"/>
        <v>23096.539855234107</v>
      </c>
      <c r="U180" s="102">
        <f t="shared" si="223"/>
        <v>22210.0984842906</v>
      </c>
      <c r="V180" s="102">
        <f t="shared" si="223"/>
        <v>16506.617410153372</v>
      </c>
      <c r="W180" s="102">
        <f t="shared" si="221"/>
        <v>17383.627517847803</v>
      </c>
      <c r="X180" s="102">
        <f t="shared" si="221"/>
        <v>18796.308104448079</v>
      </c>
      <c r="Y180" s="102">
        <f t="shared" si="221"/>
        <v>18925.226423727803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39525.086634480082</v>
      </c>
      <c r="C181" s="102">
        <f t="shared" si="223"/>
        <v>39131.422164711832</v>
      </c>
      <c r="D181" s="102">
        <f t="shared" si="223"/>
        <v>40347.685367738326</v>
      </c>
      <c r="E181" s="102">
        <f t="shared" si="223"/>
        <v>40406.88221320264</v>
      </c>
      <c r="F181" s="102">
        <f t="shared" si="223"/>
        <v>40933.489299738336</v>
      </c>
      <c r="G181" s="102">
        <f t="shared" si="223"/>
        <v>40802.983453549263</v>
      </c>
      <c r="H181" s="102">
        <f t="shared" si="223"/>
        <v>42149.670527849623</v>
      </c>
      <c r="I181" s="102">
        <f t="shared" si="223"/>
        <v>42370.176595869394</v>
      </c>
      <c r="J181" s="102">
        <f t="shared" si="223"/>
        <v>43678.533198124118</v>
      </c>
      <c r="K181" s="102">
        <f t="shared" si="223"/>
        <v>43735.216520052374</v>
      </c>
      <c r="L181" s="102">
        <f t="shared" si="223"/>
        <v>43248.568980983167</v>
      </c>
      <c r="M181" s="102">
        <f t="shared" si="222"/>
        <v>41983.317754770971</v>
      </c>
      <c r="N181" s="102">
        <f t="shared" si="223"/>
        <v>40741.686531126194</v>
      </c>
      <c r="O181" s="102">
        <f t="shared" si="223"/>
        <v>39422.002207442958</v>
      </c>
      <c r="P181" s="102">
        <f t="shared" si="223"/>
        <v>39034.761348746208</v>
      </c>
      <c r="Q181" s="102">
        <f t="shared" si="223"/>
        <v>39237.531673750294</v>
      </c>
      <c r="R181" s="102">
        <f t="shared" si="223"/>
        <v>39777.371749930091</v>
      </c>
      <c r="S181" s="102">
        <f t="shared" si="223"/>
        <v>38994.950290342334</v>
      </c>
      <c r="T181" s="102">
        <f t="shared" si="223"/>
        <v>39035.433653229185</v>
      </c>
      <c r="U181" s="102">
        <f t="shared" si="223"/>
        <v>38295.588668995013</v>
      </c>
      <c r="V181" s="102">
        <f t="shared" si="223"/>
        <v>29036.383917102921</v>
      </c>
      <c r="W181" s="102">
        <f t="shared" si="221"/>
        <v>31196.870599422698</v>
      </c>
      <c r="X181" s="102">
        <f t="shared" si="221"/>
        <v>33628.806414838502</v>
      </c>
      <c r="Y181" s="102">
        <f t="shared" si="221"/>
        <v>33975.240163257433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41481.360103909334</v>
      </c>
      <c r="C182" s="102">
        <f t="shared" si="223"/>
        <v>41521.003869146742</v>
      </c>
      <c r="D182" s="102">
        <f t="shared" si="223"/>
        <v>41561.670685169775</v>
      </c>
      <c r="E182" s="102">
        <f t="shared" si="223"/>
        <v>41570.062472517711</v>
      </c>
      <c r="F182" s="102">
        <f t="shared" si="223"/>
        <v>41575.799693723144</v>
      </c>
      <c r="G182" s="102">
        <f t="shared" si="223"/>
        <v>41602.027781994759</v>
      </c>
      <c r="H182" s="102">
        <f t="shared" si="223"/>
        <v>41646.469253162504</v>
      </c>
      <c r="I182" s="102">
        <f t="shared" si="223"/>
        <v>41652.646076049146</v>
      </c>
      <c r="J182" s="102">
        <f t="shared" si="223"/>
        <v>41693.052229776789</v>
      </c>
      <c r="K182" s="102">
        <f t="shared" si="223"/>
        <v>41710.434784171353</v>
      </c>
      <c r="L182" s="102">
        <f t="shared" si="223"/>
        <v>41752.642928885754</v>
      </c>
      <c r="M182" s="102">
        <f t="shared" si="222"/>
        <v>41791.911794288746</v>
      </c>
      <c r="N182" s="102">
        <f t="shared" si="223"/>
        <v>41831.872421701075</v>
      </c>
      <c r="O182" s="102">
        <f t="shared" si="223"/>
        <v>41877.668281320141</v>
      </c>
      <c r="P182" s="102">
        <f t="shared" si="223"/>
        <v>41877.82543161459</v>
      </c>
      <c r="Q182" s="102">
        <f t="shared" si="223"/>
        <v>41908.011261856758</v>
      </c>
      <c r="R182" s="102">
        <f t="shared" si="223"/>
        <v>41900.599904049668</v>
      </c>
      <c r="S182" s="102">
        <f t="shared" si="223"/>
        <v>41841.15050005712</v>
      </c>
      <c r="T182" s="102">
        <f t="shared" si="223"/>
        <v>41823.396285870651</v>
      </c>
      <c r="U182" s="102">
        <f t="shared" si="223"/>
        <v>41765.51016438676</v>
      </c>
      <c r="V182" s="102">
        <f t="shared" si="223"/>
        <v>34030.592419440029</v>
      </c>
      <c r="W182" s="102">
        <f t="shared" si="221"/>
        <v>41320.573436186693</v>
      </c>
      <c r="X182" s="102">
        <f t="shared" si="221"/>
        <v>41548.849720609185</v>
      </c>
      <c r="Y182" s="102">
        <f t="shared" si="221"/>
        <v>41562.37565763422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12829.155832406816</v>
      </c>
      <c r="C183" s="28">
        <f t="shared" si="223"/>
        <v>13125.308814378894</v>
      </c>
      <c r="D183" s="28">
        <f t="shared" si="223"/>
        <v>13104.182674248417</v>
      </c>
      <c r="E183" s="28">
        <f t="shared" si="223"/>
        <v>12963.818953027943</v>
      </c>
      <c r="F183" s="28">
        <f t="shared" si="223"/>
        <v>13118.121634960271</v>
      </c>
      <c r="G183" s="28">
        <f t="shared" si="223"/>
        <v>13048.5729582241</v>
      </c>
      <c r="H183" s="28">
        <f t="shared" si="223"/>
        <v>13149.870076648735</v>
      </c>
      <c r="I183" s="28">
        <f t="shared" si="223"/>
        <v>13230.664647958582</v>
      </c>
      <c r="J183" s="28">
        <f t="shared" si="223"/>
        <v>12659.418127579662</v>
      </c>
      <c r="K183" s="28">
        <f t="shared" si="223"/>
        <v>12426.844568589924</v>
      </c>
      <c r="L183" s="28">
        <f t="shared" si="223"/>
        <v>12789.43233177382</v>
      </c>
      <c r="M183" s="28">
        <f t="shared" si="222"/>
        <v>13424.342140912478</v>
      </c>
      <c r="N183" s="28">
        <f t="shared" si="223"/>
        <v>13429.278314669404</v>
      </c>
      <c r="O183" s="28">
        <f t="shared" si="223"/>
        <v>13683.563444504362</v>
      </c>
      <c r="P183" s="28">
        <f t="shared" si="223"/>
        <v>13516.748545660932</v>
      </c>
      <c r="Q183" s="28">
        <f t="shared" si="223"/>
        <v>13857.735586989453</v>
      </c>
      <c r="R183" s="28">
        <f t="shared" si="223"/>
        <v>14007.154633342945</v>
      </c>
      <c r="S183" s="28">
        <f t="shared" si="223"/>
        <v>14602.349600214453</v>
      </c>
      <c r="T183" s="28">
        <f t="shared" si="223"/>
        <v>14579.42934068342</v>
      </c>
      <c r="U183" s="28">
        <f t="shared" si="223"/>
        <v>14852.808998777678</v>
      </c>
      <c r="V183" s="28">
        <f t="shared" si="223"/>
        <v>13104.781522222213</v>
      </c>
      <c r="W183" s="28">
        <f t="shared" si="221"/>
        <v>14884.466877197779</v>
      </c>
      <c r="X183" s="28">
        <f t="shared" si="221"/>
        <v>14936.522271124264</v>
      </c>
      <c r="Y183" s="28">
        <f t="shared" si="221"/>
        <v>15049.927458040003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10621.860169321617</v>
      </c>
      <c r="C184" s="137">
        <f t="shared" si="223"/>
        <v>10872.65997145592</v>
      </c>
      <c r="D184" s="137">
        <f t="shared" si="223"/>
        <v>10835.998759100265</v>
      </c>
      <c r="E184" s="137">
        <f t="shared" si="223"/>
        <v>10688.616693244783</v>
      </c>
      <c r="F184" s="137">
        <f t="shared" si="223"/>
        <v>10561.467804984426</v>
      </c>
      <c r="G184" s="137">
        <f t="shared" si="223"/>
        <v>10475.485973217879</v>
      </c>
      <c r="H184" s="137">
        <f t="shared" si="223"/>
        <v>10551.134628449243</v>
      </c>
      <c r="I184" s="137">
        <f t="shared" si="223"/>
        <v>10559.798202505834</v>
      </c>
      <c r="J184" s="137">
        <f t="shared" si="223"/>
        <v>10173.365753302689</v>
      </c>
      <c r="K184" s="137">
        <f t="shared" si="223"/>
        <v>10383.71939234544</v>
      </c>
      <c r="L184" s="137">
        <f t="shared" si="223"/>
        <v>10704.915518333828</v>
      </c>
      <c r="M184" s="137">
        <f t="shared" si="222"/>
        <v>11353.944090421184</v>
      </c>
      <c r="N184" s="137">
        <f t="shared" si="223"/>
        <v>11529.597568989777</v>
      </c>
      <c r="O184" s="137">
        <f t="shared" si="223"/>
        <v>11755.046617504851</v>
      </c>
      <c r="P184" s="137">
        <f t="shared" si="223"/>
        <v>11626.128046720698</v>
      </c>
      <c r="Q184" s="137">
        <f t="shared" si="223"/>
        <v>12078.958047923659</v>
      </c>
      <c r="R184" s="137">
        <f t="shared" si="223"/>
        <v>12087.829925910764</v>
      </c>
      <c r="S184" s="137">
        <f t="shared" si="223"/>
        <v>12612.882121003726</v>
      </c>
      <c r="T184" s="137">
        <f t="shared" si="223"/>
        <v>12648.86494110049</v>
      </c>
      <c r="U184" s="137">
        <f t="shared" si="223"/>
        <v>12859.251638032574</v>
      </c>
      <c r="V184" s="137">
        <f t="shared" si="223"/>
        <v>11024.031599297539</v>
      </c>
      <c r="W184" s="137">
        <f t="shared" si="221"/>
        <v>12856.631352735494</v>
      </c>
      <c r="X184" s="137">
        <f t="shared" si="221"/>
        <v>12969.181166441012</v>
      </c>
      <c r="Y184" s="137">
        <f t="shared" si="221"/>
        <v>13163.664938878665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11936.250241637275</v>
      </c>
      <c r="C185" s="84">
        <f t="shared" si="223"/>
        <v>12204.813912273808</v>
      </c>
      <c r="D185" s="84">
        <f t="shared" si="223"/>
        <v>12150.740898777716</v>
      </c>
      <c r="E185" s="84">
        <f t="shared" si="223"/>
        <v>11960.812812221173</v>
      </c>
      <c r="F185" s="84">
        <f t="shared" si="223"/>
        <v>11793.065966597942</v>
      </c>
      <c r="G185" s="84">
        <f t="shared" si="223"/>
        <v>11689.171611714264</v>
      </c>
      <c r="H185" s="84">
        <f t="shared" si="223"/>
        <v>11756.035747814662</v>
      </c>
      <c r="I185" s="84">
        <f t="shared" si="223"/>
        <v>11575.770010075144</v>
      </c>
      <c r="J185" s="84">
        <f t="shared" si="223"/>
        <v>10609.743111338332</v>
      </c>
      <c r="K185" s="84">
        <f t="shared" si="223"/>
        <v>10308.019703983024</v>
      </c>
      <c r="L185" s="84">
        <f t="shared" si="223"/>
        <v>10146.2166361563</v>
      </c>
      <c r="M185" s="84">
        <f t="shared" si="222"/>
        <v>10294.542554233913</v>
      </c>
      <c r="N185" s="84">
        <f t="shared" si="223"/>
        <v>9966.9933488783026</v>
      </c>
      <c r="O185" s="84">
        <f t="shared" si="223"/>
        <v>9692.7613290818226</v>
      </c>
      <c r="P185" s="84">
        <f t="shared" si="223"/>
        <v>9122.6804986100597</v>
      </c>
      <c r="Q185" s="84">
        <f t="shared" si="223"/>
        <v>9028.1329379443632</v>
      </c>
      <c r="R185" s="84">
        <f t="shared" si="223"/>
        <v>9506.5111805479992</v>
      </c>
      <c r="S185" s="84">
        <f t="shared" si="223"/>
        <v>10417.700217381313</v>
      </c>
      <c r="T185" s="84">
        <f t="shared" si="223"/>
        <v>10976.455376057624</v>
      </c>
      <c r="U185" s="84">
        <f t="shared" si="223"/>
        <v>11720.215764872346</v>
      </c>
      <c r="V185" s="84">
        <f t="shared" si="223"/>
        <v>10487.063988974805</v>
      </c>
      <c r="W185" s="84">
        <f t="shared" si="221"/>
        <v>12933.756233277334</v>
      </c>
      <c r="X185" s="84">
        <f t="shared" si="221"/>
        <v>13678.824677678336</v>
      </c>
      <c r="Y185" s="84">
        <f t="shared" si="221"/>
        <v>14589.835780593863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10427.413249800467</v>
      </c>
      <c r="C186" s="84">
        <f t="shared" si="223"/>
        <v>10715.128035598118</v>
      </c>
      <c r="D186" s="84">
        <f t="shared" si="223"/>
        <v>10710.68042664006</v>
      </c>
      <c r="E186" s="84">
        <f t="shared" si="223"/>
        <v>10594.832027370494</v>
      </c>
      <c r="F186" s="84">
        <f t="shared" si="223"/>
        <v>10491.543378665623</v>
      </c>
      <c r="G186" s="84">
        <f t="shared" si="223"/>
        <v>10418.984982299691</v>
      </c>
      <c r="H186" s="84">
        <f t="shared" si="223"/>
        <v>10505.077465108678</v>
      </c>
      <c r="I186" s="84">
        <f t="shared" si="223"/>
        <v>10527.553908975249</v>
      </c>
      <c r="J186" s="84">
        <f t="shared" si="223"/>
        <v>10163.402413241123</v>
      </c>
      <c r="K186" s="84">
        <f t="shared" si="223"/>
        <v>10392.816730848126</v>
      </c>
      <c r="L186" s="84">
        <f t="shared" si="223"/>
        <v>10732.293855268999</v>
      </c>
      <c r="M186" s="84">
        <f t="shared" si="222"/>
        <v>11408.04440351869</v>
      </c>
      <c r="N186" s="84">
        <f t="shared" si="223"/>
        <v>11614.109594439949</v>
      </c>
      <c r="O186" s="84">
        <f t="shared" si="223"/>
        <v>11877.716167557503</v>
      </c>
      <c r="P186" s="84">
        <f t="shared" si="223"/>
        <v>11766.589873014724</v>
      </c>
      <c r="Q186" s="84">
        <f t="shared" si="223"/>
        <v>12240.434799631072</v>
      </c>
      <c r="R186" s="84">
        <f t="shared" si="223"/>
        <v>12226.23401241596</v>
      </c>
      <c r="S186" s="84">
        <f t="shared" si="223"/>
        <v>12732.864622270507</v>
      </c>
      <c r="T186" s="84">
        <f t="shared" si="223"/>
        <v>12761.236814562737</v>
      </c>
      <c r="U186" s="84">
        <f t="shared" si="223"/>
        <v>12958.556346536461</v>
      </c>
      <c r="V186" s="84">
        <f t="shared" si="223"/>
        <v>11100.620584671195</v>
      </c>
      <c r="W186" s="84">
        <f t="shared" si="221"/>
        <v>12939.217597659514</v>
      </c>
      <c r="X186" s="84">
        <f t="shared" si="221"/>
        <v>13045.675187563083</v>
      </c>
      <c r="Y186" s="84">
        <f t="shared" si="221"/>
        <v>13239.101677142233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10503.9002126408</v>
      </c>
      <c r="C187" s="84">
        <f t="shared" si="223"/>
        <v>10740.236242800947</v>
      </c>
      <c r="D187" s="84">
        <f t="shared" si="223"/>
        <v>10692.651990924385</v>
      </c>
      <c r="E187" s="84">
        <f t="shared" si="223"/>
        <v>10525.515274754631</v>
      </c>
      <c r="F187" s="84">
        <f t="shared" si="223"/>
        <v>10377.898050606183</v>
      </c>
      <c r="G187" s="84">
        <f t="shared" si="223"/>
        <v>10286.471018308548</v>
      </c>
      <c r="H187" s="84">
        <f t="shared" si="223"/>
        <v>10285.922530028609</v>
      </c>
      <c r="I187" s="84">
        <f t="shared" si="223"/>
        <v>10180.93660766225</v>
      </c>
      <c r="J187" s="84">
        <f t="shared" si="223"/>
        <v>9700.8689500352993</v>
      </c>
      <c r="K187" s="84">
        <f t="shared" si="223"/>
        <v>9798.2594347969352</v>
      </c>
      <c r="L187" s="84">
        <f t="shared" si="223"/>
        <v>10026.416710936772</v>
      </c>
      <c r="M187" s="84">
        <f t="shared" si="222"/>
        <v>10575.882037350062</v>
      </c>
      <c r="N187" s="84">
        <f t="shared" si="223"/>
        <v>10644.901291187723</v>
      </c>
      <c r="O187" s="84">
        <f t="shared" si="223"/>
        <v>10761.998184268148</v>
      </c>
      <c r="P187" s="84">
        <f t="shared" si="223"/>
        <v>10530.179775538465</v>
      </c>
      <c r="Q187" s="84">
        <f t="shared" si="223"/>
        <v>10833.759525533231</v>
      </c>
      <c r="R187" s="84">
        <f t="shared" si="223"/>
        <v>10973.230048403975</v>
      </c>
      <c r="S187" s="84">
        <f t="shared" si="223"/>
        <v>11566.907201905495</v>
      </c>
      <c r="T187" s="84">
        <f t="shared" si="223"/>
        <v>11723.022170814424</v>
      </c>
      <c r="U187" s="84">
        <f t="shared" si="223"/>
        <v>12040.517461419593</v>
      </c>
      <c r="V187" s="84">
        <f t="shared" si="223"/>
        <v>10363.239559958129</v>
      </c>
      <c r="W187" s="84">
        <f t="shared" si="221"/>
        <v>12294.145983355611</v>
      </c>
      <c r="X187" s="84">
        <f t="shared" si="221"/>
        <v>12507.040386949375</v>
      </c>
      <c r="Y187" s="84">
        <f t="shared" si="221"/>
        <v>12831.819660303052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9404.304070821363</v>
      </c>
      <c r="C188" s="84">
        <f t="shared" si="223"/>
        <v>9713.0296649819211</v>
      </c>
      <c r="D188" s="84">
        <f t="shared" si="223"/>
        <v>9669.9964169588311</v>
      </c>
      <c r="E188" s="84">
        <f t="shared" si="223"/>
        <v>9518.8448179097286</v>
      </c>
      <c r="F188" s="84">
        <f t="shared" si="223"/>
        <v>9385.3458477937602</v>
      </c>
      <c r="G188" s="84">
        <f t="shared" si="223"/>
        <v>9302.6629852558472</v>
      </c>
      <c r="H188" s="84">
        <f t="shared" si="223"/>
        <v>9302.1669549252765</v>
      </c>
      <c r="I188" s="84">
        <f t="shared" si="223"/>
        <v>9207.2219876734198</v>
      </c>
      <c r="J188" s="84">
        <f t="shared" si="223"/>
        <v>8773.0684649467239</v>
      </c>
      <c r="K188" s="84">
        <f t="shared" si="223"/>
        <v>8861.144429589569</v>
      </c>
      <c r="L188" s="84">
        <f t="shared" si="223"/>
        <v>9067.4805232591225</v>
      </c>
      <c r="M188" s="84">
        <f t="shared" si="222"/>
        <v>9564.394454636431</v>
      </c>
      <c r="N188" s="84">
        <f t="shared" si="223"/>
        <v>9626.812640309905</v>
      </c>
      <c r="O188" s="84">
        <f t="shared" si="223"/>
        <v>9732.7102733279626</v>
      </c>
      <c r="P188" s="84">
        <f t="shared" si="223"/>
        <v>9523.0632013290033</v>
      </c>
      <c r="Q188" s="84">
        <f t="shared" si="223"/>
        <v>9797.6082905362746</v>
      </c>
      <c r="R188" s="84">
        <f t="shared" si="223"/>
        <v>9923.7397177608946</v>
      </c>
      <c r="S188" s="84">
        <f t="shared" si="223"/>
        <v>10460.637014340142</v>
      </c>
      <c r="T188" s="84">
        <f t="shared" si="223"/>
        <v>10391.883947252716</v>
      </c>
      <c r="U188" s="84">
        <f t="shared" si="223"/>
        <v>10461.974915410718</v>
      </c>
      <c r="V188" s="84">
        <f t="shared" si="223"/>
        <v>8826.2836634979285</v>
      </c>
      <c r="W188" s="84">
        <f t="shared" si="221"/>
        <v>10263.477389155732</v>
      </c>
      <c r="X188" s="84">
        <f t="shared" si="221"/>
        <v>10234.450674199808</v>
      </c>
      <c r="Y188" s="84">
        <f t="shared" si="221"/>
        <v>10292.290914227713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5929.5607828115053</v>
      </c>
      <c r="C189" s="84">
        <f t="shared" si="223"/>
        <v>5935.8467497843967</v>
      </c>
      <c r="D189" s="84">
        <f t="shared" si="223"/>
        <v>5937.1019776040821</v>
      </c>
      <c r="E189" s="84">
        <f t="shared" si="223"/>
        <v>5941.5577305719344</v>
      </c>
      <c r="F189" s="84">
        <f t="shared" si="223"/>
        <v>5945.5551905393713</v>
      </c>
      <c r="G189" s="84">
        <f t="shared" si="223"/>
        <v>5948.061010854135</v>
      </c>
      <c r="H189" s="84">
        <f t="shared" si="223"/>
        <v>5949.6768027812486</v>
      </c>
      <c r="I189" s="84">
        <f t="shared" si="223"/>
        <v>5949.7643127743586</v>
      </c>
      <c r="J189" s="84">
        <f t="shared" si="223"/>
        <v>5960.6399882482765</v>
      </c>
      <c r="K189" s="84">
        <f t="shared" si="223"/>
        <v>5966.3023400665079</v>
      </c>
      <c r="L189" s="84">
        <f t="shared" si="223"/>
        <v>5975.6764647056443</v>
      </c>
      <c r="M189" s="84">
        <f t="shared" si="222"/>
        <v>5993.7169428171446</v>
      </c>
      <c r="N189" s="84">
        <f t="shared" si="223"/>
        <v>5998.4153535453843</v>
      </c>
      <c r="O189" s="84">
        <f t="shared" si="223"/>
        <v>6004.3854740785891</v>
      </c>
      <c r="P189" s="84">
        <f t="shared" si="223"/>
        <v>6007.7676137523222</v>
      </c>
      <c r="Q189" s="84">
        <f t="shared" si="223"/>
        <v>6018.7552919629088</v>
      </c>
      <c r="R189" s="84">
        <f t="shared" si="223"/>
        <v>6017.9410372065895</v>
      </c>
      <c r="S189" s="84">
        <f t="shared" si="223"/>
        <v>6005.7057818536341</v>
      </c>
      <c r="T189" s="84">
        <f t="shared" si="223"/>
        <v>6004.7174696240345</v>
      </c>
      <c r="U189" s="84">
        <f t="shared" si="223"/>
        <v>5999.9234818785453</v>
      </c>
      <c r="V189" s="84">
        <f t="shared" si="223"/>
        <v>5352.0920898892009</v>
      </c>
      <c r="W189" s="84">
        <f t="shared" si="221"/>
        <v>5999.65345323161</v>
      </c>
      <c r="X189" s="84">
        <f t="shared" si="221"/>
        <v>5997.5915915551868</v>
      </c>
      <c r="Y189" s="84">
        <f t="shared" si="221"/>
        <v>5993.1133633562704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37835.585945464401</v>
      </c>
      <c r="C190" s="110">
        <f t="shared" si="223"/>
        <v>37917.659842302492</v>
      </c>
      <c r="D190" s="110">
        <f t="shared" si="223"/>
        <v>37534.101013502623</v>
      </c>
      <c r="E190" s="110">
        <f t="shared" si="223"/>
        <v>37146.040740672324</v>
      </c>
      <c r="F190" s="110">
        <f t="shared" si="223"/>
        <v>39550.210917883269</v>
      </c>
      <c r="G190" s="110">
        <f t="shared" si="223"/>
        <v>39240.069318638336</v>
      </c>
      <c r="H190" s="110">
        <f t="shared" si="223"/>
        <v>39234.000636440789</v>
      </c>
      <c r="I190" s="110">
        <f t="shared" si="223"/>
        <v>39671.870241907243</v>
      </c>
      <c r="J190" s="110">
        <f t="shared" si="223"/>
        <v>36811.872911042483</v>
      </c>
      <c r="K190" s="110">
        <f t="shared" si="223"/>
        <v>32252.802392071972</v>
      </c>
      <c r="L190" s="110">
        <f t="shared" si="223"/>
        <v>32350.01519999998</v>
      </c>
      <c r="M190" s="110">
        <f t="shared" si="222"/>
        <v>32972.738363242475</v>
      </c>
      <c r="N190" s="110">
        <f t="shared" si="223"/>
        <v>31681.666832075116</v>
      </c>
      <c r="O190" s="110">
        <f t="shared" si="223"/>
        <v>32448.189730771752</v>
      </c>
      <c r="P190" s="110">
        <f t="shared" si="223"/>
        <v>32145.46041245688</v>
      </c>
      <c r="Q190" s="110">
        <f t="shared" si="223"/>
        <v>31709.057759610172</v>
      </c>
      <c r="R190" s="110">
        <f t="shared" si="223"/>
        <v>33342.519544943963</v>
      </c>
      <c r="S190" s="110">
        <f t="shared" si="223"/>
        <v>34287.164123664639</v>
      </c>
      <c r="T190" s="110">
        <f t="shared" si="223"/>
        <v>33493.062218115207</v>
      </c>
      <c r="U190" s="110">
        <f t="shared" si="223"/>
        <v>33972.795629150583</v>
      </c>
      <c r="V190" s="110">
        <f t="shared" si="223"/>
        <v>33165.816391761859</v>
      </c>
      <c r="W190" s="110">
        <f t="shared" si="221"/>
        <v>34194.411666747736</v>
      </c>
      <c r="X190" s="110">
        <f t="shared" si="221"/>
        <v>33846.542934006917</v>
      </c>
      <c r="Y190" s="110">
        <f t="shared" si="221"/>
        <v>33327.259743602684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30527.556485857171</v>
      </c>
      <c r="C191" s="102">
        <f t="shared" si="223"/>
        <v>30332.579916047787</v>
      </c>
      <c r="D191" s="102">
        <f t="shared" si="223"/>
        <v>29673.983683410206</v>
      </c>
      <c r="E191" s="102">
        <f t="shared" si="223"/>
        <v>29193.79451186398</v>
      </c>
      <c r="F191" s="102">
        <f t="shared" si="223"/>
        <v>30697.139300936371</v>
      </c>
      <c r="G191" s="102">
        <f t="shared" si="223"/>
        <v>30161.361471046181</v>
      </c>
      <c r="H191" s="102">
        <f t="shared" si="223"/>
        <v>30054.904759073161</v>
      </c>
      <c r="I191" s="102">
        <f t="shared" si="223"/>
        <v>30558.58310626703</v>
      </c>
      <c r="J191" s="102">
        <f t="shared" si="223"/>
        <v>27631.911276307805</v>
      </c>
      <c r="K191" s="102">
        <f t="shared" si="223"/>
        <v>23463.512444583434</v>
      </c>
      <c r="L191" s="102">
        <f t="shared" si="223"/>
        <v>23788.0880914521</v>
      </c>
      <c r="M191" s="102">
        <f t="shared" si="222"/>
        <v>24865.02656733002</v>
      </c>
      <c r="N191" s="102">
        <f t="shared" si="223"/>
        <v>23400.30267605506</v>
      </c>
      <c r="O191" s="102">
        <f t="shared" si="223"/>
        <v>23703.640775802527</v>
      </c>
      <c r="P191" s="102">
        <f t="shared" si="223"/>
        <v>23320.392935428397</v>
      </c>
      <c r="Q191" s="102">
        <f t="shared" si="223"/>
        <v>22466.613706831631</v>
      </c>
      <c r="R191" s="102">
        <f t="shared" si="223"/>
        <v>23833.489656013848</v>
      </c>
      <c r="S191" s="102">
        <f t="shared" si="223"/>
        <v>24390.569284806304</v>
      </c>
      <c r="T191" s="102">
        <f t="shared" si="223"/>
        <v>23659.89952774276</v>
      </c>
      <c r="U191" s="102">
        <f t="shared" si="223"/>
        <v>23913.435259450831</v>
      </c>
      <c r="V191" s="102">
        <f t="shared" si="223"/>
        <v>23183.675596013429</v>
      </c>
      <c r="W191" s="102">
        <f t="shared" si="221"/>
        <v>23764.936438519573</v>
      </c>
      <c r="X191" s="102">
        <f t="shared" si="221"/>
        <v>23388.775324032187</v>
      </c>
      <c r="Y191" s="102">
        <f t="shared" si="221"/>
        <v>23040.774424999814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84999.836294676701</v>
      </c>
      <c r="C192" s="86">
        <f t="shared" si="223"/>
        <v>84999.458318293153</v>
      </c>
      <c r="D192" s="86">
        <f t="shared" si="223"/>
        <v>84999.985392585033</v>
      </c>
      <c r="E192" s="86">
        <f t="shared" si="223"/>
        <v>85000.329670707782</v>
      </c>
      <c r="F192" s="86">
        <f t="shared" si="223"/>
        <v>84999.718853579776</v>
      </c>
      <c r="G192" s="86">
        <f t="shared" si="223"/>
        <v>85000.270483538246</v>
      </c>
      <c r="H192" s="86">
        <f t="shared" si="223"/>
        <v>84999.760025802578</v>
      </c>
      <c r="I192" s="86">
        <f t="shared" si="223"/>
        <v>85000.107708431329</v>
      </c>
      <c r="J192" s="86">
        <f t="shared" si="223"/>
        <v>84999.700531843147</v>
      </c>
      <c r="K192" s="86">
        <f t="shared" si="223"/>
        <v>84999.991771355286</v>
      </c>
      <c r="L192" s="86">
        <f t="shared" si="223"/>
        <v>84999.906907400335</v>
      </c>
      <c r="M192" s="86">
        <f t="shared" si="222"/>
        <v>85000.094308327563</v>
      </c>
      <c r="N192" s="86">
        <f t="shared" si="223"/>
        <v>85000.389599337155</v>
      </c>
      <c r="O192" s="86">
        <f t="shared" si="223"/>
        <v>84999.530200892579</v>
      </c>
      <c r="P192" s="86">
        <f t="shared" si="223"/>
        <v>85000.292559608875</v>
      </c>
      <c r="Q192" s="86">
        <f t="shared" si="223"/>
        <v>84999.87927319399</v>
      </c>
      <c r="R192" s="86">
        <f t="shared" si="223"/>
        <v>84999.713853328649</v>
      </c>
      <c r="S192" s="86">
        <f t="shared" si="223"/>
        <v>84999.601617484819</v>
      </c>
      <c r="T192" s="86">
        <f t="shared" si="223"/>
        <v>85000.243326132229</v>
      </c>
      <c r="U192" s="86">
        <f t="shared" si="223"/>
        <v>85000.359927389174</v>
      </c>
      <c r="V192" s="86">
        <f t="shared" ref="V192:W192" si="224">IF(V55=0,0,V55*1000000/V82)</f>
        <v>85000.184190223474</v>
      </c>
      <c r="W192" s="86">
        <f t="shared" si="224"/>
        <v>84999.919588523917</v>
      </c>
      <c r="X192" s="86">
        <f t="shared" ref="X192:Y192" si="225">IF(X55=0,0,X55*1000000/X82)</f>
        <v>85000.008661674248</v>
      </c>
      <c r="Y192" s="86">
        <f t="shared" si="225"/>
        <v>85000.216283375135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23597.724244796711</v>
      </c>
      <c r="C195" s="28">
        <f t="shared" si="226"/>
        <v>23999.495752801831</v>
      </c>
      <c r="D195" s="28">
        <f t="shared" si="226"/>
        <v>23862.802458390204</v>
      </c>
      <c r="E195" s="28">
        <f t="shared" si="226"/>
        <v>23628.451485239584</v>
      </c>
      <c r="F195" s="28">
        <f t="shared" si="226"/>
        <v>23324.754078734626</v>
      </c>
      <c r="G195" s="28">
        <f t="shared" si="226"/>
        <v>22887.562680123283</v>
      </c>
      <c r="H195" s="28">
        <f t="shared" si="226"/>
        <v>22575.089288298564</v>
      </c>
      <c r="I195" s="28">
        <f t="shared" si="226"/>
        <v>22378.309145331597</v>
      </c>
      <c r="J195" s="28">
        <f t="shared" si="226"/>
        <v>21231.844650995201</v>
      </c>
      <c r="K195" s="28">
        <f t="shared" si="226"/>
        <v>20577.441220753582</v>
      </c>
      <c r="L195" s="28">
        <f t="shared" si="226"/>
        <v>20277.117268603939</v>
      </c>
      <c r="M195" s="28">
        <f>IF(M4=0,0,M4*1000000/M58)</f>
        <v>19444.405662543064</v>
      </c>
      <c r="N195" s="28">
        <f t="shared" ref="N195:V195" si="227">IF(N4=0,0,N4*1000000/N58)</f>
        <v>20828.839950782669</v>
      </c>
      <c r="O195" s="28">
        <f t="shared" si="227"/>
        <v>20599.97585629125</v>
      </c>
      <c r="P195" s="28">
        <f t="shared" si="227"/>
        <v>20614.048750274571</v>
      </c>
      <c r="Q195" s="28">
        <f t="shared" si="227"/>
        <v>20627.580012264076</v>
      </c>
      <c r="R195" s="28">
        <f t="shared" si="227"/>
        <v>20661.992072897621</v>
      </c>
      <c r="S195" s="28">
        <f t="shared" si="227"/>
        <v>20551.027873200899</v>
      </c>
      <c r="T195" s="28">
        <f t="shared" si="227"/>
        <v>20418.706592835882</v>
      </c>
      <c r="U195" s="28">
        <f t="shared" si="227"/>
        <v>20544.376081428767</v>
      </c>
      <c r="V195" s="28">
        <f t="shared" si="227"/>
        <v>16432.2142601634</v>
      </c>
      <c r="W195" s="28">
        <f t="shared" ref="W195:Y195" si="228">IF(W4=0,0,W4*1000000/W58)</f>
        <v>17979.981361510771</v>
      </c>
      <c r="X195" s="28">
        <f t="shared" si="228"/>
        <v>19528.230932109727</v>
      </c>
      <c r="Y195" s="28">
        <f t="shared" si="228"/>
        <v>19182.120231428806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3521.6034588373232</v>
      </c>
      <c r="C196" s="137">
        <f t="shared" si="229"/>
        <v>3817.9219131180798</v>
      </c>
      <c r="D196" s="137">
        <f t="shared" si="229"/>
        <v>4246.3143450457856</v>
      </c>
      <c r="E196" s="137">
        <f t="shared" si="229"/>
        <v>4292.9544433594792</v>
      </c>
      <c r="F196" s="137">
        <f t="shared" si="229"/>
        <v>4518.2191583086424</v>
      </c>
      <c r="G196" s="137">
        <f t="shared" si="229"/>
        <v>4688.480641793135</v>
      </c>
      <c r="H196" s="137">
        <f t="shared" si="229"/>
        <v>4545.2552494993215</v>
      </c>
      <c r="I196" s="137">
        <f t="shared" si="229"/>
        <v>4412.1399334994667</v>
      </c>
      <c r="J196" s="137">
        <f t="shared" si="229"/>
        <v>4367.9081654460224</v>
      </c>
      <c r="K196" s="137">
        <f t="shared" si="229"/>
        <v>4309.502323963623</v>
      </c>
      <c r="L196" s="137">
        <f t="shared" si="229"/>
        <v>4170.6568994759846</v>
      </c>
      <c r="M196" s="137">
        <f>IF(M5=0,0,M5*1000000/M59)</f>
        <v>4300.736916132706</v>
      </c>
      <c r="N196" s="137">
        <f t="shared" ref="N196:V196" si="230">IF(N5=0,0,N5*1000000/N59)</f>
        <v>4218.7312636120087</v>
      </c>
      <c r="O196" s="137">
        <f t="shared" si="230"/>
        <v>4280.034133456862</v>
      </c>
      <c r="P196" s="137">
        <f t="shared" si="230"/>
        <v>4396.3003251380496</v>
      </c>
      <c r="Q196" s="137">
        <f t="shared" si="230"/>
        <v>4421.4953255453838</v>
      </c>
      <c r="R196" s="137">
        <f t="shared" si="230"/>
        <v>4094.5905677172946</v>
      </c>
      <c r="S196" s="137">
        <f t="shared" si="230"/>
        <v>3964.1728946832109</v>
      </c>
      <c r="T196" s="137">
        <f t="shared" si="230"/>
        <v>3741.5479918773108</v>
      </c>
      <c r="U196" s="137">
        <f t="shared" si="230"/>
        <v>4018.190788860235</v>
      </c>
      <c r="V196" s="137">
        <f t="shared" si="230"/>
        <v>3389.1775225884448</v>
      </c>
      <c r="W196" s="137">
        <f t="shared" ref="W196:Y196" si="231">IF(W5=0,0,W5*1000000/W59)</f>
        <v>3978.3900583317254</v>
      </c>
      <c r="X196" s="137">
        <f t="shared" si="231"/>
        <v>3933.8394919099615</v>
      </c>
      <c r="Y196" s="137">
        <f t="shared" si="231"/>
        <v>4157.6220197921575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24204.967237599863</v>
      </c>
      <c r="C197" s="110">
        <f t="shared" si="232"/>
        <v>24691.185930246738</v>
      </c>
      <c r="D197" s="110">
        <f t="shared" si="232"/>
        <v>24461.867325279021</v>
      </c>
      <c r="E197" s="110">
        <f t="shared" si="232"/>
        <v>24178.542796103797</v>
      </c>
      <c r="F197" s="110">
        <f t="shared" si="232"/>
        <v>23794.1372720174</v>
      </c>
      <c r="G197" s="110">
        <f t="shared" si="232"/>
        <v>23294.616295740412</v>
      </c>
      <c r="H197" s="110">
        <f t="shared" si="232"/>
        <v>22937.925331958821</v>
      </c>
      <c r="I197" s="110">
        <f t="shared" si="232"/>
        <v>22858.66252390296</v>
      </c>
      <c r="J197" s="110">
        <f t="shared" si="232"/>
        <v>21681.428494878524</v>
      </c>
      <c r="K197" s="110">
        <f t="shared" si="232"/>
        <v>21044.412158621995</v>
      </c>
      <c r="L197" s="110">
        <f t="shared" si="232"/>
        <v>20736.993683130484</v>
      </c>
      <c r="M197" s="110">
        <f>IF(M6=0,0,M6*1000000/M60)</f>
        <v>19740.219841327082</v>
      </c>
      <c r="N197" s="110">
        <f t="shared" ref="N197:V197" si="233">IF(N6=0,0,N6*1000000/N60)</f>
        <v>21259.060499512911</v>
      </c>
      <c r="O197" s="110">
        <f t="shared" si="233"/>
        <v>20965.382333178324</v>
      </c>
      <c r="P197" s="110">
        <f t="shared" si="233"/>
        <v>20936.152710376206</v>
      </c>
      <c r="Q197" s="110">
        <f t="shared" si="233"/>
        <v>20921.211644906507</v>
      </c>
      <c r="R197" s="110">
        <f t="shared" si="233"/>
        <v>20970.854348560773</v>
      </c>
      <c r="S197" s="110">
        <f t="shared" si="233"/>
        <v>20843.337090209334</v>
      </c>
      <c r="T197" s="110">
        <f t="shared" si="233"/>
        <v>20725.353050493592</v>
      </c>
      <c r="U197" s="110">
        <f t="shared" si="233"/>
        <v>20803.652138253401</v>
      </c>
      <c r="V197" s="110">
        <f t="shared" si="233"/>
        <v>16890.161219391579</v>
      </c>
      <c r="W197" s="110">
        <f t="shared" ref="W197:Y209" si="234">IF(W6=0,0,W6*1000000/W60)</f>
        <v>18315.468029746185</v>
      </c>
      <c r="X197" s="110">
        <f t="shared" si="234"/>
        <v>19897.284011124841</v>
      </c>
      <c r="Y197" s="110">
        <f t="shared" si="234"/>
        <v>19379.914269054076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19185.9447742911</v>
      </c>
      <c r="C198" s="84">
        <f t="shared" si="232"/>
        <v>19077.094745420731</v>
      </c>
      <c r="D198" s="84">
        <f t="shared" si="232"/>
        <v>18842.588498358746</v>
      </c>
      <c r="E198" s="84">
        <f t="shared" si="232"/>
        <v>18217.512665190214</v>
      </c>
      <c r="F198" s="84">
        <f t="shared" si="232"/>
        <v>17758.691824215883</v>
      </c>
      <c r="G198" s="84">
        <f t="shared" si="232"/>
        <v>17161.33336421449</v>
      </c>
      <c r="H198" s="84">
        <f t="shared" si="232"/>
        <v>16272.719096973487</v>
      </c>
      <c r="I198" s="84">
        <f t="shared" si="232"/>
        <v>15597.539674494428</v>
      </c>
      <c r="J198" s="84">
        <f t="shared" si="232"/>
        <v>14383.60820133225</v>
      </c>
      <c r="K198" s="84">
        <f t="shared" si="232"/>
        <v>13971.301528042053</v>
      </c>
      <c r="L198" s="84">
        <f t="shared" si="232"/>
        <v>13275.603633570629</v>
      </c>
      <c r="M198" s="84">
        <f t="shared" ref="M198:M219" si="235">IF(M7=0,0,M7*1000000/M61)</f>
        <v>13339.834762544866</v>
      </c>
      <c r="N198" s="84">
        <f t="shared" si="232"/>
        <v>13830.797994842174</v>
      </c>
      <c r="O198" s="84">
        <f t="shared" si="232"/>
        <v>13529.212555563421</v>
      </c>
      <c r="P198" s="84">
        <f t="shared" si="232"/>
        <v>13706.162268701488</v>
      </c>
      <c r="Q198" s="84">
        <f t="shared" si="232"/>
        <v>13880.641660194406</v>
      </c>
      <c r="R198" s="84">
        <f t="shared" si="232"/>
        <v>14344.137602532417</v>
      </c>
      <c r="S198" s="84">
        <f t="shared" si="232"/>
        <v>14665.36805258278</v>
      </c>
      <c r="T198" s="84">
        <f t="shared" si="232"/>
        <v>15128.23071835142</v>
      </c>
      <c r="U198" s="84">
        <f t="shared" si="232"/>
        <v>15835.867832315267</v>
      </c>
      <c r="V198" s="84">
        <f t="shared" si="232"/>
        <v>13232.341238783085</v>
      </c>
      <c r="W198" s="84">
        <f t="shared" si="234"/>
        <v>15080.922166630216</v>
      </c>
      <c r="X198" s="84">
        <f t="shared" si="234"/>
        <v>16664.459549115069</v>
      </c>
      <c r="Y198" s="84">
        <f t="shared" si="234"/>
        <v>16645.241656057886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33507.221501713771</v>
      </c>
      <c r="C199" s="84">
        <f t="shared" si="232"/>
        <v>34072.245155688121</v>
      </c>
      <c r="D199" s="84">
        <f t="shared" si="232"/>
        <v>32885.396487660058</v>
      </c>
      <c r="E199" s="84">
        <f t="shared" si="232"/>
        <v>32220.170931575602</v>
      </c>
      <c r="F199" s="84">
        <f t="shared" si="232"/>
        <v>31177.393886334794</v>
      </c>
      <c r="G199" s="84">
        <f t="shared" si="232"/>
        <v>30140.843059186165</v>
      </c>
      <c r="H199" s="84">
        <f t="shared" si="232"/>
        <v>29746.707811532644</v>
      </c>
      <c r="I199" s="84">
        <f t="shared" si="232"/>
        <v>29680.534850826629</v>
      </c>
      <c r="J199" s="84">
        <f t="shared" si="232"/>
        <v>27857.720877823089</v>
      </c>
      <c r="K199" s="84">
        <f t="shared" si="232"/>
        <v>26468.101713638644</v>
      </c>
      <c r="L199" s="84">
        <f t="shared" si="232"/>
        <v>26021.135510913897</v>
      </c>
      <c r="M199" s="84">
        <f t="shared" si="235"/>
        <v>23772.805426455416</v>
      </c>
      <c r="N199" s="84">
        <f t="shared" si="232"/>
        <v>25701.162133016063</v>
      </c>
      <c r="O199" s="84">
        <f t="shared" si="232"/>
        <v>25220.217762658842</v>
      </c>
      <c r="P199" s="84">
        <f t="shared" si="232"/>
        <v>24994.956857743226</v>
      </c>
      <c r="Q199" s="84">
        <f t="shared" si="232"/>
        <v>24886.657651367514</v>
      </c>
      <c r="R199" s="84">
        <f t="shared" si="232"/>
        <v>24784.001117645919</v>
      </c>
      <c r="S199" s="84">
        <f t="shared" si="232"/>
        <v>24546.175877333768</v>
      </c>
      <c r="T199" s="84">
        <f t="shared" si="232"/>
        <v>24316.996801635018</v>
      </c>
      <c r="U199" s="84">
        <f t="shared" si="232"/>
        <v>24241.618241266493</v>
      </c>
      <c r="V199" s="84">
        <f t="shared" si="232"/>
        <v>19551.460013445361</v>
      </c>
      <c r="W199" s="84">
        <f t="shared" si="234"/>
        <v>20838.60424032333</v>
      </c>
      <c r="X199" s="84">
        <f t="shared" si="234"/>
        <v>22642.247756338631</v>
      </c>
      <c r="Y199" s="84">
        <f t="shared" si="234"/>
        <v>21916.096935786762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18101.98771596525</v>
      </c>
      <c r="C200" s="84">
        <f t="shared" si="232"/>
        <v>18049.097831328632</v>
      </c>
      <c r="D200" s="84">
        <f t="shared" si="232"/>
        <v>17158.591240637994</v>
      </c>
      <c r="E200" s="84">
        <f t="shared" si="232"/>
        <v>16317.66183310214</v>
      </c>
      <c r="F200" s="84">
        <f t="shared" si="232"/>
        <v>15726.390301449668</v>
      </c>
      <c r="G200" s="84">
        <f t="shared" si="232"/>
        <v>15633.552108085089</v>
      </c>
      <c r="H200" s="84">
        <f t="shared" si="232"/>
        <v>15587.546490384106</v>
      </c>
      <c r="I200" s="84">
        <f t="shared" si="232"/>
        <v>15246.72691666802</v>
      </c>
      <c r="J200" s="84">
        <f t="shared" si="232"/>
        <v>13752.912760852205</v>
      </c>
      <c r="K200" s="84">
        <f t="shared" si="232"/>
        <v>14029.922197520165</v>
      </c>
      <c r="L200" s="84">
        <f t="shared" si="232"/>
        <v>14534.49176992617</v>
      </c>
      <c r="M200" s="84">
        <f t="shared" si="235"/>
        <v>13090.814086192388</v>
      </c>
      <c r="N200" s="84">
        <f t="shared" si="232"/>
        <v>13678.808422762402</v>
      </c>
      <c r="O200" s="84">
        <f t="shared" si="232"/>
        <v>12786.523137434442</v>
      </c>
      <c r="P200" s="84">
        <f t="shared" si="232"/>
        <v>12267.306605610922</v>
      </c>
      <c r="Q200" s="84">
        <f t="shared" si="232"/>
        <v>11667.250937704819</v>
      </c>
      <c r="R200" s="84">
        <f t="shared" si="232"/>
        <v>11110.917502248745</v>
      </c>
      <c r="S200" s="84">
        <f t="shared" si="232"/>
        <v>10535.18778469081</v>
      </c>
      <c r="T200" s="84">
        <f t="shared" si="232"/>
        <v>9939.5425469733091</v>
      </c>
      <c r="U200" s="84">
        <f t="shared" si="232"/>
        <v>9568.2515166543817</v>
      </c>
      <c r="V200" s="84">
        <f t="shared" si="232"/>
        <v>7359.3541340258225</v>
      </c>
      <c r="W200" s="84">
        <f t="shared" si="234"/>
        <v>7659.4686456872942</v>
      </c>
      <c r="X200" s="84">
        <f t="shared" si="234"/>
        <v>8857.9447895167305</v>
      </c>
      <c r="Y200" s="84">
        <f t="shared" si="234"/>
        <v>9067.3138866449681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37106.901449865451</v>
      </c>
      <c r="J201" s="84">
        <f t="shared" si="232"/>
        <v>34455.76403134023</v>
      </c>
      <c r="K201" s="84">
        <f t="shared" si="232"/>
        <v>32737.528731629027</v>
      </c>
      <c r="L201" s="84">
        <f t="shared" si="232"/>
        <v>31587.402453531766</v>
      </c>
      <c r="M201" s="84">
        <f t="shared" si="235"/>
        <v>28595.91905966615</v>
      </c>
      <c r="N201" s="84">
        <f t="shared" si="232"/>
        <v>30759.183179470259</v>
      </c>
      <c r="O201" s="84">
        <f t="shared" si="232"/>
        <v>29598.392667836019</v>
      </c>
      <c r="P201" s="84">
        <f t="shared" si="232"/>
        <v>29231.695493080882</v>
      </c>
      <c r="Q201" s="84">
        <f t="shared" si="232"/>
        <v>28619.52700927668</v>
      </c>
      <c r="R201" s="84">
        <f t="shared" si="232"/>
        <v>29263.10480473347</v>
      </c>
      <c r="S201" s="84">
        <f t="shared" si="232"/>
        <v>28623.005315948642</v>
      </c>
      <c r="T201" s="84">
        <f t="shared" si="232"/>
        <v>27857.479372434653</v>
      </c>
      <c r="U201" s="84">
        <f t="shared" si="232"/>
        <v>27663.713224317849</v>
      </c>
      <c r="V201" s="84">
        <f t="shared" si="232"/>
        <v>21949.269105119678</v>
      </c>
      <c r="W201" s="84">
        <f t="shared" si="234"/>
        <v>24332.421180355916</v>
      </c>
      <c r="X201" s="84">
        <f t="shared" si="234"/>
        <v>26263.731400837743</v>
      </c>
      <c r="Y201" s="84">
        <f t="shared" si="234"/>
        <v>25092.208403230954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13982.494563079779</v>
      </c>
      <c r="O202" s="84">
        <f t="shared" si="232"/>
        <v>13704.789467408838</v>
      </c>
      <c r="P202" s="84">
        <f t="shared" si="232"/>
        <v>13985.072353755128</v>
      </c>
      <c r="Q202" s="84">
        <f t="shared" si="232"/>
        <v>14131.320440808515</v>
      </c>
      <c r="R202" s="84">
        <f t="shared" si="232"/>
        <v>14515.63673705148</v>
      </c>
      <c r="S202" s="84">
        <f t="shared" si="232"/>
        <v>14881.560902696905</v>
      </c>
      <c r="T202" s="84">
        <f t="shared" si="232"/>
        <v>15288.933711265985</v>
      </c>
      <c r="U202" s="84">
        <f t="shared" si="232"/>
        <v>15973.745018895859</v>
      </c>
      <c r="V202" s="84">
        <f t="shared" si="232"/>
        <v>13214.520486837</v>
      </c>
      <c r="W202" s="84">
        <f t="shared" si="234"/>
        <v>14771.568071842867</v>
      </c>
      <c r="X202" s="84">
        <f t="shared" si="234"/>
        <v>16768.537032051587</v>
      </c>
      <c r="Y202" s="84">
        <f t="shared" si="234"/>
        <v>16634.781391368546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24651.319924623753</v>
      </c>
      <c r="I203" s="84">
        <f t="shared" si="232"/>
        <v>24208.873257514242</v>
      </c>
      <c r="J203" s="84">
        <f t="shared" si="232"/>
        <v>23993.934824943077</v>
      </c>
      <c r="K203" s="84">
        <f t="shared" si="232"/>
        <v>23353.133732132745</v>
      </c>
      <c r="L203" s="84">
        <f t="shared" si="232"/>
        <v>23376.202566494823</v>
      </c>
      <c r="M203" s="84">
        <f t="shared" si="235"/>
        <v>22091.986396498134</v>
      </c>
      <c r="N203" s="84">
        <f t="shared" si="232"/>
        <v>23876.487690019014</v>
      </c>
      <c r="O203" s="84">
        <f t="shared" si="232"/>
        <v>23731.226101855475</v>
      </c>
      <c r="P203" s="84">
        <f t="shared" si="232"/>
        <v>23524.514878260452</v>
      </c>
      <c r="Q203" s="84">
        <f t="shared" si="232"/>
        <v>23165.99730195765</v>
      </c>
      <c r="R203" s="84">
        <f t="shared" si="232"/>
        <v>22884.774404649808</v>
      </c>
      <c r="S203" s="84">
        <f t="shared" si="232"/>
        <v>22652.85041469178</v>
      </c>
      <c r="T203" s="84">
        <f t="shared" si="232"/>
        <v>22762.537211556977</v>
      </c>
      <c r="U203" s="84">
        <f t="shared" si="232"/>
        <v>22597.256985329081</v>
      </c>
      <c r="V203" s="84">
        <f t="shared" si="232"/>
        <v>19489.773428396427</v>
      </c>
      <c r="W203" s="84">
        <f t="shared" si="234"/>
        <v>20933.9648088674</v>
      </c>
      <c r="X203" s="84">
        <f t="shared" si="234"/>
        <v>20879.171524389494</v>
      </c>
      <c r="Y203" s="84">
        <f t="shared" si="234"/>
        <v>19928.054746859532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578368.20987402287</v>
      </c>
      <c r="C204" s="110">
        <f t="shared" si="232"/>
        <v>553296.43696305377</v>
      </c>
      <c r="D204" s="110">
        <f t="shared" si="232"/>
        <v>566494.49202761275</v>
      </c>
      <c r="E204" s="110">
        <f t="shared" si="232"/>
        <v>564098.6487464027</v>
      </c>
      <c r="F204" s="110">
        <f t="shared" si="232"/>
        <v>565431.09978872759</v>
      </c>
      <c r="G204" s="110">
        <f t="shared" si="232"/>
        <v>556378.97872419108</v>
      </c>
      <c r="H204" s="110">
        <f t="shared" si="232"/>
        <v>569025.04204955057</v>
      </c>
      <c r="I204" s="110">
        <f t="shared" si="232"/>
        <v>561958.99956018361</v>
      </c>
      <c r="J204" s="110">
        <f t="shared" si="232"/>
        <v>576320.5898741117</v>
      </c>
      <c r="K204" s="110">
        <f t="shared" si="232"/>
        <v>587750.45306433097</v>
      </c>
      <c r="L204" s="110">
        <f t="shared" si="232"/>
        <v>602564.24845507578</v>
      </c>
      <c r="M204" s="110">
        <f t="shared" si="235"/>
        <v>596538.08362591639</v>
      </c>
      <c r="N204" s="110">
        <f t="shared" si="232"/>
        <v>597112.28245950898</v>
      </c>
      <c r="O204" s="110">
        <f t="shared" si="232"/>
        <v>626619.74216603511</v>
      </c>
      <c r="P204" s="110">
        <f t="shared" si="232"/>
        <v>632579.25317127735</v>
      </c>
      <c r="Q204" s="110">
        <f t="shared" si="232"/>
        <v>639822.63700248871</v>
      </c>
      <c r="R204" s="110">
        <f t="shared" si="232"/>
        <v>639074.21410800086</v>
      </c>
      <c r="S204" s="110">
        <f t="shared" si="232"/>
        <v>625420.69685292628</v>
      </c>
      <c r="T204" s="110">
        <f t="shared" si="232"/>
        <v>613317.29122282285</v>
      </c>
      <c r="U204" s="110">
        <f t="shared" si="232"/>
        <v>612286.77503769158</v>
      </c>
      <c r="V204" s="110">
        <f t="shared" si="232"/>
        <v>370381.42563295999</v>
      </c>
      <c r="W204" s="110">
        <f t="shared" si="234"/>
        <v>394344.01926655567</v>
      </c>
      <c r="X204" s="110">
        <f t="shared" si="234"/>
        <v>444025.02842366492</v>
      </c>
      <c r="Y204" s="110">
        <f t="shared" si="234"/>
        <v>493330.95840924344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82653.631210512962</v>
      </c>
      <c r="C205" s="102">
        <f t="shared" si="232"/>
        <v>81632.682230541366</v>
      </c>
      <c r="D205" s="102">
        <f t="shared" si="232"/>
        <v>84201.907893818643</v>
      </c>
      <c r="E205" s="102">
        <f t="shared" si="232"/>
        <v>84690.981580424792</v>
      </c>
      <c r="F205" s="102">
        <f t="shared" si="232"/>
        <v>85791.453513363478</v>
      </c>
      <c r="G205" s="102">
        <f t="shared" si="232"/>
        <v>85489.288275736195</v>
      </c>
      <c r="H205" s="102">
        <f t="shared" si="232"/>
        <v>88320.226642646652</v>
      </c>
      <c r="I205" s="102">
        <f t="shared" si="232"/>
        <v>89360.253635291883</v>
      </c>
      <c r="J205" s="102">
        <f t="shared" si="232"/>
        <v>92170.171940830594</v>
      </c>
      <c r="K205" s="102">
        <f t="shared" si="232"/>
        <v>92536.238415103071</v>
      </c>
      <c r="L205" s="102">
        <f t="shared" si="232"/>
        <v>92419.150314809493</v>
      </c>
      <c r="M205" s="102">
        <f t="shared" si="235"/>
        <v>92332.229811915095</v>
      </c>
      <c r="N205" s="102">
        <f t="shared" si="232"/>
        <v>93265.472216727576</v>
      </c>
      <c r="O205" s="102">
        <f t="shared" si="232"/>
        <v>98754.883196198236</v>
      </c>
      <c r="P205" s="102">
        <f t="shared" si="232"/>
        <v>100701.48742561674</v>
      </c>
      <c r="Q205" s="102">
        <f t="shared" si="232"/>
        <v>102957.56857179262</v>
      </c>
      <c r="R205" s="102">
        <f t="shared" si="232"/>
        <v>101826.77203620809</v>
      </c>
      <c r="S205" s="102">
        <f t="shared" si="232"/>
        <v>101862.16892916316</v>
      </c>
      <c r="T205" s="102">
        <f t="shared" si="232"/>
        <v>100434.05992697479</v>
      </c>
      <c r="U205" s="102">
        <f t="shared" si="232"/>
        <v>97396.45735441742</v>
      </c>
      <c r="V205" s="102">
        <f t="shared" si="232"/>
        <v>63703.471688314181</v>
      </c>
      <c r="W205" s="102">
        <f t="shared" si="234"/>
        <v>66625.446119232976</v>
      </c>
      <c r="X205" s="102">
        <f t="shared" si="234"/>
        <v>71449.531297943351</v>
      </c>
      <c r="Y205" s="102">
        <f t="shared" si="234"/>
        <v>72080.15733874045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585967.57851973828</v>
      </c>
      <c r="C206" s="102">
        <f t="shared" si="232"/>
        <v>559650.10597607133</v>
      </c>
      <c r="D206" s="102">
        <f t="shared" si="232"/>
        <v>572562.92987705278</v>
      </c>
      <c r="E206" s="102">
        <f t="shared" si="232"/>
        <v>569355.03734494583</v>
      </c>
      <c r="F206" s="102">
        <f t="shared" si="232"/>
        <v>569946.35752114747</v>
      </c>
      <c r="G206" s="102">
        <f t="shared" si="232"/>
        <v>560099.51541175856</v>
      </c>
      <c r="H206" s="102">
        <f t="shared" si="232"/>
        <v>571956.17522304319</v>
      </c>
      <c r="I206" s="102">
        <f t="shared" si="232"/>
        <v>564182.59772901458</v>
      </c>
      <c r="J206" s="102">
        <f t="shared" si="232"/>
        <v>577810.46159270883</v>
      </c>
      <c r="K206" s="102">
        <f t="shared" si="232"/>
        <v>588785.09377902723</v>
      </c>
      <c r="L206" s="102">
        <f t="shared" si="232"/>
        <v>603127.17470910423</v>
      </c>
      <c r="M206" s="102">
        <f t="shared" si="235"/>
        <v>593236.42702779977</v>
      </c>
      <c r="N206" s="102">
        <f t="shared" si="232"/>
        <v>592899.50840459869</v>
      </c>
      <c r="O206" s="102">
        <f t="shared" si="232"/>
        <v>619663.87181068922</v>
      </c>
      <c r="P206" s="102">
        <f t="shared" si="232"/>
        <v>625153.35644940683</v>
      </c>
      <c r="Q206" s="102">
        <f t="shared" si="232"/>
        <v>632269.59266811423</v>
      </c>
      <c r="R206" s="102">
        <f t="shared" si="232"/>
        <v>631131.66794701025</v>
      </c>
      <c r="S206" s="102">
        <f t="shared" si="232"/>
        <v>615615.34912448889</v>
      </c>
      <c r="T206" s="102">
        <f t="shared" si="232"/>
        <v>601799.19356575515</v>
      </c>
      <c r="U206" s="102">
        <f t="shared" si="232"/>
        <v>597458.70533141831</v>
      </c>
      <c r="V206" s="102">
        <f t="shared" si="232"/>
        <v>354907.02668552997</v>
      </c>
      <c r="W206" s="102">
        <f t="shared" si="234"/>
        <v>377303.84706152038</v>
      </c>
      <c r="X206" s="102">
        <f t="shared" si="234"/>
        <v>420960.38464721199</v>
      </c>
      <c r="Y206" s="102">
        <f t="shared" si="234"/>
        <v>462913.11740845448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390708.00845901057</v>
      </c>
      <c r="C207" s="102">
        <f t="shared" si="232"/>
        <v>373329.33398402808</v>
      </c>
      <c r="D207" s="102">
        <f t="shared" si="232"/>
        <v>382570.48731402896</v>
      </c>
      <c r="E207" s="102">
        <f t="shared" si="232"/>
        <v>380796.58926527604</v>
      </c>
      <c r="F207" s="102">
        <f t="shared" si="232"/>
        <v>381667.73791651428</v>
      </c>
      <c r="G207" s="102">
        <f t="shared" si="232"/>
        <v>377060.91758419224</v>
      </c>
      <c r="H207" s="102">
        <f t="shared" si="232"/>
        <v>389853.2318046522</v>
      </c>
      <c r="I207" s="102">
        <f t="shared" si="232"/>
        <v>388863.95075014589</v>
      </c>
      <c r="J207" s="102">
        <f t="shared" si="232"/>
        <v>403163.95389021235</v>
      </c>
      <c r="K207" s="102">
        <f t="shared" si="232"/>
        <v>415092.87118103157</v>
      </c>
      <c r="L207" s="102">
        <f t="shared" si="232"/>
        <v>429359.99187536031</v>
      </c>
      <c r="M207" s="102">
        <f t="shared" si="235"/>
        <v>428868.14946233312</v>
      </c>
      <c r="N207" s="102">
        <f t="shared" si="232"/>
        <v>433126.79437005549</v>
      </c>
      <c r="O207" s="102">
        <f t="shared" si="232"/>
        <v>458567.17058954696</v>
      </c>
      <c r="P207" s="102">
        <f t="shared" si="232"/>
        <v>467534.767787722</v>
      </c>
      <c r="Q207" s="102">
        <f t="shared" si="232"/>
        <v>477947.8536316902</v>
      </c>
      <c r="R207" s="102">
        <f t="shared" si="232"/>
        <v>472689.167095693</v>
      </c>
      <c r="S207" s="102">
        <f t="shared" si="232"/>
        <v>464026.44311956997</v>
      </c>
      <c r="T207" s="102">
        <f t="shared" si="232"/>
        <v>448455.74534865387</v>
      </c>
      <c r="U207" s="102">
        <f t="shared" si="232"/>
        <v>434891.56562039978</v>
      </c>
      <c r="V207" s="102">
        <f t="shared" si="232"/>
        <v>267893.84727458004</v>
      </c>
      <c r="W207" s="102">
        <f t="shared" si="234"/>
        <v>261449.51303998576</v>
      </c>
      <c r="X207" s="102">
        <f t="shared" si="234"/>
        <v>296122.88512309169</v>
      </c>
      <c r="Y207" s="102">
        <f t="shared" si="234"/>
        <v>329093.38751290546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664905.99981975381</v>
      </c>
      <c r="C208" s="102">
        <f t="shared" si="232"/>
        <v>641748.49610083993</v>
      </c>
      <c r="D208" s="102">
        <f t="shared" si="232"/>
        <v>664276.69100140943</v>
      </c>
      <c r="E208" s="102">
        <f t="shared" si="232"/>
        <v>664980.02719167096</v>
      </c>
      <c r="F208" s="102">
        <f t="shared" si="232"/>
        <v>673233.63890226639</v>
      </c>
      <c r="G208" s="102">
        <f t="shared" si="232"/>
        <v>668570.55542917654</v>
      </c>
      <c r="H208" s="102">
        <f t="shared" si="232"/>
        <v>691252.73813427705</v>
      </c>
      <c r="I208" s="102">
        <f t="shared" si="232"/>
        <v>684040.9930721065</v>
      </c>
      <c r="J208" s="102">
        <f t="shared" si="232"/>
        <v>709195.77620383038</v>
      </c>
      <c r="K208" s="102">
        <f t="shared" si="232"/>
        <v>730179.6406483131</v>
      </c>
      <c r="L208" s="102">
        <f t="shared" si="232"/>
        <v>755276.5810800551</v>
      </c>
      <c r="M208" s="102">
        <f t="shared" si="235"/>
        <v>739472.55374213005</v>
      </c>
      <c r="N208" s="102">
        <f t="shared" si="232"/>
        <v>732027.06340606429</v>
      </c>
      <c r="O208" s="102">
        <f t="shared" si="232"/>
        <v>759676.80584231531</v>
      </c>
      <c r="P208" s="102">
        <f t="shared" si="232"/>
        <v>759195.52621200297</v>
      </c>
      <c r="Q208" s="102">
        <f t="shared" si="232"/>
        <v>760736.16754950734</v>
      </c>
      <c r="R208" s="102">
        <f t="shared" si="232"/>
        <v>767565.37839099322</v>
      </c>
      <c r="S208" s="102">
        <f t="shared" si="232"/>
        <v>768720.80851808202</v>
      </c>
      <c r="T208" s="102">
        <f t="shared" si="232"/>
        <v>757934.50463532156</v>
      </c>
      <c r="U208" s="102">
        <f t="shared" si="232"/>
        <v>749858.38196052599</v>
      </c>
      <c r="V208" s="102">
        <f t="shared" si="232"/>
        <v>471245.46508903225</v>
      </c>
      <c r="W208" s="102">
        <f t="shared" si="234"/>
        <v>469200.49444319448</v>
      </c>
      <c r="X208" s="102">
        <f t="shared" si="234"/>
        <v>529798.67766964959</v>
      </c>
      <c r="Y208" s="102">
        <f t="shared" si="234"/>
        <v>590800.1641064923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697815.17416618019</v>
      </c>
      <c r="C209" s="102">
        <f t="shared" si="232"/>
        <v>680937.21913462935</v>
      </c>
      <c r="D209" s="102">
        <f t="shared" si="232"/>
        <v>684263.5165711476</v>
      </c>
      <c r="E209" s="102">
        <f t="shared" si="232"/>
        <v>684122.59890474938</v>
      </c>
      <c r="F209" s="102">
        <f t="shared" si="232"/>
        <v>683797.72643168934</v>
      </c>
      <c r="G209" s="102">
        <f t="shared" si="232"/>
        <v>681663.16448041156</v>
      </c>
      <c r="H209" s="102">
        <f t="shared" si="232"/>
        <v>683000.25941726554</v>
      </c>
      <c r="I209" s="102">
        <f t="shared" si="232"/>
        <v>672456.89480367408</v>
      </c>
      <c r="J209" s="102">
        <f t="shared" si="232"/>
        <v>676958.09299002017</v>
      </c>
      <c r="K209" s="102">
        <f t="shared" si="232"/>
        <v>696374.97434195096</v>
      </c>
      <c r="L209" s="102">
        <f t="shared" si="232"/>
        <v>729152.29672110861</v>
      </c>
      <c r="M209" s="102">
        <f t="shared" si="235"/>
        <v>736101.22765432519</v>
      </c>
      <c r="N209" s="102">
        <f t="shared" si="232"/>
        <v>751615.0000869513</v>
      </c>
      <c r="O209" s="102">
        <f t="shared" si="232"/>
        <v>806998.41445574455</v>
      </c>
      <c r="P209" s="102">
        <f t="shared" si="232"/>
        <v>814490.89520795131</v>
      </c>
      <c r="Q209" s="102">
        <f t="shared" si="232"/>
        <v>812511.35117387341</v>
      </c>
      <c r="R209" s="102">
        <f t="shared" si="232"/>
        <v>808536.32116149121</v>
      </c>
      <c r="S209" s="102">
        <f t="shared" si="232"/>
        <v>824828.92790599552</v>
      </c>
      <c r="T209" s="102">
        <f t="shared" si="232"/>
        <v>812067.19586361782</v>
      </c>
      <c r="U209" s="102">
        <f t="shared" si="232"/>
        <v>817802.23159172654</v>
      </c>
      <c r="V209" s="102">
        <f t="shared" si="232"/>
        <v>552298.88121531496</v>
      </c>
      <c r="W209" s="102">
        <f t="shared" si="234"/>
        <v>621460.8425273879</v>
      </c>
      <c r="X209" s="102">
        <f t="shared" si="234"/>
        <v>654573.50371379359</v>
      </c>
      <c r="Y209" s="102">
        <f t="shared" si="234"/>
        <v>722733.91567489435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40958.092969243502</v>
      </c>
      <c r="C210" s="28">
        <f t="shared" si="232"/>
        <v>42413.80573327723</v>
      </c>
      <c r="D210" s="28">
        <f t="shared" si="232"/>
        <v>43122.183917012233</v>
      </c>
      <c r="E210" s="28">
        <f t="shared" si="232"/>
        <v>43243.498261783738</v>
      </c>
      <c r="F210" s="28">
        <f t="shared" ref="B210:V219" si="236">IF(F19=0,0,F19*1000000/F73)</f>
        <v>46534.616888814387</v>
      </c>
      <c r="G210" s="28">
        <f t="shared" si="236"/>
        <v>46627.21723089202</v>
      </c>
      <c r="H210" s="28">
        <f t="shared" si="236"/>
        <v>47820.957584785501</v>
      </c>
      <c r="I210" s="28">
        <f t="shared" si="236"/>
        <v>49240.195251249577</v>
      </c>
      <c r="J210" s="28">
        <f t="shared" si="236"/>
        <v>46827.089180459006</v>
      </c>
      <c r="K210" s="28">
        <f t="shared" si="236"/>
        <v>40888.14495840286</v>
      </c>
      <c r="L210" s="28">
        <f t="shared" si="236"/>
        <v>42687.903974831803</v>
      </c>
      <c r="M210" s="28">
        <f t="shared" si="235"/>
        <v>42825.355284636069</v>
      </c>
      <c r="N210" s="28">
        <f t="shared" si="236"/>
        <v>40835.286932178889</v>
      </c>
      <c r="O210" s="28">
        <f t="shared" si="236"/>
        <v>41482.43257291957</v>
      </c>
      <c r="P210" s="28">
        <f t="shared" si="236"/>
        <v>40405.007281734484</v>
      </c>
      <c r="Q210" s="28">
        <f t="shared" si="236"/>
        <v>39060.933712363039</v>
      </c>
      <c r="R210" s="28">
        <f t="shared" si="236"/>
        <v>40227.869775786188</v>
      </c>
      <c r="S210" s="28">
        <f t="shared" si="236"/>
        <v>43390.369972802837</v>
      </c>
      <c r="T210" s="28">
        <f t="shared" si="236"/>
        <v>43937.31841894456</v>
      </c>
      <c r="U210" s="28">
        <f t="shared" si="236"/>
        <v>45156.416914343907</v>
      </c>
      <c r="V210" s="28">
        <f t="shared" si="236"/>
        <v>43510.1398098012</v>
      </c>
      <c r="W210" s="28">
        <f t="shared" ref="W210:Y210" si="237">IF(W19=0,0,W19*1000000/W73)</f>
        <v>45822.949364729939</v>
      </c>
      <c r="X210" s="28">
        <f t="shared" si="237"/>
        <v>45180.697768696678</v>
      </c>
      <c r="Y210" s="28">
        <f t="shared" si="237"/>
        <v>43811.310744856266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2542.3115055204835</v>
      </c>
      <c r="C211" s="137">
        <f t="shared" si="236"/>
        <v>2606.6944852224196</v>
      </c>
      <c r="D211" s="137">
        <f t="shared" si="236"/>
        <v>2613.1174255928117</v>
      </c>
      <c r="E211" s="137">
        <f t="shared" si="236"/>
        <v>2597.7507523634931</v>
      </c>
      <c r="F211" s="137">
        <f t="shared" si="236"/>
        <v>2583.4597611848649</v>
      </c>
      <c r="G211" s="137">
        <f t="shared" si="236"/>
        <v>2573.1016906481209</v>
      </c>
      <c r="H211" s="137">
        <f t="shared" si="236"/>
        <v>2592.9157574632436</v>
      </c>
      <c r="I211" s="137">
        <f t="shared" si="236"/>
        <v>2598.9157538594382</v>
      </c>
      <c r="J211" s="137">
        <f t="shared" si="236"/>
        <v>2524.9850297572671</v>
      </c>
      <c r="K211" s="137">
        <f t="shared" si="236"/>
        <v>2568.9528409891286</v>
      </c>
      <c r="L211" s="137">
        <f t="shared" si="236"/>
        <v>2631.0323182245975</v>
      </c>
      <c r="M211" s="137">
        <f t="shared" si="235"/>
        <v>2755.6123379309938</v>
      </c>
      <c r="N211" s="137">
        <f t="shared" si="236"/>
        <v>2787.6685748044306</v>
      </c>
      <c r="O211" s="137">
        <f t="shared" si="236"/>
        <v>2828.8638977874434</v>
      </c>
      <c r="P211" s="137">
        <f t="shared" si="236"/>
        <v>2806.5884104285565</v>
      </c>
      <c r="Q211" s="137">
        <f t="shared" si="236"/>
        <v>2896.1135313385148</v>
      </c>
      <c r="R211" s="137">
        <f t="shared" si="236"/>
        <v>2898.2218414851923</v>
      </c>
      <c r="S211" s="137">
        <f t="shared" si="236"/>
        <v>2999.4274393673973</v>
      </c>
      <c r="T211" s="137">
        <f t="shared" si="236"/>
        <v>3005.343243378134</v>
      </c>
      <c r="U211" s="137">
        <f t="shared" si="236"/>
        <v>3045.9765263547242</v>
      </c>
      <c r="V211" s="137">
        <f t="shared" si="236"/>
        <v>2692.5491425684836</v>
      </c>
      <c r="W211" s="137">
        <f t="shared" ref="W211:Y211" si="238">IF(W20=0,0,W20*1000000/W74)</f>
        <v>3042.6779740864931</v>
      </c>
      <c r="X211" s="137">
        <f t="shared" si="238"/>
        <v>3060.909071949317</v>
      </c>
      <c r="Y211" s="137">
        <f t="shared" si="238"/>
        <v>3090.9079511124551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2177.5991470488107</v>
      </c>
      <c r="C212" s="84">
        <f t="shared" si="236"/>
        <v>2216.7082382217814</v>
      </c>
      <c r="D212" s="84">
        <f t="shared" si="236"/>
        <v>2208.8479106450231</v>
      </c>
      <c r="E212" s="84">
        <f t="shared" si="236"/>
        <v>2181.1832833734766</v>
      </c>
      <c r="F212" s="84">
        <f t="shared" si="236"/>
        <v>2156.6764096377278</v>
      </c>
      <c r="G212" s="84">
        <f t="shared" si="236"/>
        <v>2141.4630901062105</v>
      </c>
      <c r="H212" s="84">
        <f t="shared" si="236"/>
        <v>2151.257136461732</v>
      </c>
      <c r="I212" s="84">
        <f t="shared" si="236"/>
        <v>2124.8267113419265</v>
      </c>
      <c r="J212" s="84">
        <f t="shared" si="236"/>
        <v>1981.7437653875986</v>
      </c>
      <c r="K212" s="84">
        <f t="shared" si="236"/>
        <v>1936.5280753431266</v>
      </c>
      <c r="L212" s="84">
        <f t="shared" si="236"/>
        <v>1912.1718055212903</v>
      </c>
      <c r="M212" s="84">
        <f t="shared" si="235"/>
        <v>1934.5022900861941</v>
      </c>
      <c r="N212" s="84">
        <f t="shared" si="236"/>
        <v>1885.1023741843676</v>
      </c>
      <c r="O212" s="84">
        <f t="shared" si="236"/>
        <v>1843.4935430783557</v>
      </c>
      <c r="P212" s="84">
        <f t="shared" si="236"/>
        <v>1756.2307524473447</v>
      </c>
      <c r="Q212" s="84">
        <f t="shared" si="236"/>
        <v>1741.6543223911553</v>
      </c>
      <c r="R212" s="84">
        <f t="shared" si="236"/>
        <v>1815.0999143136198</v>
      </c>
      <c r="S212" s="84">
        <f t="shared" si="236"/>
        <v>1952.9948153287144</v>
      </c>
      <c r="T212" s="84">
        <f t="shared" si="236"/>
        <v>2036.3540962487987</v>
      </c>
      <c r="U212" s="84">
        <f t="shared" si="236"/>
        <v>2146.0117286804384</v>
      </c>
      <c r="V212" s="84">
        <f t="shared" si="236"/>
        <v>1963.3907472744429</v>
      </c>
      <c r="W212" s="84">
        <f t="shared" ref="W212:Y212" si="239">IF(W21=0,0,W21*1000000/W75)</f>
        <v>2322.0060275150881</v>
      </c>
      <c r="X212" s="84">
        <f t="shared" si="239"/>
        <v>2428.4134646164885</v>
      </c>
      <c r="Y212" s="84">
        <f t="shared" si="239"/>
        <v>2556.9599668415431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2600.7333278669789</v>
      </c>
      <c r="C213" s="84">
        <f t="shared" si="236"/>
        <v>2657.9845156935398</v>
      </c>
      <c r="D213" s="84">
        <f t="shared" si="236"/>
        <v>2657.1018633182589</v>
      </c>
      <c r="E213" s="84">
        <f t="shared" si="236"/>
        <v>2634.0851825170976</v>
      </c>
      <c r="F213" s="84">
        <f t="shared" si="236"/>
        <v>2613.5213922124371</v>
      </c>
      <c r="G213" s="84">
        <f t="shared" si="236"/>
        <v>2599.0514957226865</v>
      </c>
      <c r="H213" s="84">
        <f t="shared" si="236"/>
        <v>2616.2181976361016</v>
      </c>
      <c r="I213" s="84">
        <f t="shared" si="236"/>
        <v>2620.6953248908067</v>
      </c>
      <c r="J213" s="84">
        <f t="shared" si="236"/>
        <v>2547.9203762565071</v>
      </c>
      <c r="K213" s="84">
        <f t="shared" si="236"/>
        <v>2593.8279748225136</v>
      </c>
      <c r="L213" s="84">
        <f t="shared" si="236"/>
        <v>2661.3904798945468</v>
      </c>
      <c r="M213" s="84">
        <f t="shared" si="235"/>
        <v>2794.6248536265534</v>
      </c>
      <c r="N213" s="84">
        <f t="shared" si="236"/>
        <v>2834.9362068660798</v>
      </c>
      <c r="O213" s="84">
        <f t="shared" si="236"/>
        <v>2886.2962771604607</v>
      </c>
      <c r="P213" s="84">
        <f t="shared" si="236"/>
        <v>2864.6729537741412</v>
      </c>
      <c r="Q213" s="84">
        <f t="shared" si="236"/>
        <v>2956.596310884167</v>
      </c>
      <c r="R213" s="84">
        <f t="shared" si="236"/>
        <v>2953.8519071722149</v>
      </c>
      <c r="S213" s="84">
        <f t="shared" si="236"/>
        <v>3051.3740747745878</v>
      </c>
      <c r="T213" s="84">
        <f t="shared" si="236"/>
        <v>3056.8122790265975</v>
      </c>
      <c r="U213" s="84">
        <f t="shared" si="236"/>
        <v>3094.5667288332384</v>
      </c>
      <c r="V213" s="84">
        <f t="shared" si="236"/>
        <v>2734.213113256129</v>
      </c>
      <c r="W213" s="84">
        <f t="shared" ref="W213:Y213" si="240">IF(W22=0,0,W22*1000000/W76)</f>
        <v>3090.8716267811496</v>
      </c>
      <c r="X213" s="84">
        <f t="shared" si="240"/>
        <v>3111.1990943356809</v>
      </c>
      <c r="Y213" s="84">
        <f t="shared" si="240"/>
        <v>3148.0481678298393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2038.9206513720519</v>
      </c>
      <c r="C214" s="84">
        <f t="shared" si="236"/>
        <v>2075.5391143049706</v>
      </c>
      <c r="D214" s="84">
        <f t="shared" si="236"/>
        <v>2068.1793648099715</v>
      </c>
      <c r="E214" s="84">
        <f t="shared" si="236"/>
        <v>2042.2765351119945</v>
      </c>
      <c r="F214" s="84">
        <f t="shared" si="236"/>
        <v>2019.3303601797966</v>
      </c>
      <c r="G214" s="84">
        <f t="shared" si="236"/>
        <v>2005.0858875867707</v>
      </c>
      <c r="H214" s="84">
        <f t="shared" si="236"/>
        <v>2005.0003560592429</v>
      </c>
      <c r="I214" s="84">
        <f t="shared" si="236"/>
        <v>1988.6119345260897</v>
      </c>
      <c r="J214" s="84">
        <f t="shared" si="236"/>
        <v>1913.2352110777429</v>
      </c>
      <c r="K214" s="84">
        <f t="shared" si="236"/>
        <v>1928.5859668473897</v>
      </c>
      <c r="L214" s="84">
        <f t="shared" si="236"/>
        <v>1964.4295357274161</v>
      </c>
      <c r="M214" s="84">
        <f t="shared" si="235"/>
        <v>2050.0909728231941</v>
      </c>
      <c r="N214" s="84">
        <f t="shared" si="236"/>
        <v>2060.7872833460924</v>
      </c>
      <c r="O214" s="84">
        <f t="shared" si="236"/>
        <v>2078.9028106098626</v>
      </c>
      <c r="P214" s="84">
        <f t="shared" si="236"/>
        <v>2043.0005493315871</v>
      </c>
      <c r="Q214" s="84">
        <f t="shared" si="236"/>
        <v>2089.985186869385</v>
      </c>
      <c r="R214" s="84">
        <f t="shared" si="236"/>
        <v>2111.4822849257812</v>
      </c>
      <c r="S214" s="84">
        <f t="shared" si="236"/>
        <v>2202.3871067720825</v>
      </c>
      <c r="T214" s="84">
        <f t="shared" si="236"/>
        <v>2226.1351337775263</v>
      </c>
      <c r="U214" s="84">
        <f t="shared" si="236"/>
        <v>2274.2383377299789</v>
      </c>
      <c r="V214" s="84">
        <f t="shared" si="236"/>
        <v>2017.0482395897318</v>
      </c>
      <c r="W214" s="84">
        <f t="shared" ref="W214:Y214" si="241">IF(W23=0,0,W23*1000000/W77)</f>
        <v>2312.48299294973</v>
      </c>
      <c r="X214" s="84">
        <f t="shared" si="241"/>
        <v>2344.4636126562245</v>
      </c>
      <c r="Y214" s="84">
        <f t="shared" si="241"/>
        <v>2393.0427262725998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1829.1501679309267</v>
      </c>
      <c r="C215" s="84">
        <f t="shared" si="236"/>
        <v>1877.0325468015042</v>
      </c>
      <c r="D215" s="84">
        <f t="shared" si="236"/>
        <v>1870.3766908635419</v>
      </c>
      <c r="E215" s="84">
        <f t="shared" si="236"/>
        <v>1846.9512328404869</v>
      </c>
      <c r="F215" s="84">
        <f t="shared" si="236"/>
        <v>1826.1996522629474</v>
      </c>
      <c r="G215" s="84">
        <f t="shared" si="236"/>
        <v>1813.3175348001378</v>
      </c>
      <c r="H215" s="84">
        <f t="shared" si="236"/>
        <v>1813.2401835905937</v>
      </c>
      <c r="I215" s="84">
        <f t="shared" si="236"/>
        <v>1798.4191665370404</v>
      </c>
      <c r="J215" s="84">
        <f t="shared" si="236"/>
        <v>1730.2515457927875</v>
      </c>
      <c r="K215" s="84">
        <f t="shared" si="236"/>
        <v>1744.1341404396619</v>
      </c>
      <c r="L215" s="84">
        <f t="shared" si="236"/>
        <v>1776.5495957387841</v>
      </c>
      <c r="M215" s="84">
        <f t="shared" si="235"/>
        <v>1854.0182901740643</v>
      </c>
      <c r="N215" s="84">
        <f t="shared" si="236"/>
        <v>1863.6915952174622</v>
      </c>
      <c r="O215" s="84">
        <f t="shared" si="236"/>
        <v>1880.0745359398068</v>
      </c>
      <c r="P215" s="84">
        <f t="shared" si="236"/>
        <v>1847.6060016401482</v>
      </c>
      <c r="Q215" s="84">
        <f t="shared" si="236"/>
        <v>1890.0969830195338</v>
      </c>
      <c r="R215" s="84">
        <f t="shared" si="236"/>
        <v>1909.5380778346275</v>
      </c>
      <c r="S215" s="84">
        <f t="shared" si="236"/>
        <v>1991.7486746336374</v>
      </c>
      <c r="T215" s="84">
        <f t="shared" si="236"/>
        <v>1981.269077929798</v>
      </c>
      <c r="U215" s="84">
        <f t="shared" si="236"/>
        <v>1991.9524655576697</v>
      </c>
      <c r="V215" s="84">
        <f t="shared" si="236"/>
        <v>1738.6426772851762</v>
      </c>
      <c r="W215" s="84">
        <f t="shared" ref="W215:Y215" si="242">IF(W24=0,0,W24*1000000/W78)</f>
        <v>1961.6596314844853</v>
      </c>
      <c r="X215" s="84">
        <f t="shared" si="242"/>
        <v>1957.2200713064792</v>
      </c>
      <c r="Y215" s="84">
        <f t="shared" si="242"/>
        <v>1966.0641019487321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1147.3168557801785</v>
      </c>
      <c r="C216" s="84">
        <f t="shared" si="236"/>
        <v>1148.2897752799561</v>
      </c>
      <c r="D216" s="84">
        <f t="shared" si="236"/>
        <v>1148.4840302672424</v>
      </c>
      <c r="E216" s="84">
        <f t="shared" si="236"/>
        <v>1149.1735218348947</v>
      </c>
      <c r="F216" s="84">
        <f t="shared" si="236"/>
        <v>1149.7920082821161</v>
      </c>
      <c r="G216" s="84">
        <f t="shared" si="236"/>
        <v>1150.1796660425828</v>
      </c>
      <c r="H216" s="84">
        <f t="shared" si="236"/>
        <v>1150.4296164766965</v>
      </c>
      <c r="I216" s="84">
        <f t="shared" si="236"/>
        <v>1150.4431532038936</v>
      </c>
      <c r="J216" s="84">
        <f t="shared" si="236"/>
        <v>1152.1251776118081</v>
      </c>
      <c r="K216" s="84">
        <f t="shared" si="236"/>
        <v>1153.0006699905352</v>
      </c>
      <c r="L216" s="84">
        <f t="shared" si="236"/>
        <v>1154.4496981157567</v>
      </c>
      <c r="M216" s="84">
        <f t="shared" si="235"/>
        <v>1157.2370705079099</v>
      </c>
      <c r="N216" s="84">
        <f t="shared" si="236"/>
        <v>1157.9627302663928</v>
      </c>
      <c r="O216" s="84">
        <f t="shared" si="236"/>
        <v>1158.8846389882506</v>
      </c>
      <c r="P216" s="84">
        <f t="shared" si="236"/>
        <v>1159.4068291779374</v>
      </c>
      <c r="Q216" s="84">
        <f t="shared" si="236"/>
        <v>1161.1028815941033</v>
      </c>
      <c r="R216" s="84">
        <f t="shared" si="236"/>
        <v>1160.9772149020175</v>
      </c>
      <c r="S216" s="84">
        <f t="shared" si="236"/>
        <v>1159.0884967537038</v>
      </c>
      <c r="T216" s="84">
        <f t="shared" si="236"/>
        <v>1158.9359005086444</v>
      </c>
      <c r="U216" s="84">
        <f t="shared" si="236"/>
        <v>1158.1956334445374</v>
      </c>
      <c r="V216" s="84">
        <f t="shared" si="236"/>
        <v>1057.0224607890518</v>
      </c>
      <c r="W216" s="84">
        <f t="shared" ref="W216:Y216" si="243">IF(W25=0,0,W25*1000000/W79)</f>
        <v>1158.1539332584223</v>
      </c>
      <c r="X216" s="84">
        <f t="shared" si="243"/>
        <v>1157.8355101620875</v>
      </c>
      <c r="Y216" s="84">
        <f t="shared" si="243"/>
        <v>1157.1438406716732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476170.09038166382</v>
      </c>
      <c r="C217" s="110">
        <f t="shared" si="236"/>
        <v>480525.53298713145</v>
      </c>
      <c r="D217" s="110">
        <f t="shared" si="236"/>
        <v>479433.00499968207</v>
      </c>
      <c r="E217" s="110">
        <f t="shared" si="236"/>
        <v>475251.01617409068</v>
      </c>
      <c r="F217" s="110">
        <f t="shared" si="236"/>
        <v>500925.78070791316</v>
      </c>
      <c r="G217" s="110">
        <f t="shared" si="236"/>
        <v>495054.81161739765</v>
      </c>
      <c r="H217" s="110">
        <f t="shared" si="236"/>
        <v>501785.65368533641</v>
      </c>
      <c r="I217" s="110">
        <f t="shared" si="236"/>
        <v>510982.36227535235</v>
      </c>
      <c r="J217" s="110">
        <f t="shared" si="236"/>
        <v>477230.15646228852</v>
      </c>
      <c r="K217" s="110">
        <f t="shared" si="236"/>
        <v>412727.66589573451</v>
      </c>
      <c r="L217" s="110">
        <f t="shared" si="236"/>
        <v>418571.53917944676</v>
      </c>
      <c r="M217" s="110">
        <f t="shared" si="235"/>
        <v>421158.02008946973</v>
      </c>
      <c r="N217" s="110">
        <f t="shared" si="236"/>
        <v>406401.92964315048</v>
      </c>
      <c r="O217" s="110">
        <f t="shared" si="236"/>
        <v>417584.81377325259</v>
      </c>
      <c r="P217" s="110">
        <f t="shared" si="236"/>
        <v>410870.74178174062</v>
      </c>
      <c r="Q217" s="110">
        <f t="shared" si="236"/>
        <v>402001.12279605557</v>
      </c>
      <c r="R217" s="110">
        <f t="shared" si="236"/>
        <v>416288.45089390164</v>
      </c>
      <c r="S217" s="110">
        <f t="shared" si="236"/>
        <v>443039.13051119796</v>
      </c>
      <c r="T217" s="110">
        <f t="shared" si="236"/>
        <v>444945.62023268599</v>
      </c>
      <c r="U217" s="110">
        <f t="shared" si="236"/>
        <v>449032.96096148295</v>
      </c>
      <c r="V217" s="110">
        <f t="shared" si="236"/>
        <v>437042.82754144201</v>
      </c>
      <c r="W217" s="110">
        <f t="shared" ref="W217:Y217" si="244">IF(W26=0,0,W26*1000000/W80)</f>
        <v>453195.5733621025</v>
      </c>
      <c r="X217" s="110">
        <f t="shared" si="244"/>
        <v>450034.77857639693</v>
      </c>
      <c r="Y217" s="110">
        <f t="shared" si="244"/>
        <v>438380.10756011622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362173.17668159044</v>
      </c>
      <c r="C218" s="163">
        <f t="shared" si="236"/>
        <v>362871.59616833495</v>
      </c>
      <c r="D218" s="163">
        <f t="shared" si="236"/>
        <v>357000.59099790314</v>
      </c>
      <c r="E218" s="163">
        <f t="shared" si="236"/>
        <v>352886.03104396001</v>
      </c>
      <c r="F218" s="163">
        <f t="shared" si="236"/>
        <v>366815.97274822817</v>
      </c>
      <c r="G218" s="163">
        <f t="shared" si="236"/>
        <v>357188.75324042275</v>
      </c>
      <c r="H218" s="163">
        <f t="shared" si="236"/>
        <v>362238.60775802261</v>
      </c>
      <c r="I218" s="163">
        <f t="shared" si="236"/>
        <v>372495.1342934994</v>
      </c>
      <c r="J218" s="163">
        <f t="shared" si="236"/>
        <v>342814.7606428095</v>
      </c>
      <c r="K218" s="163">
        <f t="shared" si="236"/>
        <v>287009.06900167401</v>
      </c>
      <c r="L218" s="163">
        <f t="shared" si="236"/>
        <v>290651.91282830446</v>
      </c>
      <c r="M218" s="163">
        <f t="shared" si="235"/>
        <v>299580.47835439252</v>
      </c>
      <c r="N218" s="163">
        <f t="shared" si="236"/>
        <v>283553.09064875985</v>
      </c>
      <c r="O218" s="163">
        <f t="shared" si="236"/>
        <v>287568.47000247473</v>
      </c>
      <c r="P218" s="163">
        <f t="shared" si="236"/>
        <v>278818.83196917921</v>
      </c>
      <c r="Q218" s="163">
        <f t="shared" si="236"/>
        <v>265253.65319571289</v>
      </c>
      <c r="R218" s="163">
        <f t="shared" si="236"/>
        <v>274908.68467808969</v>
      </c>
      <c r="S218" s="163">
        <f t="shared" si="236"/>
        <v>297070.19673687039</v>
      </c>
      <c r="T218" s="163">
        <f t="shared" si="236"/>
        <v>300331.14451824117</v>
      </c>
      <c r="U218" s="163">
        <f t="shared" si="236"/>
        <v>301921.28687761619</v>
      </c>
      <c r="V218" s="163">
        <f t="shared" si="236"/>
        <v>294300.00521023292</v>
      </c>
      <c r="W218" s="163">
        <f t="shared" ref="W218:Y218" si="245">IF(W27=0,0,W27*1000000/W81)</f>
        <v>301134.90074480756</v>
      </c>
      <c r="X218" s="163">
        <f t="shared" si="245"/>
        <v>298871.05362122954</v>
      </c>
      <c r="Y218" s="163">
        <f t="shared" si="245"/>
        <v>291508.23123049666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1211878.5336090904</v>
      </c>
      <c r="C219" s="86">
        <f t="shared" si="236"/>
        <v>1210822.2466757772</v>
      </c>
      <c r="D219" s="86">
        <f t="shared" si="236"/>
        <v>1218781.1041701124</v>
      </c>
      <c r="E219" s="86">
        <f t="shared" si="236"/>
        <v>1211607.6611838427</v>
      </c>
      <c r="F219" s="86">
        <f t="shared" si="236"/>
        <v>1189412.787799408</v>
      </c>
      <c r="G219" s="86">
        <f t="shared" si="236"/>
        <v>1189953.1023268416</v>
      </c>
      <c r="H219" s="86">
        <f t="shared" si="236"/>
        <v>1197548.7890451525</v>
      </c>
      <c r="I219" s="86">
        <f t="shared" si="236"/>
        <v>1199798.7972906095</v>
      </c>
      <c r="J219" s="86">
        <f t="shared" si="236"/>
        <v>1182808.9138748134</v>
      </c>
      <c r="K219" s="86">
        <f t="shared" si="236"/>
        <v>1167203.0192504874</v>
      </c>
      <c r="L219" s="86">
        <f t="shared" si="236"/>
        <v>1205188.1955995716</v>
      </c>
      <c r="M219" s="86">
        <f t="shared" si="235"/>
        <v>1201323.6448676302</v>
      </c>
      <c r="N219" s="86">
        <f t="shared" si="236"/>
        <v>1197351.7134248912</v>
      </c>
      <c r="O219" s="86">
        <f t="shared" si="236"/>
        <v>1198932.5063029772</v>
      </c>
      <c r="P219" s="86">
        <f t="shared" si="236"/>
        <v>1201752.119858626</v>
      </c>
      <c r="Q219" s="86">
        <f t="shared" si="236"/>
        <v>1190470.5961617392</v>
      </c>
      <c r="R219" s="86">
        <f t="shared" si="236"/>
        <v>1184324.9530386971</v>
      </c>
      <c r="S219" s="86">
        <f t="shared" si="236"/>
        <v>1191017.6575299012</v>
      </c>
      <c r="T219" s="86">
        <f t="shared" si="236"/>
        <v>1202452.0529044212</v>
      </c>
      <c r="U219" s="86">
        <f t="shared" si="236"/>
        <v>1195278.2620988644</v>
      </c>
      <c r="V219" s="86">
        <f t="shared" si="236"/>
        <v>1178264.9866656361</v>
      </c>
      <c r="W219" s="86">
        <f t="shared" ref="W219:Y219" si="246">IF(W28=0,0,W28*1000000/W82)</f>
        <v>1193934.6362766859</v>
      </c>
      <c r="X219" s="86">
        <f t="shared" si="246"/>
        <v>1189441.9553418569</v>
      </c>
      <c r="Y219" s="86">
        <f t="shared" si="246"/>
        <v>1176173.8094351566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1.5187699159404737E-2</v>
      </c>
      <c r="C223" s="154">
        <f t="shared" si="251"/>
        <v>1.6150546433968852E-2</v>
      </c>
      <c r="D223" s="154">
        <f t="shared" si="251"/>
        <v>1.7817800291448374E-2</v>
      </c>
      <c r="E223" s="154">
        <f t="shared" si="251"/>
        <v>1.8016742397010593E-2</v>
      </c>
      <c r="F223" s="154">
        <f t="shared" si="251"/>
        <v>1.9110833592708914E-2</v>
      </c>
      <c r="G223" s="154">
        <f t="shared" si="251"/>
        <v>2.0186517883087684E-2</v>
      </c>
      <c r="H223" s="154">
        <f t="shared" si="251"/>
        <v>2.0146847520675679E-2</v>
      </c>
      <c r="I223" s="154">
        <f t="shared" si="251"/>
        <v>2.084842782957123E-2</v>
      </c>
      <c r="J223" s="154">
        <f t="shared" si="251"/>
        <v>2.243583782870846E-2</v>
      </c>
      <c r="K223" s="154">
        <f t="shared" si="251"/>
        <v>2.3191075248598769E-2</v>
      </c>
      <c r="L223" s="154">
        <f t="shared" ref="L223" si="252">IF(L5=0,0,L5/L$4)</f>
        <v>2.2827676253530181E-2</v>
      </c>
      <c r="M223" s="154">
        <f t="shared" ref="M223:V223" si="253">IF(M5=0,0,M5/M$4)</f>
        <v>2.3368978495886181E-2</v>
      </c>
      <c r="N223" s="154">
        <f t="shared" si="253"/>
        <v>2.1082034520641137E-2</v>
      </c>
      <c r="O223" s="154">
        <f t="shared" si="253"/>
        <v>2.1181432557045549E-2</v>
      </c>
      <c r="P223" s="154">
        <f t="shared" si="253"/>
        <v>2.1492612118459129E-2</v>
      </c>
      <c r="Q223" s="154">
        <f t="shared" si="253"/>
        <v>2.1312212563088354E-2</v>
      </c>
      <c r="R223" s="154">
        <f t="shared" si="253"/>
        <v>1.9510063817662692E-2</v>
      </c>
      <c r="S223" s="154">
        <f t="shared" si="253"/>
        <v>1.8547565363392551E-2</v>
      </c>
      <c r="T223" s="154">
        <f t="shared" si="253"/>
        <v>1.7622296971853552E-2</v>
      </c>
      <c r="U223" s="154">
        <f t="shared" si="253"/>
        <v>1.8800505612723475E-2</v>
      </c>
      <c r="V223" s="154">
        <f t="shared" si="253"/>
        <v>1.9714018550607899E-2</v>
      </c>
      <c r="W223" s="154">
        <f t="shared" ref="W223:Y223" si="254">IF(W5=0,0,W5/W$4)</f>
        <v>1.9314133113223782E-2</v>
      </c>
      <c r="X223" s="154">
        <f t="shared" si="254"/>
        <v>1.7945524586740303E-2</v>
      </c>
      <c r="Y223" s="154">
        <f t="shared" si="254"/>
        <v>1.9533791675073537E-2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0.91857160246932068</v>
      </c>
      <c r="C224" s="156">
        <f t="shared" si="255"/>
        <v>0.92159437833838276</v>
      </c>
      <c r="D224" s="156">
        <f t="shared" si="255"/>
        <v>0.91976581478159014</v>
      </c>
      <c r="E224" s="156">
        <f t="shared" si="255"/>
        <v>0.91911322610487967</v>
      </c>
      <c r="F224" s="156">
        <f t="shared" si="255"/>
        <v>0.91678345822643059</v>
      </c>
      <c r="G224" s="156">
        <f t="shared" si="255"/>
        <v>0.91476518308981247</v>
      </c>
      <c r="H224" s="156">
        <f t="shared" si="255"/>
        <v>0.91165073301072608</v>
      </c>
      <c r="I224" s="156">
        <f t="shared" si="255"/>
        <v>0.91066668400460205</v>
      </c>
      <c r="J224" s="156">
        <f t="shared" si="255"/>
        <v>0.90715927348482994</v>
      </c>
      <c r="K224" s="156">
        <f t="shared" si="255"/>
        <v>0.90694381602118912</v>
      </c>
      <c r="L224" s="156">
        <f t="shared" ref="L224" si="256">IF(L6=0,0,L6/L$4)</f>
        <v>0.9067542938700317</v>
      </c>
      <c r="M224" s="156">
        <f t="shared" ref="M224:V224" si="257">IF(M6=0,0,M6/M$4)</f>
        <v>0.90560009770421068</v>
      </c>
      <c r="N224" s="156">
        <f t="shared" si="257"/>
        <v>0.91203713723132696</v>
      </c>
      <c r="O224" s="156">
        <f t="shared" si="257"/>
        <v>0.91173839574457127</v>
      </c>
      <c r="P224" s="156">
        <f t="shared" si="257"/>
        <v>0.91103995951403571</v>
      </c>
      <c r="Q224" s="156">
        <f t="shared" si="257"/>
        <v>0.91118454972437068</v>
      </c>
      <c r="R224" s="156">
        <f t="shared" si="257"/>
        <v>0.91280453273511963</v>
      </c>
      <c r="S224" s="156">
        <f t="shared" si="257"/>
        <v>0.91446947663367772</v>
      </c>
      <c r="T224" s="156">
        <f t="shared" si="257"/>
        <v>0.9151312819250047</v>
      </c>
      <c r="U224" s="156">
        <f t="shared" si="257"/>
        <v>0.9129647484409591</v>
      </c>
      <c r="V224" s="156">
        <f t="shared" si="257"/>
        <v>0.92720217513849301</v>
      </c>
      <c r="W224" s="156">
        <f t="shared" ref="W224:Y224" si="258">IF(W6=0,0,W6/W$4)</f>
        <v>0.92726030697398143</v>
      </c>
      <c r="X224" s="156">
        <f t="shared" si="258"/>
        <v>0.92560055632539873</v>
      </c>
      <c r="Y224" s="156">
        <f t="shared" si="258"/>
        <v>0.91675576730273378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0.46347656407442828</v>
      </c>
      <c r="C225" s="103">
        <f t="shared" si="259"/>
        <v>0.43694644556736945</v>
      </c>
      <c r="D225" s="103">
        <f t="shared" si="259"/>
        <v>0.41702806414062765</v>
      </c>
      <c r="E225" s="103">
        <f t="shared" si="259"/>
        <v>0.39088821766318782</v>
      </c>
      <c r="F225" s="103">
        <f t="shared" si="259"/>
        <v>0.37032468900379256</v>
      </c>
      <c r="G225" s="103">
        <f t="shared" si="259"/>
        <v>0.35025840748292231</v>
      </c>
      <c r="H225" s="103">
        <f t="shared" si="259"/>
        <v>0.32270719525555874</v>
      </c>
      <c r="I225" s="103">
        <f t="shared" si="259"/>
        <v>0.29771305105378909</v>
      </c>
      <c r="J225" s="103">
        <f t="shared" si="259"/>
        <v>0.27219199152969398</v>
      </c>
      <c r="K225" s="103">
        <f t="shared" si="259"/>
        <v>0.25785007477977223</v>
      </c>
      <c r="L225" s="103">
        <f t="shared" ref="L225" si="260">IF(L7=0,0,L7/L$4)</f>
        <v>0.2376129830558317</v>
      </c>
      <c r="M225" s="103">
        <f t="shared" ref="M225:V225" si="261">IF(M7=0,0,M7/M$4)</f>
        <v>0.23257068274434253</v>
      </c>
      <c r="N225" s="103">
        <f t="shared" si="261"/>
        <v>0.21851476693570299</v>
      </c>
      <c r="O225" s="103">
        <f t="shared" si="261"/>
        <v>0.210895105842416</v>
      </c>
      <c r="P225" s="103">
        <f t="shared" si="261"/>
        <v>0.21123939940704298</v>
      </c>
      <c r="Q225" s="103">
        <f t="shared" si="261"/>
        <v>0.21443268106438734</v>
      </c>
      <c r="R225" s="103">
        <f t="shared" si="261"/>
        <v>0.22429324235791548</v>
      </c>
      <c r="S225" s="103">
        <f t="shared" si="261"/>
        <v>0.23690688134239449</v>
      </c>
      <c r="T225" s="103">
        <f t="shared" si="261"/>
        <v>0.25612285390871264</v>
      </c>
      <c r="U225" s="103">
        <f t="shared" si="261"/>
        <v>0.27804604885632922</v>
      </c>
      <c r="V225" s="103">
        <f t="shared" si="261"/>
        <v>0.29814479166779484</v>
      </c>
      <c r="W225" s="103">
        <f t="shared" ref="W225:Y225" si="262">IF(W7=0,0,W7/W$4)</f>
        <v>0.32195132313647135</v>
      </c>
      <c r="X225" s="103">
        <f t="shared" si="262"/>
        <v>0.33592191415024325</v>
      </c>
      <c r="Y225" s="103">
        <f t="shared" si="262"/>
        <v>0.35054949988580447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0.44680203562300669</v>
      </c>
      <c r="C226" s="103">
        <f t="shared" si="263"/>
        <v>0.47710769642852879</v>
      </c>
      <c r="D226" s="103">
        <f t="shared" si="263"/>
        <v>0.49627198968034908</v>
      </c>
      <c r="E226" s="103">
        <f t="shared" si="263"/>
        <v>0.52284828739893252</v>
      </c>
      <c r="F226" s="103">
        <f t="shared" si="263"/>
        <v>0.541722625323794</v>
      </c>
      <c r="G226" s="103">
        <f t="shared" si="263"/>
        <v>0.56026237012288937</v>
      </c>
      <c r="H226" s="103">
        <f t="shared" si="263"/>
        <v>0.58519479459554702</v>
      </c>
      <c r="I226" s="103">
        <f t="shared" si="263"/>
        <v>0.60978617155129522</v>
      </c>
      <c r="J226" s="103">
        <f t="shared" si="263"/>
        <v>0.63149681012804781</v>
      </c>
      <c r="K226" s="103">
        <f t="shared" si="263"/>
        <v>0.64545559304053957</v>
      </c>
      <c r="L226" s="103">
        <f t="shared" ref="L226" si="264">IF(L8=0,0,L8/L$4)</f>
        <v>0.66529265362923506</v>
      </c>
      <c r="M226" s="103">
        <f t="shared" ref="M226:V226" si="265">IF(M8=0,0,M8/M$4)</f>
        <v>0.66901355152016562</v>
      </c>
      <c r="N226" s="103">
        <f t="shared" si="265"/>
        <v>0.68981474247746755</v>
      </c>
      <c r="O226" s="103">
        <f t="shared" si="265"/>
        <v>0.69746544660976484</v>
      </c>
      <c r="P226" s="103">
        <f t="shared" si="265"/>
        <v>0.69652956962914381</v>
      </c>
      <c r="Q226" s="103">
        <f t="shared" si="265"/>
        <v>0.6932310745921697</v>
      </c>
      <c r="R226" s="103">
        <f t="shared" si="265"/>
        <v>0.68454851664356764</v>
      </c>
      <c r="S226" s="103">
        <f t="shared" si="265"/>
        <v>0.67292574504534786</v>
      </c>
      <c r="T226" s="103">
        <f t="shared" si="265"/>
        <v>0.6532385262026903</v>
      </c>
      <c r="U226" s="103">
        <f t="shared" si="265"/>
        <v>0.62763737508473672</v>
      </c>
      <c r="V226" s="103">
        <f t="shared" si="265"/>
        <v>0.61671094665765547</v>
      </c>
      <c r="W226" s="103">
        <f t="shared" ref="W226:Y226" si="266">IF(W8=0,0,W8/W$4)</f>
        <v>0.58552095299104956</v>
      </c>
      <c r="X226" s="103">
        <f t="shared" si="266"/>
        <v>0.56224687222350478</v>
      </c>
      <c r="Y226" s="103">
        <f t="shared" si="266"/>
        <v>0.53033235257507372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8.2930027718857661E-3</v>
      </c>
      <c r="C227" s="103">
        <f t="shared" si="267"/>
        <v>7.5402363424844085E-3</v>
      </c>
      <c r="D227" s="103">
        <f t="shared" si="267"/>
        <v>6.4657609606134066E-3</v>
      </c>
      <c r="E227" s="103">
        <f t="shared" si="267"/>
        <v>5.3767210427592823E-3</v>
      </c>
      <c r="F227" s="103">
        <f t="shared" si="267"/>
        <v>4.7361438988441813E-3</v>
      </c>
      <c r="G227" s="103">
        <f t="shared" si="267"/>
        <v>4.2444054840007385E-3</v>
      </c>
      <c r="H227" s="103">
        <f t="shared" si="267"/>
        <v>3.7482942779722482E-3</v>
      </c>
      <c r="I227" s="103">
        <f t="shared" si="267"/>
        <v>3.1440799022188649E-3</v>
      </c>
      <c r="J227" s="103">
        <f t="shared" si="267"/>
        <v>3.3466550179806066E-3</v>
      </c>
      <c r="K227" s="103">
        <f t="shared" si="267"/>
        <v>3.5031445364207179E-3</v>
      </c>
      <c r="L227" s="103">
        <f t="shared" ref="L227" si="268">IF(L9=0,0,L9/L$4)</f>
        <v>3.7105209377388845E-3</v>
      </c>
      <c r="M227" s="103">
        <f t="shared" ref="M227:V227" si="269">IF(M9=0,0,M9/M$4)</f>
        <v>3.8053801610231932E-3</v>
      </c>
      <c r="N227" s="103">
        <f t="shared" si="269"/>
        <v>3.4300735520409456E-3</v>
      </c>
      <c r="O227" s="103">
        <f t="shared" si="269"/>
        <v>2.8305097880175108E-3</v>
      </c>
      <c r="P227" s="103">
        <f t="shared" si="269"/>
        <v>2.4705862056765282E-3</v>
      </c>
      <c r="Q227" s="103">
        <f t="shared" si="269"/>
        <v>2.2131055208635371E-3</v>
      </c>
      <c r="R227" s="103">
        <f t="shared" si="269"/>
        <v>1.9767616709443921E-3</v>
      </c>
      <c r="S227" s="103">
        <f t="shared" si="269"/>
        <v>1.784075824284508E-3</v>
      </c>
      <c r="T227" s="103">
        <f t="shared" si="269"/>
        <v>1.658150338265372E-3</v>
      </c>
      <c r="U227" s="103">
        <f t="shared" si="269"/>
        <v>1.5788851741920084E-3</v>
      </c>
      <c r="V227" s="103">
        <f t="shared" si="269"/>
        <v>1.5101059357558115E-3</v>
      </c>
      <c r="W227" s="103">
        <f t="shared" ref="W227:Y227" si="270">IF(W9=0,0,W9/W$4)</f>
        <v>1.5857195460131667E-3</v>
      </c>
      <c r="X227" s="103">
        <f t="shared" si="270"/>
        <v>1.833672660841452E-3</v>
      </c>
      <c r="Y227" s="103">
        <f t="shared" si="270"/>
        <v>2.21288167729974E-3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2.2756382897233488E-5</v>
      </c>
      <c r="J228" s="103">
        <f t="shared" si="271"/>
        <v>4.1695985382234447E-5</v>
      </c>
      <c r="K228" s="103">
        <f t="shared" si="271"/>
        <v>5.524081902051236E-5</v>
      </c>
      <c r="L228" s="103">
        <f t="shared" ref="L228" si="272">IF(L10=0,0,L10/L$4)</f>
        <v>5.8817537777620141E-5</v>
      </c>
      <c r="M228" s="103">
        <f t="shared" ref="M228:V228" si="273">IF(M10=0,0,M10/M$4)</f>
        <v>5.8313082076400657E-5</v>
      </c>
      <c r="N228" s="103">
        <f t="shared" si="273"/>
        <v>6.2430187299369601E-5</v>
      </c>
      <c r="O228" s="103">
        <f t="shared" si="273"/>
        <v>6.1671487248714899E-5</v>
      </c>
      <c r="P228" s="103">
        <f t="shared" si="273"/>
        <v>6.1123050183255315E-5</v>
      </c>
      <c r="Q228" s="103">
        <f t="shared" si="273"/>
        <v>6.2423925786393112E-5</v>
      </c>
      <c r="R228" s="103">
        <f t="shared" si="273"/>
        <v>7.1914069230626036E-5</v>
      </c>
      <c r="S228" s="103">
        <f t="shared" si="273"/>
        <v>7.1589718260346621E-5</v>
      </c>
      <c r="T228" s="103">
        <f t="shared" si="273"/>
        <v>7.0850707805509192E-5</v>
      </c>
      <c r="U228" s="103">
        <f t="shared" si="273"/>
        <v>7.526542670428549E-5</v>
      </c>
      <c r="V228" s="103">
        <f t="shared" si="273"/>
        <v>8.3570107001548573E-5</v>
      </c>
      <c r="W228" s="103">
        <f t="shared" ref="W228:Y228" si="274">IF(W10=0,0,W10/W$4)</f>
        <v>8.524702013928292E-5</v>
      </c>
      <c r="X228" s="103">
        <f t="shared" si="274"/>
        <v>8.5336040841883584E-5</v>
      </c>
      <c r="Y228" s="103">
        <f t="shared" si="274"/>
        <v>1.466079978525383E-4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1.1277510694138415E-5</v>
      </c>
      <c r="O229" s="103">
        <f t="shared" si="277"/>
        <v>2.4169893975435395E-5</v>
      </c>
      <c r="P229" s="103">
        <f t="shared" si="277"/>
        <v>4.9567921641526967E-5</v>
      </c>
      <c r="Q229" s="103">
        <f t="shared" si="277"/>
        <v>1.3284240654823685E-4</v>
      </c>
      <c r="R229" s="103">
        <f t="shared" si="277"/>
        <v>2.4304706879628289E-4</v>
      </c>
      <c r="S229" s="103">
        <f t="shared" si="277"/>
        <v>4.3327024578223005E-4</v>
      </c>
      <c r="T229" s="103">
        <f t="shared" si="277"/>
        <v>6.8399764571048171E-4</v>
      </c>
      <c r="U229" s="103">
        <f t="shared" si="277"/>
        <v>1.045343898282365E-3</v>
      </c>
      <c r="V229" s="103">
        <f t="shared" si="277"/>
        <v>2.4950879883651922E-3</v>
      </c>
      <c r="W229" s="103">
        <f t="shared" ref="W229:Y229" si="278">IF(W11=0,0,W11/W$4)</f>
        <v>5.2714557653205478E-3</v>
      </c>
      <c r="X229" s="103">
        <f t="shared" si="278"/>
        <v>8.2628405619444602E-3</v>
      </c>
      <c r="Y229" s="103">
        <f t="shared" si="278"/>
        <v>1.1517303835563139E-2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4.4888164817053407E-7</v>
      </c>
      <c r="I230" s="103">
        <f t="shared" si="279"/>
        <v>6.25114401714433E-7</v>
      </c>
      <c r="J230" s="103">
        <f t="shared" si="279"/>
        <v>8.212082372531179E-5</v>
      </c>
      <c r="K230" s="103">
        <f t="shared" si="279"/>
        <v>7.9762845435863474E-5</v>
      </c>
      <c r="L230" s="103">
        <f t="shared" ref="L230" si="280">IF(L12=0,0,L12/L$4)</f>
        <v>7.9318709448444004E-5</v>
      </c>
      <c r="M230" s="103">
        <f t="shared" ref="M230:V230" si="281">IF(M12=0,0,M12/M$4)</f>
        <v>1.5217019660299531E-4</v>
      </c>
      <c r="N230" s="103">
        <f t="shared" si="281"/>
        <v>2.0384656812193306E-4</v>
      </c>
      <c r="O230" s="103">
        <f t="shared" si="281"/>
        <v>4.6149212314897418E-4</v>
      </c>
      <c r="P230" s="103">
        <f t="shared" si="281"/>
        <v>6.8971330034749915E-4</v>
      </c>
      <c r="Q230" s="103">
        <f t="shared" si="281"/>
        <v>1.1124222146154279E-3</v>
      </c>
      <c r="R230" s="103">
        <f t="shared" si="281"/>
        <v>1.6710509246653195E-3</v>
      </c>
      <c r="S230" s="103">
        <f t="shared" si="281"/>
        <v>2.3479144576082568E-3</v>
      </c>
      <c r="T230" s="103">
        <f t="shared" si="281"/>
        <v>3.3569031218204219E-3</v>
      </c>
      <c r="U230" s="103">
        <f t="shared" si="281"/>
        <v>4.5818300007145962E-3</v>
      </c>
      <c r="V230" s="103">
        <f t="shared" si="281"/>
        <v>8.2576727819201473E-3</v>
      </c>
      <c r="W230" s="103">
        <f t="shared" ref="W230:Y230" si="282">IF(W12=0,0,W12/W$4)</f>
        <v>1.2845608514987481E-2</v>
      </c>
      <c r="X230" s="103">
        <f t="shared" si="282"/>
        <v>1.7249920688022665E-2</v>
      </c>
      <c r="Y230" s="103">
        <f t="shared" si="282"/>
        <v>2.1997121331140221E-2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6.6240698371274637E-2</v>
      </c>
      <c r="C231" s="156">
        <f t="shared" si="283"/>
        <v>6.22550752276484E-2</v>
      </c>
      <c r="D231" s="156">
        <f t="shared" si="283"/>
        <v>6.2416384926961541E-2</v>
      </c>
      <c r="E231" s="156">
        <f t="shared" si="283"/>
        <v>6.2870031498109685E-2</v>
      </c>
      <c r="F231" s="156">
        <f t="shared" si="283"/>
        <v>6.4105708180860463E-2</v>
      </c>
      <c r="G231" s="156">
        <f t="shared" si="283"/>
        <v>6.5048299027099785E-2</v>
      </c>
      <c r="H231" s="156">
        <f t="shared" si="283"/>
        <v>6.8202419468598063E-2</v>
      </c>
      <c r="I231" s="156">
        <f t="shared" si="283"/>
        <v>6.8484888165826818E-2</v>
      </c>
      <c r="J231" s="156">
        <f t="shared" si="283"/>
        <v>7.0404888686461636E-2</v>
      </c>
      <c r="K231" s="156">
        <f t="shared" si="283"/>
        <v>6.9865108730212136E-2</v>
      </c>
      <c r="L231" s="156">
        <f t="shared" ref="L231" si="284">IF(L13=0,0,L13/L$4)</f>
        <v>7.0418029876438026E-2</v>
      </c>
      <c r="M231" s="156">
        <f t="shared" ref="M231:V231" si="285">IF(M13=0,0,M13/M$4)</f>
        <v>7.1030923799903209E-2</v>
      </c>
      <c r="N231" s="156">
        <f t="shared" si="285"/>
        <v>6.6880828248031959E-2</v>
      </c>
      <c r="O231" s="156">
        <f t="shared" si="285"/>
        <v>6.7080171698383234E-2</v>
      </c>
      <c r="P231" s="156">
        <f t="shared" si="285"/>
        <v>6.7467428367505161E-2</v>
      </c>
      <c r="Q231" s="156">
        <f t="shared" si="285"/>
        <v>6.7503237712540951E-2</v>
      </c>
      <c r="R231" s="156">
        <f t="shared" si="285"/>
        <v>6.7685403447217796E-2</v>
      </c>
      <c r="S231" s="156">
        <f t="shared" si="285"/>
        <v>6.6982958002929763E-2</v>
      </c>
      <c r="T231" s="156">
        <f t="shared" si="285"/>
        <v>6.7246421103141787E-2</v>
      </c>
      <c r="U231" s="156">
        <f t="shared" si="285"/>
        <v>6.8234745946317441E-2</v>
      </c>
      <c r="V231" s="156">
        <f t="shared" si="285"/>
        <v>5.3083806310899088E-2</v>
      </c>
      <c r="W231" s="156">
        <f t="shared" ref="W231:Y231" si="286">IF(W13=0,0,W13/W$4)</f>
        <v>5.3425559912794879E-2</v>
      </c>
      <c r="X231" s="156">
        <f t="shared" si="286"/>
        <v>5.6453919087860994E-2</v>
      </c>
      <c r="Y231" s="156">
        <f t="shared" si="286"/>
        <v>6.3710441022192657E-2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1.4053411608300063E-4</v>
      </c>
      <c r="C232" s="103">
        <f t="shared" si="287"/>
        <v>1.276022477216109E-4</v>
      </c>
      <c r="D232" s="103">
        <f t="shared" si="287"/>
        <v>1.2294059382850252E-4</v>
      </c>
      <c r="E232" s="103">
        <f t="shared" si="287"/>
        <v>1.1508723616813049E-4</v>
      </c>
      <c r="F232" s="103">
        <f t="shared" si="287"/>
        <v>1.0824811927216781E-4</v>
      </c>
      <c r="G232" s="103">
        <f t="shared" si="287"/>
        <v>1.0022056637657947E-4</v>
      </c>
      <c r="H232" s="103">
        <f t="shared" si="287"/>
        <v>9.4312003020488903E-5</v>
      </c>
      <c r="I232" s="103">
        <f t="shared" si="287"/>
        <v>8.5375064468341718E-5</v>
      </c>
      <c r="J232" s="103">
        <f t="shared" si="287"/>
        <v>8.013761019026024E-5</v>
      </c>
      <c r="K232" s="103">
        <f t="shared" si="287"/>
        <v>7.1018890183132329E-5</v>
      </c>
      <c r="L232" s="103">
        <f t="shared" ref="L232" si="288">IF(L14=0,0,L14/L$4)</f>
        <v>6.1538027146967487E-5</v>
      </c>
      <c r="M232" s="103">
        <f t="shared" ref="M232:V232" si="289">IF(M14=0,0,M14/M$4)</f>
        <v>5.2988893881893114E-5</v>
      </c>
      <c r="N232" s="103">
        <f t="shared" si="289"/>
        <v>4.2566193926623612E-5</v>
      </c>
      <c r="O232" s="103">
        <f t="shared" si="289"/>
        <v>3.7898120247671103E-5</v>
      </c>
      <c r="P232" s="103">
        <f t="shared" si="289"/>
        <v>3.1686437611349956E-5</v>
      </c>
      <c r="Q232" s="103">
        <f t="shared" si="289"/>
        <v>2.6292005858606777E-5</v>
      </c>
      <c r="R232" s="103">
        <f t="shared" si="289"/>
        <v>2.5529815819993374E-5</v>
      </c>
      <c r="S232" s="103">
        <f t="shared" si="289"/>
        <v>2.5676317058353577E-5</v>
      </c>
      <c r="T232" s="103">
        <f t="shared" si="289"/>
        <v>2.5288471105530237E-5</v>
      </c>
      <c r="U232" s="103">
        <f t="shared" si="289"/>
        <v>2.5586700966781377E-5</v>
      </c>
      <c r="V232" s="103">
        <f t="shared" si="289"/>
        <v>2.2727317524080767E-5</v>
      </c>
      <c r="W232" s="103">
        <f t="shared" ref="W232:Y232" si="290">IF(W14=0,0,W14/W$4)</f>
        <v>2.2681329652907882E-5</v>
      </c>
      <c r="X232" s="103">
        <f t="shared" si="290"/>
        <v>1.8904181411282013E-5</v>
      </c>
      <c r="Y232" s="103">
        <f t="shared" si="290"/>
        <v>1.6154564810750451E-5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6.5871346281290113E-2</v>
      </c>
      <c r="C233" s="103">
        <f t="shared" si="291"/>
        <v>6.1517272595725869E-2</v>
      </c>
      <c r="D233" s="103">
        <f t="shared" si="291"/>
        <v>6.1610651849722933E-2</v>
      </c>
      <c r="E233" s="103">
        <f t="shared" si="291"/>
        <v>6.1881509838197804E-2</v>
      </c>
      <c r="F233" s="103">
        <f t="shared" si="291"/>
        <v>6.2978377830933741E-2</v>
      </c>
      <c r="G233" s="103">
        <f t="shared" si="291"/>
        <v>6.3845016934514262E-2</v>
      </c>
      <c r="H233" s="103">
        <f t="shared" si="291"/>
        <v>6.6853138613251234E-2</v>
      </c>
      <c r="I233" s="103">
        <f t="shared" si="291"/>
        <v>6.7020077990084567E-2</v>
      </c>
      <c r="J233" s="103">
        <f t="shared" si="291"/>
        <v>6.8689104067993431E-2</v>
      </c>
      <c r="K233" s="103">
        <f t="shared" si="291"/>
        <v>6.8147321214162337E-2</v>
      </c>
      <c r="L233" s="103">
        <f t="shared" ref="L233" si="292">IF(L15=0,0,L15/L$4)</f>
        <v>6.8712387650865889E-2</v>
      </c>
      <c r="M233" s="103">
        <f t="shared" ref="M233:V233" si="293">IF(M15=0,0,M15/M$4)</f>
        <v>6.7297318728810021E-2</v>
      </c>
      <c r="N233" s="103">
        <f t="shared" si="293"/>
        <v>6.2966356223877404E-2</v>
      </c>
      <c r="O233" s="103">
        <f t="shared" si="293"/>
        <v>6.1785995039203283E-2</v>
      </c>
      <c r="P233" s="103">
        <f t="shared" si="293"/>
        <v>6.1921005054007473E-2</v>
      </c>
      <c r="Q233" s="103">
        <f t="shared" si="293"/>
        <v>6.18832755129856E-2</v>
      </c>
      <c r="R233" s="103">
        <f t="shared" si="293"/>
        <v>6.2102944715249381E-2</v>
      </c>
      <c r="S233" s="103">
        <f t="shared" si="293"/>
        <v>6.1008210544769459E-2</v>
      </c>
      <c r="T233" s="103">
        <f t="shared" si="293"/>
        <v>6.0458318721864232E-2</v>
      </c>
      <c r="U233" s="103">
        <f t="shared" si="293"/>
        <v>5.9524008318137235E-2</v>
      </c>
      <c r="V233" s="103">
        <f t="shared" si="293"/>
        <v>4.3877109368479661E-2</v>
      </c>
      <c r="W233" s="103">
        <f t="shared" ref="W233:Y233" si="294">IF(W15=0,0,W15/W$4)</f>
        <v>4.2204013257952339E-2</v>
      </c>
      <c r="X233" s="103">
        <f t="shared" si="294"/>
        <v>4.2821595210205697E-2</v>
      </c>
      <c r="Y233" s="103">
        <f t="shared" si="294"/>
        <v>4.650078170931822E-2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7.6711605566408018E-5</v>
      </c>
      <c r="C234" s="103">
        <f t="shared" si="295"/>
        <v>8.4539074302566038E-5</v>
      </c>
      <c r="D234" s="103">
        <f t="shared" si="295"/>
        <v>8.4915834050918888E-5</v>
      </c>
      <c r="E234" s="103">
        <f t="shared" si="295"/>
        <v>8.9168121389096716E-5</v>
      </c>
      <c r="F234" s="103">
        <f t="shared" si="295"/>
        <v>9.2497179555640002E-5</v>
      </c>
      <c r="G234" s="103">
        <f t="shared" si="295"/>
        <v>9.3497992942369754E-5</v>
      </c>
      <c r="H234" s="103">
        <f t="shared" si="295"/>
        <v>7.7581148801832755E-5</v>
      </c>
      <c r="I234" s="103">
        <f t="shared" si="295"/>
        <v>9.0370174605888779E-5</v>
      </c>
      <c r="J234" s="103">
        <f t="shared" si="295"/>
        <v>9.0682260186093113E-5</v>
      </c>
      <c r="K234" s="103">
        <f t="shared" si="295"/>
        <v>8.8916441153050221E-5</v>
      </c>
      <c r="L234" s="103">
        <f t="shared" ref="L234" si="296">IF(L16=0,0,L16/L$4)</f>
        <v>8.6159464772702203E-5</v>
      </c>
      <c r="M234" s="103">
        <f t="shared" ref="M234:V234" si="297">IF(M16=0,0,M16/M$4)</f>
        <v>8.0367271961001826E-5</v>
      </c>
      <c r="N234" s="103">
        <f t="shared" si="297"/>
        <v>7.0599389515960996E-5</v>
      </c>
      <c r="O234" s="103">
        <f t="shared" si="297"/>
        <v>6.9509139421899279E-5</v>
      </c>
      <c r="P234" s="103">
        <f t="shared" si="297"/>
        <v>6.4396691910322587E-5</v>
      </c>
      <c r="Q234" s="103">
        <f t="shared" si="297"/>
        <v>5.9906402799317886E-5</v>
      </c>
      <c r="R234" s="103">
        <f t="shared" si="297"/>
        <v>5.5705976601465308E-5</v>
      </c>
      <c r="S234" s="103">
        <f t="shared" si="297"/>
        <v>5.1807204681527099E-5</v>
      </c>
      <c r="T234" s="103">
        <f t="shared" si="297"/>
        <v>4.7653245100810551E-5</v>
      </c>
      <c r="U234" s="103">
        <f t="shared" si="297"/>
        <v>4.2719162842233013E-5</v>
      </c>
      <c r="V234" s="103">
        <f t="shared" si="297"/>
        <v>3.0966550352123596E-5</v>
      </c>
      <c r="W234" s="103">
        <f t="shared" ref="W234:Y234" si="298">IF(W16=0,0,W16/W$4)</f>
        <v>2.5576256219809899E-5</v>
      </c>
      <c r="X234" s="103">
        <f t="shared" si="298"/>
        <v>2.33981826055564E-5</v>
      </c>
      <c r="Y234" s="103">
        <f t="shared" si="298"/>
        <v>2.2602714770425452E-5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1.5097345638055079E-5</v>
      </c>
      <c r="C235" s="103">
        <f t="shared" si="299"/>
        <v>3.8115785034480718E-4</v>
      </c>
      <c r="D235" s="103">
        <f t="shared" si="299"/>
        <v>4.3721745416441603E-4</v>
      </c>
      <c r="E235" s="103">
        <f t="shared" si="299"/>
        <v>6.1093994715342157E-4</v>
      </c>
      <c r="F235" s="103">
        <f t="shared" si="299"/>
        <v>7.3982306180990173E-4</v>
      </c>
      <c r="G235" s="103">
        <f t="shared" si="299"/>
        <v>8.2283543136340122E-4</v>
      </c>
      <c r="H235" s="103">
        <f t="shared" si="299"/>
        <v>9.9438743557123078E-4</v>
      </c>
      <c r="I235" s="103">
        <f t="shared" si="299"/>
        <v>1.1154250960184824E-3</v>
      </c>
      <c r="J235" s="103">
        <f t="shared" si="299"/>
        <v>1.3722187303895185E-3</v>
      </c>
      <c r="K235" s="103">
        <f t="shared" si="299"/>
        <v>1.3894645598752087E-3</v>
      </c>
      <c r="L235" s="103">
        <f t="shared" ref="L235" si="300">IF(L17=0,0,L17/L$4)</f>
        <v>1.3935737898786058E-3</v>
      </c>
      <c r="M235" s="103">
        <f t="shared" ref="M235:V235" si="301">IF(M17=0,0,M17/M$4)</f>
        <v>3.4441074987729275E-3</v>
      </c>
      <c r="N235" s="103">
        <f t="shared" si="301"/>
        <v>3.6370485885628121E-3</v>
      </c>
      <c r="O235" s="103">
        <f t="shared" si="301"/>
        <v>4.9149383139452212E-3</v>
      </c>
      <c r="P235" s="103">
        <f t="shared" si="301"/>
        <v>5.1563373789277915E-3</v>
      </c>
      <c r="Q235" s="103">
        <f t="shared" si="301"/>
        <v>5.2149161610449829E-3</v>
      </c>
      <c r="R235" s="103">
        <f t="shared" si="301"/>
        <v>5.1471728445164179E-3</v>
      </c>
      <c r="S235" s="103">
        <f t="shared" si="301"/>
        <v>5.4928285210102132E-3</v>
      </c>
      <c r="T235" s="103">
        <f t="shared" si="301"/>
        <v>6.2977754711061327E-3</v>
      </c>
      <c r="U235" s="103">
        <f t="shared" si="301"/>
        <v>7.9876303536182639E-3</v>
      </c>
      <c r="V235" s="103">
        <f t="shared" si="301"/>
        <v>8.5003993168531536E-3</v>
      </c>
      <c r="W235" s="103">
        <f t="shared" ref="W235:Y235" si="302">IF(W17=0,0,W17/W$4)</f>
        <v>9.9687512164103875E-3</v>
      </c>
      <c r="X235" s="103">
        <f t="shared" si="302"/>
        <v>1.1985880721660449E-2</v>
      </c>
      <c r="Y235" s="103">
        <f t="shared" si="302"/>
        <v>1.5016410838912281E-2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1.3700902269707702E-4</v>
      </c>
      <c r="C236" s="103">
        <f t="shared" si="303"/>
        <v>1.4450345955353407E-4</v>
      </c>
      <c r="D236" s="103">
        <f t="shared" si="303"/>
        <v>1.6065919519478089E-4</v>
      </c>
      <c r="E236" s="103">
        <f t="shared" si="303"/>
        <v>1.733263552012189E-4</v>
      </c>
      <c r="F236" s="103">
        <f t="shared" si="303"/>
        <v>1.8676198928901664E-4</v>
      </c>
      <c r="G236" s="103">
        <f t="shared" si="303"/>
        <v>1.8672810190316157E-4</v>
      </c>
      <c r="H236" s="103">
        <f t="shared" si="303"/>
        <v>1.8300026795327757E-4</v>
      </c>
      <c r="I236" s="103">
        <f t="shared" si="303"/>
        <v>1.7363984064952998E-4</v>
      </c>
      <c r="J236" s="103">
        <f t="shared" si="303"/>
        <v>1.7274601770234473E-4</v>
      </c>
      <c r="K236" s="103">
        <f t="shared" si="303"/>
        <v>1.6838762483841992E-4</v>
      </c>
      <c r="L236" s="103">
        <f t="shared" ref="L236" si="304">IF(L18=0,0,L18/L$4)</f>
        <v>1.6437094377386499E-4</v>
      </c>
      <c r="M236" s="103">
        <f t="shared" ref="M236:V236" si="305">IF(M18=0,0,M18/M$4)</f>
        <v>1.5614140647736665E-4</v>
      </c>
      <c r="N236" s="103">
        <f t="shared" si="305"/>
        <v>1.64257852149158E-4</v>
      </c>
      <c r="O236" s="103">
        <f t="shared" si="305"/>
        <v>2.7183108556516383E-4</v>
      </c>
      <c r="P236" s="103">
        <f t="shared" si="305"/>
        <v>2.9400280504822526E-4</v>
      </c>
      <c r="Q236" s="103">
        <f t="shared" si="305"/>
        <v>3.1884762985244432E-4</v>
      </c>
      <c r="R236" s="103">
        <f t="shared" si="305"/>
        <v>3.5405009503053147E-4</v>
      </c>
      <c r="S236" s="103">
        <f t="shared" si="305"/>
        <v>4.0443541541020615E-4</v>
      </c>
      <c r="T236" s="103">
        <f t="shared" si="305"/>
        <v>4.1738519396508248E-4</v>
      </c>
      <c r="U236" s="103">
        <f t="shared" si="305"/>
        <v>6.5480141075293784E-4</v>
      </c>
      <c r="V236" s="103">
        <f t="shared" si="305"/>
        <v>6.5260375769006496E-4</v>
      </c>
      <c r="W236" s="103">
        <f t="shared" ref="W236:Y236" si="306">IF(W18=0,0,W18/W$4)</f>
        <v>1.204537852559445E-3</v>
      </c>
      <c r="X236" s="103">
        <f t="shared" si="306"/>
        <v>1.604140791978007E-3</v>
      </c>
      <c r="Y236" s="103">
        <f t="shared" si="306"/>
        <v>2.1544911943809858E-3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5.703648168213802E-2</v>
      </c>
      <c r="C238" s="154">
        <f t="shared" si="311"/>
        <v>5.6339581792344051E-2</v>
      </c>
      <c r="D238" s="154">
        <f t="shared" si="311"/>
        <v>5.5449776721087765E-2</v>
      </c>
      <c r="E238" s="154">
        <f t="shared" si="311"/>
        <v>5.4906694806353393E-2</v>
      </c>
      <c r="F238" s="154">
        <f t="shared" si="311"/>
        <v>5.0620643960686294E-2</v>
      </c>
      <c r="G238" s="154">
        <f t="shared" si="311"/>
        <v>5.0248103683300877E-2</v>
      </c>
      <c r="H238" s="154">
        <f t="shared" si="311"/>
        <v>4.9308746226352645E-2</v>
      </c>
      <c r="I238" s="154">
        <f t="shared" si="311"/>
        <v>4.7938072855641327E-2</v>
      </c>
      <c r="J238" s="154">
        <f t="shared" si="311"/>
        <v>4.8889212289916689E-2</v>
      </c>
      <c r="K238" s="154">
        <f t="shared" si="311"/>
        <v>5.6958996500755144E-2</v>
      </c>
      <c r="L238" s="154">
        <f t="shared" ref="L238" si="312">IF(L20=0,0,L20/L$19)</f>
        <v>5.5698506914934498E-2</v>
      </c>
      <c r="M238" s="154">
        <f t="shared" ref="M238:V238" si="313">IF(M20=0,0,M20/M$19)</f>
        <v>5.8183093773712863E-2</v>
      </c>
      <c r="N238" s="154">
        <f t="shared" si="313"/>
        <v>6.1830902432739511E-2</v>
      </c>
      <c r="O238" s="154">
        <f t="shared" si="313"/>
        <v>6.1838834462074575E-2</v>
      </c>
      <c r="P238" s="154">
        <f t="shared" si="313"/>
        <v>6.306133166271316E-2</v>
      </c>
      <c r="Q238" s="154">
        <f t="shared" si="313"/>
        <v>6.7424982856431032E-2</v>
      </c>
      <c r="R238" s="154">
        <f t="shared" si="313"/>
        <v>6.5539359816850815E-2</v>
      </c>
      <c r="S238" s="154">
        <f t="shared" si="313"/>
        <v>6.278148938676581E-2</v>
      </c>
      <c r="T238" s="154">
        <f t="shared" si="313"/>
        <v>6.2065507791192902E-2</v>
      </c>
      <c r="U238" s="154">
        <f t="shared" si="313"/>
        <v>6.108485184329325E-2</v>
      </c>
      <c r="V238" s="154">
        <f t="shared" si="313"/>
        <v>5.6067845401478494E-2</v>
      </c>
      <c r="W238" s="154">
        <f t="shared" ref="W238:Y238" si="314">IF(W20=0,0,W20/W$19)</f>
        <v>6.0090351493697812E-2</v>
      </c>
      <c r="X238" s="154">
        <f t="shared" si="314"/>
        <v>6.1364031082578138E-2</v>
      </c>
      <c r="Y238" s="154">
        <f t="shared" si="314"/>
        <v>6.3950607009407384E-2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6.3898532221331409E-3</v>
      </c>
      <c r="C239" s="103">
        <f t="shared" si="315"/>
        <v>5.1894076057565899E-3</v>
      </c>
      <c r="D239" s="103">
        <f t="shared" si="315"/>
        <v>4.2165240308282221E-3</v>
      </c>
      <c r="E239" s="103">
        <f t="shared" si="315"/>
        <v>3.3167526379054486E-3</v>
      </c>
      <c r="F239" s="103">
        <f t="shared" si="315"/>
        <v>2.4242064969222854E-3</v>
      </c>
      <c r="G239" s="103">
        <f t="shared" si="315"/>
        <v>2.0150293079133487E-3</v>
      </c>
      <c r="H239" s="103">
        <f t="shared" si="315"/>
        <v>1.6787709174636714E-3</v>
      </c>
      <c r="I239" s="103">
        <f t="shared" si="315"/>
        <v>1.4207275048520058E-3</v>
      </c>
      <c r="J239" s="103">
        <f t="shared" si="315"/>
        <v>1.3179268019431944E-3</v>
      </c>
      <c r="K239" s="103">
        <f t="shared" si="315"/>
        <v>1.3744103535623987E-3</v>
      </c>
      <c r="L239" s="103">
        <f t="shared" ref="L239" si="316">IF(L21=0,0,L21/L$19)</f>
        <v>1.4353255083257859E-3</v>
      </c>
      <c r="M239" s="103">
        <f t="shared" ref="M239:V239" si="317">IF(M21=0,0,M21/M$19)</f>
        <v>1.6327588667821836E-3</v>
      </c>
      <c r="N239" s="103">
        <f t="shared" si="317"/>
        <v>1.8602140007694115E-3</v>
      </c>
      <c r="O239" s="103">
        <f t="shared" si="317"/>
        <v>1.9870495712447445E-3</v>
      </c>
      <c r="P239" s="103">
        <f t="shared" si="317"/>
        <v>1.8149926596228577E-3</v>
      </c>
      <c r="Q239" s="103">
        <f t="shared" si="317"/>
        <v>1.7404104360925785E-3</v>
      </c>
      <c r="R239" s="103">
        <f t="shared" si="317"/>
        <v>1.6374390756896144E-3</v>
      </c>
      <c r="S239" s="103">
        <f t="shared" si="317"/>
        <v>1.5135186394753669E-3</v>
      </c>
      <c r="T239" s="103">
        <f t="shared" si="317"/>
        <v>1.4646259046952193E-3</v>
      </c>
      <c r="U239" s="103">
        <f t="shared" si="317"/>
        <v>1.3721412750297072E-3</v>
      </c>
      <c r="V239" s="103">
        <f t="shared" si="317"/>
        <v>1.2358185423598737E-3</v>
      </c>
      <c r="W239" s="103">
        <f t="shared" ref="W239:Y239" si="318">IF(W21=0,0,W21/W$19)</f>
        <v>1.4019983477007961E-3</v>
      </c>
      <c r="X239" s="103">
        <f t="shared" si="318"/>
        <v>1.5508662746112824E-3</v>
      </c>
      <c r="Y239" s="103">
        <f t="shared" si="318"/>
        <v>1.8942866555094655E-3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5.0461431333434364E-2</v>
      </c>
      <c r="C240" s="103">
        <f t="shared" si="319"/>
        <v>5.095611370590173E-2</v>
      </c>
      <c r="D240" s="103">
        <f t="shared" si="319"/>
        <v>5.1037218691843349E-2</v>
      </c>
      <c r="E240" s="103">
        <f t="shared" si="319"/>
        <v>5.1392305356360565E-2</v>
      </c>
      <c r="F240" s="103">
        <f t="shared" si="319"/>
        <v>4.8010096586024134E-2</v>
      </c>
      <c r="G240" s="103">
        <f t="shared" si="319"/>
        <v>4.8043384360391288E-2</v>
      </c>
      <c r="H240" s="103">
        <f t="shared" si="319"/>
        <v>4.7431508038682256E-2</v>
      </c>
      <c r="I240" s="103">
        <f t="shared" si="319"/>
        <v>4.635883428517814E-2</v>
      </c>
      <c r="J240" s="103">
        <f t="shared" si="319"/>
        <v>4.74200389981679E-2</v>
      </c>
      <c r="K240" s="103">
        <f t="shared" si="319"/>
        <v>5.5401127568387859E-2</v>
      </c>
      <c r="L240" s="103">
        <f t="shared" ref="L240" si="320">IF(L22=0,0,L22/L$19)</f>
        <v>5.409267168492965E-2</v>
      </c>
      <c r="M240" s="103">
        <f t="shared" ref="M240:V240" si="321">IF(M22=0,0,M22/M$19)</f>
        <v>5.6368267321165823E-2</v>
      </c>
      <c r="N240" s="103">
        <f t="shared" si="321"/>
        <v>5.9778336453297352E-2</v>
      </c>
      <c r="O240" s="103">
        <f t="shared" si="321"/>
        <v>5.9649875651754516E-2</v>
      </c>
      <c r="P240" s="103">
        <f t="shared" si="321"/>
        <v>6.1026612492415144E-2</v>
      </c>
      <c r="Q240" s="103">
        <f t="shared" si="321"/>
        <v>6.5441227214376285E-2</v>
      </c>
      <c r="R240" s="103">
        <f t="shared" si="321"/>
        <v>6.3637194711357703E-2</v>
      </c>
      <c r="S240" s="103">
        <f t="shared" si="321"/>
        <v>6.1012609772782549E-2</v>
      </c>
      <c r="T240" s="103">
        <f t="shared" si="321"/>
        <v>6.0279320661927482E-2</v>
      </c>
      <c r="U240" s="103">
        <f t="shared" si="321"/>
        <v>5.9383827206690797E-2</v>
      </c>
      <c r="V240" s="103">
        <f t="shared" si="321"/>
        <v>5.4496047829937243E-2</v>
      </c>
      <c r="W240" s="103">
        <f t="shared" ref="W240:Y240" si="322">IF(W22=0,0,W22/W$19)</f>
        <v>5.8287694344709838E-2</v>
      </c>
      <c r="X240" s="103">
        <f t="shared" si="322"/>
        <v>5.9362936719826717E-2</v>
      </c>
      <c r="Y240" s="103">
        <f t="shared" si="322"/>
        <v>6.1495905860490661E-2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1.6522720064714904E-4</v>
      </c>
      <c r="C241" s="103">
        <f t="shared" si="323"/>
        <v>1.720789199251569E-4</v>
      </c>
      <c r="D241" s="103">
        <f t="shared" si="323"/>
        <v>1.731883937278059E-4</v>
      </c>
      <c r="E241" s="103">
        <f t="shared" si="323"/>
        <v>1.7312222046824617E-4</v>
      </c>
      <c r="F241" s="103">
        <f t="shared" si="323"/>
        <v>1.6297846722724678E-4</v>
      </c>
      <c r="G241" s="103">
        <f t="shared" si="323"/>
        <v>1.668357540104565E-4</v>
      </c>
      <c r="H241" s="103">
        <f t="shared" si="323"/>
        <v>1.7386805563552712E-4</v>
      </c>
      <c r="I241" s="103">
        <f t="shared" si="323"/>
        <v>1.341514184267483E-4</v>
      </c>
      <c r="J241" s="103">
        <f t="shared" si="323"/>
        <v>1.2770570026573384E-4</v>
      </c>
      <c r="K241" s="103">
        <f t="shared" si="323"/>
        <v>1.5406702442709931E-4</v>
      </c>
      <c r="L241" s="103">
        <f t="shared" ref="L241" si="324">IF(L23=0,0,L23/L$19)</f>
        <v>1.446833843412116E-4</v>
      </c>
      <c r="M241" s="103">
        <f t="shared" ref="M241:V241" si="325">IF(M23=0,0,M23/M$19)</f>
        <v>1.4559278380579739E-4</v>
      </c>
      <c r="N241" s="103">
        <f t="shared" si="325"/>
        <v>1.4680639447620791E-4</v>
      </c>
      <c r="O241" s="103">
        <f t="shared" si="325"/>
        <v>1.4180664880098149E-4</v>
      </c>
      <c r="P241" s="103">
        <f t="shared" si="325"/>
        <v>1.3916068467761838E-4</v>
      </c>
      <c r="Q241" s="103">
        <f t="shared" si="325"/>
        <v>1.4432829624219331E-4</v>
      </c>
      <c r="R241" s="103">
        <f t="shared" si="325"/>
        <v>1.3697642563484445E-4</v>
      </c>
      <c r="S241" s="103">
        <f t="shared" si="325"/>
        <v>1.2453778546984241E-4</v>
      </c>
      <c r="T241" s="103">
        <f t="shared" si="325"/>
        <v>1.0541006563183766E-4</v>
      </c>
      <c r="U241" s="103">
        <f t="shared" si="325"/>
        <v>9.5943091551743074E-5</v>
      </c>
      <c r="V241" s="103">
        <f t="shared" si="325"/>
        <v>8.1569303313118157E-5</v>
      </c>
      <c r="W241" s="103">
        <f t="shared" ref="W241:Y241" si="326">IF(W23=0,0,W23/W$19)</f>
        <v>8.8446660059622275E-5</v>
      </c>
      <c r="X241" s="103">
        <f t="shared" si="326"/>
        <v>9.0699551763306113E-5</v>
      </c>
      <c r="Y241" s="103">
        <f t="shared" si="326"/>
        <v>1.0773337916743286E-4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2.0885043237826289E-6</v>
      </c>
      <c r="C242" s="103">
        <f t="shared" si="327"/>
        <v>1.8724832439240329E-6</v>
      </c>
      <c r="D242" s="103">
        <f t="shared" si="327"/>
        <v>1.8683766860442453E-6</v>
      </c>
      <c r="E242" s="103">
        <f t="shared" si="327"/>
        <v>2.9590808751366628E-6</v>
      </c>
      <c r="F242" s="103">
        <f t="shared" si="327"/>
        <v>2.5915300731191066E-6</v>
      </c>
      <c r="G242" s="103">
        <f t="shared" si="327"/>
        <v>2.4557958806661221E-6</v>
      </c>
      <c r="H242" s="103">
        <f t="shared" si="327"/>
        <v>4.8720710967713892E-6</v>
      </c>
      <c r="I242" s="103">
        <f t="shared" si="327"/>
        <v>4.3765279479084557E-6</v>
      </c>
      <c r="J242" s="103">
        <f t="shared" si="327"/>
        <v>4.5096071568713361E-6</v>
      </c>
      <c r="K242" s="103">
        <f t="shared" si="327"/>
        <v>6.3529768735954466E-6</v>
      </c>
      <c r="L242" s="103">
        <f t="shared" ref="L242" si="328">IF(L24=0,0,L24/L$19)</f>
        <v>5.8840638048770667E-6</v>
      </c>
      <c r="M242" s="103">
        <f t="shared" ref="M242:V242" si="329">IF(M24=0,0,M24/M$19)</f>
        <v>7.4029002099777446E-6</v>
      </c>
      <c r="N242" s="103">
        <f t="shared" si="329"/>
        <v>1.0785398352194827E-5</v>
      </c>
      <c r="O242" s="103">
        <f t="shared" si="329"/>
        <v>1.3816873164179492E-5</v>
      </c>
      <c r="P242" s="103">
        <f t="shared" si="329"/>
        <v>1.6181061764737459E-5</v>
      </c>
      <c r="Q242" s="103">
        <f t="shared" si="329"/>
        <v>1.9269921900844873E-5</v>
      </c>
      <c r="R242" s="103">
        <f t="shared" si="329"/>
        <v>2.1276284156615241E-5</v>
      </c>
      <c r="S242" s="103">
        <f t="shared" si="329"/>
        <v>2.3166345649566283E-5</v>
      </c>
      <c r="T242" s="103">
        <f t="shared" si="329"/>
        <v>5.8764927162916661E-5</v>
      </c>
      <c r="U242" s="103">
        <f t="shared" si="329"/>
        <v>5.0174954673100058E-5</v>
      </c>
      <c r="V242" s="103">
        <f t="shared" si="329"/>
        <v>4.9574832196430016E-5</v>
      </c>
      <c r="W242" s="103">
        <f t="shared" ref="W242:Y242" si="330">IF(W24=0,0,W24/W$19)</f>
        <v>5.7847010955726645E-5</v>
      </c>
      <c r="X242" s="103">
        <f t="shared" si="330"/>
        <v>5.8378869812668102E-5</v>
      </c>
      <c r="Y242" s="103">
        <f t="shared" si="330"/>
        <v>6.1211007573646443E-5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1.788142159958377E-5</v>
      </c>
      <c r="C243" s="103">
        <f t="shared" si="331"/>
        <v>2.01090775166467E-5</v>
      </c>
      <c r="D243" s="103">
        <f t="shared" si="331"/>
        <v>2.0977228002340629E-5</v>
      </c>
      <c r="E243" s="103">
        <f t="shared" si="331"/>
        <v>2.1555510743998509E-5</v>
      </c>
      <c r="F243" s="103">
        <f t="shared" si="331"/>
        <v>2.0770880439517163E-5</v>
      </c>
      <c r="G243" s="103">
        <f t="shared" si="331"/>
        <v>2.0398465105122127E-5</v>
      </c>
      <c r="H243" s="103">
        <f t="shared" si="331"/>
        <v>1.9727143474420962E-5</v>
      </c>
      <c r="I243" s="103">
        <f t="shared" si="331"/>
        <v>1.9983119236522662E-5</v>
      </c>
      <c r="J243" s="103">
        <f t="shared" si="331"/>
        <v>1.9031182382989775E-5</v>
      </c>
      <c r="K243" s="103">
        <f t="shared" si="331"/>
        <v>2.3038577504187116E-5</v>
      </c>
      <c r="L243" s="103">
        <f t="shared" ref="L243" si="332">IF(L25=0,0,L25/L$19)</f>
        <v>1.9942273532979551E-5</v>
      </c>
      <c r="M243" s="103">
        <f t="shared" ref="M243:V243" si="333">IF(M25=0,0,M25/M$19)</f>
        <v>2.9071901749090946E-5</v>
      </c>
      <c r="N243" s="103">
        <f t="shared" si="333"/>
        <v>3.4760185844343962E-5</v>
      </c>
      <c r="O243" s="103">
        <f t="shared" si="333"/>
        <v>4.6285717110142401E-5</v>
      </c>
      <c r="P243" s="103">
        <f t="shared" si="333"/>
        <v>6.4384764232793936E-5</v>
      </c>
      <c r="Q243" s="103">
        <f t="shared" si="333"/>
        <v>7.97469878191259E-5</v>
      </c>
      <c r="R243" s="103">
        <f t="shared" si="333"/>
        <v>1.0647332001203023E-4</v>
      </c>
      <c r="S243" s="103">
        <f t="shared" si="333"/>
        <v>1.0765684338850284E-4</v>
      </c>
      <c r="T243" s="103">
        <f t="shared" si="333"/>
        <v>1.5738623177544102E-4</v>
      </c>
      <c r="U243" s="103">
        <f t="shared" si="333"/>
        <v>1.8276531534789869E-4</v>
      </c>
      <c r="V243" s="103">
        <f t="shared" si="333"/>
        <v>2.0483489367183018E-4</v>
      </c>
      <c r="W243" s="103">
        <f t="shared" ref="W243:Y243" si="334">IF(W25=0,0,W25/W$19)</f>
        <v>2.5436513027183097E-4</v>
      </c>
      <c r="X243" s="103">
        <f t="shared" si="334"/>
        <v>3.0114966656417052E-4</v>
      </c>
      <c r="Y243" s="103">
        <f t="shared" si="334"/>
        <v>3.9147010666617312E-4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0.94296351831786196</v>
      </c>
      <c r="C244" s="156">
        <f t="shared" si="335"/>
        <v>0.94366041820765589</v>
      </c>
      <c r="D244" s="156">
        <f t="shared" si="335"/>
        <v>0.94455022327891225</v>
      </c>
      <c r="E244" s="156">
        <f t="shared" si="335"/>
        <v>0.94509330519364654</v>
      </c>
      <c r="F244" s="156">
        <f t="shared" si="335"/>
        <v>0.94937935603931378</v>
      </c>
      <c r="G244" s="156">
        <f t="shared" si="335"/>
        <v>0.94975189631669921</v>
      </c>
      <c r="H244" s="156">
        <f t="shared" si="335"/>
        <v>0.95069125377364738</v>
      </c>
      <c r="I244" s="156">
        <f t="shared" si="335"/>
        <v>0.95206192714435878</v>
      </c>
      <c r="J244" s="156">
        <f t="shared" si="335"/>
        <v>0.95111078771008328</v>
      </c>
      <c r="K244" s="156">
        <f t="shared" si="335"/>
        <v>0.9430410034992448</v>
      </c>
      <c r="L244" s="156">
        <f t="shared" ref="L244" si="336">IF(L26=0,0,L26/L$19)</f>
        <v>0.9443014930850655</v>
      </c>
      <c r="M244" s="156">
        <f t="shared" ref="M244:V244" si="337">IF(M26=0,0,M26/M$19)</f>
        <v>0.94181690622628722</v>
      </c>
      <c r="N244" s="156">
        <f t="shared" si="337"/>
        <v>0.93816909756726063</v>
      </c>
      <c r="O244" s="156">
        <f t="shared" si="337"/>
        <v>0.93816116553792539</v>
      </c>
      <c r="P244" s="156">
        <f t="shared" si="337"/>
        <v>0.93693866833728678</v>
      </c>
      <c r="Q244" s="156">
        <f t="shared" si="337"/>
        <v>0.93257501714356883</v>
      </c>
      <c r="R244" s="156">
        <f t="shared" si="337"/>
        <v>0.93446064018314923</v>
      </c>
      <c r="S244" s="156">
        <f t="shared" si="337"/>
        <v>0.93721851061323425</v>
      </c>
      <c r="T244" s="156">
        <f t="shared" si="337"/>
        <v>0.93793449220880709</v>
      </c>
      <c r="U244" s="156">
        <f t="shared" si="337"/>
        <v>0.93891514815670674</v>
      </c>
      <c r="V244" s="156">
        <f t="shared" si="337"/>
        <v>0.94393215459852142</v>
      </c>
      <c r="W244" s="156">
        <f t="shared" ref="W244:Y244" si="338">IF(W26=0,0,W26/W$19)</f>
        <v>0.93990964850630221</v>
      </c>
      <c r="X244" s="156">
        <f t="shared" si="338"/>
        <v>0.93863596891742185</v>
      </c>
      <c r="Y244" s="156">
        <f t="shared" si="338"/>
        <v>0.93604939299059264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0.62099262808077493</v>
      </c>
      <c r="C245" s="103">
        <f t="shared" si="339"/>
        <v>0.61373517340674288</v>
      </c>
      <c r="D245" s="103">
        <f t="shared" si="339"/>
        <v>0.60341812768314163</v>
      </c>
      <c r="E245" s="103">
        <f t="shared" si="339"/>
        <v>0.6017580486102726</v>
      </c>
      <c r="F245" s="103">
        <f t="shared" si="339"/>
        <v>0.58186651291608216</v>
      </c>
      <c r="G245" s="103">
        <f t="shared" si="339"/>
        <v>0.57181267530337154</v>
      </c>
      <c r="H245" s="103">
        <f t="shared" si="339"/>
        <v>0.57164924374833626</v>
      </c>
      <c r="I245" s="103">
        <f t="shared" si="339"/>
        <v>0.57785442868629611</v>
      </c>
      <c r="J245" s="103">
        <f t="shared" si="339"/>
        <v>0.57389438489797806</v>
      </c>
      <c r="K245" s="103">
        <f t="shared" si="339"/>
        <v>0.5621203302056097</v>
      </c>
      <c r="L245" s="103">
        <f t="shared" ref="L245" si="340">IF(L27=0,0,L27/L$19)</f>
        <v>0.5639964428687585</v>
      </c>
      <c r="M245" s="103">
        <f t="shared" ref="M245:V245" si="341">IF(M27=0,0,M27/M$19)</f>
        <v>0.57961400078406966</v>
      </c>
      <c r="N245" s="103">
        <f t="shared" si="341"/>
        <v>0.56657598182041746</v>
      </c>
      <c r="O245" s="103">
        <f t="shared" si="341"/>
        <v>0.55389375588246714</v>
      </c>
      <c r="P245" s="103">
        <f t="shared" si="341"/>
        <v>0.54484013280083843</v>
      </c>
      <c r="Q245" s="103">
        <f t="shared" si="341"/>
        <v>0.52439578385512509</v>
      </c>
      <c r="R245" s="103">
        <f t="shared" si="341"/>
        <v>0.52116381326695083</v>
      </c>
      <c r="S245" s="103">
        <f t="shared" si="341"/>
        <v>0.52581744495719951</v>
      </c>
      <c r="T245" s="103">
        <f t="shared" si="341"/>
        <v>0.53160311702137342</v>
      </c>
      <c r="U245" s="103">
        <f t="shared" si="341"/>
        <v>0.52734937471203192</v>
      </c>
      <c r="V245" s="103">
        <f t="shared" si="341"/>
        <v>0.53299162691403024</v>
      </c>
      <c r="W245" s="103">
        <f t="shared" ref="W245:Y245" si="342">IF(W27=0,0,W27/W$19)</f>
        <v>0.51817056083482338</v>
      </c>
      <c r="X245" s="103">
        <f t="shared" si="342"/>
        <v>0.51754739917622639</v>
      </c>
      <c r="Y245" s="103">
        <f t="shared" si="342"/>
        <v>0.51910422488174202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0.32197089023708703</v>
      </c>
      <c r="C246" s="105">
        <f t="shared" si="343"/>
        <v>0.32992524480091301</v>
      </c>
      <c r="D246" s="105">
        <f t="shared" si="343"/>
        <v>0.34113209559577057</v>
      </c>
      <c r="E246" s="105">
        <f t="shared" si="343"/>
        <v>0.34333525658337388</v>
      </c>
      <c r="F246" s="105">
        <f t="shared" si="343"/>
        <v>0.36751284312323163</v>
      </c>
      <c r="G246" s="105">
        <f t="shared" si="343"/>
        <v>0.37793922101332772</v>
      </c>
      <c r="H246" s="105">
        <f t="shared" si="343"/>
        <v>0.37904201002531113</v>
      </c>
      <c r="I246" s="105">
        <f t="shared" si="343"/>
        <v>0.37420749845806267</v>
      </c>
      <c r="J246" s="105">
        <f t="shared" si="343"/>
        <v>0.37721640281210517</v>
      </c>
      <c r="K246" s="105">
        <f t="shared" si="343"/>
        <v>0.38092067329363516</v>
      </c>
      <c r="L246" s="105">
        <f t="shared" ref="L246" si="344">IF(L28=0,0,L28/L$19)</f>
        <v>0.38030505021630701</v>
      </c>
      <c r="M246" s="105">
        <f t="shared" ref="M246:V246" si="345">IF(M28=0,0,M28/M$19)</f>
        <v>0.3622029054422175</v>
      </c>
      <c r="N246" s="105">
        <f t="shared" si="345"/>
        <v>0.37159311574684312</v>
      </c>
      <c r="O246" s="105">
        <f t="shared" si="345"/>
        <v>0.3842674096554583</v>
      </c>
      <c r="P246" s="105">
        <f t="shared" si="345"/>
        <v>0.39209853553644836</v>
      </c>
      <c r="Q246" s="105">
        <f t="shared" si="345"/>
        <v>0.4081792332884438</v>
      </c>
      <c r="R246" s="105">
        <f t="shared" si="345"/>
        <v>0.41329682691619835</v>
      </c>
      <c r="S246" s="105">
        <f t="shared" si="345"/>
        <v>0.41140106565603474</v>
      </c>
      <c r="T246" s="105">
        <f t="shared" si="345"/>
        <v>0.40633137518743367</v>
      </c>
      <c r="U246" s="105">
        <f t="shared" si="345"/>
        <v>0.41156577344467488</v>
      </c>
      <c r="V246" s="105">
        <f t="shared" si="345"/>
        <v>0.41094052768449119</v>
      </c>
      <c r="W246" s="105">
        <f t="shared" ref="W246:Y246" si="346">IF(W28=0,0,W28/W$19)</f>
        <v>0.42173908767147883</v>
      </c>
      <c r="X246" s="105">
        <f t="shared" si="346"/>
        <v>0.42108856974119546</v>
      </c>
      <c r="Y246" s="105">
        <f t="shared" si="346"/>
        <v>0.41694516810885068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3.0602543806042257E-2</v>
      </c>
      <c r="C250" s="154">
        <f t="shared" si="351"/>
        <v>3.1577885595551275E-2</v>
      </c>
      <c r="D250" s="154">
        <f t="shared" si="351"/>
        <v>3.433515142420749E-2</v>
      </c>
      <c r="E250" s="154">
        <f t="shared" si="351"/>
        <v>3.432385520996338E-2</v>
      </c>
      <c r="F250" s="154">
        <f t="shared" si="351"/>
        <v>3.6316292137520648E-2</v>
      </c>
      <c r="G250" s="154">
        <f t="shared" si="351"/>
        <v>3.7311856806527398E-2</v>
      </c>
      <c r="H250" s="154">
        <f t="shared" si="351"/>
        <v>3.6731191611271891E-2</v>
      </c>
      <c r="I250" s="154">
        <f t="shared" si="351"/>
        <v>3.7201364687985426E-2</v>
      </c>
      <c r="J250" s="154">
        <f t="shared" si="351"/>
        <v>3.970486548624455E-2</v>
      </c>
      <c r="K250" s="154">
        <f t="shared" si="351"/>
        <v>4.0162620208635841E-2</v>
      </c>
      <c r="L250" s="154">
        <f t="shared" ref="L250" si="352">IF(L32=0,0,L32/L$31)</f>
        <v>3.979812828010007E-2</v>
      </c>
      <c r="M250" s="154">
        <f t="shared" ref="M250:V250" si="353">IF(M32=0,0,M32/M$31)</f>
        <v>3.7707836946618757E-2</v>
      </c>
      <c r="N250" s="154">
        <f t="shared" si="353"/>
        <v>3.7843474730694597E-2</v>
      </c>
      <c r="O250" s="154">
        <f t="shared" si="353"/>
        <v>3.8154789372800271E-2</v>
      </c>
      <c r="P250" s="154">
        <f t="shared" si="353"/>
        <v>3.8296193519092046E-2</v>
      </c>
      <c r="Q250" s="154">
        <f t="shared" si="353"/>
        <v>3.7503542065133115E-2</v>
      </c>
      <c r="R250" s="154">
        <f t="shared" si="353"/>
        <v>3.4070255853130713E-2</v>
      </c>
      <c r="S250" s="154">
        <f t="shared" si="353"/>
        <v>3.2148723574749245E-2</v>
      </c>
      <c r="T250" s="154">
        <f t="shared" si="353"/>
        <v>3.0763198980215151E-2</v>
      </c>
      <c r="U250" s="154">
        <f t="shared" si="353"/>
        <v>3.2653526044467515E-2</v>
      </c>
      <c r="V250" s="154">
        <f t="shared" si="353"/>
        <v>3.2944182936201563E-2</v>
      </c>
      <c r="W250" s="154">
        <f t="shared" ref="W250:Y250" si="354">IF(W32=0,0,W32/W$31)</f>
        <v>3.0710032286759552E-2</v>
      </c>
      <c r="X250" s="154">
        <f t="shared" si="354"/>
        <v>2.8749190270755183E-2</v>
      </c>
      <c r="Y250" s="154">
        <f t="shared" si="354"/>
        <v>3.013859863821591E-2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0.96016211617719405</v>
      </c>
      <c r="C251" s="156">
        <f t="shared" si="355"/>
        <v>0.95978582278037905</v>
      </c>
      <c r="D251" s="156">
        <f t="shared" si="355"/>
        <v>0.95716622537494023</v>
      </c>
      <c r="E251" s="156">
        <f t="shared" si="355"/>
        <v>0.95711845747451785</v>
      </c>
      <c r="F251" s="156">
        <f t="shared" si="355"/>
        <v>0.9550518457385001</v>
      </c>
      <c r="G251" s="156">
        <f t="shared" si="355"/>
        <v>0.95401277041380994</v>
      </c>
      <c r="H251" s="156">
        <f t="shared" si="355"/>
        <v>0.95438490676367349</v>
      </c>
      <c r="I251" s="156">
        <f t="shared" si="355"/>
        <v>0.95390640112310809</v>
      </c>
      <c r="J251" s="156">
        <f t="shared" si="355"/>
        <v>0.95130759480772153</v>
      </c>
      <c r="K251" s="156">
        <f t="shared" si="355"/>
        <v>0.9513943318014132</v>
      </c>
      <c r="L251" s="156">
        <f t="shared" ref="L251" si="356">IF(L33=0,0,L33/L$31)</f>
        <v>0.95207251061127118</v>
      </c>
      <c r="M251" s="156">
        <f t="shared" ref="M251:V251" si="357">IF(M33=0,0,M33/M$31)</f>
        <v>0.95458809793567323</v>
      </c>
      <c r="N251" s="156">
        <f t="shared" si="357"/>
        <v>0.95453592829389788</v>
      </c>
      <c r="O251" s="156">
        <f t="shared" si="357"/>
        <v>0.95476337045314608</v>
      </c>
      <c r="P251" s="156">
        <f t="shared" si="357"/>
        <v>0.95471551006975419</v>
      </c>
      <c r="Q251" s="156">
        <f t="shared" si="357"/>
        <v>0.95559477603283949</v>
      </c>
      <c r="R251" s="156">
        <f t="shared" si="357"/>
        <v>0.95903498702551393</v>
      </c>
      <c r="S251" s="156">
        <f t="shared" si="357"/>
        <v>0.96122501634471635</v>
      </c>
      <c r="T251" s="156">
        <f t="shared" si="357"/>
        <v>0.96243833883434504</v>
      </c>
      <c r="U251" s="156">
        <f t="shared" si="357"/>
        <v>0.96053549443277153</v>
      </c>
      <c r="V251" s="156">
        <f t="shared" si="357"/>
        <v>0.96091561333369213</v>
      </c>
      <c r="W251" s="156">
        <f t="shared" ref="W251:Y251" si="358">IF(W33=0,0,W33/W$31)</f>
        <v>0.96294108028890291</v>
      </c>
      <c r="X251" s="156">
        <f t="shared" si="358"/>
        <v>0.96479853432804619</v>
      </c>
      <c r="Y251" s="156">
        <f t="shared" si="358"/>
        <v>0.96350073675171422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0.49360365536096051</v>
      </c>
      <c r="C252" s="103">
        <f t="shared" si="359"/>
        <v>0.46421726794186091</v>
      </c>
      <c r="D252" s="103">
        <f t="shared" si="359"/>
        <v>0.44311173429769196</v>
      </c>
      <c r="E252" s="103">
        <f t="shared" si="359"/>
        <v>0.41609555680790972</v>
      </c>
      <c r="F252" s="103">
        <f t="shared" si="359"/>
        <v>0.39469901375363303</v>
      </c>
      <c r="G252" s="103">
        <f t="shared" si="359"/>
        <v>0.37404779938582172</v>
      </c>
      <c r="H252" s="103">
        <f t="shared" si="359"/>
        <v>0.34634037276113211</v>
      </c>
      <c r="I252" s="103">
        <f t="shared" si="359"/>
        <v>0.32005114694302483</v>
      </c>
      <c r="J252" s="103">
        <f t="shared" si="359"/>
        <v>0.29325056722055715</v>
      </c>
      <c r="K252" s="103">
        <f t="shared" si="359"/>
        <v>0.27806116730959768</v>
      </c>
      <c r="L252" s="103">
        <f t="shared" ref="L252" si="360">IF(L34=0,0,L34/L$31)</f>
        <v>0.2566974820625661</v>
      </c>
      <c r="M252" s="103">
        <f t="shared" ref="M252:V252" si="361">IF(M34=0,0,M34/M$31)</f>
        <v>0.25228375863031849</v>
      </c>
      <c r="N252" s="103">
        <f t="shared" si="361"/>
        <v>0.23551370207505698</v>
      </c>
      <c r="O252" s="103">
        <f t="shared" si="361"/>
        <v>0.22750266975989411</v>
      </c>
      <c r="P252" s="103">
        <f t="shared" si="361"/>
        <v>0.22802877631803936</v>
      </c>
      <c r="Q252" s="103">
        <f t="shared" si="361"/>
        <v>0.23160925308562938</v>
      </c>
      <c r="R252" s="103">
        <f t="shared" si="361"/>
        <v>0.24258387976280507</v>
      </c>
      <c r="S252" s="103">
        <f t="shared" si="361"/>
        <v>0.25618524349571825</v>
      </c>
      <c r="T252" s="103">
        <f t="shared" si="361"/>
        <v>0.27684653346400839</v>
      </c>
      <c r="U252" s="103">
        <f t="shared" si="361"/>
        <v>0.30031264833420956</v>
      </c>
      <c r="V252" s="103">
        <f t="shared" si="361"/>
        <v>0.31681172740186614</v>
      </c>
      <c r="W252" s="103">
        <f t="shared" ref="W252:Y252" si="362">IF(W34=0,0,W34/W$31)</f>
        <v>0.342190488042316</v>
      </c>
      <c r="X252" s="103">
        <f t="shared" si="362"/>
        <v>0.35785689726229258</v>
      </c>
      <c r="Y252" s="103">
        <f t="shared" si="362"/>
        <v>0.37588879977314815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0.45762187504970769</v>
      </c>
      <c r="C253" s="103">
        <f t="shared" si="363"/>
        <v>0.48747297913959964</v>
      </c>
      <c r="D253" s="103">
        <f t="shared" si="363"/>
        <v>0.50711770962299407</v>
      </c>
      <c r="E253" s="103">
        <f t="shared" si="363"/>
        <v>0.53525068636785733</v>
      </c>
      <c r="F253" s="103">
        <f t="shared" si="363"/>
        <v>0.55526639891113272</v>
      </c>
      <c r="G253" s="103">
        <f t="shared" si="363"/>
        <v>0.57540155887779731</v>
      </c>
      <c r="H253" s="103">
        <f t="shared" si="363"/>
        <v>0.60399865329272817</v>
      </c>
      <c r="I253" s="103">
        <f t="shared" si="363"/>
        <v>0.63043473068716704</v>
      </c>
      <c r="J253" s="103">
        <f t="shared" si="363"/>
        <v>0.65429819689650992</v>
      </c>
      <c r="K253" s="103">
        <f t="shared" si="363"/>
        <v>0.66939196192735873</v>
      </c>
      <c r="L253" s="103">
        <f t="shared" ref="L253" si="364">IF(L35=0,0,L35/L$31)</f>
        <v>0.691202363756516</v>
      </c>
      <c r="M253" s="103">
        <f t="shared" ref="M253:V253" si="365">IF(M35=0,0,M35/M$31)</f>
        <v>0.69792745752433816</v>
      </c>
      <c r="N253" s="103">
        <f t="shared" si="365"/>
        <v>0.71500471271031962</v>
      </c>
      <c r="O253" s="103">
        <f t="shared" si="365"/>
        <v>0.72357530736526099</v>
      </c>
      <c r="P253" s="103">
        <f t="shared" si="365"/>
        <v>0.72309496167304166</v>
      </c>
      <c r="Q253" s="103">
        <f t="shared" si="365"/>
        <v>0.72008538607068118</v>
      </c>
      <c r="R253" s="103">
        <f t="shared" si="365"/>
        <v>0.71201808872185512</v>
      </c>
      <c r="S253" s="103">
        <f t="shared" si="365"/>
        <v>0.69981721786788398</v>
      </c>
      <c r="T253" s="103">
        <f t="shared" si="365"/>
        <v>0.67905287525370861</v>
      </c>
      <c r="U253" s="103">
        <f t="shared" si="365"/>
        <v>0.65193866378051624</v>
      </c>
      <c r="V253" s="103">
        <f t="shared" si="365"/>
        <v>0.63022659259636005</v>
      </c>
      <c r="W253" s="103">
        <f t="shared" ref="W253:Y253" si="366">IF(W35=0,0,W35/W$31)</f>
        <v>0.59849593443272509</v>
      </c>
      <c r="X253" s="103">
        <f t="shared" si="366"/>
        <v>0.5760221032998718</v>
      </c>
      <c r="Y253" s="103">
        <f t="shared" si="366"/>
        <v>0.546889014893851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8.9365857665256992E-3</v>
      </c>
      <c r="C254" s="103">
        <f t="shared" si="367"/>
        <v>8.0955756989183718E-3</v>
      </c>
      <c r="D254" s="103">
        <f t="shared" si="367"/>
        <v>6.9367814542542691E-3</v>
      </c>
      <c r="E254" s="103">
        <f t="shared" si="367"/>
        <v>5.772214298750562E-3</v>
      </c>
      <c r="F254" s="103">
        <f t="shared" si="367"/>
        <v>5.0864330737344218E-3</v>
      </c>
      <c r="G254" s="103">
        <f t="shared" si="367"/>
        <v>4.5634121501908652E-3</v>
      </c>
      <c r="H254" s="103">
        <f t="shared" si="367"/>
        <v>4.0453585728752461E-3</v>
      </c>
      <c r="I254" s="103">
        <f t="shared" si="367"/>
        <v>3.3952218312956841E-3</v>
      </c>
      <c r="J254" s="103">
        <f t="shared" si="367"/>
        <v>3.6180672222879615E-3</v>
      </c>
      <c r="K254" s="103">
        <f t="shared" si="367"/>
        <v>3.7884930750155987E-3</v>
      </c>
      <c r="L254" s="103">
        <f t="shared" ref="L254" si="368">IF(L36=0,0,L36/L$31)</f>
        <v>4.0164610280763171E-3</v>
      </c>
      <c r="M254" s="103">
        <f t="shared" ref="M254:V254" si="369">IF(M36=0,0,M36/M$31)</f>
        <v>4.135289035371182E-3</v>
      </c>
      <c r="N254" s="103">
        <f t="shared" si="369"/>
        <v>3.7009349824895306E-3</v>
      </c>
      <c r="O254" s="103">
        <f t="shared" si="369"/>
        <v>3.0557542974386643E-3</v>
      </c>
      <c r="P254" s="103">
        <f t="shared" si="369"/>
        <v>2.6690999052436919E-3</v>
      </c>
      <c r="Q254" s="103">
        <f t="shared" si="369"/>
        <v>2.3927526567142109E-3</v>
      </c>
      <c r="R254" s="103">
        <f t="shared" si="369"/>
        <v>2.1411112849881644E-3</v>
      </c>
      <c r="S254" s="103">
        <f t="shared" si="369"/>
        <v>1.9332918710768645E-3</v>
      </c>
      <c r="T254" s="103">
        <f t="shared" si="369"/>
        <v>1.7978012718723865E-3</v>
      </c>
      <c r="U254" s="103">
        <f t="shared" si="369"/>
        <v>1.7125301314590176E-3</v>
      </c>
      <c r="V254" s="103">
        <f t="shared" si="369"/>
        <v>1.6134164798723156E-3</v>
      </c>
      <c r="W254" s="103">
        <f t="shared" ref="W254:Y254" si="370">IF(W36=0,0,W36/W$31)</f>
        <v>1.6976677180229299E-3</v>
      </c>
      <c r="X254" s="103">
        <f t="shared" si="370"/>
        <v>1.9704394945801338E-3</v>
      </c>
      <c r="Y254" s="103">
        <f t="shared" si="370"/>
        <v>2.3976448776264502E-3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2.4574110842248071E-5</v>
      </c>
      <c r="J255" s="103">
        <f t="shared" si="371"/>
        <v>4.5077510888316666E-5</v>
      </c>
      <c r="K255" s="103">
        <f t="shared" si="371"/>
        <v>5.9740458362939544E-5</v>
      </c>
      <c r="L255" s="103">
        <f t="shared" ref="L255" si="372">IF(L37=0,0,L37/L$31)</f>
        <v>6.3667164857767031E-5</v>
      </c>
      <c r="M255" s="103">
        <f t="shared" ref="M255:V255" si="373">IF(M37=0,0,M37/M$31)</f>
        <v>6.3368556813099365E-5</v>
      </c>
      <c r="N255" s="103">
        <f t="shared" si="373"/>
        <v>6.7360090282067648E-5</v>
      </c>
      <c r="O255" s="103">
        <f t="shared" si="373"/>
        <v>6.6579141675283444E-5</v>
      </c>
      <c r="P255" s="103">
        <f t="shared" si="373"/>
        <v>6.6034339169176277E-5</v>
      </c>
      <c r="Q255" s="103">
        <f t="shared" si="373"/>
        <v>6.7491139875536414E-5</v>
      </c>
      <c r="R255" s="103">
        <f t="shared" si="373"/>
        <v>7.7893064926512837E-5</v>
      </c>
      <c r="S255" s="103">
        <f t="shared" si="373"/>
        <v>7.7577319574361148E-5</v>
      </c>
      <c r="T255" s="103">
        <f t="shared" si="373"/>
        <v>7.6817819027829275E-5</v>
      </c>
      <c r="U255" s="103">
        <f t="shared" si="373"/>
        <v>8.1636279315986683E-5</v>
      </c>
      <c r="V255" s="103">
        <f t="shared" si="373"/>
        <v>8.9287370288698874E-5</v>
      </c>
      <c r="W255" s="103">
        <f t="shared" ref="W255:Y255" si="374">IF(W37=0,0,W37/W$31)</f>
        <v>9.1265264726017028E-5</v>
      </c>
      <c r="X255" s="103">
        <f t="shared" si="374"/>
        <v>9.1700939200777961E-5</v>
      </c>
      <c r="Y255" s="103">
        <f t="shared" si="374"/>
        <v>1.5884894284051444E-4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1.2168057976046113E-5</v>
      </c>
      <c r="O256" s="103">
        <f t="shared" si="377"/>
        <v>2.6093270440800426E-5</v>
      </c>
      <c r="P256" s="103">
        <f t="shared" si="377"/>
        <v>5.3550746236882584E-5</v>
      </c>
      <c r="Q256" s="103">
        <f t="shared" si="377"/>
        <v>1.4362578656826848E-4</v>
      </c>
      <c r="R256" s="103">
        <f t="shared" si="377"/>
        <v>2.6325420480982967E-4</v>
      </c>
      <c r="S256" s="103">
        <f t="shared" si="377"/>
        <v>4.6950798432919164E-4</v>
      </c>
      <c r="T256" s="103">
        <f t="shared" si="377"/>
        <v>7.4160455119071404E-4</v>
      </c>
      <c r="U256" s="103">
        <f t="shared" si="377"/>
        <v>1.1338271793333566E-3</v>
      </c>
      <c r="V256" s="103">
        <f t="shared" si="377"/>
        <v>2.6657838922704686E-3</v>
      </c>
      <c r="W256" s="103">
        <f t="shared" ref="W256:Y256" si="378">IF(W38=0,0,W38/W$31)</f>
        <v>5.6436084818848814E-3</v>
      </c>
      <c r="X256" s="103">
        <f t="shared" si="378"/>
        <v>8.8791351522919601E-3</v>
      </c>
      <c r="Y256" s="103">
        <f t="shared" si="378"/>
        <v>1.2478934065332311E-2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5.2213693788232669E-7</v>
      </c>
      <c r="I257" s="103">
        <f t="shared" si="379"/>
        <v>7.2755077827822585E-7</v>
      </c>
      <c r="J257" s="103">
        <f t="shared" si="379"/>
        <v>9.5685957478191936E-5</v>
      </c>
      <c r="K257" s="103">
        <f t="shared" si="379"/>
        <v>9.2969031078154722E-5</v>
      </c>
      <c r="L257" s="103">
        <f t="shared" ref="L257" si="380">IF(L39=0,0,L39/L$31)</f>
        <v>9.2536599254858541E-5</v>
      </c>
      <c r="M257" s="103">
        <f t="shared" ref="M257:V257" si="381">IF(M39=0,0,M39/M$31)</f>
        <v>1.7822418883223196E-4</v>
      </c>
      <c r="N257" s="103">
        <f t="shared" si="381"/>
        <v>2.370503777735754E-4</v>
      </c>
      <c r="O257" s="103">
        <f t="shared" si="381"/>
        <v>5.3696661843623088E-4</v>
      </c>
      <c r="P257" s="103">
        <f t="shared" si="381"/>
        <v>8.0308708802337729E-4</v>
      </c>
      <c r="Q257" s="103">
        <f t="shared" si="381"/>
        <v>1.2962672933709636E-3</v>
      </c>
      <c r="R257" s="103">
        <f t="shared" si="381"/>
        <v>1.9507599861292575E-3</v>
      </c>
      <c r="S257" s="103">
        <f t="shared" si="381"/>
        <v>2.7421778061337953E-3</v>
      </c>
      <c r="T257" s="103">
        <f t="shared" si="381"/>
        <v>3.9227064745369607E-3</v>
      </c>
      <c r="U257" s="103">
        <f t="shared" si="381"/>
        <v>5.3561887279373974E-3</v>
      </c>
      <c r="V257" s="103">
        <f t="shared" si="381"/>
        <v>9.5088055930346686E-3</v>
      </c>
      <c r="W257" s="103">
        <f t="shared" ref="W257:Y257" si="382">IF(W39=0,0,W39/W$31)</f>
        <v>1.4822116349228089E-2</v>
      </c>
      <c r="X257" s="103">
        <f t="shared" si="382"/>
        <v>1.9978258179809021E-2</v>
      </c>
      <c r="Y257" s="103">
        <f t="shared" si="382"/>
        <v>2.5687494198915833E-2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9.2353400167637118E-3</v>
      </c>
      <c r="C258" s="156">
        <f t="shared" si="383"/>
        <v>8.636291624069637E-3</v>
      </c>
      <c r="D258" s="156">
        <f t="shared" si="383"/>
        <v>8.4986232008522396E-3</v>
      </c>
      <c r="E258" s="156">
        <f t="shared" si="383"/>
        <v>8.5576873155187669E-3</v>
      </c>
      <c r="F258" s="156">
        <f t="shared" si="383"/>
        <v>8.6318621239793291E-3</v>
      </c>
      <c r="G258" s="156">
        <f t="shared" si="383"/>
        <v>8.6753727796626615E-3</v>
      </c>
      <c r="H258" s="156">
        <f t="shared" si="383"/>
        <v>8.8839016250546604E-3</v>
      </c>
      <c r="I258" s="156">
        <f t="shared" si="383"/>
        <v>8.8922341889065108E-3</v>
      </c>
      <c r="J258" s="156">
        <f t="shared" si="383"/>
        <v>8.9875397060339788E-3</v>
      </c>
      <c r="K258" s="156">
        <f t="shared" si="383"/>
        <v>8.4430479899510105E-3</v>
      </c>
      <c r="L258" s="156">
        <f t="shared" ref="L258" si="384">IF(L40=0,0,L40/L$31)</f>
        <v>8.1293611086287274E-3</v>
      </c>
      <c r="M258" s="156">
        <f t="shared" ref="M258:V258" si="385">IF(M40=0,0,M40/M$31)</f>
        <v>7.7040651177079896E-3</v>
      </c>
      <c r="N258" s="156">
        <f t="shared" si="385"/>
        <v>7.6205969754075216E-3</v>
      </c>
      <c r="O258" s="156">
        <f t="shared" si="385"/>
        <v>7.0818401740535743E-3</v>
      </c>
      <c r="P258" s="156">
        <f t="shared" si="385"/>
        <v>6.988296411153689E-3</v>
      </c>
      <c r="Q258" s="156">
        <f t="shared" si="385"/>
        <v>6.9016819020273198E-3</v>
      </c>
      <c r="R258" s="156">
        <f t="shared" si="385"/>
        <v>6.8947571213553637E-3</v>
      </c>
      <c r="S258" s="156">
        <f t="shared" si="385"/>
        <v>6.6262600805344594E-3</v>
      </c>
      <c r="T258" s="156">
        <f t="shared" si="385"/>
        <v>6.7984621854396705E-3</v>
      </c>
      <c r="U258" s="156">
        <f t="shared" si="385"/>
        <v>6.8109795227609005E-3</v>
      </c>
      <c r="V258" s="156">
        <f t="shared" si="385"/>
        <v>6.1402037301062041E-3</v>
      </c>
      <c r="W258" s="156">
        <f t="shared" ref="W258:Y258" si="386">IF(W40=0,0,W40/W$31)</f>
        <v>6.3488874243375877E-3</v>
      </c>
      <c r="X258" s="156">
        <f t="shared" si="386"/>
        <v>6.4522754011985843E-3</v>
      </c>
      <c r="Y258" s="156">
        <f t="shared" si="386"/>
        <v>6.3606646100698985E-3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4.9442288604585738E-5</v>
      </c>
      <c r="C259" s="103">
        <f t="shared" si="387"/>
        <v>4.3661731293375222E-5</v>
      </c>
      <c r="D259" s="103">
        <f t="shared" si="387"/>
        <v>4.1438618747391829E-5</v>
      </c>
      <c r="E259" s="103">
        <f t="shared" si="387"/>
        <v>3.8772263562014323E-5</v>
      </c>
      <c r="F259" s="103">
        <f t="shared" si="387"/>
        <v>3.606217565143263E-5</v>
      </c>
      <c r="G259" s="103">
        <f t="shared" si="387"/>
        <v>3.296454522971628E-5</v>
      </c>
      <c r="H259" s="103">
        <f t="shared" si="387"/>
        <v>3.0328410528014593E-5</v>
      </c>
      <c r="I259" s="103">
        <f t="shared" si="387"/>
        <v>2.6986350349261858E-5</v>
      </c>
      <c r="J259" s="103">
        <f t="shared" si="387"/>
        <v>2.5036335385471652E-5</v>
      </c>
      <c r="K259" s="103">
        <f t="shared" si="387"/>
        <v>2.1542710183921617E-5</v>
      </c>
      <c r="L259" s="103">
        <f t="shared" ref="L259" si="388">IF(L41=0,0,L41/L$31)</f>
        <v>1.847095975586194E-5</v>
      </c>
      <c r="M259" s="103">
        <f t="shared" ref="M259:V259" si="389">IF(M41=0,0,M41/M$31)</f>
        <v>1.4942755275740147E-5</v>
      </c>
      <c r="N259" s="103">
        <f t="shared" si="389"/>
        <v>1.2610302902814243E-5</v>
      </c>
      <c r="O259" s="103">
        <f t="shared" si="389"/>
        <v>1.0402625717989949E-5</v>
      </c>
      <c r="P259" s="103">
        <f t="shared" si="389"/>
        <v>8.5334357831483936E-6</v>
      </c>
      <c r="Q259" s="103">
        <f t="shared" si="389"/>
        <v>6.9891989568737331E-6</v>
      </c>
      <c r="R259" s="103">
        <f t="shared" si="389"/>
        <v>6.7615300081581512E-6</v>
      </c>
      <c r="S259" s="103">
        <f t="shared" si="389"/>
        <v>6.6040481864331658E-6</v>
      </c>
      <c r="T259" s="103">
        <f t="shared" si="389"/>
        <v>6.6471798865634588E-6</v>
      </c>
      <c r="U259" s="103">
        <f t="shared" si="389"/>
        <v>6.6403601889253479E-6</v>
      </c>
      <c r="V259" s="103">
        <f t="shared" si="389"/>
        <v>6.4371739706258364E-6</v>
      </c>
      <c r="W259" s="103">
        <f t="shared" ref="W259:Y259" si="390">IF(W41=0,0,W41/W$31)</f>
        <v>6.1591944652170412E-6</v>
      </c>
      <c r="X259" s="103">
        <f t="shared" si="390"/>
        <v>5.1506126866378488E-6</v>
      </c>
      <c r="Y259" s="103">
        <f t="shared" si="390"/>
        <v>4.1933440467359633E-6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9.154099040057392E-3</v>
      </c>
      <c r="C260" s="103">
        <f t="shared" si="391"/>
        <v>8.5082352472132233E-3</v>
      </c>
      <c r="D260" s="103">
        <f t="shared" si="391"/>
        <v>8.3644861910415411E-3</v>
      </c>
      <c r="E260" s="103">
        <f t="shared" si="391"/>
        <v>8.4003472841603245E-3</v>
      </c>
      <c r="F260" s="103">
        <f t="shared" si="391"/>
        <v>8.4589222194747168E-3</v>
      </c>
      <c r="G260" s="103">
        <f t="shared" si="391"/>
        <v>8.4956277869873854E-3</v>
      </c>
      <c r="H260" s="103">
        <f t="shared" si="391"/>
        <v>8.6904361221968197E-3</v>
      </c>
      <c r="I260" s="103">
        <f t="shared" si="391"/>
        <v>8.6864595170595606E-3</v>
      </c>
      <c r="J260" s="103">
        <f t="shared" si="391"/>
        <v>8.7540491408001405E-3</v>
      </c>
      <c r="K260" s="103">
        <f t="shared" si="391"/>
        <v>8.22280262873922E-3</v>
      </c>
      <c r="L260" s="103">
        <f t="shared" ref="L260" si="392">IF(L42=0,0,L42/L$31)</f>
        <v>7.9213532888586947E-3</v>
      </c>
      <c r="M260" s="103">
        <f t="shared" ref="M260:V260" si="393">IF(M42=0,0,M42/M$31)</f>
        <v>7.2903969248269288E-3</v>
      </c>
      <c r="N260" s="103">
        <f t="shared" si="393"/>
        <v>7.1672599532832861E-3</v>
      </c>
      <c r="O260" s="103">
        <f t="shared" si="393"/>
        <v>6.5170195156386999E-3</v>
      </c>
      <c r="P260" s="103">
        <f t="shared" si="393"/>
        <v>6.4089743228895176E-3</v>
      </c>
      <c r="Q260" s="103">
        <f t="shared" si="393"/>
        <v>6.3231399058304803E-3</v>
      </c>
      <c r="R260" s="103">
        <f t="shared" si="393"/>
        <v>6.3222821215824917E-3</v>
      </c>
      <c r="S260" s="103">
        <f t="shared" si="393"/>
        <v>6.0315078328614163E-3</v>
      </c>
      <c r="T260" s="103">
        <f t="shared" si="393"/>
        <v>6.1085212377093396E-3</v>
      </c>
      <c r="U260" s="103">
        <f t="shared" si="393"/>
        <v>5.9379348080729876E-3</v>
      </c>
      <c r="V260" s="103">
        <f t="shared" si="393"/>
        <v>5.0721159676735249E-3</v>
      </c>
      <c r="W260" s="103">
        <f t="shared" ref="W260:Y260" si="394">IF(W42=0,0,W42/W$31)</f>
        <v>5.0126246638252389E-3</v>
      </c>
      <c r="X260" s="103">
        <f t="shared" si="394"/>
        <v>4.8919304517059678E-3</v>
      </c>
      <c r="Y260" s="103">
        <f t="shared" si="394"/>
        <v>4.6406184796601961E-3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1.0660562968881883E-5</v>
      </c>
      <c r="C261" s="103">
        <f t="shared" si="395"/>
        <v>1.1692298786956373E-5</v>
      </c>
      <c r="D261" s="103">
        <f t="shared" si="395"/>
        <v>1.1528482494425678E-5</v>
      </c>
      <c r="E261" s="103">
        <f t="shared" si="395"/>
        <v>1.2104474960341262E-5</v>
      </c>
      <c r="F261" s="103">
        <f t="shared" si="395"/>
        <v>1.2423731355583331E-5</v>
      </c>
      <c r="G261" s="103">
        <f t="shared" si="395"/>
        <v>1.2441443122859283E-5</v>
      </c>
      <c r="H261" s="103">
        <f t="shared" si="395"/>
        <v>1.0085001720702086E-5</v>
      </c>
      <c r="I261" s="103">
        <f t="shared" si="395"/>
        <v>1.171286108291003E-5</v>
      </c>
      <c r="J261" s="103">
        <f t="shared" si="395"/>
        <v>1.1556956123377094E-5</v>
      </c>
      <c r="K261" s="103">
        <f t="shared" si="395"/>
        <v>1.0728849396056554E-5</v>
      </c>
      <c r="L261" s="103">
        <f t="shared" ref="L261" si="396">IF(L43=0,0,L43/L$31)</f>
        <v>9.932700390377845E-6</v>
      </c>
      <c r="M261" s="103">
        <f t="shared" ref="M261:V261" si="397">IF(M43=0,0,M43/M$31)</f>
        <v>8.7062801821610933E-6</v>
      </c>
      <c r="N261" s="103">
        <f t="shared" si="397"/>
        <v>8.0361038425805227E-6</v>
      </c>
      <c r="O261" s="103">
        <f t="shared" si="397"/>
        <v>7.3316358802726167E-6</v>
      </c>
      <c r="P261" s="103">
        <f t="shared" si="397"/>
        <v>6.6652139217106252E-6</v>
      </c>
      <c r="Q261" s="103">
        <f t="shared" si="397"/>
        <v>6.1211460287947264E-6</v>
      </c>
      <c r="R261" s="103">
        <f t="shared" si="397"/>
        <v>5.6710499244049011E-6</v>
      </c>
      <c r="S261" s="103">
        <f t="shared" si="397"/>
        <v>5.1218607798040953E-6</v>
      </c>
      <c r="T261" s="103">
        <f t="shared" si="397"/>
        <v>4.8147362662071401E-6</v>
      </c>
      <c r="U261" s="103">
        <f t="shared" si="397"/>
        <v>4.261534314975579E-6</v>
      </c>
      <c r="V261" s="103">
        <f t="shared" si="397"/>
        <v>3.57967825969878E-6</v>
      </c>
      <c r="W261" s="103">
        <f t="shared" ref="W261:Y261" si="398">IF(W43=0,0,W43/W$31)</f>
        <v>3.0377246815876153E-6</v>
      </c>
      <c r="X261" s="103">
        <f t="shared" si="398"/>
        <v>2.6730036898629688E-6</v>
      </c>
      <c r="Y261" s="103">
        <f t="shared" si="398"/>
        <v>2.2556733886713556E-6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2.0980685080060258E-6</v>
      </c>
      <c r="C262" s="103">
        <f t="shared" si="399"/>
        <v>5.2716587069255562E-5</v>
      </c>
      <c r="D262" s="103">
        <f t="shared" si="399"/>
        <v>5.9358231864853113E-5</v>
      </c>
      <c r="E262" s="103">
        <f t="shared" si="399"/>
        <v>8.2934429674942804E-5</v>
      </c>
      <c r="F262" s="103">
        <f t="shared" si="399"/>
        <v>9.9369116061127495E-5</v>
      </c>
      <c r="G262" s="103">
        <f t="shared" si="399"/>
        <v>1.0949176443917013E-4</v>
      </c>
      <c r="H262" s="103">
        <f t="shared" si="399"/>
        <v>1.2926334752268442E-4</v>
      </c>
      <c r="I262" s="103">
        <f t="shared" si="399"/>
        <v>1.4457003380852963E-4</v>
      </c>
      <c r="J262" s="103">
        <f t="shared" si="399"/>
        <v>1.7488174231920997E-4</v>
      </c>
      <c r="K262" s="103">
        <f t="shared" si="399"/>
        <v>1.6765578795938717E-4</v>
      </c>
      <c r="L262" s="103">
        <f t="shared" ref="L262" si="400">IF(L44=0,0,L44/L$31)</f>
        <v>1.6065502453229132E-4</v>
      </c>
      <c r="M262" s="103">
        <f t="shared" ref="M262:V262" si="401">IF(M44=0,0,M44/M$31)</f>
        <v>3.7310417698823388E-4</v>
      </c>
      <c r="N262" s="103">
        <f t="shared" si="401"/>
        <v>4.1399366678084276E-4</v>
      </c>
      <c r="O262" s="103">
        <f t="shared" si="401"/>
        <v>5.1841438969814791E-4</v>
      </c>
      <c r="P262" s="103">
        <f t="shared" si="401"/>
        <v>5.3369343460882485E-4</v>
      </c>
      <c r="Q262" s="103">
        <f t="shared" si="401"/>
        <v>5.3285228052520289E-4</v>
      </c>
      <c r="R262" s="103">
        <f t="shared" si="401"/>
        <v>5.2399896656736772E-4</v>
      </c>
      <c r="S262" s="103">
        <f t="shared" si="401"/>
        <v>5.4304228813146355E-4</v>
      </c>
      <c r="T262" s="103">
        <f t="shared" si="401"/>
        <v>6.363077245425346E-4</v>
      </c>
      <c r="U262" s="103">
        <f t="shared" si="401"/>
        <v>7.9682181443950398E-4</v>
      </c>
      <c r="V262" s="103">
        <f t="shared" si="401"/>
        <v>9.8263107408768507E-4</v>
      </c>
      <c r="W262" s="103">
        <f t="shared" ref="W262:Y262" si="402">IF(W44=0,0,W44/W$31)</f>
        <v>1.1840013391499202E-3</v>
      </c>
      <c r="X262" s="103">
        <f t="shared" si="402"/>
        <v>1.3692646106474792E-3</v>
      </c>
      <c r="Y262" s="103">
        <f t="shared" si="402"/>
        <v>1.4985862834056795E-3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1.9040056624844649E-5</v>
      </c>
      <c r="C263" s="103">
        <f t="shared" si="403"/>
        <v>1.9985759706828268E-5</v>
      </c>
      <c r="D263" s="103">
        <f t="shared" si="403"/>
        <v>2.1811676704028172E-5</v>
      </c>
      <c r="E263" s="103">
        <f t="shared" si="403"/>
        <v>2.3528863161144399E-5</v>
      </c>
      <c r="F263" s="103">
        <f t="shared" si="403"/>
        <v>2.5084881436469656E-5</v>
      </c>
      <c r="G263" s="103">
        <f t="shared" si="403"/>
        <v>2.484723988353001E-5</v>
      </c>
      <c r="H263" s="103">
        <f t="shared" si="403"/>
        <v>2.3788743086440968E-5</v>
      </c>
      <c r="I263" s="103">
        <f t="shared" si="403"/>
        <v>2.2505426606247248E-5</v>
      </c>
      <c r="J263" s="103">
        <f t="shared" si="403"/>
        <v>2.2015531405780824E-5</v>
      </c>
      <c r="K263" s="103">
        <f t="shared" si="403"/>
        <v>2.0318013672425355E-5</v>
      </c>
      <c r="L263" s="103">
        <f t="shared" ref="L263" si="404">IF(L45=0,0,L45/L$31)</f>
        <v>1.8949135091502022E-5</v>
      </c>
      <c r="M263" s="103">
        <f t="shared" ref="M263:V263" si="405">IF(M45=0,0,M45/M$31)</f>
        <v>1.6914980434925183E-5</v>
      </c>
      <c r="N263" s="103">
        <f t="shared" si="405"/>
        <v>1.8696948597996731E-5</v>
      </c>
      <c r="O263" s="103">
        <f t="shared" si="405"/>
        <v>2.8672007118464122E-5</v>
      </c>
      <c r="P263" s="103">
        <f t="shared" si="405"/>
        <v>3.0430003950486926E-5</v>
      </c>
      <c r="Q263" s="103">
        <f t="shared" si="405"/>
        <v>3.2579370685968196E-5</v>
      </c>
      <c r="R263" s="103">
        <f t="shared" si="405"/>
        <v>3.6043453272940714E-5</v>
      </c>
      <c r="S263" s="103">
        <f t="shared" si="405"/>
        <v>3.9984050575342717E-5</v>
      </c>
      <c r="T263" s="103">
        <f t="shared" si="405"/>
        <v>4.2171307035025022E-5</v>
      </c>
      <c r="U263" s="103">
        <f t="shared" si="405"/>
        <v>6.5321005744507714E-5</v>
      </c>
      <c r="V263" s="103">
        <f t="shared" si="405"/>
        <v>7.5439836114669207E-5</v>
      </c>
      <c r="W263" s="103">
        <f t="shared" ref="W263:Y263" si="406">IF(W45=0,0,W45/W$31)</f>
        <v>1.4306450221562438E-4</v>
      </c>
      <c r="X263" s="103">
        <f t="shared" si="406"/>
        <v>1.832567224686361E-4</v>
      </c>
      <c r="Y263" s="103">
        <f t="shared" si="406"/>
        <v>2.1501082956861458E-4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0.76079244644030419</v>
      </c>
      <c r="C265" s="154">
        <f t="shared" si="411"/>
        <v>0.7593762401188322</v>
      </c>
      <c r="D265" s="154">
        <f t="shared" si="411"/>
        <v>0.75665974764837962</v>
      </c>
      <c r="E265" s="154">
        <f t="shared" si="411"/>
        <v>0.7535935761086161</v>
      </c>
      <c r="F265" s="154">
        <f t="shared" si="411"/>
        <v>0.7340991697537157</v>
      </c>
      <c r="G265" s="154">
        <f t="shared" si="411"/>
        <v>0.73099328061532143</v>
      </c>
      <c r="H265" s="154">
        <f t="shared" si="411"/>
        <v>0.72967845606658932</v>
      </c>
      <c r="I265" s="154">
        <f t="shared" si="411"/>
        <v>0.72490666532744119</v>
      </c>
      <c r="J265" s="154">
        <f t="shared" si="411"/>
        <v>0.72862204816223086</v>
      </c>
      <c r="K265" s="154">
        <f t="shared" si="411"/>
        <v>0.75752275336077257</v>
      </c>
      <c r="L265" s="154">
        <f t="shared" ref="L265" si="412">IF(L47=0,0,L47/L$46)</f>
        <v>0.75640462807276732</v>
      </c>
      <c r="M265" s="154">
        <f t="shared" ref="M265:V265" si="413">IF(M47=0,0,M47/M$46)</f>
        <v>0.76477450804948044</v>
      </c>
      <c r="N265" s="154">
        <f t="shared" si="413"/>
        <v>0.77760945359596256</v>
      </c>
      <c r="O265" s="154">
        <f t="shared" si="413"/>
        <v>0.77900205575644521</v>
      </c>
      <c r="P265" s="154">
        <f t="shared" si="413"/>
        <v>0.78087670385877173</v>
      </c>
      <c r="Q265" s="154">
        <f t="shared" si="413"/>
        <v>0.79265660855874598</v>
      </c>
      <c r="R265" s="154">
        <f t="shared" si="413"/>
        <v>0.78504765966672596</v>
      </c>
      <c r="S265" s="154">
        <f t="shared" si="413"/>
        <v>0.78447336460078465</v>
      </c>
      <c r="T265" s="154">
        <f t="shared" si="413"/>
        <v>0.78722850292387403</v>
      </c>
      <c r="U265" s="154">
        <f t="shared" si="413"/>
        <v>0.78403156112540762</v>
      </c>
      <c r="V265" s="154">
        <f t="shared" si="413"/>
        <v>0.76216916038282467</v>
      </c>
      <c r="W265" s="154">
        <f t="shared" ref="W265:Y265" si="414">IF(W47=0,0,W47/W$46)</f>
        <v>0.78167405966294323</v>
      </c>
      <c r="X265" s="154">
        <f t="shared" si="414"/>
        <v>0.78646509550887855</v>
      </c>
      <c r="Y265" s="154">
        <f t="shared" si="414"/>
        <v>0.79284311432863197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0.11182077727456925</v>
      </c>
      <c r="C266" s="103">
        <f t="shared" si="415"/>
        <v>9.2328998190136527E-2</v>
      </c>
      <c r="D266" s="103">
        <f t="shared" si="415"/>
        <v>7.6327727985832788E-2</v>
      </c>
      <c r="E266" s="103">
        <f t="shared" si="415"/>
        <v>6.0669369111722812E-2</v>
      </c>
      <c r="F266" s="103">
        <f t="shared" si="415"/>
        <v>4.7023596273025998E-2</v>
      </c>
      <c r="G266" s="103">
        <f t="shared" si="415"/>
        <v>3.9303478374444409E-2</v>
      </c>
      <c r="H266" s="103">
        <f t="shared" si="415"/>
        <v>3.3362364074618851E-2</v>
      </c>
      <c r="I266" s="103">
        <f t="shared" si="415"/>
        <v>2.880548986935343E-2</v>
      </c>
      <c r="J266" s="103">
        <f t="shared" si="415"/>
        <v>2.6099493315257443E-2</v>
      </c>
      <c r="K266" s="103">
        <f t="shared" si="415"/>
        <v>2.4071569163933253E-2</v>
      </c>
      <c r="L266" s="103">
        <f t="shared" ref="L266" si="416">IF(L48=0,0,L48/L$46)</f>
        <v>2.5420330119742006E-2</v>
      </c>
      <c r="M266" s="103">
        <f t="shared" ref="M266:V266" si="417">IF(M48=0,0,M48/M$46)</f>
        <v>2.7718378330560612E-2</v>
      </c>
      <c r="N266" s="103">
        <f t="shared" si="417"/>
        <v>2.9907153095360999E-2</v>
      </c>
      <c r="O266" s="103">
        <f t="shared" si="417"/>
        <v>3.167230023331246E-2</v>
      </c>
      <c r="P266" s="103">
        <f t="shared" si="417"/>
        <v>2.8182448046398217E-2</v>
      </c>
      <c r="Q266" s="103">
        <f t="shared" si="417"/>
        <v>2.5429511190465562E-2</v>
      </c>
      <c r="R266" s="103">
        <f t="shared" si="417"/>
        <v>2.4629913671437499E-2</v>
      </c>
      <c r="S266" s="103">
        <f t="shared" si="417"/>
        <v>2.39899393891265E-2</v>
      </c>
      <c r="T266" s="103">
        <f t="shared" si="417"/>
        <v>2.3791868506365922E-2</v>
      </c>
      <c r="U266" s="103">
        <f t="shared" si="417"/>
        <v>2.278312128104663E-2</v>
      </c>
      <c r="V266" s="103">
        <f t="shared" si="417"/>
        <v>2.1916064954919032E-2</v>
      </c>
      <c r="W266" s="103">
        <f t="shared" ref="W266:Y266" si="418">IF(W48=0,0,W48/W$46)</f>
        <v>2.4041335289074286E-2</v>
      </c>
      <c r="X266" s="103">
        <f t="shared" si="418"/>
        <v>2.6424327659969323E-2</v>
      </c>
      <c r="Y266" s="103">
        <f t="shared" si="418"/>
        <v>3.1464730398936304E-2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0.64592482236516835</v>
      </c>
      <c r="C267" s="103">
        <f t="shared" si="419"/>
        <v>0.66380256889326383</v>
      </c>
      <c r="D267" s="103">
        <f t="shared" si="419"/>
        <v>0.67699687761034866</v>
      </c>
      <c r="E267" s="103">
        <f t="shared" si="419"/>
        <v>0.68952532654105414</v>
      </c>
      <c r="F267" s="103">
        <f t="shared" si="419"/>
        <v>0.68367608787627443</v>
      </c>
      <c r="G267" s="103">
        <f t="shared" si="419"/>
        <v>0.68820939918576218</v>
      </c>
      <c r="H267" s="103">
        <f t="shared" si="419"/>
        <v>0.69261044447049491</v>
      </c>
      <c r="I267" s="103">
        <f t="shared" si="419"/>
        <v>0.69307710331049599</v>
      </c>
      <c r="J267" s="103">
        <f t="shared" si="419"/>
        <v>0.69967860545184613</v>
      </c>
      <c r="K267" s="103">
        <f t="shared" si="419"/>
        <v>0.73037726185709029</v>
      </c>
      <c r="L267" s="103">
        <f t="shared" ref="L267" si="420">IF(L49=0,0,L49/L$46)</f>
        <v>0.72807471859016715</v>
      </c>
      <c r="M267" s="103">
        <f t="shared" ref="M267:V267" si="421">IF(M49=0,0,M49/M$46)</f>
        <v>0.73405792811636472</v>
      </c>
      <c r="N267" s="103">
        <f t="shared" si="421"/>
        <v>0.74467948784722604</v>
      </c>
      <c r="O267" s="103">
        <f t="shared" si="421"/>
        <v>0.74416044576318008</v>
      </c>
      <c r="P267" s="103">
        <f t="shared" si="421"/>
        <v>0.74930354413433986</v>
      </c>
      <c r="Q267" s="103">
        <f t="shared" si="421"/>
        <v>0.7636715282279033</v>
      </c>
      <c r="R267" s="103">
        <f t="shared" si="421"/>
        <v>0.75647072393821579</v>
      </c>
      <c r="S267" s="103">
        <f t="shared" si="421"/>
        <v>0.75652081716086228</v>
      </c>
      <c r="T267" s="103">
        <f t="shared" si="421"/>
        <v>0.75837737886875722</v>
      </c>
      <c r="U267" s="103">
        <f t="shared" si="421"/>
        <v>0.75602443318634116</v>
      </c>
      <c r="V267" s="103">
        <f t="shared" si="421"/>
        <v>0.73458253453505928</v>
      </c>
      <c r="W267" s="103">
        <f t="shared" ref="W267:Y267" si="422">IF(W49=0,0,W49/W$46)</f>
        <v>0.75119671471329263</v>
      </c>
      <c r="X267" s="103">
        <f t="shared" si="422"/>
        <v>0.75293516039996478</v>
      </c>
      <c r="Y267" s="103">
        <f t="shared" si="422"/>
        <v>0.75286167911578583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2.7175244146965946E-3</v>
      </c>
      <c r="C268" s="103">
        <f t="shared" si="423"/>
        <v>2.8774533800279526E-3</v>
      </c>
      <c r="D268" s="103">
        <f t="shared" si="423"/>
        <v>2.9465025739822989E-3</v>
      </c>
      <c r="E268" s="103">
        <f t="shared" si="423"/>
        <v>2.9762505903839801E-3</v>
      </c>
      <c r="F268" s="103">
        <f t="shared" si="423"/>
        <v>2.9712332298817345E-3</v>
      </c>
      <c r="G268" s="103">
        <f t="shared" si="423"/>
        <v>3.0584334423899837E-3</v>
      </c>
      <c r="H268" s="103">
        <f t="shared" si="423"/>
        <v>3.2437352384394624E-3</v>
      </c>
      <c r="I268" s="103">
        <f t="shared" si="423"/>
        <v>2.5560601257801525E-3</v>
      </c>
      <c r="J268" s="103">
        <f t="shared" si="423"/>
        <v>2.39516796032953E-3</v>
      </c>
      <c r="K268" s="103">
        <f t="shared" si="423"/>
        <v>2.5754680595855917E-3</v>
      </c>
      <c r="L268" s="103">
        <f t="shared" ref="L268" si="424">IF(L50=0,0,L50/L$46)</f>
        <v>2.4647990432935651E-3</v>
      </c>
      <c r="M268" s="103">
        <f t="shared" ref="M268:V268" si="425">IF(M50=0,0,M50/M$46)</f>
        <v>2.3960246246139795E-3</v>
      </c>
      <c r="N268" s="103">
        <f t="shared" si="425"/>
        <v>2.3058783016967166E-3</v>
      </c>
      <c r="O268" s="103">
        <f t="shared" si="425"/>
        <v>2.2254627409277797E-3</v>
      </c>
      <c r="P268" s="103">
        <f t="shared" si="425"/>
        <v>2.1441087733107544E-3</v>
      </c>
      <c r="Q268" s="103">
        <f t="shared" si="425"/>
        <v>2.1088117769689431E-3</v>
      </c>
      <c r="R268" s="103">
        <f t="shared" si="425"/>
        <v>2.0444193539482852E-3</v>
      </c>
      <c r="S268" s="103">
        <f t="shared" si="425"/>
        <v>1.9435483343786825E-3</v>
      </c>
      <c r="T268" s="103">
        <f t="shared" si="425"/>
        <v>1.6728737570428881E-3</v>
      </c>
      <c r="U268" s="103">
        <f t="shared" si="425"/>
        <v>1.5443074334314621E-3</v>
      </c>
      <c r="V268" s="103">
        <f t="shared" si="425"/>
        <v>1.391447098456894E-3</v>
      </c>
      <c r="W268" s="103">
        <f t="shared" ref="W268:Y268" si="426">IF(W50=0,0,W50/W$46)</f>
        <v>1.4476081210069273E-3</v>
      </c>
      <c r="X268" s="103">
        <f t="shared" si="426"/>
        <v>1.4635906941594453E-3</v>
      </c>
      <c r="Y268" s="103">
        <f t="shared" si="426"/>
        <v>1.6816666701540762E-3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3.42810667134292E-5</v>
      </c>
      <c r="C269" s="103">
        <f t="shared" si="427"/>
        <v>3.1311117257234845E-5</v>
      </c>
      <c r="D269" s="103">
        <f t="shared" si="427"/>
        <v>3.178721504427242E-5</v>
      </c>
      <c r="E269" s="103">
        <f t="shared" si="427"/>
        <v>5.0871379640343726E-5</v>
      </c>
      <c r="F269" s="103">
        <f t="shared" si="427"/>
        <v>4.7245752156650757E-5</v>
      </c>
      <c r="G269" s="103">
        <f t="shared" si="427"/>
        <v>4.5019655970398778E-5</v>
      </c>
      <c r="H269" s="103">
        <f t="shared" si="427"/>
        <v>9.0894837714804034E-5</v>
      </c>
      <c r="I269" s="103">
        <f t="shared" si="427"/>
        <v>8.3388373438031009E-5</v>
      </c>
      <c r="J269" s="103">
        <f t="shared" si="427"/>
        <v>8.4579361401530018E-5</v>
      </c>
      <c r="K269" s="103">
        <f t="shared" si="427"/>
        <v>1.0619981194595629E-4</v>
      </c>
      <c r="L269" s="103">
        <f t="shared" ref="L269" si="428">IF(L51=0,0,L51/L$46)</f>
        <v>1.0023980917350056E-4</v>
      </c>
      <c r="M269" s="103">
        <f t="shared" ref="M269:V269" si="429">IF(M51=0,0,M51/M$46)</f>
        <v>1.2182974137184113E-4</v>
      </c>
      <c r="N269" s="103">
        <f t="shared" si="429"/>
        <v>1.6940553661994666E-4</v>
      </c>
      <c r="O269" s="103">
        <f t="shared" si="429"/>
        <v>2.1683705723954435E-4</v>
      </c>
      <c r="P269" s="103">
        <f t="shared" si="429"/>
        <v>2.4930860732418281E-4</v>
      </c>
      <c r="Q269" s="103">
        <f t="shared" si="429"/>
        <v>2.8155697326033845E-4</v>
      </c>
      <c r="R269" s="103">
        <f t="shared" si="429"/>
        <v>3.1755571740384512E-4</v>
      </c>
      <c r="S269" s="103">
        <f t="shared" si="429"/>
        <v>3.6153615813056553E-4</v>
      </c>
      <c r="T269" s="103">
        <f t="shared" si="429"/>
        <v>9.288852162974428E-4</v>
      </c>
      <c r="U269" s="103">
        <f t="shared" si="429"/>
        <v>8.0118455874426172E-4</v>
      </c>
      <c r="V269" s="103">
        <f t="shared" si="429"/>
        <v>8.35582800311974E-4</v>
      </c>
      <c r="W269" s="103">
        <f t="shared" ref="W269:Y269" si="430">IF(W51=0,0,W51/W$46)</f>
        <v>9.3175461612605417E-4</v>
      </c>
      <c r="X269" s="103">
        <f t="shared" si="430"/>
        <v>9.2338752412551221E-4</v>
      </c>
      <c r="Y269" s="103">
        <f t="shared" si="430"/>
        <v>9.3281548721071072E-4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2.9504131915656745E-4</v>
      </c>
      <c r="C270" s="103">
        <f t="shared" si="431"/>
        <v>3.3590853814672444E-4</v>
      </c>
      <c r="D270" s="103">
        <f t="shared" si="431"/>
        <v>3.5685226317157785E-4</v>
      </c>
      <c r="E270" s="103">
        <f t="shared" si="431"/>
        <v>3.7175848581488547E-4</v>
      </c>
      <c r="F270" s="103">
        <f t="shared" si="431"/>
        <v>3.8100662237695442E-4</v>
      </c>
      <c r="G270" s="103">
        <f t="shared" si="431"/>
        <v>3.769499567545886E-4</v>
      </c>
      <c r="H270" s="103">
        <f t="shared" si="431"/>
        <v>3.7101744532135348E-4</v>
      </c>
      <c r="I270" s="103">
        <f t="shared" si="431"/>
        <v>3.8462364837355803E-4</v>
      </c>
      <c r="J270" s="103">
        <f t="shared" si="431"/>
        <v>3.6420207339617926E-4</v>
      </c>
      <c r="K270" s="103">
        <f t="shared" si="431"/>
        <v>3.9225446821746234E-4</v>
      </c>
      <c r="L270" s="103">
        <f t="shared" ref="L270" si="432">IF(L52=0,0,L52/L$46)</f>
        <v>3.4454051039104692E-4</v>
      </c>
      <c r="M270" s="103">
        <f t="shared" ref="M270:V270" si="433">IF(M52=0,0,M52/M$46)</f>
        <v>4.803472365692406E-4</v>
      </c>
      <c r="N270" s="103">
        <f t="shared" si="433"/>
        <v>5.4752881505896979E-4</v>
      </c>
      <c r="O270" s="103">
        <f t="shared" si="433"/>
        <v>7.2700996178536276E-4</v>
      </c>
      <c r="P270" s="103">
        <f t="shared" si="433"/>
        <v>9.972942973987646E-4</v>
      </c>
      <c r="Q270" s="103">
        <f t="shared" si="433"/>
        <v>1.1652003901478044E-3</v>
      </c>
      <c r="R270" s="103">
        <f t="shared" si="433"/>
        <v>1.5850469857204082E-3</v>
      </c>
      <c r="S270" s="103">
        <f t="shared" si="433"/>
        <v>1.6575235582866519E-3</v>
      </c>
      <c r="T270" s="103">
        <f t="shared" si="433"/>
        <v>2.4574965754105031E-3</v>
      </c>
      <c r="U270" s="103">
        <f t="shared" si="433"/>
        <v>2.8785146658440851E-3</v>
      </c>
      <c r="V270" s="103">
        <f t="shared" si="433"/>
        <v>3.4435309940773874E-3</v>
      </c>
      <c r="W270" s="103">
        <f t="shared" ref="W270:Y270" si="434">IF(W52=0,0,W52/W$46)</f>
        <v>4.0566469234434646E-3</v>
      </c>
      <c r="X270" s="103">
        <f t="shared" si="434"/>
        <v>4.7186292306594432E-3</v>
      </c>
      <c r="Y270" s="103">
        <f t="shared" si="434"/>
        <v>5.9022226565450947E-3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0.23920755355969586</v>
      </c>
      <c r="C271" s="156">
        <f t="shared" si="435"/>
        <v>0.2406237598811678</v>
      </c>
      <c r="D271" s="156">
        <f t="shared" si="435"/>
        <v>0.24334025235162041</v>
      </c>
      <c r="E271" s="156">
        <f t="shared" si="435"/>
        <v>0.24640642389138392</v>
      </c>
      <c r="F271" s="156">
        <f t="shared" si="435"/>
        <v>0.26590083024628436</v>
      </c>
      <c r="G271" s="156">
        <f t="shared" si="435"/>
        <v>0.26900671938467852</v>
      </c>
      <c r="H271" s="156">
        <f t="shared" si="435"/>
        <v>0.27032154393341057</v>
      </c>
      <c r="I271" s="156">
        <f t="shared" si="435"/>
        <v>0.27509333467255892</v>
      </c>
      <c r="J271" s="156">
        <f t="shared" si="435"/>
        <v>0.27137795183776919</v>
      </c>
      <c r="K271" s="156">
        <f t="shared" si="435"/>
        <v>0.2424772466392274</v>
      </c>
      <c r="L271" s="156">
        <f t="shared" ref="L271" si="436">IF(L53=0,0,L53/L$46)</f>
        <v>0.24359537192723271</v>
      </c>
      <c r="M271" s="156">
        <f t="shared" ref="M271:V271" si="437">IF(M53=0,0,M53/M$46)</f>
        <v>0.23522549195051956</v>
      </c>
      <c r="N271" s="156">
        <f t="shared" si="437"/>
        <v>0.22239054640403738</v>
      </c>
      <c r="O271" s="156">
        <f t="shared" si="437"/>
        <v>0.2209979442435549</v>
      </c>
      <c r="P271" s="156">
        <f t="shared" si="437"/>
        <v>0.2191232961412283</v>
      </c>
      <c r="Q271" s="156">
        <f t="shared" si="437"/>
        <v>0.20734339144125397</v>
      </c>
      <c r="R271" s="156">
        <f t="shared" si="437"/>
        <v>0.21495234033327418</v>
      </c>
      <c r="S271" s="156">
        <f t="shared" si="437"/>
        <v>0.21552663539921524</v>
      </c>
      <c r="T271" s="156">
        <f t="shared" si="437"/>
        <v>0.21277149707612589</v>
      </c>
      <c r="U271" s="156">
        <f t="shared" si="437"/>
        <v>0.21596843887459233</v>
      </c>
      <c r="V271" s="156">
        <f t="shared" si="437"/>
        <v>0.23783083961717533</v>
      </c>
      <c r="W271" s="156">
        <f t="shared" ref="W271:Y271" si="438">IF(W53=0,0,W53/W$46)</f>
        <v>0.21832594033705666</v>
      </c>
      <c r="X271" s="156">
        <f t="shared" si="438"/>
        <v>0.21353490449112142</v>
      </c>
      <c r="Y271" s="156">
        <f t="shared" si="438"/>
        <v>0.20715688567136797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0.16711054390957336</v>
      </c>
      <c r="C272" s="104">
        <f t="shared" si="439"/>
        <v>0.16578113228063684</v>
      </c>
      <c r="D272" s="104">
        <f t="shared" si="439"/>
        <v>0.16505020967290562</v>
      </c>
      <c r="E272" s="104">
        <f t="shared" si="439"/>
        <v>0.1660603121153798</v>
      </c>
      <c r="F272" s="104">
        <f t="shared" si="439"/>
        <v>0.17273387651082167</v>
      </c>
      <c r="G272" s="104">
        <f t="shared" si="439"/>
        <v>0.17253746884582485</v>
      </c>
      <c r="H272" s="104">
        <f t="shared" si="439"/>
        <v>0.172483302838568</v>
      </c>
      <c r="I272" s="104">
        <f t="shared" si="439"/>
        <v>0.17642867000383541</v>
      </c>
      <c r="J272" s="104">
        <f t="shared" si="439"/>
        <v>0.17110661752989179</v>
      </c>
      <c r="K272" s="104">
        <f t="shared" si="439"/>
        <v>0.15120398590556591</v>
      </c>
      <c r="L272" s="104">
        <f t="shared" ref="L272" si="440">IF(L54=0,0,L54/L$46)</f>
        <v>0.15406936054622067</v>
      </c>
      <c r="M272" s="104">
        <f t="shared" ref="M272:V272" si="441">IF(M54=0,0,M54/M$46)</f>
        <v>0.15346955981293842</v>
      </c>
      <c r="N272" s="104">
        <f t="shared" si="441"/>
        <v>0.14217662042572582</v>
      </c>
      <c r="O272" s="104">
        <f t="shared" si="441"/>
        <v>0.13840929775922722</v>
      </c>
      <c r="P272" s="104">
        <f t="shared" si="441"/>
        <v>0.1362215460841395</v>
      </c>
      <c r="Q272" s="104">
        <f t="shared" si="441"/>
        <v>0.12519465433228666</v>
      </c>
      <c r="R272" s="104">
        <f t="shared" si="441"/>
        <v>0.12976289953631975</v>
      </c>
      <c r="S272" s="104">
        <f t="shared" si="441"/>
        <v>0.12828280722864943</v>
      </c>
      <c r="T272" s="104">
        <f t="shared" si="441"/>
        <v>0.12620979629800064</v>
      </c>
      <c r="U272" s="104">
        <f t="shared" si="441"/>
        <v>0.1269864984520668</v>
      </c>
      <c r="V272" s="104">
        <f t="shared" si="441"/>
        <v>0.13940331511343612</v>
      </c>
      <c r="W272" s="104">
        <f t="shared" ref="W272:Y272" si="442">IF(W54=0,0,W54/W$46)</f>
        <v>0.12589197748847036</v>
      </c>
      <c r="X272" s="104">
        <f t="shared" si="442"/>
        <v>0.12251159694763697</v>
      </c>
      <c r="Y272" s="104">
        <f t="shared" si="442"/>
        <v>0.11944078616950921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7.2097009650122529E-2</v>
      </c>
      <c r="C273" s="105">
        <f t="shared" si="443"/>
        <v>7.4842627600530939E-2</v>
      </c>
      <c r="D273" s="105">
        <f t="shared" si="443"/>
        <v>7.8290042678714797E-2</v>
      </c>
      <c r="E273" s="105">
        <f t="shared" si="443"/>
        <v>8.034611177600412E-2</v>
      </c>
      <c r="F273" s="105">
        <f t="shared" si="443"/>
        <v>9.3166953735462701E-2</v>
      </c>
      <c r="G273" s="105">
        <f t="shared" si="443"/>
        <v>9.646925053885369E-2</v>
      </c>
      <c r="H273" s="105">
        <f t="shared" si="443"/>
        <v>9.7838241094842557E-2</v>
      </c>
      <c r="I273" s="105">
        <f t="shared" si="443"/>
        <v>9.866466466872352E-2</v>
      </c>
      <c r="J273" s="105">
        <f t="shared" si="443"/>
        <v>0.10027133430787742</v>
      </c>
      <c r="K273" s="105">
        <f t="shared" si="443"/>
        <v>9.127326073366146E-2</v>
      </c>
      <c r="L273" s="105">
        <f t="shared" ref="L273" si="444">IF(L55=0,0,L55/L$46)</f>
        <v>8.9526011381012058E-2</v>
      </c>
      <c r="M273" s="105">
        <f t="shared" ref="M273:V273" si="445">IF(M55=0,0,M55/M$46)</f>
        <v>8.175593213758113E-2</v>
      </c>
      <c r="N273" s="105">
        <f t="shared" si="445"/>
        <v>8.0213925978311576E-2</v>
      </c>
      <c r="O273" s="105">
        <f t="shared" si="445"/>
        <v>8.2588646484327705E-2</v>
      </c>
      <c r="P273" s="105">
        <f t="shared" si="445"/>
        <v>8.2901750057088802E-2</v>
      </c>
      <c r="Q273" s="105">
        <f t="shared" si="445"/>
        <v>8.2148737108967293E-2</v>
      </c>
      <c r="R273" s="105">
        <f t="shared" si="445"/>
        <v>8.5189440796954424E-2</v>
      </c>
      <c r="S273" s="105">
        <f t="shared" si="445"/>
        <v>8.7243828170565807E-2</v>
      </c>
      <c r="T273" s="105">
        <f t="shared" si="445"/>
        <v>8.6561700778125264E-2</v>
      </c>
      <c r="U273" s="105">
        <f t="shared" si="445"/>
        <v>8.898194042252551E-2</v>
      </c>
      <c r="V273" s="105">
        <f t="shared" si="445"/>
        <v>9.8427524503739205E-2</v>
      </c>
      <c r="W273" s="105">
        <f t="shared" ref="W273:Y273" si="446">IF(W55=0,0,W55/W$46)</f>
        <v>9.2433962848586321E-2</v>
      </c>
      <c r="X273" s="105">
        <f t="shared" si="446"/>
        <v>9.102330754348445E-2</v>
      </c>
      <c r="Y273" s="105">
        <f t="shared" si="446"/>
        <v>8.7716099501858769E-2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42509.468839529742</v>
      </c>
      <c r="C4" s="145">
        <f t="shared" si="0"/>
        <v>43205.692140191837</v>
      </c>
      <c r="D4" s="145">
        <f t="shared" si="0"/>
        <v>43218.25321758831</v>
      </c>
      <c r="E4" s="145">
        <f t="shared" si="0"/>
        <v>42378.866159056488</v>
      </c>
      <c r="F4" s="145">
        <f t="shared" si="0"/>
        <v>42416.234356804118</v>
      </c>
      <c r="G4" s="145">
        <f t="shared" si="0"/>
        <v>41956.62588844834</v>
      </c>
      <c r="H4" s="145">
        <f t="shared" si="0"/>
        <v>42132.697335535617</v>
      </c>
      <c r="I4" s="145">
        <f t="shared" si="0"/>
        <v>42531.588844527389</v>
      </c>
      <c r="J4" s="145">
        <f t="shared" si="0"/>
        <v>41419.736860661942</v>
      </c>
      <c r="K4" s="145">
        <f t="shared" si="0"/>
        <v>41170.786653694304</v>
      </c>
      <c r="L4" s="145">
        <f t="shared" ref="L4" si="1">L5+L9+L10+L15</f>
        <v>41231.82555211016</v>
      </c>
      <c r="M4" s="145">
        <f t="shared" ref="M4:V4" si="2">M5+M9+M10+M15</f>
        <v>43209.375678572003</v>
      </c>
      <c r="N4" s="145">
        <f t="shared" si="2"/>
        <v>42700.241439536949</v>
      </c>
      <c r="O4" s="145">
        <f t="shared" si="2"/>
        <v>42550.524026287225</v>
      </c>
      <c r="P4" s="145">
        <f t="shared" si="2"/>
        <v>42642.556639873343</v>
      </c>
      <c r="Q4" s="145">
        <f t="shared" si="2"/>
        <v>43208.602630712936</v>
      </c>
      <c r="R4" s="145">
        <f t="shared" si="2"/>
        <v>43434.275814368404</v>
      </c>
      <c r="S4" s="145">
        <f t="shared" si="2"/>
        <v>43625.981805401607</v>
      </c>
      <c r="T4" s="145">
        <f t="shared" si="2"/>
        <v>42863.19574434009</v>
      </c>
      <c r="U4" s="145">
        <f t="shared" si="2"/>
        <v>42601.913615437086</v>
      </c>
      <c r="V4" s="145">
        <f t="shared" si="2"/>
        <v>36251.005330310138</v>
      </c>
      <c r="W4" s="145">
        <f t="shared" ref="W4:Y4" si="3">W5+W9+W10+W15</f>
        <v>41105.938327972675</v>
      </c>
      <c r="X4" s="145">
        <f t="shared" si="3"/>
        <v>42137.526068075771</v>
      </c>
      <c r="Y4" s="145">
        <f t="shared" si="3"/>
        <v>41238.513677412964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42179.922613929491</v>
      </c>
      <c r="C5" s="97">
        <f t="shared" si="4"/>
        <v>42867.562338779018</v>
      </c>
      <c r="D5" s="97">
        <f t="shared" si="4"/>
        <v>42863.843422184</v>
      </c>
      <c r="E5" s="97">
        <f t="shared" si="4"/>
        <v>42046.340670679274</v>
      </c>
      <c r="F5" s="97">
        <f t="shared" si="4"/>
        <v>42053.327429062774</v>
      </c>
      <c r="G5" s="97">
        <f t="shared" si="4"/>
        <v>41352.386500429922</v>
      </c>
      <c r="H5" s="97">
        <f t="shared" si="4"/>
        <v>41400.325107480647</v>
      </c>
      <c r="I5" s="97">
        <f t="shared" si="4"/>
        <v>41077.780997420465</v>
      </c>
      <c r="J5" s="97">
        <f t="shared" si="4"/>
        <v>39091.875494411004</v>
      </c>
      <c r="K5" s="97">
        <f t="shared" si="4"/>
        <v>38675.715907136706</v>
      </c>
      <c r="L5" s="97">
        <f t="shared" ref="L5" si="5">SUM(L6:L8)</f>
        <v>38778.446775580385</v>
      </c>
      <c r="M5" s="97">
        <f t="shared" ref="M5:V5" si="6">SUM(M6:M8)</f>
        <v>40704.241014617364</v>
      </c>
      <c r="N5" s="97">
        <f t="shared" si="6"/>
        <v>39938.873086844367</v>
      </c>
      <c r="O5" s="97">
        <f t="shared" si="6"/>
        <v>39767.18159931212</v>
      </c>
      <c r="P5" s="97">
        <f t="shared" si="6"/>
        <v>39581.027257093716</v>
      </c>
      <c r="Q5" s="97">
        <f t="shared" si="6"/>
        <v>40098.517282889079</v>
      </c>
      <c r="R5" s="97">
        <f t="shared" si="6"/>
        <v>40326.566208082542</v>
      </c>
      <c r="S5" s="97">
        <f t="shared" si="6"/>
        <v>40361.777214101458</v>
      </c>
      <c r="T5" s="97">
        <f t="shared" si="6"/>
        <v>39572.9524505589</v>
      </c>
      <c r="U5" s="97">
        <f t="shared" si="6"/>
        <v>39205.315219260527</v>
      </c>
      <c r="V5" s="97">
        <f t="shared" si="6"/>
        <v>33335.676526225274</v>
      </c>
      <c r="W5" s="97">
        <f t="shared" ref="W5:Y5" si="7">SUM(W6:W8)</f>
        <v>37807.836973344791</v>
      </c>
      <c r="X5" s="97">
        <f t="shared" si="7"/>
        <v>38540.30008598452</v>
      </c>
      <c r="Y5" s="97">
        <f t="shared" si="7"/>
        <v>37387.67033533963</v>
      </c>
      <c r="DA5" s="175"/>
    </row>
    <row r="6" spans="1:105" ht="11.45" customHeight="1" x14ac:dyDescent="0.25">
      <c r="A6" s="128" t="s">
        <v>52</v>
      </c>
      <c r="B6" s="97">
        <v>245.153826311264</v>
      </c>
      <c r="C6" s="97">
        <v>237.24565778159931</v>
      </c>
      <c r="D6" s="97">
        <v>212.39131556319859</v>
      </c>
      <c r="E6" s="97">
        <v>182.38271711092</v>
      </c>
      <c r="F6" s="97">
        <v>165.90232158211521</v>
      </c>
      <c r="G6" s="97">
        <v>152.71805674978501</v>
      </c>
      <c r="H6" s="97">
        <v>142.82983662940671</v>
      </c>
      <c r="I6" s="97">
        <v>129.64557179707651</v>
      </c>
      <c r="J6" s="97">
        <v>121.9546861564918</v>
      </c>
      <c r="K6" s="97">
        <v>108.7704213241616</v>
      </c>
      <c r="L6" s="97">
        <v>126.34944110060189</v>
      </c>
      <c r="M6" s="97">
        <v>138.98770421324161</v>
      </c>
      <c r="N6" s="97">
        <v>126.6747205503009</v>
      </c>
      <c r="O6" s="97">
        <v>112.2653482373173</v>
      </c>
      <c r="P6" s="97">
        <v>100.2511607910576</v>
      </c>
      <c r="Q6" s="97">
        <v>89.019260533104045</v>
      </c>
      <c r="R6" s="97">
        <v>80.133018056749776</v>
      </c>
      <c r="S6" s="97">
        <v>70.708426483233012</v>
      </c>
      <c r="T6" s="97">
        <v>62.056233877901981</v>
      </c>
      <c r="U6" s="97">
        <v>57.808770421324162</v>
      </c>
      <c r="V6" s="97">
        <v>39.0079105760963</v>
      </c>
      <c r="W6" s="97">
        <v>54.680739466895957</v>
      </c>
      <c r="X6" s="97">
        <v>91.873688736027503</v>
      </c>
      <c r="Y6" s="97">
        <v>113.0761822871883</v>
      </c>
      <c r="DA6" s="175" t="s">
        <v>630</v>
      </c>
    </row>
    <row r="7" spans="1:105" ht="11.45" customHeight="1" x14ac:dyDescent="0.25">
      <c r="A7" s="128" t="s">
        <v>53</v>
      </c>
      <c r="B7" s="97">
        <v>14202.706104901121</v>
      </c>
      <c r="C7" s="97">
        <v>13826.026999140149</v>
      </c>
      <c r="D7" s="97">
        <v>13321.319346517619</v>
      </c>
      <c r="E7" s="97">
        <v>12381.68091143594</v>
      </c>
      <c r="F7" s="97">
        <v>11711.207996560621</v>
      </c>
      <c r="G7" s="97">
        <v>10945.103267411871</v>
      </c>
      <c r="H7" s="97">
        <v>10203.169303525359</v>
      </c>
      <c r="I7" s="97">
        <v>9465.4388650042983</v>
      </c>
      <c r="J7" s="97">
        <v>8402.9809114359414</v>
      </c>
      <c r="K7" s="97">
        <v>8081.406104901117</v>
      </c>
      <c r="L7" s="97">
        <v>7430.9001719690459</v>
      </c>
      <c r="M7" s="97">
        <v>7586.9754944110045</v>
      </c>
      <c r="N7" s="97">
        <v>7028.3397248495266</v>
      </c>
      <c r="O7" s="97">
        <v>6787.3788478073939</v>
      </c>
      <c r="P7" s="97">
        <v>6751.2595012897673</v>
      </c>
      <c r="Q7" s="97">
        <v>6851.9232158211516</v>
      </c>
      <c r="R7" s="97">
        <v>7026.6815133276004</v>
      </c>
      <c r="S7" s="97">
        <v>7219.7388650042994</v>
      </c>
      <c r="T7" s="97">
        <v>7463.0373172828886</v>
      </c>
      <c r="U7" s="97">
        <v>7970.2350816852959</v>
      </c>
      <c r="V7" s="97">
        <v>6869.0373172828886</v>
      </c>
      <c r="W7" s="97">
        <v>8250.1779879621663</v>
      </c>
      <c r="X7" s="97">
        <v>9026.8864144453983</v>
      </c>
      <c r="Y7" s="97">
        <v>9617.5687016337051</v>
      </c>
      <c r="DA7" s="175" t="s">
        <v>631</v>
      </c>
    </row>
    <row r="8" spans="1:105" ht="11.45" customHeight="1" x14ac:dyDescent="0.25">
      <c r="A8" s="128" t="s">
        <v>54</v>
      </c>
      <c r="B8" s="97">
        <v>27732.062682717111</v>
      </c>
      <c r="C8" s="97">
        <v>28804.28968185727</v>
      </c>
      <c r="D8" s="97">
        <v>29330.132760103181</v>
      </c>
      <c r="E8" s="97">
        <v>29482.277042132409</v>
      </c>
      <c r="F8" s="97">
        <v>30176.217110920039</v>
      </c>
      <c r="G8" s="97">
        <v>30254.565176268268</v>
      </c>
      <c r="H8" s="97">
        <v>31054.32596732588</v>
      </c>
      <c r="I8" s="97">
        <v>31482.69656061909</v>
      </c>
      <c r="J8" s="97">
        <v>30566.939896818571</v>
      </c>
      <c r="K8" s="97">
        <v>30485.539380911428</v>
      </c>
      <c r="L8" s="97">
        <v>31221.19716251074</v>
      </c>
      <c r="M8" s="97">
        <v>32978.277815993119</v>
      </c>
      <c r="N8" s="97">
        <v>32783.858641444538</v>
      </c>
      <c r="O8" s="97">
        <v>32867.537403267408</v>
      </c>
      <c r="P8" s="97">
        <v>32729.51659501289</v>
      </c>
      <c r="Q8" s="97">
        <v>33157.574806534823</v>
      </c>
      <c r="R8" s="97">
        <v>33219.751676698193</v>
      </c>
      <c r="S8" s="97">
        <v>33071.329922613928</v>
      </c>
      <c r="T8" s="97">
        <v>32047.85889939811</v>
      </c>
      <c r="U8" s="97">
        <v>31177.27136715391</v>
      </c>
      <c r="V8" s="97">
        <v>26427.63129836629</v>
      </c>
      <c r="W8" s="97">
        <v>29502.978245915729</v>
      </c>
      <c r="X8" s="97">
        <v>29421.53998280309</v>
      </c>
      <c r="Y8" s="97">
        <v>27657.02545141874</v>
      </c>
      <c r="DA8" s="175" t="s">
        <v>632</v>
      </c>
    </row>
    <row r="9" spans="1:105" ht="11.45" customHeight="1" x14ac:dyDescent="0.25">
      <c r="A9" s="92" t="s">
        <v>55</v>
      </c>
      <c r="B9" s="97">
        <v>0.64488392089423896</v>
      </c>
      <c r="C9" s="97">
        <v>8.0395528804815122</v>
      </c>
      <c r="D9" s="97">
        <v>9.3723129836629404</v>
      </c>
      <c r="E9" s="97">
        <v>13.13404987102321</v>
      </c>
      <c r="F9" s="97">
        <v>14.72493551160791</v>
      </c>
      <c r="G9" s="97">
        <v>16.2079105760963</v>
      </c>
      <c r="H9" s="97">
        <v>21.43155631986242</v>
      </c>
      <c r="I9" s="97">
        <v>24.096904557179709</v>
      </c>
      <c r="J9" s="97">
        <v>29.471023215821148</v>
      </c>
      <c r="K9" s="97">
        <v>29.470851246775581</v>
      </c>
      <c r="L9" s="97">
        <v>30.80438521066208</v>
      </c>
      <c r="M9" s="97">
        <v>70.946861564918308</v>
      </c>
      <c r="N9" s="97">
        <v>79.061258964359297</v>
      </c>
      <c r="O9" s="97">
        <v>88.649101230283293</v>
      </c>
      <c r="P9" s="97">
        <v>96.209178565046642</v>
      </c>
      <c r="Q9" s="97">
        <v>99.229774528923315</v>
      </c>
      <c r="R9" s="97">
        <v>103.91697824526631</v>
      </c>
      <c r="S9" s="97">
        <v>112.59893550630974</v>
      </c>
      <c r="T9" s="97">
        <v>130.05766655386208</v>
      </c>
      <c r="U9" s="97">
        <v>158.98764731245285</v>
      </c>
      <c r="V9" s="97">
        <v>188.86048543658538</v>
      </c>
      <c r="W9" s="97">
        <v>264.39405465441411</v>
      </c>
      <c r="X9" s="97">
        <v>308.75556228165101</v>
      </c>
      <c r="Y9" s="97">
        <v>346.02155660821768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326.45460017196905</v>
      </c>
      <c r="C10" s="97">
        <f t="shared" ref="C10:W10" si="8">SUM(C11:C13)</f>
        <v>327.48159931212376</v>
      </c>
      <c r="D10" s="97">
        <f t="shared" si="8"/>
        <v>342.19449699054172</v>
      </c>
      <c r="E10" s="97">
        <f t="shared" si="8"/>
        <v>316.37523645743772</v>
      </c>
      <c r="F10" s="97">
        <f t="shared" si="8"/>
        <v>344.98899398108341</v>
      </c>
      <c r="G10" s="97">
        <f t="shared" si="8"/>
        <v>584.88581255374027</v>
      </c>
      <c r="H10" s="97">
        <f t="shared" si="8"/>
        <v>707.86758383490974</v>
      </c>
      <c r="I10" s="97">
        <f t="shared" si="8"/>
        <v>1426.6981943250212</v>
      </c>
      <c r="J10" s="97">
        <f t="shared" si="8"/>
        <v>2295.0702493551157</v>
      </c>
      <c r="K10" s="97">
        <f t="shared" si="8"/>
        <v>2462.3817712811688</v>
      </c>
      <c r="L10" s="97">
        <f t="shared" si="8"/>
        <v>2419.5561478933787</v>
      </c>
      <c r="M10" s="97">
        <f t="shared" si="8"/>
        <v>2430.6059329320724</v>
      </c>
      <c r="N10" s="97">
        <f t="shared" si="8"/>
        <v>2678.1039173039126</v>
      </c>
      <c r="O10" s="97">
        <f t="shared" si="8"/>
        <v>2687.226909087859</v>
      </c>
      <c r="P10" s="97">
        <f t="shared" si="8"/>
        <v>2955.349032956879</v>
      </c>
      <c r="Q10" s="97">
        <f t="shared" si="8"/>
        <v>2996.2925814470009</v>
      </c>
      <c r="R10" s="97">
        <f t="shared" si="8"/>
        <v>2982.6962633712415</v>
      </c>
      <c r="S10" s="97">
        <f t="shared" si="8"/>
        <v>3123.6114686209471</v>
      </c>
      <c r="T10" s="97">
        <f t="shared" si="8"/>
        <v>3121.3414736009095</v>
      </c>
      <c r="U10" s="97">
        <f t="shared" si="8"/>
        <v>3181.4668668749928</v>
      </c>
      <c r="V10" s="97">
        <f t="shared" si="8"/>
        <v>2642.7832806855122</v>
      </c>
      <c r="W10" s="97">
        <f t="shared" si="8"/>
        <v>2872.4435205820428</v>
      </c>
      <c r="X10" s="97">
        <f t="shared" ref="X10:Y10" si="9">SUM(X11:X13)</f>
        <v>3047.491557236835</v>
      </c>
      <c r="Y10" s="97">
        <f t="shared" si="9"/>
        <v>3179.678013469168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9.0784561489850538E-4</v>
      </c>
      <c r="O11" s="97">
        <v>2.4894833882443054E-3</v>
      </c>
      <c r="P11" s="97">
        <v>7.3304633282450784E-3</v>
      </c>
      <c r="Q11" s="97">
        <v>1.8462788359572553E-2</v>
      </c>
      <c r="R11" s="97">
        <v>4.6048409935694042E-2</v>
      </c>
      <c r="S11" s="97">
        <v>9.4357700912945514E-2</v>
      </c>
      <c r="T11" s="97">
        <v>0.20131882876901191</v>
      </c>
      <c r="U11" s="97">
        <v>0.4174257743915335</v>
      </c>
      <c r="V11" s="97">
        <v>0.95481980847052561</v>
      </c>
      <c r="W11" s="97">
        <v>2.4835033851388189</v>
      </c>
      <c r="X11" s="97">
        <v>5.1389347088907051</v>
      </c>
      <c r="Y11" s="97">
        <v>8.6243591269499031</v>
      </c>
      <c r="DA11" s="175" t="s">
        <v>634</v>
      </c>
    </row>
    <row r="12" spans="1:105" ht="11.45" customHeight="1" x14ac:dyDescent="0.25">
      <c r="A12" s="128" t="s">
        <v>58</v>
      </c>
      <c r="B12" s="97">
        <v>58.684436801375753</v>
      </c>
      <c r="C12" s="97">
        <v>53.52536543422184</v>
      </c>
      <c r="D12" s="97">
        <v>56.749785038693027</v>
      </c>
      <c r="E12" s="97">
        <v>47.721410146173689</v>
      </c>
      <c r="F12" s="97">
        <v>51.59071367153912</v>
      </c>
      <c r="G12" s="97">
        <v>100.60189165950131</v>
      </c>
      <c r="H12" s="97">
        <v>143.16423043852109</v>
      </c>
      <c r="I12" s="97">
        <v>273.43078245915729</v>
      </c>
      <c r="J12" s="97">
        <v>436.58641444539978</v>
      </c>
      <c r="K12" s="97">
        <v>402.40756663800511</v>
      </c>
      <c r="L12" s="97">
        <v>398.5382631126397</v>
      </c>
      <c r="M12" s="97">
        <v>391.18340498710228</v>
      </c>
      <c r="N12" s="97">
        <v>402.61908856405847</v>
      </c>
      <c r="O12" s="97">
        <v>393.54625967325882</v>
      </c>
      <c r="P12" s="97">
        <v>414.11779879621662</v>
      </c>
      <c r="Q12" s="97">
        <v>433.84402407566631</v>
      </c>
      <c r="R12" s="97">
        <v>473.9818572656921</v>
      </c>
      <c r="S12" s="97">
        <v>539.40395528804811</v>
      </c>
      <c r="T12" s="97">
        <v>585.98211521926044</v>
      </c>
      <c r="U12" s="97">
        <v>653.43877901977646</v>
      </c>
      <c r="V12" s="97">
        <v>565.20490111779873</v>
      </c>
      <c r="W12" s="97">
        <v>716.38314703353387</v>
      </c>
      <c r="X12" s="97">
        <v>849.54892519346515</v>
      </c>
      <c r="Y12" s="97">
        <v>844.67798796216675</v>
      </c>
      <c r="DA12" s="175" t="s">
        <v>635</v>
      </c>
    </row>
    <row r="13" spans="1:105" ht="11.45" customHeight="1" x14ac:dyDescent="0.25">
      <c r="A13" s="128" t="s">
        <v>177</v>
      </c>
      <c r="B13" s="97">
        <v>267.77016337059331</v>
      </c>
      <c r="C13" s="97">
        <v>273.95623387790192</v>
      </c>
      <c r="D13" s="97">
        <v>285.44471195184872</v>
      </c>
      <c r="E13" s="97">
        <v>268.65382631126403</v>
      </c>
      <c r="F13" s="97">
        <v>293.3982803095443</v>
      </c>
      <c r="G13" s="97">
        <v>484.28392089423897</v>
      </c>
      <c r="H13" s="97">
        <v>564.70335339638859</v>
      </c>
      <c r="I13" s="97">
        <v>1153.267411865864</v>
      </c>
      <c r="J13" s="97">
        <v>1858.4838349097161</v>
      </c>
      <c r="K13" s="97">
        <v>2059.9742046431638</v>
      </c>
      <c r="L13" s="97">
        <v>2021.017884780739</v>
      </c>
      <c r="M13" s="97">
        <v>2039.4225279449699</v>
      </c>
      <c r="N13" s="97">
        <v>2275.483920894239</v>
      </c>
      <c r="O13" s="97">
        <v>2293.6781599312121</v>
      </c>
      <c r="P13" s="97">
        <v>2541.2239036973342</v>
      </c>
      <c r="Q13" s="97">
        <v>2562.430094582975</v>
      </c>
      <c r="R13" s="97">
        <v>2508.6683576956138</v>
      </c>
      <c r="S13" s="97">
        <v>2584.113155631986</v>
      </c>
      <c r="T13" s="97">
        <v>2535.1580395528799</v>
      </c>
      <c r="U13" s="97">
        <v>2527.610662080825</v>
      </c>
      <c r="V13" s="97">
        <v>2076.6235597592431</v>
      </c>
      <c r="W13" s="97">
        <v>2153.5768701633701</v>
      </c>
      <c r="X13" s="97">
        <v>2192.8036973344792</v>
      </c>
      <c r="Y13" s="97">
        <v>2326.3756663800514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2.4467415073826495</v>
      </c>
      <c r="C15" s="98">
        <v>2.6086492202163822</v>
      </c>
      <c r="D15" s="98">
        <v>2.8429854300999882</v>
      </c>
      <c r="E15" s="98">
        <v>3.0162020487563916</v>
      </c>
      <c r="F15" s="98">
        <v>3.1929982486516657</v>
      </c>
      <c r="G15" s="98">
        <v>3.145664888589403</v>
      </c>
      <c r="H15" s="98">
        <v>3.0730879001994076</v>
      </c>
      <c r="I15" s="98">
        <v>3.0127482247291804</v>
      </c>
      <c r="J15" s="98">
        <v>3.3200936800056198</v>
      </c>
      <c r="K15" s="98">
        <v>3.218124029646301</v>
      </c>
      <c r="L15" s="98">
        <v>3.0182434257325652</v>
      </c>
      <c r="M15" s="98">
        <v>3.5818694576523669</v>
      </c>
      <c r="N15" s="98">
        <v>4.2031764243140701</v>
      </c>
      <c r="O15" s="98">
        <v>7.4664166569557162</v>
      </c>
      <c r="P15" s="98">
        <v>9.9711712576961098</v>
      </c>
      <c r="Q15" s="98">
        <v>14.562991847933491</v>
      </c>
      <c r="R15" s="98">
        <v>21.096364669356156</v>
      </c>
      <c r="S15" s="98">
        <v>27.994187172894847</v>
      </c>
      <c r="T15" s="98">
        <v>38.844153626424074</v>
      </c>
      <c r="U15" s="98">
        <v>56.143881989109275</v>
      </c>
      <c r="V15" s="98">
        <v>83.685037962764056</v>
      </c>
      <c r="W15" s="98">
        <v>161.26377939143487</v>
      </c>
      <c r="X15" s="98">
        <v>240.97886257277042</v>
      </c>
      <c r="Y15" s="98">
        <v>325.14377199595106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42509.468839529742</v>
      </c>
      <c r="C17" s="79">
        <f t="shared" si="10"/>
        <v>43205.692140191844</v>
      </c>
      <c r="D17" s="79">
        <f t="shared" si="10"/>
        <v>43218.253217588295</v>
      </c>
      <c r="E17" s="79">
        <f t="shared" si="10"/>
        <v>42378.866159056488</v>
      </c>
      <c r="F17" s="79">
        <f t="shared" si="10"/>
        <v>42416.234356804118</v>
      </c>
      <c r="G17" s="79">
        <f t="shared" si="10"/>
        <v>41956.625888448354</v>
      </c>
      <c r="H17" s="79">
        <f t="shared" si="10"/>
        <v>42132.697335535617</v>
      </c>
      <c r="I17" s="79">
        <f t="shared" si="10"/>
        <v>42531.588844527396</v>
      </c>
      <c r="J17" s="79">
        <f t="shared" si="10"/>
        <v>41419.736860661957</v>
      </c>
      <c r="K17" s="79">
        <f t="shared" si="10"/>
        <v>41170.786653694304</v>
      </c>
      <c r="L17" s="79">
        <f t="shared" ref="L17" si="11">L18+L42</f>
        <v>41231.82555211016</v>
      </c>
      <c r="M17" s="79">
        <f t="shared" ref="M17:V17" si="12">M18+M42</f>
        <v>43209.375678572011</v>
      </c>
      <c r="N17" s="79">
        <f t="shared" si="12"/>
        <v>42700.241439536949</v>
      </c>
      <c r="O17" s="79">
        <f t="shared" si="12"/>
        <v>42550.524026287218</v>
      </c>
      <c r="P17" s="79">
        <f t="shared" si="12"/>
        <v>42642.556639873335</v>
      </c>
      <c r="Q17" s="79">
        <f t="shared" si="12"/>
        <v>43208.602630712936</v>
      </c>
      <c r="R17" s="79">
        <f t="shared" si="12"/>
        <v>43434.275814368404</v>
      </c>
      <c r="S17" s="79">
        <f t="shared" si="12"/>
        <v>43625.981805401607</v>
      </c>
      <c r="T17" s="79">
        <f t="shared" si="12"/>
        <v>42863.195744340104</v>
      </c>
      <c r="U17" s="79">
        <f t="shared" si="12"/>
        <v>42601.913615437086</v>
      </c>
      <c r="V17" s="79">
        <f t="shared" si="12"/>
        <v>36251.00533031013</v>
      </c>
      <c r="W17" s="79">
        <f t="shared" ref="W17:Y17" si="13">W18+W42</f>
        <v>41105.93832797269</v>
      </c>
      <c r="X17" s="79">
        <f t="shared" si="13"/>
        <v>42137.526068075778</v>
      </c>
      <c r="Y17" s="79">
        <f t="shared" si="13"/>
        <v>41238.513677412971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27336.190273391661</v>
      </c>
      <c r="C18" s="32">
        <f t="shared" si="14"/>
        <v>27940.280490677498</v>
      </c>
      <c r="D18" s="32">
        <f t="shared" si="14"/>
        <v>28034.45151522756</v>
      </c>
      <c r="E18" s="32">
        <f t="shared" si="14"/>
        <v>27517.449929400998</v>
      </c>
      <c r="F18" s="32">
        <f t="shared" si="14"/>
        <v>27146.560312314788</v>
      </c>
      <c r="G18" s="32">
        <f t="shared" si="14"/>
        <v>26778.548643793631</v>
      </c>
      <c r="H18" s="32">
        <f t="shared" si="14"/>
        <v>26941.681755551999</v>
      </c>
      <c r="I18" s="32">
        <f t="shared" si="14"/>
        <v>27231.573271536414</v>
      </c>
      <c r="J18" s="32">
        <f t="shared" si="14"/>
        <v>26781.872790136425</v>
      </c>
      <c r="K18" s="32">
        <f t="shared" si="14"/>
        <v>27342.035307422706</v>
      </c>
      <c r="L18" s="32">
        <f t="shared" ref="L18" si="15">L19+L21+L33</f>
        <v>27012.10624118966</v>
      </c>
      <c r="M18" s="32">
        <f t="shared" ref="M18:V18" si="16">M19+M21+M33</f>
        <v>28465.640113049256</v>
      </c>
      <c r="N18" s="32">
        <f t="shared" si="16"/>
        <v>28339.699979085857</v>
      </c>
      <c r="O18" s="32">
        <f t="shared" si="16"/>
        <v>28089.217418203367</v>
      </c>
      <c r="P18" s="32">
        <f t="shared" si="16"/>
        <v>28336.910282459914</v>
      </c>
      <c r="Q18" s="32">
        <f t="shared" si="16"/>
        <v>28859.90658011939</v>
      </c>
      <c r="R18" s="32">
        <f t="shared" si="16"/>
        <v>28912.486669007005</v>
      </c>
      <c r="S18" s="32">
        <f t="shared" si="16"/>
        <v>28752.86031874023</v>
      </c>
      <c r="T18" s="32">
        <f t="shared" si="16"/>
        <v>28160.803584918998</v>
      </c>
      <c r="U18" s="32">
        <f t="shared" si="16"/>
        <v>27857.957191318281</v>
      </c>
      <c r="V18" s="32">
        <f t="shared" si="16"/>
        <v>22751.668458295524</v>
      </c>
      <c r="W18" s="32">
        <f t="shared" ref="W18:Y18" si="17">W19+W21+W33</f>
        <v>26077.850273821572</v>
      </c>
      <c r="X18" s="32">
        <f t="shared" si="17"/>
        <v>27424.653983679105</v>
      </c>
      <c r="Y18" s="32">
        <f t="shared" si="17"/>
        <v>27008.128735269562</v>
      </c>
      <c r="DA18" s="173" t="s">
        <v>391</v>
      </c>
    </row>
    <row r="19" spans="1:105" ht="11.45" customHeight="1" x14ac:dyDescent="0.25">
      <c r="A19" s="107" t="s">
        <v>174</v>
      </c>
      <c r="B19" s="129">
        <v>358.97725679812822</v>
      </c>
      <c r="C19" s="129">
        <v>392.00871788119127</v>
      </c>
      <c r="D19" s="129">
        <v>434.14121124401288</v>
      </c>
      <c r="E19" s="129">
        <v>433.02885472353006</v>
      </c>
      <c r="F19" s="129">
        <v>459.6303993806107</v>
      </c>
      <c r="G19" s="129">
        <v>469.45092425203438</v>
      </c>
      <c r="H19" s="129">
        <v>468.39947155285245</v>
      </c>
      <c r="I19" s="129">
        <v>484.47478334015887</v>
      </c>
      <c r="J19" s="129">
        <v>509.9518327514437</v>
      </c>
      <c r="K19" s="129">
        <v>526.30686124683643</v>
      </c>
      <c r="L19" s="129">
        <v>522.75016851754356</v>
      </c>
      <c r="M19" s="129">
        <v>519.52251816256114</v>
      </c>
      <c r="N19" s="129">
        <v>520.84567599919444</v>
      </c>
      <c r="O19" s="129">
        <v>526.98508492547421</v>
      </c>
      <c r="P19" s="129">
        <v>537.93017711589732</v>
      </c>
      <c r="Q19" s="129">
        <v>540.84564517635158</v>
      </c>
      <c r="R19" s="129">
        <v>500.04255237665797</v>
      </c>
      <c r="S19" s="129">
        <v>475.06450384937256</v>
      </c>
      <c r="T19" s="129">
        <v>471.45135904824832</v>
      </c>
      <c r="U19" s="129">
        <v>482.01643245267962</v>
      </c>
      <c r="V19" s="129">
        <v>406.11568530728789</v>
      </c>
      <c r="W19" s="129">
        <v>426.86058837964481</v>
      </c>
      <c r="X19" s="129">
        <v>454.9220923783771</v>
      </c>
      <c r="Y19" s="129">
        <v>476.90502533305812</v>
      </c>
      <c r="DA19" s="203" t="s">
        <v>392</v>
      </c>
    </row>
    <row r="20" spans="1:105" ht="11.45" customHeight="1" x14ac:dyDescent="0.25">
      <c r="A20" s="159" t="s">
        <v>131</v>
      </c>
      <c r="B20" s="97">
        <v>1.4771615767831101</v>
      </c>
      <c r="C20" s="97">
        <v>1.5117497543758127</v>
      </c>
      <c r="D20" s="97">
        <v>1.8416275302704617</v>
      </c>
      <c r="E20" s="97">
        <v>1.6625696913445041</v>
      </c>
      <c r="F20" s="97">
        <v>2.0159029252581884</v>
      </c>
      <c r="G20" s="97">
        <v>4.2756574017612472</v>
      </c>
      <c r="H20" s="97">
        <v>6.4813346353607093</v>
      </c>
      <c r="I20" s="97">
        <v>13.602227351398319</v>
      </c>
      <c r="J20" s="97">
        <v>25.186531647194062</v>
      </c>
      <c r="K20" s="97">
        <v>24.963992791322465</v>
      </c>
      <c r="L20" s="97">
        <v>26.609308691836969</v>
      </c>
      <c r="M20" s="97">
        <v>25.473118570957073</v>
      </c>
      <c r="N20" s="97">
        <v>28.220101418782441</v>
      </c>
      <c r="O20" s="97">
        <v>28.881099018838892</v>
      </c>
      <c r="P20" s="97">
        <v>31.089285535685768</v>
      </c>
      <c r="Q20" s="97">
        <v>32.205619995956859</v>
      </c>
      <c r="R20" s="97">
        <v>31.598684806543744</v>
      </c>
      <c r="S20" s="97">
        <v>33.025770800755893</v>
      </c>
      <c r="T20" s="97">
        <v>34.322449698970061</v>
      </c>
      <c r="U20" s="97">
        <v>36.523671253912163</v>
      </c>
      <c r="V20" s="97">
        <v>30.875853787539473</v>
      </c>
      <c r="W20" s="97">
        <v>34.104014576391158</v>
      </c>
      <c r="X20" s="97">
        <v>39.131383068513493</v>
      </c>
      <c r="Y20" s="97">
        <v>38.503314746723291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25286.948169682539</v>
      </c>
      <c r="C21" s="130">
        <f t="shared" si="18"/>
        <v>25894.190483758171</v>
      </c>
      <c r="D21" s="130">
        <f t="shared" si="18"/>
        <v>25946.232516855664</v>
      </c>
      <c r="E21" s="130">
        <f t="shared" si="18"/>
        <v>25423.146618520812</v>
      </c>
      <c r="F21" s="130">
        <f t="shared" si="18"/>
        <v>25004.863769454045</v>
      </c>
      <c r="G21" s="130">
        <f t="shared" si="18"/>
        <v>24624.674232233425</v>
      </c>
      <c r="H21" s="130">
        <f t="shared" si="18"/>
        <v>24717.888576850921</v>
      </c>
      <c r="I21" s="130">
        <f t="shared" si="18"/>
        <v>24950.246709120802</v>
      </c>
      <c r="J21" s="130">
        <f t="shared" si="18"/>
        <v>24478.862994844661</v>
      </c>
      <c r="K21" s="130">
        <f t="shared" si="18"/>
        <v>25094.319332872412</v>
      </c>
      <c r="L21" s="130">
        <f t="shared" ref="L21" si="19">L22+L24+L26+L27+L29+L32</f>
        <v>24819.129403742227</v>
      </c>
      <c r="M21" s="130">
        <f t="shared" ref="M21:V21" si="20">M22+M24+M26+M27+M29+M32</f>
        <v>26283.536048197828</v>
      </c>
      <c r="N21" s="130">
        <f t="shared" si="20"/>
        <v>26166.734800791201</v>
      </c>
      <c r="O21" s="130">
        <f t="shared" si="20"/>
        <v>26029.462531189307</v>
      </c>
      <c r="P21" s="130">
        <f t="shared" si="20"/>
        <v>26247.53820988235</v>
      </c>
      <c r="Q21" s="130">
        <f t="shared" si="20"/>
        <v>26736.145817087458</v>
      </c>
      <c r="R21" s="130">
        <f t="shared" si="20"/>
        <v>26786.515335101471</v>
      </c>
      <c r="S21" s="130">
        <f t="shared" si="20"/>
        <v>26692.714609748164</v>
      </c>
      <c r="T21" s="130">
        <f t="shared" si="20"/>
        <v>26088.115254761466</v>
      </c>
      <c r="U21" s="130">
        <f t="shared" si="20"/>
        <v>25763.893139834363</v>
      </c>
      <c r="V21" s="130">
        <f t="shared" si="20"/>
        <v>21126.996710181091</v>
      </c>
      <c r="W21" s="130">
        <f t="shared" ref="W21:Y21" si="21">W22+W24+W26+W27+W29+W32</f>
        <v>24218.708373768655</v>
      </c>
      <c r="X21" s="130">
        <f t="shared" si="21"/>
        <v>25434.579350040498</v>
      </c>
      <c r="Y21" s="130">
        <f t="shared" si="21"/>
        <v>24999.99077219531</v>
      </c>
      <c r="DA21" s="176" t="s">
        <v>393</v>
      </c>
    </row>
    <row r="22" spans="1:105" ht="11.45" customHeight="1" x14ac:dyDescent="0.25">
      <c r="A22" s="111" t="s">
        <v>110</v>
      </c>
      <c r="B22" s="96">
        <v>12850.585360246119</v>
      </c>
      <c r="C22" s="96">
        <v>12597.056469956689</v>
      </c>
      <c r="D22" s="96">
        <v>12206.213385698158</v>
      </c>
      <c r="E22" s="96">
        <v>11415.065031913111</v>
      </c>
      <c r="F22" s="96">
        <v>10846.625956392685</v>
      </c>
      <c r="G22" s="96">
        <v>10197.44791312742</v>
      </c>
      <c r="H22" s="96">
        <v>9554.6816922941998</v>
      </c>
      <c r="I22" s="96">
        <v>8973.9589021034208</v>
      </c>
      <c r="J22" s="96">
        <v>8086.2340273569243</v>
      </c>
      <c r="K22" s="96">
        <v>7738.2253628845774</v>
      </c>
      <c r="L22" s="96">
        <v>7070.1924688313411</v>
      </c>
      <c r="M22" s="96">
        <v>7193.7628030154119</v>
      </c>
      <c r="N22" s="96">
        <v>6629.188700449472</v>
      </c>
      <c r="O22" s="96">
        <v>6356.4170140242695</v>
      </c>
      <c r="P22" s="96">
        <v>6364.7339011489003</v>
      </c>
      <c r="Q22" s="96">
        <v>6502.3168040520995</v>
      </c>
      <c r="R22" s="96">
        <v>6764.5478761066352</v>
      </c>
      <c r="S22" s="96">
        <v>7046.6185431020212</v>
      </c>
      <c r="T22" s="96">
        <v>7342.6560458969734</v>
      </c>
      <c r="U22" s="96">
        <v>7912.4437315240302</v>
      </c>
      <c r="V22" s="96">
        <v>6826.9661380059115</v>
      </c>
      <c r="W22" s="96">
        <v>8272.5919820429826</v>
      </c>
      <c r="X22" s="96">
        <v>9110.9006858883968</v>
      </c>
      <c r="Y22" s="96">
        <v>9608.2706279438153</v>
      </c>
      <c r="DA22" s="171" t="s">
        <v>641</v>
      </c>
    </row>
    <row r="23" spans="1:105" ht="11.45" customHeight="1" x14ac:dyDescent="0.25">
      <c r="A23" s="160" t="s">
        <v>131</v>
      </c>
      <c r="B23" s="96">
        <v>52.879090733043014</v>
      </c>
      <c r="C23" s="96">
        <v>48.579524269883557</v>
      </c>
      <c r="D23" s="96">
        <v>51.778771582278708</v>
      </c>
      <c r="E23" s="96">
        <v>43.826966586099829</v>
      </c>
      <c r="F23" s="96">
        <v>47.572451744138945</v>
      </c>
      <c r="G23" s="96">
        <v>92.87614827536278</v>
      </c>
      <c r="H23" s="96">
        <v>132.20998985504974</v>
      </c>
      <c r="I23" s="96">
        <v>251.95496943503636</v>
      </c>
      <c r="J23" s="96">
        <v>399.37926713151143</v>
      </c>
      <c r="K23" s="96">
        <v>367.04253050974341</v>
      </c>
      <c r="L23" s="96">
        <v>359.89071882531641</v>
      </c>
      <c r="M23" s="96">
        <v>352.72306097656582</v>
      </c>
      <c r="N23" s="96">
        <v>359.17813293168234</v>
      </c>
      <c r="O23" s="96">
        <v>348.35959202342309</v>
      </c>
      <c r="P23" s="96">
        <v>367.84519260916107</v>
      </c>
      <c r="Q23" s="96">
        <v>387.19206848073009</v>
      </c>
      <c r="R23" s="96">
        <v>427.46525306682361</v>
      </c>
      <c r="S23" s="96">
        <v>489.87033768919861</v>
      </c>
      <c r="T23" s="96">
        <v>534.55767589874688</v>
      </c>
      <c r="U23" s="96">
        <v>599.54697435264814</v>
      </c>
      <c r="V23" s="96">
        <v>519.03537813384457</v>
      </c>
      <c r="W23" s="96">
        <v>660.93850128231713</v>
      </c>
      <c r="X23" s="96">
        <v>783.69934283637156</v>
      </c>
      <c r="Y23" s="96">
        <v>775.73153669549561</v>
      </c>
      <c r="DA23" s="171" t="s">
        <v>642</v>
      </c>
    </row>
    <row r="24" spans="1:105" ht="11.45" customHeight="1" x14ac:dyDescent="0.25">
      <c r="A24" s="111" t="s">
        <v>111</v>
      </c>
      <c r="B24" s="96">
        <v>12220.368594995769</v>
      </c>
      <c r="C24" s="96">
        <v>13090.916585725277</v>
      </c>
      <c r="D24" s="96">
        <v>13559.280323297426</v>
      </c>
      <c r="E24" s="96">
        <v>13857.377061726493</v>
      </c>
      <c r="F24" s="96">
        <v>14024.351111085678</v>
      </c>
      <c r="G24" s="96">
        <v>14307.183614652315</v>
      </c>
      <c r="H24" s="96">
        <v>15054.722814662537</v>
      </c>
      <c r="I24" s="96">
        <v>15873.650233863831</v>
      </c>
      <c r="J24" s="96">
        <v>16294.043072085129</v>
      </c>
      <c r="K24" s="96">
        <v>17271.361338068178</v>
      </c>
      <c r="L24" s="96">
        <v>17646.13439482954</v>
      </c>
      <c r="M24" s="96">
        <v>18973.957862766045</v>
      </c>
      <c r="N24" s="96">
        <v>19432.401075247319</v>
      </c>
      <c r="O24" s="96">
        <v>19579.934213408353</v>
      </c>
      <c r="P24" s="96">
        <v>19798.710605582255</v>
      </c>
      <c r="Q24" s="96">
        <v>20156.376740583361</v>
      </c>
      <c r="R24" s="96">
        <v>19946.21291517307</v>
      </c>
      <c r="S24" s="96">
        <v>19571.012520278786</v>
      </c>
      <c r="T24" s="96">
        <v>18663.927534905208</v>
      </c>
      <c r="U24" s="96">
        <v>17755.517149856703</v>
      </c>
      <c r="V24" s="96">
        <v>14182.780363057636</v>
      </c>
      <c r="W24" s="96">
        <v>15727.824277906353</v>
      </c>
      <c r="X24" s="96">
        <v>15973.635801775981</v>
      </c>
      <c r="Y24" s="96">
        <v>14923.794625468921</v>
      </c>
      <c r="DA24" s="171" t="s">
        <v>643</v>
      </c>
    </row>
    <row r="25" spans="1:105" ht="11.45" customHeight="1" x14ac:dyDescent="0.25">
      <c r="A25" s="160" t="s">
        <v>131</v>
      </c>
      <c r="B25" s="96">
        <v>116.8667724953259</v>
      </c>
      <c r="C25" s="96">
        <v>123.33406272949831</v>
      </c>
      <c r="D25" s="96">
        <v>130.68881975406688</v>
      </c>
      <c r="E25" s="96">
        <v>125.13347520898972</v>
      </c>
      <c r="F25" s="96">
        <v>135.04340129065662</v>
      </c>
      <c r="G25" s="96">
        <v>225.40658422039695</v>
      </c>
      <c r="H25" s="96">
        <v>268.87139297225127</v>
      </c>
      <c r="I25" s="96">
        <v>560.93221384562707</v>
      </c>
      <c r="J25" s="96">
        <v>933.90346739437371</v>
      </c>
      <c r="K25" s="96">
        <v>1093.1939587299464</v>
      </c>
      <c r="L25" s="96">
        <v>1072.8272216054031</v>
      </c>
      <c r="M25" s="96">
        <v>1105.0387869431386</v>
      </c>
      <c r="N25" s="96">
        <v>1261.2363198901767</v>
      </c>
      <c r="O25" s="96">
        <v>1277.2615155316084</v>
      </c>
      <c r="P25" s="96">
        <v>1426.4786035646569</v>
      </c>
      <c r="Q25" s="96">
        <v>1445.949027745145</v>
      </c>
      <c r="R25" s="96">
        <v>1400.5218576132106</v>
      </c>
      <c r="S25" s="96">
        <v>1418.4008543017301</v>
      </c>
      <c r="T25" s="96">
        <v>1368.1861829253855</v>
      </c>
      <c r="U25" s="96">
        <v>1331.529195675862</v>
      </c>
      <c r="V25" s="96">
        <v>1033.2596305853071</v>
      </c>
      <c r="W25" s="96">
        <v>1069.9546573748678</v>
      </c>
      <c r="X25" s="96">
        <v>1107.9479618618598</v>
      </c>
      <c r="Y25" s="96">
        <v>1157.919094312977</v>
      </c>
      <c r="DA25" s="171" t="s">
        <v>644</v>
      </c>
    </row>
    <row r="26" spans="1:105" ht="11.45" customHeight="1" x14ac:dyDescent="0.25">
      <c r="A26" s="111" t="s">
        <v>112</v>
      </c>
      <c r="B26" s="96">
        <v>215.99421444065362</v>
      </c>
      <c r="C26" s="96">
        <v>206.21742807620333</v>
      </c>
      <c r="D26" s="96">
        <v>180.73880786007757</v>
      </c>
      <c r="E26" s="96">
        <v>150.70452488120804</v>
      </c>
      <c r="F26" s="96">
        <v>133.88670197568101</v>
      </c>
      <c r="G26" s="96">
        <v>120.04270445369336</v>
      </c>
      <c r="H26" s="96">
        <v>108.4816397801648</v>
      </c>
      <c r="I26" s="96">
        <v>101.94565764340111</v>
      </c>
      <c r="J26" s="96">
        <v>96.933847566512014</v>
      </c>
      <c r="K26" s="96">
        <v>82.699007143292022</v>
      </c>
      <c r="L26" s="96">
        <v>100.66673338582795</v>
      </c>
      <c r="M26" s="96">
        <v>113.1566509762206</v>
      </c>
      <c r="N26" s="96">
        <v>101.96723850269794</v>
      </c>
      <c r="O26" s="96">
        <v>88.053768942099694</v>
      </c>
      <c r="P26" s="96">
        <v>77.008451796592922</v>
      </c>
      <c r="Q26" s="96">
        <v>65.600894636852573</v>
      </c>
      <c r="R26" s="96">
        <v>57.30712624229615</v>
      </c>
      <c r="S26" s="96">
        <v>48.359189413745021</v>
      </c>
      <c r="T26" s="96">
        <v>42.86087782819871</v>
      </c>
      <c r="U26" s="96">
        <v>39.867764688637962</v>
      </c>
      <c r="V26" s="96">
        <v>26.529807804728584</v>
      </c>
      <c r="W26" s="96">
        <v>40.027291548951119</v>
      </c>
      <c r="X26" s="96">
        <v>77.14712661116836</v>
      </c>
      <c r="Y26" s="96">
        <v>96.317660433690278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0.68844731541254656</v>
      </c>
      <c r="J27" s="96">
        <v>1.2043475445833323</v>
      </c>
      <c r="K27" s="96">
        <v>1.5864251746170874</v>
      </c>
      <c r="L27" s="96">
        <v>1.6869682109579234</v>
      </c>
      <c r="M27" s="96">
        <v>1.7487019858738626</v>
      </c>
      <c r="N27" s="96">
        <v>1.8398276316374436</v>
      </c>
      <c r="O27" s="96">
        <v>1.8088545116590418</v>
      </c>
      <c r="P27" s="96">
        <v>1.8014248125491985</v>
      </c>
      <c r="Q27" s="96">
        <v>1.839602972246416</v>
      </c>
      <c r="R27" s="96">
        <v>1.9195270341348174</v>
      </c>
      <c r="S27" s="96">
        <v>1.9116489343716805</v>
      </c>
      <c r="T27" s="96">
        <v>1.848482407911435</v>
      </c>
      <c r="U27" s="96">
        <v>1.9787439622258516</v>
      </c>
      <c r="V27" s="96">
        <v>1.7921141938744818</v>
      </c>
      <c r="W27" s="96">
        <v>2.0708206735725172</v>
      </c>
      <c r="X27" s="96">
        <v>2.2383698105209895</v>
      </c>
      <c r="Y27" s="96">
        <v>3.6507500554638401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2.1126153189877369E-5</v>
      </c>
      <c r="O28" s="96">
        <v>5.0795628395097605E-5</v>
      </c>
      <c r="P28" s="96">
        <v>1.3724545465569092E-4</v>
      </c>
      <c r="Q28" s="96">
        <v>3.4221464542133316E-4</v>
      </c>
      <c r="R28" s="96">
        <v>8.5021733778144367E-4</v>
      </c>
      <c r="S28" s="96">
        <v>1.6006169778738442E-3</v>
      </c>
      <c r="T28" s="96">
        <v>2.856880178113811E-3</v>
      </c>
      <c r="U28" s="96">
        <v>5.1816339013546131E-3</v>
      </c>
      <c r="V28" s="96">
        <v>9.014795351425485E-3</v>
      </c>
      <c r="W28" s="96">
        <v>1.9270598062316471E-2</v>
      </c>
      <c r="X28" s="96">
        <v>3.6645549447035533E-2</v>
      </c>
      <c r="Y28" s="96">
        <v>8.8779760781354078E-2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0.14136773932359176</v>
      </c>
      <c r="O29" s="96">
        <v>0.3203692414809618</v>
      </c>
      <c r="P29" s="96">
        <v>0.65435122505003429</v>
      </c>
      <c r="Q29" s="96">
        <v>2.0321843917079496</v>
      </c>
      <c r="R29" s="96">
        <v>4.0345187399570719</v>
      </c>
      <c r="S29" s="96">
        <v>7.4788072047416474</v>
      </c>
      <c r="T29" s="96">
        <v>12.085207054504529</v>
      </c>
      <c r="U29" s="96">
        <v>18.500925933056074</v>
      </c>
      <c r="V29" s="96">
        <v>34.452846626926345</v>
      </c>
      <c r="W29" s="96">
        <v>78.64299557435929</v>
      </c>
      <c r="X29" s="96">
        <v>129.16234544704884</v>
      </c>
      <c r="Y29" s="96">
        <v>181.11995352259606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5.6818697557410851E-3</v>
      </c>
      <c r="O30" s="96">
        <v>1.3047899790659859E-2</v>
      </c>
      <c r="P30" s="96">
        <v>2.7162790492065162E-2</v>
      </c>
      <c r="Q30" s="96">
        <v>8.007702980112083E-2</v>
      </c>
      <c r="R30" s="96">
        <v>0.16565994626480518</v>
      </c>
      <c r="S30" s="96">
        <v>0.33797294262716787</v>
      </c>
      <c r="T30" s="96">
        <v>0.56850866100628272</v>
      </c>
      <c r="U30" s="96">
        <v>0.88940537648492046</v>
      </c>
      <c r="V30" s="96">
        <v>1.464590723016616</v>
      </c>
      <c r="W30" s="96">
        <v>3.235378825942997</v>
      </c>
      <c r="X30" s="96">
        <v>5.4360041022692647</v>
      </c>
      <c r="Y30" s="96">
        <v>6.7904067917817192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3.6500033501008416E-2</v>
      </c>
      <c r="O31" s="96">
        <v>8.2287976817356917E-2</v>
      </c>
      <c r="P31" s="96">
        <v>0.18436021533105451</v>
      </c>
      <c r="Q31" s="96">
        <v>0.68740938498458171</v>
      </c>
      <c r="R31" s="96">
        <v>1.4129848734691053</v>
      </c>
      <c r="S31" s="96">
        <v>2.617181134835866</v>
      </c>
      <c r="T31" s="96">
        <v>4.2762020675978212</v>
      </c>
      <c r="U31" s="96">
        <v>6.7631133895929469</v>
      </c>
      <c r="V31" s="96">
        <v>15.188820139904015</v>
      </c>
      <c r="W31" s="96">
        <v>38.147595650705696</v>
      </c>
      <c r="X31" s="96">
        <v>65.96605217900931</v>
      </c>
      <c r="Y31" s="96">
        <v>97.013451410800045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2.4301140177673286E-3</v>
      </c>
      <c r="I32" s="96">
        <v>3.4681947377898773E-3</v>
      </c>
      <c r="J32" s="96">
        <v>0.44770029151202517</v>
      </c>
      <c r="K32" s="96">
        <v>0.44719960174422829</v>
      </c>
      <c r="L32" s="96">
        <v>0.44883848456089687</v>
      </c>
      <c r="M32" s="96">
        <v>0.91002945427529713</v>
      </c>
      <c r="N32" s="96">
        <v>1.1965912207523275</v>
      </c>
      <c r="O32" s="96">
        <v>2.9283110614443251</v>
      </c>
      <c r="P32" s="96">
        <v>4.6294753170048235</v>
      </c>
      <c r="Q32" s="96">
        <v>7.9795904511878515</v>
      </c>
      <c r="R32" s="96">
        <v>12.493371805380388</v>
      </c>
      <c r="S32" s="96">
        <v>17.333900814496971</v>
      </c>
      <c r="T32" s="96">
        <v>24.737106668666499</v>
      </c>
      <c r="U32" s="96">
        <v>35.584823869707471</v>
      </c>
      <c r="V32" s="96">
        <v>54.475440492012858</v>
      </c>
      <c r="W32" s="96">
        <v>97.551006022436738</v>
      </c>
      <c r="X32" s="96">
        <v>141.49502050737516</v>
      </c>
      <c r="Y32" s="96">
        <v>186.83715477081935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1690.2648469109963</v>
      </c>
      <c r="C33" s="130">
        <f t="shared" si="22"/>
        <v>1654.0812890381353</v>
      </c>
      <c r="D33" s="130">
        <f t="shared" si="22"/>
        <v>1654.0777871278847</v>
      </c>
      <c r="E33" s="130">
        <f t="shared" si="22"/>
        <v>1661.2744561566583</v>
      </c>
      <c r="F33" s="130">
        <f t="shared" si="22"/>
        <v>1682.0661434801339</v>
      </c>
      <c r="G33" s="130">
        <f t="shared" si="22"/>
        <v>1684.4234873081682</v>
      </c>
      <c r="H33" s="130">
        <f t="shared" si="22"/>
        <v>1755.3937071482237</v>
      </c>
      <c r="I33" s="130">
        <f t="shared" si="22"/>
        <v>1796.8517790754524</v>
      </c>
      <c r="J33" s="130">
        <f t="shared" si="22"/>
        <v>1793.057962540317</v>
      </c>
      <c r="K33" s="130">
        <f t="shared" si="22"/>
        <v>1721.4091133034547</v>
      </c>
      <c r="L33" s="130">
        <f t="shared" ref="L33" si="23">L34+L36+L38+L39+L41</f>
        <v>1670.2266689298885</v>
      </c>
      <c r="M33" s="130">
        <f t="shared" ref="M33:V33" si="24">M34+M36+M38+M39+M41</f>
        <v>1662.581546688868</v>
      </c>
      <c r="N33" s="130">
        <f t="shared" si="24"/>
        <v>1652.1195022954635</v>
      </c>
      <c r="O33" s="130">
        <f t="shared" si="24"/>
        <v>1532.7698020885869</v>
      </c>
      <c r="P33" s="130">
        <f t="shared" si="24"/>
        <v>1551.4418954616658</v>
      </c>
      <c r="Q33" s="130">
        <f t="shared" si="24"/>
        <v>1582.9151178555808</v>
      </c>
      <c r="R33" s="130">
        <f t="shared" si="24"/>
        <v>1625.9287815288785</v>
      </c>
      <c r="S33" s="130">
        <f t="shared" si="24"/>
        <v>1585.0812051426956</v>
      </c>
      <c r="T33" s="130">
        <f t="shared" si="24"/>
        <v>1601.2369711092822</v>
      </c>
      <c r="U33" s="130">
        <f t="shared" si="24"/>
        <v>1612.0476190312372</v>
      </c>
      <c r="V33" s="130">
        <f t="shared" si="24"/>
        <v>1218.5560628071487</v>
      </c>
      <c r="W33" s="130">
        <f t="shared" ref="W33:Y33" si="25">W34+W36+W38+W39+W41</f>
        <v>1432.2813116732732</v>
      </c>
      <c r="X33" s="130">
        <f t="shared" si="25"/>
        <v>1535.152541260233</v>
      </c>
      <c r="Y33" s="130">
        <f t="shared" si="25"/>
        <v>1531.2329377411941</v>
      </c>
      <c r="DA33" s="176" t="s">
        <v>394</v>
      </c>
    </row>
    <row r="34" spans="1:105" ht="11.45" customHeight="1" x14ac:dyDescent="0.25">
      <c r="A34" s="111" t="s">
        <v>110</v>
      </c>
      <c r="B34" s="97">
        <v>2.8539071591409519</v>
      </c>
      <c r="C34" s="97">
        <v>2.6788463297965888</v>
      </c>
      <c r="D34" s="97">
        <v>2.600752836535825</v>
      </c>
      <c r="E34" s="97">
        <v>2.4407086705874259</v>
      </c>
      <c r="F34" s="97">
        <v>2.290378605074729</v>
      </c>
      <c r="G34" s="97">
        <v>2.094868328896375</v>
      </c>
      <c r="H34" s="97">
        <v>1.967196961137393</v>
      </c>
      <c r="I34" s="97">
        <v>1.7962903256955705</v>
      </c>
      <c r="J34" s="97">
        <v>1.6537270538299709</v>
      </c>
      <c r="K34" s="97">
        <v>1.4624819513234584</v>
      </c>
      <c r="L34" s="97">
        <v>1.2650440976390933</v>
      </c>
      <c r="M34" s="97">
        <v>1.0807703795140577</v>
      </c>
      <c r="N34" s="97">
        <v>0.91568481387635048</v>
      </c>
      <c r="O34" s="97">
        <v>0.76214764129951473</v>
      </c>
      <c r="P34" s="97">
        <v>0.63883682801457042</v>
      </c>
      <c r="Q34" s="97">
        <v>0.53815594336491768</v>
      </c>
      <c r="R34" s="97">
        <v>0.53228532812483909</v>
      </c>
      <c r="S34" s="97">
        <v>0.52398473158709225</v>
      </c>
      <c r="T34" s="97">
        <v>0.52210342574548052</v>
      </c>
      <c r="U34" s="97">
        <v>0.51512029416243843</v>
      </c>
      <c r="V34" s="97">
        <v>0.40044081016071004</v>
      </c>
      <c r="W34" s="97">
        <v>0.43256136065308987</v>
      </c>
      <c r="X34" s="97">
        <v>0.38436363810747659</v>
      </c>
      <c r="Y34" s="97">
        <v>0.31653016208918783</v>
      </c>
      <c r="DA34" s="175" t="s">
        <v>652</v>
      </c>
    </row>
    <row r="35" spans="1:105" ht="11.45" customHeight="1" x14ac:dyDescent="0.25">
      <c r="A35" s="160" t="s">
        <v>131</v>
      </c>
      <c r="B35" s="97">
        <v>1.1743590768927052E-2</v>
      </c>
      <c r="C35" s="97">
        <v>1.0330753109189588E-2</v>
      </c>
      <c r="D35" s="97">
        <v>1.1032396600794763E-2</v>
      </c>
      <c r="E35" s="97">
        <v>9.3708495793222608E-3</v>
      </c>
      <c r="F35" s="97">
        <v>1.004542113868217E-2</v>
      </c>
      <c r="G35" s="97">
        <v>1.9079607288944828E-2</v>
      </c>
      <c r="H35" s="97">
        <v>2.7220487154963523E-2</v>
      </c>
      <c r="I35" s="97">
        <v>5.043306739470324E-2</v>
      </c>
      <c r="J35" s="97">
        <v>8.1677613652995834E-2</v>
      </c>
      <c r="K35" s="97">
        <v>6.9369015641913181E-2</v>
      </c>
      <c r="L35" s="97">
        <v>6.4393951317751275E-2</v>
      </c>
      <c r="M35" s="97">
        <v>5.299210537150463E-2</v>
      </c>
      <c r="N35" s="97">
        <v>4.9613003440330948E-2</v>
      </c>
      <c r="O35" s="97">
        <v>4.1769040766037352E-2</v>
      </c>
      <c r="P35" s="97">
        <v>3.6921112445003623E-2</v>
      </c>
      <c r="Q35" s="97">
        <v>3.2045456897272326E-2</v>
      </c>
      <c r="R35" s="97">
        <v>3.3636170023176697E-2</v>
      </c>
      <c r="S35" s="97">
        <v>3.6426631559022461E-2</v>
      </c>
      <c r="T35" s="97">
        <v>3.8010005112691356E-2</v>
      </c>
      <c r="U35" s="97">
        <v>3.9032039186868261E-2</v>
      </c>
      <c r="V35" s="97">
        <v>3.0444408705196248E-2</v>
      </c>
      <c r="W35" s="97">
        <v>3.4559477615151123E-2</v>
      </c>
      <c r="X35" s="97">
        <v>3.3062102308017205E-2</v>
      </c>
      <c r="Y35" s="97">
        <v>2.555531984432316E-2</v>
      </c>
      <c r="DA35" s="175" t="s">
        <v>653</v>
      </c>
    </row>
    <row r="36" spans="1:105" ht="11.45" customHeight="1" x14ac:dyDescent="0.25">
      <c r="A36" s="111" t="s">
        <v>111</v>
      </c>
      <c r="B36" s="97">
        <v>1683.4943012545896</v>
      </c>
      <c r="C36" s="97">
        <v>1639.7654693125949</v>
      </c>
      <c r="D36" s="97">
        <v>1638.2945845956267</v>
      </c>
      <c r="E36" s="97">
        <v>1641.8177611738054</v>
      </c>
      <c r="F36" s="97">
        <v>1660.9200842787095</v>
      </c>
      <c r="G36" s="97">
        <v>1662.0047096591113</v>
      </c>
      <c r="H36" s="97">
        <v>1728.7422894744734</v>
      </c>
      <c r="I36" s="97">
        <v>1768.1094808302303</v>
      </c>
      <c r="J36" s="97">
        <v>1759.6959848034157</v>
      </c>
      <c r="K36" s="97">
        <v>1688.9928543315668</v>
      </c>
      <c r="L36" s="97">
        <v>1636.9734589654427</v>
      </c>
      <c r="M36" s="97">
        <v>1589.8806183267179</v>
      </c>
      <c r="N36" s="97">
        <v>1571.8486385384497</v>
      </c>
      <c r="O36" s="97">
        <v>1442.341571428015</v>
      </c>
      <c r="P36" s="97">
        <v>1453.6121644182533</v>
      </c>
      <c r="Q36" s="97">
        <v>1482.2093184679127</v>
      </c>
      <c r="R36" s="97">
        <v>1520.5005292614264</v>
      </c>
      <c r="S36" s="97">
        <v>1471.0404095184849</v>
      </c>
      <c r="T36" s="97">
        <v>1475.4145851471496</v>
      </c>
      <c r="U36" s="97">
        <v>1453.4128857152118</v>
      </c>
      <c r="V36" s="97">
        <v>1029.3362930390861</v>
      </c>
      <c r="W36" s="97">
        <v>1159.8119434266621</v>
      </c>
      <c r="X36" s="97">
        <v>1210.0865710996693</v>
      </c>
      <c r="Y36" s="97">
        <v>1163.1295835483133</v>
      </c>
      <c r="DA36" s="175" t="s">
        <v>654</v>
      </c>
    </row>
    <row r="37" spans="1:105" ht="11.45" customHeight="1" x14ac:dyDescent="0.25">
      <c r="A37" s="160" t="s">
        <v>131</v>
      </c>
      <c r="B37" s="97">
        <v>16.099722686144215</v>
      </c>
      <c r="C37" s="97">
        <v>15.448798862135606</v>
      </c>
      <c r="D37" s="97">
        <v>15.790424017003732</v>
      </c>
      <c r="E37" s="97">
        <v>14.825775556252689</v>
      </c>
      <c r="F37" s="97">
        <v>15.993345836561666</v>
      </c>
      <c r="G37" s="97">
        <v>26.184524827011298</v>
      </c>
      <c r="H37" s="97">
        <v>30.874653302041519</v>
      </c>
      <c r="I37" s="97">
        <v>62.480245614063143</v>
      </c>
      <c r="J37" s="97">
        <v>100.85809731185185</v>
      </c>
      <c r="K37" s="97">
        <v>106.90511005774833</v>
      </c>
      <c r="L37" s="97">
        <v>99.522629065902407</v>
      </c>
      <c r="M37" s="97">
        <v>92.594268553100022</v>
      </c>
      <c r="N37" s="97">
        <v>102.01892111108495</v>
      </c>
      <c r="O37" s="97">
        <v>94.088537854985034</v>
      </c>
      <c r="P37" s="97">
        <v>104.73139851033082</v>
      </c>
      <c r="Q37" s="97">
        <v>106.32859022913087</v>
      </c>
      <c r="R37" s="97">
        <v>106.7618316719751</v>
      </c>
      <c r="S37" s="97">
        <v>106.61303146229166</v>
      </c>
      <c r="T37" s="97">
        <v>108.15739858128268</v>
      </c>
      <c r="U37" s="97">
        <v>108.9949492525442</v>
      </c>
      <c r="V37" s="97">
        <v>74.990348201678145</v>
      </c>
      <c r="W37" s="97">
        <v>78.901325995329927</v>
      </c>
      <c r="X37" s="97">
        <v>83.93286079411061</v>
      </c>
      <c r="Y37" s="97">
        <v>90.245811320160541</v>
      </c>
      <c r="DA37" s="175" t="s">
        <v>655</v>
      </c>
    </row>
    <row r="38" spans="1:105" ht="11.45" customHeight="1" x14ac:dyDescent="0.25">
      <c r="A38" s="111" t="s">
        <v>112</v>
      </c>
      <c r="B38" s="97">
        <v>1.6092783474947479</v>
      </c>
      <c r="C38" s="97">
        <v>1.8073121261511247</v>
      </c>
      <c r="D38" s="97">
        <v>1.8223784805987193</v>
      </c>
      <c r="E38" s="97">
        <v>1.9140477741230528</v>
      </c>
      <c r="F38" s="97">
        <v>1.979452302104548</v>
      </c>
      <c r="G38" s="97">
        <v>1.9788912351459143</v>
      </c>
      <c r="H38" s="97">
        <v>1.6240513170491362</v>
      </c>
      <c r="I38" s="97">
        <v>1.9281522412902847</v>
      </c>
      <c r="J38" s="97">
        <v>1.8847762546570517</v>
      </c>
      <c r="K38" s="97">
        <v>1.7948926559649017</v>
      </c>
      <c r="L38" s="97">
        <v>1.6765412658867336</v>
      </c>
      <c r="M38" s="97">
        <v>1.5483116849149536</v>
      </c>
      <c r="N38" s="97">
        <v>1.4331216888071241</v>
      </c>
      <c r="O38" s="97">
        <v>1.3189295136599946</v>
      </c>
      <c r="P38" s="97">
        <v>1.2236013784592439</v>
      </c>
      <c r="Q38" s="97">
        <v>1.1538269662001994</v>
      </c>
      <c r="R38" s="97">
        <v>1.0927148238121172</v>
      </c>
      <c r="S38" s="97">
        <v>0.99904471639419068</v>
      </c>
      <c r="T38" s="97">
        <v>0.92861806707868655</v>
      </c>
      <c r="U38" s="97">
        <v>0.83505627536722504</v>
      </c>
      <c r="V38" s="97">
        <v>0.58433500831603868</v>
      </c>
      <c r="W38" s="97">
        <v>0.57030570335952502</v>
      </c>
      <c r="X38" s="97">
        <v>0.54363626320107983</v>
      </c>
      <c r="Y38" s="97">
        <v>0.47369439009382647</v>
      </c>
      <c r="DA38" s="175" t="s">
        <v>656</v>
      </c>
    </row>
    <row r="39" spans="1:105" ht="11.45" customHeight="1" x14ac:dyDescent="0.25">
      <c r="A39" s="111" t="s">
        <v>113</v>
      </c>
      <c r="B39" s="97">
        <v>0.31907584296026753</v>
      </c>
      <c r="C39" s="97">
        <v>7.7323522863495011</v>
      </c>
      <c r="D39" s="97">
        <v>9.0590851150241711</v>
      </c>
      <c r="E39" s="97">
        <v>12.645035714973497</v>
      </c>
      <c r="F39" s="97">
        <v>14.262480993553138</v>
      </c>
      <c r="G39" s="97">
        <v>15.767797533740133</v>
      </c>
      <c r="H39" s="97">
        <v>20.552263023973552</v>
      </c>
      <c r="I39" s="97">
        <v>22.594225363410562</v>
      </c>
      <c r="J39" s="97">
        <v>27.476683468785762</v>
      </c>
      <c r="K39" s="97">
        <v>26.940956291043737</v>
      </c>
      <c r="L39" s="97">
        <v>28.234223827017999</v>
      </c>
      <c r="M39" s="97">
        <v>68.11472825264272</v>
      </c>
      <c r="N39" s="97">
        <v>75.764736396694047</v>
      </c>
      <c r="O39" s="97">
        <v>85.00714106140623</v>
      </c>
      <c r="P39" s="97">
        <v>92.345551281168142</v>
      </c>
      <c r="Q39" s="97">
        <v>95.016689968147858</v>
      </c>
      <c r="R39" s="97">
        <v>99.264350300162675</v>
      </c>
      <c r="S39" s="97">
        <v>107.41137962214616</v>
      </c>
      <c r="T39" s="97">
        <v>119.04628103442377</v>
      </c>
      <c r="U39" s="97">
        <v>149.01481902128714</v>
      </c>
      <c r="V39" s="97">
        <v>180.35019211953306</v>
      </c>
      <c r="W39" s="97">
        <v>254.72792537279369</v>
      </c>
      <c r="X39" s="97">
        <v>301.59644017409403</v>
      </c>
      <c r="Y39" s="97">
        <v>340.74621247551602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8.6998227441702875E-4</v>
      </c>
      <c r="O40" s="97">
        <v>2.3871412103367408E-3</v>
      </c>
      <c r="P40" s="97">
        <v>7.0355460204188612E-3</v>
      </c>
      <c r="Q40" s="97">
        <v>1.7675609007552103E-2</v>
      </c>
      <c r="R40" s="97">
        <v>4.3967222210469448E-2</v>
      </c>
      <c r="S40" s="97">
        <v>8.9935173110938432E-2</v>
      </c>
      <c r="T40" s="97">
        <v>0.18398928716323718</v>
      </c>
      <c r="U40" s="97">
        <v>0.39021735645694794</v>
      </c>
      <c r="V40" s="97">
        <v>0.90720785489283085</v>
      </c>
      <c r="W40" s="97">
        <v>2.3704415972622308</v>
      </c>
      <c r="X40" s="97">
        <v>4.9375966426554845</v>
      </c>
      <c r="Y40" s="97">
        <v>8.2863430174995152</v>
      </c>
      <c r="DA40" s="175" t="s">
        <v>658</v>
      </c>
    </row>
    <row r="41" spans="1:105" ht="11.45" customHeight="1" x14ac:dyDescent="0.25">
      <c r="A41" s="111" t="s">
        <v>115</v>
      </c>
      <c r="B41" s="97">
        <v>1.9882843068108682</v>
      </c>
      <c r="C41" s="97">
        <v>2.0973089832431682</v>
      </c>
      <c r="D41" s="97">
        <v>2.3009861000994967</v>
      </c>
      <c r="E41" s="97">
        <v>2.4569028231689209</v>
      </c>
      <c r="F41" s="97">
        <v>2.6137473006919021</v>
      </c>
      <c r="G41" s="97">
        <v>2.5772205512744542</v>
      </c>
      <c r="H41" s="97">
        <v>2.5079063715900363</v>
      </c>
      <c r="I41" s="97">
        <v>2.4236303148258362</v>
      </c>
      <c r="J41" s="97">
        <v>2.3467909596285303</v>
      </c>
      <c r="K41" s="97">
        <v>2.2179280735556901</v>
      </c>
      <c r="L41" s="97">
        <v>2.077400773902129</v>
      </c>
      <c r="M41" s="97">
        <v>1.9571180450784706</v>
      </c>
      <c r="N41" s="97">
        <v>2.1573208576360581</v>
      </c>
      <c r="O41" s="97">
        <v>3.3400124442063959</v>
      </c>
      <c r="P41" s="97">
        <v>3.6217415557705577</v>
      </c>
      <c r="Q41" s="97">
        <v>3.9971265099549735</v>
      </c>
      <c r="R41" s="97">
        <v>4.5389018153522871</v>
      </c>
      <c r="S41" s="97">
        <v>5.1063865540835112</v>
      </c>
      <c r="T41" s="97">
        <v>5.3253834348844817</v>
      </c>
      <c r="U41" s="97">
        <v>8.2697377252086781</v>
      </c>
      <c r="V41" s="97">
        <v>7.8848018300530951</v>
      </c>
      <c r="W41" s="97">
        <v>16.738575809804889</v>
      </c>
      <c r="X41" s="97">
        <v>22.541530085161121</v>
      </c>
      <c r="Y41" s="97">
        <v>26.566917165181334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15173.278566138077</v>
      </c>
      <c r="C42" s="32">
        <f t="shared" si="26"/>
        <v>15265.411649514344</v>
      </c>
      <c r="D42" s="32">
        <f t="shared" si="26"/>
        <v>15183.801702360739</v>
      </c>
      <c r="E42" s="32">
        <f t="shared" si="26"/>
        <v>14861.416229655491</v>
      </c>
      <c r="F42" s="32">
        <f t="shared" si="26"/>
        <v>15269.674044489328</v>
      </c>
      <c r="G42" s="32">
        <f t="shared" si="26"/>
        <v>15178.07724465472</v>
      </c>
      <c r="H42" s="32">
        <f t="shared" si="26"/>
        <v>15191.015579983621</v>
      </c>
      <c r="I42" s="32">
        <f t="shared" si="26"/>
        <v>15300.01557299098</v>
      </c>
      <c r="J42" s="32">
        <f t="shared" si="26"/>
        <v>14637.864070525527</v>
      </c>
      <c r="K42" s="32">
        <f t="shared" si="26"/>
        <v>13828.751346271594</v>
      </c>
      <c r="L42" s="32">
        <f t="shared" ref="L42" si="27">L43+L52</f>
        <v>14219.7193109205</v>
      </c>
      <c r="M42" s="32">
        <f t="shared" ref="M42:V42" si="28">M43+M52</f>
        <v>14743.735565522755</v>
      </c>
      <c r="N42" s="32">
        <f t="shared" si="28"/>
        <v>14360.541460451092</v>
      </c>
      <c r="O42" s="32">
        <f t="shared" si="28"/>
        <v>14461.306608083851</v>
      </c>
      <c r="P42" s="32">
        <f t="shared" si="28"/>
        <v>14305.646357413421</v>
      </c>
      <c r="Q42" s="32">
        <f t="shared" si="28"/>
        <v>14348.696050593548</v>
      </c>
      <c r="R42" s="32">
        <f t="shared" si="28"/>
        <v>14521.789145361399</v>
      </c>
      <c r="S42" s="32">
        <f t="shared" si="28"/>
        <v>14873.121486661381</v>
      </c>
      <c r="T42" s="32">
        <f t="shared" si="28"/>
        <v>14702.392159421102</v>
      </c>
      <c r="U42" s="32">
        <f t="shared" si="28"/>
        <v>14743.956424118807</v>
      </c>
      <c r="V42" s="32">
        <f t="shared" si="28"/>
        <v>13499.336872014606</v>
      </c>
      <c r="W42" s="32">
        <f t="shared" ref="W42:Y42" si="29">W43+W52</f>
        <v>15028.088054151114</v>
      </c>
      <c r="X42" s="32">
        <f t="shared" si="29"/>
        <v>14712.872084396669</v>
      </c>
      <c r="Y42" s="32">
        <f t="shared" si="29"/>
        <v>14230.38494214341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7029.9085070160227</v>
      </c>
      <c r="C43" s="141">
        <f t="shared" si="30"/>
        <v>6990.7265413330824</v>
      </c>
      <c r="D43" s="141">
        <f t="shared" si="30"/>
        <v>6880.8816825621534</v>
      </c>
      <c r="E43" s="141">
        <f t="shared" si="30"/>
        <v>6655.5038305634062</v>
      </c>
      <c r="F43" s="141">
        <f t="shared" si="30"/>
        <v>6437.0873442032098</v>
      </c>
      <c r="G43" s="141">
        <f t="shared" si="30"/>
        <v>6324.2779138174337</v>
      </c>
      <c r="H43" s="141">
        <f t="shared" si="30"/>
        <v>6275.1374416465733</v>
      </c>
      <c r="I43" s="141">
        <f t="shared" si="30"/>
        <v>6210.3446143377387</v>
      </c>
      <c r="J43" s="141">
        <f t="shared" si="30"/>
        <v>5997.5199912497619</v>
      </c>
      <c r="K43" s="141">
        <f t="shared" si="30"/>
        <v>6134.4063523223795</v>
      </c>
      <c r="L43" s="141">
        <f t="shared" ref="L43" si="31">L44+L46+L48+L49+L51</f>
        <v>6283.5880167270179</v>
      </c>
      <c r="M43" s="141">
        <f t="shared" ref="M43:V43" si="32">M44+M46+M48+M49+M51</f>
        <v>6684.7837256980411</v>
      </c>
      <c r="N43" s="141">
        <f t="shared" si="32"/>
        <v>6754.0268670607757</v>
      </c>
      <c r="O43" s="141">
        <f t="shared" si="32"/>
        <v>6797.5486298242504</v>
      </c>
      <c r="P43" s="141">
        <f t="shared" si="32"/>
        <v>6722.6257388505592</v>
      </c>
      <c r="Q43" s="141">
        <f t="shared" si="32"/>
        <v>6946.3835578309499</v>
      </c>
      <c r="R43" s="141">
        <f t="shared" si="32"/>
        <v>6877.4162894459405</v>
      </c>
      <c r="S43" s="141">
        <f t="shared" si="32"/>
        <v>7003.9569763857962</v>
      </c>
      <c r="T43" s="141">
        <f t="shared" si="32"/>
        <v>6990.112565296582</v>
      </c>
      <c r="U43" s="141">
        <f t="shared" si="32"/>
        <v>6937.0340416029512</v>
      </c>
      <c r="V43" s="141">
        <f t="shared" si="32"/>
        <v>5955.155185358919</v>
      </c>
      <c r="W43" s="141">
        <f t="shared" ref="W43:Y43" si="33">W44+W46+W48+W49+W51</f>
        <v>7044.1227138086515</v>
      </c>
      <c r="X43" s="141">
        <f t="shared" si="33"/>
        <v>6989.6665398886462</v>
      </c>
      <c r="Y43" s="141">
        <f t="shared" si="33"/>
        <v>6901.7412143617275</v>
      </c>
      <c r="DA43" s="174" t="s">
        <v>400</v>
      </c>
    </row>
    <row r="44" spans="1:105" ht="11.45" customHeight="1" x14ac:dyDescent="0.25">
      <c r="A44" s="111" t="s">
        <v>110</v>
      </c>
      <c r="B44" s="96">
        <v>1048.9740174991084</v>
      </c>
      <c r="C44" s="96">
        <v>887.8083304066937</v>
      </c>
      <c r="D44" s="96">
        <v>735.11378177760344</v>
      </c>
      <c r="E44" s="96">
        <v>578.86772627488494</v>
      </c>
      <c r="F44" s="96">
        <v>454.25197585378788</v>
      </c>
      <c r="G44" s="96">
        <v>376.71145336302141</v>
      </c>
      <c r="H44" s="96">
        <v>321.28517315568979</v>
      </c>
      <c r="I44" s="96">
        <v>278.63967169418106</v>
      </c>
      <c r="J44" s="96">
        <v>241.72773871914393</v>
      </c>
      <c r="K44" s="96">
        <v>217.81896545638511</v>
      </c>
      <c r="L44" s="96">
        <v>235.23075363516193</v>
      </c>
      <c r="M44" s="96">
        <v>263.79280784061996</v>
      </c>
      <c r="N44" s="96">
        <v>279.90388444522034</v>
      </c>
      <c r="O44" s="96">
        <v>296.522779624946</v>
      </c>
      <c r="P44" s="96">
        <v>261.60439398345272</v>
      </c>
      <c r="Q44" s="96">
        <v>240.72185971827875</v>
      </c>
      <c r="R44" s="96">
        <v>232.91912291538716</v>
      </c>
      <c r="S44" s="96">
        <v>232.07416253946135</v>
      </c>
      <c r="T44" s="96">
        <v>226.58091914427433</v>
      </c>
      <c r="U44" s="96">
        <v>216.9607638907365</v>
      </c>
      <c r="V44" s="96">
        <v>181.49592779030391</v>
      </c>
      <c r="W44" s="96">
        <v>226.18060328876632</v>
      </c>
      <c r="X44" s="96">
        <v>247.03190446594076</v>
      </c>
      <c r="Y44" s="96">
        <v>292.6480040451122</v>
      </c>
      <c r="DA44" s="171" t="s">
        <v>660</v>
      </c>
    </row>
    <row r="45" spans="1:105" ht="11.45" customHeight="1" x14ac:dyDescent="0.25">
      <c r="A45" s="160" t="s">
        <v>131</v>
      </c>
      <c r="B45" s="96">
        <v>4.3164409007806981</v>
      </c>
      <c r="C45" s="96">
        <v>3.4237606568532799</v>
      </c>
      <c r="D45" s="96">
        <v>3.11835352954306</v>
      </c>
      <c r="E45" s="96">
        <v>2.2225030191500421</v>
      </c>
      <c r="F45" s="96">
        <v>1.9923135810033032</v>
      </c>
      <c r="G45" s="96">
        <v>3.4310063750883319</v>
      </c>
      <c r="H45" s="96">
        <v>4.4456854609556711</v>
      </c>
      <c r="I45" s="96">
        <v>7.8231526053279081</v>
      </c>
      <c r="J45" s="96">
        <v>11.938938053041324</v>
      </c>
      <c r="K45" s="96">
        <v>10.331674321297289</v>
      </c>
      <c r="L45" s="96">
        <v>11.97384164416852</v>
      </c>
      <c r="M45" s="96">
        <v>12.93423333420786</v>
      </c>
      <c r="N45" s="96">
        <v>15.165559340397587</v>
      </c>
      <c r="O45" s="96">
        <v>16.250751690440172</v>
      </c>
      <c r="P45" s="96">
        <v>15.119236748432723</v>
      </c>
      <c r="Q45" s="96">
        <v>14.334213112280969</v>
      </c>
      <c r="R45" s="96">
        <v>14.718623276036821</v>
      </c>
      <c r="S45" s="96">
        <v>16.133447223907428</v>
      </c>
      <c r="T45" s="96">
        <v>16.495470955424437</v>
      </c>
      <c r="U45" s="96">
        <v>16.439695997544334</v>
      </c>
      <c r="V45" s="96">
        <v>13.798634064692903</v>
      </c>
      <c r="W45" s="96">
        <v>18.070692871267351</v>
      </c>
      <c r="X45" s="96">
        <v>21.249133084002814</v>
      </c>
      <c r="Y45" s="96">
        <v>23.627174408321835</v>
      </c>
      <c r="DA45" s="171" t="s">
        <v>661</v>
      </c>
    </row>
    <row r="46" spans="1:105" ht="11.45" customHeight="1" x14ac:dyDescent="0.25">
      <c r="A46" s="111" t="s">
        <v>111</v>
      </c>
      <c r="B46" s="96">
        <v>5952.5998907152925</v>
      </c>
      <c r="C46" s="96">
        <v>6072.8787525160378</v>
      </c>
      <c r="D46" s="96">
        <v>6115.0825443633885</v>
      </c>
      <c r="E46" s="96">
        <v>6045.8236464512938</v>
      </c>
      <c r="F46" s="96">
        <v>5951.7574955790769</v>
      </c>
      <c r="G46" s="96">
        <v>5915.8614420137965</v>
      </c>
      <c r="H46" s="96">
        <v>5919.6860782482108</v>
      </c>
      <c r="I46" s="96">
        <v>5904.5332991376508</v>
      </c>
      <c r="J46" s="96">
        <v>5731.3405955639782</v>
      </c>
      <c r="K46" s="96">
        <v>5890.8143992056284</v>
      </c>
      <c r="L46" s="96">
        <v>6022.9758993030127</v>
      </c>
      <c r="M46" s="96">
        <v>6394.910023020615</v>
      </c>
      <c r="N46" s="96">
        <v>6448.5782551626917</v>
      </c>
      <c r="O46" s="96">
        <v>6475.1818001026531</v>
      </c>
      <c r="P46" s="96">
        <v>6435.3971101468542</v>
      </c>
      <c r="Q46" s="96">
        <v>6679.1063493039255</v>
      </c>
      <c r="R46" s="96">
        <v>6617.3337340438529</v>
      </c>
      <c r="S46" s="96">
        <v>6744.2256381730585</v>
      </c>
      <c r="T46" s="96">
        <v>6731.3952247741126</v>
      </c>
      <c r="U46" s="96">
        <v>6689.0296111469643</v>
      </c>
      <c r="V46" s="96">
        <v>5747.956515373121</v>
      </c>
      <c r="W46" s="96">
        <v>6784.9535544036253</v>
      </c>
      <c r="X46" s="96">
        <v>6707.4157627538953</v>
      </c>
      <c r="Y46" s="96">
        <v>6567.8331809998735</v>
      </c>
      <c r="DA46" s="171" t="s">
        <v>662</v>
      </c>
    </row>
    <row r="47" spans="1:105" ht="11.45" customHeight="1" x14ac:dyDescent="0.25">
      <c r="A47" s="160" t="s">
        <v>131</v>
      </c>
      <c r="B47" s="96">
        <v>56.926362881459944</v>
      </c>
      <c r="C47" s="96">
        <v>57.214695709555912</v>
      </c>
      <c r="D47" s="96">
        <v>58.939184187262249</v>
      </c>
      <c r="E47" s="96">
        <v>54.594381029773317</v>
      </c>
      <c r="F47" s="96">
        <v>57.310714021187813</v>
      </c>
      <c r="G47" s="96">
        <v>93.203117837939828</v>
      </c>
      <c r="H47" s="96">
        <v>105.72325119575559</v>
      </c>
      <c r="I47" s="96">
        <v>208.65036626199597</v>
      </c>
      <c r="J47" s="96">
        <v>328.4954404094612</v>
      </c>
      <c r="K47" s="96">
        <v>372.86016933806286</v>
      </c>
      <c r="L47" s="96">
        <v>366.17722359288274</v>
      </c>
      <c r="M47" s="96">
        <v>372.43803667955643</v>
      </c>
      <c r="N47" s="96">
        <v>418.53711620974747</v>
      </c>
      <c r="O47" s="96">
        <v>422.39674705741152</v>
      </c>
      <c r="P47" s="96">
        <v>463.66434996418508</v>
      </c>
      <c r="Q47" s="96">
        <v>479.13607967733026</v>
      </c>
      <c r="R47" s="96">
        <v>464.63559639432674</v>
      </c>
      <c r="S47" s="96">
        <v>488.78490046829893</v>
      </c>
      <c r="T47" s="96">
        <v>493.45465583927728</v>
      </c>
      <c r="U47" s="96">
        <v>501.62651658132211</v>
      </c>
      <c r="V47" s="96">
        <v>418.756497221426</v>
      </c>
      <c r="W47" s="96">
        <v>461.57640925606154</v>
      </c>
      <c r="X47" s="96">
        <v>465.23332044900155</v>
      </c>
      <c r="Y47" s="96">
        <v>509.59019735928172</v>
      </c>
      <c r="DA47" s="171" t="s">
        <v>663</v>
      </c>
    </row>
    <row r="48" spans="1:105" ht="11.45" customHeight="1" x14ac:dyDescent="0.25">
      <c r="A48" s="111" t="s">
        <v>112</v>
      </c>
      <c r="B48" s="96">
        <v>27.550333523115615</v>
      </c>
      <c r="C48" s="96">
        <v>29.220917579244855</v>
      </c>
      <c r="D48" s="96">
        <v>29.830129222522288</v>
      </c>
      <c r="E48" s="96">
        <v>29.764144455588891</v>
      </c>
      <c r="F48" s="96">
        <v>30.036167304329638</v>
      </c>
      <c r="G48" s="96">
        <v>30.696461060945737</v>
      </c>
      <c r="H48" s="96">
        <v>32.724145532192772</v>
      </c>
      <c r="I48" s="96">
        <v>25.771761912385113</v>
      </c>
      <c r="J48" s="96">
        <v>23.136062335322741</v>
      </c>
      <c r="K48" s="96">
        <v>24.276521524904684</v>
      </c>
      <c r="L48" s="96">
        <v>24.006166448887193</v>
      </c>
      <c r="M48" s="96">
        <v>24.282741552106064</v>
      </c>
      <c r="N48" s="96">
        <v>23.274360358795843</v>
      </c>
      <c r="O48" s="96">
        <v>22.892649781557601</v>
      </c>
      <c r="P48" s="96">
        <v>22.019107616005432</v>
      </c>
      <c r="Q48" s="96">
        <v>22.264538930051277</v>
      </c>
      <c r="R48" s="96">
        <v>21.733176990641514</v>
      </c>
      <c r="S48" s="96">
        <v>21.350192353093806</v>
      </c>
      <c r="T48" s="96">
        <v>18.26673798262458</v>
      </c>
      <c r="U48" s="96">
        <v>17.105949457318975</v>
      </c>
      <c r="V48" s="96">
        <v>11.893767763051676</v>
      </c>
      <c r="W48" s="96">
        <v>14.083142214585315</v>
      </c>
      <c r="X48" s="96">
        <v>14.18292586165806</v>
      </c>
      <c r="Y48" s="96">
        <v>16.284827463404195</v>
      </c>
      <c r="DA48" s="171" t="s">
        <v>664</v>
      </c>
    </row>
    <row r="49" spans="1:105" ht="11.45" customHeight="1" x14ac:dyDescent="0.25">
      <c r="A49" s="111" t="s">
        <v>113</v>
      </c>
      <c r="B49" s="96">
        <v>0.32580807793397143</v>
      </c>
      <c r="C49" s="96">
        <v>0.30720059413201101</v>
      </c>
      <c r="D49" s="96">
        <v>0.3132278686387695</v>
      </c>
      <c r="E49" s="96">
        <v>0.48901415604971193</v>
      </c>
      <c r="F49" s="96">
        <v>0.4624545180547715</v>
      </c>
      <c r="G49" s="96">
        <v>0.44011304235616605</v>
      </c>
      <c r="H49" s="96">
        <v>0.87929329588886707</v>
      </c>
      <c r="I49" s="96">
        <v>0.81423187835660082</v>
      </c>
      <c r="J49" s="96">
        <v>0.78999220245205581</v>
      </c>
      <c r="K49" s="96">
        <v>0.94346978111475666</v>
      </c>
      <c r="L49" s="96">
        <v>0.88319317268616016</v>
      </c>
      <c r="M49" s="96">
        <v>1.0834313264017177</v>
      </c>
      <c r="N49" s="96">
        <v>1.4576027816427193</v>
      </c>
      <c r="O49" s="96">
        <v>1.8355951406062605</v>
      </c>
      <c r="P49" s="96">
        <v>2.0695329346575417</v>
      </c>
      <c r="Q49" s="96">
        <v>2.3919443768886102</v>
      </c>
      <c r="R49" s="96">
        <v>2.7791493209045068</v>
      </c>
      <c r="S49" s="96">
        <v>3.3702646507048599</v>
      </c>
      <c r="T49" s="96">
        <v>9.3642219402958968</v>
      </c>
      <c r="U49" s="96">
        <v>8.4115101033313895</v>
      </c>
      <c r="V49" s="96">
        <v>7.6729989316483511</v>
      </c>
      <c r="W49" s="96">
        <v>10.078811993186735</v>
      </c>
      <c r="X49" s="96">
        <v>10.059687005926726</v>
      </c>
      <c r="Y49" s="96">
        <v>10.248953204187702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1.6737187291599329E-5</v>
      </c>
      <c r="O50" s="96">
        <v>5.1546549512467285E-5</v>
      </c>
      <c r="P50" s="96">
        <v>1.5767185317052613E-4</v>
      </c>
      <c r="Q50" s="96">
        <v>4.4496470659911435E-4</v>
      </c>
      <c r="R50" s="96">
        <v>1.230970387443149E-3</v>
      </c>
      <c r="S50" s="96">
        <v>2.8219108241332338E-3</v>
      </c>
      <c r="T50" s="96">
        <v>1.4472661427660932E-2</v>
      </c>
      <c r="U50" s="96">
        <v>2.2026784033230933E-2</v>
      </c>
      <c r="V50" s="96">
        <v>3.8597158226269294E-2</v>
      </c>
      <c r="W50" s="96">
        <v>9.3791189814271564E-2</v>
      </c>
      <c r="X50" s="96">
        <v>0.164692516788185</v>
      </c>
      <c r="Y50" s="96">
        <v>0.24923634866903285</v>
      </c>
      <c r="DA50" s="171" t="s">
        <v>666</v>
      </c>
    </row>
    <row r="51" spans="1:105" ht="11.45" customHeight="1" x14ac:dyDescent="0.25">
      <c r="A51" s="111" t="s">
        <v>115</v>
      </c>
      <c r="B51" s="96">
        <v>0.45845720057178135</v>
      </c>
      <c r="C51" s="96">
        <v>0.51134023697321407</v>
      </c>
      <c r="D51" s="96">
        <v>0.54199933000049128</v>
      </c>
      <c r="E51" s="96">
        <v>0.55929922558747092</v>
      </c>
      <c r="F51" s="96">
        <v>0.57925094795976362</v>
      </c>
      <c r="G51" s="96">
        <v>0.5684443373149487</v>
      </c>
      <c r="H51" s="96">
        <v>0.56275141459160405</v>
      </c>
      <c r="I51" s="96">
        <v>0.58564971516555442</v>
      </c>
      <c r="J51" s="96">
        <v>0.52560242886506436</v>
      </c>
      <c r="K51" s="96">
        <v>0.55299635434638261</v>
      </c>
      <c r="L51" s="96">
        <v>0.49200416726953944</v>
      </c>
      <c r="M51" s="96">
        <v>0.7147219582985993</v>
      </c>
      <c r="N51" s="96">
        <v>0.81276431242467584</v>
      </c>
      <c r="O51" s="96">
        <v>1.1158051744876389</v>
      </c>
      <c r="P51" s="96">
        <v>1.5355941695896755</v>
      </c>
      <c r="Q51" s="96">
        <v>1.8988655018060836</v>
      </c>
      <c r="R51" s="96">
        <v>2.6511061751543759</v>
      </c>
      <c r="S51" s="96">
        <v>2.9367186694784992</v>
      </c>
      <c r="T51" s="96">
        <v>4.5054614552752721</v>
      </c>
      <c r="U51" s="96">
        <v>5.5262070046001801</v>
      </c>
      <c r="V51" s="96">
        <v>6.1359755007940837</v>
      </c>
      <c r="W51" s="96">
        <v>8.8266019084875467</v>
      </c>
      <c r="X51" s="96">
        <v>10.97625980122484</v>
      </c>
      <c r="Y51" s="96">
        <v>14.726248649150357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8143.3700591220531</v>
      </c>
      <c r="C52" s="130">
        <f t="shared" si="34"/>
        <v>8274.685108181262</v>
      </c>
      <c r="D52" s="130">
        <f t="shared" si="34"/>
        <v>8302.9200197985847</v>
      </c>
      <c r="E52" s="130">
        <f t="shared" si="34"/>
        <v>8205.9123990920853</v>
      </c>
      <c r="F52" s="130">
        <f t="shared" si="34"/>
        <v>8832.5867002861178</v>
      </c>
      <c r="G52" s="130">
        <f t="shared" si="34"/>
        <v>8853.7993308372861</v>
      </c>
      <c r="H52" s="130">
        <f t="shared" si="34"/>
        <v>8915.8781383370479</v>
      </c>
      <c r="I52" s="130">
        <f t="shared" si="34"/>
        <v>9089.6709586532415</v>
      </c>
      <c r="J52" s="130">
        <f t="shared" si="34"/>
        <v>8640.3440792757647</v>
      </c>
      <c r="K52" s="130">
        <f t="shared" si="34"/>
        <v>7694.3449939492148</v>
      </c>
      <c r="L52" s="130">
        <f t="shared" ref="L52" si="35">L53+L55</f>
        <v>7936.131294193483</v>
      </c>
      <c r="M52" s="130">
        <f t="shared" ref="M52:V52" si="36">M53+M55</f>
        <v>8058.9518398247128</v>
      </c>
      <c r="N52" s="130">
        <f t="shared" si="36"/>
        <v>7606.5145933903168</v>
      </c>
      <c r="O52" s="130">
        <f t="shared" si="36"/>
        <v>7663.7579782596003</v>
      </c>
      <c r="P52" s="130">
        <f t="shared" si="36"/>
        <v>7583.0206185628631</v>
      </c>
      <c r="Q52" s="130">
        <f t="shared" si="36"/>
        <v>7402.3124927625977</v>
      </c>
      <c r="R52" s="130">
        <f t="shared" si="36"/>
        <v>7644.3728559154597</v>
      </c>
      <c r="S52" s="130">
        <f t="shared" si="36"/>
        <v>7869.1645102755838</v>
      </c>
      <c r="T52" s="130">
        <f t="shared" si="36"/>
        <v>7712.2795941245204</v>
      </c>
      <c r="U52" s="130">
        <f t="shared" si="36"/>
        <v>7806.922382515856</v>
      </c>
      <c r="V52" s="130">
        <f t="shared" si="36"/>
        <v>7544.1816866556883</v>
      </c>
      <c r="W52" s="130">
        <f t="shared" ref="W52:Y52" si="37">W53+W55</f>
        <v>7983.9653403424618</v>
      </c>
      <c r="X52" s="130">
        <f t="shared" si="37"/>
        <v>7723.2055445080241</v>
      </c>
      <c r="Y52" s="130">
        <f t="shared" si="37"/>
        <v>7328.6437277816822</v>
      </c>
      <c r="DA52" s="176" t="s">
        <v>401</v>
      </c>
    </row>
    <row r="53" spans="1:105" ht="11.45" customHeight="1" x14ac:dyDescent="0.25">
      <c r="A53" s="128" t="s">
        <v>27</v>
      </c>
      <c r="B53" s="97">
        <v>5518.0803631341651</v>
      </c>
      <c r="C53" s="97">
        <v>5553.4754251675913</v>
      </c>
      <c r="D53" s="97">
        <v>5497.1677893649303</v>
      </c>
      <c r="E53" s="97">
        <v>5420.0337271775834</v>
      </c>
      <c r="F53" s="97">
        <v>5656.7066065664676</v>
      </c>
      <c r="G53" s="97">
        <v>5598.9720346495033</v>
      </c>
      <c r="H53" s="97">
        <v>5613.6708124031838</v>
      </c>
      <c r="I53" s="97">
        <v>5757.8464643245352</v>
      </c>
      <c r="J53" s="97">
        <v>5364.4959729172906</v>
      </c>
      <c r="K53" s="97">
        <v>4702.9075136634219</v>
      </c>
      <c r="L53" s="97">
        <v>4932.1525834601398</v>
      </c>
      <c r="M53" s="97">
        <v>5143.2044877459712</v>
      </c>
      <c r="N53" s="97">
        <v>4742.7612517410616</v>
      </c>
      <c r="O53" s="97">
        <v>4677.2513066546971</v>
      </c>
      <c r="P53" s="97">
        <v>4585.6409243887838</v>
      </c>
      <c r="Q53" s="97">
        <v>4324.1830718138935</v>
      </c>
      <c r="R53" s="97">
        <v>4451.6993957494633</v>
      </c>
      <c r="S53" s="97">
        <v>4491.4112469608526</v>
      </c>
      <c r="T53" s="97">
        <v>4353.6839956490576</v>
      </c>
      <c r="U53" s="97">
        <v>4345.1164168243786</v>
      </c>
      <c r="V53" s="97">
        <v>4160.8040712010998</v>
      </c>
      <c r="W53" s="97">
        <v>4284.2347339804592</v>
      </c>
      <c r="X53" s="97">
        <v>4105.8352193740511</v>
      </c>
      <c r="Y53" s="97">
        <v>3933.2692625223754</v>
      </c>
      <c r="DA53" s="175" t="s">
        <v>668</v>
      </c>
    </row>
    <row r="54" spans="1:105" ht="11.45" customHeight="1" x14ac:dyDescent="0.25">
      <c r="A54" s="160" t="s">
        <v>131</v>
      </c>
      <c r="B54" s="97">
        <v>52.77093218558101</v>
      </c>
      <c r="C54" s="97">
        <v>52.321216926950527</v>
      </c>
      <c r="D54" s="97">
        <v>52.983517801294838</v>
      </c>
      <c r="E54" s="97">
        <v>48.943436626611025</v>
      </c>
      <c r="F54" s="97">
        <v>54.469607485100113</v>
      </c>
      <c r="G54" s="97">
        <v>88.210593745604939</v>
      </c>
      <c r="H54" s="97">
        <v>100.25793962466567</v>
      </c>
      <c r="I54" s="97">
        <v>203.46684704735458</v>
      </c>
      <c r="J54" s="97">
        <v>307.46950697053092</v>
      </c>
      <c r="K54" s="97">
        <v>297.67138685650252</v>
      </c>
      <c r="L54" s="97">
        <v>299.85873587123211</v>
      </c>
      <c r="M54" s="97">
        <v>299.53900442101906</v>
      </c>
      <c r="N54" s="97">
        <v>307.82314157168526</v>
      </c>
      <c r="O54" s="97">
        <v>305.11201045654809</v>
      </c>
      <c r="P54" s="97">
        <v>330.39114478630381</v>
      </c>
      <c r="Q54" s="97">
        <v>310.20199656678773</v>
      </c>
      <c r="R54" s="97">
        <v>312.57574226172574</v>
      </c>
      <c r="S54" s="97">
        <v>325.51313035586008</v>
      </c>
      <c r="T54" s="97">
        <v>319.15309768162768</v>
      </c>
      <c r="U54" s="97">
        <v>325.85079436330818</v>
      </c>
      <c r="V54" s="97">
        <v>303.12750867561488</v>
      </c>
      <c r="W54" s="97">
        <v>291.45397519152397</v>
      </c>
      <c r="X54" s="97">
        <v>284.78499319111472</v>
      </c>
      <c r="Y54" s="97">
        <v>305.17758361378429</v>
      </c>
      <c r="DA54" s="175" t="s">
        <v>669</v>
      </c>
    </row>
    <row r="55" spans="1:105" ht="11.45" customHeight="1" x14ac:dyDescent="0.25">
      <c r="A55" s="128" t="s">
        <v>116</v>
      </c>
      <c r="B55" s="97">
        <v>2625.2896959878876</v>
      </c>
      <c r="C55" s="97">
        <v>2721.2096830136707</v>
      </c>
      <c r="D55" s="97">
        <v>2805.7522304336549</v>
      </c>
      <c r="E55" s="97">
        <v>2785.878671914501</v>
      </c>
      <c r="F55" s="97">
        <v>3175.8800937196506</v>
      </c>
      <c r="G55" s="97">
        <v>3254.8272961877819</v>
      </c>
      <c r="H55" s="97">
        <v>3302.2073259338631</v>
      </c>
      <c r="I55" s="97">
        <v>3331.8244943287073</v>
      </c>
      <c r="J55" s="97">
        <v>3275.8481063584741</v>
      </c>
      <c r="K55" s="97">
        <v>2991.4374802857933</v>
      </c>
      <c r="L55" s="97">
        <v>3003.9787107333427</v>
      </c>
      <c r="M55" s="97">
        <v>2915.7473520787412</v>
      </c>
      <c r="N55" s="97">
        <v>2863.7533416492556</v>
      </c>
      <c r="O55" s="97">
        <v>2986.5066716049032</v>
      </c>
      <c r="P55" s="97">
        <v>2997.3796941740798</v>
      </c>
      <c r="Q55" s="97">
        <v>3078.1294209487041</v>
      </c>
      <c r="R55" s="97">
        <v>3192.6734601659964</v>
      </c>
      <c r="S55" s="97">
        <v>3377.7532633147312</v>
      </c>
      <c r="T55" s="97">
        <v>3358.5955984754632</v>
      </c>
      <c r="U55" s="97">
        <v>3461.8059656914775</v>
      </c>
      <c r="V55" s="97">
        <v>3383.3776154545885</v>
      </c>
      <c r="W55" s="97">
        <v>3699.7306063620022</v>
      </c>
      <c r="X55" s="97">
        <v>3617.3703251339725</v>
      </c>
      <c r="Y55" s="97">
        <v>3395.3744652593064</v>
      </c>
      <c r="DA55" s="175" t="s">
        <v>670</v>
      </c>
    </row>
    <row r="56" spans="1:105" ht="11.45" customHeight="1" x14ac:dyDescent="0.25">
      <c r="A56" s="161" t="s">
        <v>131</v>
      </c>
      <c r="B56" s="98">
        <v>25.106373122082239</v>
      </c>
      <c r="C56" s="98">
        <v>25.637459649761549</v>
      </c>
      <c r="D56" s="98">
        <v>27.042766192221006</v>
      </c>
      <c r="E56" s="98">
        <v>25.156757889637255</v>
      </c>
      <c r="F56" s="98">
        <v>30.581211676038095</v>
      </c>
      <c r="G56" s="98">
        <v>51.279100263285976</v>
      </c>
      <c r="H56" s="98">
        <v>58.976116301674537</v>
      </c>
      <c r="I56" s="98">
        <v>117.73773909682323</v>
      </c>
      <c r="J56" s="98">
        <v>187.75732282349827</v>
      </c>
      <c r="K56" s="98">
        <v>189.34357966090371</v>
      </c>
      <c r="L56" s="98">
        <v>182.6320746453186</v>
      </c>
      <c r="M56" s="98">
        <v>169.81243134815591</v>
      </c>
      <c r="N56" s="98">
        <v>185.86842211154473</v>
      </c>
      <c r="O56" s="98">
        <v>194.81934903065886</v>
      </c>
      <c r="P56" s="98">
        <v>215.95840687185773</v>
      </c>
      <c r="Q56" s="98">
        <v>220.81440036458122</v>
      </c>
      <c r="R56" s="98">
        <v>224.17332975437554</v>
      </c>
      <c r="S56" s="98">
        <v>244.80123904380525</v>
      </c>
      <c r="T56" s="98">
        <v>246.20670452530686</v>
      </c>
      <c r="U56" s="98">
        <v>259.60920620778859</v>
      </c>
      <c r="V56" s="98">
        <v>246.489575075217</v>
      </c>
      <c r="W56" s="98">
        <v>251.69050234558682</v>
      </c>
      <c r="X56" s="98">
        <v>250.9045610383927</v>
      </c>
      <c r="Y56" s="98">
        <v>263.44297977384775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10.559827479380921</v>
      </c>
      <c r="C60" s="79">
        <f>IF(C17=0,0,C17/TrRoad_act!C30*100)</f>
        <v>10.149032195395364</v>
      </c>
      <c r="D60" s="79">
        <f>IF(D17=0,0,D17/TrRoad_act!D30*100)</f>
        <v>9.9538670737178343</v>
      </c>
      <c r="E60" s="79">
        <f>IF(E17=0,0,E17/TrRoad_act!E30*100)</f>
        <v>9.7432093899777534</v>
      </c>
      <c r="F60" s="79">
        <f>IF(F17=0,0,F17/TrRoad_act!F30*100)</f>
        <v>9.6436250398979482</v>
      </c>
      <c r="G60" s="79">
        <f>IF(G17=0,0,G17/TrRoad_act!G30*100)</f>
        <v>9.5341505695427742</v>
      </c>
      <c r="H60" s="79">
        <f>IF(H17=0,0,H17/TrRoad_act!H30*100)</f>
        <v>9.3930887997612231</v>
      </c>
      <c r="I60" s="79">
        <f>IF(I17=0,0,I17/TrRoad_act!I30*100)</f>
        <v>9.2631154057937568</v>
      </c>
      <c r="J60" s="79">
        <f>IF(J17=0,0,J17/TrRoad_act!J30*100)</f>
        <v>9.1419138465875527</v>
      </c>
      <c r="K60" s="79">
        <f>IF(K17=0,0,K17/TrRoad_act!K30*100)</f>
        <v>8.9097656274044645</v>
      </c>
      <c r="L60" s="79">
        <f>IF(L17=0,0,L17/TrRoad_act!L30*100)</f>
        <v>8.8011709185893245</v>
      </c>
      <c r="M60" s="79">
        <f>IF(M17=0,0,M17/TrRoad_act!M30*100)</f>
        <v>8.751912958376721</v>
      </c>
      <c r="N60" s="79">
        <f>IF(N17=0,0,N17/TrRoad_act!N30*100)</f>
        <v>8.6128718552443484</v>
      </c>
      <c r="O60" s="79">
        <f>IF(O17=0,0,O17/TrRoad_act!O30*100)</f>
        <v>8.4813747876460006</v>
      </c>
      <c r="P60" s="79">
        <f>IF(P17=0,0,P17/TrRoad_act!P30*100)</f>
        <v>8.3425064938408138</v>
      </c>
      <c r="Q60" s="79">
        <f>IF(Q17=0,0,Q17/TrRoad_act!Q30*100)</f>
        <v>8.2071098196355337</v>
      </c>
      <c r="R60" s="79">
        <f>IF(R17=0,0,R17/TrRoad_act!R30*100)</f>
        <v>8.0893235549868425</v>
      </c>
      <c r="S60" s="79">
        <f>IF(S17=0,0,S17/TrRoad_act!S30*100)</f>
        <v>7.9966978731301168</v>
      </c>
      <c r="T60" s="79">
        <f>IF(T17=0,0,T17/TrRoad_act!T30*100)</f>
        <v>7.9234771352004278</v>
      </c>
      <c r="U60" s="79">
        <f>IF(U17=0,0,U17/TrRoad_act!U30*100)</f>
        <v>7.751881628314397</v>
      </c>
      <c r="V60" s="79">
        <f>IF(V17=0,0,V17/TrRoad_act!V30*100)</f>
        <v>7.8316022229475797</v>
      </c>
      <c r="W60" s="79">
        <f>IF(W17=0,0,W17/TrRoad_act!W30*100)</f>
        <v>7.7396805813518714</v>
      </c>
      <c r="X60" s="79">
        <f>IF(X17=0,0,X17/TrRoad_act!X30*100)</f>
        <v>7.4362379425705605</v>
      </c>
      <c r="Y60" s="79">
        <f>IF(Y17=0,0,Y17/TrRoad_act!Y30*100)</f>
        <v>7.081579171273833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8.53563630312809</v>
      </c>
      <c r="C61" s="32">
        <f>IF(C18=0,0,C18/TrRoad_act!C31*100)</f>
        <v>8.2004886154093715</v>
      </c>
      <c r="D61" s="32">
        <f>IF(D18=0,0,D18/TrRoad_act!D31*100)</f>
        <v>8.0396478983095854</v>
      </c>
      <c r="E61" s="32">
        <f>IF(E18=0,0,E18/TrRoad_act!E31*100)</f>
        <v>7.8661687955106432</v>
      </c>
      <c r="F61" s="32">
        <f>IF(F18=0,0,F18/TrRoad_act!F31*100)</f>
        <v>7.6896513026468369</v>
      </c>
      <c r="G61" s="32">
        <f>IF(G18=0,0,G18/TrRoad_act!G31*100)</f>
        <v>7.5799830251786204</v>
      </c>
      <c r="H61" s="32">
        <f>IF(H18=0,0,H18/TrRoad_act!H31*100)</f>
        <v>7.4705192509779055</v>
      </c>
      <c r="I61" s="32">
        <f>IF(I18=0,0,I18/TrRoad_act!I31*100)</f>
        <v>7.3567735950827036</v>
      </c>
      <c r="J61" s="32">
        <f>IF(J18=0,0,J18/TrRoad_act!J31*100)</f>
        <v>7.2896167505542762</v>
      </c>
      <c r="K61" s="32">
        <f>IF(K18=0,0,K18/TrRoad_act!K31*100)</f>
        <v>7.238516156776253</v>
      </c>
      <c r="L61" s="32">
        <f>IF(L18=0,0,L18/TrRoad_act!L31*100)</f>
        <v>7.0862711563703895</v>
      </c>
      <c r="M61" s="32">
        <f>IF(M18=0,0,M18/TrRoad_act!M31*100)</f>
        <v>7.0682615427225262</v>
      </c>
      <c r="N61" s="32">
        <f>IF(N18=0,0,N18/TrRoad_act!N31*100)</f>
        <v>6.9980993398715956</v>
      </c>
      <c r="O61" s="32">
        <f>IF(O18=0,0,O18/TrRoad_act!O31*100)</f>
        <v>6.8684258120971631</v>
      </c>
      <c r="P61" s="32">
        <f>IF(P18=0,0,P18/TrRoad_act!P31*100)</f>
        <v>6.77324520285008</v>
      </c>
      <c r="Q61" s="32">
        <f>IF(Q18=0,0,Q18/TrRoad_act!Q31*100)</f>
        <v>6.6972383128354931</v>
      </c>
      <c r="R61" s="32">
        <f>IF(R18=0,0,R18/TrRoad_act!R31*100)</f>
        <v>6.5622442056531334</v>
      </c>
      <c r="S61" s="32">
        <f>IF(S18=0,0,S18/TrRoad_act!S31*100)</f>
        <v>6.4499244228551103</v>
      </c>
      <c r="T61" s="32">
        <f>IF(T18=0,0,T18/TrRoad_act!T31*100)</f>
        <v>6.3809126141877686</v>
      </c>
      <c r="U61" s="32">
        <f>IF(U18=0,0,U18/TrRoad_act!U31*100)</f>
        <v>6.2153604649439593</v>
      </c>
      <c r="V61" s="32">
        <f>IF(V18=0,0,V18/TrRoad_act!V31*100)</f>
        <v>6.0913582229162513</v>
      </c>
      <c r="W61" s="32">
        <f>IF(W18=0,0,W18/TrRoad_act!W31*100)</f>
        <v>6.0760106476205129</v>
      </c>
      <c r="X61" s="32">
        <f>IF(X18=0,0,X18/TrRoad_act!X31*100)</f>
        <v>5.9091392490352588</v>
      </c>
      <c r="Y61" s="32">
        <f>IF(Y18=0,0,Y18/TrRoad_act!Y31*100)</f>
        <v>5.6474809050926371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3.6627503570207951</v>
      </c>
      <c r="C62" s="141">
        <f>IF(C19=0,0,C19/TrRoad_act!C32*100)</f>
        <v>3.6435241024008294</v>
      </c>
      <c r="D62" s="141">
        <f>IF(D19=0,0,D19/TrRoad_act!D32*100)</f>
        <v>3.6260769137322333</v>
      </c>
      <c r="E62" s="141">
        <f>IF(E19=0,0,E19/TrRoad_act!E32*100)</f>
        <v>3.606416253112315</v>
      </c>
      <c r="F62" s="141">
        <f>IF(F19=0,0,F19/TrRoad_act!F32*100)</f>
        <v>3.5850819000333067</v>
      </c>
      <c r="G62" s="141">
        <f>IF(G19=0,0,G19/TrRoad_act!G32*100)</f>
        <v>3.5614309967395341</v>
      </c>
      <c r="H62" s="141">
        <f>IF(H19=0,0,H19/TrRoad_act!H32*100)</f>
        <v>3.5359609989535392</v>
      </c>
      <c r="I62" s="141">
        <f>IF(I19=0,0,I19/TrRoad_act!I32*100)</f>
        <v>3.5182521629614056</v>
      </c>
      <c r="J62" s="141">
        <f>IF(J19=0,0,J19/TrRoad_act!J32*100)</f>
        <v>3.4958209528550435</v>
      </c>
      <c r="K62" s="141">
        <f>IF(K19=0,0,K19/TrRoad_act!K32*100)</f>
        <v>3.4692508364644055</v>
      </c>
      <c r="L62" s="141">
        <f>IF(L19=0,0,L19/TrRoad_act!L32*100)</f>
        <v>3.4458062262290103</v>
      </c>
      <c r="M62" s="141">
        <f>IF(M19=0,0,M19/TrRoad_act!M32*100)</f>
        <v>3.4210893156179365</v>
      </c>
      <c r="N62" s="141">
        <f>IF(N19=0,0,N19/TrRoad_act!N32*100)</f>
        <v>3.3986223736016132</v>
      </c>
      <c r="O62" s="141">
        <f>IF(O19=0,0,O19/TrRoad_act!O32*100)</f>
        <v>3.3772781887373502</v>
      </c>
      <c r="P62" s="141">
        <f>IF(P19=0,0,P19/TrRoad_act!P32*100)</f>
        <v>3.3574890281734722</v>
      </c>
      <c r="Q62" s="141">
        <f>IF(Q19=0,0,Q19/TrRoad_act!Q32*100)</f>
        <v>3.3465851696933848</v>
      </c>
      <c r="R62" s="141">
        <f>IF(R19=0,0,R19/TrRoad_act!R32*100)</f>
        <v>3.3311831486180274</v>
      </c>
      <c r="S62" s="141">
        <f>IF(S19=0,0,S19/TrRoad_act!S32*100)</f>
        <v>3.3148388377489035</v>
      </c>
      <c r="T62" s="141">
        <f>IF(T19=0,0,T19/TrRoad_act!T32*100)</f>
        <v>3.4725071689750897</v>
      </c>
      <c r="U62" s="141">
        <f>IF(U19=0,0,U19/TrRoad_act!U32*100)</f>
        <v>3.2934328539454523</v>
      </c>
      <c r="V62" s="141">
        <f>IF(V19=0,0,V19/TrRoad_act!V32*100)</f>
        <v>3.3004405363000617</v>
      </c>
      <c r="W62" s="141">
        <f>IF(W19=0,0,W19/TrRoad_act!W32*100)</f>
        <v>3.2385643016917651</v>
      </c>
      <c r="X62" s="141">
        <f>IF(X19=0,0,X19/TrRoad_act!X32*100)</f>
        <v>3.4095297031055072</v>
      </c>
      <c r="Y62" s="141">
        <f>IF(Y19=0,0,Y19/TrRoad_act!Y32*100)</f>
        <v>3.308789355892344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8.2233687450017321</v>
      </c>
      <c r="C63" s="130">
        <f>IF(C21=0,0,C21/TrRoad_act!C33*100)</f>
        <v>7.9183916087965951</v>
      </c>
      <c r="D63" s="130">
        <f>IF(D21=0,0,D21/TrRoad_act!D33*100)</f>
        <v>7.7737739044606071</v>
      </c>
      <c r="E63" s="130">
        <f>IF(E21=0,0,E21/TrRoad_act!E33*100)</f>
        <v>7.5930924417359034</v>
      </c>
      <c r="F63" s="130">
        <f>IF(F21=0,0,F21/TrRoad_act!F33*100)</f>
        <v>7.4163357416077131</v>
      </c>
      <c r="G63" s="130">
        <f>IF(G21=0,0,G21/TrRoad_act!G33*100)</f>
        <v>7.3063000479236546</v>
      </c>
      <c r="H63" s="130">
        <f>IF(H21=0,0,H21/TrRoad_act!H33*100)</f>
        <v>7.1814790043910763</v>
      </c>
      <c r="I63" s="130">
        <f>IF(I21=0,0,I21/TrRoad_act!I33*100)</f>
        <v>7.0661644275085287</v>
      </c>
      <c r="J63" s="130">
        <f>IF(J21=0,0,J21/TrRoad_act!J33*100)</f>
        <v>7.0038047557706822</v>
      </c>
      <c r="K63" s="130">
        <f>IF(K21=0,0,K21/TrRoad_act!K33*100)</f>
        <v>6.9828637619014531</v>
      </c>
      <c r="L63" s="130">
        <f>IF(L21=0,0,L21/TrRoad_act!L33*100)</f>
        <v>6.8387359411610547</v>
      </c>
      <c r="M63" s="130">
        <f>IF(M21=0,0,M21/TrRoad_act!M33*100)</f>
        <v>6.8369032485302101</v>
      </c>
      <c r="N63" s="130">
        <f>IF(N21=0,0,N21/TrRoad_act!N33*100)</f>
        <v>6.7692742285506036</v>
      </c>
      <c r="O63" s="130">
        <f>IF(O21=0,0,O21/TrRoad_act!O33*100)</f>
        <v>6.6663333037108599</v>
      </c>
      <c r="P63" s="130">
        <f>IF(P21=0,0,P21/TrRoad_act!P33*100)</f>
        <v>6.5714151017965499</v>
      </c>
      <c r="Q63" s="130">
        <f>IF(Q21=0,0,Q21/TrRoad_act!Q33*100)</f>
        <v>6.4927079220535493</v>
      </c>
      <c r="R63" s="130">
        <f>IF(R21=0,0,R21/TrRoad_act!R33*100)</f>
        <v>6.3394081109063345</v>
      </c>
      <c r="S63" s="130">
        <f>IF(S21=0,0,S21/TrRoad_act!S33*100)</f>
        <v>6.2293287245374005</v>
      </c>
      <c r="T63" s="130">
        <f>IF(T21=0,0,T21/TrRoad_act!T33*100)</f>
        <v>6.1419679119811503</v>
      </c>
      <c r="U63" s="130">
        <f>IF(U21=0,0,U21/TrRoad_act!U33*100)</f>
        <v>5.9843243688934633</v>
      </c>
      <c r="V63" s="130">
        <f>IF(V21=0,0,V21/TrRoad_act!V33*100)</f>
        <v>5.8864492566534912</v>
      </c>
      <c r="W63" s="130">
        <f>IF(W21=0,0,W21/TrRoad_act!W33*100)</f>
        <v>5.8600052059520769</v>
      </c>
      <c r="X63" s="130">
        <f>IF(X21=0,0,X21/TrRoad_act!X33*100)</f>
        <v>5.6802963204769705</v>
      </c>
      <c r="Y63" s="130">
        <f>IF(Y21=0,0,Y21/TrRoad_act!Y33*100)</f>
        <v>5.4256037604772569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8.1290998257064011</v>
      </c>
      <c r="C64" s="96">
        <f>IF(C22=0,0,C22/TrRoad_act!C34*100)</f>
        <v>7.9644676627508639</v>
      </c>
      <c r="D64" s="96">
        <f>IF(D22=0,0,D22/TrRoad_act!D34*100)</f>
        <v>7.8997377146372063</v>
      </c>
      <c r="E64" s="96">
        <f>IF(E22=0,0,E22/TrRoad_act!E34*100)</f>
        <v>7.8422446798506744</v>
      </c>
      <c r="F64" s="96">
        <f>IF(F22=0,0,F22/TrRoad_act!F34*100)</f>
        <v>7.7843160515485943</v>
      </c>
      <c r="G64" s="96">
        <f>IF(G22=0,0,G22/TrRoad_act!G34*100)</f>
        <v>7.716948279021441</v>
      </c>
      <c r="H64" s="96">
        <f>IF(H22=0,0,H22/TrRoad_act!H34*100)</f>
        <v>7.6496081808625451</v>
      </c>
      <c r="I64" s="96">
        <f>IF(I22=0,0,I22/TrRoad_act!I34*100)</f>
        <v>7.5749426005511822</v>
      </c>
      <c r="J64" s="96">
        <f>IF(J22=0,0,J22/TrRoad_act!J34*100)</f>
        <v>7.5053543018644708</v>
      </c>
      <c r="K64" s="96">
        <f>IF(K22=0,0,K22/TrRoad_act!K34*100)</f>
        <v>7.3674931440909859</v>
      </c>
      <c r="L64" s="96">
        <f>IF(L22=0,0,L22/TrRoad_act!L34*100)</f>
        <v>7.2255173015497096</v>
      </c>
      <c r="M64" s="96">
        <f>IF(M22=0,0,M22/TrRoad_act!M34*100)</f>
        <v>7.0804111606667348</v>
      </c>
      <c r="N64" s="96">
        <f>IF(N22=0,0,N22/TrRoad_act!N34*100)</f>
        <v>6.9507082068399573</v>
      </c>
      <c r="O64" s="96">
        <f>IF(O22=0,0,O22/TrRoad_act!O34*100)</f>
        <v>6.8319307553790338</v>
      </c>
      <c r="P64" s="96">
        <f>IF(P22=0,0,P22/TrRoad_act!P34*100)</f>
        <v>6.671675235123022</v>
      </c>
      <c r="Q64" s="96">
        <f>IF(Q22=0,0,Q22/TrRoad_act!Q34*100)</f>
        <v>6.5149794672807477</v>
      </c>
      <c r="R64" s="96">
        <f>IF(R22=0,0,R22/TrRoad_act!R34*100)</f>
        <v>6.3291265545234729</v>
      </c>
      <c r="S64" s="96">
        <f>IF(S22=0,0,S22/TrRoad_act!S34*100)</f>
        <v>6.1702139487802548</v>
      </c>
      <c r="T64" s="96">
        <f>IF(T22=0,0,T22/TrRoad_act!T34*100)</f>
        <v>6.0096869334598697</v>
      </c>
      <c r="U64" s="96">
        <f>IF(U22=0,0,U22/TrRoad_act!U34*100)</f>
        <v>5.8783313808296915</v>
      </c>
      <c r="V64" s="96">
        <f>IF(V22=0,0,V22/TrRoad_act!V34*100)</f>
        <v>5.7693566793475926</v>
      </c>
      <c r="W64" s="96">
        <f>IF(W22=0,0,W22/TrRoad_act!W34*100)</f>
        <v>5.6327491448782725</v>
      </c>
      <c r="X64" s="96">
        <f>IF(X22=0,0,X22/TrRoad_act!X34*100)</f>
        <v>5.4857370673441617</v>
      </c>
      <c r="Y64" s="96">
        <f>IF(Y22=0,0,Y22/TrRoad_act!Y34*100)</f>
        <v>5.3449804091454851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8.3382601798956451</v>
      </c>
      <c r="C65" s="96">
        <f>IF(C24=0,0,C24/TrRoad_act!C35*100)</f>
        <v>7.8818556419941119</v>
      </c>
      <c r="D65" s="96">
        <f>IF(D24=0,0,D24/TrRoad_act!D35*100)</f>
        <v>7.6678362076346973</v>
      </c>
      <c r="E65" s="96">
        <f>IF(E24=0,0,E24/TrRoad_act!E35*100)</f>
        <v>7.4008035798087848</v>
      </c>
      <c r="F65" s="96">
        <f>IF(F24=0,0,F24/TrRoad_act!F35*100)</f>
        <v>7.1544000424355323</v>
      </c>
      <c r="G65" s="96">
        <f>IF(G24=0,0,G24/TrRoad_act!G35*100)</f>
        <v>7.0382439309512757</v>
      </c>
      <c r="H65" s="96">
        <f>IF(H24=0,0,H24/TrRoad_act!H35*100)</f>
        <v>6.9113499064072492</v>
      </c>
      <c r="I65" s="96">
        <f>IF(I24=0,0,I24/TrRoad_act!I35*100)</f>
        <v>6.8022303402936153</v>
      </c>
      <c r="J65" s="96">
        <f>IF(J24=0,0,J24/TrRoad_act!J35*100)</f>
        <v>6.7782391827623636</v>
      </c>
      <c r="K65" s="96">
        <f>IF(K24=0,0,K24/TrRoad_act!K35*100)</f>
        <v>6.8306932953118684</v>
      </c>
      <c r="L65" s="96">
        <f>IF(L24=0,0,L24/TrRoad_act!L35*100)</f>
        <v>6.6973606371799912</v>
      </c>
      <c r="M65" s="96">
        <f>IF(M24=0,0,M24/TrRoad_act!M35*100)</f>
        <v>6.7505522646917937</v>
      </c>
      <c r="N65" s="96">
        <f>IF(N24=0,0,N24/TrRoad_act!N35*100)</f>
        <v>6.7112345330175422</v>
      </c>
      <c r="O65" s="96">
        <f>IF(O24=0,0,O24/TrRoad_act!O35*100)</f>
        <v>6.616755126187444</v>
      </c>
      <c r="P65" s="96">
        <f>IF(P24=0,0,P24/TrRoad_act!P35*100)</f>
        <v>6.5446416988095297</v>
      </c>
      <c r="Q65" s="96">
        <f>IF(Q24=0,0,Q24/TrRoad_act!Q35*100)</f>
        <v>6.4957500012512011</v>
      </c>
      <c r="R65" s="96">
        <f>IF(R24=0,0,R24/TrRoad_act!R35*100)</f>
        <v>6.3582319370371678</v>
      </c>
      <c r="S65" s="96">
        <f>IF(S24=0,0,S24/TrRoad_act!S35*100)</f>
        <v>6.2733893547468487</v>
      </c>
      <c r="T65" s="96">
        <f>IF(T24=0,0,T24/TrRoad_act!T35*100)</f>
        <v>6.2278364745598918</v>
      </c>
      <c r="U65" s="96">
        <f>IF(U24=0,0,U24/TrRoad_act!U35*100)</f>
        <v>6.0763620465116333</v>
      </c>
      <c r="V65" s="96">
        <f>IF(V24=0,0,V24/TrRoad_act!V35*100)</f>
        <v>6.0251178067210462</v>
      </c>
      <c r="W65" s="96">
        <f>IF(W24=0,0,W24/TrRoad_act!W35*100)</f>
        <v>6.1228579287320386</v>
      </c>
      <c r="X65" s="96">
        <f>IF(X24=0,0,X24/TrRoad_act!X35*100)</f>
        <v>5.9751346578629532</v>
      </c>
      <c r="Y65" s="96">
        <f>IF(Y24=0,0,Y24/TrRoad_act!Y35*100)</f>
        <v>5.7061126338041728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7.5468966705272766</v>
      </c>
      <c r="C66" s="96">
        <f>IF(C26=0,0,C26/TrRoad_act!C36*100)</f>
        <v>7.476297873360485</v>
      </c>
      <c r="D66" s="96">
        <f>IF(D26=0,0,D26/TrRoad_act!D36*100)</f>
        <v>7.4720258642763504</v>
      </c>
      <c r="E66" s="96">
        <f>IF(E26=0,0,E26/TrRoad_act!E36*100)</f>
        <v>7.4634378790008835</v>
      </c>
      <c r="F66" s="96">
        <f>IF(F26=0,0,F26/TrRoad_act!F36*100)</f>
        <v>7.4561725011300899</v>
      </c>
      <c r="G66" s="96">
        <f>IF(G26=0,0,G26/TrRoad_act!G36*100)</f>
        <v>7.4460727416529826</v>
      </c>
      <c r="H66" s="96">
        <f>IF(H26=0,0,H26/TrRoad_act!H36*100)</f>
        <v>7.4357590097675672</v>
      </c>
      <c r="I66" s="96">
        <f>IF(I26=0,0,I26/TrRoad_act!I36*100)</f>
        <v>8.1117626547577633</v>
      </c>
      <c r="J66" s="96">
        <f>IF(J26=0,0,J26/TrRoad_act!J36*100)</f>
        <v>7.2922671902233462</v>
      </c>
      <c r="K66" s="96">
        <f>IF(K26=0,0,K26/TrRoad_act!K36*100)</f>
        <v>5.7789974944821685</v>
      </c>
      <c r="L66" s="96">
        <f>IF(L26=0,0,L26/TrRoad_act!L36*100)</f>
        <v>6.5750905198052756</v>
      </c>
      <c r="M66" s="96">
        <f>IF(M26=0,0,M26/TrRoad_act!M36*100)</f>
        <v>6.7946309385034969</v>
      </c>
      <c r="N66" s="96">
        <f>IF(N26=0,0,N26/TrRoad_act!N36*100)</f>
        <v>6.8035261308091899</v>
      </c>
      <c r="O66" s="96">
        <f>IF(O26=0,0,O26/TrRoad_act!O36*100)</f>
        <v>7.0460722237874878</v>
      </c>
      <c r="P66" s="96">
        <f>IF(P26=0,0,P26/TrRoad_act!P36*100)</f>
        <v>6.8963273062391846</v>
      </c>
      <c r="Q66" s="96">
        <f>IF(Q26=0,0,Q26/TrRoad_act!Q36*100)</f>
        <v>6.3622801304049528</v>
      </c>
      <c r="R66" s="96">
        <f>IF(R26=0,0,R26/TrRoad_act!R36*100)</f>
        <v>6.0748608244839684</v>
      </c>
      <c r="S66" s="96">
        <f>IF(S26=0,0,S26/TrRoad_act!S36*100)</f>
        <v>5.6111923842068343</v>
      </c>
      <c r="T66" s="96">
        <f>IF(T26=0,0,T26/TrRoad_act!T36*100)</f>
        <v>5.4020317420544162</v>
      </c>
      <c r="U66" s="96">
        <f>IF(U26=0,0,U26/TrRoad_act!U36*100)</f>
        <v>5.1939853345068547</v>
      </c>
      <c r="V66" s="96">
        <f>IF(V26=0,0,V26/TrRoad_act!V36*100)</f>
        <v>4.4023899163009546</v>
      </c>
      <c r="W66" s="96">
        <f>IF(W26=0,0,W26/TrRoad_act!W36*100)</f>
        <v>5.4935142178828382</v>
      </c>
      <c r="X66" s="96">
        <f>IF(X26=0,0,X26/TrRoad_act!X36*100)</f>
        <v>8.4360611457005952</v>
      </c>
      <c r="Y66" s="96">
        <f>IF(Y26=0,0,Y26/TrRoad_act!Y36*100)</f>
        <v>8.4000397706569743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7.5684606245971144</v>
      </c>
      <c r="J67" s="96">
        <f>IF(J27=0,0,J27/TrRoad_act!J37*100)</f>
        <v>7.2720299307382286</v>
      </c>
      <c r="K67" s="96">
        <f>IF(K27=0,0,K27/TrRoad_act!K37*100)</f>
        <v>7.0302335174683979</v>
      </c>
      <c r="L67" s="96">
        <f>IF(L27=0,0,L27/TrRoad_act!L37*100)</f>
        <v>6.9510546890533185</v>
      </c>
      <c r="M67" s="96">
        <f>IF(M27=0,0,M27/TrRoad_act!M37*100)</f>
        <v>6.8522570059784629</v>
      </c>
      <c r="N67" s="96">
        <f>IF(N27=0,0,N27/TrRoad_act!N37*100)</f>
        <v>6.7446486584516308</v>
      </c>
      <c r="O67" s="96">
        <f>IF(O27=0,0,O27/TrRoad_act!O37*100)</f>
        <v>6.6432870364744181</v>
      </c>
      <c r="P67" s="96">
        <f>IF(P27=0,0,P27/TrRoad_act!P37*100)</f>
        <v>6.5206457573785297</v>
      </c>
      <c r="Q67" s="96">
        <f>IF(Q27=0,0,Q27/TrRoad_act!Q37*100)</f>
        <v>6.3252569366077704</v>
      </c>
      <c r="R67" s="96">
        <f>IF(R27=0,0,R27/TrRoad_act!R37*100)</f>
        <v>5.5932261931191904</v>
      </c>
      <c r="S67" s="96">
        <f>IF(S27=0,0,S27/TrRoad_act!S37*100)</f>
        <v>5.5277315078259708</v>
      </c>
      <c r="T67" s="96">
        <f>IF(T27=0,0,T27/TrRoad_act!T37*100)</f>
        <v>5.4524426033364826</v>
      </c>
      <c r="U67" s="96">
        <f>IF(U27=0,0,U27/TrRoad_act!U37*100)</f>
        <v>5.4078352715532212</v>
      </c>
      <c r="V67" s="96">
        <f>IF(V27=0,0,V27/TrRoad_act!V37*100)</f>
        <v>5.3737386056460688</v>
      </c>
      <c r="W67" s="96">
        <f>IF(W27=0,0,W27/TrRoad_act!W37*100)</f>
        <v>5.2866883912188962</v>
      </c>
      <c r="X67" s="96">
        <f>IF(X27=0,0,X27/TrRoad_act!X37*100)</f>
        <v>5.2594596000447362</v>
      </c>
      <c r="Y67" s="96">
        <f>IF(Y27=0,0,Y27/TrRoad_act!Y37*100)</f>
        <v>4.8057153992761821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2.8688900062478222</v>
      </c>
      <c r="O68" s="96">
        <f>IF(O29=0,0,O29/TrRoad_act!O38*100)</f>
        <v>3.0022017203281308</v>
      </c>
      <c r="P68" s="96">
        <f>IF(P29=0,0,P29/TrRoad_act!P38*100)</f>
        <v>2.9207184600775404</v>
      </c>
      <c r="Q68" s="96">
        <f>IF(Q29=0,0,Q29/TrRoad_act!Q38*100)</f>
        <v>3.2834584382381045</v>
      </c>
      <c r="R68" s="96">
        <f>IF(R29=0,0,R29/TrRoad_act!R38*100)</f>
        <v>3.4784307602581812</v>
      </c>
      <c r="S68" s="96">
        <f>IF(S29=0,0,S29/TrRoad_act!S38*100)</f>
        <v>3.573246087362377</v>
      </c>
      <c r="T68" s="96">
        <f>IF(T29=0,0,T29/TrRoad_act!T38*100)</f>
        <v>3.6924911466963222</v>
      </c>
      <c r="U68" s="96">
        <f>IF(U29=0,0,U29/TrRoad_act!U38*100)</f>
        <v>3.6405219623915421</v>
      </c>
      <c r="V68" s="96">
        <f>IF(V29=0,0,V29/TrRoad_act!V38*100)</f>
        <v>3.4601988805642718</v>
      </c>
      <c r="W68" s="96">
        <f>IF(W29=0,0,W29/TrRoad_act!W38*100)</f>
        <v>3.2467579230684578</v>
      </c>
      <c r="X68" s="96">
        <f>IF(X29=0,0,X29/TrRoad_act!X38*100)</f>
        <v>3.1343560110800057</v>
      </c>
      <c r="Y68" s="96">
        <f>IF(Y29=0,0,Y29/TrRoad_act!Y38*100)</f>
        <v>3.0349328340571682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1.2905306401888079</v>
      </c>
      <c r="I69" s="96">
        <f>IF(I32=0,0,I32/TrRoad_act!I39*100)</f>
        <v>1.2878189852413826</v>
      </c>
      <c r="J69" s="96">
        <f>IF(J32=0,0,J32/TrRoad_act!J39*100)</f>
        <v>1.2735116532502753</v>
      </c>
      <c r="K69" s="96">
        <f>IF(K32=0,0,K32/TrRoad_act!K39*100)</f>
        <v>1.2734497475968862</v>
      </c>
      <c r="L69" s="96">
        <f>IF(L32=0,0,L32/TrRoad_act!L39*100)</f>
        <v>1.2724357715579493</v>
      </c>
      <c r="M69" s="96">
        <f>IF(M32=0,0,M32/TrRoad_act!M39*100)</f>
        <v>1.2678867376154368</v>
      </c>
      <c r="N69" s="96">
        <f>IF(N32=0,0,N32/TrRoad_act!N39*100)</f>
        <v>1.2464934916852177</v>
      </c>
      <c r="O69" s="96">
        <f>IF(O32=0,0,O32/TrRoad_act!O39*100)</f>
        <v>1.33348302696333</v>
      </c>
      <c r="P69" s="96">
        <f>IF(P32=0,0,P32/TrRoad_act!P39*100)</f>
        <v>1.3778864597664902</v>
      </c>
      <c r="Q69" s="96">
        <f>IF(Q32=0,0,Q32/TrRoad_act!Q39*100)</f>
        <v>1.4285217947480535</v>
      </c>
      <c r="R69" s="96">
        <f>IF(R32=0,0,R32/TrRoad_act!R39*100)</f>
        <v>1.453592818323836</v>
      </c>
      <c r="S69" s="96">
        <f>IF(S32=0,0,S32/TrRoad_act!S39*100)</f>
        <v>1.4179935875641028</v>
      </c>
      <c r="T69" s="96">
        <f>IF(T32=0,0,T32/TrRoad_act!T39*100)</f>
        <v>1.4288967323712467</v>
      </c>
      <c r="U69" s="96">
        <f>IF(U32=0,0,U32/TrRoad_act!U39*100)</f>
        <v>1.4822655110936651</v>
      </c>
      <c r="V69" s="96">
        <f>IF(V32=0,0,V32/TrRoad_act!V39*100)</f>
        <v>1.5338245060035984</v>
      </c>
      <c r="W69" s="96">
        <f>IF(W32=0,0,W32/TrRoad_act!W39*100)</f>
        <v>1.5334452453634995</v>
      </c>
      <c r="X69" s="96">
        <f>IF(X32=0,0,X32/TrRoad_act!X39*100)</f>
        <v>1.5260424081567865</v>
      </c>
      <c r="Y69" s="96">
        <f>IF(Y32=0,0,Y32/TrRoad_act!Y39*100)</f>
        <v>1.5209039228705603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57.147835121662673</v>
      </c>
      <c r="C70" s="130">
        <f>IF(C33=0,0,C33/TrRoad_act!C40*100)</f>
        <v>56.213227149486698</v>
      </c>
      <c r="D70" s="130">
        <f>IF(D33=0,0,D33/TrRoad_act!D40*100)</f>
        <v>55.815178781243958</v>
      </c>
      <c r="E70" s="130">
        <f>IF(E33=0,0,E33/TrRoad_act!E40*100)</f>
        <v>55.493235895062973</v>
      </c>
      <c r="F70" s="130">
        <f>IF(F33=0,0,F33/TrRoad_act!F40*100)</f>
        <v>55.198898632289641</v>
      </c>
      <c r="G70" s="130">
        <f>IF(G33=0,0,G33/TrRoad_act!G40*100)</f>
        <v>54.959698414975676</v>
      </c>
      <c r="H70" s="130">
        <f>IF(H33=0,0,H33/TrRoad_act!H40*100)</f>
        <v>54.789442804225942</v>
      </c>
      <c r="I70" s="130">
        <f>IF(I33=0,0,I33/TrRoad_act!I40*100)</f>
        <v>54.590367752672542</v>
      </c>
      <c r="J70" s="130">
        <f>IF(J33=0,0,J33/TrRoad_act!J40*100)</f>
        <v>54.302179362214332</v>
      </c>
      <c r="K70" s="130">
        <f>IF(K33=0,0,K33/TrRoad_act!K40*100)</f>
        <v>53.976354362869102</v>
      </c>
      <c r="L70" s="130">
        <f>IF(L33=0,0,L33/TrRoad_act!L40*100)</f>
        <v>53.898703155988933</v>
      </c>
      <c r="M70" s="130">
        <f>IF(M33=0,0,M33/TrRoad_act!M40*100)</f>
        <v>53.586410620517697</v>
      </c>
      <c r="N70" s="130">
        <f>IF(N33=0,0,N33/TrRoad_act!N40*100)</f>
        <v>53.534939801708035</v>
      </c>
      <c r="O70" s="130">
        <f>IF(O33=0,0,O33/TrRoad_act!O40*100)</f>
        <v>52.92347911361739</v>
      </c>
      <c r="P70" s="130">
        <f>IF(P33=0,0,P33/TrRoad_act!P40*100)</f>
        <v>53.065040559136847</v>
      </c>
      <c r="Q70" s="130">
        <f>IF(Q33=0,0,Q33/TrRoad_act!Q40*100)</f>
        <v>53.223510985060329</v>
      </c>
      <c r="R70" s="130">
        <f>IF(R33=0,0,R33/TrRoad_act!R40*100)</f>
        <v>53.524114279610849</v>
      </c>
      <c r="S70" s="130">
        <f>IF(S33=0,0,S33/TrRoad_act!S40*100)</f>
        <v>53.660734107002341</v>
      </c>
      <c r="T70" s="130">
        <f>IF(T33=0,0,T33/TrRoad_act!T40*100)</f>
        <v>53.368214886071286</v>
      </c>
      <c r="U70" s="130">
        <f>IF(U33=0,0,U33/TrRoad_act!U40*100)</f>
        <v>52.806252279699684</v>
      </c>
      <c r="V70" s="130">
        <f>IF(V33=0,0,V33/TrRoad_act!V40*100)</f>
        <v>53.132912626962572</v>
      </c>
      <c r="W70" s="130">
        <f>IF(W33=0,0,W33/TrRoad_act!W40*100)</f>
        <v>52.562672407054393</v>
      </c>
      <c r="X70" s="130">
        <f>IF(X33=0,0,X33/TrRoad_act!X40*100)</f>
        <v>51.265088012248739</v>
      </c>
      <c r="Y70" s="130">
        <f>IF(Y33=0,0,Y33/TrRoad_act!Y40*100)</f>
        <v>50.338357672150678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18.023502400603316</v>
      </c>
      <c r="C71" s="97">
        <f>IF(C34=0,0,C34/TrRoad_act!C41*100)</f>
        <v>18.007599251889641</v>
      </c>
      <c r="D71" s="97">
        <f>IF(D34=0,0,D34/TrRoad_act!D41*100)</f>
        <v>17.998602068016879</v>
      </c>
      <c r="E71" s="97">
        <f>IF(E34=0,0,E34/TrRoad_act!E41*100)</f>
        <v>17.994917679107804</v>
      </c>
      <c r="F71" s="97">
        <f>IF(F34=0,0,F34/TrRoad_act!F41*100)</f>
        <v>17.990663957658004</v>
      </c>
      <c r="G71" s="97">
        <f>IF(G34=0,0,G34/TrRoad_act!G41*100)</f>
        <v>17.988329747253285</v>
      </c>
      <c r="H71" s="97">
        <f>IF(H34=0,0,H34/TrRoad_act!H41*100)</f>
        <v>17.985573152101246</v>
      </c>
      <c r="I71" s="97">
        <f>IF(I34=0,0,I34/TrRoad_act!I41*100)</f>
        <v>17.982374356713326</v>
      </c>
      <c r="J71" s="97">
        <f>IF(J34=0,0,J34/TrRoad_act!J41*100)</f>
        <v>17.978639476399426</v>
      </c>
      <c r="K71" s="97">
        <f>IF(K34=0,0,K34/TrRoad_act!K41*100)</f>
        <v>17.972516233144596</v>
      </c>
      <c r="L71" s="97">
        <f>IF(L34=0,0,L34/TrRoad_act!L41*100)</f>
        <v>17.966998023006944</v>
      </c>
      <c r="M71" s="97">
        <f>IF(M34=0,0,M34/TrRoad_act!M41*100)</f>
        <v>17.959506817269542</v>
      </c>
      <c r="N71" s="97">
        <f>IF(N34=0,0,N34/TrRoad_act!N41*100)</f>
        <v>17.931034577341634</v>
      </c>
      <c r="O71" s="97">
        <f>IF(O34=0,0,O34/TrRoad_act!O41*100)</f>
        <v>17.914871972708184</v>
      </c>
      <c r="P71" s="97">
        <f>IF(P34=0,0,P34/TrRoad_act!P41*100)</f>
        <v>17.894119072273487</v>
      </c>
      <c r="Q71" s="97">
        <f>IF(Q34=0,0,Q34/TrRoad_act!Q41*100)</f>
        <v>17.868231462899629</v>
      </c>
      <c r="R71" s="97">
        <f>IF(R34=0,0,R34/TrRoad_act!R41*100)</f>
        <v>17.867609742504477</v>
      </c>
      <c r="S71" s="97">
        <f>IF(S34=0,0,S34/TrRoad_act!S41*100)</f>
        <v>17.798441278324585</v>
      </c>
      <c r="T71" s="97">
        <f>IF(T34=0,0,T34/TrRoad_act!T41*100)</f>
        <v>17.797412421993176</v>
      </c>
      <c r="U71" s="97">
        <f>IF(U34=0,0,U34/TrRoad_act!U41*100)</f>
        <v>17.307489516087006</v>
      </c>
      <c r="V71" s="97">
        <f>IF(V34=0,0,V34/TrRoad_act!V41*100)</f>
        <v>16.654974603526735</v>
      </c>
      <c r="W71" s="97">
        <f>IF(W34=0,0,W34/TrRoad_act!W41*100)</f>
        <v>16.363286902712794</v>
      </c>
      <c r="X71" s="97">
        <f>IF(X34=0,0,X34/TrRoad_act!X41*100)</f>
        <v>16.079275250669447</v>
      </c>
      <c r="Y71" s="97">
        <f>IF(Y34=0,0,Y34/TrRoad_act!Y41*100)</f>
        <v>15.783920338079016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57.424068218998656</v>
      </c>
      <c r="C72" s="97">
        <f>IF(C36=0,0,C36/TrRoad_act!C42*100)</f>
        <v>56.565445991161191</v>
      </c>
      <c r="D72" s="97">
        <f>IF(D36=0,0,D36/TrRoad_act!D42*100)</f>
        <v>56.169129387391934</v>
      </c>
      <c r="E72" s="97">
        <f>IF(E36=0,0,E36/TrRoad_act!E42*100)</f>
        <v>55.870529229950449</v>
      </c>
      <c r="F72" s="97">
        <f>IF(F36=0,0,F36/TrRoad_act!F42*100)</f>
        <v>55.619303098446736</v>
      </c>
      <c r="G72" s="97">
        <f>IF(G36=0,0,G36/TrRoad_act!G42*100)</f>
        <v>55.375539608787129</v>
      </c>
      <c r="H72" s="97">
        <f>IF(H36=0,0,H36/TrRoad_act!H42*100)</f>
        <v>55.158795231381021</v>
      </c>
      <c r="I72" s="97">
        <f>IF(I36=0,0,I36/TrRoad_act!I42*100)</f>
        <v>54.989657009054739</v>
      </c>
      <c r="J72" s="97">
        <f>IF(J36=0,0,J36/TrRoad_act!J42*100)</f>
        <v>54.713237796046585</v>
      </c>
      <c r="K72" s="97">
        <f>IF(K36=0,0,K36/TrRoad_act!K42*100)</f>
        <v>54.37842873233668</v>
      </c>
      <c r="L72" s="97">
        <f>IF(L36=0,0,L36/TrRoad_act!L42*100)</f>
        <v>54.212766792061629</v>
      </c>
      <c r="M72" s="97">
        <f>IF(M36=0,0,M36/TrRoad_act!M42*100)</f>
        <v>54.150815040881483</v>
      </c>
      <c r="N72" s="97">
        <f>IF(N36=0,0,N36/TrRoad_act!N42*100)</f>
        <v>54.155481522261283</v>
      </c>
      <c r="O72" s="97">
        <f>IF(O36=0,0,O36/TrRoad_act!O42*100)</f>
        <v>54.117368618589801</v>
      </c>
      <c r="P72" s="97">
        <f>IF(P36=0,0,P36/TrRoad_act!P42*100)</f>
        <v>54.213109770069842</v>
      </c>
      <c r="Q72" s="97">
        <f>IF(Q36=0,0,Q36/TrRoad_act!Q42*100)</f>
        <v>54.397329580158882</v>
      </c>
      <c r="R72" s="97">
        <f>IF(R36=0,0,R36/TrRoad_act!R42*100)</f>
        <v>54.585795844035957</v>
      </c>
      <c r="S72" s="97">
        <f>IF(S36=0,0,S36/TrRoad_act!S42*100)</f>
        <v>54.710700837283156</v>
      </c>
      <c r="T72" s="97">
        <f>IF(T36=0,0,T36/TrRoad_act!T42*100)</f>
        <v>54.728776306774343</v>
      </c>
      <c r="U72" s="97">
        <f>IF(U36=0,0,U36/TrRoad_act!U42*100)</f>
        <v>54.609806203360698</v>
      </c>
      <c r="V72" s="97">
        <f>IF(V36=0,0,V36/TrRoad_act!V42*100)</f>
        <v>54.333665037385501</v>
      </c>
      <c r="W72" s="97">
        <f>IF(W36=0,0,W36/TrRoad_act!W42*100)</f>
        <v>53.909974795728388</v>
      </c>
      <c r="X72" s="97">
        <f>IF(X36=0,0,X36/TrRoad_act!X42*100)</f>
        <v>53.299021348966626</v>
      </c>
      <c r="Y72" s="97">
        <f>IF(Y36=0,0,Y36/TrRoad_act!Y42*100)</f>
        <v>52.409801270745071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47.135589329761387</v>
      </c>
      <c r="C73" s="97">
        <f>IF(C38=0,0,C38/TrRoad_act!C43*100)</f>
        <v>45.367226111529121</v>
      </c>
      <c r="D73" s="97">
        <f>IF(D38=0,0,D38/TrRoad_act!D43*100)</f>
        <v>45.332680479946916</v>
      </c>
      <c r="E73" s="97">
        <f>IF(E38=0,0,E38/TrRoad_act!E43*100)</f>
        <v>45.202441584022957</v>
      </c>
      <c r="F73" s="97">
        <f>IF(F38=0,0,F38/TrRoad_act!F43*100)</f>
        <v>45.132025740121549</v>
      </c>
      <c r="G73" s="97">
        <f>IF(G38=0,0,G38/TrRoad_act!G43*100)</f>
        <v>45.022785871124576</v>
      </c>
      <c r="H73" s="97">
        <f>IF(H38=0,0,H38/TrRoad_act!H43*100)</f>
        <v>44.652919458883758</v>
      </c>
      <c r="I73" s="97">
        <f>IF(I38=0,0,I38/TrRoad_act!I43*100)</f>
        <v>44.472647784980865</v>
      </c>
      <c r="J73" s="97">
        <f>IF(J38=0,0,J38/TrRoad_act!J43*100)</f>
        <v>44.389483357300975</v>
      </c>
      <c r="K73" s="97">
        <f>IF(K38=0,0,K38/TrRoad_act!K43*100)</f>
        <v>44.289832711623511</v>
      </c>
      <c r="L73" s="97">
        <f>IF(L38=0,0,L38/TrRoad_act!L43*100)</f>
        <v>44.279859000992914</v>
      </c>
      <c r="M73" s="97">
        <f>IF(M38=0,0,M38/TrRoad_act!M43*100)</f>
        <v>44.158814813350418</v>
      </c>
      <c r="N73" s="97">
        <f>IF(N38=0,0,N38/TrRoad_act!N43*100)</f>
        <v>44.037472345189386</v>
      </c>
      <c r="O73" s="97">
        <f>IF(O38=0,0,O38/TrRoad_act!O43*100)</f>
        <v>43.988410638992349</v>
      </c>
      <c r="P73" s="97">
        <f>IF(P38=0,0,P38/TrRoad_act!P43*100)</f>
        <v>43.880358566148523</v>
      </c>
      <c r="Q73" s="97">
        <f>IF(Q38=0,0,Q38/TrRoad_act!Q43*100)</f>
        <v>43.74302132728576</v>
      </c>
      <c r="R73" s="97">
        <f>IF(R38=0,0,R38/TrRoad_act!R43*100)</f>
        <v>43.733104386034952</v>
      </c>
      <c r="S73" s="97">
        <f>IF(S38=0,0,S38/TrRoad_act!S43*100)</f>
        <v>43.755306371112496</v>
      </c>
      <c r="T73" s="97">
        <f>IF(T38=0,0,T38/TrRoad_act!T43*100)</f>
        <v>43.702107352120201</v>
      </c>
      <c r="U73" s="97">
        <f>IF(U38=0,0,U38/TrRoad_act!U43*100)</f>
        <v>43.718656615523379</v>
      </c>
      <c r="V73" s="97">
        <f>IF(V38=0,0,V38/TrRoad_act!V43*100)</f>
        <v>43.703759947260615</v>
      </c>
      <c r="W73" s="97">
        <f>IF(W38=0,0,W38/TrRoad_act!W43*100)</f>
        <v>43.742746080969283</v>
      </c>
      <c r="X73" s="97">
        <f>IF(X38=0,0,X38/TrRoad_act!X43*100)</f>
        <v>43.821973086592493</v>
      </c>
      <c r="Y73" s="97">
        <f>IF(Y38=0,0,Y38/TrRoad_act!Y43*100)</f>
        <v>43.911907368059758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47.486720033102863</v>
      </c>
      <c r="C74" s="97">
        <f>IF(C39=0,0,C39/TrRoad_act!C44*100)</f>
        <v>43.050015768958453</v>
      </c>
      <c r="D74" s="97">
        <f>IF(D39=0,0,D39/TrRoad_act!D44*100)</f>
        <v>43.767158266922486</v>
      </c>
      <c r="E74" s="97">
        <f>IF(E39=0,0,E39/TrRoad_act!E44*100)</f>
        <v>43.585323564909636</v>
      </c>
      <c r="F74" s="97">
        <f>IF(F39=0,0,F39/TrRoad_act!F44*100)</f>
        <v>40.657014992689575</v>
      </c>
      <c r="G74" s="97">
        <f>IF(G39=0,0,G39/TrRoad_act!G44*100)</f>
        <v>40.763435446665071</v>
      </c>
      <c r="H74" s="97">
        <f>IF(H39=0,0,H39/TrRoad_act!H44*100)</f>
        <v>44.086978768344643</v>
      </c>
      <c r="I74" s="97">
        <f>IF(I39=0,0,I39/TrRoad_act!I44*100)</f>
        <v>42.221516838134733</v>
      </c>
      <c r="J74" s="97">
        <f>IF(J39=0,0,J39/TrRoad_act!J44*100)</f>
        <v>42.764519078381007</v>
      </c>
      <c r="K74" s="97">
        <f>IF(K39=0,0,K39/TrRoad_act!K44*100)</f>
        <v>42.541535810509941</v>
      </c>
      <c r="L74" s="97">
        <f>IF(L39=0,0,L39/TrRoad_act!L44*100)</f>
        <v>46.104238999026059</v>
      </c>
      <c r="M74" s="97">
        <f>IF(M39=0,0,M39/TrRoad_act!M44*100)</f>
        <v>45.331759285038707</v>
      </c>
      <c r="N74" s="97">
        <f>IF(N39=0,0,N39/TrRoad_act!N44*100)</f>
        <v>45.191657890077721</v>
      </c>
      <c r="O74" s="97">
        <f>IF(O39=0,0,O39/TrRoad_act!O44*100)</f>
        <v>40.095527783223922</v>
      </c>
      <c r="P74" s="97">
        <f>IF(P39=0,0,P39/TrRoad_act!P44*100)</f>
        <v>41.358846805338345</v>
      </c>
      <c r="Q74" s="97">
        <f>IF(Q39=0,0,Q39/TrRoad_act!Q44*100)</f>
        <v>41.38032529602301</v>
      </c>
      <c r="R74" s="97">
        <f>IF(R39=0,0,R39/TrRoad_act!R44*100)</f>
        <v>42.996174468218648</v>
      </c>
      <c r="S74" s="97">
        <f>IF(S39=0,0,S39/TrRoad_act!S44*100)</f>
        <v>44.370080384318236</v>
      </c>
      <c r="T74" s="97">
        <f>IF(T39=0,0,T39/TrRoad_act!T44*100)</f>
        <v>42.392242501114445</v>
      </c>
      <c r="U74" s="97">
        <f>IF(U39=0,0,U39/TrRoad_act!U44*100)</f>
        <v>41.723938712040606</v>
      </c>
      <c r="V74" s="97">
        <f>IF(V39=0,0,V39/TrRoad_act!V44*100)</f>
        <v>49.139078208211643</v>
      </c>
      <c r="W74" s="97">
        <f>IF(W39=0,0,W39/TrRoad_act!W44*100)</f>
        <v>50.126929585544111</v>
      </c>
      <c r="X74" s="97">
        <f>IF(X39=0,0,X39/TrRoad_act!X44*100)</f>
        <v>47.459361912040329</v>
      </c>
      <c r="Y74" s="97">
        <f>IF(Y39=0,0,Y39/TrRoad_act!Y44*100)</f>
        <v>47.545515464910956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32.606798691908594</v>
      </c>
      <c r="C75" s="97">
        <f>IF(C41=0,0,C41/TrRoad_act!C45*100)</f>
        <v>30.800000525811281</v>
      </c>
      <c r="D75" s="97">
        <f>IF(D41=0,0,D41/TrRoad_act!D45*100)</f>
        <v>30.253101785317369</v>
      </c>
      <c r="E75" s="97">
        <f>IF(E41=0,0,E41/TrRoad_act!E45*100)</f>
        <v>29.849847171190024</v>
      </c>
      <c r="F75" s="97">
        <f>IF(F41=0,0,F41/TrRoad_act!F45*100)</f>
        <v>29.515040427732352</v>
      </c>
      <c r="G75" s="97">
        <f>IF(G41=0,0,G41/TrRoad_act!G45*100)</f>
        <v>29.359903976050877</v>
      </c>
      <c r="H75" s="97">
        <f>IF(H41=0,0,H41/TrRoad_act!H45*100)</f>
        <v>29.232496759096659</v>
      </c>
      <c r="I75" s="97">
        <f>IF(I41=0,0,I41/TrRoad_act!I45*100)</f>
        <v>29.093353521896148</v>
      </c>
      <c r="J75" s="97">
        <f>IF(J41=0,0,J41/TrRoad_act!J45*100)</f>
        <v>29.014092204078178</v>
      </c>
      <c r="K75" s="97">
        <f>IF(K41=0,0,K41/TrRoad_act!K45*100)</f>
        <v>28.899139948722517</v>
      </c>
      <c r="L75" s="97">
        <f>IF(L41=0,0,L41/TrRoad_act!L45*100)</f>
        <v>28.760088264171358</v>
      </c>
      <c r="M75" s="97">
        <f>IF(M41=0,0,M41/TrRoad_act!M45*100)</f>
        <v>28.730102684370152</v>
      </c>
      <c r="N75" s="97">
        <f>IF(N41=0,0,N41/TrRoad_act!N45*100)</f>
        <v>28.492388879446668</v>
      </c>
      <c r="O75" s="97">
        <f>IF(O41=0,0,O41/TrRoad_act!O45*100)</f>
        <v>28.484431826608052</v>
      </c>
      <c r="P75" s="97">
        <f>IF(P41=0,0,P41/TrRoad_act!P45*100)</f>
        <v>28.448524764433103</v>
      </c>
      <c r="Q75" s="97">
        <f>IF(Q41=0,0,Q41/TrRoad_act!Q45*100)</f>
        <v>28.471217235017239</v>
      </c>
      <c r="R75" s="97">
        <f>IF(R41=0,0,R41/TrRoad_act!R45*100)</f>
        <v>28.581915922880473</v>
      </c>
      <c r="S75" s="97">
        <f>IF(S41=0,0,S41/TrRoad_act!S45*100)</f>
        <v>28.648406541529702</v>
      </c>
      <c r="T75" s="97">
        <f>IF(T41=0,0,T41/TrRoad_act!T45*100)</f>
        <v>28.613538949490259</v>
      </c>
      <c r="U75" s="97">
        <f>IF(U41=0,0,U41/TrRoad_act!U45*100)</f>
        <v>28.245933186121412</v>
      </c>
      <c r="V75" s="97">
        <f>IF(V41=0,0,V41/TrRoad_act!V45*100)</f>
        <v>27.982785038966444</v>
      </c>
      <c r="W75" s="97">
        <f>IF(W41=0,0,W41/TrRoad_act!W45*100)</f>
        <v>27.260470939802488</v>
      </c>
      <c r="X75" s="97">
        <f>IF(X41=0,0,X41/TrRoad_act!X45*100)</f>
        <v>26.503702282925069</v>
      </c>
      <c r="Y75" s="97">
        <f>IF(Y41=0,0,Y41/TrRoad_act!Y45*100)</f>
        <v>25.836941565450665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18.436812579646659</v>
      </c>
      <c r="C76" s="32">
        <f>IF(C42=0,0,C42/TrRoad_act!C46*100)</f>
        <v>17.9598128449827</v>
      </c>
      <c r="D76" s="32">
        <f>IF(D42=0,0,D42/TrRoad_act!D46*100)</f>
        <v>17.762347824838482</v>
      </c>
      <c r="E76" s="32">
        <f>IF(E42=0,0,E42/TrRoad_act!E46*100)</f>
        <v>17.455732193897028</v>
      </c>
      <c r="F76" s="32">
        <f>IF(F42=0,0,F42/TrRoad_act!F46*100)</f>
        <v>17.589796537254543</v>
      </c>
      <c r="G76" s="32">
        <f>IF(G42=0,0,G42/TrRoad_act!G46*100)</f>
        <v>17.488894281682494</v>
      </c>
      <c r="H76" s="32">
        <f>IF(H42=0,0,H42/TrRoad_act!H46*100)</f>
        <v>17.280198777997228</v>
      </c>
      <c r="I76" s="32">
        <f>IF(I42=0,0,I42/TrRoad_act!I46*100)</f>
        <v>17.192289654039669</v>
      </c>
      <c r="J76" s="32">
        <f>IF(J42=0,0,J42/TrRoad_act!J46*100)</f>
        <v>17.084825436357136</v>
      </c>
      <c r="K76" s="32">
        <f>IF(K42=0,0,K42/TrRoad_act!K46*100)</f>
        <v>16.393275763647399</v>
      </c>
      <c r="L76" s="32">
        <f>IF(L42=0,0,L42/TrRoad_act!L46*100)</f>
        <v>16.289858438398891</v>
      </c>
      <c r="M76" s="32">
        <f>IF(M42=0,0,M42/TrRoad_act!M46*100)</f>
        <v>16.203914403030232</v>
      </c>
      <c r="N76" s="32">
        <f>IF(N42=0,0,N42/TrRoad_act!N46*100)</f>
        <v>15.813904827902201</v>
      </c>
      <c r="O76" s="32">
        <f>IF(O42=0,0,O42/TrRoad_act!O46*100)</f>
        <v>15.594696472970455</v>
      </c>
      <c r="P76" s="32">
        <f>IF(P42=0,0,P42/TrRoad_act!P46*100)</f>
        <v>15.418445007831272</v>
      </c>
      <c r="Q76" s="32">
        <f>IF(Q42=0,0,Q42/TrRoad_act!Q46*100)</f>
        <v>15.016133429516895</v>
      </c>
      <c r="R76" s="32">
        <f>IF(R42=0,0,R42/TrRoad_act!R46*100)</f>
        <v>15.072704095001999</v>
      </c>
      <c r="S76" s="32">
        <f>IF(S42=0,0,S42/TrRoad_act!S46*100)</f>
        <v>14.908312053146316</v>
      </c>
      <c r="T76" s="32">
        <f>IF(T42=0,0,T42/TrRoad_act!T46*100)</f>
        <v>14.756150453549576</v>
      </c>
      <c r="U76" s="32">
        <f>IF(U42=0,0,U42/TrRoad_act!U46*100)</f>
        <v>14.546526296548079</v>
      </c>
      <c r="V76" s="32">
        <f>IF(V42=0,0,V42/TrRoad_act!V46*100)</f>
        <v>15.10436079775166</v>
      </c>
      <c r="W76" s="32">
        <f>IF(W42=0,0,W42/TrRoad_act!W46*100)</f>
        <v>14.746030576835093</v>
      </c>
      <c r="X76" s="32">
        <f>IF(X42=0,0,X42/TrRoad_act!X46*100)</f>
        <v>14.347667394298687</v>
      </c>
      <c r="Y76" s="32">
        <f>IF(Y42=0,0,Y42/TrRoad_act!Y46*100)</f>
        <v>13.669682845298011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11.227676489104274</v>
      </c>
      <c r="C77" s="141">
        <f>IF(C43=0,0,C43/TrRoad_act!C47*100)</f>
        <v>10.830751614706557</v>
      </c>
      <c r="D77" s="141">
        <f>IF(D43=0,0,D43/TrRoad_act!D47*100)</f>
        <v>10.638081320124302</v>
      </c>
      <c r="E77" s="141">
        <f>IF(E43=0,0,E43/TrRoad_act!E47*100)</f>
        <v>10.373411891534108</v>
      </c>
      <c r="F77" s="141">
        <f>IF(F43=0,0,F43/TrRoad_act!F47*100)</f>
        <v>10.101031342602228</v>
      </c>
      <c r="G77" s="141">
        <f>IF(G43=0,0,G43/TrRoad_act!G47*100)</f>
        <v>9.9688062477314059</v>
      </c>
      <c r="H77" s="141">
        <f>IF(H43=0,0,H43/TrRoad_act!H47*100)</f>
        <v>9.782585299652883</v>
      </c>
      <c r="I77" s="141">
        <f>IF(I43=0,0,I43/TrRoad_act!I47*100)</f>
        <v>9.626656015159659</v>
      </c>
      <c r="J77" s="141">
        <f>IF(J43=0,0,J43/TrRoad_act!J47*100)</f>
        <v>9.607319443020744</v>
      </c>
      <c r="K77" s="141">
        <f>IF(K43=0,0,K43/TrRoad_act!K47*100)</f>
        <v>9.5997436464504862</v>
      </c>
      <c r="L77" s="141">
        <f>IF(L43=0,0,L43/TrRoad_act!L47*100)</f>
        <v>9.5165560944919285</v>
      </c>
      <c r="M77" s="141">
        <f>IF(M43=0,0,M43/TrRoad_act!M47*100)</f>
        <v>9.6065260548536688</v>
      </c>
      <c r="N77" s="141">
        <f>IF(N43=0,0,N43/TrRoad_act!N47*100)</f>
        <v>9.5646604663441526</v>
      </c>
      <c r="O77" s="141">
        <f>IF(O43=0,0,O43/TrRoad_act!O47*100)</f>
        <v>9.4098589082148383</v>
      </c>
      <c r="P77" s="141">
        <f>IF(P43=0,0,P43/TrRoad_act!P47*100)</f>
        <v>9.2787518176696118</v>
      </c>
      <c r="Q77" s="141">
        <f>IF(Q43=0,0,Q43/TrRoad_act!Q47*100)</f>
        <v>9.1710562656733803</v>
      </c>
      <c r="R77" s="141">
        <f>IF(R43=0,0,R43/TrRoad_act!R47*100)</f>
        <v>9.0928564811121966</v>
      </c>
      <c r="S77" s="141">
        <f>IF(S43=0,0,S43/TrRoad_act!S47*100)</f>
        <v>8.9493525386325281</v>
      </c>
      <c r="T77" s="141">
        <f>IF(T43=0,0,T43/TrRoad_act!T47*100)</f>
        <v>8.9118615612386201</v>
      </c>
      <c r="U77" s="141">
        <f>IF(U43=0,0,U43/TrRoad_act!U47*100)</f>
        <v>8.72942298737361</v>
      </c>
      <c r="V77" s="141">
        <f>IF(V43=0,0,V43/TrRoad_act!V47*100)</f>
        <v>8.7424192013188051</v>
      </c>
      <c r="W77" s="141">
        <f>IF(W43=0,0,W43/TrRoad_act!W47*100)</f>
        <v>8.8424499900411355</v>
      </c>
      <c r="X77" s="141">
        <f>IF(X43=0,0,X43/TrRoad_act!X47*100)</f>
        <v>8.666841326720089</v>
      </c>
      <c r="Y77" s="141">
        <f>IF(Y43=0,0,Y43/TrRoad_act!Y47*100)</f>
        <v>8.362058520255145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11.398524423035635</v>
      </c>
      <c r="C78" s="96">
        <f>IF(C44=0,0,C44/TrRoad_act!C48*100)</f>
        <v>11.312911223373479</v>
      </c>
      <c r="D78" s="96">
        <f>IF(D44=0,0,D44/TrRoad_act!D48*100)</f>
        <v>11.266579270277134</v>
      </c>
      <c r="E78" s="96">
        <f>IF(E44=0,0,E44/TrRoad_act!E48*100)</f>
        <v>11.206957646398664</v>
      </c>
      <c r="F78" s="96">
        <f>IF(F44=0,0,F44/TrRoad_act!F48*100)</f>
        <v>11.127869771163423</v>
      </c>
      <c r="G78" s="96">
        <f>IF(G44=0,0,G44/TrRoad_act!G48*100)</f>
        <v>11.0439245499026</v>
      </c>
      <c r="H78" s="96">
        <f>IF(H44=0,0,H44/TrRoad_act!H48*100)</f>
        <v>10.954581514942939</v>
      </c>
      <c r="I78" s="96">
        <f>IF(I44=0,0,I44/TrRoad_act!I48*100)</f>
        <v>10.869499104395157</v>
      </c>
      <c r="J78" s="96">
        <f>IF(J44=0,0,J44/TrRoad_act!J48*100)</f>
        <v>10.810038707478423</v>
      </c>
      <c r="K78" s="96">
        <f>IF(K44=0,0,K44/TrRoad_act!K48*100)</f>
        <v>10.726895902990066</v>
      </c>
      <c r="L78" s="96">
        <f>IF(L44=0,0,L44/TrRoad_act!L48*100)</f>
        <v>10.600813651796999</v>
      </c>
      <c r="M78" s="96">
        <f>IF(M44=0,0,M44/TrRoad_act!M48*100)</f>
        <v>10.45941848705681</v>
      </c>
      <c r="N78" s="96">
        <f>IF(N44=0,0,N44/TrRoad_act!N48*100)</f>
        <v>10.306285223473612</v>
      </c>
      <c r="O78" s="96">
        <f>IF(O44=0,0,O44/TrRoad_act!O48*100)</f>
        <v>10.09596529848476</v>
      </c>
      <c r="P78" s="96">
        <f>IF(P44=0,0,P44/TrRoad_act!P48*100)</f>
        <v>10.004592649814208</v>
      </c>
      <c r="Q78" s="96">
        <f>IF(Q44=0,0,Q44/TrRoad_act!Q48*100)</f>
        <v>9.9065674402326973</v>
      </c>
      <c r="R78" s="96">
        <f>IF(R44=0,0,R44/TrRoad_act!R48*100)</f>
        <v>9.8155197917398649</v>
      </c>
      <c r="S78" s="96">
        <f>IF(S44=0,0,S44/TrRoad_act!S48*100)</f>
        <v>9.696700692313696</v>
      </c>
      <c r="T78" s="96">
        <f>IF(T44=0,0,T44/TrRoad_act!T48*100)</f>
        <v>9.5582823501201268</v>
      </c>
      <c r="U78" s="96">
        <f>IF(U44=0,0,U44/TrRoad_act!U48*100)</f>
        <v>9.395355921209454</v>
      </c>
      <c r="V78" s="96">
        <f>IF(V44=0,0,V44/TrRoad_act!V48*100)</f>
        <v>9.2660411002833722</v>
      </c>
      <c r="W78" s="96">
        <f>IF(W44=0,0,W44/TrRoad_act!W48*100)</f>
        <v>9.2314128032198237</v>
      </c>
      <c r="X78" s="96">
        <f>IF(X44=0,0,X44/TrRoad_act!X48*100)</f>
        <v>9.1166008747615539</v>
      </c>
      <c r="Y78" s="96">
        <f>IF(Y44=0,0,Y44/TrRoad_act!Y48*100)</f>
        <v>8.9343578169345257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11.197759284984253</v>
      </c>
      <c r="C79" s="96">
        <f>IF(C46=0,0,C46/TrRoad_act!C49*100)</f>
        <v>10.763387309251312</v>
      </c>
      <c r="D79" s="96">
        <f>IF(D46=0,0,D46/TrRoad_act!D49*100)</f>
        <v>10.566605778676456</v>
      </c>
      <c r="E79" s="96">
        <f>IF(E46=0,0,E46/TrRoad_act!E49*100)</f>
        <v>10.298717012636965</v>
      </c>
      <c r="F79" s="96">
        <f>IF(F46=0,0,F46/TrRoad_act!F49*100)</f>
        <v>10.028266960693818</v>
      </c>
      <c r="G79" s="96">
        <f>IF(G46=0,0,G46/TrRoad_act!G49*100)</f>
        <v>9.9047379012319947</v>
      </c>
      <c r="H79" s="96">
        <f>IF(H46=0,0,H46/TrRoad_act!H49*100)</f>
        <v>9.7223570218825</v>
      </c>
      <c r="I79" s="96">
        <f>IF(I46=0,0,I46/TrRoad_act!I49*100)</f>
        <v>9.5729517774508679</v>
      </c>
      <c r="J79" s="96">
        <f>IF(J46=0,0,J46/TrRoad_act!J49*100)</f>
        <v>9.5607169184468201</v>
      </c>
      <c r="K79" s="96">
        <f>IF(K46=0,0,K46/TrRoad_act!K49*100)</f>
        <v>9.5611663055442833</v>
      </c>
      <c r="L79" s="96">
        <f>IF(L46=0,0,L46/TrRoad_act!L49*100)</f>
        <v>9.4767944469190279</v>
      </c>
      <c r="M79" s="96">
        <f>IF(M46=0,0,M46/TrRoad_act!M49*100)</f>
        <v>9.5745090068724359</v>
      </c>
      <c r="N79" s="96">
        <f>IF(N46=0,0,N46/TrRoad_act!N49*100)</f>
        <v>9.5359263614105938</v>
      </c>
      <c r="O79" s="96">
        <f>IF(O46=0,0,O46/TrRoad_act!O49*100)</f>
        <v>9.3832821657079748</v>
      </c>
      <c r="P79" s="96">
        <f>IF(P46=0,0,P46/TrRoad_act!P49*100)</f>
        <v>9.2565820626316153</v>
      </c>
      <c r="Q79" s="96">
        <f>IF(Q46=0,0,Q46/TrRoad_act!Q49*100)</f>
        <v>9.1528731205002316</v>
      </c>
      <c r="R79" s="96">
        <f>IF(R46=0,0,R46/TrRoad_act!R49*100)</f>
        <v>9.079500557877008</v>
      </c>
      <c r="S79" s="96">
        <f>IF(S46=0,0,S46/TrRoad_act!S49*100)</f>
        <v>8.935884734144679</v>
      </c>
      <c r="T79" s="96">
        <f>IF(T46=0,0,T46/TrRoad_act!T49*100)</f>
        <v>8.9085042625672202</v>
      </c>
      <c r="U79" s="96">
        <f>IF(U46=0,0,U46/TrRoad_act!U49*100)</f>
        <v>8.729161830661214</v>
      </c>
      <c r="V79" s="96">
        <f>IF(V46=0,0,V46/TrRoad_act!V49*100)</f>
        <v>8.7551338795523428</v>
      </c>
      <c r="W79" s="96">
        <f>IF(W46=0,0,W46/TrRoad_act!W49*100)</f>
        <v>8.862670397845319</v>
      </c>
      <c r="X79" s="96">
        <f>IF(X46=0,0,X46/TrRoad_act!X49*100)</f>
        <v>8.6872334054533091</v>
      </c>
      <c r="Y79" s="96">
        <f>IF(Y46=0,0,Y46/TrRoad_act!Y49*100)</f>
        <v>8.3800905565165902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12.318556392287555</v>
      </c>
      <c r="C80" s="96">
        <f>IF(C48=0,0,C48/TrRoad_act!C50*100)</f>
        <v>11.947549538280132</v>
      </c>
      <c r="D80" s="96">
        <f>IF(D48=0,0,D48/TrRoad_act!D50*100)</f>
        <v>11.843175276608878</v>
      </c>
      <c r="E80" s="96">
        <f>IF(E48=0,0,E48/TrRoad_act!E50*100)</f>
        <v>11.746318746460565</v>
      </c>
      <c r="F80" s="96">
        <f>IF(F48=0,0,F48/TrRoad_act!F50*100)</f>
        <v>11.644981977358182</v>
      </c>
      <c r="G80" s="96">
        <f>IF(G48=0,0,G48/TrRoad_act!G50*100)</f>
        <v>11.564713263448123</v>
      </c>
      <c r="H80" s="96">
        <f>IF(H48=0,0,H48/TrRoad_act!H50*100)</f>
        <v>11.475849429756256</v>
      </c>
      <c r="I80" s="96">
        <f>IF(I48=0,0,I48/TrRoad_act!I50*100)</f>
        <v>11.329608209531129</v>
      </c>
      <c r="J80" s="96">
        <f>IF(J48=0,0,J48/TrRoad_act!J50*100)</f>
        <v>11.274214881337263</v>
      </c>
      <c r="K80" s="96">
        <f>IF(K48=0,0,K48/TrRoad_act!K50*100)</f>
        <v>11.174113217365591</v>
      </c>
      <c r="L80" s="96">
        <f>IF(L48=0,0,L48/TrRoad_act!L50*100)</f>
        <v>11.157517655430649</v>
      </c>
      <c r="M80" s="96">
        <f>IF(M48=0,0,M48/TrRoad_act!M50*100)</f>
        <v>11.138298377532038</v>
      </c>
      <c r="N80" s="96">
        <f>IF(N48=0,0,N48/TrRoad_act!N50*100)</f>
        <v>11.115005379579854</v>
      </c>
      <c r="O80" s="96">
        <f>IF(O48=0,0,O48/TrRoad_act!O50*100)</f>
        <v>11.092900790750438</v>
      </c>
      <c r="P80" s="96">
        <f>IF(P48=0,0,P48/TrRoad_act!P50*100)</f>
        <v>11.068429200293197</v>
      </c>
      <c r="Q80" s="96">
        <f>IF(Q48=0,0,Q48/TrRoad_act!Q50*100)</f>
        <v>11.048964297431654</v>
      </c>
      <c r="R80" s="96">
        <f>IF(R48=0,0,R48/TrRoad_act!R50*100)</f>
        <v>11.033778969351527</v>
      </c>
      <c r="S80" s="96">
        <f>IF(S48=0,0,S48/TrRoad_act!S50*100)</f>
        <v>11.011152962922042</v>
      </c>
      <c r="T80" s="96">
        <f>IF(T48=0,0,T48/TrRoad_act!T50*100)</f>
        <v>10.959302210915796</v>
      </c>
      <c r="U80" s="96">
        <f>IF(U48=0,0,U48/TrRoad_act!U50*100)</f>
        <v>10.928452785886114</v>
      </c>
      <c r="V80" s="96">
        <f>IF(V48=0,0,V48/TrRoad_act!V50*100)</f>
        <v>9.5640683384110066</v>
      </c>
      <c r="W80" s="96">
        <f>IF(W48=0,0,W48/TrRoad_act!W50*100)</f>
        <v>9.545967537213599</v>
      </c>
      <c r="X80" s="96">
        <f>IF(X48=0,0,X48/TrRoad_act!X50*100)</f>
        <v>9.4499613969807275</v>
      </c>
      <c r="Y80" s="96">
        <f>IF(Y48=0,0,Y48/TrRoad_act!Y50*100)</f>
        <v>9.302186342684962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11.548190257014083</v>
      </c>
      <c r="C81" s="96">
        <f>IF(C49=0,0,C49/TrRoad_act!C51*100)</f>
        <v>11.542948907268363</v>
      </c>
      <c r="D81" s="96">
        <f>IF(D49=0,0,D49/TrRoad_act!D51*100)</f>
        <v>11.527304415816433</v>
      </c>
      <c r="E81" s="96">
        <f>IF(E49=0,0,E49/TrRoad_act!E51*100)</f>
        <v>11.290827904876515</v>
      </c>
      <c r="F81" s="96">
        <f>IF(F49=0,0,F49/TrRoad_act!F51*100)</f>
        <v>11.27553893303668</v>
      </c>
      <c r="G81" s="96">
        <f>IF(G49=0,0,G49/TrRoad_act!G51*100)</f>
        <v>11.264389538210171</v>
      </c>
      <c r="H81" s="96">
        <f>IF(H49=0,0,H49/TrRoad_act!H51*100)</f>
        <v>11.004149149237314</v>
      </c>
      <c r="I81" s="96">
        <f>IF(I49=0,0,I49/TrRoad_act!I51*100)</f>
        <v>10.971965810467681</v>
      </c>
      <c r="J81" s="96">
        <f>IF(J49=0,0,J49/TrRoad_act!J51*100)</f>
        <v>10.90162499679257</v>
      </c>
      <c r="K81" s="96">
        <f>IF(K49=0,0,K49/TrRoad_act!K51*100)</f>
        <v>10.531422195925117</v>
      </c>
      <c r="L81" s="96">
        <f>IF(L49=0,0,L49/TrRoad_act!L51*100)</f>
        <v>10.093499328038043</v>
      </c>
      <c r="M81" s="96">
        <f>IF(M49=0,0,M49/TrRoad_act!M51*100)</f>
        <v>9.7737330666273863</v>
      </c>
      <c r="N81" s="96">
        <f>IF(N49=0,0,N49/TrRoad_act!N51*100)</f>
        <v>9.4750147323137064</v>
      </c>
      <c r="O81" s="96">
        <f>IF(O49=0,0,O49/TrRoad_act!O51*100)</f>
        <v>9.1287809650023117</v>
      </c>
      <c r="P81" s="96">
        <f>IF(P49=0,0,P49/TrRoad_act!P51*100)</f>
        <v>8.9468088931876917</v>
      </c>
      <c r="Q81" s="96">
        <f>IF(Q49=0,0,Q49/TrRoad_act!Q51*100)</f>
        <v>8.890587712616064</v>
      </c>
      <c r="R81" s="96">
        <f>IF(R49=0,0,R49/TrRoad_act!R51*100)</f>
        <v>9.0837043761039205</v>
      </c>
      <c r="S81" s="96">
        <f>IF(S49=0,0,S49/TrRoad_act!S51*100)</f>
        <v>9.3441244903159948</v>
      </c>
      <c r="T81" s="96">
        <f>IF(T49=0,0,T49/TrRoad_act!T51*100)</f>
        <v>10.118001034164244</v>
      </c>
      <c r="U81" s="96">
        <f>IF(U49=0,0,U49/TrRoad_act!U51*100)</f>
        <v>10.35825642674877</v>
      </c>
      <c r="V81" s="96">
        <f>IF(V49=0,0,V49/TrRoad_act!V51*100)</f>
        <v>10.274615103265448</v>
      </c>
      <c r="W81" s="96">
        <f>IF(W49=0,0,W49/TrRoad_act!W51*100)</f>
        <v>10.614002610552488</v>
      </c>
      <c r="X81" s="96">
        <f>IF(X49=0,0,X49/TrRoad_act!X51*100)</f>
        <v>10.623908145005508</v>
      </c>
      <c r="Y81" s="96">
        <f>IF(Y49=0,0,Y49/TrRoad_act!Y51*100)</f>
        <v>10.55420565786549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1.888088585912187</v>
      </c>
      <c r="C82" s="96">
        <f>IF(C51=0,0,C51/TrRoad_act!C52*100)</f>
        <v>1.7909448484048902</v>
      </c>
      <c r="D82" s="96">
        <f>IF(D51=0,0,D51/TrRoad_act!D52*100)</f>
        <v>1.7767656161161285</v>
      </c>
      <c r="E82" s="96">
        <f>IF(E51=0,0,E51/TrRoad_act!E52*100)</f>
        <v>1.7671002973268668</v>
      </c>
      <c r="F82" s="96">
        <f>IF(F51=0,0,F51/TrRoad_act!F52*100)</f>
        <v>1.7513190767751783</v>
      </c>
      <c r="G82" s="96">
        <f>IF(G51=0,0,G51/TrRoad_act!G52*100)</f>
        <v>1.7376001303087467</v>
      </c>
      <c r="H82" s="96">
        <f>IF(H51=0,0,H51/TrRoad_act!H52*100)</f>
        <v>1.7253777351318869</v>
      </c>
      <c r="I82" s="96">
        <f>IF(I51=0,0,I51/TrRoad_act!I52*100)</f>
        <v>1.7109755361255394</v>
      </c>
      <c r="J82" s="96">
        <f>IF(J51=0,0,J51/TrRoad_act!J52*100)</f>
        <v>1.6844099005532256</v>
      </c>
      <c r="K82" s="96">
        <f>IF(K51=0,0,K51/TrRoad_act!K52*100)</f>
        <v>1.6712335506133789</v>
      </c>
      <c r="L82" s="96">
        <f>IF(L51=0,0,L51/TrRoad_act!L52*100)</f>
        <v>1.6358925515201135</v>
      </c>
      <c r="M82" s="96">
        <f>IF(M51=0,0,M51/TrRoad_act!M52*100)</f>
        <v>1.6352879472729354</v>
      </c>
      <c r="N82" s="96">
        <f>IF(N51=0,0,N51/TrRoad_act!N52*100)</f>
        <v>1.6346544144448614</v>
      </c>
      <c r="O82" s="96">
        <f>IF(O51=0,0,O51/TrRoad_act!O52*100)</f>
        <v>1.6550739436732613</v>
      </c>
      <c r="P82" s="96">
        <f>IF(P51=0,0,P51/TrRoad_act!P52*100)</f>
        <v>1.6595342122005938</v>
      </c>
      <c r="Q82" s="96">
        <f>IF(Q51=0,0,Q51/TrRoad_act!Q52*100)</f>
        <v>1.7054510771622744</v>
      </c>
      <c r="R82" s="96">
        <f>IF(R51=0,0,R51/TrRoad_act!R52*100)</f>
        <v>1.7360252092708357</v>
      </c>
      <c r="S82" s="96">
        <f>IF(S51=0,0,S51/TrRoad_act!S52*100)</f>
        <v>1.7759428403920772</v>
      </c>
      <c r="T82" s="96">
        <f>IF(T51=0,0,T51/TrRoad_act!T52*100)</f>
        <v>1.8400576477011914</v>
      </c>
      <c r="U82" s="96">
        <f>IF(U51=0,0,U51/TrRoad_act!U52*100)</f>
        <v>1.8941046062642717</v>
      </c>
      <c r="V82" s="96">
        <f>IF(V51=0,0,V51/TrRoad_act!V52*100)</f>
        <v>1.9937446570163841</v>
      </c>
      <c r="W82" s="96">
        <f>IF(W51=0,0,W51/TrRoad_act!W52*100)</f>
        <v>2.1349992606073007</v>
      </c>
      <c r="X82" s="96">
        <f>IF(X51=0,0,X51/TrRoad_act!X52*100)</f>
        <v>2.2684142427503708</v>
      </c>
      <c r="Y82" s="96">
        <f>IF(Y51=0,0,Y51/TrRoad_act!Y52*100)</f>
        <v>2.3967256873749876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41.365253598446252</v>
      </c>
      <c r="C83" s="130">
        <f>IF(C52=0,0,C52/TrRoad_act!C53*100)</f>
        <v>40.458171757242908</v>
      </c>
      <c r="D83" s="130">
        <f>IF(D52=0,0,D52/TrRoad_act!D53*100)</f>
        <v>39.915056402815488</v>
      </c>
      <c r="E83" s="130">
        <f>IF(E52=0,0,E52/TrRoad_act!E53*100)</f>
        <v>39.115845593200952</v>
      </c>
      <c r="F83" s="130">
        <f>IF(F52=0,0,F52/TrRoad_act!F53*100)</f>
        <v>38.264783925533322</v>
      </c>
      <c r="G83" s="130">
        <f>IF(G52=0,0,G52/TrRoad_act!G53*100)</f>
        <v>37.923825554135391</v>
      </c>
      <c r="H83" s="130">
        <f>IF(H52=0,0,H52/TrRoad_act!H53*100)</f>
        <v>37.518493319589552</v>
      </c>
      <c r="I83" s="130">
        <f>IF(I52=0,0,I52/TrRoad_act!I53*100)</f>
        <v>37.12871689891503</v>
      </c>
      <c r="J83" s="130">
        <f>IF(J52=0,0,J52/TrRoad_act!J53*100)</f>
        <v>37.16116433977372</v>
      </c>
      <c r="K83" s="130">
        <f>IF(K52=0,0,K52/TrRoad_act!K53*100)</f>
        <v>37.61693788366793</v>
      </c>
      <c r="L83" s="130">
        <f>IF(L52=0,0,L52/TrRoad_act!L53*100)</f>
        <v>37.322102194646483</v>
      </c>
      <c r="M83" s="130">
        <f>IF(M52=0,0,M52/TrRoad_act!M53*100)</f>
        <v>37.653606724003019</v>
      </c>
      <c r="N83" s="130">
        <f>IF(N52=0,0,N52/TrRoad_act!N53*100)</f>
        <v>37.664975262120009</v>
      </c>
      <c r="O83" s="130">
        <f>IF(O52=0,0,O52/TrRoad_act!O53*100)</f>
        <v>37.395809573617868</v>
      </c>
      <c r="P83" s="130">
        <f>IF(P52=0,0,P52/TrRoad_act!P53*100)</f>
        <v>37.298105753476314</v>
      </c>
      <c r="Q83" s="130">
        <f>IF(Q52=0,0,Q52/TrRoad_act!Q53*100)</f>
        <v>37.36137920393584</v>
      </c>
      <c r="R83" s="130">
        <f>IF(R52=0,0,R52/TrRoad_act!R53*100)</f>
        <v>36.91226800563112</v>
      </c>
      <c r="S83" s="130">
        <f>IF(S52=0,0,S52/TrRoad_act!S53*100)</f>
        <v>36.597719541978265</v>
      </c>
      <c r="T83" s="130">
        <f>IF(T52=0,0,T52/TrRoad_act!T53*100)</f>
        <v>36.379304205682544</v>
      </c>
      <c r="U83" s="130">
        <f>IF(U52=0,0,U52/TrRoad_act!U53*100)</f>
        <v>35.664392464799526</v>
      </c>
      <c r="V83" s="130">
        <f>IF(V52=0,0,V52/TrRoad_act!V53*100)</f>
        <v>35.492278919567966</v>
      </c>
      <c r="W83" s="130">
        <f>IF(W52=0,0,W52/TrRoad_act!W53*100)</f>
        <v>35.882665997721539</v>
      </c>
      <c r="X83" s="130">
        <f>IF(X52=0,0,X52/TrRoad_act!X53*100)</f>
        <v>35.270576585443585</v>
      </c>
      <c r="Y83" s="130">
        <f>IF(Y52=0,0,Y52/TrRoad_act!Y53*100)</f>
        <v>33.983337329509105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40.122739497812589</v>
      </c>
      <c r="C84" s="97">
        <f>IF(C53=0,0,C53/TrRoad_act!C54*100)</f>
        <v>39.411506814048622</v>
      </c>
      <c r="D84" s="97">
        <f>IF(D53=0,0,D53/TrRoad_act!D54*100)</f>
        <v>38.962136149726625</v>
      </c>
      <c r="E84" s="97">
        <f>IF(E53=0,0,E53/TrRoad_act!E54*100)</f>
        <v>38.336636915954045</v>
      </c>
      <c r="F84" s="97">
        <f>IF(F53=0,0,F53/TrRoad_act!F54*100)</f>
        <v>37.723952027785714</v>
      </c>
      <c r="G84" s="97">
        <f>IF(G53=0,0,G53/TrRoad_act!G54*100)</f>
        <v>37.391291803456014</v>
      </c>
      <c r="H84" s="97">
        <f>IF(H53=0,0,H53/TrRoad_act!H54*100)</f>
        <v>37.022164561123681</v>
      </c>
      <c r="I84" s="97">
        <f>IF(I53=0,0,I53/TrRoad_act!I54*100)</f>
        <v>36.671845515091626</v>
      </c>
      <c r="J84" s="97">
        <f>IF(J53=0,0,J53/TrRoad_act!J54*100)</f>
        <v>36.592741970786427</v>
      </c>
      <c r="K84" s="97">
        <f>IF(K53=0,0,K53/TrRoad_act!K54*100)</f>
        <v>36.871089875840234</v>
      </c>
      <c r="L84" s="97">
        <f>IF(L53=0,0,L53/TrRoad_act!L54*100)</f>
        <v>36.673006048480481</v>
      </c>
      <c r="M84" s="97">
        <f>IF(M53=0,0,M53/TrRoad_act!M54*100)</f>
        <v>36.831885475121531</v>
      </c>
      <c r="N84" s="97">
        <f>IF(N53=0,0,N53/TrRoad_act!N54*100)</f>
        <v>36.734267304941994</v>
      </c>
      <c r="O84" s="97">
        <f>IF(O53=0,0,O53/TrRoad_act!O54*100)</f>
        <v>36.441381430889727</v>
      </c>
      <c r="P84" s="97">
        <f>IF(P53=0,0,P53/TrRoad_act!P54*100)</f>
        <v>36.281675167250441</v>
      </c>
      <c r="Q84" s="97">
        <f>IF(Q53=0,0,Q53/TrRoad_act!Q54*100)</f>
        <v>36.146310054450339</v>
      </c>
      <c r="R84" s="97">
        <f>IF(R53=0,0,R53/TrRoad_act!R54*100)</f>
        <v>35.607897902331331</v>
      </c>
      <c r="S84" s="97">
        <f>IF(S53=0,0,S53/TrRoad_act!S54*100)</f>
        <v>35.09463390342907</v>
      </c>
      <c r="T84" s="97">
        <f>IF(T53=0,0,T53/TrRoad_act!T54*100)</f>
        <v>34.621741516095881</v>
      </c>
      <c r="U84" s="97">
        <f>IF(U53=0,0,U53/TrRoad_act!U54*100)</f>
        <v>33.758965246091044</v>
      </c>
      <c r="V84" s="97">
        <f>IF(V53=0,0,V53/TrRoad_act!V54*100)</f>
        <v>33.395971355655348</v>
      </c>
      <c r="W84" s="97">
        <f>IF(W53=0,0,W53/TrRoad_act!W54*100)</f>
        <v>33.392320607797807</v>
      </c>
      <c r="X84" s="97">
        <f>IF(X53=0,0,X53/TrRoad_act!X54*100)</f>
        <v>32.681964653140582</v>
      </c>
      <c r="Y84" s="97">
        <f>IF(Y53=0,0,Y53/TrRoad_act!Y54*100)</f>
        <v>31.633177276197326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44.24522335280696</v>
      </c>
      <c r="C85" s="98">
        <f>IF(C55=0,0,C55/TrRoad_act!C55*100)</f>
        <v>42.776600505193066</v>
      </c>
      <c r="D85" s="98">
        <f>IF(D55=0,0,D55/TrRoad_act!D55*100)</f>
        <v>41.923992433407733</v>
      </c>
      <c r="E85" s="98">
        <f>IF(E55=0,0,E55/TrRoad_act!E55*100)</f>
        <v>40.726323478022216</v>
      </c>
      <c r="F85" s="98">
        <f>IF(F55=0,0,F55/TrRoad_act!F55*100)</f>
        <v>39.267499872476314</v>
      </c>
      <c r="G85" s="98">
        <f>IF(G55=0,0,G55/TrRoad_act!G55*100)</f>
        <v>38.876274390463685</v>
      </c>
      <c r="H85" s="98">
        <f>IF(H55=0,0,H55/TrRoad_act!H55*100)</f>
        <v>38.393492937284762</v>
      </c>
      <c r="I85" s="98">
        <f>IF(I55=0,0,I55/TrRoad_act!I55*100)</f>
        <v>37.945678177620209</v>
      </c>
      <c r="J85" s="98">
        <f>IF(J55=0,0,J55/TrRoad_act!J55*100)</f>
        <v>38.131140749852278</v>
      </c>
      <c r="K85" s="98">
        <f>IF(K55=0,0,K55/TrRoad_act!K55*100)</f>
        <v>38.852515431317464</v>
      </c>
      <c r="L85" s="98">
        <f>IF(L55=0,0,L55/TrRoad_act!L55*100)</f>
        <v>38.439161098870393</v>
      </c>
      <c r="M85" s="98">
        <f>IF(M55=0,0,M55/TrRoad_act!M55*100)</f>
        <v>39.196114956219844</v>
      </c>
      <c r="N85" s="98">
        <f>IF(N55=0,0,N55/TrRoad_act!N55*100)</f>
        <v>39.31462537388088</v>
      </c>
      <c r="O85" s="98">
        <f>IF(O55=0,0,O55/TrRoad_act!O55*100)</f>
        <v>38.995323969603419</v>
      </c>
      <c r="P85" s="98">
        <f>IF(P55=0,0,P55/TrRoad_act!P55*100)</f>
        <v>38.968272497212702</v>
      </c>
      <c r="Q85" s="98">
        <f>IF(Q55=0,0,Q55/TrRoad_act!Q55*100)</f>
        <v>39.213144276816777</v>
      </c>
      <c r="R85" s="98">
        <f>IF(R55=0,0,R55/TrRoad_act!R55*100)</f>
        <v>38.899120426415188</v>
      </c>
      <c r="S85" s="98">
        <f>IF(S55=0,0,S55/TrRoad_act!S55*100)</f>
        <v>38.807847745444818</v>
      </c>
      <c r="T85" s="98">
        <f>IF(T55=0,0,T55/TrRoad_act!T55*100)</f>
        <v>38.941888201141118</v>
      </c>
      <c r="U85" s="98">
        <f>IF(U55=0,0,U55/TrRoad_act!U55*100)</f>
        <v>38.383635598969242</v>
      </c>
      <c r="V85" s="98">
        <f>IF(V55=0,0,V55/TrRoad_act!V55*100)</f>
        <v>38.461288100487565</v>
      </c>
      <c r="W85" s="98">
        <f>IF(W55=0,0,W55/TrRoad_act!W55*100)</f>
        <v>39.274433440175059</v>
      </c>
      <c r="X85" s="98">
        <f>IF(X55=0,0,X55/TrRoad_act!X55*100)</f>
        <v>38.754684010925175</v>
      </c>
      <c r="Y85" s="98">
        <f>IF(Y55=0,0,Y55/TrRoad_act!Y55*100)</f>
        <v>37.183490619336887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36.511477968925746</v>
      </c>
      <c r="C88" s="29">
        <f>IF(TrRoad_act!C4=0,0,C18/TrRoad_act!C4*1000)</f>
        <v>36.154144166631255</v>
      </c>
      <c r="D88" s="29">
        <f>IF(TrRoad_act!D4=0,0,D18/TrRoad_act!D4*1000)</f>
        <v>35.968570340348158</v>
      </c>
      <c r="E88" s="29">
        <f>IF(TrRoad_act!E4=0,0,E18/TrRoad_act!E4*1000)</f>
        <v>35.210619185955011</v>
      </c>
      <c r="F88" s="29">
        <f>IF(TrRoad_act!F4=0,0,F18/TrRoad_act!F4*1000)</f>
        <v>34.80936044647563</v>
      </c>
      <c r="G88" s="29">
        <f>IF(TrRoad_act!G4=0,0,G18/TrRoad_act!G4*1000)</f>
        <v>34.765176306309023</v>
      </c>
      <c r="H88" s="29">
        <f>IF(TrRoad_act!H4=0,0,H18/TrRoad_act!H4*1000)</f>
        <v>35.041955875260072</v>
      </c>
      <c r="I88" s="29">
        <f>IF(TrRoad_act!I4=0,0,I18/TrRoad_act!I4*1000)</f>
        <v>35.15828360185138</v>
      </c>
      <c r="J88" s="29">
        <f>IF(TrRoad_act!J4=0,0,J18/TrRoad_act!J4*1000)</f>
        <v>35.227796004789226</v>
      </c>
      <c r="K88" s="29">
        <f>IF(TrRoad_act!K4=0,0,K18/TrRoad_act!K4*1000)</f>
        <v>35.931887595720688</v>
      </c>
      <c r="L88" s="29">
        <f>IF(TrRoad_act!L4=0,0,L18/TrRoad_act!L4*1000)</f>
        <v>35.198093994382631</v>
      </c>
      <c r="M88" s="29">
        <f>IF(TrRoad_act!M4=0,0,M18/TrRoad_act!M4*1000)</f>
        <v>37.043660468994922</v>
      </c>
      <c r="N88" s="29">
        <f>IF(TrRoad_act!N4=0,0,N18/TrRoad_act!N4*1000)</f>
        <v>34.217428956407133</v>
      </c>
      <c r="O88" s="29">
        <f>IF(TrRoad_act!O4=0,0,O18/TrRoad_act!O4*1000)</f>
        <v>33.791544810157831</v>
      </c>
      <c r="P88" s="29">
        <f>IF(TrRoad_act!P4=0,0,P18/TrRoad_act!P4*1000)</f>
        <v>33.646829823952615</v>
      </c>
      <c r="Q88" s="29">
        <f>IF(TrRoad_act!Q4=0,0,Q18/TrRoad_act!Q4*1000)</f>
        <v>33.806784865917194</v>
      </c>
      <c r="R88" s="29">
        <f>IF(TrRoad_act!R4=0,0,R18/TrRoad_act!R4*1000)</f>
        <v>33.404995435732417</v>
      </c>
      <c r="S88" s="29">
        <f>IF(TrRoad_act!S4=0,0,S18/TrRoad_act!S4*1000)</f>
        <v>33.094570581112144</v>
      </c>
      <c r="T88" s="29">
        <f>IF(TrRoad_act!T4=0,0,T18/TrRoad_act!T4*1000)</f>
        <v>32.525958571177014</v>
      </c>
      <c r="U88" s="29">
        <f>IF(TrRoad_act!U4=0,0,U18/TrRoad_act!U4*1000)</f>
        <v>31.819442324400477</v>
      </c>
      <c r="V88" s="29">
        <f>IF(TrRoad_act!V4=0,0,V18/TrRoad_act!V4*1000)</f>
        <v>32.468208061517622</v>
      </c>
      <c r="W88" s="29">
        <f>IF(TrRoad_act!W4=0,0,W18/TrRoad_act!W4*1000)</f>
        <v>34.014152994455657</v>
      </c>
      <c r="X88" s="29">
        <f>IF(TrRoad_act!X4=0,0,X18/TrRoad_act!X4*1000)</f>
        <v>32.832758722508082</v>
      </c>
      <c r="Y88" s="29">
        <f>IF(TrRoad_act!Y4=0,0,Y18/TrRoad_act!Y4*1000)</f>
        <v>32.543262391566387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31.569403291868802</v>
      </c>
      <c r="C89" s="152">
        <f>IF(TrRoad_act!C5=0,0,C19/TrRoad_act!C5*1000)</f>
        <v>31.407677905875293</v>
      </c>
      <c r="D89" s="152">
        <f>IF(TrRoad_act!D5=0,0,D19/TrRoad_act!D5*1000)</f>
        <v>31.261372333405564</v>
      </c>
      <c r="E89" s="152">
        <f>IF(TrRoad_act!E5=0,0,E19/TrRoad_act!E5*1000)</f>
        <v>30.754314037443958</v>
      </c>
      <c r="F89" s="152">
        <f>IF(TrRoad_act!F5=0,0,F19/TrRoad_act!F5*1000)</f>
        <v>30.839714508009521</v>
      </c>
      <c r="G89" s="152">
        <f>IF(TrRoad_act!G5=0,0,G19/TrRoad_act!G5*1000)</f>
        <v>30.191604139372071</v>
      </c>
      <c r="H89" s="152">
        <f>IF(TrRoad_act!H5=0,0,H19/TrRoad_act!H5*1000)</f>
        <v>30.239383549263263</v>
      </c>
      <c r="I89" s="152">
        <f>IF(TrRoad_act!I5=0,0,I19/TrRoad_act!I5*1000)</f>
        <v>30.002179059652395</v>
      </c>
      <c r="J89" s="152">
        <f>IF(TrRoad_act!J5=0,0,J19/TrRoad_act!J5*1000)</f>
        <v>29.897260442576972</v>
      </c>
      <c r="K89" s="152">
        <f>IF(TrRoad_act!K5=0,0,K19/TrRoad_act!K5*1000)</f>
        <v>29.824099484339236</v>
      </c>
      <c r="L89" s="152">
        <f>IF(TrRoad_act!L5=0,0,L19/TrRoad_act!L5*1000)</f>
        <v>29.839612177774136</v>
      </c>
      <c r="M89" s="152">
        <f>IF(TrRoad_act!M5=0,0,M19/TrRoad_act!M5*1000)</f>
        <v>28.930609813005699</v>
      </c>
      <c r="N89" s="152">
        <f>IF(TrRoad_act!N5=0,0,N19/TrRoad_act!N5*1000)</f>
        <v>29.829685113708415</v>
      </c>
      <c r="O89" s="152">
        <f>IF(TrRoad_act!O5=0,0,O19/TrRoad_act!O5*1000)</f>
        <v>29.930322826990519</v>
      </c>
      <c r="P89" s="152">
        <f>IF(TrRoad_act!P5=0,0,P19/TrRoad_act!P5*1000)</f>
        <v>29.718601176250427</v>
      </c>
      <c r="Q89" s="152">
        <f>IF(TrRoad_act!Q5=0,0,Q19/TrRoad_act!Q5*1000)</f>
        <v>29.727182345737951</v>
      </c>
      <c r="R89" s="152">
        <f>IF(TrRoad_act!R5=0,0,R19/TrRoad_act!R5*1000)</f>
        <v>29.612443460399813</v>
      </c>
      <c r="S89" s="152">
        <f>IF(TrRoad_act!S5=0,0,S19/TrRoad_act!S5*1000)</f>
        <v>29.480942738082977</v>
      </c>
      <c r="T89" s="152">
        <f>IF(TrRoad_act!T5=0,0,T19/TrRoad_act!T5*1000)</f>
        <v>30.900068152403573</v>
      </c>
      <c r="U89" s="152">
        <f>IF(TrRoad_act!U5=0,0,U19/TrRoad_act!U5*1000)</f>
        <v>29.284351567148388</v>
      </c>
      <c r="V89" s="152">
        <f>IF(TrRoad_act!V5=0,0,V19/TrRoad_act!V5*1000)</f>
        <v>29.39812772554961</v>
      </c>
      <c r="W89" s="152">
        <f>IF(TrRoad_act!W5=0,0,W19/TrRoad_act!W5*1000)</f>
        <v>28.826951123762971</v>
      </c>
      <c r="X89" s="152">
        <f>IF(TrRoad_act!X5=0,0,X19/TrRoad_act!X5*1000)</f>
        <v>30.349188855445018</v>
      </c>
      <c r="Y89" s="152">
        <f>IF(TrRoad_act!Y5=0,0,Y19/TrRoad_act!Y5*1000)</f>
        <v>29.417918462345785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36.768408147306694</v>
      </c>
      <c r="C90" s="116">
        <f>IF(TrRoad_act!C6=0,0,C21/TrRoad_act!C6*1000)</f>
        <v>36.357151118086129</v>
      </c>
      <c r="D90" s="116">
        <f>IF(TrRoad_act!D6=0,0,D21/TrRoad_act!D6*1000)</f>
        <v>36.193297621056011</v>
      </c>
      <c r="E90" s="116">
        <f>IF(TrRoad_act!E6=0,0,E21/TrRoad_act!E6*1000)</f>
        <v>35.393683566631218</v>
      </c>
      <c r="F90" s="116">
        <f>IF(TrRoad_act!F6=0,0,F21/TrRoad_act!F6*1000)</f>
        <v>34.973488934432226</v>
      </c>
      <c r="G90" s="116">
        <f>IF(TrRoad_act!G6=0,0,G21/TrRoad_act!G6*1000)</f>
        <v>34.947673383667563</v>
      </c>
      <c r="H90" s="116">
        <f>IF(TrRoad_act!H6=0,0,H21/TrRoad_act!H6*1000)</f>
        <v>35.265213813749625</v>
      </c>
      <c r="I90" s="116">
        <f>IF(TrRoad_act!I6=0,0,I21/TrRoad_act!I6*1000)</f>
        <v>35.372872432158132</v>
      </c>
      <c r="J90" s="116">
        <f>IF(TrRoad_act!J6=0,0,J21/TrRoad_act!J6*1000)</f>
        <v>35.49377786868672</v>
      </c>
      <c r="K90" s="116">
        <f>IF(TrRoad_act!K6=0,0,K21/TrRoad_act!K6*1000)</f>
        <v>36.361704150505325</v>
      </c>
      <c r="L90" s="116">
        <f>IF(TrRoad_act!L6=0,0,L21/TrRoad_act!L6*1000)</f>
        <v>35.666264020166018</v>
      </c>
      <c r="M90" s="116">
        <f>IF(TrRoad_act!M6=0,0,M21/TrRoad_act!M6*1000)</f>
        <v>37.769416234662344</v>
      </c>
      <c r="N90" s="116">
        <f>IF(TrRoad_act!N6=0,0,N21/TrRoad_act!N6*1000)</f>
        <v>34.640897551504004</v>
      </c>
      <c r="O90" s="116">
        <f>IF(TrRoad_act!O6=0,0,O21/TrRoad_act!O6*1000)</f>
        <v>34.344987519870706</v>
      </c>
      <c r="P90" s="116">
        <f>IF(TrRoad_act!P6=0,0,P21/TrRoad_act!P6*1000)</f>
        <v>34.209191242501952</v>
      </c>
      <c r="Q90" s="116">
        <f>IF(TrRoad_act!Q6=0,0,Q21/TrRoad_act!Q6*1000)</f>
        <v>34.371730902316266</v>
      </c>
      <c r="R90" s="116">
        <f>IF(TrRoad_act!R6=0,0,R21/TrRoad_act!R6*1000)</f>
        <v>33.905051080650594</v>
      </c>
      <c r="S90" s="116">
        <f>IF(TrRoad_act!S6=0,0,S21/TrRoad_act!S6*1000)</f>
        <v>33.596901398585331</v>
      </c>
      <c r="T90" s="116">
        <f>IF(TrRoad_act!T6=0,0,T21/TrRoad_act!T6*1000)</f>
        <v>32.926408685685551</v>
      </c>
      <c r="U90" s="116">
        <f>IF(TrRoad_act!U6=0,0,U21/TrRoad_act!U6*1000)</f>
        <v>32.233003661261485</v>
      </c>
      <c r="V90" s="116">
        <f>IF(TrRoad_act!V6=0,0,V21/TrRoad_act!V6*1000)</f>
        <v>32.51684439627406</v>
      </c>
      <c r="W90" s="116">
        <f>IF(TrRoad_act!W6=0,0,W21/TrRoad_act!W6*1000)</f>
        <v>34.067258163250216</v>
      </c>
      <c r="X90" s="116">
        <f>IF(TrRoad_act!X6=0,0,X21/TrRoad_act!X6*1000)</f>
        <v>32.897823850554779</v>
      </c>
      <c r="Y90" s="116">
        <f>IF(TrRoad_act!Y6=0,0,Y21/TrRoad_act!Y6*1000)</f>
        <v>32.858882577024943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37.032800597075401</v>
      </c>
      <c r="C91" s="87">
        <f>IF(TrRoad_act!C7=0,0,C22/TrRoad_act!C7*1000)</f>
        <v>37.305098341058724</v>
      </c>
      <c r="D91" s="87">
        <f>IF(TrRoad_act!D7=0,0,D22/TrRoad_act!D7*1000)</f>
        <v>37.553185992555477</v>
      </c>
      <c r="E91" s="87">
        <f>IF(TrRoad_act!E7=0,0,E22/TrRoad_act!E7*1000)</f>
        <v>37.367262894598277</v>
      </c>
      <c r="F91" s="87">
        <f>IF(TrRoad_act!F7=0,0,F22/TrRoad_act!F7*1000)</f>
        <v>37.557202200906055</v>
      </c>
      <c r="G91" s="87">
        <f>IF(TrRoad_act!G7=0,0,G22/TrRoad_act!G7*1000)</f>
        <v>37.79726085520781</v>
      </c>
      <c r="H91" s="87">
        <f>IF(TrRoad_act!H7=0,0,H22/TrRoad_act!H7*1000)</f>
        <v>38.509795400767842</v>
      </c>
      <c r="I91" s="87">
        <f>IF(TrRoad_act!I7=0,0,I22/TrRoad_act!I7*1000)</f>
        <v>38.917159548899463</v>
      </c>
      <c r="J91" s="87">
        <f>IF(TrRoad_act!J7=0,0,J22/TrRoad_act!J7*1000)</f>
        <v>39.0764851607764</v>
      </c>
      <c r="K91" s="87">
        <f>IF(TrRoad_act!K7=0,0,K22/TrRoad_act!K7*1000)</f>
        <v>39.438764799846126</v>
      </c>
      <c r="L91" s="87">
        <f>IF(TrRoad_act!L7=0,0,L22/TrRoad_act!L7*1000)</f>
        <v>38.772318131491112</v>
      </c>
      <c r="M91" s="87">
        <f>IF(TrRoad_act!M7=0,0,M22/TrRoad_act!M7*1000)</f>
        <v>40.252613819042203</v>
      </c>
      <c r="N91" s="87">
        <f>IF(TrRoad_act!N7=0,0,N22/TrRoad_act!N7*1000)</f>
        <v>36.629561197389926</v>
      </c>
      <c r="O91" s="87">
        <f>IF(TrRoad_act!O7=0,0,O22/TrRoad_act!O7*1000)</f>
        <v>36.258871796674889</v>
      </c>
      <c r="P91" s="87">
        <f>IF(TrRoad_act!P7=0,0,P22/TrRoad_act!P7*1000)</f>
        <v>35.776428513360983</v>
      </c>
      <c r="Q91" s="87">
        <f>IF(TrRoad_act!Q7=0,0,Q22/TrRoad_act!Q7*1000)</f>
        <v>35.521074830567528</v>
      </c>
      <c r="R91" s="87">
        <f>IF(TrRoad_act!R7=0,0,R22/TrRoad_act!R7*1000)</f>
        <v>34.845648944347417</v>
      </c>
      <c r="S91" s="87">
        <f>IF(TrRoad_act!S7=0,0,S22/TrRoad_act!S7*1000)</f>
        <v>34.235666123667208</v>
      </c>
      <c r="T91" s="87">
        <f>IF(TrRoad_act!T7=0,0,T22/TrRoad_act!T7*1000)</f>
        <v>33.112343104585534</v>
      </c>
      <c r="U91" s="87">
        <f>IF(TrRoad_act!U7=0,0,U22/TrRoad_act!U7*1000)</f>
        <v>32.504029522768001</v>
      </c>
      <c r="V91" s="87">
        <f>IF(TrRoad_act!V7=0,0,V22/TrRoad_act!V7*1000)</f>
        <v>32.677256837161373</v>
      </c>
      <c r="W91" s="87">
        <f>IF(TrRoad_act!W7=0,0,W22/TrRoad_act!W7*1000)</f>
        <v>33.515003091406271</v>
      </c>
      <c r="X91" s="87">
        <f>IF(TrRoad_act!X7=0,0,X22/TrRoad_act!X7*1000)</f>
        <v>32.47051633374091</v>
      </c>
      <c r="Y91" s="87">
        <f>IF(TrRoad_act!Y7=0,0,Y22/TrRoad_act!Y7*1000)</f>
        <v>33.026493641719206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36.530918092846996</v>
      </c>
      <c r="C92" s="87">
        <f>IF(TrRoad_act!C8=0,0,C24/TrRoad_act!C8*1000)</f>
        <v>35.504300198605598</v>
      </c>
      <c r="D92" s="87">
        <f>IF(TrRoad_act!D8=0,0,D24/TrRoad_act!D8*1000)</f>
        <v>35.054839908947677</v>
      </c>
      <c r="E92" s="87">
        <f>IF(TrRoad_act!E8=0,0,E24/TrRoad_act!E8*1000)</f>
        <v>33.913360145175439</v>
      </c>
      <c r="F92" s="87">
        <f>IF(TrRoad_act!F8=0,0,F24/TrRoad_act!F8*1000)</f>
        <v>33.196097913286962</v>
      </c>
      <c r="G92" s="87">
        <f>IF(TrRoad_act!G8=0,0,G24/TrRoad_act!G8*1000)</f>
        <v>33.152791139116971</v>
      </c>
      <c r="H92" s="87">
        <f>IF(TrRoad_act!H8=0,0,H24/TrRoad_act!H8*1000)</f>
        <v>33.460771178949614</v>
      </c>
      <c r="I92" s="87">
        <f>IF(TrRoad_act!I8=0,0,I24/TrRoad_act!I8*1000)</f>
        <v>33.608889852483408</v>
      </c>
      <c r="J92" s="87">
        <f>IF(TrRoad_act!J8=0,0,J24/TrRoad_act!J8*1000)</f>
        <v>33.939249050390472</v>
      </c>
      <c r="K92" s="87">
        <f>IF(TrRoad_act!K8=0,0,K24/TrRoad_act!K8*1000)</f>
        <v>35.164900625851416</v>
      </c>
      <c r="L92" s="87">
        <f>IF(TrRoad_act!L8=0,0,L24/TrRoad_act!L8*1000)</f>
        <v>34.561895457934575</v>
      </c>
      <c r="M92" s="87">
        <f>IF(TrRoad_act!M8=0,0,M24/TrRoad_act!M8*1000)</f>
        <v>36.907612944816734</v>
      </c>
      <c r="N92" s="87">
        <f>IF(TrRoad_act!N8=0,0,N24/TrRoad_act!N8*1000)</f>
        <v>34.013092470909825</v>
      </c>
      <c r="O92" s="87">
        <f>IF(TrRoad_act!O8=0,0,O24/TrRoad_act!O8*1000)</f>
        <v>33.772012244003072</v>
      </c>
      <c r="P92" s="87">
        <f>IF(TrRoad_act!P8=0,0,P24/TrRoad_act!P8*1000)</f>
        <v>33.751183486305862</v>
      </c>
      <c r="Q92" s="87">
        <f>IF(TrRoad_act!Q8=0,0,Q24/TrRoad_act!Q8*1000)</f>
        <v>34.059902000390316</v>
      </c>
      <c r="R92" s="87">
        <f>IF(TrRoad_act!R8=0,0,R24/TrRoad_act!R8*1000)</f>
        <v>33.665276679763224</v>
      </c>
      <c r="S92" s="87">
        <f>IF(TrRoad_act!S8=0,0,S24/TrRoad_act!S8*1000)</f>
        <v>33.475097180314705</v>
      </c>
      <c r="T92" s="87">
        <f>IF(TrRoad_act!T8=0,0,T24/TrRoad_act!T8*1000)</f>
        <v>33.00018011630322</v>
      </c>
      <c r="U92" s="87">
        <f>IF(TrRoad_act!U8=0,0,U24/TrRoad_act!U8*1000)</f>
        <v>32.312296542384765</v>
      </c>
      <c r="V92" s="87">
        <f>IF(TrRoad_act!V8=0,0,V24/TrRoad_act!V8*1000)</f>
        <v>32.818958142770818</v>
      </c>
      <c r="W92" s="87">
        <f>IF(TrRoad_act!W8=0,0,W24/TrRoad_act!W8*1000)</f>
        <v>35.035964739951787</v>
      </c>
      <c r="X92" s="87">
        <f>IF(TrRoad_act!X8=0,0,X24/TrRoad_act!X8*1000)</f>
        <v>34.012844108548308</v>
      </c>
      <c r="Y92" s="87">
        <f>IF(TrRoad_act!Y8=0,0,Y24/TrRoad_act!Y8*1000)</f>
        <v>33.90765337669999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34.787380904810611</v>
      </c>
      <c r="C93" s="87">
        <f>IF(TrRoad_act!C9=0,0,C26/TrRoad_act!C9*1000)</f>
        <v>35.388954400976353</v>
      </c>
      <c r="D93" s="87">
        <f>IF(TrRoad_act!D9=0,0,D26/TrRoad_act!D9*1000)</f>
        <v>35.864343137307884</v>
      </c>
      <c r="E93" s="87">
        <f>IF(TrRoad_act!E9=0,0,E26/TrRoad_act!E9*1000)</f>
        <v>35.865283219758588</v>
      </c>
      <c r="F93" s="87">
        <f>IF(TrRoad_act!F9=0,0,F26/TrRoad_act!F9*1000)</f>
        <v>36.248813005841001</v>
      </c>
      <c r="G93" s="87">
        <f>IF(TrRoad_act!G9=0,0,G26/TrRoad_act!G9*1000)</f>
        <v>36.717770676860894</v>
      </c>
      <c r="H93" s="87">
        <f>IF(TrRoad_act!H9=0,0,H26/TrRoad_act!H9*1000)</f>
        <v>37.643170772843717</v>
      </c>
      <c r="I93" s="87">
        <f>IF(TrRoad_act!I9=0,0,I26/TrRoad_act!I9*1000)</f>
        <v>41.862975110188572</v>
      </c>
      <c r="J93" s="87">
        <f>IF(TrRoad_act!J9=0,0,J26/TrRoad_act!J9*1000)</f>
        <v>38.098601562735418</v>
      </c>
      <c r="K93" s="87">
        <f>IF(TrRoad_act!K9=0,0,K26/TrRoad_act!K9*1000)</f>
        <v>31.023545690798571</v>
      </c>
      <c r="L93" s="87">
        <f>IF(TrRoad_act!L9=0,0,L26/TrRoad_act!L9*1000)</f>
        <v>35.351820795497744</v>
      </c>
      <c r="M93" s="87">
        <f>IF(TrRoad_act!M9=0,0,M26/TrRoad_act!M9*1000)</f>
        <v>38.69679318108728</v>
      </c>
      <c r="N93" s="87">
        <f>IF(TrRoad_act!N9=0,0,N26/TrRoad_act!N9*1000)</f>
        <v>35.892966281471935</v>
      </c>
      <c r="O93" s="87">
        <f>IF(TrRoad_act!O9=0,0,O26/TrRoad_act!O9*1000)</f>
        <v>37.424128474273139</v>
      </c>
      <c r="P93" s="87">
        <f>IF(TrRoad_act!P9=0,0,P26/TrRoad_act!P9*1000)</f>
        <v>37.010933276686885</v>
      </c>
      <c r="Q93" s="87">
        <f>IF(TrRoad_act!Q9=0,0,Q26/TrRoad_act!Q9*1000)</f>
        <v>34.72294796784319</v>
      </c>
      <c r="R93" s="87">
        <f>IF(TrRoad_act!R9=0,0,R26/TrRoad_act!R9*1000)</f>
        <v>33.49502376354549</v>
      </c>
      <c r="S93" s="87">
        <f>IF(TrRoad_act!S9=0,0,S26/TrRoad_act!S9*1000)</f>
        <v>31.19905216265127</v>
      </c>
      <c r="T93" s="87">
        <f>IF(TrRoad_act!T9=0,0,T26/TrRoad_act!T9*1000)</f>
        <v>29.855353562106259</v>
      </c>
      <c r="U93" s="87">
        <f>IF(TrRoad_act!U9=0,0,U26/TrRoad_act!U9*1000)</f>
        <v>28.841287030677776</v>
      </c>
      <c r="V93" s="87">
        <f>IF(TrRoad_act!V9=0,0,V26/TrRoad_act!V9*1000)</f>
        <v>25.071005892606138</v>
      </c>
      <c r="W93" s="87">
        <f>IF(TrRoad_act!W9=0,0,W26/TrRoad_act!W9*1000)</f>
        <v>32.924387041870901</v>
      </c>
      <c r="X93" s="87">
        <f>IF(TrRoad_act!X9=0,0,X26/TrRoad_act!X9*1000)</f>
        <v>50.369096836578393</v>
      </c>
      <c r="Y93" s="87">
        <f>IF(TrRoad_act!Y9=0,0,Y26/TrRoad_act!Y9*1000)</f>
        <v>52.446236011365293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39.059116031226239</v>
      </c>
      <c r="J94" s="87">
        <f>IF(TrRoad_act!J10=0,0,J27/TrRoad_act!J10*1000)</f>
        <v>37.992871579764014</v>
      </c>
      <c r="K94" s="87">
        <f>IF(TrRoad_act!K10=0,0,K27/TrRoad_act!K10*1000)</f>
        <v>37.740589255214353</v>
      </c>
      <c r="L94" s="87">
        <f>IF(TrRoad_act!L10=0,0,L27/TrRoad_act!L10*1000)</f>
        <v>37.373240561012793</v>
      </c>
      <c r="M94" s="87">
        <f>IF(TrRoad_act!M10=0,0,M27/TrRoad_act!M10*1000)</f>
        <v>39.024985254372901</v>
      </c>
      <c r="N94" s="87">
        <f>IF(TrRoad_act!N10=0,0,N27/TrRoad_act!N10*1000)</f>
        <v>35.582349832084269</v>
      </c>
      <c r="O94" s="87">
        <f>IF(TrRoad_act!O10=0,0,O27/TrRoad_act!O10*1000)</f>
        <v>35.284796926315238</v>
      </c>
      <c r="P94" s="87">
        <f>IF(TrRoad_act!P10=0,0,P27/TrRoad_act!P10*1000)</f>
        <v>34.994740581542516</v>
      </c>
      <c r="Q94" s="87">
        <f>IF(TrRoad_act!Q10=0,0,Q27/TrRoad_act!Q10*1000)</f>
        <v>34.520889208173159</v>
      </c>
      <c r="R94" s="87">
        <f>IF(TrRoad_act!R10=0,0,R27/TrRoad_act!R10*1000)</f>
        <v>30.839429851354076</v>
      </c>
      <c r="S94" s="87">
        <f>IF(TrRoad_act!S10=0,0,S27/TrRoad_act!S10*1000)</f>
        <v>30.73499745601244</v>
      </c>
      <c r="T94" s="87">
        <f>IF(TrRoad_act!T10=0,0,T27/TrRoad_act!T10*1000)</f>
        <v>30.133958753414149</v>
      </c>
      <c r="U94" s="87">
        <f>IF(TrRoad_act!U10=0,0,U27/TrRoad_act!U10*1000)</f>
        <v>30.028758118605335</v>
      </c>
      <c r="V94" s="87">
        <f>IF(TrRoad_act!V10=0,0,V27/TrRoad_act!V10*1000)</f>
        <v>30.602703260932071</v>
      </c>
      <c r="W94" s="87">
        <f>IF(TrRoad_act!W10=0,0,W27/TrRoad_act!W10*1000)</f>
        <v>31.684813738288394</v>
      </c>
      <c r="X94" s="87">
        <f>IF(TrRoad_act!X10=0,0,X27/TrRoad_act!X10*1000)</f>
        <v>31.402597175073545</v>
      </c>
      <c r="Y94" s="87">
        <f>IF(TrRoad_act!Y10=0,0,Y27/TrRoad_act!Y10*1000)</f>
        <v>30.004820324104124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15.135235799742215</v>
      </c>
      <c r="O95" s="87">
        <f>IF(TrRoad_act!O11=0,0,O29/TrRoad_act!O11*1000)</f>
        <v>15.945732504406482</v>
      </c>
      <c r="P95" s="87">
        <f>IF(TrRoad_act!P11=0,0,P29/TrRoad_act!P11*1000)</f>
        <v>15.674794893815378</v>
      </c>
      <c r="Q95" s="87">
        <f>IF(TrRoad_act!Q11=0,0,Q29/TrRoad_act!Q11*1000)</f>
        <v>17.919889437226129</v>
      </c>
      <c r="R95" s="87">
        <f>IF(TrRoad_act!R11=0,0,R29/TrRoad_act!R11*1000)</f>
        <v>19.179060120211457</v>
      </c>
      <c r="S95" s="87">
        <f>IF(TrRoad_act!S11=0,0,S29/TrRoad_act!S11*1000)</f>
        <v>19.867772023533426</v>
      </c>
      <c r="T95" s="87">
        <f>IF(TrRoad_act!T11=0,0,T29/TrRoad_act!T11*1000)</f>
        <v>20.407253043581871</v>
      </c>
      <c r="U95" s="87">
        <f>IF(TrRoad_act!U11=0,0,U29/TrRoad_act!U11*1000)</f>
        <v>20.215178152556298</v>
      </c>
      <c r="V95" s="87">
        <f>IF(TrRoad_act!V11=0,0,V29/TrRoad_act!V11*1000)</f>
        <v>19.705357356693892</v>
      </c>
      <c r="W95" s="87">
        <f>IF(TrRoad_act!W11=0,0,W29/TrRoad_act!W11*1000)</f>
        <v>19.458858255501955</v>
      </c>
      <c r="X95" s="87">
        <f>IF(TrRoad_act!X11=0,0,X29/TrRoad_act!X11*1000)</f>
        <v>18.714264716165626</v>
      </c>
      <c r="Y95" s="87">
        <f>IF(TrRoad_act!Y11=0,0,Y29/TrRoad_act!Y11*1000)</f>
        <v>18.948815486519432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7.0413906122844514</v>
      </c>
      <c r="I96" s="87">
        <f>IF(TrRoad_act!I12=0,0,I32/TrRoad_act!I12*1000)</f>
        <v>7.1630651722160943</v>
      </c>
      <c r="J96" s="87">
        <f>IF(TrRoad_act!J12=0,0,J32/TrRoad_act!J12*1000)</f>
        <v>7.1709816322662077</v>
      </c>
      <c r="K96" s="87">
        <f>IF(TrRoad_act!K12=0,0,K32/TrRoad_act!K12*1000)</f>
        <v>7.3680058547664355</v>
      </c>
      <c r="L96" s="87">
        <f>IF(TrRoad_act!L12=0,0,L32/TrRoad_act!L12*1000)</f>
        <v>7.3735248033416392</v>
      </c>
      <c r="M96" s="87">
        <f>IF(TrRoad_act!M12=0,0,M32/TrRoad_act!M12*1000)</f>
        <v>7.7824938817146991</v>
      </c>
      <c r="N96" s="87">
        <f>IF(TrRoad_act!N12=0,0,N32/TrRoad_act!N12*1000)</f>
        <v>7.0875238592321823</v>
      </c>
      <c r="O96" s="87">
        <f>IF(TrRoad_act!O12=0,0,O32/TrRoad_act!O12*1000)</f>
        <v>7.6334580266554495</v>
      </c>
      <c r="P96" s="87">
        <f>IF(TrRoad_act!P12=0,0,P32/TrRoad_act!P12*1000)</f>
        <v>7.9699358987075986</v>
      </c>
      <c r="Q96" s="87">
        <f>IF(TrRoad_act!Q12=0,0,Q32/TrRoad_act!Q12*1000)</f>
        <v>8.4027201159344962</v>
      </c>
      <c r="R96" s="87">
        <f>IF(TrRoad_act!R12=0,0,R32/TrRoad_act!R12*1000)</f>
        <v>8.6380547229371505</v>
      </c>
      <c r="S96" s="87">
        <f>IF(TrRoad_act!S12=0,0,S32/TrRoad_act!S12*1000)</f>
        <v>8.4974718164989316</v>
      </c>
      <c r="T96" s="87">
        <f>IF(TrRoad_act!T12=0,0,T32/TrRoad_act!T12*1000)</f>
        <v>8.5112854262011606</v>
      </c>
      <c r="U96" s="87">
        <f>IF(TrRoad_act!U12=0,0,U32/TrRoad_act!U12*1000)</f>
        <v>8.8709298755397334</v>
      </c>
      <c r="V96" s="87">
        <f>IF(TrRoad_act!V12=0,0,V32/TrRoad_act!V12*1000)</f>
        <v>9.4143025443916812</v>
      </c>
      <c r="W96" s="87">
        <f>IF(TrRoad_act!W12=0,0,W32/TrRoad_act!W12*1000)</f>
        <v>9.9052386506311993</v>
      </c>
      <c r="X96" s="87">
        <f>IF(TrRoad_act!X12=0,0,X32/TrRoad_act!X12*1000)</f>
        <v>9.8201986304128486</v>
      </c>
      <c r="Y96" s="87">
        <f>IF(TrRoad_act!Y12=0,0,Y32/TrRoad_act!Y12*1000)</f>
        <v>10.234437722158139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34.081702525473226</v>
      </c>
      <c r="C97" s="116">
        <f>IF(TrRoad_act!C13=0,0,C33/TrRoad_act!C13*1000)</f>
        <v>34.380280090826936</v>
      </c>
      <c r="D97" s="116">
        <f>IF(TrRoad_act!D13=0,0,D33/TrRoad_act!D13*1000)</f>
        <v>34.00074479954462</v>
      </c>
      <c r="E97" s="116">
        <f>IF(TrRoad_act!E13=0,0,E33/TrRoad_act!E13*1000)</f>
        <v>33.811402587699625</v>
      </c>
      <c r="F97" s="116">
        <f>IF(TrRoad_act!F13=0,0,F33/TrRoad_act!F13*1000)</f>
        <v>33.645547707369332</v>
      </c>
      <c r="G97" s="116">
        <f>IF(TrRoad_act!G13=0,0,G33/TrRoad_act!G13*1000)</f>
        <v>33.618067509279712</v>
      </c>
      <c r="H97" s="116">
        <f>IF(TrRoad_act!H13=0,0,H33/TrRoad_act!H13*1000)</f>
        <v>33.476372546288154</v>
      </c>
      <c r="I97" s="116">
        <f>IF(TrRoad_act!I13=0,0,I33/TrRoad_act!I13*1000)</f>
        <v>33.874464244838904</v>
      </c>
      <c r="J97" s="116">
        <f>IF(TrRoad_act!J13=0,0,J33/TrRoad_act!J13*1000)</f>
        <v>33.499323944540926</v>
      </c>
      <c r="K97" s="116">
        <f>IF(TrRoad_act!K13=0,0,K33/TrRoad_act!K13*1000)</f>
        <v>32.379709731799366</v>
      </c>
      <c r="L97" s="116">
        <f>IF(TrRoad_act!L13=0,0,L33/TrRoad_act!L13*1000)</f>
        <v>30.906671846523448</v>
      </c>
      <c r="M97" s="116">
        <f>IF(TrRoad_act!M13=0,0,M33/TrRoad_act!M13*1000)</f>
        <v>30.459897215410351</v>
      </c>
      <c r="N97" s="116">
        <f>IF(TrRoad_act!N13=0,0,N33/TrRoad_act!N13*1000)</f>
        <v>29.825788994492328</v>
      </c>
      <c r="O97" s="116">
        <f>IF(TrRoad_act!O13=0,0,O33/TrRoad_act!O13*1000)</f>
        <v>27.488508539365064</v>
      </c>
      <c r="P97" s="116">
        <f>IF(TrRoad_act!P13=0,0,P33/TrRoad_act!P13*1000)</f>
        <v>27.304423722168405</v>
      </c>
      <c r="Q97" s="116">
        <f>IF(TrRoad_act!Q13=0,0,Q33/TrRoad_act!Q13*1000)</f>
        <v>27.468944516188309</v>
      </c>
      <c r="R97" s="116">
        <f>IF(TrRoad_act!R13=0,0,R33/TrRoad_act!R13*1000)</f>
        <v>27.754439942939904</v>
      </c>
      <c r="S97" s="116">
        <f>IF(TrRoad_act!S13=0,0,S33/TrRoad_act!S13*1000)</f>
        <v>27.237226969667656</v>
      </c>
      <c r="T97" s="116">
        <f>IF(TrRoad_act!T13=0,0,T33/TrRoad_act!T13*1000)</f>
        <v>27.502456988605616</v>
      </c>
      <c r="U97" s="116">
        <f>IF(TrRoad_act!U13=0,0,U33/TrRoad_act!U13*1000)</f>
        <v>26.984575142198427</v>
      </c>
      <c r="V97" s="116">
        <f>IF(TrRoad_act!V13=0,0,V33/TrRoad_act!V13*1000)</f>
        <v>32.758841050942721</v>
      </c>
      <c r="W97" s="116">
        <f>IF(TrRoad_act!W13=0,0,W33/TrRoad_act!W13*1000)</f>
        <v>34.967703923646305</v>
      </c>
      <c r="X97" s="116">
        <f>IF(TrRoad_act!X13=0,0,X33/TrRoad_act!X13*1000)</f>
        <v>32.555446626942668</v>
      </c>
      <c r="Y97" s="116">
        <f>IF(TrRoad_act!Y13=0,0,Y33/TrRoad_act!Y13*1000)</f>
        <v>28.959912403604193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27.123735404871415</v>
      </c>
      <c r="C98" s="101">
        <f>IF(TrRoad_act!C14=0,0,C34/TrRoad_act!C14*1000)</f>
        <v>27.16544355472767</v>
      </c>
      <c r="D98" s="101">
        <f>IF(TrRoad_act!D14=0,0,D34/TrRoad_act!D14*1000)</f>
        <v>27.141565057949343</v>
      </c>
      <c r="E98" s="101">
        <f>IF(TrRoad_act!E14=0,0,E34/TrRoad_act!E14*1000)</f>
        <v>27.136526750486222</v>
      </c>
      <c r="F98" s="101">
        <f>IF(TrRoad_act!F14=0,0,F34/TrRoad_act!F14*1000)</f>
        <v>27.131146965005819</v>
      </c>
      <c r="G98" s="101">
        <f>IF(TrRoad_act!G14=0,0,G34/TrRoad_act!G14*1000)</f>
        <v>27.136715352340328</v>
      </c>
      <c r="H98" s="101">
        <f>IF(TrRoad_act!H14=0,0,H34/TrRoad_act!H14*1000)</f>
        <v>27.12967010976665</v>
      </c>
      <c r="I98" s="101">
        <f>IF(TrRoad_act!I14=0,0,I34/TrRoad_act!I14*1000)</f>
        <v>27.164418858468689</v>
      </c>
      <c r="J98" s="101">
        <f>IF(TrRoad_act!J14=0,0,J34/TrRoad_act!J14*1000)</f>
        <v>27.143882962585465</v>
      </c>
      <c r="K98" s="101">
        <f>IF(TrRoad_act!K14=0,0,K34/TrRoad_act!K14*1000)</f>
        <v>27.062369937884057</v>
      </c>
      <c r="L98" s="101">
        <f>IF(TrRoad_act!L14=0,0,L34/TrRoad_act!L14*1000)</f>
        <v>26.786920771145194</v>
      </c>
      <c r="M98" s="101">
        <f>IF(TrRoad_act!M14=0,0,M34/TrRoad_act!M14*1000)</f>
        <v>26.542481310709181</v>
      </c>
      <c r="N98" s="101">
        <f>IF(TrRoad_act!N14=0,0,N34/TrRoad_act!N14*1000)</f>
        <v>25.973669997909539</v>
      </c>
      <c r="O98" s="101">
        <f>IF(TrRoad_act!O14=0,0,O34/TrRoad_act!O14*1000)</f>
        <v>24.1930067821155</v>
      </c>
      <c r="P98" s="101">
        <f>IF(TrRoad_act!P14=0,0,P34/TrRoad_act!P14*1000)</f>
        <v>23.939120195780699</v>
      </c>
      <c r="Q98" s="101">
        <f>IF(TrRoad_act!Q14=0,0,Q34/TrRoad_act!Q14*1000)</f>
        <v>23.976918637815679</v>
      </c>
      <c r="R98" s="101">
        <f>IF(TrRoad_act!R14=0,0,R34/TrRoad_act!R14*1000)</f>
        <v>24.089222611367017</v>
      </c>
      <c r="S98" s="101">
        <f>IF(TrRoad_act!S14=0,0,S34/TrRoad_act!S14*1000)</f>
        <v>23.488841542441683</v>
      </c>
      <c r="T98" s="101">
        <f>IF(TrRoad_act!T14=0,0,T34/TrRoad_act!T14*1000)</f>
        <v>23.846191666557637</v>
      </c>
      <c r="U98" s="101">
        <f>IF(TrRoad_act!U14=0,0,U34/TrRoad_act!U14*1000)</f>
        <v>22.995225018608824</v>
      </c>
      <c r="V98" s="101">
        <f>IF(TrRoad_act!V14=0,0,V34/TrRoad_act!V14*1000)</f>
        <v>25.144049424494224</v>
      </c>
      <c r="W98" s="101">
        <f>IF(TrRoad_act!W14=0,0,W34/TrRoad_act!W14*1000)</f>
        <v>24.875228871670398</v>
      </c>
      <c r="X98" s="101">
        <f>IF(TrRoad_act!X14=0,0,X34/TrRoad_act!X14*1000)</f>
        <v>24.341684973891969</v>
      </c>
      <c r="Y98" s="101">
        <f>IF(TrRoad_act!Y14=0,0,Y34/TrRoad_act!Y14*1000)</f>
        <v>23.609480442698636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34.135520989064567</v>
      </c>
      <c r="C99" s="101">
        <f>IF(TrRoad_act!C15=0,0,C36/TrRoad_act!C15*1000)</f>
        <v>34.491492546754991</v>
      </c>
      <c r="D99" s="101">
        <f>IF(TrRoad_act!D15=0,0,D36/TrRoad_act!D15*1000)</f>
        <v>34.116722603736008</v>
      </c>
      <c r="E99" s="101">
        <f>IF(TrRoad_act!E15=0,0,E36/TrRoad_act!E15*1000)</f>
        <v>33.949198494245842</v>
      </c>
      <c r="F99" s="101">
        <f>IF(TrRoad_act!F15=0,0,F36/TrRoad_act!F15*1000)</f>
        <v>33.817266646856915</v>
      </c>
      <c r="G99" s="101">
        <f>IF(TrRoad_act!G15=0,0,G36/TrRoad_act!G15*1000)</f>
        <v>33.795793249349224</v>
      </c>
      <c r="H99" s="101">
        <f>IF(TrRoad_act!H15=0,0,H36/TrRoad_act!H15*1000)</f>
        <v>33.633502154232509</v>
      </c>
      <c r="I99" s="101">
        <f>IF(TrRoad_act!I15=0,0,I36/TrRoad_act!I15*1000)</f>
        <v>34.061138177640395</v>
      </c>
      <c r="J99" s="101">
        <f>IF(TrRoad_act!J15=0,0,J36/TrRoad_act!J15*1000)</f>
        <v>33.697239234045128</v>
      </c>
      <c r="K99" s="101">
        <f>IF(TrRoad_act!K15=0,0,K36/TrRoad_act!K15*1000)</f>
        <v>32.570784259574474</v>
      </c>
      <c r="L99" s="101">
        <f>IF(TrRoad_act!L15=0,0,L36/TrRoad_act!L15*1000)</f>
        <v>31.043258098954798</v>
      </c>
      <c r="M99" s="101">
        <f>IF(TrRoad_act!M15=0,0,M36/TrRoad_act!M15*1000)</f>
        <v>30.743952064703031</v>
      </c>
      <c r="N99" s="101">
        <f>IF(TrRoad_act!N15=0,0,N36/TrRoad_act!N15*1000)</f>
        <v>30.14076613309933</v>
      </c>
      <c r="O99" s="101">
        <f>IF(TrRoad_act!O15=0,0,O36/TrRoad_act!O15*1000)</f>
        <v>28.083192862227271</v>
      </c>
      <c r="P99" s="101">
        <f>IF(TrRoad_act!P15=0,0,P36/TrRoad_act!P15*1000)</f>
        <v>27.874186935831819</v>
      </c>
      <c r="Q99" s="101">
        <f>IF(TrRoad_act!Q15=0,0,Q36/TrRoad_act!Q15*1000)</f>
        <v>28.05725602930551</v>
      </c>
      <c r="R99" s="101">
        <f>IF(TrRoad_act!R15=0,0,R36/TrRoad_act!R15*1000)</f>
        <v>28.287876898584791</v>
      </c>
      <c r="S99" s="101">
        <f>IF(TrRoad_act!S15=0,0,S36/TrRoad_act!S15*1000)</f>
        <v>27.753132683014453</v>
      </c>
      <c r="T99" s="101">
        <f>IF(TrRoad_act!T15=0,0,T36/TrRoad_act!T15*1000)</f>
        <v>28.18662435052244</v>
      </c>
      <c r="U99" s="101">
        <f>IF(TrRoad_act!U15=0,0,U36/TrRoad_act!U15*1000)</f>
        <v>27.889461876649719</v>
      </c>
      <c r="V99" s="101">
        <f>IF(TrRoad_act!V15=0,0,V36/TrRoad_act!V15*1000)</f>
        <v>33.478373258207</v>
      </c>
      <c r="W99" s="101">
        <f>IF(TrRoad_act!W15=0,0,W36/TrRoad_act!W15*1000)</f>
        <v>35.844431701128428</v>
      </c>
      <c r="X99" s="101">
        <f>IF(TrRoad_act!X15=0,0,X36/TrRoad_act!X15*1000)</f>
        <v>33.831388159152105</v>
      </c>
      <c r="Y99" s="101">
        <f>IF(TrRoad_act!Y15=0,0,Y36/TrRoad_act!Y15*1000)</f>
        <v>30.139388802898118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28.019573478523821</v>
      </c>
      <c r="C100" s="101">
        <f>IF(TrRoad_act!C16=0,0,C38/TrRoad_act!C16*1000)</f>
        <v>27.663237050005151</v>
      </c>
      <c r="D100" s="101">
        <f>IF(TrRoad_act!D16=0,0,D38/TrRoad_act!D16*1000)</f>
        <v>27.534741978131965</v>
      </c>
      <c r="E100" s="101">
        <f>IF(TrRoad_act!E16=0,0,E38/TrRoad_act!E16*1000)</f>
        <v>27.466835967215136</v>
      </c>
      <c r="F100" s="101">
        <f>IF(TrRoad_act!F16=0,0,F38/TrRoad_act!F16*1000)</f>
        <v>27.440864299666554</v>
      </c>
      <c r="G100" s="101">
        <f>IF(TrRoad_act!G16=0,0,G38/TrRoad_act!G16*1000)</f>
        <v>27.477488681099906</v>
      </c>
      <c r="H100" s="101">
        <f>IF(TrRoad_act!H16=0,0,H38/TrRoad_act!H16*1000)</f>
        <v>27.227463118315391</v>
      </c>
      <c r="I100" s="101">
        <f>IF(TrRoad_act!I16=0,0,I38/TrRoad_act!I16*1000)</f>
        <v>27.546798502131708</v>
      </c>
      <c r="J100" s="101">
        <f>IF(TrRoad_act!J16=0,0,J38/TrRoad_act!J16*1000)</f>
        <v>27.338960376326288</v>
      </c>
      <c r="K100" s="101">
        <f>IF(TrRoad_act!K16=0,0,K38/TrRoad_act!K16*1000)</f>
        <v>26.528066731084191</v>
      </c>
      <c r="L100" s="101">
        <f>IF(TrRoad_act!L16=0,0,L38/TrRoad_act!L16*1000)</f>
        <v>25.355486777229586</v>
      </c>
      <c r="M100" s="101">
        <f>IF(TrRoad_act!M16=0,0,M38/TrRoad_act!M16*1000)</f>
        <v>25.071025890022209</v>
      </c>
      <c r="N100" s="101">
        <f>IF(TrRoad_act!N16=0,0,N38/TrRoad_act!N16*1000)</f>
        <v>24.509488564025975</v>
      </c>
      <c r="O100" s="101">
        <f>IF(TrRoad_act!O16=0,0,O38/TrRoad_act!O16*1000)</f>
        <v>22.826960201707276</v>
      </c>
      <c r="P100" s="101">
        <f>IF(TrRoad_act!P16=0,0,P38/TrRoad_act!P16*1000)</f>
        <v>22.561504452921501</v>
      </c>
      <c r="Q100" s="101">
        <f>IF(TrRoad_act!Q16=0,0,Q38/TrRoad_act!Q16*1000)</f>
        <v>22.561937476480129</v>
      </c>
      <c r="R100" s="101">
        <f>IF(TrRoad_act!R16=0,0,R38/TrRoad_act!R16*1000)</f>
        <v>22.66371047881832</v>
      </c>
      <c r="S100" s="101">
        <f>IF(TrRoad_act!S16=0,0,S38/TrRoad_act!S16*1000)</f>
        <v>22.195782629710052</v>
      </c>
      <c r="T100" s="101">
        <f>IF(TrRoad_act!T16=0,0,T38/TrRoad_act!T16*1000)</f>
        <v>22.507626999654704</v>
      </c>
      <c r="U100" s="101">
        <f>IF(TrRoad_act!U16=0,0,U38/TrRoad_act!U16*1000)</f>
        <v>22.327305144363322</v>
      </c>
      <c r="V100" s="101">
        <f>IF(TrRoad_act!V16=0,0,V38/TrRoad_act!V16*1000)</f>
        <v>26.928623115976588</v>
      </c>
      <c r="W100" s="101">
        <f>IF(TrRoad_act!W16=0,0,W38/TrRoad_act!W16*1000)</f>
        <v>29.084299895524037</v>
      </c>
      <c r="X100" s="101">
        <f>IF(TrRoad_act!X16=0,0,X38/TrRoad_act!X16*1000)</f>
        <v>27.815861227275089</v>
      </c>
      <c r="Y100" s="101">
        <f>IF(TrRoad_act!Y16=0,0,Y38/TrRoad_act!Y16*1000)</f>
        <v>25.252491273641969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28.22830180212685</v>
      </c>
      <c r="C101" s="101">
        <f>IF(TrRoad_act!C17=0,0,C39/TrRoad_act!C17*1000)</f>
        <v>26.250288882451962</v>
      </c>
      <c r="D101" s="101">
        <f>IF(TrRoad_act!D17=0,0,D39/TrRoad_act!D17*1000)</f>
        <v>26.583855118138548</v>
      </c>
      <c r="E101" s="101">
        <f>IF(TrRoad_act!E17=0,0,E39/TrRoad_act!E17*1000)</f>
        <v>26.484209502490877</v>
      </c>
      <c r="F101" s="101">
        <f>IF(TrRoad_act!F17=0,0,F39/TrRoad_act!F17*1000)</f>
        <v>24.719999001775331</v>
      </c>
      <c r="G101" s="101">
        <f>IF(TrRoad_act!G17=0,0,G39/TrRoad_act!G17*1000)</f>
        <v>24.877999315605411</v>
      </c>
      <c r="H101" s="101">
        <f>IF(TrRoad_act!H17=0,0,H39/TrRoad_act!H17*1000)</f>
        <v>26.882376403593494</v>
      </c>
      <c r="I101" s="101">
        <f>IF(TrRoad_act!I17=0,0,I39/TrRoad_act!I17*1000)</f>
        <v>26.152425698099439</v>
      </c>
      <c r="J101" s="101">
        <f>IF(TrRoad_act!J17=0,0,J39/TrRoad_act!J17*1000)</f>
        <v>26.338164001276073</v>
      </c>
      <c r="K101" s="101">
        <f>IF(TrRoad_act!K17=0,0,K39/TrRoad_act!K17*1000)</f>
        <v>25.480897798194619</v>
      </c>
      <c r="L101" s="101">
        <f>IF(TrRoad_act!L17=0,0,L39/TrRoad_act!L17*1000)</f>
        <v>26.400161352994029</v>
      </c>
      <c r="M101" s="101">
        <f>IF(TrRoad_act!M17=0,0,M39/TrRoad_act!M17*1000)</f>
        <v>25.736961362737048</v>
      </c>
      <c r="N101" s="101">
        <f>IF(TrRoad_act!N17=0,0,N39/TrRoad_act!N17*1000)</f>
        <v>25.151861886260821</v>
      </c>
      <c r="O101" s="101">
        <f>IF(TrRoad_act!O17=0,0,O39/TrRoad_act!O17*1000)</f>
        <v>20.806821698686107</v>
      </c>
      <c r="P101" s="101">
        <f>IF(TrRoad_act!P17=0,0,P39/TrRoad_act!P17*1000)</f>
        <v>21.265045155902452</v>
      </c>
      <c r="Q101" s="101">
        <f>IF(TrRoad_act!Q17=0,0,Q39/TrRoad_act!Q17*1000)</f>
        <v>21.343297370794826</v>
      </c>
      <c r="R101" s="101">
        <f>IF(TrRoad_act!R17=0,0,R39/TrRoad_act!R17*1000)</f>
        <v>22.281812908658601</v>
      </c>
      <c r="S101" s="101">
        <f>IF(TrRoad_act!S17=0,0,S39/TrRoad_act!S17*1000)</f>
        <v>22.507639441950722</v>
      </c>
      <c r="T101" s="101">
        <f>IF(TrRoad_act!T17=0,0,T39/TrRoad_act!T17*1000)</f>
        <v>21.833015378552513</v>
      </c>
      <c r="U101" s="101">
        <f>IF(TrRoad_act!U17=0,0,U39/TrRoad_act!U17*1000)</f>
        <v>21.308594169329137</v>
      </c>
      <c r="V101" s="101">
        <f>IF(TrRoad_act!V17=0,0,V39/TrRoad_act!V17*1000)</f>
        <v>30.277663041629708</v>
      </c>
      <c r="W101" s="101">
        <f>IF(TrRoad_act!W17=0,0,W39/TrRoad_act!W17*1000)</f>
        <v>33.329106732557378</v>
      </c>
      <c r="X101" s="101">
        <f>IF(TrRoad_act!X17=0,0,X39/TrRoad_act!X17*1000)</f>
        <v>30.124682479991655</v>
      </c>
      <c r="Y101" s="101">
        <f>IF(TrRoad_act!Y17=0,0,Y39/TrRoad_act!Y17*1000)</f>
        <v>27.342076132447513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19.382988625762291</v>
      </c>
      <c r="C102" s="101">
        <f>IF(TrRoad_act!C18=0,0,C41/TrRoad_act!C18*1000)</f>
        <v>18.78068792637238</v>
      </c>
      <c r="D102" s="101">
        <f>IF(TrRoad_act!D18=0,0,D41/TrRoad_act!D18*1000)</f>
        <v>18.375515034134441</v>
      </c>
      <c r="E102" s="101">
        <f>IF(TrRoad_act!E18=0,0,E41/TrRoad_act!E18*1000)</f>
        <v>18.137977223498218</v>
      </c>
      <c r="F102" s="101">
        <f>IF(TrRoad_act!F18=0,0,F41/TrRoad_act!F18*1000)</f>
        <v>17.94553215581842</v>
      </c>
      <c r="G102" s="101">
        <f>IF(TrRoad_act!G18=0,0,G41/TrRoad_act!G18*1000)</f>
        <v>17.918403172326119</v>
      </c>
      <c r="H102" s="101">
        <f>IF(TrRoad_act!H18=0,0,H41/TrRoad_act!H18*1000)</f>
        <v>17.824741069785254</v>
      </c>
      <c r="I102" s="101">
        <f>IF(TrRoad_act!I18=0,0,I41/TrRoad_act!I18*1000)</f>
        <v>18.020711316622183</v>
      </c>
      <c r="J102" s="101">
        <f>IF(TrRoad_act!J18=0,0,J41/TrRoad_act!J18*1000)</f>
        <v>17.86943791928379</v>
      </c>
      <c r="K102" s="101">
        <f>IF(TrRoad_act!K18=0,0,K41/TrRoad_act!K18*1000)</f>
        <v>17.309577979721151</v>
      </c>
      <c r="L102" s="101">
        <f>IF(TrRoad_act!L18=0,0,L41/TrRoad_act!L18*1000)</f>
        <v>16.468571809991552</v>
      </c>
      <c r="M102" s="101">
        <f>IF(TrRoad_act!M18=0,0,M41/TrRoad_act!M18*1000)</f>
        <v>16.311423919943525</v>
      </c>
      <c r="N102" s="101">
        <f>IF(TrRoad_act!N18=0,0,N41/TrRoad_act!N18*1000)</f>
        <v>15.857719396986786</v>
      </c>
      <c r="O102" s="101">
        <f>IF(TrRoad_act!O18=0,0,O41/TrRoad_act!O18*1000)</f>
        <v>14.781461349227794</v>
      </c>
      <c r="P102" s="101">
        <f>IF(TrRoad_act!P18=0,0,P41/TrRoad_act!P18*1000)</f>
        <v>14.627080067822268</v>
      </c>
      <c r="Q102" s="101">
        <f>IF(TrRoad_act!Q18=0,0,Q41/TrRoad_act!Q18*1000)</f>
        <v>14.684989825681091</v>
      </c>
      <c r="R102" s="101">
        <f>IF(TrRoad_act!R18=0,0,R41/TrRoad_act!R18*1000)</f>
        <v>14.811943412206976</v>
      </c>
      <c r="S102" s="101">
        <f>IF(TrRoad_act!S18=0,0,S41/TrRoad_act!S18*1000)</f>
        <v>14.532495759260968</v>
      </c>
      <c r="T102" s="101">
        <f>IF(TrRoad_act!T18=0,0,T41/TrRoad_act!T18*1000)</f>
        <v>14.736654610866809</v>
      </c>
      <c r="U102" s="101">
        <f>IF(TrRoad_act!U18=0,0,U41/TrRoad_act!U18*1000)</f>
        <v>14.42531903210177</v>
      </c>
      <c r="V102" s="101">
        <f>IF(TrRoad_act!V18=0,0,V41/TrRoad_act!V18*1000)</f>
        <v>17.241946069606946</v>
      </c>
      <c r="W102" s="101">
        <f>IF(TrRoad_act!W18=0,0,W41/TrRoad_act!W18*1000)</f>
        <v>18.125330097905572</v>
      </c>
      <c r="X102" s="101">
        <f>IF(TrRoad_act!X18=0,0,X41/TrRoad_act!X18*1000)</f>
        <v>16.823142656176156</v>
      </c>
      <c r="Y102" s="101">
        <f>IF(TrRoad_act!Y18=0,0,Y41/TrRoad_act!Y18*1000)</f>
        <v>14.858091586650398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57.748963511260378</v>
      </c>
      <c r="C103" s="29">
        <f>IF(TrRoad_act!C19=0,0,C42/TrRoad_act!C19*1000)</f>
        <v>55.578150973115335</v>
      </c>
      <c r="D103" s="29">
        <f>IF(TrRoad_act!D19=0,0,D42/TrRoad_act!D19*1000)</f>
        <v>53.977101685797365</v>
      </c>
      <c r="E103" s="29">
        <f>IF(TrRoad_act!E19=0,0,E42/TrRoad_act!E19*1000)</f>
        <v>52.329936510758145</v>
      </c>
      <c r="F103" s="29">
        <f>IF(TrRoad_act!F19=0,0,F42/TrRoad_act!F19*1000)</f>
        <v>49.585686084239093</v>
      </c>
      <c r="G103" s="29">
        <f>IF(TrRoad_act!G19=0,0,G42/TrRoad_act!G19*1000)</f>
        <v>48.942468915346105</v>
      </c>
      <c r="H103" s="29">
        <f>IF(TrRoad_act!H19=0,0,H42/TrRoad_act!H19*1000)</f>
        <v>47.517318829605152</v>
      </c>
      <c r="I103" s="29">
        <f>IF(TrRoad_act!I19=0,0,I42/TrRoad_act!I19*1000)</f>
        <v>46.195068435963258</v>
      </c>
      <c r="J103" s="29">
        <f>IF(TrRoad_act!J19=0,0,J42/TrRoad_act!J19*1000)</f>
        <v>46.187784169554817</v>
      </c>
      <c r="K103" s="29">
        <f>IF(TrRoad_act!K19=0,0,K42/TrRoad_act!K19*1000)</f>
        <v>49.822923023807427</v>
      </c>
      <c r="L103" s="29">
        <f>IF(TrRoad_act!L19=0,0,L42/TrRoad_act!L19*1000)</f>
        <v>48.804936010657876</v>
      </c>
      <c r="M103" s="29">
        <f>IF(TrRoad_act!M19=0,0,M42/TrRoad_act!M19*1000)</f>
        <v>50.793948940425231</v>
      </c>
      <c r="N103" s="29">
        <f>IF(TrRoad_act!N19=0,0,N42/TrRoad_act!N19*1000)</f>
        <v>52.006327157270988</v>
      </c>
      <c r="O103" s="29">
        <f>IF(TrRoad_act!O19=0,0,O42/TrRoad_act!O19*1000)</f>
        <v>51.441298243677466</v>
      </c>
      <c r="P103" s="29">
        <f>IF(TrRoad_act!P19=0,0,P42/TrRoad_act!P19*1000)</f>
        <v>51.57955861331304</v>
      </c>
      <c r="Q103" s="29">
        <f>IF(TrRoad_act!Q19=0,0,Q42/TrRoad_act!Q19*1000)</f>
        <v>53.273075379490102</v>
      </c>
      <c r="R103" s="29">
        <f>IF(TrRoad_act!R19=0,0,R42/TrRoad_act!R19*1000)</f>
        <v>52.482445174960382</v>
      </c>
      <c r="S103" s="29">
        <f>IF(TrRoad_act!S19=0,0,S42/TrRoad_act!S19*1000)</f>
        <v>50.171589844840206</v>
      </c>
      <c r="T103" s="29">
        <f>IF(TrRoad_act!T19=0,0,T42/TrRoad_act!T19*1000)</f>
        <v>48.964356637946032</v>
      </c>
      <c r="U103" s="29">
        <f>IF(TrRoad_act!U19=0,0,U42/TrRoad_act!U19*1000)</f>
        <v>47.846306558857009</v>
      </c>
      <c r="V103" s="29">
        <f>IF(TrRoad_act!V19=0,0,V42/TrRoad_act!V19*1000)</f>
        <v>45.492694151896337</v>
      </c>
      <c r="W103" s="29">
        <f>IF(TrRoad_act!W19=0,0,W42/TrRoad_act!W19*1000)</f>
        <v>47.898881834085358</v>
      </c>
      <c r="X103" s="29">
        <f>IF(TrRoad_act!X19=0,0,X42/TrRoad_act!X19*1000)</f>
        <v>47.432701166051018</v>
      </c>
      <c r="Y103" s="29">
        <f>IF(TrRoad_act!Y19=0,0,Y42/TrRoad_act!Y19*1000)</f>
        <v>46.957676385042348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469.09597598359522</v>
      </c>
      <c r="C104" s="152">
        <f>IF(TrRoad_act!C20=0,0,C43/TrRoad_act!C20*1000)</f>
        <v>451.7563535335197</v>
      </c>
      <c r="D104" s="152">
        <f>IF(TrRoad_act!D20=0,0,D43/TrRoad_act!D20*1000)</f>
        <v>441.13683853270982</v>
      </c>
      <c r="E104" s="152">
        <f>IF(TrRoad_act!E20=0,0,E43/TrRoad_act!E20*1000)</f>
        <v>426.82086958834134</v>
      </c>
      <c r="F104" s="152">
        <f>IF(TrRoad_act!F20=0,0,F43/TrRoad_act!F20*1000)</f>
        <v>412.94127713877799</v>
      </c>
      <c r="G104" s="152">
        <f>IF(TrRoad_act!G20=0,0,G43/TrRoad_act!G20*1000)</f>
        <v>405.84517276320094</v>
      </c>
      <c r="H104" s="152">
        <f>IF(TrRoad_act!H20=0,0,H43/TrRoad_act!H20*1000)</f>
        <v>398.07453911232301</v>
      </c>
      <c r="I104" s="152">
        <f>IF(TrRoad_act!I20=0,0,I43/TrRoad_act!I20*1000)</f>
        <v>391.14597975738366</v>
      </c>
      <c r="J104" s="152">
        <f>IF(TrRoad_act!J20=0,0,J43/TrRoad_act!J20*1000)</f>
        <v>387.08655081437126</v>
      </c>
      <c r="K104" s="152">
        <f>IF(TrRoad_act!K20=0,0,K43/TrRoad_act!K20*1000)</f>
        <v>388.0220869481297</v>
      </c>
      <c r="L104" s="152">
        <f>IF(TrRoad_act!L20=0,0,L43/TrRoad_act!L20*1000)</f>
        <v>387.20135937275319</v>
      </c>
      <c r="M104" s="152">
        <f>IF(TrRoad_act!M20=0,0,M43/TrRoad_act!M20*1000)</f>
        <v>395.81750389417203</v>
      </c>
      <c r="N104" s="152">
        <f>IF(TrRoad_act!N20=0,0,N43/TrRoad_act!N20*1000)</f>
        <v>395.58750655540416</v>
      </c>
      <c r="O104" s="152">
        <f>IF(TrRoad_act!O20=0,0,O43/TrRoad_act!O20*1000)</f>
        <v>391.01679729704716</v>
      </c>
      <c r="P104" s="152">
        <f>IF(TrRoad_act!P20=0,0,P43/TrRoad_act!P20*1000)</f>
        <v>384.3668574456097</v>
      </c>
      <c r="Q104" s="152">
        <f>IF(TrRoad_act!Q20=0,0,Q43/TrRoad_act!Q20*1000)</f>
        <v>382.50159287442631</v>
      </c>
      <c r="R104" s="152">
        <f>IF(TrRoad_act!R20=0,0,R43/TrRoad_act!R20*1000)</f>
        <v>379.24254489806356</v>
      </c>
      <c r="S104" s="152">
        <f>IF(TrRoad_act!S20=0,0,S43/TrRoad_act!S20*1000)</f>
        <v>376.3289191382612</v>
      </c>
      <c r="T104" s="152">
        <f>IF(TrRoad_act!T20=0,0,T43/TrRoad_act!T20*1000)</f>
        <v>375.08172655574822</v>
      </c>
      <c r="U104" s="152">
        <f>IF(TrRoad_act!U20=0,0,U43/TrRoad_act!U20*1000)</f>
        <v>368.53155590073834</v>
      </c>
      <c r="V104" s="152">
        <f>IF(TrRoad_act!V20=0,0,V43/TrRoad_act!V20*1000)</f>
        <v>357.93852006618584</v>
      </c>
      <c r="W104" s="152">
        <f>IF(TrRoad_act!W20=0,0,W43/TrRoad_act!W20*1000)</f>
        <v>373.63178339991782</v>
      </c>
      <c r="X104" s="152">
        <f>IF(TrRoad_act!X20=0,0,X43/TrRoad_act!X20*1000)</f>
        <v>367.21716543983621</v>
      </c>
      <c r="Y104" s="152">
        <f>IF(TrRoad_act!Y20=0,0,Y43/TrRoad_act!Y20*1000)</f>
        <v>356.12622019467392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624.79653375671455</v>
      </c>
      <c r="C105" s="87">
        <f>IF(TrRoad_act!C21=0,0,C44/TrRoad_act!C21*1000)</f>
        <v>622.86941468718931</v>
      </c>
      <c r="D105" s="87">
        <f>IF(TrRoad_act!D21=0,0,D44/TrRoad_act!D21*1000)</f>
        <v>619.76782045035009</v>
      </c>
      <c r="E105" s="87">
        <f>IF(TrRoad_act!E21=0,0,E44/TrRoad_act!E21*1000)</f>
        <v>614.54864258701207</v>
      </c>
      <c r="F105" s="87">
        <f>IF(TrRoad_act!F21=0,0,F44/TrRoad_act!F21*1000)</f>
        <v>608.49046102880743</v>
      </c>
      <c r="G105" s="87">
        <f>IF(TrRoad_act!G21=0,0,G44/TrRoad_act!G21*1000)</f>
        <v>602.8323809411678</v>
      </c>
      <c r="H105" s="87">
        <f>IF(TrRoad_act!H21=0,0,H44/TrRoad_act!H21*1000)</f>
        <v>598.63811586853387</v>
      </c>
      <c r="I105" s="87">
        <f>IF(TrRoad_act!I21=0,0,I44/TrRoad_act!I21*1000)</f>
        <v>592.15568538167122</v>
      </c>
      <c r="J105" s="87">
        <f>IF(TrRoad_act!J21=0,0,J44/TrRoad_act!J21*1000)</f>
        <v>578.7414887491168</v>
      </c>
      <c r="K105" s="87">
        <f>IF(TrRoad_act!K21=0,0,K44/TrRoad_act!K21*1000)</f>
        <v>570.98606386589222</v>
      </c>
      <c r="L105" s="87">
        <f>IF(TrRoad_act!L21=0,0,L44/TrRoad_act!L21*1000)</f>
        <v>562.49209155833853</v>
      </c>
      <c r="M105" s="87">
        <f>IF(TrRoad_act!M21=0,0,M44/TrRoad_act!M21*1000)</f>
        <v>556.60274613967829</v>
      </c>
      <c r="N105" s="87">
        <f>IF(TrRoad_act!N21=0,0,N44/TrRoad_act!N21*1000)</f>
        <v>544.91829027826407</v>
      </c>
      <c r="O105" s="87">
        <f>IF(TrRoad_act!O21=0,0,O44/TrRoad_act!O21*1000)</f>
        <v>530.8279076556862</v>
      </c>
      <c r="P105" s="87">
        <f>IF(TrRoad_act!P21=0,0,P44/TrRoad_act!P21*1000)</f>
        <v>519.6851389591759</v>
      </c>
      <c r="Q105" s="87">
        <f>IF(TrRoad_act!Q21=0,0,Q44/TrRoad_act!Q21*1000)</f>
        <v>513.52215338771055</v>
      </c>
      <c r="R105" s="87">
        <f>IF(TrRoad_act!R21=0,0,R44/TrRoad_act!R21*1000)</f>
        <v>514.08381382878792</v>
      </c>
      <c r="S105" s="87">
        <f>IF(TrRoad_act!S21=0,0,S44/TrRoad_act!S21*1000)</f>
        <v>517.24315967114012</v>
      </c>
      <c r="T105" s="87">
        <f>IF(TrRoad_act!T21=0,0,T44/TrRoad_act!T21*1000)</f>
        <v>515.21520683028734</v>
      </c>
      <c r="U105" s="87">
        <f>IF(TrRoad_act!U21=0,0,U44/TrRoad_act!U21*1000)</f>
        <v>513.11741269957918</v>
      </c>
      <c r="V105" s="87">
        <f>IF(TrRoad_act!V21=0,0,V44/TrRoad_act!V21*1000)</f>
        <v>494.92728881419805</v>
      </c>
      <c r="W105" s="87">
        <f>IF(TrRoad_act!W21=0,0,W44/TrRoad_act!W21*1000)</f>
        <v>514.19695500693422</v>
      </c>
      <c r="X105" s="87">
        <f>IF(TrRoad_act!X21=0,0,X44/TrRoad_act!X21*1000)</f>
        <v>513.52204572760593</v>
      </c>
      <c r="Y105" s="87">
        <f>IF(TrRoad_act!Y21=0,0,Y44/TrRoad_act!Y21*1000)</f>
        <v>509.78824480836215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448.96438356517734</v>
      </c>
      <c r="C106" s="87">
        <f>IF(TrRoad_act!C22=0,0,C46/TrRoad_act!C22*1000)</f>
        <v>433.90423245286189</v>
      </c>
      <c r="D106" s="87">
        <f>IF(TrRoad_act!D22=0,0,D46/TrRoad_act!D22*1000)</f>
        <v>425.9360141667849</v>
      </c>
      <c r="E106" s="87">
        <f>IF(TrRoad_act!E22=0,0,E46/TrRoad_act!E22*1000)</f>
        <v>414.23556675583427</v>
      </c>
      <c r="F106" s="87">
        <f>IF(TrRoad_act!F22=0,0,F46/TrRoad_act!F22*1000)</f>
        <v>402.56796115945639</v>
      </c>
      <c r="G106" s="87">
        <f>IF(TrRoad_act!G22=0,0,G46/TrRoad_act!G22*1000)</f>
        <v>397.05760203822325</v>
      </c>
      <c r="H106" s="87">
        <f>IF(TrRoad_act!H22=0,0,H46/TrRoad_act!H22*1000)</f>
        <v>390.38836191340152</v>
      </c>
      <c r="I106" s="87">
        <f>IF(TrRoad_act!I22=0,0,I46/TrRoad_act!I22*1000)</f>
        <v>384.55353794067423</v>
      </c>
      <c r="J106" s="87">
        <f>IF(TrRoad_act!J22=0,0,J46/TrRoad_act!J22*1000)</f>
        <v>381.36754314129053</v>
      </c>
      <c r="K106" s="87">
        <f>IF(TrRoad_act!K22=0,0,K46/TrRoad_act!K22*1000)</f>
        <v>383.09190166507221</v>
      </c>
      <c r="L106" s="87">
        <f>IF(TrRoad_act!L22=0,0,L46/TrRoad_act!L22*1000)</f>
        <v>382.16016619382538</v>
      </c>
      <c r="M106" s="87">
        <f>IF(TrRoad_act!M22=0,0,M46/TrRoad_act!M22*1000)</f>
        <v>390.84467366182798</v>
      </c>
      <c r="N106" s="87">
        <f>IF(TrRoad_act!N22=0,0,N46/TrRoad_act!N22*1000)</f>
        <v>390.66591190904859</v>
      </c>
      <c r="O106" s="87">
        <f>IF(TrRoad_act!O22=0,0,O46/TrRoad_act!O22*1000)</f>
        <v>386.14179412665857</v>
      </c>
      <c r="P106" s="87">
        <f>IF(TrRoad_act!P22=0,0,P46/TrRoad_act!P22*1000)</f>
        <v>380.21235413066398</v>
      </c>
      <c r="Q106" s="87">
        <f>IF(TrRoad_act!Q22=0,0,Q46/TrRoad_act!Q22*1000)</f>
        <v>378.93285007608927</v>
      </c>
      <c r="R106" s="87">
        <f>IF(TrRoad_act!R22=0,0,R46/TrRoad_act!R22*1000)</f>
        <v>375.80793494395579</v>
      </c>
      <c r="S106" s="87">
        <f>IF(TrRoad_act!S22=0,0,S46/TrRoad_act!S22*1000)</f>
        <v>372.87925967740625</v>
      </c>
      <c r="T106" s="87">
        <f>IF(TrRoad_act!T22=0,0,T46/TrRoad_act!T22*1000)</f>
        <v>371.90223730180423</v>
      </c>
      <c r="U106" s="87">
        <f>IF(TrRoad_act!U22=0,0,U46/TrRoad_act!U22*1000)</f>
        <v>365.53529250703201</v>
      </c>
      <c r="V106" s="87">
        <f>IF(TrRoad_act!V22=0,0,V46/TrRoad_act!V22*1000)</f>
        <v>355.44932066093435</v>
      </c>
      <c r="W106" s="87">
        <f>IF(TrRoad_act!W22=0,0,W46/TrRoad_act!W22*1000)</f>
        <v>371.01515242637373</v>
      </c>
      <c r="X106" s="87">
        <f>IF(TrRoad_act!X22=0,0,X46/TrRoad_act!X22*1000)</f>
        <v>364.26735110724371</v>
      </c>
      <c r="Y106" s="87">
        <f>IF(TrRoad_act!Y22=0,0,Y46/TrRoad_act!Y22*1000)</f>
        <v>352.42431191217867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634.6146281921491</v>
      </c>
      <c r="C107" s="87">
        <f>IF(TrRoad_act!C23=0,0,C48/TrRoad_act!C23*1000)</f>
        <v>618.24662170563806</v>
      </c>
      <c r="D107" s="87">
        <f>IF(TrRoad_act!D23=0,0,D48/TrRoad_act!D23*1000)</f>
        <v>612.30159170422746</v>
      </c>
      <c r="E107" s="87">
        <f>IF(TrRoad_act!E23=0,0,E48/TrRoad_act!E23*1000)</f>
        <v>605.38352795218987</v>
      </c>
      <c r="F107" s="87">
        <f>IF(TrRoad_act!F23=0,0,F48/TrRoad_act!F23*1000)</f>
        <v>598.46787898246316</v>
      </c>
      <c r="G107" s="87">
        <f>IF(TrRoad_act!G23=0,0,G48/TrRoad_act!G23*1000)</f>
        <v>593.29173157107243</v>
      </c>
      <c r="H107" s="87">
        <f>IF(TrRoad_act!H23=0,0,H48/TrRoad_act!H23*1000)</f>
        <v>588.72656976853955</v>
      </c>
      <c r="I107" s="87">
        <f>IF(TrRoad_act!I23=0,0,I48/TrRoad_act!I23*1000)</f>
        <v>580.03284083867584</v>
      </c>
      <c r="J107" s="87">
        <f>IF(TrRoad_act!J23=0,0,J48/TrRoad_act!J23*1000)</f>
        <v>571.64785827238472</v>
      </c>
      <c r="K107" s="87">
        <f>IF(TrRoad_act!K23=0,0,K48/TrRoad_act!K23*1000)</f>
        <v>567.70536620940425</v>
      </c>
      <c r="L107" s="87">
        <f>IF(TrRoad_act!L23=0,0,L48/TrRoad_act!L23*1000)</f>
        <v>569.47790408556034</v>
      </c>
      <c r="M107" s="87">
        <f>IF(TrRoad_act!M23=0,0,M48/TrRoad_act!M23*1000)</f>
        <v>574.59562184875585</v>
      </c>
      <c r="N107" s="87">
        <f>IF(TrRoad_act!N23=0,0,N48/TrRoad_act!N23*1000)</f>
        <v>574.14045628491726</v>
      </c>
      <c r="O107" s="87">
        <f>IF(TrRoad_act!O23=0,0,O48/TrRoad_act!O23*1000)</f>
        <v>574.25377251426835</v>
      </c>
      <c r="P107" s="87">
        <f>IF(TrRoad_act!P23=0,0,P48/TrRoad_act!P23*1000)</f>
        <v>570.49690637645472</v>
      </c>
      <c r="Q107" s="87">
        <f>IF(TrRoad_act!Q23=0,0,Q48/TrRoad_act!Q23*1000)</f>
        <v>572.74005077461629</v>
      </c>
      <c r="R107" s="87">
        <f>IF(TrRoad_act!R23=0,0,R48/TrRoad_act!R23*1000)</f>
        <v>573.41800022817552</v>
      </c>
      <c r="S107" s="87">
        <f>IF(TrRoad_act!S23=0,0,S48/TrRoad_act!S23*1000)</f>
        <v>578.30425957577381</v>
      </c>
      <c r="T107" s="87">
        <f>IF(TrRoad_act!T23=0,0,T48/TrRoad_act!T23*1000)</f>
        <v>577.12643246957953</v>
      </c>
      <c r="U107" s="87">
        <f>IF(TrRoad_act!U23=0,0,U48/TrRoad_act!U23*1000)</f>
        <v>578.58591341003239</v>
      </c>
      <c r="V107" s="87">
        <f>IF(TrRoad_act!V23=0,0,V48/TrRoad_act!V23*1000)</f>
        <v>491.38503191636079</v>
      </c>
      <c r="W107" s="87">
        <f>IF(TrRoad_act!W23=0,0,W48/TrRoad_act!W23*1000)</f>
        <v>507.50435273548777</v>
      </c>
      <c r="X107" s="87">
        <f>IF(TrRoad_act!X23=0,0,X48/TrRoad_act!X23*1000)</f>
        <v>504.12831408051886</v>
      </c>
      <c r="Y107" s="87">
        <f>IF(TrRoad_act!Y23=0,0,Y48/TrRoad_act!Y23*1000)</f>
        <v>498.79584800305099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593.73306002264906</v>
      </c>
      <c r="C108" s="87">
        <f>IF(TrRoad_act!C24=0,0,C49/TrRoad_act!C24*1000)</f>
        <v>597.3098620411115</v>
      </c>
      <c r="D108" s="87">
        <f>IF(TrRoad_act!D24=0,0,D49/TrRoad_act!D24*1000)</f>
        <v>595.97081669507986</v>
      </c>
      <c r="E108" s="87">
        <f>IF(TrRoad_act!E24=0,0,E49/TrRoad_act!E24*1000)</f>
        <v>581.90837300535577</v>
      </c>
      <c r="F108" s="87">
        <f>IF(TrRoad_act!F24=0,0,F49/TrRoad_act!F24*1000)</f>
        <v>579.48117762304457</v>
      </c>
      <c r="G108" s="87">
        <f>IF(TrRoad_act!G24=0,0,G49/TrRoad_act!G24*1000)</f>
        <v>577.88455467707536</v>
      </c>
      <c r="H108" s="87">
        <f>IF(TrRoad_act!H24=0,0,H49/TrRoad_act!H24*1000)</f>
        <v>564.52770851573268</v>
      </c>
      <c r="I108" s="87">
        <f>IF(TrRoad_act!I24=0,0,I49/TrRoad_act!I24*1000)</f>
        <v>561.72291053070478</v>
      </c>
      <c r="J108" s="87">
        <f>IF(TrRoad_act!J24=0,0,J49/TrRoad_act!J24*1000)</f>
        <v>552.75605855456126</v>
      </c>
      <c r="K108" s="87">
        <f>IF(TrRoad_act!K24=0,0,K49/TrRoad_act!K24*1000)</f>
        <v>535.05318750055289</v>
      </c>
      <c r="L108" s="87">
        <f>IF(TrRoad_act!L24=0,0,L49/TrRoad_act!L24*1000)</f>
        <v>515.17058002793351</v>
      </c>
      <c r="M108" s="87">
        <f>IF(TrRoad_act!M24=0,0,M49/TrRoad_act!M24*1000)</f>
        <v>504.20127373593135</v>
      </c>
      <c r="N108" s="87">
        <f>IF(TrRoad_act!N24=0,0,N49/TrRoad_act!N24*1000)</f>
        <v>489.42749876766464</v>
      </c>
      <c r="O108" s="87">
        <f>IF(TrRoad_act!O24=0,0,O49/TrRoad_act!O24*1000)</f>
        <v>472.5758398542734</v>
      </c>
      <c r="P108" s="87">
        <f>IF(TrRoad_act!P24=0,0,P49/TrRoad_act!P24*1000)</f>
        <v>461.14283274899799</v>
      </c>
      <c r="Q108" s="87">
        <f>IF(TrRoad_act!Q24=0,0,Q49/TrRoad_act!Q24*1000)</f>
        <v>460.85728226341951</v>
      </c>
      <c r="R108" s="87">
        <f>IF(TrRoad_act!R24=0,0,R49/TrRoad_act!R24*1000)</f>
        <v>472.07394787205573</v>
      </c>
      <c r="S108" s="87">
        <f>IF(TrRoad_act!S24=0,0,S49/TrRoad_act!S24*1000)</f>
        <v>490.75215038353701</v>
      </c>
      <c r="T108" s="87">
        <f>IF(TrRoad_act!T24=0,0,T49/TrRoad_act!T24*1000)</f>
        <v>530.69567226619472</v>
      </c>
      <c r="U108" s="87">
        <f>IF(TrRoad_act!U24=0,0,U49/TrRoad_act!U24*1000)</f>
        <v>544.02813710566477</v>
      </c>
      <c r="V108" s="87">
        <f>IF(TrRoad_act!V24=0,0,V49/TrRoad_act!V24*1000)</f>
        <v>521.59462447042108</v>
      </c>
      <c r="W108" s="87">
        <f>IF(TrRoad_act!W24=0,0,W49/TrRoad_act!W24*1000)</f>
        <v>555.32863119280103</v>
      </c>
      <c r="X108" s="87">
        <f>IF(TrRoad_act!X24=0,0,X49/TrRoad_act!X24*1000)</f>
        <v>555.53213188085351</v>
      </c>
      <c r="Y108" s="87">
        <f>IF(TrRoad_act!Y24=0,0,Y49/TrRoad_act!Y24*1000)</f>
        <v>552.50973196484472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97.580158236984502</v>
      </c>
      <c r="C109" s="87">
        <f>IF(TrRoad_act!C25=0,0,C51/TrRoad_act!C25*1000)</f>
        <v>92.579193739276036</v>
      </c>
      <c r="D109" s="87">
        <f>IF(TrRoad_act!D25=0,0,D51/TrRoad_act!D25*1000)</f>
        <v>91.850111757560768</v>
      </c>
      <c r="E109" s="87">
        <f>IF(TrRoad_act!E25=0,0,E51/TrRoad_act!E25*1000)</f>
        <v>91.364169403364315</v>
      </c>
      <c r="F109" s="87">
        <f>IF(TrRoad_act!F25=0,0,F51/TrRoad_act!F25*1000)</f>
        <v>90.560415729176185</v>
      </c>
      <c r="G109" s="87">
        <f>IF(TrRoad_act!G25=0,0,G51/TrRoad_act!G25*1000)</f>
        <v>89.858583773310059</v>
      </c>
      <c r="H109" s="87">
        <f>IF(TrRoad_act!H25=0,0,H51/TrRoad_act!H25*1000)</f>
        <v>89.23135965665027</v>
      </c>
      <c r="I109" s="87">
        <f>IF(TrRoad_act!I25=0,0,I51/TrRoad_act!I25*1000)</f>
        <v>88.48678143304592</v>
      </c>
      <c r="J109" s="87">
        <f>IF(TrRoad_act!J25=0,0,J51/TrRoad_act!J25*1000)</f>
        <v>87.144706191133579</v>
      </c>
      <c r="K109" s="87">
        <f>IF(TrRoad_act!K25=0,0,K51/TrRoad_act!K25*1000)</f>
        <v>86.479434950407367</v>
      </c>
      <c r="L109" s="87">
        <f>IF(TrRoad_act!L25=0,0,L51/TrRoad_act!L25*1000)</f>
        <v>84.677267748099084</v>
      </c>
      <c r="M109" s="87">
        <f>IF(TrRoad_act!M25=0,0,M51/TrRoad_act!M25*1000)</f>
        <v>84.697019528182039</v>
      </c>
      <c r="N109" s="87">
        <f>IF(TrRoad_act!N25=0,0,N51/TrRoad_act!N25*1000)</f>
        <v>84.677476062559009</v>
      </c>
      <c r="O109" s="87">
        <f>IF(TrRoad_act!O25=0,0,O51/TrRoad_act!O25*1000)</f>
        <v>85.752296747963456</v>
      </c>
      <c r="P109" s="87">
        <f>IF(TrRoad_act!P25=0,0,P51/TrRoad_act!P25*1000)</f>
        <v>85.993075450848181</v>
      </c>
      <c r="Q109" s="87">
        <f>IF(TrRoad_act!Q25=0,0,Q51/TrRoad_act!Q25*1000)</f>
        <v>88.404678504988823</v>
      </c>
      <c r="R109" s="87">
        <f>IF(TrRoad_act!R25=0,0,R51/TrRoad_act!R25*1000)</f>
        <v>89.98710064587992</v>
      </c>
      <c r="S109" s="87">
        <f>IF(TrRoad_act!S25=0,0,S51/TrRoad_act!S25*1000)</f>
        <v>92.018773498799121</v>
      </c>
      <c r="T109" s="87">
        <f>IF(TrRoad_act!T25=0,0,T51/TrRoad_act!T25*1000)</f>
        <v>95.337682588116834</v>
      </c>
      <c r="U109" s="87">
        <f>IF(TrRoad_act!U25=0,0,U51/TrRoad_act!U25*1000)</f>
        <v>98.122306595654535</v>
      </c>
      <c r="V109" s="87">
        <f>IF(TrRoad_act!V25=0,0,V51/TrRoad_act!V25*1000)</f>
        <v>100.95059853421394</v>
      </c>
      <c r="W109" s="87">
        <f>IF(TrRoad_act!W25=0,0,W51/TrRoad_act!W25*1000)</f>
        <v>110.60063190832643</v>
      </c>
      <c r="X109" s="87">
        <f>IF(TrRoad_act!X25=0,0,X51/TrRoad_act!X25*1000)</f>
        <v>117.50392926348459</v>
      </c>
      <c r="Y109" s="87">
        <f>IF(TrRoad_act!Y25=0,0,Y51/TrRoad_act!Y25*1000)</f>
        <v>124.13192068644354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32.868057849359857</v>
      </c>
      <c r="C110" s="116">
        <f>IF(TrRoad_act!C26=0,0,C52/TrRoad_act!C26*1000)</f>
        <v>31.92502976888991</v>
      </c>
      <c r="D110" s="116">
        <f>IF(TrRoad_act!D26=0,0,D52/TrRoad_act!D26*1000)</f>
        <v>31.248907425218352</v>
      </c>
      <c r="E110" s="116">
        <f>IF(TrRoad_act!E26=0,0,E52/TrRoad_act!E26*1000)</f>
        <v>30.573291682950092</v>
      </c>
      <c r="F110" s="116">
        <f>IF(TrRoad_act!F26=0,0,F52/TrRoad_act!F26*1000)</f>
        <v>30.211666743191948</v>
      </c>
      <c r="G110" s="116">
        <f>IF(TrRoad_act!G26=0,0,G52/TrRoad_act!G26*1000)</f>
        <v>30.059975353240738</v>
      </c>
      <c r="H110" s="116">
        <f>IF(TrRoad_act!H26=0,0,H52/TrRoad_act!H26*1000)</f>
        <v>29.335246633060368</v>
      </c>
      <c r="I110" s="116">
        <f>IF(TrRoad_act!I26=0,0,I52/TrRoad_act!I26*1000)</f>
        <v>28.826154243432196</v>
      </c>
      <c r="J110" s="116">
        <f>IF(TrRoad_act!J26=0,0,J52/TrRoad_act!J26*1000)</f>
        <v>28.66482849790766</v>
      </c>
      <c r="K110" s="116">
        <f>IF(TrRoad_act!K26=0,0,K52/TrRoad_act!K26*1000)</f>
        <v>29.395937428223817</v>
      </c>
      <c r="L110" s="116">
        <f>IF(TrRoad_act!L26=0,0,L52/TrRoad_act!L26*1000)</f>
        <v>28.845023138927555</v>
      </c>
      <c r="M110" s="116">
        <f>IF(TrRoad_act!M26=0,0,M52/TrRoad_act!M26*1000)</f>
        <v>29.479256329470562</v>
      </c>
      <c r="N110" s="116">
        <f>IF(TrRoad_act!N26=0,0,N52/TrRoad_act!N26*1000)</f>
        <v>29.362291624467169</v>
      </c>
      <c r="O110" s="116">
        <f>IF(TrRoad_act!O26=0,0,O52/TrRoad_act!O26*1000)</f>
        <v>29.058200493839088</v>
      </c>
      <c r="P110" s="116">
        <f>IF(TrRoad_act!P26=0,0,P52/TrRoad_act!P26*1000)</f>
        <v>29.181069860528233</v>
      </c>
      <c r="Q110" s="116">
        <f>IF(TrRoad_act!Q26=0,0,Q52/TrRoad_act!Q26*1000)</f>
        <v>29.469920952368149</v>
      </c>
      <c r="R110" s="116">
        <f>IF(TrRoad_act!R26=0,0,R52/TrRoad_act!R26*1000)</f>
        <v>29.56478890498077</v>
      </c>
      <c r="S110" s="116">
        <f>IF(TrRoad_act!S26=0,0,S52/TrRoad_act!S26*1000)</f>
        <v>28.323277337597187</v>
      </c>
      <c r="T110" s="116">
        <f>IF(TrRoad_act!T26=0,0,T52/TrRoad_act!T26*1000)</f>
        <v>27.384341901724312</v>
      </c>
      <c r="U110" s="116">
        <f>IF(TrRoad_act!U26=0,0,U52/TrRoad_act!U26*1000)</f>
        <v>26.982854751911685</v>
      </c>
      <c r="V110" s="116">
        <f>IF(TrRoad_act!V26=0,0,V52/TrRoad_act!V26*1000)</f>
        <v>26.93398293694618</v>
      </c>
      <c r="W110" s="116">
        <f>IF(TrRoad_act!W26=0,0,W52/TrRoad_act!W26*1000)</f>
        <v>27.074109389990475</v>
      </c>
      <c r="X110" s="116">
        <f>IF(TrRoad_act!X26=0,0,X52/TrRoad_act!X26*1000)</f>
        <v>26.526551758571266</v>
      </c>
      <c r="Y110" s="116">
        <f>IF(TrRoad_act!Y26=0,0,Y52/TrRoad_act!Y26*1000)</f>
        <v>25.835376437095899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33.819434327232067</v>
      </c>
      <c r="C111" s="101">
        <f>IF(TrRoad_act!C27=0,0,C53/TrRoad_act!C27*1000)</f>
        <v>32.944234067149893</v>
      </c>
      <c r="D111" s="101">
        <f>IF(TrRoad_act!D27=0,0,D53/TrRoad_act!D27*1000)</f>
        <v>32.38543076766463</v>
      </c>
      <c r="E111" s="101">
        <f>IF(TrRoad_act!E27=0,0,E53/TrRoad_act!E27*1000)</f>
        <v>31.715392561426732</v>
      </c>
      <c r="F111" s="101">
        <f>IF(TrRoad_act!F27=0,0,F53/TrRoad_act!F27*1000)</f>
        <v>31.569437985559272</v>
      </c>
      <c r="G111" s="101">
        <f>IF(TrRoad_act!G27=0,0,G53/TrRoad_act!G27*1000)</f>
        <v>31.573566012989851</v>
      </c>
      <c r="H111" s="101">
        <f>IF(TrRoad_act!H27=0,0,H53/TrRoad_act!H27*1000)</f>
        <v>30.717256692930807</v>
      </c>
      <c r="I111" s="101">
        <f>IF(TrRoad_act!I27=0,0,I53/TrRoad_act!I27*1000)</f>
        <v>30.084678581334959</v>
      </c>
      <c r="J111" s="101">
        <f>IF(TrRoad_act!J27=0,0,J53/TrRoad_act!J27*1000)</f>
        <v>29.494861819766388</v>
      </c>
      <c r="K111" s="101">
        <f>IF(TrRoad_act!K27=0,0,K53/TrRoad_act!K27*1000)</f>
        <v>30.142785353660223</v>
      </c>
      <c r="L111" s="101">
        <f>IF(TrRoad_act!L27=0,0,L53/TrRoad_act!L27*1000)</f>
        <v>30.014620924753626</v>
      </c>
      <c r="M111" s="101">
        <f>IF(TrRoad_act!M27=0,0,M53/TrRoad_act!M27*1000)</f>
        <v>30.570276671377965</v>
      </c>
      <c r="N111" s="101">
        <f>IF(TrRoad_act!N27=0,0,N53/TrRoad_act!N27*1000)</f>
        <v>30.315062747227927</v>
      </c>
      <c r="O111" s="101">
        <f>IF(TrRoad_act!O27=0,0,O53/TrRoad_act!O27*1000)</f>
        <v>30.037834634804621</v>
      </c>
      <c r="P111" s="101">
        <f>IF(TrRoad_act!P27=0,0,P53/TrRoad_act!P27*1000)</f>
        <v>30.345974670368889</v>
      </c>
      <c r="Q111" s="101">
        <f>IF(TrRoad_act!Q27=0,0,Q53/TrRoad_act!Q27*1000)</f>
        <v>30.615419434827416</v>
      </c>
      <c r="R111" s="101">
        <f>IF(TrRoad_act!R27=0,0,R53/TrRoad_act!R27*1000)</f>
        <v>30.870631363333196</v>
      </c>
      <c r="S111" s="101">
        <f>IF(TrRoad_act!S27=0,0,S53/TrRoad_act!S27*1000)</f>
        <v>28.814001173758967</v>
      </c>
      <c r="T111" s="101">
        <f>IF(TrRoad_act!T27=0,0,T53/TrRoad_act!T27*1000)</f>
        <v>27.2747911995706</v>
      </c>
      <c r="U111" s="101">
        <f>IF(TrRoad_act!U27=0,0,U53/TrRoad_act!U27*1000)</f>
        <v>26.738519770740279</v>
      </c>
      <c r="V111" s="101">
        <f>IF(TrRoad_act!V27=0,0,V53/TrRoad_act!V27*1000)</f>
        <v>26.307895087198244</v>
      </c>
      <c r="W111" s="101">
        <f>IF(TrRoad_act!W27=0,0,W53/TrRoad_act!W27*1000)</f>
        <v>26.352520907281974</v>
      </c>
      <c r="X111" s="101">
        <f>IF(TrRoad_act!X27=0,0,X53/TrRoad_act!X27*1000)</f>
        <v>25.575950536481461</v>
      </c>
      <c r="Y111" s="101">
        <f>IF(TrRoad_act!Y27=0,0,Y53/TrRoad_act!Y27*1000)</f>
        <v>25.002824067447545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31.033116253077491</v>
      </c>
      <c r="C112" s="88">
        <f>IF(TrRoad_act!C28=0,0,C55/TrRoad_act!C28*1000)</f>
        <v>30.029080499815493</v>
      </c>
      <c r="D112" s="88">
        <f>IF(TrRoad_act!D28=0,0,D55/TrRoad_act!D28*1000)</f>
        <v>29.238546054297199</v>
      </c>
      <c r="E112" s="88">
        <f>IF(TrRoad_act!E28=0,0,E55/TrRoad_act!E28*1000)</f>
        <v>28.571550286545342</v>
      </c>
      <c r="F112" s="88">
        <f>IF(TrRoad_act!F28=0,0,F55/TrRoad_act!F28*1000)</f>
        <v>28.061968758707906</v>
      </c>
      <c r="G112" s="88">
        <f>IF(TrRoad_act!G28=0,0,G55/TrRoad_act!G28*1000)</f>
        <v>27.769950194844125</v>
      </c>
      <c r="H112" s="88">
        <f>IF(TrRoad_act!H28=0,0,H55/TrRoad_act!H28*1000)</f>
        <v>27.250978966991433</v>
      </c>
      <c r="I112" s="88">
        <f>IF(TrRoad_act!I28=0,0,I55/TrRoad_act!I28*1000)</f>
        <v>26.882730166514349</v>
      </c>
      <c r="J112" s="88">
        <f>IF(TrRoad_act!J28=0,0,J55/TrRoad_act!J28*1000)</f>
        <v>27.40202163388533</v>
      </c>
      <c r="K112" s="88">
        <f>IF(TrRoad_act!K28=0,0,K55/TrRoad_act!K28*1000)</f>
        <v>28.293822389862363</v>
      </c>
      <c r="L112" s="88">
        <f>IF(TrRoad_act!L28=0,0,L55/TrRoad_act!L28*1000)</f>
        <v>27.110497156645977</v>
      </c>
      <c r="M112" s="88">
        <f>IF(TrRoad_act!M28=0,0,M55/TrRoad_act!M28*1000)</f>
        <v>27.733354637882293</v>
      </c>
      <c r="N112" s="88">
        <f>IF(TrRoad_act!N28=0,0,N55/TrRoad_act!N28*1000)</f>
        <v>27.909581088526888</v>
      </c>
      <c r="O112" s="88">
        <f>IF(TrRoad_act!O28=0,0,O55/TrRoad_act!O28*1000)</f>
        <v>27.646128535364618</v>
      </c>
      <c r="P112" s="88">
        <f>IF(TrRoad_act!P28=0,0,P55/TrRoad_act!P28*1000)</f>
        <v>27.562377532525591</v>
      </c>
      <c r="Q112" s="88">
        <f>IF(TrRoad_act!Q28=0,0,Q55/TrRoad_act!Q28*1000)</f>
        <v>27.998276817573089</v>
      </c>
      <c r="R112" s="88">
        <f>IF(TrRoad_act!R28=0,0,R55/TrRoad_act!R28*1000)</f>
        <v>27.918132577617214</v>
      </c>
      <c r="S112" s="88">
        <f>IF(TrRoad_act!S28=0,0,S55/TrRoad_act!S28*1000)</f>
        <v>27.696076352352492</v>
      </c>
      <c r="T112" s="88">
        <f>IF(TrRoad_act!T28=0,0,T55/TrRoad_act!T28*1000)</f>
        <v>27.527667025731617</v>
      </c>
      <c r="U112" s="88">
        <f>IF(TrRoad_act!U28=0,0,U55/TrRoad_act!U28*1000)</f>
        <v>27.295927188578574</v>
      </c>
      <c r="V112" s="88">
        <f>IF(TrRoad_act!V28=0,0,V55/TrRoad_act!V28*1000)</f>
        <v>27.746021563334633</v>
      </c>
      <c r="W112" s="88">
        <f>IF(TrRoad_act!W28=0,0,W55/TrRoad_act!W28*1000)</f>
        <v>27.960690500699087</v>
      </c>
      <c r="X112" s="88">
        <f>IF(TrRoad_act!X28=0,0,X55/TrRoad_act!X28*1000)</f>
        <v>27.694907362354805</v>
      </c>
      <c r="Y112" s="88">
        <f>IF(TrRoad_act!Y28=0,0,Y55/TrRoad_act!Y28*1000)</f>
        <v>26.871919094443442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111.17491982607557</v>
      </c>
      <c r="C116" s="152">
        <f>IF(C19=0,0,1000000*C19/TrRoad_act!C59)</f>
        <v>119.91206171699586</v>
      </c>
      <c r="D116" s="152">
        <f>IF(D19=0,0,1000000*D19/TrRoad_act!D59)</f>
        <v>132.74561378515747</v>
      </c>
      <c r="E116" s="152">
        <f>IF(E19=0,0,1000000*E19/TrRoad_act!E59)</f>
        <v>132.02686909951785</v>
      </c>
      <c r="F116" s="152">
        <f>IF(F19=0,0,1000000*F19/TrRoad_act!F59)</f>
        <v>139.34058892685761</v>
      </c>
      <c r="G116" s="152">
        <f>IF(G19=0,0,1000000*G19/TrRoad_act!G59)</f>
        <v>141.55275155212743</v>
      </c>
      <c r="H116" s="152">
        <f>IF(H19=0,0,1000000*H19/TrRoad_act!H59)</f>
        <v>137.44571681891227</v>
      </c>
      <c r="I116" s="152">
        <f>IF(I19=0,0,1000000*I19/TrRoad_act!I59)</f>
        <v>132.37381232109379</v>
      </c>
      <c r="J116" s="152">
        <f>IF(J19=0,0,1000000*J19/TrRoad_act!J59)</f>
        <v>130.58848801159829</v>
      </c>
      <c r="K116" s="152">
        <f>IF(K19=0,0,1000000*K19/TrRoad_act!K59)</f>
        <v>128.52702603788222</v>
      </c>
      <c r="L116" s="152">
        <f>IF(L19=0,0,1000000*L19/TrRoad_act!L59)</f>
        <v>124.45078440692133</v>
      </c>
      <c r="M116" s="152">
        <f>IF(M19=0,0,1000000*M19/TrRoad_act!M59)</f>
        <v>124.42294162902473</v>
      </c>
      <c r="N116" s="152">
        <f>IF(N19=0,0,1000000*N19/TrRoad_act!N59)</f>
        <v>125.84342517290342</v>
      </c>
      <c r="O116" s="152">
        <f>IF(O19=0,0,1000000*O19/TrRoad_act!O59)</f>
        <v>128.10280332490251</v>
      </c>
      <c r="P116" s="152">
        <f>IF(P19=0,0,1000000*P19/TrRoad_act!P59)</f>
        <v>130.65189601379777</v>
      </c>
      <c r="Q116" s="152">
        <f>IF(Q19=0,0,1000000*Q19/TrRoad_act!Q59)</f>
        <v>131.4385977833156</v>
      </c>
      <c r="R116" s="152">
        <f>IF(R19=0,0,1000000*R19/TrRoad_act!R59)</f>
        <v>121.25083168001476</v>
      </c>
      <c r="S116" s="152">
        <f>IF(S19=0,0,1000000*S19/TrRoad_act!S59)</f>
        <v>116.86755411201638</v>
      </c>
      <c r="T116" s="152">
        <f>IF(T19=0,0,1000000*T19/TrRoad_act!T59)</f>
        <v>115.61408794449764</v>
      </c>
      <c r="U116" s="152">
        <f>IF(U19=0,0,1000000*U19/TrRoad_act!U59)</f>
        <v>117.67011172486043</v>
      </c>
      <c r="V116" s="152">
        <f>IF(V19=0,0,1000000*V19/TrRoad_act!V59)</f>
        <v>99.635473693616902</v>
      </c>
      <c r="W116" s="152">
        <f>IF(W19=0,0,1000000*W19/TrRoad_act!W59)</f>
        <v>114.68485576279316</v>
      </c>
      <c r="X116" s="152">
        <f>IF(X19=0,0,1000000*X19/TrRoad_act!X59)</f>
        <v>119.38883766698328</v>
      </c>
      <c r="Y116" s="152">
        <f>IF(Y19=0,0,1000000*Y19/TrRoad_act!Y59)</f>
        <v>122.30858557549908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889.97811458425849</v>
      </c>
      <c r="C117" s="116">
        <f>IF(C21=0,0,1000000*C21/TrRoad_act!C60)</f>
        <v>897.70117815074263</v>
      </c>
      <c r="D117" s="116">
        <f>IF(D21=0,0,1000000*D21/TrRoad_act!D60)</f>
        <v>885.35564447060881</v>
      </c>
      <c r="E117" s="116">
        <f>IF(E21=0,0,1000000*E21/TrRoad_act!E60)</f>
        <v>855.76769282754856</v>
      </c>
      <c r="F117" s="116">
        <f>IF(F21=0,0,1000000*F21/TrRoad_act!F60)</f>
        <v>832.16399658726186</v>
      </c>
      <c r="G117" s="116">
        <f>IF(G21=0,0,1000000*G21/TrRoad_act!G60)</f>
        <v>814.09264190139595</v>
      </c>
      <c r="H117" s="116">
        <f>IF(H21=0,0,1000000*H21/TrRoad_act!H60)</f>
        <v>808.91084127535169</v>
      </c>
      <c r="I117" s="116">
        <f>IF(I21=0,0,1000000*I21/TrRoad_act!I60)</f>
        <v>808.57655342777332</v>
      </c>
      <c r="J117" s="116">
        <f>IF(J21=0,0,1000000*J21/TrRoad_act!J60)</f>
        <v>769.55580687303291</v>
      </c>
      <c r="K117" s="116">
        <f>IF(K21=0,0,1000000*K21/TrRoad_act!K60)</f>
        <v>765.21068893311008</v>
      </c>
      <c r="L117" s="116">
        <f>IF(L21=0,0,1000000*L21/TrRoad_act!L60)</f>
        <v>739.61109168704672</v>
      </c>
      <c r="M117" s="116">
        <f>IF(M21=0,0,1000000*M21/TrRoad_act!M60)</f>
        <v>745.5765797508227</v>
      </c>
      <c r="N117" s="116">
        <f>IF(N21=0,0,1000000*N21/TrRoad_act!N60)</f>
        <v>736.43293680485226</v>
      </c>
      <c r="O117" s="116">
        <f>IF(O21=0,0,1000000*O21/TrRoad_act!O60)</f>
        <v>720.05579458232739</v>
      </c>
      <c r="P117" s="116">
        <f>IF(P21=0,0,1000000*P21/TrRoad_act!P60)</f>
        <v>716.20885195148514</v>
      </c>
      <c r="Q117" s="116">
        <f>IF(Q21=0,0,1000000*Q21/TrRoad_act!Q60)</f>
        <v>719.09825680913173</v>
      </c>
      <c r="R117" s="116">
        <f>IF(R21=0,0,1000000*R21/TrRoad_act!R60)</f>
        <v>711.0178878928366</v>
      </c>
      <c r="S117" s="116">
        <f>IF(S21=0,0,1000000*S21/TrRoad_act!S60)</f>
        <v>700.27154103723944</v>
      </c>
      <c r="T117" s="116">
        <f>IF(T21=0,0,1000000*T21/TrRoad_act!T60)</f>
        <v>682.41144469567178</v>
      </c>
      <c r="U117" s="116">
        <f>IF(U21=0,0,1000000*U21/TrRoad_act!U60)</f>
        <v>670.56419553993214</v>
      </c>
      <c r="V117" s="116">
        <f>IF(V21=0,0,1000000*V21/TrRoad_act!V60)</f>
        <v>549.21474419893866</v>
      </c>
      <c r="W117" s="116">
        <f>IF(W21=0,0,1000000*W21/TrRoad_act!W60)</f>
        <v>623.95777775011891</v>
      </c>
      <c r="X117" s="116">
        <f>IF(X21=0,0,1000000*X21/TrRoad_act!X60)</f>
        <v>654.57734450244493</v>
      </c>
      <c r="Y117" s="116">
        <f>IF(Y21=0,0,1000000*Y21/TrRoad_act!Y60)</f>
        <v>636.80232731965793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710.50926709282294</v>
      </c>
      <c r="C118" s="87">
        <f>IF(C22=0,0,1000000*C22/TrRoad_act!C61)</f>
        <v>711.67289553961507</v>
      </c>
      <c r="D118" s="87">
        <f>IF(D22=0,0,1000000*D22/TrRoad_act!D61)</f>
        <v>707.59923046005247</v>
      </c>
      <c r="E118" s="87">
        <f>IF(E22=0,0,1000000*E22/TrRoad_act!E61)</f>
        <v>680.73858504583643</v>
      </c>
      <c r="F118" s="87">
        <f>IF(F22=0,0,1000000*F22/TrRoad_act!F61)</f>
        <v>666.96677966565312</v>
      </c>
      <c r="G118" s="87">
        <f>IF(G22=0,0,1000000*G22/TrRoad_act!G61)</f>
        <v>648.6513937903959</v>
      </c>
      <c r="H118" s="87">
        <f>IF(H22=0,0,1000000*H22/TrRoad_act!H61)</f>
        <v>626.65908303861659</v>
      </c>
      <c r="I118" s="87">
        <f>IF(I22=0,0,1000000*I22/TrRoad_act!I61)</f>
        <v>607.01194008258892</v>
      </c>
      <c r="J118" s="87">
        <f>IF(J22=0,0,1000000*J22/TrRoad_act!J61)</f>
        <v>562.06085243778148</v>
      </c>
      <c r="K118" s="87">
        <f>IF(K22=0,0,1000000*K22/TrRoad_act!K61)</f>
        <v>551.01087491218141</v>
      </c>
      <c r="L118" s="87">
        <f>IF(L22=0,0,1000000*L22/TrRoad_act!L61)</f>
        <v>514.72592746837972</v>
      </c>
      <c r="M118" s="87">
        <f>IF(M22=0,0,1000000*M22/TrRoad_act!M61)</f>
        <v>536.96321710655309</v>
      </c>
      <c r="N118" s="87">
        <f>IF(N22=0,0,1000000*N22/TrRoad_act!N61)</f>
        <v>506.61606156080933</v>
      </c>
      <c r="O118" s="87">
        <f>IF(O22=0,0,1000000*O22/TrRoad_act!O61)</f>
        <v>490.55398356213823</v>
      </c>
      <c r="P118" s="87">
        <f>IF(P22=0,0,1000000*P22/TrRoad_act!P61)</f>
        <v>490.35753459872438</v>
      </c>
      <c r="Q118" s="87">
        <f>IF(Q22=0,0,1000000*Q22/TrRoad_act!Q61)</f>
        <v>493.05531110805856</v>
      </c>
      <c r="R118" s="87">
        <f>IF(R22=0,0,1000000*R22/TrRoad_act!R61)</f>
        <v>499.83078330725778</v>
      </c>
      <c r="S118" s="87">
        <f>IF(S22=0,0,1000000*S22/TrRoad_act!S61)</f>
        <v>502.07864422891959</v>
      </c>
      <c r="T118" s="87">
        <f>IF(T22=0,0,1000000*T22/TrRoad_act!T61)</f>
        <v>500.93116611138271</v>
      </c>
      <c r="U118" s="87">
        <f>IF(U22=0,0,1000000*U22/TrRoad_act!U61)</f>
        <v>514.72951554022757</v>
      </c>
      <c r="V118" s="87">
        <f>IF(V22=0,0,1000000*V22/TrRoad_act!V61)</f>
        <v>432.396613216677</v>
      </c>
      <c r="W118" s="87">
        <f>IF(W22=0,0,1000000*W22/TrRoad_act!W61)</f>
        <v>505.43715303586913</v>
      </c>
      <c r="X118" s="87">
        <f>IF(X22=0,0,1000000*X22/TrRoad_act!X61)</f>
        <v>541.10360598250554</v>
      </c>
      <c r="Y118" s="87">
        <f>IF(Y22=0,0,1000000*Y22/TrRoad_act!Y61)</f>
        <v>549.73396771867544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1224.0495641979876</v>
      </c>
      <c r="C119" s="87">
        <f>IF(C24=0,0,1000000*C24/TrRoad_act!C62)</f>
        <v>1209.7112204480366</v>
      </c>
      <c r="D119" s="87">
        <f>IF(D24=0,0,1000000*D24/TrRoad_act!D62)</f>
        <v>1152.7923092171934</v>
      </c>
      <c r="E119" s="87">
        <f>IF(E24=0,0,1000000*E24/TrRoad_act!E62)</f>
        <v>1092.6942607416361</v>
      </c>
      <c r="F119" s="87">
        <f>IF(F24=0,0,1000000*F24/TrRoad_act!F62)</f>
        <v>1034.9678201318841</v>
      </c>
      <c r="G119" s="87">
        <f>IF(G24=0,0,1000000*G24/TrRoad_act!G62)</f>
        <v>999.2530746981023</v>
      </c>
      <c r="H119" s="87">
        <f>IF(H24=0,0,1000000*H24/TrRoad_act!H62)</f>
        <v>995.34778340876676</v>
      </c>
      <c r="I119" s="87">
        <f>IF(I24=0,0,1000000*I24/TrRoad_act!I62)</f>
        <v>997.52982656422716</v>
      </c>
      <c r="J119" s="87">
        <f>IF(J24=0,0,1000000*J24/TrRoad_act!J62)</f>
        <v>945.47012684870015</v>
      </c>
      <c r="K119" s="87">
        <f>IF(K24=0,0,1000000*K24/TrRoad_act!K62)</f>
        <v>930.74816651503056</v>
      </c>
      <c r="L119" s="87">
        <f>IF(L24=0,0,1000000*L24/TrRoad_act!L62)</f>
        <v>899.33976522495504</v>
      </c>
      <c r="M119" s="87">
        <f>IF(M24=0,0,1000000*M24/TrRoad_act!M62)</f>
        <v>877.39750129205527</v>
      </c>
      <c r="N119" s="87">
        <f>IF(N24=0,0,1000000*N24/TrRoad_act!N62)</f>
        <v>874.1760042401213</v>
      </c>
      <c r="O119" s="87">
        <f>IF(O24=0,0,1000000*O24/TrRoad_act!O62)</f>
        <v>851.7375030769382</v>
      </c>
      <c r="P119" s="87">
        <f>IF(P24=0,0,1000000*P24/TrRoad_act!P62)</f>
        <v>843.60937513799047</v>
      </c>
      <c r="Q119" s="87">
        <f>IF(Q24=0,0,1000000*Q24/TrRoad_act!Q62)</f>
        <v>847.63712072284136</v>
      </c>
      <c r="R119" s="87">
        <f>IF(R24=0,0,1000000*R24/TrRoad_act!R62)</f>
        <v>834.3602548571107</v>
      </c>
      <c r="S119" s="87">
        <f>IF(S24=0,0,1000000*S24/TrRoad_act!S62)</f>
        <v>821.68562289884449</v>
      </c>
      <c r="T119" s="87">
        <f>IF(T24=0,0,1000000*T24/TrRoad_act!T62)</f>
        <v>802.46527434152506</v>
      </c>
      <c r="U119" s="87">
        <f>IF(U24=0,0,1000000*U24/TrRoad_act!U62)</f>
        <v>783.30235727908689</v>
      </c>
      <c r="V119" s="87">
        <f>IF(V24=0,0,1000000*V24/TrRoad_act!V62)</f>
        <v>641.65854781132077</v>
      </c>
      <c r="W119" s="87">
        <f>IF(W24=0,0,1000000*W24/TrRoad_act!W62)</f>
        <v>730.10060339377799</v>
      </c>
      <c r="X119" s="87">
        <f>IF(X24=0,0,1000000*X24/TrRoad_act!X62)</f>
        <v>770.12724320347365</v>
      </c>
      <c r="Y119" s="87">
        <f>IF(Y24=0,0,1000000*Y24/TrRoad_act!Y62)</f>
        <v>743.12341826881436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629.72074180948573</v>
      </c>
      <c r="C120" s="87">
        <f>IF(C26=0,0,1000000*C26/TrRoad_act!C63)</f>
        <v>638.73870013165003</v>
      </c>
      <c r="D120" s="87">
        <f>IF(D26=0,0,1000000*D26/TrRoad_act!D63)</f>
        <v>615.38160400704646</v>
      </c>
      <c r="E120" s="87">
        <f>IF(E26=0,0,1000000*E26/TrRoad_act!E63)</f>
        <v>585.23756312845342</v>
      </c>
      <c r="F120" s="87">
        <f>IF(F26=0,0,1000000*F26/TrRoad_act!F63)</f>
        <v>570.06298129412039</v>
      </c>
      <c r="G120" s="87">
        <f>IF(G26=0,0,1000000*G26/TrRoad_act!G63)</f>
        <v>574.02918116942351</v>
      </c>
      <c r="H120" s="87">
        <f>IF(H26=0,0,1000000*H26/TrRoad_act!H63)</f>
        <v>586.7646744671697</v>
      </c>
      <c r="I120" s="87">
        <f>IF(I26=0,0,1000000*I26/TrRoad_act!I63)</f>
        <v>638.27334942431548</v>
      </c>
      <c r="J120" s="87">
        <f>IF(J26=0,0,1000000*J26/TrRoad_act!J63)</f>
        <v>523.96674360276768</v>
      </c>
      <c r="K120" s="87">
        <f>IF(K26=0,0,1000000*K26/TrRoad_act!K63)</f>
        <v>435.25793233311595</v>
      </c>
      <c r="L120" s="87">
        <f>IF(L26=0,0,1000000*L26/TrRoad_act!L63)</f>
        <v>513.82074840406676</v>
      </c>
      <c r="M120" s="87">
        <f>IF(M26=0,0,1000000*M26/TrRoad_act!M63)</f>
        <v>506.57252526545079</v>
      </c>
      <c r="N120" s="87">
        <f>IF(N26=0,0,1000000*N26/TrRoad_act!N63)</f>
        <v>490.97300948892524</v>
      </c>
      <c r="O120" s="87">
        <f>IF(O26=0,0,1000000*O26/TrRoad_act!O63)</f>
        <v>478.52448463461258</v>
      </c>
      <c r="P120" s="87">
        <f>IF(P26=0,0,1000000*P26/TrRoad_act!P63)</f>
        <v>454.02446626492616</v>
      </c>
      <c r="Q120" s="87">
        <f>IF(Q26=0,0,1000000*Q26/TrRoad_act!Q63)</f>
        <v>405.12134723769412</v>
      </c>
      <c r="R120" s="87">
        <f>IF(R26=0,0,1000000*R26/TrRoad_act!R63)</f>
        <v>372.16044577261522</v>
      </c>
      <c r="S120" s="87">
        <f>IF(S26=0,0,1000000*S26/TrRoad_act!S63)</f>
        <v>328.68787323789508</v>
      </c>
      <c r="T120" s="87">
        <f>IF(T26=0,0,1000000*T26/TrRoad_act!T63)</f>
        <v>296.74855698548629</v>
      </c>
      <c r="U120" s="87">
        <f>IF(U26=0,0,1000000*U26/TrRoad_act!U63)</f>
        <v>275.96068837354704</v>
      </c>
      <c r="V120" s="87">
        <f>IF(V26=0,0,1000000*V26/TrRoad_act!V63)</f>
        <v>184.50641085993672</v>
      </c>
      <c r="W120" s="87">
        <f>IF(W26=0,0,1000000*W26/TrRoad_act!W63)</f>
        <v>252.18331022568324</v>
      </c>
      <c r="X120" s="87">
        <f>IF(X26=0,0,1000000*X26/TrRoad_act!X63)</f>
        <v>446.16667887623316</v>
      </c>
      <c r="Y120" s="87">
        <f>IF(Y26=0,0,1000000*Y26/TrRoad_act!Y63)</f>
        <v>475.54648408811192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1449.3627692895716</v>
      </c>
      <c r="J121" s="87">
        <f>IF(J27=0,0,1000000*J27/TrRoad_act!J64)</f>
        <v>1309.0734180253612</v>
      </c>
      <c r="K121" s="87">
        <f>IF(K27=0,0,1000000*K27/TrRoad_act!K64)</f>
        <v>1235.5336250911896</v>
      </c>
      <c r="L121" s="87">
        <f>IF(L27=0,0,1000000*L27/TrRoad_act!L64)</f>
        <v>1180.5235905933685</v>
      </c>
      <c r="M121" s="87">
        <f>IF(M27=0,0,1000000*M27/TrRoad_act!M64)</f>
        <v>1115.9553196387126</v>
      </c>
      <c r="N121" s="87">
        <f>IF(N27=0,0,1000000*N27/TrRoad_act!N64)</f>
        <v>1094.484016441073</v>
      </c>
      <c r="O121" s="87">
        <f>IF(O27=0,0,1000000*O27/TrRoad_act!O64)</f>
        <v>1044.3732746299318</v>
      </c>
      <c r="P121" s="87">
        <f>IF(P27=0,0,1000000*P27/TrRoad_act!P64)</f>
        <v>1022.9556005390111</v>
      </c>
      <c r="Q121" s="87">
        <f>IF(Q27=0,0,1000000*Q27/TrRoad_act!Q64)</f>
        <v>987.9715210775596</v>
      </c>
      <c r="R121" s="87">
        <f>IF(R27=0,0,1000000*R27/TrRoad_act!R64)</f>
        <v>902.45746785840026</v>
      </c>
      <c r="S121" s="87">
        <f>IF(S27=0,0,1000000*S27/TrRoad_act!S64)</f>
        <v>879.72799556911207</v>
      </c>
      <c r="T121" s="87">
        <f>IF(T27=0,0,1000000*T27/TrRoad_act!T64)</f>
        <v>839.45613438303133</v>
      </c>
      <c r="U121" s="87">
        <f>IF(U27=0,0,1000000*U27/TrRoad_act!U64)</f>
        <v>830.70695307550443</v>
      </c>
      <c r="V121" s="87">
        <f>IF(V27=0,0,1000000*V27/TrRoad_act!V64)</f>
        <v>671.70696921832155</v>
      </c>
      <c r="W121" s="87">
        <f>IF(W27=0,0,1000000*W27/TrRoad_act!W64)</f>
        <v>770.9682329011606</v>
      </c>
      <c r="X121" s="87">
        <f>IF(X27=0,0,1000000*X27/TrRoad_act!X64)</f>
        <v>824.74937749483763</v>
      </c>
      <c r="Y121" s="87">
        <f>IF(Y27=0,0,1000000*Y27/TrRoad_act!Y64)</f>
        <v>752.88720467392045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211.62835228082599</v>
      </c>
      <c r="O122" s="87">
        <f>IF(O29=0,0,1000000*O29/TrRoad_act!O65)</f>
        <v>218.53290687650872</v>
      </c>
      <c r="P122" s="87">
        <f>IF(P29=0,0,1000000*P29/TrRoad_act!P65)</f>
        <v>219.21314072027948</v>
      </c>
      <c r="Q122" s="87">
        <f>IF(Q29=0,0,1000000*Q29/TrRoad_act!Q65)</f>
        <v>253.23169990130214</v>
      </c>
      <c r="R122" s="87">
        <f>IF(R29=0,0,1000000*R29/TrRoad_act!R65)</f>
        <v>278.39626966306042</v>
      </c>
      <c r="S122" s="87">
        <f>IF(S29=0,0,1000000*S29/TrRoad_act!S65)</f>
        <v>295.6634593691104</v>
      </c>
      <c r="T122" s="87">
        <f>IF(T29=0,0,1000000*T29/TrRoad_act!T65)</f>
        <v>312.00513901235422</v>
      </c>
      <c r="U122" s="87">
        <f>IF(U29=0,0,1000000*U29/TrRoad_act!U65)</f>
        <v>322.9121013204886</v>
      </c>
      <c r="V122" s="87">
        <f>IF(V29=0,0,1000000*V29/TrRoad_act!V65)</f>
        <v>260.39684849047569</v>
      </c>
      <c r="W122" s="87">
        <f>IF(W29=0,0,1000000*W29/TrRoad_act!W65)</f>
        <v>287.43784932148861</v>
      </c>
      <c r="X122" s="87">
        <f>IF(X29=0,0,1000000*X29/TrRoad_act!X65)</f>
        <v>313.81084092063969</v>
      </c>
      <c r="Y122" s="87">
        <f>IF(Y29=0,0,1000000*Y29/TrRoad_act!Y65)</f>
        <v>315.20940324362959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173.57957269766635</v>
      </c>
      <c r="I123" s="87">
        <f>IF(I32=0,0,1000000*I32/TrRoad_act!I66)</f>
        <v>173.40973688949387</v>
      </c>
      <c r="J123" s="87">
        <f>IF(J32=0,0,1000000*J32/TrRoad_act!J66)</f>
        <v>172.06006591545932</v>
      </c>
      <c r="K123" s="87">
        <f>IF(K32=0,0,1000000*K32/TrRoad_act!K66)</f>
        <v>172.0660260654976</v>
      </c>
      <c r="L123" s="87">
        <f>IF(L32=0,0,1000000*L32/TrRoad_act!L66)</f>
        <v>172.36500943198806</v>
      </c>
      <c r="M123" s="87">
        <f>IF(M32=0,0,1000000*M32/TrRoad_act!M66)</f>
        <v>171.93074896567109</v>
      </c>
      <c r="N123" s="87">
        <f>IF(N32=0,0,1000000*N32/TrRoad_act!N66)</f>
        <v>169.22517617767323</v>
      </c>
      <c r="O123" s="87">
        <f>IF(O32=0,0,1000000*O32/TrRoad_act!O66)</f>
        <v>181.15131836958398</v>
      </c>
      <c r="P123" s="87">
        <f>IF(P32=0,0,1000000*P32/TrRoad_act!P66)</f>
        <v>187.48887562792902</v>
      </c>
      <c r="Q123" s="87">
        <f>IF(Q32=0,0,1000000*Q32/TrRoad_act!Q66)</f>
        <v>194.65739153484381</v>
      </c>
      <c r="R123" s="87">
        <f>IF(R32=0,0,1000000*R32/TrRoad_act!R66)</f>
        <v>197.6799336294365</v>
      </c>
      <c r="S123" s="87">
        <f>IF(S32=0,0,1000000*S32/TrRoad_act!S66)</f>
        <v>192.49195796220957</v>
      </c>
      <c r="T123" s="87">
        <f>IF(T32=0,0,1000000*T32/TrRoad_act!T66)</f>
        <v>193.7384512320865</v>
      </c>
      <c r="U123" s="87">
        <f>IF(U32=0,0,1000000*U32/TrRoad_act!U66)</f>
        <v>200.45868209640469</v>
      </c>
      <c r="V123" s="87">
        <f>IF(V32=0,0,1000000*V32/TrRoad_act!V66)</f>
        <v>183.48262357656984</v>
      </c>
      <c r="W123" s="87">
        <f>IF(W32=0,0,1000000*W32/TrRoad_act!W66)</f>
        <v>207.35591733574677</v>
      </c>
      <c r="X123" s="87">
        <f>IF(X32=0,0,1000000*X32/TrRoad_act!X66)</f>
        <v>205.03761160796466</v>
      </c>
      <c r="Y123" s="87">
        <f>IF(Y32=0,0,1000000*Y32/TrRoad_act!Y66)</f>
        <v>203.95243523049177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19711.773279116915</v>
      </c>
      <c r="C124" s="116">
        <f>IF(C33=0,0,1000000*C33/TrRoad_act!C67)</f>
        <v>19022.486476046361</v>
      </c>
      <c r="D124" s="116">
        <f>IF(D33=0,0,1000000*D33/TrRoad_act!D67)</f>
        <v>19261.234653778523</v>
      </c>
      <c r="E124" s="116">
        <f>IF(E33=0,0,1000000*E33/TrRoad_act!E67)</f>
        <v>19072.966511941977</v>
      </c>
      <c r="F124" s="116">
        <f>IF(F33=0,0,1000000*F33/TrRoad_act!F67)</f>
        <v>19024.239043171943</v>
      </c>
      <c r="G124" s="116">
        <f>IF(G33=0,0,1000000*G33/TrRoad_act!G67)</f>
        <v>18704.386067493957</v>
      </c>
      <c r="H124" s="116">
        <f>IF(H33=0,0,1000000*H33/TrRoad_act!H67)</f>
        <v>19048.894295818034</v>
      </c>
      <c r="I124" s="116">
        <f>IF(I33=0,0,1000000*I33/TrRoad_act!I67)</f>
        <v>19036.060037666881</v>
      </c>
      <c r="J124" s="116">
        <f>IF(J33=0,0,1000000*J33/TrRoad_act!J67)</f>
        <v>19306.350136101784</v>
      </c>
      <c r="K124" s="116">
        <f>IF(K33=0,0,1000000*K33/TrRoad_act!K67)</f>
        <v>19031.189064956601</v>
      </c>
      <c r="L124" s="116">
        <f>IF(L33=0,0,1000000*L33/TrRoad_act!L67)</f>
        <v>18623.25549344805</v>
      </c>
      <c r="M124" s="116">
        <f>IF(M33=0,0,1000000*M33/TrRoad_act!M67)</f>
        <v>18170.488712323284</v>
      </c>
      <c r="N124" s="116">
        <f>IF(N33=0,0,1000000*N33/TrRoad_act!N67)</f>
        <v>17809.344942657019</v>
      </c>
      <c r="O124" s="116">
        <f>IF(O33=0,0,1000000*O33/TrRoad_act!O67)</f>
        <v>17224.842133465791</v>
      </c>
      <c r="P124" s="116">
        <f>IF(P33=0,0,1000000*P33/TrRoad_act!P67)</f>
        <v>17272.211966441399</v>
      </c>
      <c r="Q124" s="116">
        <f>IF(Q33=0,0,1000000*Q33/TrRoad_act!Q67)</f>
        <v>17575.252516022658</v>
      </c>
      <c r="R124" s="116">
        <f>IF(R33=0,0,1000000*R33/TrRoad_act!R67)</f>
        <v>17737.146894542027</v>
      </c>
      <c r="S124" s="116">
        <f>IF(S33=0,0,1000000*S33/TrRoad_act!S67)</f>
        <v>17034.725471710863</v>
      </c>
      <c r="T124" s="116">
        <f>IF(T33=0,0,1000000*T33/TrRoad_act!T67)</f>
        <v>16867.732422223791</v>
      </c>
      <c r="U124" s="116">
        <f>IF(U33=0,0,1000000*U33/TrRoad_act!U67)</f>
        <v>16522.29848957893</v>
      </c>
      <c r="V124" s="116">
        <f>IF(V33=0,0,1000000*V33/TrRoad_act!V67)</f>
        <v>12133.266250531695</v>
      </c>
      <c r="W124" s="116">
        <f>IF(W33=0,0,1000000*W33/TrRoad_act!W67)</f>
        <v>13789.304909773591</v>
      </c>
      <c r="X124" s="116">
        <f>IF(X33=0,0,1000000*X33/TrRoad_act!X67)</f>
        <v>14455.433113873321</v>
      </c>
      <c r="Y124" s="116">
        <f>IF(Y33=0,0,1000000*Y33/TrRoad_act!Y67)</f>
        <v>14286.821341517792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2241.8752232057755</v>
      </c>
      <c r="C125" s="101">
        <f>IF(C34=0,0,1000000*C34/TrRoad_act!C68)</f>
        <v>2217.5880213547921</v>
      </c>
      <c r="D125" s="101">
        <f>IF(D34=0,0,1000000*D34/TrRoad_act!D68)</f>
        <v>2285.3715611035368</v>
      </c>
      <c r="E125" s="101">
        <f>IF(E34=0,0,1000000*E34/TrRoad_act!E68)</f>
        <v>2298.2190871821335</v>
      </c>
      <c r="F125" s="101">
        <f>IF(F34=0,0,1000000*F34/TrRoad_act!F68)</f>
        <v>2327.6205336125295</v>
      </c>
      <c r="G125" s="101">
        <f>IF(G34=0,0,1000000*G34/TrRoad_act!G68)</f>
        <v>2319.8984816128182</v>
      </c>
      <c r="H125" s="101">
        <f>IF(H34=0,0,1000000*H34/TrRoad_act!H68)</f>
        <v>2396.0986128348272</v>
      </c>
      <c r="I125" s="101">
        <f>IF(I34=0,0,1000000*I34/TrRoad_act!I68)</f>
        <v>2427.4193590480681</v>
      </c>
      <c r="J125" s="101">
        <f>IF(J34=0,0,1000000*J34/TrRoad_act!J68)</f>
        <v>2501.8563598032842</v>
      </c>
      <c r="K125" s="101">
        <f>IF(K34=0,0,1000000*K34/TrRoad_act!K68)</f>
        <v>2504.2499166497578</v>
      </c>
      <c r="L125" s="101">
        <f>IF(L34=0,0,1000000*L34/TrRoad_act!L68)</f>
        <v>2475.6244572193609</v>
      </c>
      <c r="M125" s="101">
        <f>IF(M34=0,0,1000000*M34/TrRoad_act!M68)</f>
        <v>2450.7264841588608</v>
      </c>
      <c r="N125" s="101">
        <f>IF(N34=0,0,1000000*N34/TrRoad_act!N68)</f>
        <v>2422.4465975564831</v>
      </c>
      <c r="O125" s="101">
        <f>IF(O34=0,0,1000000*O34/TrRoad_act!O68)</f>
        <v>2389.177558932648</v>
      </c>
      <c r="P125" s="101">
        <f>IF(P34=0,0,1000000*P34/TrRoad_act!P68)</f>
        <v>2410.7050113757373</v>
      </c>
      <c r="Q125" s="101">
        <f>IF(Q34=0,0,1000000*Q34/TrRoad_act!Q68)</f>
        <v>2468.6052447932002</v>
      </c>
      <c r="R125" s="101">
        <f>IF(R34=0,0,1000000*R34/TrRoad_act!R68)</f>
        <v>2452.9277793771389</v>
      </c>
      <c r="S125" s="101">
        <f>IF(S34=0,0,1000000*S34/TrRoad_act!S68)</f>
        <v>2392.6243451465398</v>
      </c>
      <c r="T125" s="101">
        <f>IF(T34=0,0,1000000*T34/TrRoad_act!T68)</f>
        <v>2394.9698428691768</v>
      </c>
      <c r="U125" s="101">
        <f>IF(U34=0,0,1000000*U34/TrRoad_act!U68)</f>
        <v>2239.6534528801672</v>
      </c>
      <c r="V125" s="101">
        <f>IF(V34=0,0,1000000*V34/TrRoad_act!V68)</f>
        <v>1601.7632406428399</v>
      </c>
      <c r="W125" s="101">
        <f>IF(W34=0,0,1000000*W34/TrRoad_act!W68)</f>
        <v>1657.3232208930647</v>
      </c>
      <c r="X125" s="101">
        <f>IF(X34=0,0,1000000*X34/TrRoad_act!X68)</f>
        <v>1739.2019823867718</v>
      </c>
      <c r="Y125" s="101">
        <f>IF(Y34=0,0,1000000*Y34/TrRoad_act!Y68)</f>
        <v>1701.7750649956336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20002.308575471867</v>
      </c>
      <c r="C126" s="101">
        <f>IF(C36=0,0,1000000*C36/TrRoad_act!C69)</f>
        <v>19303.167459064309</v>
      </c>
      <c r="D126" s="101">
        <f>IF(D36=0,0,1000000*D36/TrRoad_act!D69)</f>
        <v>19533.970651797765</v>
      </c>
      <c r="E126" s="101">
        <f>IF(E36=0,0,1000000*E36/TrRoad_act!E69)</f>
        <v>19329.147176522314</v>
      </c>
      <c r="F126" s="101">
        <f>IF(F36=0,0,1000000*F36/TrRoad_act!F69)</f>
        <v>19274.02794669749</v>
      </c>
      <c r="G126" s="101">
        <f>IF(G36=0,0,1000000*G36/TrRoad_act!G69)</f>
        <v>18929.007421916485</v>
      </c>
      <c r="H126" s="101">
        <f>IF(H36=0,0,1000000*H36/TrRoad_act!H69)</f>
        <v>19236.889251490815</v>
      </c>
      <c r="I126" s="101">
        <f>IF(I36=0,0,1000000*I36/TrRoad_act!I69)</f>
        <v>19216.701418668068</v>
      </c>
      <c r="J126" s="101">
        <f>IF(J36=0,0,1000000*J36/TrRoad_act!J69)</f>
        <v>19470.617356223549</v>
      </c>
      <c r="K126" s="101">
        <f>IF(K36=0,0,1000000*K36/TrRoad_act!K69)</f>
        <v>19177.192264730016</v>
      </c>
      <c r="L126" s="101">
        <f>IF(L36=0,0,1000000*L36/TrRoad_act!L69)</f>
        <v>18723.032550988122</v>
      </c>
      <c r="M126" s="101">
        <f>IF(M36=0,0,1000000*M36/TrRoad_act!M69)</f>
        <v>18238.432275578372</v>
      </c>
      <c r="N126" s="101">
        <f>IF(N36=0,0,1000000*N36/TrRoad_act!N69)</f>
        <v>17870.445423252571</v>
      </c>
      <c r="O126" s="101">
        <f>IF(O36=0,0,1000000*O36/TrRoad_act!O69)</f>
        <v>17402.140021814062</v>
      </c>
      <c r="P126" s="101">
        <f>IF(P36=0,0,1000000*P36/TrRoad_act!P69)</f>
        <v>17425.641521233469</v>
      </c>
      <c r="Q126" s="101">
        <f>IF(Q36=0,0,1000000*Q36/TrRoad_act!Q69)</f>
        <v>17739.749841033987</v>
      </c>
      <c r="R126" s="101">
        <f>IF(R36=0,0,1000000*R36/TrRoad_act!R69)</f>
        <v>17853.374929683516</v>
      </c>
      <c r="S126" s="101">
        <f>IF(S36=0,0,1000000*S36/TrRoad_act!S69)</f>
        <v>17085.254465952206</v>
      </c>
      <c r="T126" s="101">
        <f>IF(T36=0,0,1000000*T36/TrRoad_act!T69)</f>
        <v>16962.687803485278</v>
      </c>
      <c r="U126" s="101">
        <f>IF(U36=0,0,1000000*U36/TrRoad_act!U69)</f>
        <v>16662.801785213091</v>
      </c>
      <c r="V126" s="101">
        <f>IF(V36=0,0,1000000*V36/TrRoad_act!V69)</f>
        <v>11881.709911338607</v>
      </c>
      <c r="W126" s="101">
        <f>IF(W36=0,0,1000000*W36/TrRoad_act!W69)</f>
        <v>13524.241976569672</v>
      </c>
      <c r="X126" s="101">
        <f>IF(X36=0,0,1000000*X36/TrRoad_act!X69)</f>
        <v>14241.674172625802</v>
      </c>
      <c r="Y126" s="101">
        <f>IF(Y36=0,0,1000000*Y36/TrRoad_act!Y69)</f>
        <v>13951.918427535036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10947.471751664953</v>
      </c>
      <c r="C127" s="101">
        <f>IF(C38=0,0,1000000*C38/TrRoad_act!C70)</f>
        <v>10327.497863720713</v>
      </c>
      <c r="D127" s="101">
        <f>IF(D38=0,0,1000000*D38/TrRoad_act!D70)</f>
        <v>10533.979656639996</v>
      </c>
      <c r="E127" s="101">
        <f>IF(E38=0,0,1000000*E38/TrRoad_act!E70)</f>
        <v>10459.277454224333</v>
      </c>
      <c r="F127" s="101">
        <f>IF(F38=0,0,1000000*F38/TrRoad_act!F70)</f>
        <v>10473.292603727768</v>
      </c>
      <c r="G127" s="101">
        <f>IF(G38=0,0,1000000*G38/TrRoad_act!G70)</f>
        <v>10360.687095004787</v>
      </c>
      <c r="H127" s="101">
        <f>IF(H38=0,0,1000000*H38/TrRoad_act!H70)</f>
        <v>10614.71449051723</v>
      </c>
      <c r="I127" s="101">
        <f>IF(I38=0,0,1000000*I38/TrRoad_act!I70)</f>
        <v>10711.956896057138</v>
      </c>
      <c r="J127" s="101">
        <f>IF(J38=0,0,1000000*J38/TrRoad_act!J70)</f>
        <v>11022.083360567554</v>
      </c>
      <c r="K127" s="101">
        <f>IF(K38=0,0,1000000*K38/TrRoad_act!K70)</f>
        <v>11011.611386287741</v>
      </c>
      <c r="L127" s="101">
        <f>IF(L38=0,0,1000000*L38/TrRoad_act!L70)</f>
        <v>10886.631596667101</v>
      </c>
      <c r="M127" s="101">
        <f>IF(M38=0,0,1000000*M38/TrRoad_act!M70)</f>
        <v>10752.164478576065</v>
      </c>
      <c r="N127" s="101">
        <f>IF(N38=0,0,1000000*N38/TrRoad_act!N70)</f>
        <v>10615.716213386104</v>
      </c>
      <c r="O127" s="101">
        <f>IF(O38=0,0,1000000*O38/TrRoad_act!O70)</f>
        <v>10467.6945528571</v>
      </c>
      <c r="P127" s="101">
        <f>IF(P38=0,0,1000000*P38/TrRoad_act!P70)</f>
        <v>10548.287745338308</v>
      </c>
      <c r="Q127" s="101">
        <f>IF(Q38=0,0,1000000*Q38/TrRoad_act!Q70)</f>
        <v>10783.429590656069</v>
      </c>
      <c r="R127" s="101">
        <f>IF(R38=0,0,1000000*R38/TrRoad_act!R70)</f>
        <v>10712.89042953056</v>
      </c>
      <c r="S127" s="101">
        <f>IF(S38=0,0,1000000*S38/TrRoad_act!S70)</f>
        <v>10299.430065919492</v>
      </c>
      <c r="T127" s="101">
        <f>IF(T38=0,0,1000000*T38/TrRoad_act!T70)</f>
        <v>10093.674642159636</v>
      </c>
      <c r="U127" s="101">
        <f>IF(U38=0,0,1000000*U38/TrRoad_act!U70)</f>
        <v>9709.9566903165705</v>
      </c>
      <c r="V127" s="101">
        <f>IF(V38=0,0,1000000*V38/TrRoad_act!V70)</f>
        <v>7214.0124483461559</v>
      </c>
      <c r="W127" s="101">
        <f>IF(W38=0,0,1000000*W38/TrRoad_act!W70)</f>
        <v>7604.0760447936673</v>
      </c>
      <c r="X127" s="101">
        <f>IF(X38=0,0,1000000*X38/TrRoad_act!X70)</f>
        <v>8236.9130788042385</v>
      </c>
      <c r="Y127" s="101">
        <f>IF(Y38=0,0,1000000*Y38/TrRoad_act!Y70)</f>
        <v>8310.4278963829202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18769.167232956912</v>
      </c>
      <c r="C128" s="101">
        <f>IF(C39=0,0,1000000*C39/TrRoad_act!C71)</f>
        <v>16846.083412526146</v>
      </c>
      <c r="D128" s="101">
        <f>IF(D39=0,0,1000000*D39/TrRoad_act!D71)</f>
        <v>17659.035311937958</v>
      </c>
      <c r="E128" s="101">
        <f>IF(E39=0,0,1000000*E39/TrRoad_act!E71)</f>
        <v>17611.470355116293</v>
      </c>
      <c r="F128" s="101">
        <f>IF(F39=0,0,1000000*F39/TrRoad_act!F71)</f>
        <v>16642.3348816256</v>
      </c>
      <c r="G128" s="101">
        <f>IF(G39=0,0,1000000*G39/TrRoad_act!G71)</f>
        <v>16632.697820400983</v>
      </c>
      <c r="H128" s="101">
        <f>IF(H39=0,0,1000000*H39/TrRoad_act!H71)</f>
        <v>18582.516296540281</v>
      </c>
      <c r="I128" s="101">
        <f>IF(I39=0,0,1000000*I39/TrRoad_act!I71)</f>
        <v>17889.331245772417</v>
      </c>
      <c r="J128" s="101">
        <f>IF(J39=0,0,1000000*J39/TrRoad_act!J71)</f>
        <v>18678.914662668773</v>
      </c>
      <c r="K128" s="101">
        <f>IF(K39=0,0,1000000*K39/TrRoad_act!K71)</f>
        <v>18605.632797682138</v>
      </c>
      <c r="L128" s="101">
        <f>IF(L39=0,0,1000000*L39/TrRoad_act!L71)</f>
        <v>19939.423606651129</v>
      </c>
      <c r="M128" s="101">
        <f>IF(M39=0,0,1000000*M39/TrRoad_act!M71)</f>
        <v>19031.776544465694</v>
      </c>
      <c r="N128" s="101">
        <f>IF(N39=0,0,1000000*N39/TrRoad_act!N71)</f>
        <v>18411.843595794424</v>
      </c>
      <c r="O128" s="101">
        <f>IF(O39=0,0,1000000*O39/TrRoad_act!O71)</f>
        <v>15806.459847788439</v>
      </c>
      <c r="P128" s="101">
        <f>IF(P39=0,0,1000000*P39/TrRoad_act!P71)</f>
        <v>16144.327147057369</v>
      </c>
      <c r="Q128" s="101">
        <f>IF(Q39=0,0,1000000*Q39/TrRoad_act!Q71)</f>
        <v>16236.618244727932</v>
      </c>
      <c r="R128" s="101">
        <f>IF(R39=0,0,1000000*R39/TrRoad_act!R71)</f>
        <v>17102.748156471858</v>
      </c>
      <c r="S128" s="101">
        <f>IF(S39=0,0,1000000*S39/TrRoad_act!S71)</f>
        <v>17302.090789649832</v>
      </c>
      <c r="T128" s="101">
        <f>IF(T39=0,0,1000000*T39/TrRoad_act!T71)</f>
        <v>16547.995695638554</v>
      </c>
      <c r="U128" s="101">
        <f>IF(U39=0,0,1000000*U39/TrRoad_act!U71)</f>
        <v>15978.427945666646</v>
      </c>
      <c r="V128" s="101">
        <f>IF(V39=0,0,1000000*V39/TrRoad_act!V71)</f>
        <v>14268.211401861792</v>
      </c>
      <c r="W128" s="101">
        <f>IF(W39=0,0,1000000*W39/TrRoad_act!W71)</f>
        <v>15638.033358265928</v>
      </c>
      <c r="X128" s="101">
        <f>IF(X39=0,0,1000000*X39/TrRoad_act!X71)</f>
        <v>15960.016943117638</v>
      </c>
      <c r="Y128" s="101">
        <f>IF(Y39=0,0,1000000*Y39/TrRoad_act!Y71)</f>
        <v>16153.703066062199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13525.743583747402</v>
      </c>
      <c r="C129" s="101">
        <f>IF(C41=0,0,1000000*C41/TrRoad_act!C72)</f>
        <v>12788.469410019319</v>
      </c>
      <c r="D129" s="101">
        <f>IF(D41=0,0,1000000*D41/TrRoad_act!D72)</f>
        <v>12573.694536062823</v>
      </c>
      <c r="E129" s="101">
        <f>IF(E41=0,0,1000000*E41/TrRoad_act!E72)</f>
        <v>12408.600117014752</v>
      </c>
      <c r="F129" s="101">
        <f>IF(F41=0,0,1000000*F41/TrRoad_act!F72)</f>
        <v>12271.11408775541</v>
      </c>
      <c r="G129" s="101">
        <f>IF(G41=0,0,1000000*G41/TrRoad_act!G72)</f>
        <v>12214.315408883669</v>
      </c>
      <c r="H129" s="101">
        <f>IF(H41=0,0,1000000*H41/TrRoad_act!H72)</f>
        <v>12174.302774708915</v>
      </c>
      <c r="I129" s="101">
        <f>IF(I41=0,0,1000000*I41/TrRoad_act!I72)</f>
        <v>12118.151574129181</v>
      </c>
      <c r="J129" s="101">
        <f>IF(J41=0,0,1000000*J41/TrRoad_act!J72)</f>
        <v>12096.860616641909</v>
      </c>
      <c r="K129" s="101">
        <f>IF(K41=0,0,1000000*K41/TrRoad_act!K72)</f>
        <v>12053.956921498317</v>
      </c>
      <c r="L129" s="101">
        <f>IF(L41=0,0,1000000*L41/TrRoad_act!L72)</f>
        <v>12008.096958971844</v>
      </c>
      <c r="M129" s="101">
        <f>IF(M41=0,0,1000000*M41/TrRoad_act!M72)</f>
        <v>12006.859172260556</v>
      </c>
      <c r="N129" s="101">
        <f>IF(N41=0,0,1000000*N41/TrRoad_act!N72)</f>
        <v>11918.899765945072</v>
      </c>
      <c r="O129" s="101">
        <f>IF(O41=0,0,1000000*O41/TrRoad_act!O72)</f>
        <v>11928.615872165699</v>
      </c>
      <c r="P129" s="101">
        <f>IF(P41=0,0,1000000*P41/TrRoad_act!P72)</f>
        <v>11913.623538718941</v>
      </c>
      <c r="Q129" s="101">
        <f>IF(Q41=0,0,1000000*Q41/TrRoad_act!Q72)</f>
        <v>11931.720925238727</v>
      </c>
      <c r="R129" s="101">
        <f>IF(R41=0,0,1000000*R41/TrRoad_act!R72)</f>
        <v>11975.994235758013</v>
      </c>
      <c r="S129" s="101">
        <f>IF(S41=0,0,1000000*S41/TrRoad_act!S72)</f>
        <v>11986.822896909651</v>
      </c>
      <c r="T129" s="101">
        <f>IF(T41=0,0,1000000*T41/TrRoad_act!T72)</f>
        <v>11967.153786257262</v>
      </c>
      <c r="U129" s="101">
        <f>IF(U41=0,0,1000000*U41/TrRoad_act!U72)</f>
        <v>11797.058095875433</v>
      </c>
      <c r="V129" s="101">
        <f>IF(V41=0,0,1000000*V41/TrRoad_act!V72)</f>
        <v>9522.7075242187129</v>
      </c>
      <c r="W129" s="101">
        <f>IF(W41=0,0,1000000*W41/TrRoad_act!W72)</f>
        <v>11264.182913731418</v>
      </c>
      <c r="X129" s="101">
        <f>IF(X41=0,0,1000000*X41/TrRoad_act!X72)</f>
        <v>11011.983431930201</v>
      </c>
      <c r="Y129" s="101">
        <f>IF(Y41=0,0,1000000*Y41/TrRoad_act!Y72)</f>
        <v>10738.446711876044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1192.5880969364546</v>
      </c>
      <c r="C131" s="152">
        <f>IF(C43=0,0,1000000*C43/TrRoad_act!C74)</f>
        <v>1177.5907954200154</v>
      </c>
      <c r="D131" s="152">
        <f>IF(D43=0,0,1000000*D43/TrRoad_act!D74)</f>
        <v>1152.7423598407465</v>
      </c>
      <c r="E131" s="152">
        <f>IF(E43=0,0,1000000*E43/TrRoad_act!E74)</f>
        <v>1108.7742350975541</v>
      </c>
      <c r="F131" s="152">
        <f>IF(F43=0,0,1000000*F43/TrRoad_act!F74)</f>
        <v>1066.8171732203205</v>
      </c>
      <c r="G131" s="152">
        <f>IF(G43=0,0,1000000*G43/TrRoad_act!G74)</f>
        <v>1044.280900178371</v>
      </c>
      <c r="H131" s="152">
        <f>IF(H43=0,0,1000000*H43/TrRoad_act!H74)</f>
        <v>1032.1737451092604</v>
      </c>
      <c r="I131" s="152">
        <f>IF(I43=0,0,1000000*I43/TrRoad_act!I74)</f>
        <v>1016.5554488502494</v>
      </c>
      <c r="J131" s="152">
        <f>IF(J43=0,0,1000000*J43/TrRoad_act!J74)</f>
        <v>977.38774602666297</v>
      </c>
      <c r="K131" s="152">
        <f>IF(K43=0,0,1000000*K43/TrRoad_act!K74)</f>
        <v>996.81044263192837</v>
      </c>
      <c r="L131" s="152">
        <f>IF(L43=0,0,1000000*L43/TrRoad_act!L74)</f>
        <v>1018.7392901702104</v>
      </c>
      <c r="M131" s="152">
        <f>IF(M43=0,0,1000000*M43/TrRoad_act!M74)</f>
        <v>1090.7195972998295</v>
      </c>
      <c r="N131" s="152">
        <f>IF(N43=0,0,1000000*N43/TrRoad_act!N74)</f>
        <v>1102.7668606097418</v>
      </c>
      <c r="O131" s="152">
        <f>IF(O43=0,0,1000000*O43/TrRoad_act!O74)</f>
        <v>1106.1333013020874</v>
      </c>
      <c r="P131" s="152">
        <f>IF(P43=0,0,1000000*P43/TrRoad_act!P74)</f>
        <v>1078.7595674596935</v>
      </c>
      <c r="Q131" s="152">
        <f>IF(Q43=0,0,1000000*Q43/TrRoad_act!Q74)</f>
        <v>1107.7680388821618</v>
      </c>
      <c r="R131" s="152">
        <f>IF(R43=0,0,1000000*R43/TrRoad_act!R74)</f>
        <v>1099.1290268439966</v>
      </c>
      <c r="S131" s="152">
        <f>IF(S43=0,0,1000000*S43/TrRoad_act!S74)</f>
        <v>1128.7712862907752</v>
      </c>
      <c r="T131" s="152">
        <f>IF(T43=0,0,1000000*T43/TrRoad_act!T74)</f>
        <v>1127.2493326189228</v>
      </c>
      <c r="U131" s="152">
        <f>IF(U43=0,0,1000000*U43/TrRoad_act!U74)</f>
        <v>1122.5384684946328</v>
      </c>
      <c r="V131" s="152">
        <f>IF(V43=0,0,1000000*V43/TrRoad_act!V74)</f>
        <v>963.76705529644073</v>
      </c>
      <c r="W131" s="152">
        <f>IF(W43=0,0,1000000*W43/TrRoad_act!W74)</f>
        <v>1136.8411977695855</v>
      </c>
      <c r="X131" s="152">
        <f>IF(X43=0,0,1000000*X43/TrRoad_act!X74)</f>
        <v>1124.018353070308</v>
      </c>
      <c r="Y131" s="152">
        <f>IF(Y43=0,0,1000000*Y43/TrRoad_act!Y74)</f>
        <v>1100.7533655993427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1360.5563989876748</v>
      </c>
      <c r="C132" s="87">
        <f>IF(C44=0,0,1000000*C44/TrRoad_act!C75)</f>
        <v>1380.7197628734716</v>
      </c>
      <c r="D132" s="87">
        <f>IF(D44=0,0,1000000*D44/TrRoad_act!D75)</f>
        <v>1368.9728552867757</v>
      </c>
      <c r="E132" s="87">
        <f>IF(E44=0,0,1000000*E44/TrRoad_act!E75)</f>
        <v>1340.4432260306519</v>
      </c>
      <c r="F132" s="87">
        <f>IF(F44=0,0,1000000*F44/TrRoad_act!F75)</f>
        <v>1312.3170227904141</v>
      </c>
      <c r="G132" s="87">
        <f>IF(G44=0,0,1000000*G44/TrRoad_act!G75)</f>
        <v>1290.9432933063574</v>
      </c>
      <c r="H132" s="87">
        <f>IF(H44=0,0,1000000*H44/TrRoad_act!H75)</f>
        <v>1287.8245189201887</v>
      </c>
      <c r="I132" s="87">
        <f>IF(I44=0,0,1000000*I44/TrRoad_act!I75)</f>
        <v>1258.2282175719611</v>
      </c>
      <c r="J132" s="87">
        <f>IF(J44=0,0,1000000*J44/TrRoad_act!J75)</f>
        <v>1146.9173370996994</v>
      </c>
      <c r="K132" s="87">
        <f>IF(K44=0,0,1000000*K44/TrRoad_act!K75)</f>
        <v>1105.7305433059637</v>
      </c>
      <c r="L132" s="87">
        <f>IF(L44=0,0,1000000*L44/TrRoad_act!L75)</f>
        <v>1075.5815183065552</v>
      </c>
      <c r="M132" s="87">
        <f>IF(M44=0,0,1000000*M44/TrRoad_act!M75)</f>
        <v>1076.7492870754722</v>
      </c>
      <c r="N132" s="87">
        <f>IF(N44=0,0,1000000*N44/TrRoad_act!N75)</f>
        <v>1027.226762740042</v>
      </c>
      <c r="O132" s="87">
        <f>IF(O44=0,0,1000000*O44/TrRoad_act!O75)</f>
        <v>978.57782024905123</v>
      </c>
      <c r="P132" s="87">
        <f>IF(P44=0,0,1000000*P44/TrRoad_act!P75)</f>
        <v>912.68702262997635</v>
      </c>
      <c r="Q132" s="87">
        <f>IF(Q44=0,0,1000000*Q44/TrRoad_act!Q75)</f>
        <v>894.37807809131982</v>
      </c>
      <c r="R132" s="87">
        <f>IF(R44=0,0,1000000*R44/TrRoad_act!R75)</f>
        <v>933.11348643065185</v>
      </c>
      <c r="S132" s="87">
        <f>IF(S44=0,0,1000000*S44/TrRoad_act!S75)</f>
        <v>1010.173209101979</v>
      </c>
      <c r="T132" s="87">
        <f>IF(T44=0,0,1000000*T44/TrRoad_act!T75)</f>
        <v>1049.1605968785275</v>
      </c>
      <c r="U132" s="87">
        <f>IF(U44=0,0,1000000*U44/TrRoad_act!U75)</f>
        <v>1101.1559858434578</v>
      </c>
      <c r="V132" s="87">
        <f>IF(V44=0,0,1000000*V44/TrRoad_act!V75)</f>
        <v>971.73565943142239</v>
      </c>
      <c r="W132" s="87">
        <f>IF(W44=0,0,1000000*W44/TrRoad_act!W75)</f>
        <v>1193.9684288560059</v>
      </c>
      <c r="X132" s="87">
        <f>IF(X44=0,0,1000000*X44/TrRoad_act!X75)</f>
        <v>1247.0438502223224</v>
      </c>
      <c r="Y132" s="87">
        <f>IF(Y44=0,0,1000000*Y44/TrRoad_act!Y75)</f>
        <v>1303.5081335413981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1167.6366353632104</v>
      </c>
      <c r="C133" s="87">
        <f>IF(C46=0,0,1000000*C46/TrRoad_act!C76)</f>
        <v>1153.3107311535973</v>
      </c>
      <c r="D133" s="87">
        <f>IF(D46=0,0,1000000*D46/TrRoad_act!D76)</f>
        <v>1131.7553768969165</v>
      </c>
      <c r="E133" s="87">
        <f>IF(E46=0,0,1000000*E46/TrRoad_act!E76)</f>
        <v>1091.1317684631151</v>
      </c>
      <c r="F133" s="87">
        <f>IF(F46=0,0,1000000*F46/TrRoad_act!F76)</f>
        <v>1052.1199783095847</v>
      </c>
      <c r="G133" s="87">
        <f>IF(G46=0,0,1000000*G46/TrRoad_act!G76)</f>
        <v>1031.9731544655074</v>
      </c>
      <c r="H133" s="87">
        <f>IF(H46=0,0,1000000*H46/TrRoad_act!H76)</f>
        <v>1021.3411365831896</v>
      </c>
      <c r="I133" s="87">
        <f>IF(I46=0,0,1000000*I46/TrRoad_act!I76)</f>
        <v>1007.7976590513443</v>
      </c>
      <c r="J133" s="87">
        <f>IF(J46=0,0,1000000*J46/TrRoad_act!J76)</f>
        <v>971.69413401257657</v>
      </c>
      <c r="K133" s="87">
        <f>IF(K46=0,0,1000000*K46/TrRoad_act!K76)</f>
        <v>993.67449146681986</v>
      </c>
      <c r="L133" s="87">
        <f>IF(L46=0,0,1000000*L46/TrRoad_act!L76)</f>
        <v>1017.0774281031646</v>
      </c>
      <c r="M133" s="87">
        <f>IF(M46=0,0,1000000*M46/TrRoad_act!M76)</f>
        <v>1092.2642389229038</v>
      </c>
      <c r="N133" s="87">
        <f>IF(N46=0,0,1000000*N46/TrRoad_act!N76)</f>
        <v>1107.5129384593163</v>
      </c>
      <c r="O133" s="87">
        <f>IF(O46=0,0,1000000*O46/TrRoad_act!O76)</f>
        <v>1114.5196228438358</v>
      </c>
      <c r="P133" s="87">
        <f>IF(P46=0,0,1000000*P46/TrRoad_act!P76)</f>
        <v>1089.1840475689091</v>
      </c>
      <c r="Q133" s="87">
        <f>IF(Q46=0,0,1000000*Q46/TrRoad_act!Q76)</f>
        <v>1120.3514666077888</v>
      </c>
      <c r="R133" s="87">
        <f>IF(R46=0,0,1000000*R46/TrRoad_act!R76)</f>
        <v>1110.0809853646556</v>
      </c>
      <c r="S133" s="87">
        <f>IF(S46=0,0,1000000*S46/TrRoad_act!S76)</f>
        <v>1137.7941060007788</v>
      </c>
      <c r="T133" s="87">
        <f>IF(T46=0,0,1000000*T46/TrRoad_act!T76)</f>
        <v>1136.8353255816187</v>
      </c>
      <c r="U133" s="87">
        <f>IF(U46=0,0,1000000*U46/TrRoad_act!U76)</f>
        <v>1131.1733544065871</v>
      </c>
      <c r="V133" s="87">
        <f>IF(V46=0,0,1000000*V46/TrRoad_act!V76)</f>
        <v>971.87419364910943</v>
      </c>
      <c r="W133" s="87">
        <f>IF(W46=0,0,1000000*W46/TrRoad_act!W76)</f>
        <v>1146.760207740562</v>
      </c>
      <c r="X133" s="87">
        <f>IF(X46=0,0,1000000*X46/TrRoad_act!X76)</f>
        <v>1133.3082528609141</v>
      </c>
      <c r="Y133" s="87">
        <f>IF(Y46=0,0,1000000*Y46/TrRoad_act!Y76)</f>
        <v>1109.4487094138258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1293.9288710837693</v>
      </c>
      <c r="C134" s="87">
        <f>IF(C48=0,0,1000000*C48/TrRoad_act!C77)</f>
        <v>1283.1950456369602</v>
      </c>
      <c r="D134" s="87">
        <f>IF(D48=0,0,1000000*D48/TrRoad_act!D77)</f>
        <v>1266.3495170029839</v>
      </c>
      <c r="E134" s="87">
        <f>IF(E48=0,0,1000000*E48/TrRoad_act!E77)</f>
        <v>1236.3605738800736</v>
      </c>
      <c r="F134" s="87">
        <f>IF(F48=0,0,1000000*F48/TrRoad_act!F77)</f>
        <v>1208.5043576216963</v>
      </c>
      <c r="G134" s="87">
        <f>IF(G48=0,0,1000000*G48/TrRoad_act!G77)</f>
        <v>1189.6008781950759</v>
      </c>
      <c r="H134" s="87">
        <f>IF(H48=0,0,1000000*H48/TrRoad_act!H77)</f>
        <v>1180.3969820074585</v>
      </c>
      <c r="I134" s="87">
        <f>IF(I48=0,0,1000000*I48/TrRoad_act!I77)</f>
        <v>1153.4602297088625</v>
      </c>
      <c r="J134" s="87">
        <f>IF(J48=0,0,1000000*J48/TrRoad_act!J77)</f>
        <v>1093.6968107839057</v>
      </c>
      <c r="K134" s="87">
        <f>IF(K48=0,0,1000000*K48/TrRoad_act!K77)</f>
        <v>1094.8686025754153</v>
      </c>
      <c r="L134" s="87">
        <f>IF(L48=0,0,1000000*L48/TrRoad_act!L77)</f>
        <v>1118.6992147298192</v>
      </c>
      <c r="M134" s="87">
        <f>IF(M48=0,0,1000000*M48/TrRoad_act!M77)</f>
        <v>1177.9732973758641</v>
      </c>
      <c r="N134" s="87">
        <f>IF(N48=0,0,1000000*N48/TrRoad_act!N77)</f>
        <v>1183.1813511664809</v>
      </c>
      <c r="O134" s="87">
        <f>IF(O48=0,0,1000000*O48/TrRoad_act!O77)</f>
        <v>1193.817781683229</v>
      </c>
      <c r="P134" s="87">
        <f>IF(P48=0,0,1000000*P48/TrRoad_act!P77)</f>
        <v>1165.525493119068</v>
      </c>
      <c r="Q134" s="87">
        <f>IF(Q48=0,0,1000000*Q48/TrRoad_act!Q77)</f>
        <v>1197.0182220457677</v>
      </c>
      <c r="R134" s="87">
        <f>IF(R48=0,0,1000000*R48/TrRoad_act!R77)</f>
        <v>1210.7619493393602</v>
      </c>
      <c r="S134" s="87">
        <f>IF(S48=0,0,1000000*S48/TrRoad_act!S77)</f>
        <v>1273.6498450810598</v>
      </c>
      <c r="T134" s="87">
        <f>IF(T48=0,0,1000000*T48/TrRoad_act!T77)</f>
        <v>1284.761427952214</v>
      </c>
      <c r="U134" s="87">
        <f>IF(U48=0,0,1000000*U48/TrRoad_act!U77)</f>
        <v>1315.8422659476132</v>
      </c>
      <c r="V134" s="87">
        <f>IF(V48=0,0,1000000*V48/TrRoad_act!V77)</f>
        <v>991.14731358763959</v>
      </c>
      <c r="W134" s="87">
        <f>IF(W48=0,0,1000000*W48/TrRoad_act!W77)</f>
        <v>1173.5951845487764</v>
      </c>
      <c r="X134" s="87">
        <f>IF(X48=0,0,1000000*X48/TrRoad_act!X77)</f>
        <v>1181.910488471505</v>
      </c>
      <c r="Y134" s="87">
        <f>IF(Y48=0,0,1000000*Y48/TrRoad_act!Y77)</f>
        <v>1193.6397759586744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1086.0269264465715</v>
      </c>
      <c r="C135" s="87">
        <f>IF(C49=0,0,1000000*C49/TrRoad_act!C78)</f>
        <v>1121.1700515766825</v>
      </c>
      <c r="D135" s="87">
        <f>IF(D49=0,0,1000000*D49/TrRoad_act!D78)</f>
        <v>1114.6899239813861</v>
      </c>
      <c r="E135" s="87">
        <f>IF(E49=0,0,1000000*E49/TrRoad_act!E78)</f>
        <v>1074.7563869224439</v>
      </c>
      <c r="F135" s="87">
        <f>IF(F49=0,0,1000000*F49/TrRoad_act!F78)</f>
        <v>1058.2483250681271</v>
      </c>
      <c r="G135" s="87">
        <f>IF(G49=0,0,1000000*G49/TrRoad_act!G78)</f>
        <v>1047.8881960861097</v>
      </c>
      <c r="H135" s="87">
        <f>IF(H49=0,0,1000000*H49/TrRoad_act!H78)</f>
        <v>1023.6243258310444</v>
      </c>
      <c r="I135" s="87">
        <f>IF(I49=0,0,1000000*I49/TrRoad_act!I78)</f>
        <v>1010.2132485813906</v>
      </c>
      <c r="J135" s="87">
        <f>IF(J49=0,0,1000000*J49/TrRoad_act!J78)</f>
        <v>956.40702476035801</v>
      </c>
      <c r="K135" s="87">
        <f>IF(K49=0,0,1000000*K49/TrRoad_act!K78)</f>
        <v>933.20453127077815</v>
      </c>
      <c r="L135" s="87">
        <f>IF(L49=0,0,1000000*L49/TrRoad_act!L78)</f>
        <v>915.22608568514011</v>
      </c>
      <c r="M135" s="87">
        <f>IF(M49=0,0,1000000*M49/TrRoad_act!M78)</f>
        <v>934.79838343547692</v>
      </c>
      <c r="N135" s="87">
        <f>IF(N49=0,0,1000000*N49/TrRoad_act!N78)</f>
        <v>912.14191592160148</v>
      </c>
      <c r="O135" s="87">
        <f>IF(O49=0,0,1000000*O49/TrRoad_act!O78)</f>
        <v>888.4778028103874</v>
      </c>
      <c r="P135" s="87">
        <f>IF(P49=0,0,1000000*P49/TrRoad_act!P78)</f>
        <v>852.01026540038777</v>
      </c>
      <c r="Q135" s="87">
        <f>IF(Q49=0,0,1000000*Q49/TrRoad_act!Q78)</f>
        <v>871.06495880867078</v>
      </c>
      <c r="R135" s="87">
        <f>IF(R49=0,0,1000000*R49/TrRoad_act!R78)</f>
        <v>901.44317901540933</v>
      </c>
      <c r="S135" s="87">
        <f>IF(S49=0,0,1000000*S49/TrRoad_act!S78)</f>
        <v>977.45494510001731</v>
      </c>
      <c r="T135" s="87">
        <f>IF(T49=0,0,1000000*T49/TrRoad_act!T78)</f>
        <v>1051.450925252178</v>
      </c>
      <c r="U135" s="87">
        <f>IF(U49=0,0,1000000*U49/TrRoad_act!U78)</f>
        <v>1083.6781890403747</v>
      </c>
      <c r="V135" s="87">
        <f>IF(V49=0,0,1000000*V49/TrRoad_act!V78)</f>
        <v>906.86667434680908</v>
      </c>
      <c r="W135" s="87">
        <f>IF(W49=0,0,1000000*W49/TrRoad_act!W78)</f>
        <v>1089.3657580184538</v>
      </c>
      <c r="X135" s="87">
        <f>IF(X49=0,0,1000000*X49/TrRoad_act!X78)</f>
        <v>1087.2986387728845</v>
      </c>
      <c r="Y135" s="87">
        <f>IF(Y49=0,0,1000000*Y49/TrRoad_act!Y78)</f>
        <v>1086.2695499933973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111.95536033498935</v>
      </c>
      <c r="C136" s="87">
        <f>IF(C51=0,0,1000000*C51/TrRoad_act!C79)</f>
        <v>106.30774157447279</v>
      </c>
      <c r="D136" s="87">
        <f>IF(D51=0,0,1000000*D51/TrRoad_act!D79)</f>
        <v>105.48838653182001</v>
      </c>
      <c r="E136" s="87">
        <f>IF(E51=0,0,1000000*E51/TrRoad_act!E79)</f>
        <v>104.99328432278411</v>
      </c>
      <c r="F136" s="87">
        <f>IF(F51=0,0,1000000*F51/TrRoad_act!F79)</f>
        <v>104.12564227211281</v>
      </c>
      <c r="G136" s="87">
        <f>IF(G51=0,0,1000000*G51/TrRoad_act!G79)</f>
        <v>103.35351587544521</v>
      </c>
      <c r="H136" s="87">
        <f>IF(H51=0,0,1000000*H51/TrRoad_act!H79)</f>
        <v>102.65439886749435</v>
      </c>
      <c r="I136" s="87">
        <f>IF(I51=0,0,1000000*I51/TrRoad_act!I79)</f>
        <v>101.79901184869711</v>
      </c>
      <c r="J136" s="87">
        <f>IF(J51=0,0,1000000*J51/TrRoad_act!J79)</f>
        <v>100.40161009838862</v>
      </c>
      <c r="K136" s="87">
        <f>IF(K51=0,0,1000000*K51/TrRoad_act!K79)</f>
        <v>99.710846438222617</v>
      </c>
      <c r="L136" s="87">
        <f>IF(L51=0,0,1000000*L51/TrRoad_act!L79)</f>
        <v>97.755646189060087</v>
      </c>
      <c r="M136" s="87">
        <f>IF(M51=0,0,1000000*M51/TrRoad_act!M79)</f>
        <v>98.014530759544613</v>
      </c>
      <c r="N136" s="87">
        <f>IF(N51=0,0,1000000*N51/TrRoad_act!N79)</f>
        <v>98.053361373467951</v>
      </c>
      <c r="O136" s="87">
        <f>IF(O51=0,0,1000000*O51/TrRoad_act!O79)</f>
        <v>99.377019459176964</v>
      </c>
      <c r="P136" s="87">
        <f>IF(P51=0,0,1000000*P51/TrRoad_act!P79)</f>
        <v>99.700958939727016</v>
      </c>
      <c r="Q136" s="87">
        <f>IF(Q51=0,0,1000000*Q51/TrRoad_act!Q79)</f>
        <v>102.64692695854282</v>
      </c>
      <c r="R136" s="87">
        <f>IF(R51=0,0,1000000*R51/TrRoad_act!R79)</f>
        <v>104.47297348496122</v>
      </c>
      <c r="S136" s="87">
        <f>IF(S51=0,0,1000000*S51/TrRoad_act!S79)</f>
        <v>106.65790184784264</v>
      </c>
      <c r="T136" s="87">
        <f>IF(T51=0,0,1000000*T51/TrRoad_act!T79)</f>
        <v>110.4902630226665</v>
      </c>
      <c r="U136" s="87">
        <f>IF(U51=0,0,1000000*U51/TrRoad_act!U79)</f>
        <v>113.64482704259322</v>
      </c>
      <c r="V136" s="87">
        <f>IF(V51=0,0,1000000*V51/TrRoad_act!V79)</f>
        <v>106.70705008076246</v>
      </c>
      <c r="W136" s="87">
        <f>IF(W51=0,0,1000000*W51/TrRoad_act!W79)</f>
        <v>128.09255686549525</v>
      </c>
      <c r="X136" s="87">
        <f>IF(X51=0,0,1000000*X51/TrRoad_act!X79)</f>
        <v>136.05022188483653</v>
      </c>
      <c r="Y136" s="87">
        <f>IF(Y51=0,0,1000000*Y51/TrRoad_act!Y79)</f>
        <v>143.63848745306279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15650.786076799437</v>
      </c>
      <c r="C137" s="116">
        <f>IF(C52=0,0,1000000*C52/TrRoad_act!C80)</f>
        <v>15340.791945325862</v>
      </c>
      <c r="D137" s="116">
        <f>IF(D52=0,0,1000000*D52/TrRoad_act!D80)</f>
        <v>14981.757589829313</v>
      </c>
      <c r="E137" s="116">
        <f>IF(E52=0,0,1000000*E52/TrRoad_act!E80)</f>
        <v>14529.987940108906</v>
      </c>
      <c r="F137" s="116">
        <f>IF(F52=0,0,1000000*F52/TrRoad_act!F80)</f>
        <v>15133.802749820723</v>
      </c>
      <c r="G137" s="116">
        <f>IF(G52=0,0,1000000*G52/TrRoad_act!G80)</f>
        <v>14881.335435722211</v>
      </c>
      <c r="H137" s="116">
        <f>IF(H52=0,0,1000000*H52/TrRoad_act!H80)</f>
        <v>14720.005907790759</v>
      </c>
      <c r="I137" s="116">
        <f>IF(I52=0,0,1000000*I52/TrRoad_act!I80)</f>
        <v>14729.656390622658</v>
      </c>
      <c r="J137" s="116">
        <f>IF(J52=0,0,1000000*J52/TrRoad_act!J80)</f>
        <v>13679.720589021139</v>
      </c>
      <c r="K137" s="116">
        <f>IF(K52=0,0,1000000*K52/TrRoad_act!K80)</f>
        <v>12132.516641567876</v>
      </c>
      <c r="L137" s="116">
        <f>IF(L52=0,0,1000000*L52/TrRoad_act!L80)</f>
        <v>12073.705732927663</v>
      </c>
      <c r="M137" s="116">
        <f>IF(M52=0,0,1000000*M52/TrRoad_act!M80)</f>
        <v>12415.425229429791</v>
      </c>
      <c r="N137" s="116">
        <f>IF(N52=0,0,1000000*N52/TrRoad_act!N80)</f>
        <v>11932.891974928372</v>
      </c>
      <c r="O137" s="116">
        <f>IF(O52=0,0,1000000*O52/TrRoad_act!O80)</f>
        <v>12134.263241805631</v>
      </c>
      <c r="P137" s="116">
        <f>IF(P52=0,0,1000000*P52/TrRoad_act!P80)</f>
        <v>11989.647819580028</v>
      </c>
      <c r="Q137" s="116">
        <f>IF(Q52=0,0,1000000*Q52/TrRoad_act!Q80)</f>
        <v>11846.941311563001</v>
      </c>
      <c r="R137" s="116">
        <f>IF(R52=0,0,1000000*R52/TrRoad_act!R80)</f>
        <v>12307.480174259654</v>
      </c>
      <c r="S137" s="116">
        <f>IF(S52=0,0,1000000*S52/TrRoad_act!S80)</f>
        <v>12548.320164876575</v>
      </c>
      <c r="T137" s="116">
        <f>IF(T52=0,0,1000000*T52/TrRoad_act!T80)</f>
        <v>12184.542992126657</v>
      </c>
      <c r="U137" s="116">
        <f>IF(U52=0,0,1000000*U52/TrRoad_act!U80)</f>
        <v>12116.191164444524</v>
      </c>
      <c r="V137" s="116">
        <f>IF(V52=0,0,1000000*V52/TrRoad_act!V80)</f>
        <v>11771.304059715911</v>
      </c>
      <c r="W137" s="116">
        <f>IF(W52=0,0,1000000*W52/TrRoad_act!W80)</f>
        <v>12269.866528265016</v>
      </c>
      <c r="X137" s="116">
        <f>IF(X52=0,0,1000000*X52/TrRoad_act!X80)</f>
        <v>11937.870847063952</v>
      </c>
      <c r="Y137" s="116">
        <f>IF(Y52=0,0,1000000*Y52/TrRoad_act!Y80)</f>
        <v>11325.715101350192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12248.491963868062</v>
      </c>
      <c r="C138" s="101">
        <f>IF(C53=0,0,1000000*C53/TrRoad_act!C81)</f>
        <v>11954.526800489917</v>
      </c>
      <c r="D138" s="101">
        <f>IF(D53=0,0,1000000*D53/TrRoad_act!D81)</f>
        <v>11561.617923777949</v>
      </c>
      <c r="E138" s="101">
        <f>IF(E53=0,0,1000000*E53/TrRoad_act!E81)</f>
        <v>11191.919004003013</v>
      </c>
      <c r="F138" s="101">
        <f>IF(F53=0,0,1000000*F53/TrRoad_act!F81)</f>
        <v>11580.174103787791</v>
      </c>
      <c r="G138" s="101">
        <f>IF(G53=0,0,1000000*G53/TrRoad_act!G81)</f>
        <v>11277.72267953403</v>
      </c>
      <c r="H138" s="101">
        <f>IF(H53=0,0,1000000*H53/TrRoad_act!H81)</f>
        <v>11126.976298593059</v>
      </c>
      <c r="I138" s="101">
        <f>IF(I53=0,0,1000000*I53/TrRoad_act!I81)</f>
        <v>11206.396388331132</v>
      </c>
      <c r="J138" s="101">
        <f>IF(J53=0,0,1000000*J53/TrRoad_act!J81)</f>
        <v>10111.273994935955</v>
      </c>
      <c r="K138" s="101">
        <f>IF(K53=0,0,1000000*K53/TrRoad_act!K81)</f>
        <v>8651.2527614713144</v>
      </c>
      <c r="L138" s="101">
        <f>IF(L53=0,0,1000000*L53/TrRoad_act!L81)</f>
        <v>8723.8069845960945</v>
      </c>
      <c r="M138" s="101">
        <f>IF(M53=0,0,1000000*M53/TrRoad_act!M81)</f>
        <v>9158.2581086375358</v>
      </c>
      <c r="N138" s="101">
        <f>IF(N53=0,0,1000000*N53/TrRoad_act!N81)</f>
        <v>8595.9297351875612</v>
      </c>
      <c r="O138" s="101">
        <f>IF(O53=0,0,1000000*O53/TrRoad_act!O81)</f>
        <v>8637.9341481181091</v>
      </c>
      <c r="P138" s="101">
        <f>IF(P53=0,0,1000000*P53/TrRoad_act!P81)</f>
        <v>8461.0292125585511</v>
      </c>
      <c r="Q138" s="101">
        <f>IF(Q53=0,0,1000000*Q53/TrRoad_act!Q81)</f>
        <v>8120.8518492069988</v>
      </c>
      <c r="R138" s="101">
        <f>IF(R53=0,0,1000000*R53/TrRoad_act!R81)</f>
        <v>8486.6046632761099</v>
      </c>
      <c r="S138" s="101">
        <f>IF(S53=0,0,1000000*S53/TrRoad_act!S81)</f>
        <v>8559.7809974649899</v>
      </c>
      <c r="T138" s="101">
        <f>IF(T53=0,0,1000000*T53/TrRoad_act!T81)</f>
        <v>8191.469257463089</v>
      </c>
      <c r="U138" s="101">
        <f>IF(U53=0,0,1000000*U53/TrRoad_act!U81)</f>
        <v>8072.9282983844896</v>
      </c>
      <c r="V138" s="101">
        <f>IF(V53=0,0,1000000*V53/TrRoad_act!V81)</f>
        <v>7742.4136612327038</v>
      </c>
      <c r="W138" s="101">
        <f>IF(W53=0,0,1000000*W53/TrRoad_act!W81)</f>
        <v>7935.6637677898225</v>
      </c>
      <c r="X138" s="101">
        <f>IF(X53=0,0,1000000*X53/TrRoad_act!X81)</f>
        <v>7643.9112842026652</v>
      </c>
      <c r="Y138" s="101">
        <f>IF(Y53=0,0,1000000*Y53/TrRoad_act!Y81)</f>
        <v>7288.5290196689266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37608.367418099988</v>
      </c>
      <c r="C139" s="88">
        <f>IF(C55=0,0,1000000*C55/TrRoad_act!C82)</f>
        <v>36359.878716394363</v>
      </c>
      <c r="D139" s="88">
        <f>IF(D55=0,0,1000000*D55/TrRoad_act!D82)</f>
        <v>35635.387444385022</v>
      </c>
      <c r="E139" s="88">
        <f>IF(E55=0,0,1000000*E55/TrRoad_act!E82)</f>
        <v>34617.50921907775</v>
      </c>
      <c r="F139" s="88">
        <f>IF(F55=0,0,1000000*F55/TrRoad_act!F82)</f>
        <v>33377.264492434668</v>
      </c>
      <c r="G139" s="88">
        <f>IF(G55=0,0,1000000*G55/TrRoad_act!G82)</f>
        <v>33044.93838581664</v>
      </c>
      <c r="H139" s="88">
        <f>IF(H55=0,0,1000000*H55/TrRoad_act!H82)</f>
        <v>32634.376862215511</v>
      </c>
      <c r="I139" s="88">
        <f>IF(I55=0,0,1000000*I55/TrRoad_act!I82)</f>
        <v>32253.8673216719</v>
      </c>
      <c r="J139" s="88">
        <f>IF(J55=0,0,1000000*J55/TrRoad_act!J82)</f>
        <v>32411.355446750051</v>
      </c>
      <c r="K139" s="88">
        <f>IF(K55=0,0,1000000*K55/TrRoad_act!K82)</f>
        <v>33024.634919584394</v>
      </c>
      <c r="L139" s="88">
        <f>IF(L55=0,0,1000000*L55/TrRoad_act!L82)</f>
        <v>32673.25115002548</v>
      </c>
      <c r="M139" s="88">
        <f>IF(M55=0,0,1000000*M55/TrRoad_act!M82)</f>
        <v>33316.734677987355</v>
      </c>
      <c r="N139" s="88">
        <f>IF(N55=0,0,1000000*N55/TrRoad_act!N82)</f>
        <v>33417.584737318612</v>
      </c>
      <c r="O139" s="88">
        <f>IF(O55=0,0,1000000*O55/TrRoad_act!O82)</f>
        <v>33145.842174478959</v>
      </c>
      <c r="P139" s="88">
        <f>IF(P55=0,0,1000000*P55/TrRoad_act!P82)</f>
        <v>33123.145628056402</v>
      </c>
      <c r="Q139" s="88">
        <f>IF(Q55=0,0,1000000*Q55/TrRoad_act!Q82)</f>
        <v>33331.125294517646</v>
      </c>
      <c r="R139" s="88">
        <f>IF(R55=0,0,1000000*R55/TrRoad_act!R82)</f>
        <v>33064.141053914631</v>
      </c>
      <c r="S139" s="88">
        <f>IF(S55=0,0,1000000*S55/TrRoad_act!S82)</f>
        <v>32986.515979948155</v>
      </c>
      <c r="T139" s="88">
        <f>IF(T55=0,0,1000000*T55/TrRoad_act!T82)</f>
        <v>33100.699726760329</v>
      </c>
      <c r="U139" s="88">
        <f>IF(U55=0,0,1000000*U55/TrRoad_act!U82)</f>
        <v>32626.228412341334</v>
      </c>
      <c r="V139" s="88">
        <f>IF(V55=0,0,1000000*V55/TrRoad_act!V82)</f>
        <v>32692.165727346928</v>
      </c>
      <c r="W139" s="88">
        <f>IF(W55=0,0,1000000*W55/TrRoad_act!W82)</f>
        <v>33383.236842997154</v>
      </c>
      <c r="X139" s="88">
        <f>IF(X55=0,0,1000000*X55/TrRoad_act!X82)</f>
        <v>32941.484766090885</v>
      </c>
      <c r="Y139" s="88">
        <f>IF(Y55=0,0,1000000*Y55/TrRoad_act!Y82)</f>
        <v>31606.047448144865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0.64306120541246603</v>
      </c>
      <c r="C142" s="46">
        <f t="shared" si="42"/>
        <v>0.64668054385098517</v>
      </c>
      <c r="D142" s="46">
        <f t="shared" si="42"/>
        <v>0.64867155491186146</v>
      </c>
      <c r="E142" s="46">
        <f t="shared" si="42"/>
        <v>0.6493201074828765</v>
      </c>
      <c r="F142" s="46">
        <f t="shared" si="42"/>
        <v>0.64000401553703989</v>
      </c>
      <c r="G142" s="46">
        <f t="shared" si="42"/>
        <v>0.63824361651460626</v>
      </c>
      <c r="H142" s="46">
        <f t="shared" si="42"/>
        <v>0.63944830165973754</v>
      </c>
      <c r="I142" s="46">
        <f t="shared" si="42"/>
        <v>0.64026701121090002</v>
      </c>
      <c r="J142" s="46">
        <f t="shared" si="42"/>
        <v>0.64659688399836945</v>
      </c>
      <c r="K142" s="46">
        <f t="shared" si="42"/>
        <v>0.66411253050393859</v>
      </c>
      <c r="L142" s="46">
        <f t="shared" ref="L142" si="43">IF(L18=0,0,L18/L$17)</f>
        <v>0.65512758359561007</v>
      </c>
      <c r="M142" s="46">
        <f t="shared" ref="M142:V142" si="44">IF(M18=0,0,M18/M$17)</f>
        <v>0.65878387886927214</v>
      </c>
      <c r="N142" s="46">
        <f t="shared" si="44"/>
        <v>0.66368945522742639</v>
      </c>
      <c r="O142" s="46">
        <f t="shared" si="44"/>
        <v>0.66013799033004095</v>
      </c>
      <c r="P142" s="46">
        <f t="shared" si="44"/>
        <v>0.66452184191890629</v>
      </c>
      <c r="Q142" s="46">
        <f t="shared" si="44"/>
        <v>0.66792038675200283</v>
      </c>
      <c r="R142" s="46">
        <f t="shared" si="44"/>
        <v>0.66566061311980074</v>
      </c>
      <c r="S142" s="46">
        <f t="shared" si="44"/>
        <v>0.6590765211198103</v>
      </c>
      <c r="T142" s="46">
        <f t="shared" si="44"/>
        <v>0.65699262726199104</v>
      </c>
      <c r="U142" s="46">
        <f t="shared" si="44"/>
        <v>0.65391328292876882</v>
      </c>
      <c r="V142" s="46">
        <f t="shared" si="44"/>
        <v>0.62761482753341569</v>
      </c>
      <c r="W142" s="46">
        <f t="shared" ref="W142:Y142" si="45">IF(W18=0,0,W18/W$17)</f>
        <v>0.63440591151949288</v>
      </c>
      <c r="X142" s="46">
        <f t="shared" si="45"/>
        <v>0.65083683221869459</v>
      </c>
      <c r="Y142" s="46">
        <f t="shared" si="45"/>
        <v>0.65492488275741056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8.4446422549583518E-3</v>
      </c>
      <c r="C143" s="154">
        <f t="shared" si="46"/>
        <v>9.0730803850848953E-3</v>
      </c>
      <c r="D143" s="154">
        <f t="shared" si="46"/>
        <v>1.0045320643994302E-2</v>
      </c>
      <c r="E143" s="154">
        <f t="shared" si="46"/>
        <v>1.0218037761989309E-2</v>
      </c>
      <c r="F143" s="154">
        <f t="shared" si="46"/>
        <v>1.0836190584817438E-2</v>
      </c>
      <c r="G143" s="154">
        <f t="shared" si="46"/>
        <v>1.1188957984852763E-2</v>
      </c>
      <c r="H143" s="154">
        <f t="shared" si="46"/>
        <v>1.1117243878848325E-2</v>
      </c>
      <c r="I143" s="154">
        <f t="shared" si="46"/>
        <v>1.1390940157705793E-2</v>
      </c>
      <c r="J143" s="154">
        <f t="shared" si="46"/>
        <v>1.2311807640568719E-2</v>
      </c>
      <c r="K143" s="154">
        <f t="shared" si="46"/>
        <v>1.2783502673238582E-2</v>
      </c>
      <c r="L143" s="154">
        <f t="shared" ref="L143" si="47">IF(L19=0,0,L19/L$17)</f>
        <v>1.2678317331762922E-2</v>
      </c>
      <c r="M143" s="154">
        <f t="shared" ref="M143:V143" si="48">IF(M19=0,0,M19/M$17)</f>
        <v>1.2023374788546133E-2</v>
      </c>
      <c r="N143" s="154">
        <f t="shared" si="48"/>
        <v>1.2197722037162387E-2</v>
      </c>
      <c r="O143" s="154">
        <f t="shared" si="48"/>
        <v>1.2384925849559667E-2</v>
      </c>
      <c r="P143" s="154">
        <f t="shared" si="48"/>
        <v>1.2614866919421536E-2</v>
      </c>
      <c r="Q143" s="154">
        <f t="shared" si="48"/>
        <v>1.2517082530966072E-2</v>
      </c>
      <c r="R143" s="154">
        <f t="shared" si="48"/>
        <v>1.151262552445366E-2</v>
      </c>
      <c r="S143" s="154">
        <f t="shared" si="48"/>
        <v>1.0889485673203848E-2</v>
      </c>
      <c r="T143" s="154">
        <f t="shared" si="48"/>
        <v>1.0998978281046658E-2</v>
      </c>
      <c r="U143" s="154">
        <f t="shared" si="48"/>
        <v>1.1314431478449309E-2</v>
      </c>
      <c r="V143" s="154">
        <f t="shared" si="48"/>
        <v>1.1202880626533331E-2</v>
      </c>
      <c r="W143" s="154">
        <f t="shared" ref="W143:Y143" si="49">IF(W19=0,0,W19/W$17)</f>
        <v>1.0384402004738209E-2</v>
      </c>
      <c r="X143" s="154">
        <f t="shared" si="49"/>
        <v>1.0796127225016066E-2</v>
      </c>
      <c r="Y143" s="154">
        <f t="shared" si="49"/>
        <v>1.1564554170492984E-2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0.59485448442414068</v>
      </c>
      <c r="C144" s="156">
        <f t="shared" si="50"/>
        <v>0.59932358911732952</v>
      </c>
      <c r="D144" s="156">
        <f t="shared" si="50"/>
        <v>0.60035356788312921</v>
      </c>
      <c r="E144" s="156">
        <f t="shared" si="50"/>
        <v>0.59990152929298723</v>
      </c>
      <c r="F144" s="156">
        <f t="shared" si="50"/>
        <v>0.589511637433768</v>
      </c>
      <c r="G144" s="156">
        <f t="shared" si="50"/>
        <v>0.58690787714207437</v>
      </c>
      <c r="H144" s="156">
        <f t="shared" si="50"/>
        <v>0.58666760354797709</v>
      </c>
      <c r="I144" s="156">
        <f t="shared" si="50"/>
        <v>0.58662860680623707</v>
      </c>
      <c r="J144" s="156">
        <f t="shared" si="50"/>
        <v>0.59099513541558135</v>
      </c>
      <c r="K144" s="156">
        <f t="shared" si="50"/>
        <v>0.60951760635403518</v>
      </c>
      <c r="L144" s="156">
        <f t="shared" ref="L144" si="51">IF(L21=0,0,L21/L$17)</f>
        <v>0.60194107516231565</v>
      </c>
      <c r="M144" s="156">
        <f t="shared" ref="M144:V144" si="52">IF(M21=0,0,M21/M$17)</f>
        <v>0.60828317084970318</v>
      </c>
      <c r="N144" s="156">
        <f t="shared" si="52"/>
        <v>0.61280062872344632</v>
      </c>
      <c r="O144" s="156">
        <f t="shared" si="52"/>
        <v>0.61173071605671903</v>
      </c>
      <c r="P144" s="156">
        <f t="shared" si="52"/>
        <v>0.61552449660908315</v>
      </c>
      <c r="Q144" s="156">
        <f t="shared" si="52"/>
        <v>0.61876904572894575</v>
      </c>
      <c r="R144" s="156">
        <f t="shared" si="52"/>
        <v>0.61671375504412762</v>
      </c>
      <c r="S144" s="156">
        <f t="shared" si="52"/>
        <v>0.61185361349147149</v>
      </c>
      <c r="T144" s="156">
        <f t="shared" si="52"/>
        <v>0.60863672905691557</v>
      </c>
      <c r="U144" s="156">
        <f t="shared" si="52"/>
        <v>0.60475905783017792</v>
      </c>
      <c r="V144" s="156">
        <f t="shared" si="52"/>
        <v>0.58279753947999946</v>
      </c>
      <c r="W144" s="156">
        <f t="shared" ref="W144:Y144" si="53">IF(W21=0,0,W21/W$17)</f>
        <v>0.58917785018150937</v>
      </c>
      <c r="X144" s="156">
        <f t="shared" si="53"/>
        <v>0.60360874791152574</v>
      </c>
      <c r="Y144" s="156">
        <f t="shared" si="53"/>
        <v>0.6062291906967594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0.30229936320202389</v>
      </c>
      <c r="C145" s="103">
        <f t="shared" si="54"/>
        <v>0.29156011270650034</v>
      </c>
      <c r="D145" s="103">
        <f t="shared" si="54"/>
        <v>0.28243190034183663</v>
      </c>
      <c r="E145" s="103">
        <f t="shared" si="54"/>
        <v>0.26935749033657613</v>
      </c>
      <c r="F145" s="103">
        <f t="shared" si="54"/>
        <v>0.25571873884775309</v>
      </c>
      <c r="G145" s="103">
        <f t="shared" si="54"/>
        <v>0.24304737802891385</v>
      </c>
      <c r="H145" s="103">
        <f t="shared" si="54"/>
        <v>0.22677593167612312</v>
      </c>
      <c r="I145" s="103">
        <f t="shared" si="54"/>
        <v>0.21099514845089343</v>
      </c>
      <c r="J145" s="103">
        <f t="shared" si="54"/>
        <v>0.19522659099837875</v>
      </c>
      <c r="K145" s="103">
        <f t="shared" si="54"/>
        <v>0.18795427515082996</v>
      </c>
      <c r="L145" s="103">
        <f t="shared" ref="L145" si="55">IF(L22=0,0,L22/L$17)</f>
        <v>0.17147415556208626</v>
      </c>
      <c r="M145" s="103">
        <f t="shared" ref="M145:V145" si="56">IF(M22=0,0,M22/M$17)</f>
        <v>0.166486154683852</v>
      </c>
      <c r="N145" s="103">
        <f t="shared" si="56"/>
        <v>0.15524944302332172</v>
      </c>
      <c r="O145" s="103">
        <f t="shared" si="56"/>
        <v>0.1493851640956842</v>
      </c>
      <c r="P145" s="103">
        <f t="shared" si="56"/>
        <v>0.14925779321583862</v>
      </c>
      <c r="Q145" s="103">
        <f t="shared" si="56"/>
        <v>0.15048662553669842</v>
      </c>
      <c r="R145" s="103">
        <f t="shared" si="56"/>
        <v>0.15574215868171259</v>
      </c>
      <c r="S145" s="103">
        <f t="shared" si="56"/>
        <v>0.16152343744455364</v>
      </c>
      <c r="T145" s="103">
        <f t="shared" si="56"/>
        <v>0.17130444705272679</v>
      </c>
      <c r="U145" s="103">
        <f t="shared" si="56"/>
        <v>0.18572977267990384</v>
      </c>
      <c r="V145" s="103">
        <f t="shared" si="56"/>
        <v>0.18832487749788721</v>
      </c>
      <c r="W145" s="103">
        <f t="shared" ref="W145:Y145" si="57">IF(W22=0,0,W22/W$17)</f>
        <v>0.20125053261254625</v>
      </c>
      <c r="X145" s="103">
        <f t="shared" si="57"/>
        <v>0.21621821535438918</v>
      </c>
      <c r="Y145" s="103">
        <f t="shared" si="57"/>
        <v>0.23299265107138006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0.28747403645824893</v>
      </c>
      <c r="C146" s="103">
        <f t="shared" si="58"/>
        <v>0.30299055372723743</v>
      </c>
      <c r="D146" s="103">
        <f t="shared" si="58"/>
        <v>0.31373966585440988</v>
      </c>
      <c r="E146" s="103">
        <f t="shared" si="58"/>
        <v>0.32698791444105518</v>
      </c>
      <c r="F146" s="103">
        <f t="shared" si="58"/>
        <v>0.33063640192840432</v>
      </c>
      <c r="G146" s="103">
        <f t="shared" si="58"/>
        <v>0.34099938476204822</v>
      </c>
      <c r="H146" s="103">
        <f t="shared" si="58"/>
        <v>0.35731685286536502</v>
      </c>
      <c r="I146" s="103">
        <f t="shared" si="58"/>
        <v>0.37322025029183264</v>
      </c>
      <c r="J146" s="103">
        <f t="shared" si="58"/>
        <v>0.39338837730667137</v>
      </c>
      <c r="K146" s="103">
        <f t="shared" si="58"/>
        <v>0.41950525462010813</v>
      </c>
      <c r="L146" s="103">
        <f t="shared" ref="L146" si="59">IF(L24=0,0,L24/L$17)</f>
        <v>0.42797363828889323</v>
      </c>
      <c r="M146" s="103">
        <f t="shared" ref="M146:V146" si="60">IF(M24=0,0,M24/M$17)</f>
        <v>0.43911668624676364</v>
      </c>
      <c r="N146" s="103">
        <f t="shared" si="60"/>
        <v>0.45508878685764281</v>
      </c>
      <c r="O146" s="103">
        <f t="shared" si="60"/>
        <v>0.46015729915128889</v>
      </c>
      <c r="P146" s="103">
        <f t="shared" si="60"/>
        <v>0.46429464285612931</v>
      </c>
      <c r="Q146" s="103">
        <f t="shared" si="60"/>
        <v>0.46648990046847955</v>
      </c>
      <c r="R146" s="103">
        <f t="shared" si="60"/>
        <v>0.45922747740563696</v>
      </c>
      <c r="S146" s="103">
        <f t="shared" si="60"/>
        <v>0.4486091019699544</v>
      </c>
      <c r="T146" s="103">
        <f t="shared" si="60"/>
        <v>0.43543014492496623</v>
      </c>
      <c r="U146" s="103">
        <f t="shared" si="60"/>
        <v>0.41677745535409172</v>
      </c>
      <c r="V146" s="103">
        <f t="shared" si="60"/>
        <v>0.39123826315512289</v>
      </c>
      <c r="W146" s="103">
        <f t="shared" ref="W146:Y146" si="61">IF(W24=0,0,W24/W$17)</f>
        <v>0.38261684120718709</v>
      </c>
      <c r="X146" s="103">
        <f t="shared" si="61"/>
        <v>0.37908337988256796</v>
      </c>
      <c r="Y146" s="103">
        <f t="shared" si="61"/>
        <v>0.3618897310948172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5.0810847638679425E-3</v>
      </c>
      <c r="C147" s="103">
        <f t="shared" si="62"/>
        <v>4.7729226835917472E-3</v>
      </c>
      <c r="D147" s="103">
        <f t="shared" si="62"/>
        <v>4.1820016868826916E-3</v>
      </c>
      <c r="E147" s="103">
        <f t="shared" si="62"/>
        <v>3.5561245153559176E-3</v>
      </c>
      <c r="F147" s="103">
        <f t="shared" si="62"/>
        <v>3.1564966576106213E-3</v>
      </c>
      <c r="G147" s="103">
        <f t="shared" si="62"/>
        <v>2.8611143511123936E-3</v>
      </c>
      <c r="H147" s="103">
        <f t="shared" si="62"/>
        <v>2.5747613288615409E-3</v>
      </c>
      <c r="I147" s="103">
        <f t="shared" si="62"/>
        <v>2.3969397902359017E-3</v>
      </c>
      <c r="J147" s="103">
        <f t="shared" si="62"/>
        <v>2.3402815882824718E-3</v>
      </c>
      <c r="K147" s="103">
        <f t="shared" si="62"/>
        <v>2.008681734427616E-3</v>
      </c>
      <c r="L147" s="103">
        <f t="shared" ref="L147" si="63">IF(L26=0,0,L26/L$17)</f>
        <v>2.4414813566428673E-3</v>
      </c>
      <c r="M147" s="103">
        <f t="shared" ref="M147:V147" si="64">IF(M26=0,0,M26/M$17)</f>
        <v>2.6187985639500038E-3</v>
      </c>
      <c r="N147" s="103">
        <f t="shared" si="64"/>
        <v>2.3879780316250058E-3</v>
      </c>
      <c r="O147" s="103">
        <f t="shared" si="64"/>
        <v>2.0693932908488061E-3</v>
      </c>
      <c r="P147" s="103">
        <f t="shared" si="64"/>
        <v>1.8059060681316051E-3</v>
      </c>
      <c r="Q147" s="103">
        <f t="shared" si="64"/>
        <v>1.5182368936463376E-3</v>
      </c>
      <c r="R147" s="103">
        <f t="shared" si="64"/>
        <v>1.3193986815209775E-3</v>
      </c>
      <c r="S147" s="103">
        <f t="shared" si="64"/>
        <v>1.1084951538616688E-3</v>
      </c>
      <c r="T147" s="103">
        <f t="shared" si="64"/>
        <v>9.9994592292755721E-4</v>
      </c>
      <c r="U147" s="103">
        <f t="shared" si="64"/>
        <v>9.3582098326662054E-4</v>
      </c>
      <c r="V147" s="103">
        <f t="shared" si="64"/>
        <v>7.3183647082323883E-4</v>
      </c>
      <c r="W147" s="103">
        <f t="shared" ref="W147:Y147" si="65">IF(W26=0,0,W26/W$17)</f>
        <v>9.7375934419948395E-4</v>
      </c>
      <c r="X147" s="103">
        <f t="shared" si="65"/>
        <v>1.8308413855747585E-3</v>
      </c>
      <c r="Y147" s="103">
        <f t="shared" si="65"/>
        <v>2.3356239554881216E-3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1.6186729302052164E-5</v>
      </c>
      <c r="J148" s="103">
        <f t="shared" si="66"/>
        <v>2.9076658517527936E-5</v>
      </c>
      <c r="K148" s="103">
        <f t="shared" si="66"/>
        <v>3.8532787531149481E-5</v>
      </c>
      <c r="L148" s="103">
        <f t="shared" ref="L148" si="67">IF(L27=0,0,L27/L$17)</f>
        <v>4.0914225561656892E-5</v>
      </c>
      <c r="M148" s="103">
        <f t="shared" ref="M148:V148" si="68">IF(M27=0,0,M27/M$17)</f>
        <v>4.0470429355012932E-5</v>
      </c>
      <c r="N148" s="103">
        <f t="shared" si="68"/>
        <v>4.3087054536743505E-5</v>
      </c>
      <c r="O148" s="103">
        <f t="shared" si="68"/>
        <v>4.2510745826339352E-5</v>
      </c>
      <c r="P148" s="103">
        <f t="shared" si="68"/>
        <v>4.2244765663622494E-5</v>
      </c>
      <c r="Q148" s="103">
        <f t="shared" si="68"/>
        <v>4.2574923979115566E-5</v>
      </c>
      <c r="R148" s="103">
        <f t="shared" si="68"/>
        <v>4.4193830751054505E-5</v>
      </c>
      <c r="S148" s="103">
        <f t="shared" si="68"/>
        <v>4.3819046707047113E-5</v>
      </c>
      <c r="T148" s="103">
        <f t="shared" si="68"/>
        <v>4.3125165443491668E-5</v>
      </c>
      <c r="U148" s="103">
        <f t="shared" si="68"/>
        <v>4.6447302346269268E-5</v>
      </c>
      <c r="V148" s="103">
        <f t="shared" si="68"/>
        <v>4.9436261906261184E-5</v>
      </c>
      <c r="W148" s="103">
        <f t="shared" ref="W148:Y148" si="69">IF(W27=0,0,W27/W$17)</f>
        <v>5.0377652422139665E-5</v>
      </c>
      <c r="X148" s="103">
        <f t="shared" si="69"/>
        <v>5.3120579668221734E-5</v>
      </c>
      <c r="Y148" s="103">
        <f t="shared" si="69"/>
        <v>8.852768273904637E-5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3.3107011707127428E-6</v>
      </c>
      <c r="O149" s="103">
        <f t="shared" si="72"/>
        <v>7.5291491423946134E-6</v>
      </c>
      <c r="P149" s="103">
        <f t="shared" si="72"/>
        <v>1.5345027986388997E-5</v>
      </c>
      <c r="Q149" s="103">
        <f t="shared" si="72"/>
        <v>4.7031939659707036E-5</v>
      </c>
      <c r="R149" s="103">
        <f t="shared" si="72"/>
        <v>9.2887901647077103E-5</v>
      </c>
      <c r="S149" s="103">
        <f t="shared" si="72"/>
        <v>1.7143011790775672E-4</v>
      </c>
      <c r="T149" s="103">
        <f t="shared" si="72"/>
        <v>2.8194834390294677E-4</v>
      </c>
      <c r="U149" s="103">
        <f t="shared" si="72"/>
        <v>4.3427452813650465E-4</v>
      </c>
      <c r="V149" s="103">
        <f t="shared" si="72"/>
        <v>9.5039699762808198E-4</v>
      </c>
      <c r="W149" s="103">
        <f t="shared" ref="W149:Y149" si="73">IF(W29=0,0,W29/W$17)</f>
        <v>1.9131784548229748E-3</v>
      </c>
      <c r="X149" s="103">
        <f t="shared" si="73"/>
        <v>3.0652569692482439E-3</v>
      </c>
      <c r="Y149" s="103">
        <f t="shared" si="73"/>
        <v>4.3920097348658449E-3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5.7677627387927013E-8</v>
      </c>
      <c r="I150" s="103">
        <f t="shared" si="74"/>
        <v>8.1543973127073418E-8</v>
      </c>
      <c r="J150" s="103">
        <f t="shared" si="74"/>
        <v>1.0808863731271666E-5</v>
      </c>
      <c r="K150" s="103">
        <f t="shared" si="74"/>
        <v>1.0862061138297452E-5</v>
      </c>
      <c r="L150" s="103">
        <f t="shared" ref="L150" si="75">IF(L32=0,0,L32/L$17)</f>
        <v>1.0885729131581617E-5</v>
      </c>
      <c r="M150" s="103">
        <f t="shared" ref="M150:V150" si="76">IF(M32=0,0,M32/M$17)</f>
        <v>2.1060925782516926E-5</v>
      </c>
      <c r="N150" s="103">
        <f t="shared" si="76"/>
        <v>2.8023055149388016E-5</v>
      </c>
      <c r="O150" s="103">
        <f t="shared" si="76"/>
        <v>6.8819623928373911E-5</v>
      </c>
      <c r="P150" s="103">
        <f t="shared" si="76"/>
        <v>1.0856467533365454E-4</v>
      </c>
      <c r="Q150" s="103">
        <f t="shared" si="76"/>
        <v>1.8467596648256128E-4</v>
      </c>
      <c r="R150" s="103">
        <f t="shared" si="76"/>
        <v>2.8763854285898975E-4</v>
      </c>
      <c r="S150" s="103">
        <f t="shared" si="76"/>
        <v>3.9732975848696549E-4</v>
      </c>
      <c r="T150" s="103">
        <f t="shared" si="76"/>
        <v>5.7711764694849948E-4</v>
      </c>
      <c r="U150" s="103">
        <f t="shared" si="76"/>
        <v>8.3528698243294573E-4</v>
      </c>
      <c r="V150" s="103">
        <f t="shared" si="76"/>
        <v>1.5027290966318373E-3</v>
      </c>
      <c r="W150" s="103">
        <f t="shared" ref="W150:Y150" si="77">IF(W32=0,0,W32/W$17)</f>
        <v>2.373160910331368E-3</v>
      </c>
      <c r="X150" s="103">
        <f t="shared" si="77"/>
        <v>3.3579337400772226E-3</v>
      </c>
      <c r="Y150" s="103">
        <f t="shared" si="77"/>
        <v>4.5306471574690435E-3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3.9762078733367082E-2</v>
      </c>
      <c r="C151" s="156">
        <f t="shared" si="78"/>
        <v>3.8283874348570744E-2</v>
      </c>
      <c r="D151" s="156">
        <f t="shared" si="78"/>
        <v>3.8272666384737961E-2</v>
      </c>
      <c r="E151" s="156">
        <f t="shared" si="78"/>
        <v>3.9200540427900027E-2</v>
      </c>
      <c r="F151" s="156">
        <f t="shared" si="78"/>
        <v>3.9656187518454442E-2</v>
      </c>
      <c r="G151" s="156">
        <f t="shared" si="78"/>
        <v>4.0146781387678972E-2</v>
      </c>
      <c r="H151" s="156">
        <f t="shared" si="78"/>
        <v>4.1663454232912053E-2</v>
      </c>
      <c r="I151" s="156">
        <f t="shared" si="78"/>
        <v>4.2247464246957141E-2</v>
      </c>
      <c r="J151" s="156">
        <f t="shared" si="78"/>
        <v>4.3289940942219232E-2</v>
      </c>
      <c r="K151" s="156">
        <f t="shared" si="78"/>
        <v>4.1811421476664709E-2</v>
      </c>
      <c r="L151" s="156">
        <f t="shared" ref="L151" si="79">IF(L33=0,0,L33/L$17)</f>
        <v>4.0508191101531518E-2</v>
      </c>
      <c r="M151" s="156">
        <f t="shared" ref="M151:V151" si="80">IF(M33=0,0,M33/M$17)</f>
        <v>3.8477333231022821E-2</v>
      </c>
      <c r="N151" s="156">
        <f t="shared" si="80"/>
        <v>3.8691104466817727E-2</v>
      </c>
      <c r="O151" s="156">
        <f t="shared" si="80"/>
        <v>3.6022348423762292E-2</v>
      </c>
      <c r="P151" s="156">
        <f t="shared" si="80"/>
        <v>3.6382478390401554E-2</v>
      </c>
      <c r="Q151" s="156">
        <f t="shared" si="80"/>
        <v>3.6634258492090996E-2</v>
      </c>
      <c r="R151" s="156">
        <f t="shared" si="80"/>
        <v>3.7434232551219568E-2</v>
      </c>
      <c r="S151" s="156">
        <f t="shared" si="80"/>
        <v>3.6333421955134927E-2</v>
      </c>
      <c r="T151" s="156">
        <f t="shared" si="80"/>
        <v>3.7356919924028724E-2</v>
      </c>
      <c r="U151" s="156">
        <f t="shared" si="80"/>
        <v>3.7839793620141539E-2</v>
      </c>
      <c r="V151" s="156">
        <f t="shared" si="80"/>
        <v>3.361440742688291E-2</v>
      </c>
      <c r="W151" s="156">
        <f t="shared" ref="W151:Y151" si="81">IF(W33=0,0,W33/W$17)</f>
        <v>3.4843659333245347E-2</v>
      </c>
      <c r="X151" s="156">
        <f t="shared" si="81"/>
        <v>3.6431957082152834E-2</v>
      </c>
      <c r="Y151" s="156">
        <f t="shared" si="81"/>
        <v>3.7131137890158157E-2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6.713579908312313E-5</v>
      </c>
      <c r="C152" s="103">
        <f t="shared" si="82"/>
        <v>6.200216214808899E-5</v>
      </c>
      <c r="D152" s="103">
        <f t="shared" si="82"/>
        <v>6.0177185399927524E-5</v>
      </c>
      <c r="E152" s="103">
        <f t="shared" si="82"/>
        <v>5.7592590170462576E-5</v>
      </c>
      <c r="F152" s="103">
        <f t="shared" si="82"/>
        <v>5.3997688380541553E-5</v>
      </c>
      <c r="G152" s="103">
        <f t="shared" si="82"/>
        <v>4.9929380271570922E-5</v>
      </c>
      <c r="H152" s="103">
        <f t="shared" si="82"/>
        <v>4.6690506080611576E-5</v>
      </c>
      <c r="I152" s="103">
        <f t="shared" si="82"/>
        <v>4.223426339095493E-5</v>
      </c>
      <c r="J152" s="103">
        <f t="shared" si="82"/>
        <v>3.9926063736068402E-5</v>
      </c>
      <c r="K152" s="103">
        <f t="shared" si="82"/>
        <v>3.5522322262750065E-5</v>
      </c>
      <c r="L152" s="103">
        <f t="shared" ref="L152" si="83">IF(L34=0,0,L34/L$17)</f>
        <v>3.0681253635987768E-5</v>
      </c>
      <c r="M152" s="103">
        <f t="shared" ref="M152:V152" si="84">IF(M34=0,0,M34/M$17)</f>
        <v>2.5012404427079544E-5</v>
      </c>
      <c r="N152" s="103">
        <f t="shared" si="84"/>
        <v>2.1444487970236646E-5</v>
      </c>
      <c r="O152" s="103">
        <f t="shared" si="84"/>
        <v>1.7911592365552743E-5</v>
      </c>
      <c r="P152" s="103">
        <f t="shared" si="84"/>
        <v>1.4981203716505588E-5</v>
      </c>
      <c r="Q152" s="103">
        <f t="shared" si="84"/>
        <v>1.245483331095723E-5</v>
      </c>
      <c r="R152" s="103">
        <f t="shared" si="84"/>
        <v>1.2254960354346575E-5</v>
      </c>
      <c r="S152" s="103">
        <f t="shared" si="84"/>
        <v>1.2010841014980078E-5</v>
      </c>
      <c r="T152" s="103">
        <f t="shared" si="84"/>
        <v>1.2180692938986519E-5</v>
      </c>
      <c r="U152" s="103">
        <f t="shared" si="84"/>
        <v>1.2091482528516775E-5</v>
      </c>
      <c r="V152" s="103">
        <f t="shared" si="84"/>
        <v>1.1046336688099906E-5</v>
      </c>
      <c r="W152" s="103">
        <f t="shared" ref="W152:Y152" si="85">IF(W34=0,0,W34/W$17)</f>
        <v>1.0523086888366464E-5</v>
      </c>
      <c r="X152" s="103">
        <f t="shared" si="85"/>
        <v>9.1216469967058188E-6</v>
      </c>
      <c r="Y152" s="103">
        <f t="shared" si="85"/>
        <v>7.6755957929336503E-6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3.9602807261828236E-2</v>
      </c>
      <c r="C153" s="103">
        <f t="shared" si="86"/>
        <v>3.7952533291029322E-2</v>
      </c>
      <c r="D153" s="103">
        <f t="shared" si="86"/>
        <v>3.7907468780549854E-2</v>
      </c>
      <c r="E153" s="103">
        <f t="shared" si="86"/>
        <v>3.8741427272068349E-2</v>
      </c>
      <c r="F153" s="103">
        <f t="shared" si="86"/>
        <v>3.9157650589797727E-2</v>
      </c>
      <c r="G153" s="103">
        <f t="shared" si="86"/>
        <v>3.9612449153512613E-2</v>
      </c>
      <c r="H153" s="103">
        <f t="shared" si="86"/>
        <v>4.1030895214401931E-2</v>
      </c>
      <c r="I153" s="103">
        <f t="shared" si="86"/>
        <v>4.1571677166669867E-2</v>
      </c>
      <c r="J153" s="103">
        <f t="shared" si="86"/>
        <v>4.2484480061356258E-2</v>
      </c>
      <c r="K153" s="103">
        <f t="shared" si="86"/>
        <v>4.1024060787043806E-2</v>
      </c>
      <c r="L153" s="103">
        <f t="shared" ref="L153" si="87">IF(L36=0,0,L36/L$17)</f>
        <v>3.9701697342907627E-2</v>
      </c>
      <c r="M153" s="103">
        <f t="shared" ref="M153:V153" si="88">IF(M36=0,0,M36/M$17)</f>
        <v>3.6794806528879252E-2</v>
      </c>
      <c r="N153" s="103">
        <f t="shared" si="88"/>
        <v>3.6811235382923288E-2</v>
      </c>
      <c r="O153" s="103">
        <f t="shared" si="88"/>
        <v>3.3897151784475159E-2</v>
      </c>
      <c r="P153" s="103">
        <f t="shared" si="88"/>
        <v>3.4088297676294559E-2</v>
      </c>
      <c r="Q153" s="103">
        <f t="shared" si="88"/>
        <v>3.430356985010085E-2</v>
      </c>
      <c r="R153" s="103">
        <f t="shared" si="88"/>
        <v>3.5006927150341316E-2</v>
      </c>
      <c r="S153" s="103">
        <f t="shared" si="88"/>
        <v>3.371936512696079E-2</v>
      </c>
      <c r="T153" s="103">
        <f t="shared" si="88"/>
        <v>3.4421478835767204E-2</v>
      </c>
      <c r="U153" s="103">
        <f t="shared" si="88"/>
        <v>3.4116140857779635E-2</v>
      </c>
      <c r="V153" s="103">
        <f t="shared" si="88"/>
        <v>2.8394696468691839E-2</v>
      </c>
      <c r="W153" s="103">
        <f t="shared" ref="W153:Y153" si="89">IF(W36=0,0,W36/W$17)</f>
        <v>2.8215192028286755E-2</v>
      </c>
      <c r="X153" s="103">
        <f t="shared" si="89"/>
        <v>2.8717551408801258E-2</v>
      </c>
      <c r="Y153" s="103">
        <f t="shared" si="89"/>
        <v>2.8204934655183245E-2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3.7856938499270849E-5</v>
      </c>
      <c r="C154" s="103">
        <f t="shared" si="90"/>
        <v>4.1830417165563308E-5</v>
      </c>
      <c r="D154" s="103">
        <f t="shared" si="90"/>
        <v>4.2166870359699686E-5</v>
      </c>
      <c r="E154" s="103">
        <f t="shared" si="90"/>
        <v>4.5165148282619052E-5</v>
      </c>
      <c r="F154" s="103">
        <f t="shared" si="90"/>
        <v>4.6667327548538455E-5</v>
      </c>
      <c r="G154" s="103">
        <f t="shared" si="90"/>
        <v>4.7165166245905144E-5</v>
      </c>
      <c r="H154" s="103">
        <f t="shared" si="90"/>
        <v>3.8546103614386365E-5</v>
      </c>
      <c r="I154" s="103">
        <f t="shared" si="90"/>
        <v>4.5334592327095321E-5</v>
      </c>
      <c r="J154" s="103">
        <f t="shared" si="90"/>
        <v>4.5504302960627976E-5</v>
      </c>
      <c r="K154" s="103">
        <f t="shared" si="90"/>
        <v>4.3596268175843654E-5</v>
      </c>
      <c r="L154" s="103">
        <f t="shared" ref="L154" si="91">IF(L38=0,0,L38/L$17)</f>
        <v>4.0661339716037184E-5</v>
      </c>
      <c r="M154" s="103">
        <f t="shared" ref="M154:V154" si="92">IF(M38=0,0,M38/M$17)</f>
        <v>3.5832771489979613E-5</v>
      </c>
      <c r="N154" s="103">
        <f t="shared" si="92"/>
        <v>3.356237905203435E-5</v>
      </c>
      <c r="O154" s="103">
        <f t="shared" si="92"/>
        <v>3.0996786616427458E-5</v>
      </c>
      <c r="P154" s="103">
        <f t="shared" si="92"/>
        <v>2.869437188752195E-5</v>
      </c>
      <c r="Q154" s="103">
        <f t="shared" si="92"/>
        <v>2.6703639922390182E-5</v>
      </c>
      <c r="R154" s="103">
        <f t="shared" si="92"/>
        <v>2.5157892086936521E-5</v>
      </c>
      <c r="S154" s="103">
        <f t="shared" si="92"/>
        <v>2.2900223102153604E-5</v>
      </c>
      <c r="T154" s="103">
        <f t="shared" si="92"/>
        <v>2.1664695106204405E-5</v>
      </c>
      <c r="U154" s="103">
        <f t="shared" si="92"/>
        <v>1.9601379480395848E-5</v>
      </c>
      <c r="V154" s="103">
        <f t="shared" si="92"/>
        <v>1.6119139400182799E-5</v>
      </c>
      <c r="W154" s="103">
        <f t="shared" ref="W154:Y154" si="93">IF(W38=0,0,W38/W$17)</f>
        <v>1.3874046586875518E-5</v>
      </c>
      <c r="X154" s="103">
        <f t="shared" si="93"/>
        <v>1.2901475571271124E-5</v>
      </c>
      <c r="Y154" s="103">
        <f t="shared" si="93"/>
        <v>1.1486698909647582E-5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7.5059945859299354E-6</v>
      </c>
      <c r="C155" s="103">
        <f t="shared" si="94"/>
        <v>1.7896605524244166E-4</v>
      </c>
      <c r="D155" s="103">
        <f t="shared" si="94"/>
        <v>2.0961247714975775E-4</v>
      </c>
      <c r="E155" s="103">
        <f t="shared" si="94"/>
        <v>2.9838069917949457E-4</v>
      </c>
      <c r="F155" s="103">
        <f t="shared" si="94"/>
        <v>3.3625052317415939E-4</v>
      </c>
      <c r="G155" s="103">
        <f t="shared" si="94"/>
        <v>3.7581185807606559E-4</v>
      </c>
      <c r="H155" s="103">
        <f t="shared" si="94"/>
        <v>4.8779841604490237E-4</v>
      </c>
      <c r="I155" s="103">
        <f t="shared" si="94"/>
        <v>5.3123398342824421E-4</v>
      </c>
      <c r="J155" s="103">
        <f t="shared" si="94"/>
        <v>6.6337175345219316E-4</v>
      </c>
      <c r="K155" s="103">
        <f t="shared" si="94"/>
        <v>6.5437069535872691E-4</v>
      </c>
      <c r="L155" s="103">
        <f t="shared" ref="L155" si="95">IF(L39=0,0,L39/L$17)</f>
        <v>6.8476773581937675E-4</v>
      </c>
      <c r="M155" s="103">
        <f t="shared" ref="M155:V155" si="96">IF(M39=0,0,M39/M$17)</f>
        <v>1.576387697876911E-3</v>
      </c>
      <c r="N155" s="103">
        <f t="shared" si="96"/>
        <v>1.774339765829569E-3</v>
      </c>
      <c r="O155" s="103">
        <f t="shared" si="96"/>
        <v>1.9977930473638775E-3</v>
      </c>
      <c r="P155" s="103">
        <f t="shared" si="96"/>
        <v>2.165572577203768E-3</v>
      </c>
      <c r="Q155" s="103">
        <f t="shared" si="96"/>
        <v>2.1990225136466093E-3</v>
      </c>
      <c r="R155" s="103">
        <f t="shared" si="96"/>
        <v>2.2853920881380331E-3</v>
      </c>
      <c r="S155" s="103">
        <f t="shared" si="96"/>
        <v>2.4620965575345949E-3</v>
      </c>
      <c r="T155" s="103">
        <f t="shared" si="96"/>
        <v>2.7773543005165055E-3</v>
      </c>
      <c r="U155" s="103">
        <f t="shared" si="96"/>
        <v>3.497843321462692E-3</v>
      </c>
      <c r="V155" s="103">
        <f t="shared" si="96"/>
        <v>4.9750397396217576E-3</v>
      </c>
      <c r="W155" s="103">
        <f t="shared" ref="W155:Y155" si="97">IF(W39=0,0,W39/W$17)</f>
        <v>6.1968643883127394E-3</v>
      </c>
      <c r="X155" s="103">
        <f t="shared" si="97"/>
        <v>7.1574311146517322E-3</v>
      </c>
      <c r="Y155" s="103">
        <f t="shared" si="97"/>
        <v>8.2628150747864719E-3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4.6772739370527109E-5</v>
      </c>
      <c r="C156" s="103">
        <f t="shared" si="98"/>
        <v>4.8542422985330644E-5</v>
      </c>
      <c r="D156" s="103">
        <f t="shared" si="98"/>
        <v>5.3241071278722502E-5</v>
      </c>
      <c r="E156" s="103">
        <f t="shared" si="98"/>
        <v>5.7974718199105796E-5</v>
      </c>
      <c r="F156" s="103">
        <f t="shared" si="98"/>
        <v>6.1621389553469938E-5</v>
      </c>
      <c r="G156" s="103">
        <f t="shared" si="98"/>
        <v>6.1425829572821382E-5</v>
      </c>
      <c r="H156" s="103">
        <f t="shared" si="98"/>
        <v>5.952399277021399E-5</v>
      </c>
      <c r="I156" s="103">
        <f t="shared" si="98"/>
        <v>5.6984241140986399E-5</v>
      </c>
      <c r="J156" s="103">
        <f t="shared" si="98"/>
        <v>5.6658760714083026E-5</v>
      </c>
      <c r="K156" s="103">
        <f t="shared" si="98"/>
        <v>5.3871403823581609E-5</v>
      </c>
      <c r="L156" s="103">
        <f t="shared" ref="L156" si="99">IF(L41=0,0,L41/L$17)</f>
        <v>5.0383429452490295E-5</v>
      </c>
      <c r="M156" s="103">
        <f t="shared" ref="M156:V156" si="100">IF(M41=0,0,M41/M$17)</f>
        <v>4.5293828349596504E-5</v>
      </c>
      <c r="N156" s="103">
        <f t="shared" si="100"/>
        <v>5.052245104259655E-5</v>
      </c>
      <c r="O156" s="103">
        <f t="shared" si="100"/>
        <v>7.8495212941278352E-5</v>
      </c>
      <c r="P156" s="103">
        <f t="shared" si="100"/>
        <v>8.4932561299197828E-5</v>
      </c>
      <c r="Q156" s="103">
        <f t="shared" si="100"/>
        <v>9.250765511018382E-5</v>
      </c>
      <c r="R156" s="103">
        <f t="shared" si="100"/>
        <v>1.0450046029893244E-4</v>
      </c>
      <c r="S156" s="103">
        <f t="shared" si="100"/>
        <v>1.1704920652241362E-4</v>
      </c>
      <c r="T156" s="103">
        <f t="shared" si="100"/>
        <v>1.2424139969982698E-4</v>
      </c>
      <c r="U156" s="103">
        <f t="shared" si="100"/>
        <v>1.9411657889029858E-4</v>
      </c>
      <c r="V156" s="103">
        <f t="shared" si="100"/>
        <v>2.1750574248103591E-4</v>
      </c>
      <c r="W156" s="103">
        <f t="shared" ref="W156:Y156" si="101">IF(W41=0,0,W41/W$17)</f>
        <v>4.0720578317060937E-4</v>
      </c>
      <c r="X156" s="103">
        <f t="shared" si="101"/>
        <v>5.3495143613186704E-4</v>
      </c>
      <c r="Y156" s="103">
        <f t="shared" si="101"/>
        <v>6.442258654858476E-4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0.35693879458753386</v>
      </c>
      <c r="C157" s="46">
        <f t="shared" si="102"/>
        <v>0.35331945614901478</v>
      </c>
      <c r="D157" s="46">
        <f t="shared" si="102"/>
        <v>0.3513284450881386</v>
      </c>
      <c r="E157" s="46">
        <f t="shared" si="102"/>
        <v>0.3506798925171235</v>
      </c>
      <c r="F157" s="46">
        <f t="shared" si="102"/>
        <v>0.35999598446296005</v>
      </c>
      <c r="G157" s="46">
        <f t="shared" si="102"/>
        <v>0.36175638348539368</v>
      </c>
      <c r="H157" s="46">
        <f t="shared" si="102"/>
        <v>0.36055169834026252</v>
      </c>
      <c r="I157" s="46">
        <f t="shared" si="102"/>
        <v>0.35973298878909993</v>
      </c>
      <c r="J157" s="46">
        <f t="shared" si="102"/>
        <v>0.35340311600163049</v>
      </c>
      <c r="K157" s="46">
        <f t="shared" si="102"/>
        <v>0.33588746949606135</v>
      </c>
      <c r="L157" s="46">
        <f t="shared" ref="L157" si="103">IF(L42=0,0,L42/L$17)</f>
        <v>0.34487241640438993</v>
      </c>
      <c r="M157" s="46">
        <f t="shared" ref="M157:V157" si="104">IF(M42=0,0,M42/M$17)</f>
        <v>0.34121612113072791</v>
      </c>
      <c r="N157" s="46">
        <f t="shared" si="104"/>
        <v>0.33631054477257355</v>
      </c>
      <c r="O157" s="46">
        <f t="shared" si="104"/>
        <v>0.33986200966995905</v>
      </c>
      <c r="P157" s="46">
        <f t="shared" si="104"/>
        <v>0.33547815808109377</v>
      </c>
      <c r="Q157" s="46">
        <f t="shared" si="104"/>
        <v>0.33207961324799723</v>
      </c>
      <c r="R157" s="46">
        <f t="shared" si="104"/>
        <v>0.33433938688019926</v>
      </c>
      <c r="S157" s="46">
        <f t="shared" si="104"/>
        <v>0.34092347888018981</v>
      </c>
      <c r="T157" s="46">
        <f t="shared" si="104"/>
        <v>0.34300737273800891</v>
      </c>
      <c r="U157" s="46">
        <f t="shared" si="104"/>
        <v>0.34608671707123118</v>
      </c>
      <c r="V157" s="46">
        <f t="shared" si="104"/>
        <v>0.37238517246658437</v>
      </c>
      <c r="W157" s="46">
        <f t="shared" ref="W157:Y157" si="105">IF(W42=0,0,W42/W$17)</f>
        <v>0.36559408848050706</v>
      </c>
      <c r="X157" s="46">
        <f t="shared" si="105"/>
        <v>0.34916316778130529</v>
      </c>
      <c r="Y157" s="46">
        <f t="shared" si="105"/>
        <v>0.34507511724258944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0.16537276750159907</v>
      </c>
      <c r="C158" s="154">
        <f t="shared" si="106"/>
        <v>0.16180105432982983</v>
      </c>
      <c r="D158" s="154">
        <f t="shared" si="106"/>
        <v>0.15921239685276958</v>
      </c>
      <c r="E158" s="154">
        <f t="shared" si="106"/>
        <v>0.15704770877030899</v>
      </c>
      <c r="F158" s="154">
        <f t="shared" si="106"/>
        <v>0.15175999099907408</v>
      </c>
      <c r="G158" s="154">
        <f t="shared" si="106"/>
        <v>0.15073371082393583</v>
      </c>
      <c r="H158" s="154">
        <f t="shared" si="106"/>
        <v>0.14893747228364582</v>
      </c>
      <c r="I158" s="154">
        <f t="shared" si="106"/>
        <v>0.14601722585627866</v>
      </c>
      <c r="J158" s="154">
        <f t="shared" si="106"/>
        <v>0.14479860196663527</v>
      </c>
      <c r="K158" s="154">
        <f t="shared" si="106"/>
        <v>0.14899900757111068</v>
      </c>
      <c r="L158" s="154">
        <f t="shared" ref="L158" si="107">IF(L43=0,0,L43/L$17)</f>
        <v>0.15239655127046484</v>
      </c>
      <c r="M158" s="154">
        <f t="shared" ref="M158:V158" si="108">IF(M43=0,0,M43/M$17)</f>
        <v>0.15470678806898608</v>
      </c>
      <c r="N158" s="154">
        <f t="shared" si="108"/>
        <v>0.15817303695166221</v>
      </c>
      <c r="O158" s="154">
        <f t="shared" si="108"/>
        <v>0.15975240694156442</v>
      </c>
      <c r="P158" s="154">
        <f t="shared" si="108"/>
        <v>0.1576506257733267</v>
      </c>
      <c r="Q158" s="154">
        <f t="shared" si="108"/>
        <v>0.16076390197570098</v>
      </c>
      <c r="R158" s="154">
        <f t="shared" si="108"/>
        <v>0.15834076108092579</v>
      </c>
      <c r="S158" s="154">
        <f t="shared" si="108"/>
        <v>0.16054554388317727</v>
      </c>
      <c r="T158" s="154">
        <f t="shared" si="108"/>
        <v>0.16307959413454595</v>
      </c>
      <c r="U158" s="154">
        <f t="shared" si="108"/>
        <v>0.16283386009893394</v>
      </c>
      <c r="V158" s="154">
        <f t="shared" si="108"/>
        <v>0.16427558714846743</v>
      </c>
      <c r="W158" s="154">
        <f t="shared" ref="W158:Y158" si="109">IF(W43=0,0,W43/W$17)</f>
        <v>0.17136508738969983</v>
      </c>
      <c r="X158" s="154">
        <f t="shared" si="109"/>
        <v>0.16587747768097272</v>
      </c>
      <c r="Y158" s="154">
        <f t="shared" si="109"/>
        <v>0.16736154140642387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2.4676243814264337E-2</v>
      </c>
      <c r="C159" s="103">
        <f t="shared" si="110"/>
        <v>2.054841124928572E-2</v>
      </c>
      <c r="D159" s="103">
        <f t="shared" si="110"/>
        <v>1.7009335802550166E-2</v>
      </c>
      <c r="E159" s="103">
        <f t="shared" si="110"/>
        <v>1.36593490751328E-2</v>
      </c>
      <c r="F159" s="103">
        <f t="shared" si="110"/>
        <v>1.0709389523658174E-2</v>
      </c>
      <c r="G159" s="103">
        <f t="shared" si="110"/>
        <v>8.9785926629228525E-3</v>
      </c>
      <c r="H159" s="103">
        <f t="shared" si="110"/>
        <v>7.6255543431517029E-3</v>
      </c>
      <c r="I159" s="103">
        <f t="shared" si="110"/>
        <v>6.5513581614065203E-3</v>
      </c>
      <c r="J159" s="103">
        <f t="shared" si="110"/>
        <v>5.836052013858224E-3</v>
      </c>
      <c r="K159" s="103">
        <f t="shared" si="110"/>
        <v>5.2906194697846503E-3</v>
      </c>
      <c r="L159" s="103">
        <f t="shared" ref="L159" si="111">IF(L44=0,0,L44/L$17)</f>
        <v>5.7050773397813647E-3</v>
      </c>
      <c r="M159" s="103">
        <f t="shared" ref="M159:V159" si="112">IF(M44=0,0,M44/M$17)</f>
        <v>6.1049900327867414E-3</v>
      </c>
      <c r="N159" s="103">
        <f t="shared" si="112"/>
        <v>6.5550890348374498E-3</v>
      </c>
      <c r="O159" s="103">
        <f t="shared" si="112"/>
        <v>6.9687221581985143E-3</v>
      </c>
      <c r="P159" s="103">
        <f t="shared" si="112"/>
        <v>6.134819640219156E-3</v>
      </c>
      <c r="Q159" s="103">
        <f t="shared" si="112"/>
        <v>5.5711558593003934E-3</v>
      </c>
      <c r="R159" s="103">
        <f t="shared" si="112"/>
        <v>5.3625648994551824E-3</v>
      </c>
      <c r="S159" s="103">
        <f t="shared" si="112"/>
        <v>5.3196318554996234E-3</v>
      </c>
      <c r="T159" s="103">
        <f t="shared" si="112"/>
        <v>5.2861415302706011E-3</v>
      </c>
      <c r="U159" s="103">
        <f t="shared" si="112"/>
        <v>5.0927469091932836E-3</v>
      </c>
      <c r="V159" s="103">
        <f t="shared" si="112"/>
        <v>5.0066453643577112E-3</v>
      </c>
      <c r="W159" s="103">
        <f t="shared" ref="W159:Y159" si="113">IF(W44=0,0,W44/W$17)</f>
        <v>5.502382684568226E-3</v>
      </c>
      <c r="X159" s="103">
        <f t="shared" si="113"/>
        <v>5.8625156129680093E-3</v>
      </c>
      <c r="Y159" s="103">
        <f t="shared" si="113"/>
        <v>7.0964731254463337E-3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0.14002997574930751</v>
      </c>
      <c r="C160" s="103">
        <f t="shared" si="114"/>
        <v>0.14055737685699005</v>
      </c>
      <c r="D160" s="103">
        <f t="shared" si="114"/>
        <v>0.1414930518726927</v>
      </c>
      <c r="E160" s="103">
        <f t="shared" si="114"/>
        <v>0.14266128838275405</v>
      </c>
      <c r="F160" s="103">
        <f t="shared" si="114"/>
        <v>0.14031791331387572</v>
      </c>
      <c r="G160" s="103">
        <f t="shared" si="114"/>
        <v>0.14099945638485128</v>
      </c>
      <c r="H160" s="103">
        <f t="shared" si="114"/>
        <v>0.14050099928578325</v>
      </c>
      <c r="I160" s="103">
        <f t="shared" si="114"/>
        <v>0.13882700974848242</v>
      </c>
      <c r="J160" s="103">
        <f t="shared" si="114"/>
        <v>0.13837221165466337</v>
      </c>
      <c r="K160" s="103">
        <f t="shared" si="114"/>
        <v>0.1430823862744201</v>
      </c>
      <c r="L160" s="103">
        <f t="shared" ref="L160" si="115">IF(L46=0,0,L46/L$17)</f>
        <v>0.14607589692314191</v>
      </c>
      <c r="M160" s="103">
        <f t="shared" ref="M160:V160" si="116">IF(M46=0,0,M46/M$17)</f>
        <v>0.14799820461631708</v>
      </c>
      <c r="N160" s="103">
        <f t="shared" si="116"/>
        <v>0.15101971412254903</v>
      </c>
      <c r="O160" s="103">
        <f t="shared" si="116"/>
        <v>0.15217631153267022</v>
      </c>
      <c r="P160" s="103">
        <f t="shared" si="116"/>
        <v>0.15091489857175622</v>
      </c>
      <c r="Q160" s="103">
        <f t="shared" si="116"/>
        <v>0.15457816135336847</v>
      </c>
      <c r="R160" s="103">
        <f t="shared" si="116"/>
        <v>0.15235280455291456</v>
      </c>
      <c r="S160" s="103">
        <f t="shared" si="116"/>
        <v>0.15459195092173292</v>
      </c>
      <c r="T160" s="103">
        <f t="shared" si="116"/>
        <v>0.15704370866147943</v>
      </c>
      <c r="U160" s="103">
        <f t="shared" si="116"/>
        <v>0.15701242135571933</v>
      </c>
      <c r="V160" s="103">
        <f t="shared" si="116"/>
        <v>0.15855992028356658</v>
      </c>
      <c r="W160" s="103">
        <f t="shared" ref="W160:Y160" si="117">IF(W46=0,0,W46/W$17)</f>
        <v>0.16506017938985834</v>
      </c>
      <c r="X160" s="103">
        <f t="shared" si="117"/>
        <v>0.15917915427492468</v>
      </c>
      <c r="Y160" s="103">
        <f t="shared" si="117"/>
        <v>0.15926454654444025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6.4809874776643737E-4</v>
      </c>
      <c r="C161" s="103">
        <f t="shared" si="118"/>
        <v>6.7632101539839156E-4</v>
      </c>
      <c r="D161" s="103">
        <f t="shared" si="118"/>
        <v>6.9022061285860768E-4</v>
      </c>
      <c r="E161" s="103">
        <f t="shared" si="118"/>
        <v>7.0233461046074271E-4</v>
      </c>
      <c r="F161" s="103">
        <f t="shared" si="118"/>
        <v>7.0812903973667917E-4</v>
      </c>
      <c r="G161" s="103">
        <f t="shared" si="118"/>
        <v>7.3162368066868779E-4</v>
      </c>
      <c r="H161" s="103">
        <f t="shared" si="118"/>
        <v>7.7669239335864996E-4</v>
      </c>
      <c r="I161" s="103">
        <f t="shared" si="118"/>
        <v>6.059440197871001E-4</v>
      </c>
      <c r="J161" s="103">
        <f t="shared" si="118"/>
        <v>5.5857579233672104E-4</v>
      </c>
      <c r="K161" s="103">
        <f t="shared" si="118"/>
        <v>5.8965406051395724E-4</v>
      </c>
      <c r="L161" s="103">
        <f t="shared" ref="L161" si="119">IF(L48=0,0,L48/L$17)</f>
        <v>5.8222419520443974E-4</v>
      </c>
      <c r="M161" s="103">
        <f t="shared" ref="M161:V161" si="120">IF(M48=0,0,M48/M$17)</f>
        <v>5.619785329170617E-4</v>
      </c>
      <c r="N161" s="103">
        <f t="shared" si="120"/>
        <v>5.4506390535875708E-4</v>
      </c>
      <c r="O161" s="103">
        <f t="shared" si="120"/>
        <v>5.3801099529149842E-4</v>
      </c>
      <c r="P161" s="103">
        <f t="shared" si="120"/>
        <v>5.163646214264801E-4</v>
      </c>
      <c r="Q161" s="103">
        <f t="shared" si="120"/>
        <v>5.1528023528873642E-4</v>
      </c>
      <c r="R161" s="103">
        <f t="shared" si="120"/>
        <v>5.0036927249635422E-4</v>
      </c>
      <c r="S161" s="103">
        <f t="shared" si="120"/>
        <v>4.8939167600464879E-4</v>
      </c>
      <c r="T161" s="103">
        <f t="shared" si="120"/>
        <v>4.2616369744284926E-4</v>
      </c>
      <c r="U161" s="103">
        <f t="shared" si="120"/>
        <v>4.0153007237497709E-4</v>
      </c>
      <c r="V161" s="103">
        <f t="shared" si="120"/>
        <v>3.2809483915490417E-4</v>
      </c>
      <c r="W161" s="103">
        <f t="shared" ref="W161:Y161" si="121">IF(W48=0,0,W48/W$17)</f>
        <v>3.4260602694968046E-4</v>
      </c>
      <c r="X161" s="103">
        <f t="shared" si="121"/>
        <v>3.3658658172633739E-4</v>
      </c>
      <c r="Y161" s="103">
        <f t="shared" si="121"/>
        <v>3.9489365671109696E-4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7.6643648304304634E-6</v>
      </c>
      <c r="C162" s="103">
        <f t="shared" si="122"/>
        <v>7.110188007987944E-6</v>
      </c>
      <c r="D162" s="103">
        <f t="shared" si="122"/>
        <v>7.2475827993736887E-6</v>
      </c>
      <c r="E162" s="103">
        <f t="shared" si="122"/>
        <v>1.1539104284063253E-5</v>
      </c>
      <c r="F162" s="103">
        <f t="shared" si="122"/>
        <v>1.0902771664373071E-5</v>
      </c>
      <c r="G162" s="103">
        <f t="shared" si="122"/>
        <v>1.0489714867118034E-5</v>
      </c>
      <c r="H162" s="103">
        <f t="shared" si="122"/>
        <v>2.0869617933225754E-5</v>
      </c>
      <c r="I162" s="103">
        <f t="shared" si="122"/>
        <v>1.914416791089076E-5</v>
      </c>
      <c r="J162" s="103">
        <f t="shared" si="122"/>
        <v>1.9072844550162853E-5</v>
      </c>
      <c r="K162" s="103">
        <f t="shared" si="122"/>
        <v>2.2916000829682909E-5</v>
      </c>
      <c r="L162" s="103">
        <f t="shared" ref="L162" si="123">IF(L49=0,0,L49/L$17)</f>
        <v>2.142018115520864E-5</v>
      </c>
      <c r="M162" s="103">
        <f t="shared" ref="M162:V162" si="124">IF(M49=0,0,M49/M$17)</f>
        <v>2.5073987054596646E-5</v>
      </c>
      <c r="N162" s="103">
        <f t="shared" si="124"/>
        <v>3.4135703511341221E-5</v>
      </c>
      <c r="O162" s="103">
        <f t="shared" si="124"/>
        <v>4.3139190000862301E-5</v>
      </c>
      <c r="P162" s="103">
        <f t="shared" si="124"/>
        <v>4.8532102616061368E-5</v>
      </c>
      <c r="Q162" s="103">
        <f t="shared" si="124"/>
        <v>5.5358059072903268E-5</v>
      </c>
      <c r="R162" s="103">
        <f t="shared" si="124"/>
        <v>6.398516537451148E-5</v>
      </c>
      <c r="S162" s="103">
        <f t="shared" si="124"/>
        <v>7.725361152302059E-5</v>
      </c>
      <c r="T162" s="103">
        <f t="shared" si="124"/>
        <v>2.1846765687162748E-4</v>
      </c>
      <c r="U162" s="103">
        <f t="shared" si="124"/>
        <v>1.9744441949864485E-4</v>
      </c>
      <c r="V162" s="103">
        <f t="shared" si="124"/>
        <v>2.1166306594076208E-4</v>
      </c>
      <c r="W162" s="103">
        <f t="shared" ref="W162:Y162" si="125">IF(W49=0,0,W49/W$17)</f>
        <v>2.4519114276800436E-4</v>
      </c>
      <c r="X162" s="103">
        <f t="shared" si="125"/>
        <v>2.3873463737939148E-4</v>
      </c>
      <c r="Y162" s="103">
        <f t="shared" si="125"/>
        <v>2.4852867599351006E-4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1.078482543036294E-5</v>
      </c>
      <c r="C163" s="103">
        <f t="shared" si="126"/>
        <v>1.1835020147670376E-5</v>
      </c>
      <c r="D163" s="103">
        <f t="shared" si="126"/>
        <v>1.2540981868742367E-5</v>
      </c>
      <c r="E163" s="103">
        <f t="shared" si="126"/>
        <v>1.3197597677302346E-5</v>
      </c>
      <c r="F163" s="103">
        <f t="shared" si="126"/>
        <v>1.3656350139126488E-5</v>
      </c>
      <c r="G163" s="103">
        <f t="shared" si="126"/>
        <v>1.3548380625894296E-5</v>
      </c>
      <c r="H163" s="103">
        <f t="shared" si="126"/>
        <v>1.3356643419004828E-5</v>
      </c>
      <c r="I163" s="103">
        <f t="shared" si="126"/>
        <v>1.3769758691742616E-5</v>
      </c>
      <c r="J163" s="103">
        <f t="shared" si="126"/>
        <v>1.2689661226801535E-5</v>
      </c>
      <c r="K163" s="103">
        <f t="shared" si="126"/>
        <v>1.3431765562263349E-5</v>
      </c>
      <c r="L163" s="103">
        <f t="shared" ref="L163" si="127">IF(L51=0,0,L51/L$17)</f>
        <v>1.1932631181894387E-5</v>
      </c>
      <c r="M163" s="103">
        <f t="shared" ref="M163:V163" si="128">IF(M51=0,0,M51/M$17)</f>
        <v>1.6540899910595967E-5</v>
      </c>
      <c r="N163" s="103">
        <f t="shared" si="128"/>
        <v>1.9034185405615114E-5</v>
      </c>
      <c r="O163" s="103">
        <f t="shared" si="128"/>
        <v>2.62230654033381E-5</v>
      </c>
      <c r="P163" s="103">
        <f t="shared" si="128"/>
        <v>3.6010837308797833E-5</v>
      </c>
      <c r="Q163" s="103">
        <f t="shared" si="128"/>
        <v>4.3946468670485507E-5</v>
      </c>
      <c r="R163" s="103">
        <f t="shared" si="128"/>
        <v>6.1037190685181612E-5</v>
      </c>
      <c r="S163" s="103">
        <f t="shared" si="128"/>
        <v>6.7315818417062787E-5</v>
      </c>
      <c r="T163" s="103">
        <f t="shared" si="128"/>
        <v>1.0511258848146428E-4</v>
      </c>
      <c r="U163" s="103">
        <f t="shared" si="128"/>
        <v>1.2971734214769457E-4</v>
      </c>
      <c r="V163" s="103">
        <f t="shared" si="128"/>
        <v>1.692635954474808E-4</v>
      </c>
      <c r="W163" s="103">
        <f t="shared" ref="W163:Y163" si="129">IF(W51=0,0,W51/W$17)</f>
        <v>2.1472814555557835E-4</v>
      </c>
      <c r="X163" s="103">
        <f t="shared" si="129"/>
        <v>2.6048657397427684E-4</v>
      </c>
      <c r="Y163" s="103">
        <f t="shared" si="129"/>
        <v>3.5709940383268885E-4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0.19156602708593473</v>
      </c>
      <c r="C164" s="156">
        <f t="shared" si="130"/>
        <v>0.19151840181918495</v>
      </c>
      <c r="D164" s="156">
        <f t="shared" si="130"/>
        <v>0.19211604823536901</v>
      </c>
      <c r="E164" s="156">
        <f t="shared" si="130"/>
        <v>0.19363218374681451</v>
      </c>
      <c r="F164" s="156">
        <f t="shared" si="130"/>
        <v>0.20823599346388597</v>
      </c>
      <c r="G164" s="156">
        <f t="shared" si="130"/>
        <v>0.21102267266145788</v>
      </c>
      <c r="H164" s="156">
        <f t="shared" si="130"/>
        <v>0.21161422605661673</v>
      </c>
      <c r="I164" s="156">
        <f t="shared" si="130"/>
        <v>0.21371576293282124</v>
      </c>
      <c r="J164" s="156">
        <f t="shared" si="130"/>
        <v>0.20860451403499519</v>
      </c>
      <c r="K164" s="156">
        <f t="shared" si="130"/>
        <v>0.18688846192495065</v>
      </c>
      <c r="L164" s="156">
        <f t="shared" ref="L164" si="131">IF(L52=0,0,L52/L$17)</f>
        <v>0.19247586513392512</v>
      </c>
      <c r="M164" s="156">
        <f t="shared" ref="M164:V164" si="132">IF(M52=0,0,M52/M$17)</f>
        <v>0.18650933306174181</v>
      </c>
      <c r="N164" s="156">
        <f t="shared" si="132"/>
        <v>0.17813750782091137</v>
      </c>
      <c r="O164" s="156">
        <f t="shared" si="132"/>
        <v>0.1801096027283946</v>
      </c>
      <c r="P164" s="156">
        <f t="shared" si="132"/>
        <v>0.17782753230776707</v>
      </c>
      <c r="Q164" s="156">
        <f t="shared" si="132"/>
        <v>0.17131571127229625</v>
      </c>
      <c r="R164" s="156">
        <f t="shared" si="132"/>
        <v>0.1759986257992735</v>
      </c>
      <c r="S164" s="156">
        <f t="shared" si="132"/>
        <v>0.18037793499701257</v>
      </c>
      <c r="T164" s="156">
        <f t="shared" si="132"/>
        <v>0.17992777860346293</v>
      </c>
      <c r="U164" s="156">
        <f t="shared" si="132"/>
        <v>0.18325285697229726</v>
      </c>
      <c r="V164" s="156">
        <f t="shared" si="132"/>
        <v>0.20810958531811694</v>
      </c>
      <c r="W164" s="156">
        <f t="shared" ref="W164:Y164" si="133">IF(W52=0,0,W52/W$17)</f>
        <v>0.19422900109080721</v>
      </c>
      <c r="X164" s="156">
        <f t="shared" si="133"/>
        <v>0.1832856901003326</v>
      </c>
      <c r="Y164" s="156">
        <f t="shared" si="133"/>
        <v>0.17771357583616559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0.12980826422377872</v>
      </c>
      <c r="C165" s="104">
        <f t="shared" si="134"/>
        <v>0.12853573568843499</v>
      </c>
      <c r="D165" s="104">
        <f t="shared" si="134"/>
        <v>0.12719551069518417</v>
      </c>
      <c r="E165" s="104">
        <f t="shared" si="134"/>
        <v>0.12789473193631695</v>
      </c>
      <c r="F165" s="104">
        <f t="shared" si="134"/>
        <v>0.13336182931710575</v>
      </c>
      <c r="G165" s="104">
        <f t="shared" si="134"/>
        <v>0.13344667060539375</v>
      </c>
      <c r="H165" s="104">
        <f t="shared" si="134"/>
        <v>0.1332378690995531</v>
      </c>
      <c r="I165" s="104">
        <f t="shared" si="134"/>
        <v>0.13537811825869295</v>
      </c>
      <c r="J165" s="104">
        <f t="shared" si="134"/>
        <v>0.12951545276503615</v>
      </c>
      <c r="K165" s="104">
        <f t="shared" si="134"/>
        <v>0.11422923621114305</v>
      </c>
      <c r="L165" s="104">
        <f t="shared" ref="L165" si="135">IF(L53=0,0,L53/L$17)</f>
        <v>0.11962003906974045</v>
      </c>
      <c r="M165" s="104">
        <f t="shared" ref="M165:V165" si="136">IF(M53=0,0,M53/M$17)</f>
        <v>0.11902982644335083</v>
      </c>
      <c r="N165" s="104">
        <f t="shared" si="136"/>
        <v>0.11107106404671639</v>
      </c>
      <c r="O165" s="104">
        <f t="shared" si="136"/>
        <v>0.10992229622754225</v>
      </c>
      <c r="P165" s="104">
        <f t="shared" si="136"/>
        <v>0.10753672588432317</v>
      </c>
      <c r="Q165" s="104">
        <f t="shared" si="136"/>
        <v>0.10007690155525276</v>
      </c>
      <c r="R165" s="104">
        <f t="shared" si="136"/>
        <v>0.10249277355919</v>
      </c>
      <c r="S165" s="104">
        <f t="shared" si="136"/>
        <v>0.10295266859540896</v>
      </c>
      <c r="T165" s="104">
        <f t="shared" si="136"/>
        <v>0.10157161452955692</v>
      </c>
      <c r="U165" s="104">
        <f t="shared" si="136"/>
        <v>0.10199345635145124</v>
      </c>
      <c r="V165" s="104">
        <f t="shared" si="136"/>
        <v>0.11477761880777897</v>
      </c>
      <c r="W165" s="104">
        <f t="shared" ref="W165:Y165" si="137">IF(W53=0,0,W53/W$17)</f>
        <v>0.10422422910767194</v>
      </c>
      <c r="X165" s="104">
        <f t="shared" si="137"/>
        <v>9.7438924457520851E-2</v>
      </c>
      <c r="Y165" s="104">
        <f t="shared" si="137"/>
        <v>9.5378540877837051E-2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6.1757762862156E-2</v>
      </c>
      <c r="C166" s="105">
        <f t="shared" si="138"/>
        <v>6.2982666130749959E-2</v>
      </c>
      <c r="D166" s="105">
        <f t="shared" si="138"/>
        <v>6.4920537540184828E-2</v>
      </c>
      <c r="E166" s="105">
        <f t="shared" si="138"/>
        <v>6.5737451810497546E-2</v>
      </c>
      <c r="F166" s="105">
        <f t="shared" si="138"/>
        <v>7.4874164146780234E-2</v>
      </c>
      <c r="G166" s="105">
        <f t="shared" si="138"/>
        <v>7.7576002056064103E-2</v>
      </c>
      <c r="H166" s="105">
        <f t="shared" si="138"/>
        <v>7.8376356957063631E-2</v>
      </c>
      <c r="I166" s="105">
        <f t="shared" si="138"/>
        <v>7.8337644674128321E-2</v>
      </c>
      <c r="J166" s="105">
        <f t="shared" si="138"/>
        <v>7.908906126995903E-2</v>
      </c>
      <c r="K166" s="105">
        <f t="shared" si="138"/>
        <v>7.2659225713807632E-2</v>
      </c>
      <c r="L166" s="105">
        <f t="shared" ref="L166" si="139">IF(L55=0,0,L55/L$17)</f>
        <v>7.285582606418467E-2</v>
      </c>
      <c r="M166" s="105">
        <f t="shared" ref="M166:V166" si="140">IF(M55=0,0,M55/M$17)</f>
        <v>6.7479506618390958E-2</v>
      </c>
      <c r="N166" s="105">
        <f t="shared" si="140"/>
        <v>6.7066443774194989E-2</v>
      </c>
      <c r="O166" s="105">
        <f t="shared" si="140"/>
        <v>7.0187306500852351E-2</v>
      </c>
      <c r="P166" s="105">
        <f t="shared" si="140"/>
        <v>7.0290806423443916E-2</v>
      </c>
      <c r="Q166" s="105">
        <f t="shared" si="140"/>
        <v>7.1238809717043508E-2</v>
      </c>
      <c r="R166" s="105">
        <f t="shared" si="140"/>
        <v>7.3505852240083505E-2</v>
      </c>
      <c r="S166" s="105">
        <f t="shared" si="140"/>
        <v>7.7425266401603604E-2</v>
      </c>
      <c r="T166" s="105">
        <f t="shared" si="140"/>
        <v>7.8356164073906012E-2</v>
      </c>
      <c r="U166" s="105">
        <f t="shared" si="140"/>
        <v>8.1259400620846037E-2</v>
      </c>
      <c r="V166" s="105">
        <f t="shared" si="140"/>
        <v>9.3331966510337969E-2</v>
      </c>
      <c r="W166" s="105">
        <f t="shared" ref="W166:Y166" si="141">IF(W55=0,0,W55/W$17)</f>
        <v>9.0004771983135265E-2</v>
      </c>
      <c r="X166" s="105">
        <f t="shared" si="141"/>
        <v>8.5846765642811754E-2</v>
      </c>
      <c r="Y166" s="105">
        <f t="shared" si="141"/>
        <v>8.2335034958328529E-2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127894.12777944002</v>
      </c>
      <c r="C4" s="146">
        <f t="shared" si="0"/>
        <v>130124.18468448</v>
      </c>
      <c r="D4" s="146">
        <f t="shared" si="0"/>
        <v>130228.65332531999</v>
      </c>
      <c r="E4" s="146">
        <f t="shared" si="0"/>
        <v>127903.90912163997</v>
      </c>
      <c r="F4" s="146">
        <f t="shared" si="0"/>
        <v>128071.65417732002</v>
      </c>
      <c r="G4" s="146">
        <f t="shared" si="0"/>
        <v>126060.558363</v>
      </c>
      <c r="H4" s="146">
        <f t="shared" si="0"/>
        <v>126375.21106847998</v>
      </c>
      <c r="I4" s="146">
        <f t="shared" si="0"/>
        <v>125535.13553088001</v>
      </c>
      <c r="J4" s="146">
        <f t="shared" si="0"/>
        <v>119603.70803735999</v>
      </c>
      <c r="K4" s="146">
        <f t="shared" si="0"/>
        <v>118383.30402407999</v>
      </c>
      <c r="L4" s="146">
        <f t="shared" ref="L4" si="1">L5+L9+L10+L15</f>
        <v>118827.78425243999</v>
      </c>
      <c r="M4" s="146">
        <f t="shared" ref="M4:V4" si="2">M5+M9+M10+M15</f>
        <v>124859.5045218</v>
      </c>
      <c r="N4" s="146">
        <f t="shared" si="2"/>
        <v>122622.00946769695</v>
      </c>
      <c r="O4" s="146">
        <f t="shared" si="2"/>
        <v>122166.93169063434</v>
      </c>
      <c r="P4" s="146">
        <f t="shared" si="2"/>
        <v>121619.95191500585</v>
      </c>
      <c r="Q4" s="146">
        <f t="shared" si="2"/>
        <v>123217.46026481871</v>
      </c>
      <c r="R4" s="146">
        <f t="shared" si="2"/>
        <v>123904.9448126542</v>
      </c>
      <c r="S4" s="146">
        <f t="shared" si="2"/>
        <v>124000.11867160274</v>
      </c>
      <c r="T4" s="146">
        <f t="shared" si="2"/>
        <v>121548.95080790186</v>
      </c>
      <c r="U4" s="146">
        <f t="shared" si="2"/>
        <v>120376.36319031172</v>
      </c>
      <c r="V4" s="146">
        <f t="shared" si="2"/>
        <v>102466.41337547892</v>
      </c>
      <c r="W4" s="146">
        <f t="shared" ref="W4:Y4" si="3">W5+W9+W10+W15</f>
        <v>116233.55991936318</v>
      </c>
      <c r="X4" s="146">
        <f t="shared" si="3"/>
        <v>118436.9418940382</v>
      </c>
      <c r="Y4" s="146">
        <f t="shared" si="3"/>
        <v>114820.05980108927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127892.61307944002</v>
      </c>
      <c r="C5" s="101">
        <f t="shared" si="4"/>
        <v>130105.30142448</v>
      </c>
      <c r="D5" s="101">
        <f t="shared" si="4"/>
        <v>130206.63968531998</v>
      </c>
      <c r="E5" s="101">
        <f t="shared" si="4"/>
        <v>127873.05993359997</v>
      </c>
      <c r="F5" s="101">
        <f t="shared" si="4"/>
        <v>128037.06832536001</v>
      </c>
      <c r="G5" s="101">
        <f t="shared" si="4"/>
        <v>126022.48930692</v>
      </c>
      <c r="H5" s="101">
        <f t="shared" si="4"/>
        <v>126324.87274043998</v>
      </c>
      <c r="I5" s="101">
        <f t="shared" si="4"/>
        <v>125478.53684676001</v>
      </c>
      <c r="J5" s="101">
        <f t="shared" si="4"/>
        <v>119534.48665127999</v>
      </c>
      <c r="K5" s="101">
        <f t="shared" si="4"/>
        <v>118314.08304191999</v>
      </c>
      <c r="L5" s="101">
        <f t="shared" ref="L5" si="5">SUM(L6:L8)</f>
        <v>118755.43107263999</v>
      </c>
      <c r="M5" s="101">
        <f t="shared" ref="M5:V5" si="6">SUM(M6:M8)</f>
        <v>124692.86490227999</v>
      </c>
      <c r="N5" s="101">
        <f t="shared" si="6"/>
        <v>122436.31079376</v>
      </c>
      <c r="O5" s="101">
        <f t="shared" si="6"/>
        <v>121958.71314263999</v>
      </c>
      <c r="P5" s="101">
        <f t="shared" si="6"/>
        <v>121393.97629667999</v>
      </c>
      <c r="Q5" s="101">
        <f t="shared" si="6"/>
        <v>122984.38988640001</v>
      </c>
      <c r="R5" s="101">
        <f t="shared" si="6"/>
        <v>123660.86515452</v>
      </c>
      <c r="S5" s="101">
        <f t="shared" si="6"/>
        <v>123735.64687739999</v>
      </c>
      <c r="T5" s="101">
        <f t="shared" si="6"/>
        <v>121243.47203700001</v>
      </c>
      <c r="U5" s="101">
        <f t="shared" si="6"/>
        <v>120002.93383103999</v>
      </c>
      <c r="V5" s="101">
        <f t="shared" si="6"/>
        <v>102022.81884935999</v>
      </c>
      <c r="W5" s="101">
        <f t="shared" ref="W5:Y5" si="7">SUM(W6:W8)</f>
        <v>115612.55253863998</v>
      </c>
      <c r="X5" s="101">
        <f t="shared" si="7"/>
        <v>117711.73843487998</v>
      </c>
      <c r="Y5" s="101">
        <f t="shared" si="7"/>
        <v>114007.32616823999</v>
      </c>
      <c r="DA5" s="175"/>
    </row>
    <row r="6" spans="1:105" ht="11.45" customHeight="1" x14ac:dyDescent="0.25">
      <c r="A6" s="128" t="s">
        <v>52</v>
      </c>
      <c r="B6" s="101">
        <v>647.66473524000014</v>
      </c>
      <c r="C6" s="101">
        <v>626.77237572000013</v>
      </c>
      <c r="D6" s="101">
        <v>561.11041476000003</v>
      </c>
      <c r="E6" s="101">
        <v>481.83157475999997</v>
      </c>
      <c r="F6" s="101">
        <v>438.29249904000005</v>
      </c>
      <c r="G6" s="101">
        <v>403.46137475999996</v>
      </c>
      <c r="H6" s="101">
        <v>377.33797476000007</v>
      </c>
      <c r="I6" s="101">
        <v>342.50685048000003</v>
      </c>
      <c r="J6" s="101">
        <v>322.18852427999997</v>
      </c>
      <c r="K6" s="101">
        <v>287.35739999999993</v>
      </c>
      <c r="L6" s="101">
        <v>333.79889904000004</v>
      </c>
      <c r="M6" s="101">
        <v>367.18755732000005</v>
      </c>
      <c r="N6" s="101">
        <v>334.65824531999993</v>
      </c>
      <c r="O6" s="101">
        <v>296.59054536000008</v>
      </c>
      <c r="P6" s="101">
        <v>264.85061436000001</v>
      </c>
      <c r="Q6" s="101">
        <v>235.17738504000005</v>
      </c>
      <c r="R6" s="101">
        <v>211.70108052</v>
      </c>
      <c r="S6" s="101">
        <v>186.80252724000002</v>
      </c>
      <c r="T6" s="101">
        <v>163.94455224000004</v>
      </c>
      <c r="U6" s="101">
        <v>152.72330256000004</v>
      </c>
      <c r="V6" s="101">
        <v>103.05385992000001</v>
      </c>
      <c r="W6" s="101">
        <v>144.45944892000003</v>
      </c>
      <c r="X6" s="101">
        <v>242.71841556000001</v>
      </c>
      <c r="Y6" s="101">
        <v>298.73266416000001</v>
      </c>
      <c r="DA6" s="175" t="s">
        <v>741</v>
      </c>
    </row>
    <row r="7" spans="1:105" ht="11.45" customHeight="1" x14ac:dyDescent="0.25">
      <c r="A7" s="128" t="s">
        <v>53</v>
      </c>
      <c r="B7" s="101">
        <v>41208.475714560009</v>
      </c>
      <c r="C7" s="101">
        <v>40115.559219119983</v>
      </c>
      <c r="D7" s="101">
        <v>38651.173989119983</v>
      </c>
      <c r="E7" s="101">
        <v>35924.857796519995</v>
      </c>
      <c r="F7" s="101">
        <v>33979.512548520004</v>
      </c>
      <c r="G7" s="101">
        <v>31756.696143480014</v>
      </c>
      <c r="H7" s="101">
        <v>29604.010063319984</v>
      </c>
      <c r="I7" s="101">
        <v>27463.520311919998</v>
      </c>
      <c r="J7" s="101">
        <v>24380.84913264</v>
      </c>
      <c r="K7" s="101">
        <v>23447.815138440001</v>
      </c>
      <c r="L7" s="101">
        <v>21560.403138120004</v>
      </c>
      <c r="M7" s="101">
        <v>22013.248256999996</v>
      </c>
      <c r="N7" s="101">
        <v>20392.39316268</v>
      </c>
      <c r="O7" s="101">
        <v>19693.256647679998</v>
      </c>
      <c r="P7" s="101">
        <v>19588.458083040001</v>
      </c>
      <c r="Q7" s="101">
        <v>19880.529059159999</v>
      </c>
      <c r="R7" s="101">
        <v>20387.581940879998</v>
      </c>
      <c r="S7" s="101">
        <v>20947.728657240001</v>
      </c>
      <c r="T7" s="101">
        <v>21653.647535519998</v>
      </c>
      <c r="U7" s="101">
        <v>23125.257706320001</v>
      </c>
      <c r="V7" s="101">
        <v>19930.18480992</v>
      </c>
      <c r="W7" s="101">
        <v>23937.498723600002</v>
      </c>
      <c r="X7" s="101">
        <v>26191.081251719996</v>
      </c>
      <c r="Y7" s="101">
        <v>27904.917791519998</v>
      </c>
      <c r="DA7" s="175" t="s">
        <v>742</v>
      </c>
    </row>
    <row r="8" spans="1:105" ht="11.45" customHeight="1" x14ac:dyDescent="0.25">
      <c r="A8" s="128" t="s">
        <v>54</v>
      </c>
      <c r="B8" s="101">
        <v>86036.472629640004</v>
      </c>
      <c r="C8" s="101">
        <v>89362.969829640017</v>
      </c>
      <c r="D8" s="101">
        <v>90994.355281440003</v>
      </c>
      <c r="E8" s="101">
        <v>91466.370562319978</v>
      </c>
      <c r="F8" s="101">
        <v>93619.263277800012</v>
      </c>
      <c r="G8" s="101">
        <v>93862.331788679992</v>
      </c>
      <c r="H8" s="101">
        <v>96343.524702359995</v>
      </c>
      <c r="I8" s="101">
        <v>97672.509684360004</v>
      </c>
      <c r="J8" s="101">
        <v>94831.448994359991</v>
      </c>
      <c r="K8" s="101">
        <v>94578.910503479987</v>
      </c>
      <c r="L8" s="101">
        <v>96861.229035479977</v>
      </c>
      <c r="M8" s="101">
        <v>102312.42908796</v>
      </c>
      <c r="N8" s="101">
        <v>101709.25938576</v>
      </c>
      <c r="O8" s="101">
        <v>101968.86594959999</v>
      </c>
      <c r="P8" s="101">
        <v>101540.66759927999</v>
      </c>
      <c r="Q8" s="101">
        <v>102868.68344220001</v>
      </c>
      <c r="R8" s="101">
        <v>103061.58213312</v>
      </c>
      <c r="S8" s="101">
        <v>102601.11569291999</v>
      </c>
      <c r="T8" s="101">
        <v>99425.879949240014</v>
      </c>
      <c r="U8" s="101">
        <v>96724.95282215999</v>
      </c>
      <c r="V8" s="101">
        <v>81989.580179519995</v>
      </c>
      <c r="W8" s="101">
        <v>91530.594366119985</v>
      </c>
      <c r="X8" s="101">
        <v>91277.93876759999</v>
      </c>
      <c r="Y8" s="101">
        <v>85803.675712559983</v>
      </c>
      <c r="DA8" s="175" t="s">
        <v>743</v>
      </c>
    </row>
    <row r="9" spans="1:105" ht="11.45" customHeight="1" x14ac:dyDescent="0.25">
      <c r="A9" s="92" t="s">
        <v>55</v>
      </c>
      <c r="B9" s="101">
        <v>1.5146999999999999</v>
      </c>
      <c r="C9" s="101">
        <v>18.88326</v>
      </c>
      <c r="D9" s="101">
        <v>22.013640000000002</v>
      </c>
      <c r="E9" s="101">
        <v>30.849188039999991</v>
      </c>
      <c r="F9" s="101">
        <v>34.585851960000006</v>
      </c>
      <c r="G9" s="101">
        <v>38.069056079999996</v>
      </c>
      <c r="H9" s="101">
        <v>50.338328039999993</v>
      </c>
      <c r="I9" s="101">
        <v>56.598684120000009</v>
      </c>
      <c r="J9" s="101">
        <v>69.221386080000002</v>
      </c>
      <c r="K9" s="101">
        <v>69.220982160000005</v>
      </c>
      <c r="L9" s="101">
        <v>72.353179800000007</v>
      </c>
      <c r="M9" s="101">
        <v>166.63961952</v>
      </c>
      <c r="N9" s="101">
        <v>185.69867393694054</v>
      </c>
      <c r="O9" s="101">
        <v>208.21854799436304</v>
      </c>
      <c r="P9" s="101">
        <v>225.97561832585305</v>
      </c>
      <c r="Q9" s="101">
        <v>233.07037841870755</v>
      </c>
      <c r="R9" s="101">
        <v>244.07965813419466</v>
      </c>
      <c r="S9" s="101">
        <v>264.47179420275575</v>
      </c>
      <c r="T9" s="101">
        <v>305.47877090184522</v>
      </c>
      <c r="U9" s="101">
        <v>373.42935927172329</v>
      </c>
      <c r="V9" s="101">
        <v>443.59452611892755</v>
      </c>
      <c r="W9" s="101">
        <v>621.00738072320371</v>
      </c>
      <c r="X9" s="101">
        <v>725.20345915821815</v>
      </c>
      <c r="Y9" s="101">
        <v>812.73363284928746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127894.12777944002</v>
      </c>
      <c r="C17" s="79">
        <f t="shared" si="12"/>
        <v>130124.18468448</v>
      </c>
      <c r="D17" s="79">
        <f t="shared" si="12"/>
        <v>130228.65332531999</v>
      </c>
      <c r="E17" s="79">
        <f t="shared" si="12"/>
        <v>127903.90912163998</v>
      </c>
      <c r="F17" s="79">
        <f t="shared" si="12"/>
        <v>128071.65417731999</v>
      </c>
      <c r="G17" s="79">
        <f t="shared" si="12"/>
        <v>126060.558363</v>
      </c>
      <c r="H17" s="79">
        <f t="shared" si="12"/>
        <v>126375.21106847997</v>
      </c>
      <c r="I17" s="79">
        <f t="shared" si="12"/>
        <v>125535.13553088001</v>
      </c>
      <c r="J17" s="79">
        <f t="shared" si="12"/>
        <v>119603.70803735999</v>
      </c>
      <c r="K17" s="79">
        <f t="shared" si="12"/>
        <v>118383.30402407999</v>
      </c>
      <c r="L17" s="79">
        <f t="shared" ref="L17" si="13">SUM(L18,L33)</f>
        <v>118827.78425243996</v>
      </c>
      <c r="M17" s="79">
        <f t="shared" ref="M17:V17" si="14">SUM(M18,M33)</f>
        <v>124859.50452179997</v>
      </c>
      <c r="N17" s="79">
        <f t="shared" si="14"/>
        <v>122622.00946769693</v>
      </c>
      <c r="O17" s="79">
        <f t="shared" si="14"/>
        <v>122166.93169063434</v>
      </c>
      <c r="P17" s="79">
        <f t="shared" si="14"/>
        <v>121619.95191500583</v>
      </c>
      <c r="Q17" s="79">
        <f t="shared" si="14"/>
        <v>123217.46026481871</v>
      </c>
      <c r="R17" s="79">
        <f t="shared" si="14"/>
        <v>123904.9448126542</v>
      </c>
      <c r="S17" s="79">
        <f t="shared" si="14"/>
        <v>124000.11867160274</v>
      </c>
      <c r="T17" s="79">
        <f t="shared" si="14"/>
        <v>121548.95080790186</v>
      </c>
      <c r="U17" s="79">
        <f t="shared" si="14"/>
        <v>120376.36319031172</v>
      </c>
      <c r="V17" s="79">
        <f t="shared" si="14"/>
        <v>102466.41337547891</v>
      </c>
      <c r="W17" s="79">
        <f t="shared" ref="W17:Y17" si="15">SUM(W18,W33)</f>
        <v>116233.55991936321</v>
      </c>
      <c r="X17" s="79">
        <f t="shared" si="15"/>
        <v>118436.9418940382</v>
      </c>
      <c r="Y17" s="79">
        <f t="shared" si="15"/>
        <v>114820.05980108926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81476.169126544846</v>
      </c>
      <c r="C18" s="32">
        <f t="shared" si="16"/>
        <v>83387.47806780893</v>
      </c>
      <c r="D18" s="32">
        <f t="shared" si="16"/>
        <v>83725.707245428872</v>
      </c>
      <c r="E18" s="32">
        <f t="shared" si="16"/>
        <v>82335.429466945599</v>
      </c>
      <c r="F18" s="32">
        <f t="shared" si="16"/>
        <v>81253.44412870158</v>
      </c>
      <c r="G18" s="32">
        <f t="shared" si="16"/>
        <v>79795.610397630997</v>
      </c>
      <c r="H18" s="32">
        <f t="shared" si="16"/>
        <v>80163.273329107396</v>
      </c>
      <c r="I18" s="32">
        <f t="shared" si="16"/>
        <v>79804.906947954747</v>
      </c>
      <c r="J18" s="32">
        <f t="shared" si="16"/>
        <v>76842.555487249672</v>
      </c>
      <c r="K18" s="32">
        <f t="shared" si="16"/>
        <v>78235.77695979891</v>
      </c>
      <c r="L18" s="32">
        <f t="shared" ref="L18" si="17">SUM(L19,L20,L27)</f>
        <v>77440.446395295832</v>
      </c>
      <c r="M18" s="32">
        <f t="shared" ref="M18:V18" si="18">SUM(M19,M20,M27)</f>
        <v>81834.604394094364</v>
      </c>
      <c r="N18" s="32">
        <f t="shared" si="18"/>
        <v>81014.303512709957</v>
      </c>
      <c r="O18" s="32">
        <f t="shared" si="18"/>
        <v>80285.480481343024</v>
      </c>
      <c r="P18" s="32">
        <f t="shared" si="18"/>
        <v>80484.238197524784</v>
      </c>
      <c r="Q18" s="32">
        <f t="shared" si="18"/>
        <v>81943.627595581056</v>
      </c>
      <c r="R18" s="32">
        <f t="shared" si="18"/>
        <v>82068.833419969684</v>
      </c>
      <c r="S18" s="32">
        <f t="shared" si="18"/>
        <v>81258.176240766741</v>
      </c>
      <c r="T18" s="32">
        <f t="shared" si="18"/>
        <v>79343.736456990839</v>
      </c>
      <c r="U18" s="32">
        <f t="shared" si="18"/>
        <v>78129.747632453</v>
      </c>
      <c r="V18" s="32">
        <f t="shared" si="18"/>
        <v>63697.015172042797</v>
      </c>
      <c r="W18" s="32">
        <f t="shared" ref="W18:Y18" si="19">SUM(W19,W20,W27)</f>
        <v>72866.773646393078</v>
      </c>
      <c r="X18" s="32">
        <f t="shared" si="19"/>
        <v>76056.584265261525</v>
      </c>
      <c r="Y18" s="32">
        <f t="shared" si="19"/>
        <v>74205.369095113027</v>
      </c>
      <c r="DA18" s="173" t="s">
        <v>403</v>
      </c>
    </row>
    <row r="19" spans="1:105" ht="11.45" customHeight="1" x14ac:dyDescent="0.25">
      <c r="A19" s="136" t="s">
        <v>173</v>
      </c>
      <c r="B19" s="141">
        <v>1037.2695092802005</v>
      </c>
      <c r="C19" s="141">
        <v>1133.0083653642723</v>
      </c>
      <c r="D19" s="141">
        <v>1254.2966646852392</v>
      </c>
      <c r="E19" s="141">
        <v>1251.5887429857187</v>
      </c>
      <c r="F19" s="141">
        <v>1327.7466790151741</v>
      </c>
      <c r="G19" s="141">
        <v>1349.6838944233655</v>
      </c>
      <c r="H19" s="141">
        <v>1340.233486962785</v>
      </c>
      <c r="I19" s="141">
        <v>1366.2143076677237</v>
      </c>
      <c r="J19" s="141">
        <v>1406.5234463256479</v>
      </c>
      <c r="K19" s="141">
        <v>1454.6224689031353</v>
      </c>
      <c r="L19" s="141">
        <v>1439.5290884793601</v>
      </c>
      <c r="M19" s="141">
        <v>1433.4608161636188</v>
      </c>
      <c r="N19" s="141">
        <v>1429.3296556677153</v>
      </c>
      <c r="O19" s="141">
        <v>1445.2250053583734</v>
      </c>
      <c r="P19" s="141">
        <v>1470.5747212935451</v>
      </c>
      <c r="Q19" s="141">
        <v>1475.7948217957169</v>
      </c>
      <c r="R19" s="141">
        <v>1359.1675838265901</v>
      </c>
      <c r="S19" s="141">
        <v>1282.5543428968683</v>
      </c>
      <c r="T19" s="141">
        <v>1268.308723140846</v>
      </c>
      <c r="U19" s="141">
        <v>1292.5760411627909</v>
      </c>
      <c r="V19" s="141">
        <v>1088.7405097385697</v>
      </c>
      <c r="W19" s="141">
        <v>1139.5645036772275</v>
      </c>
      <c r="X19" s="141">
        <v>1206.396951424806</v>
      </c>
      <c r="Y19" s="141">
        <v>1272.0016953448267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75252.695978233111</v>
      </c>
      <c r="C20" s="130">
        <f t="shared" si="20"/>
        <v>77184.480161986823</v>
      </c>
      <c r="D20" s="130">
        <f t="shared" si="20"/>
        <v>77404.116798795134</v>
      </c>
      <c r="E20" s="130">
        <f t="shared" si="20"/>
        <v>75994.41852831727</v>
      </c>
      <c r="F20" s="130">
        <f t="shared" si="20"/>
        <v>74777.100435101791</v>
      </c>
      <c r="G20" s="130">
        <f t="shared" si="20"/>
        <v>73322.641110371638</v>
      </c>
      <c r="H20" s="130">
        <f t="shared" si="20"/>
        <v>73497.35103610417</v>
      </c>
      <c r="I20" s="130">
        <f t="shared" si="20"/>
        <v>73083.887785242783</v>
      </c>
      <c r="J20" s="130">
        <f t="shared" si="20"/>
        <v>70215.544539392344</v>
      </c>
      <c r="K20" s="130">
        <f t="shared" si="20"/>
        <v>71800.793026400017</v>
      </c>
      <c r="L20" s="130">
        <f t="shared" ref="L20" si="21">SUM(L21:L26)</f>
        <v>71156.871715289657</v>
      </c>
      <c r="M20" s="130">
        <f t="shared" ref="M20:V20" si="22">SUM(M21:M26)</f>
        <v>75588.874248716631</v>
      </c>
      <c r="N20" s="130">
        <f t="shared" si="22"/>
        <v>74840.693744959353</v>
      </c>
      <c r="O20" s="130">
        <f t="shared" si="22"/>
        <v>74452.1766078988</v>
      </c>
      <c r="P20" s="130">
        <f t="shared" si="22"/>
        <v>74607.007176971543</v>
      </c>
      <c r="Q20" s="130">
        <f t="shared" si="22"/>
        <v>75971.624627751895</v>
      </c>
      <c r="R20" s="130">
        <f t="shared" si="22"/>
        <v>76086.274384444274</v>
      </c>
      <c r="S20" s="130">
        <f t="shared" si="22"/>
        <v>75486.466724619648</v>
      </c>
      <c r="T20" s="130">
        <f t="shared" si="22"/>
        <v>73550.582338068009</v>
      </c>
      <c r="U20" s="130">
        <f t="shared" si="22"/>
        <v>72313.547960408541</v>
      </c>
      <c r="V20" s="130">
        <f t="shared" si="22"/>
        <v>59223.401848456735</v>
      </c>
      <c r="W20" s="130">
        <f t="shared" ref="W20:Y20" si="23">SUM(W21:W26)</f>
        <v>67778.374318940696</v>
      </c>
      <c r="X20" s="130">
        <f t="shared" si="23"/>
        <v>70657.140620780599</v>
      </c>
      <c r="Y20" s="130">
        <f t="shared" si="23"/>
        <v>68821.856912969321</v>
      </c>
      <c r="DA20" s="176" t="s">
        <v>405</v>
      </c>
    </row>
    <row r="21" spans="1:105" ht="11.45" customHeight="1" x14ac:dyDescent="0.25">
      <c r="A21" s="111" t="s">
        <v>110</v>
      </c>
      <c r="B21" s="96">
        <v>37131.935570173766</v>
      </c>
      <c r="C21" s="96">
        <v>36408.808550407652</v>
      </c>
      <c r="D21" s="96">
        <v>35265.513481769602</v>
      </c>
      <c r="E21" s="96">
        <v>32993.10597561441</v>
      </c>
      <c r="F21" s="96">
        <v>31332.939708790935</v>
      </c>
      <c r="G21" s="96">
        <v>29317.933998102239</v>
      </c>
      <c r="H21" s="96">
        <v>27338.853134974161</v>
      </c>
      <c r="I21" s="96">
        <v>25306.47924325012</v>
      </c>
      <c r="J21" s="96">
        <v>22303.043192507452</v>
      </c>
      <c r="K21" s="96">
        <v>21387.136119832761</v>
      </c>
      <c r="L21" s="96">
        <v>19469.621117279185</v>
      </c>
      <c r="M21" s="96">
        <v>19848.951178033993</v>
      </c>
      <c r="N21" s="96">
        <v>18192.137209149852</v>
      </c>
      <c r="O21" s="96">
        <v>17432.092626402169</v>
      </c>
      <c r="P21" s="96">
        <v>17399.687135925531</v>
      </c>
      <c r="Q21" s="96">
        <v>17742.743340322915</v>
      </c>
      <c r="R21" s="96">
        <v>18386.743585617158</v>
      </c>
      <c r="S21" s="96">
        <v>19024.092816790726</v>
      </c>
      <c r="T21" s="96">
        <v>19753.373355067444</v>
      </c>
      <c r="U21" s="96">
        <v>21218.021847047126</v>
      </c>
      <c r="V21" s="96">
        <v>18302.160842264635</v>
      </c>
      <c r="W21" s="96">
        <v>22084.850259721388</v>
      </c>
      <c r="X21" s="96">
        <v>24160.978322081522</v>
      </c>
      <c r="Y21" s="96">
        <v>25627.191744396259</v>
      </c>
      <c r="DA21" s="171" t="s">
        <v>751</v>
      </c>
    </row>
    <row r="22" spans="1:105" ht="11.45" customHeight="1" x14ac:dyDescent="0.25">
      <c r="A22" s="111" t="s">
        <v>111</v>
      </c>
      <c r="B22" s="96">
        <v>37550.131599959634</v>
      </c>
      <c r="C22" s="96">
        <v>40230.871809893542</v>
      </c>
      <c r="D22" s="96">
        <v>41661.114738113189</v>
      </c>
      <c r="E22" s="96">
        <v>42603.170668991326</v>
      </c>
      <c r="F22" s="96">
        <v>43090.449357853009</v>
      </c>
      <c r="G22" s="96">
        <v>43687.569796620155</v>
      </c>
      <c r="H22" s="96">
        <v>45871.903424658674</v>
      </c>
      <c r="I22" s="96">
        <v>47506.464264403257</v>
      </c>
      <c r="J22" s="96">
        <v>47653.585880217164</v>
      </c>
      <c r="K22" s="96">
        <v>50191.450627205668</v>
      </c>
      <c r="L22" s="96">
        <v>51417.339752385422</v>
      </c>
      <c r="M22" s="96">
        <v>55436.870476511605</v>
      </c>
      <c r="N22" s="96">
        <v>56374.5631549174</v>
      </c>
      <c r="O22" s="96">
        <v>56782.555868139534</v>
      </c>
      <c r="P22" s="96">
        <v>56998.357961021036</v>
      </c>
      <c r="Q22" s="96">
        <v>58047.58269235029</v>
      </c>
      <c r="R22" s="96">
        <v>57536.50059596559</v>
      </c>
      <c r="S22" s="96">
        <v>56317.003701626541</v>
      </c>
      <c r="T22" s="96">
        <v>53658.633130319613</v>
      </c>
      <c r="U22" s="96">
        <v>50954.089000024178</v>
      </c>
      <c r="V22" s="96">
        <v>40795.320331411924</v>
      </c>
      <c r="W22" s="96">
        <v>45474.850278685743</v>
      </c>
      <c r="X22" s="96">
        <v>46119.589429480962</v>
      </c>
      <c r="Y22" s="96">
        <v>42707.511046318177</v>
      </c>
      <c r="DA22" s="171" t="s">
        <v>752</v>
      </c>
    </row>
    <row r="23" spans="1:105" ht="11.45" customHeight="1" x14ac:dyDescent="0.25">
      <c r="A23" s="111" t="s">
        <v>112</v>
      </c>
      <c r="B23" s="96">
        <v>570.62880809970125</v>
      </c>
      <c r="C23" s="96">
        <v>544.7998016856219</v>
      </c>
      <c r="D23" s="96">
        <v>477.48857891234951</v>
      </c>
      <c r="E23" s="96">
        <v>398.14188371153705</v>
      </c>
      <c r="F23" s="96">
        <v>353.71136845785401</v>
      </c>
      <c r="G23" s="96">
        <v>317.13731564924251</v>
      </c>
      <c r="H23" s="96">
        <v>286.59447647133584</v>
      </c>
      <c r="I23" s="96">
        <v>269.32725611489826</v>
      </c>
      <c r="J23" s="96">
        <v>256.08670141761917</v>
      </c>
      <c r="K23" s="96">
        <v>218.48009216085464</v>
      </c>
      <c r="L23" s="96">
        <v>265.94850346340405</v>
      </c>
      <c r="M23" s="96">
        <v>298.94525203986876</v>
      </c>
      <c r="N23" s="96">
        <v>269.38426995691344</v>
      </c>
      <c r="O23" s="96">
        <v>232.6266809980801</v>
      </c>
      <c r="P23" s="96">
        <v>203.44638015462641</v>
      </c>
      <c r="Q23" s="96">
        <v>173.30908799497743</v>
      </c>
      <c r="R23" s="96">
        <v>151.39802345143593</v>
      </c>
      <c r="S23" s="96">
        <v>127.75873042384211</v>
      </c>
      <c r="T23" s="96">
        <v>113.23290159668561</v>
      </c>
      <c r="U23" s="96">
        <v>105.32548339218374</v>
      </c>
      <c r="V23" s="96">
        <v>70.088324568924563</v>
      </c>
      <c r="W23" s="96">
        <v>105.74693274626075</v>
      </c>
      <c r="X23" s="96">
        <v>203.81274109794867</v>
      </c>
      <c r="Y23" s="96">
        <v>254.45881462408173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1.6170214745149494</v>
      </c>
      <c r="J24" s="96">
        <v>2.8287652501100995</v>
      </c>
      <c r="K24" s="96">
        <v>3.7261872007297074</v>
      </c>
      <c r="L24" s="96">
        <v>3.9623421616632739</v>
      </c>
      <c r="M24" s="96">
        <v>4.1073421311702027</v>
      </c>
      <c r="N24" s="96">
        <v>4.3213279530875868</v>
      </c>
      <c r="O24" s="96">
        <v>4.2485087624334605</v>
      </c>
      <c r="P24" s="96">
        <v>4.2308548708963141</v>
      </c>
      <c r="Q24" s="96">
        <v>4.320046103297277</v>
      </c>
      <c r="R24" s="96">
        <v>4.5065781301734313</v>
      </c>
      <c r="S24" s="96">
        <v>4.4863115556433231</v>
      </c>
      <c r="T24" s="96">
        <v>4.3349956422872813</v>
      </c>
      <c r="U24" s="96">
        <v>4.6354929342444722</v>
      </c>
      <c r="V24" s="96">
        <v>4.1881345951340831</v>
      </c>
      <c r="W24" s="96">
        <v>4.8186701492979669</v>
      </c>
      <c r="X24" s="96">
        <v>5.1713984954443459</v>
      </c>
      <c r="Y24" s="96">
        <v>8.3663373059046915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0.28778298210214603</v>
      </c>
      <c r="O25" s="96">
        <v>0.65292359659068211</v>
      </c>
      <c r="P25" s="96">
        <v>1.2848449994636579</v>
      </c>
      <c r="Q25" s="96">
        <v>3.6694609804161984</v>
      </c>
      <c r="R25" s="96">
        <v>7.125601279928901</v>
      </c>
      <c r="S25" s="96">
        <v>13.12516422291004</v>
      </c>
      <c r="T25" s="96">
        <v>21.007955441974975</v>
      </c>
      <c r="U25" s="96">
        <v>31.47613701080612</v>
      </c>
      <c r="V25" s="96">
        <v>51.644215616120213</v>
      </c>
      <c r="W25" s="96">
        <v>108.10817763800304</v>
      </c>
      <c r="X25" s="96">
        <v>167.58872962471813</v>
      </c>
      <c r="Y25" s="96">
        <v>224.32897032488427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5186.2036390315379</v>
      </c>
      <c r="C27" s="130">
        <f t="shared" si="24"/>
        <v>5069.9895404578374</v>
      </c>
      <c r="D27" s="130">
        <f t="shared" si="24"/>
        <v>5067.2937819484869</v>
      </c>
      <c r="E27" s="130">
        <f t="shared" si="24"/>
        <v>5089.4221956426054</v>
      </c>
      <c r="F27" s="130">
        <f t="shared" si="24"/>
        <v>5148.5970145846122</v>
      </c>
      <c r="G27" s="130">
        <f t="shared" si="24"/>
        <v>5123.2853928359918</v>
      </c>
      <c r="H27" s="130">
        <f t="shared" si="24"/>
        <v>5325.6888060404481</v>
      </c>
      <c r="I27" s="130">
        <f t="shared" si="24"/>
        <v>5354.8048550442409</v>
      </c>
      <c r="J27" s="130">
        <f t="shared" si="24"/>
        <v>5220.4875015316729</v>
      </c>
      <c r="K27" s="130">
        <f t="shared" si="24"/>
        <v>4980.3614644957506</v>
      </c>
      <c r="L27" s="130">
        <f t="shared" ref="L27" si="25">SUM(L28:L32)</f>
        <v>4844.0455915268167</v>
      </c>
      <c r="M27" s="130">
        <f t="shared" ref="M27:V27" si="26">SUM(M28:M32)</f>
        <v>4812.2693292141239</v>
      </c>
      <c r="N27" s="130">
        <f t="shared" si="26"/>
        <v>4744.2801120828954</v>
      </c>
      <c r="O27" s="130">
        <f t="shared" si="26"/>
        <v>4388.0788680858577</v>
      </c>
      <c r="P27" s="130">
        <f t="shared" si="26"/>
        <v>4406.6562992596992</v>
      </c>
      <c r="Q27" s="130">
        <f t="shared" si="26"/>
        <v>4496.2081460334457</v>
      </c>
      <c r="R27" s="130">
        <f t="shared" si="26"/>
        <v>4623.3914516988189</v>
      </c>
      <c r="S27" s="130">
        <f t="shared" si="26"/>
        <v>4489.1551732502257</v>
      </c>
      <c r="T27" s="130">
        <f t="shared" si="26"/>
        <v>4524.8453957819893</v>
      </c>
      <c r="U27" s="130">
        <f t="shared" si="26"/>
        <v>4523.6236308816697</v>
      </c>
      <c r="V27" s="130">
        <f t="shared" si="26"/>
        <v>3384.8728138474889</v>
      </c>
      <c r="W27" s="130">
        <f t="shared" ref="W27:Y27" si="27">SUM(W28:W32)</f>
        <v>3948.8348237751493</v>
      </c>
      <c r="X27" s="130">
        <f t="shared" si="27"/>
        <v>4193.046693056117</v>
      </c>
      <c r="Y27" s="130">
        <f t="shared" si="27"/>
        <v>4111.5104867988903</v>
      </c>
      <c r="DA27" s="176" t="s">
        <v>406</v>
      </c>
    </row>
    <row r="28" spans="1:105" ht="11.45" customHeight="1" x14ac:dyDescent="0.25">
      <c r="A28" s="111" t="s">
        <v>110</v>
      </c>
      <c r="B28" s="97">
        <v>8.2464023066455763</v>
      </c>
      <c r="C28" s="97">
        <v>7.7425709244170395</v>
      </c>
      <c r="D28" s="97">
        <v>7.5139505857785513</v>
      </c>
      <c r="E28" s="97">
        <v>7.0544109559747321</v>
      </c>
      <c r="F28" s="97">
        <v>6.6162781893308855</v>
      </c>
      <c r="G28" s="97">
        <v>6.0228021682008102</v>
      </c>
      <c r="H28" s="97">
        <v>5.6287493963798578</v>
      </c>
      <c r="I28" s="97">
        <v>5.0655217321544708</v>
      </c>
      <c r="J28" s="97">
        <v>4.5612266211201415</v>
      </c>
      <c r="K28" s="97">
        <v>4.0420508707042657</v>
      </c>
      <c r="L28" s="97">
        <v>3.48362924860441</v>
      </c>
      <c r="M28" s="97">
        <v>2.9820497401787689</v>
      </c>
      <c r="N28" s="97">
        <v>2.5128661329619342</v>
      </c>
      <c r="O28" s="97">
        <v>2.0901442194264992</v>
      </c>
      <c r="P28" s="97">
        <v>1.7464297975370373</v>
      </c>
      <c r="Q28" s="97">
        <v>1.4684554856267171</v>
      </c>
      <c r="R28" s="97">
        <v>1.4468067965320479</v>
      </c>
      <c r="S28" s="97">
        <v>1.4146266194658832</v>
      </c>
      <c r="T28" s="97">
        <v>1.4045740171192156</v>
      </c>
      <c r="U28" s="97">
        <v>1.3813474100106802</v>
      </c>
      <c r="V28" s="97">
        <v>1.0735269469944639</v>
      </c>
      <c r="W28" s="97">
        <v>1.1547835187449467</v>
      </c>
      <c r="X28" s="97">
        <v>1.0192846841690275</v>
      </c>
      <c r="Y28" s="97">
        <v>0.84424965437098409</v>
      </c>
      <c r="DA28" s="175" t="s">
        <v>757</v>
      </c>
    </row>
    <row r="29" spans="1:105" ht="11.45" customHeight="1" x14ac:dyDescent="0.25">
      <c r="A29" s="111" t="s">
        <v>111</v>
      </c>
      <c r="B29" s="97">
        <v>5172.9562875688225</v>
      </c>
      <c r="C29" s="97">
        <v>5039.3105755589095</v>
      </c>
      <c r="D29" s="97">
        <v>5033.6874108573393</v>
      </c>
      <c r="E29" s="97">
        <v>5047.6105236292251</v>
      </c>
      <c r="F29" s="97">
        <v>5103.2516379656017</v>
      </c>
      <c r="G29" s="97">
        <v>5074.9992948425825</v>
      </c>
      <c r="H29" s="97">
        <v>5267.4964743729133</v>
      </c>
      <c r="I29" s="97">
        <v>5291.5762051642596</v>
      </c>
      <c r="J29" s="97">
        <v>5146.4098483061116</v>
      </c>
      <c r="K29" s="97">
        <v>4908.2987610846876</v>
      </c>
      <c r="L29" s="97">
        <v>4769.8163587559357</v>
      </c>
      <c r="M29" s="97">
        <v>4645.2093205210485</v>
      </c>
      <c r="N29" s="97">
        <v>4560.0273481453441</v>
      </c>
      <c r="O29" s="97">
        <v>4182.8455585139991</v>
      </c>
      <c r="P29" s="97">
        <v>4184.7930471111385</v>
      </c>
      <c r="Q29" s="97">
        <v>4268.5582378456875</v>
      </c>
      <c r="R29" s="97">
        <v>4386.0095136890286</v>
      </c>
      <c r="S29" s="97">
        <v>4233.0251489162411</v>
      </c>
      <c r="T29" s="97">
        <v>4241.8044000370537</v>
      </c>
      <c r="U29" s="97">
        <v>4170.9474811389855</v>
      </c>
      <c r="V29" s="97">
        <v>2960.7808009673377</v>
      </c>
      <c r="W29" s="97">
        <v>3353.4374206385728</v>
      </c>
      <c r="X29" s="97">
        <v>3493.8004425417189</v>
      </c>
      <c r="Y29" s="97">
        <v>3328.5347851755387</v>
      </c>
      <c r="DA29" s="175" t="s">
        <v>758</v>
      </c>
    </row>
    <row r="30" spans="1:105" ht="11.45" customHeight="1" x14ac:dyDescent="0.25">
      <c r="A30" s="111" t="s">
        <v>112</v>
      </c>
      <c r="B30" s="97">
        <v>4.2515054753186279</v>
      </c>
      <c r="C30" s="97">
        <v>4.7746851325645734</v>
      </c>
      <c r="D30" s="97">
        <v>4.8144884944421236</v>
      </c>
      <c r="E30" s="97">
        <v>5.0566669242606901</v>
      </c>
      <c r="F30" s="97">
        <v>5.2294572369227845</v>
      </c>
      <c r="G30" s="97">
        <v>5.2279749705079253</v>
      </c>
      <c r="H30" s="97">
        <v>4.2905337522136557</v>
      </c>
      <c r="I30" s="97">
        <v>5.0939291042193586</v>
      </c>
      <c r="J30" s="97">
        <v>4.9793353517118293</v>
      </c>
      <c r="K30" s="97">
        <v>4.7418744969281201</v>
      </c>
      <c r="L30" s="97">
        <v>4.4292054153411984</v>
      </c>
      <c r="M30" s="97">
        <v>4.0904394296756168</v>
      </c>
      <c r="N30" s="97">
        <v>3.7861223425062285</v>
      </c>
      <c r="O30" s="97">
        <v>3.4844413693965413</v>
      </c>
      <c r="P30" s="97">
        <v>3.2325967525912258</v>
      </c>
      <c r="Q30" s="97">
        <v>3.0482617702568944</v>
      </c>
      <c r="R30" s="97">
        <v>2.8868113857563773</v>
      </c>
      <c r="S30" s="97">
        <v>2.6393470641360941</v>
      </c>
      <c r="T30" s="97">
        <v>2.4532889557676238</v>
      </c>
      <c r="U30" s="97">
        <v>2.2061107902494315</v>
      </c>
      <c r="V30" s="97">
        <v>1.5437375958879</v>
      </c>
      <c r="W30" s="97">
        <v>1.5066739847789912</v>
      </c>
      <c r="X30" s="97">
        <v>1.4362167695720476</v>
      </c>
      <c r="Y30" s="97">
        <v>1.2514393773126895</v>
      </c>
      <c r="DA30" s="175" t="s">
        <v>759</v>
      </c>
    </row>
    <row r="31" spans="1:105" ht="11.45" customHeight="1" x14ac:dyDescent="0.25">
      <c r="A31" s="111" t="s">
        <v>113</v>
      </c>
      <c r="B31" s="97">
        <v>0.74944368075069312</v>
      </c>
      <c r="C31" s="97">
        <v>18.161708841945821</v>
      </c>
      <c r="D31" s="97">
        <v>21.277932010926179</v>
      </c>
      <c r="E31" s="97">
        <v>29.700594133144037</v>
      </c>
      <c r="F31" s="97">
        <v>33.499641192756449</v>
      </c>
      <c r="G31" s="97">
        <v>37.035320854701652</v>
      </c>
      <c r="H31" s="97">
        <v>48.273048518941359</v>
      </c>
      <c r="I31" s="97">
        <v>53.069199043606844</v>
      </c>
      <c r="J31" s="97">
        <v>64.537091252729965</v>
      </c>
      <c r="K31" s="97">
        <v>63.278778043430826</v>
      </c>
      <c r="L31" s="97">
        <v>66.316398106935978</v>
      </c>
      <c r="M31" s="97">
        <v>159.98751952322033</v>
      </c>
      <c r="N31" s="97">
        <v>177.95377546208348</v>
      </c>
      <c r="O31" s="97">
        <v>199.65872398303577</v>
      </c>
      <c r="P31" s="97">
        <v>216.88422559843318</v>
      </c>
      <c r="Q31" s="97">
        <v>223.13319093187411</v>
      </c>
      <c r="R31" s="97">
        <v>233.04831982750216</v>
      </c>
      <c r="S31" s="97">
        <v>252.0760506503828</v>
      </c>
      <c r="T31" s="97">
        <v>279.18313277204845</v>
      </c>
      <c r="U31" s="97">
        <v>349.0886915424245</v>
      </c>
      <c r="V31" s="97">
        <v>421.47474833726886</v>
      </c>
      <c r="W31" s="97">
        <v>592.73594563305267</v>
      </c>
      <c r="X31" s="97">
        <v>696.79074906065659</v>
      </c>
      <c r="Y31" s="97">
        <v>780.88001259166811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46417.958652895177</v>
      </c>
      <c r="C33" s="32">
        <f t="shared" si="28"/>
        <v>46736.706616671072</v>
      </c>
      <c r="D33" s="32">
        <f t="shared" si="28"/>
        <v>46502.946079891117</v>
      </c>
      <c r="E33" s="32">
        <f t="shared" si="28"/>
        <v>45568.479654694383</v>
      </c>
      <c r="F33" s="32">
        <f t="shared" si="28"/>
        <v>46818.210048618414</v>
      </c>
      <c r="G33" s="32">
        <f t="shared" si="28"/>
        <v>46264.947965369007</v>
      </c>
      <c r="H33" s="32">
        <f t="shared" si="28"/>
        <v>46211.937739372574</v>
      </c>
      <c r="I33" s="32">
        <f t="shared" si="28"/>
        <v>45730.228582925258</v>
      </c>
      <c r="J33" s="32">
        <f t="shared" si="28"/>
        <v>42761.152550110317</v>
      </c>
      <c r="K33" s="32">
        <f t="shared" si="28"/>
        <v>40147.527064281079</v>
      </c>
      <c r="L33" s="32">
        <f t="shared" ref="L33" si="29">L34+L40</f>
        <v>41387.337857144128</v>
      </c>
      <c r="M33" s="32">
        <f t="shared" ref="M33:V33" si="30">M34+M40</f>
        <v>43024.900127705609</v>
      </c>
      <c r="N33" s="32">
        <f t="shared" si="30"/>
        <v>41607.705954986974</v>
      </c>
      <c r="O33" s="32">
        <f t="shared" si="30"/>
        <v>41881.451209291321</v>
      </c>
      <c r="P33" s="32">
        <f t="shared" si="30"/>
        <v>41135.713717481049</v>
      </c>
      <c r="Q33" s="32">
        <f t="shared" si="30"/>
        <v>41273.83266923765</v>
      </c>
      <c r="R33" s="32">
        <f t="shared" si="30"/>
        <v>41836.111392684506</v>
      </c>
      <c r="S33" s="32">
        <f t="shared" si="30"/>
        <v>42741.942430835996</v>
      </c>
      <c r="T33" s="32">
        <f t="shared" si="30"/>
        <v>42205.21435091101</v>
      </c>
      <c r="U33" s="32">
        <f t="shared" si="30"/>
        <v>42246.61555785872</v>
      </c>
      <c r="V33" s="32">
        <f t="shared" si="30"/>
        <v>38769.398203436118</v>
      </c>
      <c r="W33" s="32">
        <f t="shared" ref="W33:Y33" si="31">W34+W40</f>
        <v>43366.786272970123</v>
      </c>
      <c r="X33" s="32">
        <f t="shared" si="31"/>
        <v>42380.357628776677</v>
      </c>
      <c r="Y33" s="32">
        <f t="shared" si="31"/>
        <v>40614.690705976231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21395.42230219764</v>
      </c>
      <c r="C34" s="141">
        <f t="shared" si="32"/>
        <v>21307.028436804208</v>
      </c>
      <c r="D34" s="141">
        <f t="shared" si="32"/>
        <v>20992.085963527235</v>
      </c>
      <c r="E34" s="141">
        <f t="shared" si="32"/>
        <v>20340.192593148862</v>
      </c>
      <c r="F34" s="141">
        <f t="shared" si="32"/>
        <v>19679.690277341713</v>
      </c>
      <c r="G34" s="141">
        <f t="shared" si="32"/>
        <v>19229.509919051427</v>
      </c>
      <c r="H34" s="141">
        <f t="shared" si="32"/>
        <v>19045.160513192852</v>
      </c>
      <c r="I34" s="141">
        <f t="shared" si="32"/>
        <v>18526.773661685329</v>
      </c>
      <c r="J34" s="141">
        <f t="shared" si="32"/>
        <v>17491.587667113898</v>
      </c>
      <c r="K34" s="141">
        <f t="shared" si="32"/>
        <v>17787.370889372112</v>
      </c>
      <c r="L34" s="141">
        <f t="shared" ref="L34" si="33">SUM(L35:L39)</f>
        <v>18263.023492143722</v>
      </c>
      <c r="M34" s="141">
        <f t="shared" ref="M34:V34" si="34">SUM(M35:M39)</f>
        <v>19478.781149676117</v>
      </c>
      <c r="N34" s="141">
        <f t="shared" si="34"/>
        <v>19540.750066550747</v>
      </c>
      <c r="O34" s="141">
        <f t="shared" si="34"/>
        <v>19656.260827271413</v>
      </c>
      <c r="P34" s="141">
        <f t="shared" si="34"/>
        <v>19305.013110099837</v>
      </c>
      <c r="Q34" s="141">
        <f t="shared" si="34"/>
        <v>19956.194481164246</v>
      </c>
      <c r="R34" s="141">
        <f t="shared" si="34"/>
        <v>19785.285742188</v>
      </c>
      <c r="S34" s="141">
        <f t="shared" si="34"/>
        <v>20097.852535399899</v>
      </c>
      <c r="T34" s="141">
        <f t="shared" si="34"/>
        <v>20032.476026373799</v>
      </c>
      <c r="U34" s="141">
        <f t="shared" si="34"/>
        <v>19842.614900620512</v>
      </c>
      <c r="V34" s="141">
        <f t="shared" si="34"/>
        <v>17069.329481569555</v>
      </c>
      <c r="W34" s="141">
        <f t="shared" ref="W34:Y34" si="35">SUM(W35:W39)</f>
        <v>20282.24374077058</v>
      </c>
      <c r="X34" s="141">
        <f t="shared" si="35"/>
        <v>20081.672895235988</v>
      </c>
      <c r="Y34" s="141">
        <f t="shared" si="35"/>
        <v>19642.267752324642</v>
      </c>
      <c r="DA34" s="174" t="s">
        <v>412</v>
      </c>
    </row>
    <row r="35" spans="1:105" ht="11.45" customHeight="1" x14ac:dyDescent="0.25">
      <c r="A35" s="111" t="s">
        <v>110</v>
      </c>
      <c r="B35" s="96">
        <v>3031.0242327994019</v>
      </c>
      <c r="C35" s="96">
        <v>2565.9997324236419</v>
      </c>
      <c r="D35" s="96">
        <v>2123.8498920793631</v>
      </c>
      <c r="E35" s="96">
        <v>1673.1086669638876</v>
      </c>
      <c r="F35" s="96">
        <v>1312.2098825245603</v>
      </c>
      <c r="G35" s="96">
        <v>1083.0554487862114</v>
      </c>
      <c r="H35" s="96">
        <v>919.29469198665686</v>
      </c>
      <c r="I35" s="96">
        <v>785.7612392699989</v>
      </c>
      <c r="J35" s="96">
        <v>666.72126718578511</v>
      </c>
      <c r="K35" s="96">
        <v>602.01449883339933</v>
      </c>
      <c r="L35" s="96">
        <v>647.76930311285673</v>
      </c>
      <c r="M35" s="96">
        <v>727.85421306220815</v>
      </c>
      <c r="N35" s="96">
        <v>768.12564874736825</v>
      </c>
      <c r="O35" s="96">
        <v>813.19594810343904</v>
      </c>
      <c r="P35" s="96">
        <v>715.16495102392628</v>
      </c>
      <c r="Q35" s="96">
        <v>656.85298057532418</v>
      </c>
      <c r="R35" s="96">
        <v>633.09836335979219</v>
      </c>
      <c r="S35" s="96">
        <v>626.54170671003067</v>
      </c>
      <c r="T35" s="96">
        <v>609.55292785261429</v>
      </c>
      <c r="U35" s="96">
        <v>581.80233368926542</v>
      </c>
      <c r="V35" s="96">
        <v>486.56571535367908</v>
      </c>
      <c r="W35" s="96">
        <v>603.82099904463746</v>
      </c>
      <c r="X35" s="96">
        <v>655.09796390477516</v>
      </c>
      <c r="Y35" s="96">
        <v>780.55113179965667</v>
      </c>
      <c r="DA35" s="171" t="s">
        <v>762</v>
      </c>
    </row>
    <row r="36" spans="1:105" ht="11.45" customHeight="1" x14ac:dyDescent="0.25">
      <c r="A36" s="111" t="s">
        <v>111</v>
      </c>
      <c r="B36" s="96">
        <v>18290.848391414009</v>
      </c>
      <c r="C36" s="96">
        <v>18663.109264320698</v>
      </c>
      <c r="D36" s="96">
        <v>18788.693016105586</v>
      </c>
      <c r="E36" s="96">
        <v>18587.302308153918</v>
      </c>
      <c r="F36" s="96">
        <v>18287.042510704687</v>
      </c>
      <c r="G36" s="96">
        <v>18064.324650899671</v>
      </c>
      <c r="H36" s="96">
        <v>18037.347577148688</v>
      </c>
      <c r="I36" s="96">
        <v>17671.014293552569</v>
      </c>
      <c r="J36" s="96">
        <v>16761.888382840287</v>
      </c>
      <c r="K36" s="96">
        <v>17119.004940280658</v>
      </c>
      <c r="L36" s="96">
        <v>17549.75855933821</v>
      </c>
      <c r="M36" s="96">
        <v>18684.230312897842</v>
      </c>
      <c r="N36" s="96">
        <v>18707.71299426103</v>
      </c>
      <c r="O36" s="96">
        <v>18778.274140926555</v>
      </c>
      <c r="P36" s="96">
        <v>18526.815983766606</v>
      </c>
      <c r="Q36" s="96">
        <v>19234.904323930619</v>
      </c>
      <c r="R36" s="96">
        <v>19088.246372968879</v>
      </c>
      <c r="S36" s="96">
        <v>19406.996946941115</v>
      </c>
      <c r="T36" s="96">
        <v>19352.704094346129</v>
      </c>
      <c r="U36" s="96">
        <v>19195.915683758627</v>
      </c>
      <c r="V36" s="96">
        <v>16533.410325274162</v>
      </c>
      <c r="W36" s="96">
        <v>19617.764134596131</v>
      </c>
      <c r="X36" s="96">
        <v>19365.864162036618</v>
      </c>
      <c r="Y36" s="96">
        <v>18795.206927414663</v>
      </c>
      <c r="DA36" s="171" t="s">
        <v>763</v>
      </c>
    </row>
    <row r="37" spans="1:105" ht="11.45" customHeight="1" x14ac:dyDescent="0.25">
      <c r="A37" s="111" t="s">
        <v>112</v>
      </c>
      <c r="B37" s="96">
        <v>72.784421664980286</v>
      </c>
      <c r="C37" s="96">
        <v>77.197888901813684</v>
      </c>
      <c r="D37" s="96">
        <v>78.807347353208343</v>
      </c>
      <c r="E37" s="96">
        <v>78.633024124202194</v>
      </c>
      <c r="F37" s="96">
        <v>79.35167334522319</v>
      </c>
      <c r="G37" s="96">
        <v>81.096084140249573</v>
      </c>
      <c r="H37" s="96">
        <v>86.452964536450551</v>
      </c>
      <c r="I37" s="96">
        <v>68.085665260882394</v>
      </c>
      <c r="J37" s="96">
        <v>61.122487510668968</v>
      </c>
      <c r="K37" s="96">
        <v>64.135433342217169</v>
      </c>
      <c r="L37" s="96">
        <v>63.421190161254778</v>
      </c>
      <c r="M37" s="96">
        <v>64.151865850455692</v>
      </c>
      <c r="N37" s="96">
        <v>61.487853020580268</v>
      </c>
      <c r="O37" s="96">
        <v>60.479422992523418</v>
      </c>
      <c r="P37" s="96">
        <v>58.17163745278237</v>
      </c>
      <c r="Q37" s="96">
        <v>58.820035274765722</v>
      </c>
      <c r="R37" s="96">
        <v>57.416245682807698</v>
      </c>
      <c r="S37" s="96">
        <v>56.404449752021826</v>
      </c>
      <c r="T37" s="96">
        <v>48.258361687546795</v>
      </c>
      <c r="U37" s="96">
        <v>45.191708377566854</v>
      </c>
      <c r="V37" s="96">
        <v>31.421797755187544</v>
      </c>
      <c r="W37" s="96">
        <v>37.205842188960283</v>
      </c>
      <c r="X37" s="96">
        <v>37.469457692479274</v>
      </c>
      <c r="Y37" s="96">
        <v>43.022410158605616</v>
      </c>
      <c r="DA37" s="171" t="s">
        <v>764</v>
      </c>
    </row>
    <row r="38" spans="1:105" ht="11.45" customHeight="1" x14ac:dyDescent="0.25">
      <c r="A38" s="111" t="s">
        <v>113</v>
      </c>
      <c r="B38" s="96">
        <v>0.76525631924930693</v>
      </c>
      <c r="C38" s="96">
        <v>0.72155115805417802</v>
      </c>
      <c r="D38" s="96">
        <v>0.73570798907382495</v>
      </c>
      <c r="E38" s="96">
        <v>1.1485939068559521</v>
      </c>
      <c r="F38" s="96">
        <v>1.0862107672435535</v>
      </c>
      <c r="G38" s="96">
        <v>1.0337352252983427</v>
      </c>
      <c r="H38" s="96">
        <v>2.0652795210586326</v>
      </c>
      <c r="I38" s="96">
        <v>1.9124636018782168</v>
      </c>
      <c r="J38" s="96">
        <v>1.8555295771599363</v>
      </c>
      <c r="K38" s="96">
        <v>2.2160169158394791</v>
      </c>
      <c r="L38" s="96">
        <v>2.0744395314007553</v>
      </c>
      <c r="M38" s="96">
        <v>2.5447578656094576</v>
      </c>
      <c r="N38" s="96">
        <v>3.4235705217694776</v>
      </c>
      <c r="O38" s="96">
        <v>4.3113152488938011</v>
      </c>
      <c r="P38" s="96">
        <v>4.8605378565235409</v>
      </c>
      <c r="Q38" s="96">
        <v>5.6171413835361657</v>
      </c>
      <c r="R38" s="96">
        <v>6.5247601765190568</v>
      </c>
      <c r="S38" s="96">
        <v>7.9094319967296043</v>
      </c>
      <c r="T38" s="96">
        <v>21.960642487509467</v>
      </c>
      <c r="U38" s="96">
        <v>19.705174795054255</v>
      </c>
      <c r="V38" s="96">
        <v>17.931643186524564</v>
      </c>
      <c r="W38" s="96">
        <v>23.452764940853065</v>
      </c>
      <c r="X38" s="96">
        <v>23.241311602117268</v>
      </c>
      <c r="Y38" s="96">
        <v>23.487282951714604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25022.536350697534</v>
      </c>
      <c r="C40" s="130">
        <f t="shared" si="36"/>
        <v>25429.678179866867</v>
      </c>
      <c r="D40" s="130">
        <f t="shared" si="36"/>
        <v>25510.860116363881</v>
      </c>
      <c r="E40" s="130">
        <f t="shared" si="36"/>
        <v>25228.287061545518</v>
      </c>
      <c r="F40" s="130">
        <f t="shared" si="36"/>
        <v>27138.5197712767</v>
      </c>
      <c r="G40" s="130">
        <f t="shared" si="36"/>
        <v>27035.438046317584</v>
      </c>
      <c r="H40" s="130">
        <f t="shared" si="36"/>
        <v>27166.777226179725</v>
      </c>
      <c r="I40" s="130">
        <f t="shared" si="36"/>
        <v>27203.454921239929</v>
      </c>
      <c r="J40" s="130">
        <f t="shared" si="36"/>
        <v>25269.564882996423</v>
      </c>
      <c r="K40" s="130">
        <f t="shared" si="36"/>
        <v>22360.156174908963</v>
      </c>
      <c r="L40" s="130">
        <f t="shared" ref="L40" si="37">SUM(L41:L42)</f>
        <v>23124.314365000409</v>
      </c>
      <c r="M40" s="130">
        <f t="shared" ref="M40:V40" si="38">SUM(M41:M42)</f>
        <v>23546.118978029495</v>
      </c>
      <c r="N40" s="130">
        <f t="shared" si="38"/>
        <v>22066.955888436227</v>
      </c>
      <c r="O40" s="130">
        <f t="shared" si="38"/>
        <v>22225.190382019908</v>
      </c>
      <c r="P40" s="130">
        <f t="shared" si="38"/>
        <v>21830.700607381208</v>
      </c>
      <c r="Q40" s="130">
        <f t="shared" si="38"/>
        <v>21317.638188073404</v>
      </c>
      <c r="R40" s="130">
        <f t="shared" si="38"/>
        <v>22050.825650496507</v>
      </c>
      <c r="S40" s="130">
        <f t="shared" si="38"/>
        <v>22644.089895436096</v>
      </c>
      <c r="T40" s="130">
        <f t="shared" si="38"/>
        <v>22172.738324537211</v>
      </c>
      <c r="U40" s="130">
        <f t="shared" si="38"/>
        <v>22404.000657238204</v>
      </c>
      <c r="V40" s="130">
        <f t="shared" si="38"/>
        <v>21700.068721866563</v>
      </c>
      <c r="W40" s="130">
        <f t="shared" ref="W40:Y40" si="39">SUM(W41:W42)</f>
        <v>23084.542532199543</v>
      </c>
      <c r="X40" s="130">
        <f t="shared" si="39"/>
        <v>22298.684733540686</v>
      </c>
      <c r="Y40" s="130">
        <f t="shared" si="39"/>
        <v>20972.422953651589</v>
      </c>
      <c r="DA40" s="176" t="s">
        <v>413</v>
      </c>
    </row>
    <row r="41" spans="1:105" ht="11.45" customHeight="1" x14ac:dyDescent="0.25">
      <c r="A41" s="128" t="s">
        <v>27</v>
      </c>
      <c r="B41" s="97">
        <v>16955.678726392191</v>
      </c>
      <c r="C41" s="97">
        <v>17066.884237344879</v>
      </c>
      <c r="D41" s="97">
        <v>16890.139634763331</v>
      </c>
      <c r="E41" s="97">
        <v>16663.3714939028</v>
      </c>
      <c r="F41" s="97">
        <v>17380.485388005614</v>
      </c>
      <c r="G41" s="97">
        <v>17096.689896575343</v>
      </c>
      <c r="H41" s="97">
        <v>17104.915748670082</v>
      </c>
      <c r="I41" s="97">
        <v>17232.011746977532</v>
      </c>
      <c r="J41" s="97">
        <v>15689.013980050784</v>
      </c>
      <c r="K41" s="97">
        <v>13666.887378244974</v>
      </c>
      <c r="L41" s="97">
        <v>14371.315519884163</v>
      </c>
      <c r="M41" s="97">
        <v>15027.078856378419</v>
      </c>
      <c r="N41" s="97">
        <v>13759.035369825944</v>
      </c>
      <c r="O41" s="97">
        <v>13564.207148743908</v>
      </c>
      <c r="P41" s="97">
        <v>13201.56691493459</v>
      </c>
      <c r="Q41" s="97">
        <v>12453.050350690835</v>
      </c>
      <c r="R41" s="97">
        <v>12841.295038105041</v>
      </c>
      <c r="S41" s="97">
        <v>12924.360635839921</v>
      </c>
      <c r="T41" s="97">
        <v>12516.804507035038</v>
      </c>
      <c r="U41" s="97">
        <v>12469.445229316929</v>
      </c>
      <c r="V41" s="97">
        <v>11968.12829189844</v>
      </c>
      <c r="W41" s="97">
        <v>12387.278090345058</v>
      </c>
      <c r="X41" s="97">
        <v>11854.498057454195</v>
      </c>
      <c r="Y41" s="97">
        <v>11255.859832769574</v>
      </c>
      <c r="DA41" s="175" t="s">
        <v>767</v>
      </c>
    </row>
    <row r="42" spans="1:105" ht="11.45" customHeight="1" x14ac:dyDescent="0.25">
      <c r="A42" s="138" t="s">
        <v>116</v>
      </c>
      <c r="B42" s="98">
        <v>8066.857624305344</v>
      </c>
      <c r="C42" s="98">
        <v>8362.7939425219902</v>
      </c>
      <c r="D42" s="98">
        <v>8620.7204816005524</v>
      </c>
      <c r="E42" s="98">
        <v>8564.9155676427199</v>
      </c>
      <c r="F42" s="98">
        <v>9758.034383271086</v>
      </c>
      <c r="G42" s="98">
        <v>9938.7481497422395</v>
      </c>
      <c r="H42" s="98">
        <v>10061.861477509643</v>
      </c>
      <c r="I42" s="98">
        <v>9971.4431742623965</v>
      </c>
      <c r="J42" s="98">
        <v>9580.5509029456389</v>
      </c>
      <c r="K42" s="98">
        <v>8693.2687966639896</v>
      </c>
      <c r="L42" s="98">
        <v>8752.9988451162462</v>
      </c>
      <c r="M42" s="98">
        <v>8519.0401216510782</v>
      </c>
      <c r="N42" s="98">
        <v>8307.9205186102827</v>
      </c>
      <c r="O42" s="98">
        <v>8660.9832332759997</v>
      </c>
      <c r="P42" s="98">
        <v>8629.1336924466159</v>
      </c>
      <c r="Q42" s="98">
        <v>8864.5878373825708</v>
      </c>
      <c r="R42" s="98">
        <v>9209.5306123914652</v>
      </c>
      <c r="S42" s="98">
        <v>9719.7292595961771</v>
      </c>
      <c r="T42" s="98">
        <v>9655.9338175021712</v>
      </c>
      <c r="U42" s="98">
        <v>9934.5554279212756</v>
      </c>
      <c r="V42" s="98">
        <v>9731.940429968121</v>
      </c>
      <c r="W42" s="98">
        <v>10697.264441854482</v>
      </c>
      <c r="X42" s="98">
        <v>10444.186676086492</v>
      </c>
      <c r="Y42" s="98">
        <v>9716.5631208820141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3.0086032893572812</v>
      </c>
      <c r="C47" s="145">
        <f>IF(C4=0,0,C4/TrRoad_ene!C4)</f>
        <v>3.0117370707141791</v>
      </c>
      <c r="D47" s="145">
        <f>IF(D4=0,0,D4/TrRoad_ene!D4)</f>
        <v>3.0132789650166032</v>
      </c>
      <c r="E47" s="145">
        <f>IF(E4=0,0,E4/TrRoad_ene!E4)</f>
        <v>3.01810597389724</v>
      </c>
      <c r="F47" s="145">
        <f>IF(F4=0,0,F4/TrRoad_ene!F4)</f>
        <v>3.019401795548021</v>
      </c>
      <c r="G47" s="145">
        <f>IF(G4=0,0,G4/TrRoad_ene!G4)</f>
        <v>3.0045447100098555</v>
      </c>
      <c r="H47" s="145">
        <f>IF(H4=0,0,H4/TrRoad_ene!H4)</f>
        <v>2.9994569315620918</v>
      </c>
      <c r="I47" s="145">
        <f>IF(I4=0,0,I4/TrRoad_ene!I4)</f>
        <v>2.9515740874334355</v>
      </c>
      <c r="J47" s="145">
        <f>IF(J4=0,0,J4/TrRoad_ene!J4)</f>
        <v>2.8876018319409615</v>
      </c>
      <c r="K47" s="145">
        <f>IF(K4=0,0,K4/TrRoad_ene!K4)</f>
        <v>2.8754200161355747</v>
      </c>
      <c r="L47" s="145">
        <f>IF(L4=0,0,L4/TrRoad_ene!L4)</f>
        <v>2.8819433207550187</v>
      </c>
      <c r="M47" s="145">
        <f>IF(M4=0,0,M4/TrRoad_ene!M4)</f>
        <v>2.88963917115144</v>
      </c>
      <c r="N47" s="145">
        <f>IF(N4=0,0,N4/TrRoad_ene!N4)</f>
        <v>2.8716935861200761</v>
      </c>
      <c r="O47" s="145">
        <f>IF(O4=0,0,O4/TrRoad_ene!O4)</f>
        <v>2.8711028709108497</v>
      </c>
      <c r="P47" s="145">
        <f>IF(P4=0,0,P4/TrRoad_ene!P4)</f>
        <v>2.8520792724065687</v>
      </c>
      <c r="Q47" s="145">
        <f>IF(Q4=0,0,Q4/TrRoad_ene!Q4)</f>
        <v>2.8516881538130328</v>
      </c>
      <c r="R47" s="145">
        <f>IF(R4=0,0,R4/TrRoad_ene!R4)</f>
        <v>2.8526996822096309</v>
      </c>
      <c r="S47" s="145">
        <f>IF(S4=0,0,S4/TrRoad_ene!S4)</f>
        <v>2.8423456284541317</v>
      </c>
      <c r="T47" s="145">
        <f>IF(T4=0,0,T4/TrRoad_ene!T4)</f>
        <v>2.8357416822788326</v>
      </c>
      <c r="U47" s="145">
        <f>IF(U4=0,0,U4/TrRoad_ene!U4)</f>
        <v>2.8256092972005029</v>
      </c>
      <c r="V47" s="145">
        <f>IF(V4=0,0,V4/TrRoad_ene!V4)</f>
        <v>2.8265812890382063</v>
      </c>
      <c r="W47" s="145">
        <f>IF(W4=0,0,W4/TrRoad_ene!W4)</f>
        <v>2.8276585974505295</v>
      </c>
      <c r="X47" s="145">
        <f>IF(X4=0,0,X4/TrRoad_ene!X4)</f>
        <v>2.8107236695076976</v>
      </c>
      <c r="Y47" s="145">
        <f>IF(Y4=0,0,Y4/TrRoad_ene!Y4)</f>
        <v>2.7842919048747912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2.8895131645164684</v>
      </c>
      <c r="C48" s="97">
        <f>IF(C7=0,0,(C7+C12)/(TrRoad_ene!C7+TrRoad_ene!C12))</f>
        <v>2.8902631846765732</v>
      </c>
      <c r="D48" s="97">
        <f>IF(D7=0,0,(D7+D12)/(TrRoad_ene!D7+TrRoad_ene!D12))</f>
        <v>2.8891444354962434</v>
      </c>
      <c r="E48" s="97">
        <f>IF(E7=0,0,(E7+E12)/(TrRoad_ene!E7+TrRoad_ene!E12))</f>
        <v>2.8903125723222378</v>
      </c>
      <c r="F48" s="97">
        <f>IF(F7=0,0,(F7+F12)/(TrRoad_ene!F7+TrRoad_ene!F12))</f>
        <v>2.8887268570669402</v>
      </c>
      <c r="G48" s="97">
        <f>IF(G7=0,0,(G7+G12)/(TrRoad_ene!G7+TrRoad_ene!G12))</f>
        <v>2.8750265995828772</v>
      </c>
      <c r="H48" s="97">
        <f>IF(H7=0,0,(H7+H12)/(TrRoad_ene!H7+TrRoad_ene!H12))</f>
        <v>2.8613044385374766</v>
      </c>
      <c r="I48" s="97">
        <f>IF(I7=0,0,(I7+I12)/(TrRoad_ene!I7+TrRoad_ene!I12))</f>
        <v>2.8199905436739292</v>
      </c>
      <c r="J48" s="97">
        <f>IF(J7=0,0,(J7+J12)/(TrRoad_ene!J7+TrRoad_ene!J12))</f>
        <v>2.7581496054965711</v>
      </c>
      <c r="K48" s="97">
        <f>IF(K7=0,0,(K7+K12)/(TrRoad_ene!K7+TrRoad_ene!K12))</f>
        <v>2.7638295755010525</v>
      </c>
      <c r="L48" s="97">
        <f>IF(L7=0,0,(L7+L12)/(TrRoad_ene!L7+TrRoad_ene!L12))</f>
        <v>2.7537611179766639</v>
      </c>
      <c r="M48" s="97">
        <f>IF(M7=0,0,(M7+M12)/(TrRoad_ene!M7+TrRoad_ene!M12))</f>
        <v>2.7591889976847583</v>
      </c>
      <c r="N48" s="97">
        <f>IF(N7=0,0,(N7+N12)/(TrRoad_ene!N7+TrRoad_ene!N12))</f>
        <v>2.744247905918924</v>
      </c>
      <c r="O48" s="97">
        <f>IF(O7=0,0,(O7+O12)/(TrRoad_ene!O7+TrRoad_ene!O12))</f>
        <v>2.7424400551350629</v>
      </c>
      <c r="P48" s="97">
        <f>IF(P7=0,0,(P7+P12)/(TrRoad_ene!P7+TrRoad_ene!P12))</f>
        <v>2.7337650569782195</v>
      </c>
      <c r="Q48" s="97">
        <f>IF(Q7=0,0,(Q7+Q12)/(TrRoad_ene!Q7+TrRoad_ene!Q12))</f>
        <v>2.7286802342921881</v>
      </c>
      <c r="R48" s="97">
        <f>IF(R7=0,0,(R7+R12)/(TrRoad_ene!R7+TrRoad_ene!R12))</f>
        <v>2.7181038440960412</v>
      </c>
      <c r="S48" s="97">
        <f>IF(S7=0,0,(S7+S12)/(TrRoad_ene!S7+TrRoad_ene!S12))</f>
        <v>2.6997477868890081</v>
      </c>
      <c r="T48" s="97">
        <f>IF(T7=0,0,(T7+T12)/(TrRoad_ene!T7+TrRoad_ene!T12))</f>
        <v>2.690221798705319</v>
      </c>
      <c r="U48" s="97">
        <f>IF(U7=0,0,(U7+U12)/(TrRoad_ene!U7+TrRoad_ene!U12))</f>
        <v>2.6816016096913571</v>
      </c>
      <c r="V48" s="97">
        <f>IF(V7=0,0,(V7+V12)/(TrRoad_ene!V7+TrRoad_ene!V12))</f>
        <v>2.6808629883742929</v>
      </c>
      <c r="W48" s="97">
        <f>IF(W7=0,0,(W7+W12)/(TrRoad_ene!W7+TrRoad_ene!W12))</f>
        <v>2.6696409429668693</v>
      </c>
      <c r="X48" s="97">
        <f>IF(X7=0,0,(X7+X12)/(TrRoad_ene!X7+TrRoad_ene!X12))</f>
        <v>2.6518759401585559</v>
      </c>
      <c r="Y48" s="97">
        <f>IF(Y7=0,0,(Y7+Y12)/(TrRoad_ene!Y7+TrRoad_ene!Y12))</f>
        <v>2.6672012828057192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3.0727495089907833</v>
      </c>
      <c r="C49" s="97">
        <f>IF(C8=0,0,(C8+C13+C14)/(TrRoad_ene!C8+TrRoad_ene!C13+TrRoad_ene!C14))</f>
        <v>3.0731898371243513</v>
      </c>
      <c r="D49" s="97">
        <f>IF(D8=0,0,(D8+D13+D14)/(TrRoad_ene!D8+TrRoad_ene!D13+TrRoad_ene!D14))</f>
        <v>3.0725166634789205</v>
      </c>
      <c r="E49" s="97">
        <f>IF(E8=0,0,(E8+E13+E14)/(TrRoad_ene!E8+TrRoad_ene!E13+TrRoad_ene!E14))</f>
        <v>3.074403653679854</v>
      </c>
      <c r="F49" s="97">
        <f>IF(F8=0,0,(F8+F13+F14)/(TrRoad_ene!F8+TrRoad_ene!F13+TrRoad_ene!F14))</f>
        <v>3.0725449624397787</v>
      </c>
      <c r="G49" s="97">
        <f>IF(G8=0,0,(G8+G13+G14)/(TrRoad_ene!G8+TrRoad_ene!G13+TrRoad_ene!G14))</f>
        <v>3.0535408626390113</v>
      </c>
      <c r="H49" s="97">
        <f>IF(H8=0,0,(H8+H13+H14)/(TrRoad_ene!H8+TrRoad_ene!H13+TrRoad_ene!H14))</f>
        <v>3.0470108277238928</v>
      </c>
      <c r="I49" s="97">
        <f>IF(I8=0,0,(I8+I13+I14)/(TrRoad_ene!I8+TrRoad_ene!I13+TrRoad_ene!I14))</f>
        <v>2.9927876426970776</v>
      </c>
      <c r="J49" s="97">
        <f>IF(J8=0,0,(J8+J13+J14)/(TrRoad_ene!J8+TrRoad_ene!J13+TrRoad_ene!J14))</f>
        <v>2.9246016884450885</v>
      </c>
      <c r="K49" s="97">
        <f>IF(K8=0,0,(K8+K13+K14)/(TrRoad_ene!K8+TrRoad_ene!K13+TrRoad_ene!K14))</f>
        <v>2.9060506375127253</v>
      </c>
      <c r="L49" s="97">
        <f>IF(L8=0,0,(L8+L13+L14)/(TrRoad_ene!L8+TrRoad_ene!L13+TrRoad_ene!L14))</f>
        <v>2.913801890087107</v>
      </c>
      <c r="M49" s="97">
        <f>IF(M8=0,0,(M8+M13+M14)/(TrRoad_ene!M8+TrRoad_ene!M13+TrRoad_ene!M14))</f>
        <v>2.9217346679840244</v>
      </c>
      <c r="N49" s="97">
        <f>IF(N8=0,0,(N8+N13+N14)/(TrRoad_ene!N8+TrRoad_ene!N13+TrRoad_ene!N14))</f>
        <v>2.9010600870484513</v>
      </c>
      <c r="O49" s="97">
        <f>IF(O8=0,0,(O8+O13+O14)/(TrRoad_ene!O8+TrRoad_ene!O13+TrRoad_ene!O14))</f>
        <v>2.9000381333893759</v>
      </c>
      <c r="P49" s="97">
        <f>IF(P8=0,0,(P8+P13+P14)/(TrRoad_ene!P8+TrRoad_ene!P13+TrRoad_ene!P14))</f>
        <v>2.8788924236788596</v>
      </c>
      <c r="Q49" s="97">
        <f>IF(Q8=0,0,(Q8+Q13+Q14)/(TrRoad_ene!Q8+TrRoad_ene!Q13+TrRoad_ene!Q14))</f>
        <v>2.8798619632602822</v>
      </c>
      <c r="R49" s="97">
        <f>IF(R8=0,0,(R8+R13+R14)/(TrRoad_ene!R8+TrRoad_ene!R13+TrRoad_ene!R14))</f>
        <v>2.8845826945022539</v>
      </c>
      <c r="S49" s="97">
        <f>IF(S8=0,0,(S8+S13+S14)/(TrRoad_ene!S8+TrRoad_ene!S13+TrRoad_ene!S14))</f>
        <v>2.8775723097245409</v>
      </c>
      <c r="T49" s="97">
        <f>IF(T8=0,0,(T8+T13+T14)/(TrRoad_ene!T8+TrRoad_ene!T13+TrRoad_ene!T14))</f>
        <v>2.8749915059393287</v>
      </c>
      <c r="U49" s="97">
        <f>IF(U8=0,0,(U8+U13+U14)/(TrRoad_ene!U8+TrRoad_ene!U13+TrRoad_ene!U14))</f>
        <v>2.8697609069885863</v>
      </c>
      <c r="V49" s="97">
        <f>IF(V8=0,0,(V8+V13+V14)/(TrRoad_ene!V8+TrRoad_ene!V13+TrRoad_ene!V14))</f>
        <v>2.8763979478715518</v>
      </c>
      <c r="W49" s="97">
        <f>IF(W8=0,0,(W8+W13+W14)/(TrRoad_ene!W8+TrRoad_ene!W13+TrRoad_ene!W14))</f>
        <v>2.8913630693704087</v>
      </c>
      <c r="X49" s="97">
        <f>IF(X8=0,0,(X8+X13+X14)/(TrRoad_ene!X8+TrRoad_ene!X13+TrRoad_ene!X14))</f>
        <v>2.8872318113295972</v>
      </c>
      <c r="Y49" s="97">
        <f>IF(Y8=0,0,(Y8+Y13+Y14)/(TrRoad_ene!Y8+TrRoad_ene!Y13+TrRoad_ene!Y14))</f>
        <v>2.8617058943865135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2.3487678295393426</v>
      </c>
      <c r="O51" s="97">
        <f>IF(O9=0,0,(O9+O11)/(TrRoad_ene!O9+TrRoad_ene!O11))</f>
        <v>2.3487288419546917</v>
      </c>
      <c r="P51" s="97">
        <f>IF(P9=0,0,(P9+P11)/(TrRoad_ene!P9+TrRoad_ene!P11))</f>
        <v>2.3486158519762066</v>
      </c>
      <c r="Q51" s="97">
        <f>IF(Q9=0,0,(Q9+Q11)/(TrRoad_ene!Q9+TrRoad_ene!Q11))</f>
        <v>2.3483578622521404</v>
      </c>
      <c r="R51" s="97">
        <f>IF(R9=0,0,(R9+R11)/(TrRoad_ene!R9+TrRoad_ene!R11))</f>
        <v>2.3477544468159408</v>
      </c>
      <c r="S51" s="97">
        <f>IF(S9=0,0,(S9+S11)/(TrRoad_ene!S9+TrRoad_ene!S11))</f>
        <v>2.3468281623152114</v>
      </c>
      <c r="T51" s="97">
        <f>IF(T9=0,0,(T9+T11)/(TrRoad_ene!T9+TrRoad_ene!T11))</f>
        <v>2.3451646733199425</v>
      </c>
      <c r="U51" s="97">
        <f>IF(U9=0,0,(U9+U11)/(TrRoad_ene!U9+TrRoad_ene!U11))</f>
        <v>2.3426441332157464</v>
      </c>
      <c r="V51" s="97">
        <f>IF(V9=0,0,(V9+V11)/(TrRoad_ene!V9+TrRoad_ene!V11))</f>
        <v>2.336979758013912</v>
      </c>
      <c r="W51" s="97">
        <f>IF(W9=0,0,(W9+W11)/(TrRoad_ene!W9+TrRoad_ene!W11))</f>
        <v>2.3269374363473698</v>
      </c>
      <c r="X51" s="97">
        <f>IF(X9=0,0,(X9+X11)/(TrRoad_ene!X9+TrRoad_ene!X11))</f>
        <v>2.3103414239851108</v>
      </c>
      <c r="Y51" s="97">
        <f>IF(Y9=0,0,(Y9+Y11)/(TrRoad_ene!Y9+TrRoad_ene!Y11))</f>
        <v>2.2916762798875641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317.70331689510846</v>
      </c>
      <c r="C54" s="62">
        <f>IF(TrRoad_act!C30=0,0,C17/TrRoad_act!C30*1000
)</f>
        <v>305.66216494743924</v>
      </c>
      <c r="D54" s="62">
        <f>IF(TrRoad_act!D30=0,0,D17/TrRoad_act!D30*1000
)</f>
        <v>299.93778273805333</v>
      </c>
      <c r="E54" s="62">
        <f>IF(TrRoad_act!E30=0,0,E17/TrRoad_act!E30*1000
)</f>
        <v>294.06038464823547</v>
      </c>
      <c r="F54" s="62">
        <f>IF(TrRoad_act!F30=0,0,F17/TrRoad_act!F30*1000
)</f>
        <v>291.17978761059709</v>
      </c>
      <c r="G54" s="62">
        <f>IF(TrRoad_act!G30=0,0,G17/TrRoad_act!G30*1000
)</f>
        <v>286.45781658157176</v>
      </c>
      <c r="H54" s="62">
        <f>IF(TrRoad_act!H30=0,0,H17/TrRoad_act!H30*1000
)</f>
        <v>281.74165309222042</v>
      </c>
      <c r="I54" s="62">
        <f>IF(TrRoad_act!I30=0,0,I17/TrRoad_act!I30*1000
)</f>
        <v>273.40771400646304</v>
      </c>
      <c r="J54" s="62">
        <f>IF(TrRoad_act!J30=0,0,J17/TrRoad_act!J30*1000
)</f>
        <v>263.98207170852652</v>
      </c>
      <c r="K54" s="62">
        <f>IF(TrRoad_act!K30=0,0,K17/TrRoad_act!K30*1000
)</f>
        <v>256.19318424115534</v>
      </c>
      <c r="L54" s="62">
        <f>IF(TrRoad_act!L30=0,0,L17/TrRoad_act!L30*1000
)</f>
        <v>253.64475743651815</v>
      </c>
      <c r="M54" s="62">
        <f>IF(TrRoad_act!M30=0,0,M17/TrRoad_act!M30*1000
)</f>
        <v>252.89870507033245</v>
      </c>
      <c r="N54" s="62">
        <f>IF(TrRoad_act!N30=0,0,N17/TrRoad_act!N30*1000
)</f>
        <v>247.33528864779316</v>
      </c>
      <c r="O54" s="62">
        <f>IF(TrRoad_act!O30=0,0,O17/TrRoad_act!O30*1000
)</f>
        <v>243.50899502081336</v>
      </c>
      <c r="P54" s="62">
        <f>IF(TrRoad_act!P30=0,0,P17/TrRoad_act!P30*1000
)</f>
        <v>237.93489851000578</v>
      </c>
      <c r="Q54" s="62">
        <f>IF(TrRoad_act!Q30=0,0,Q17/TrRoad_act!Q30*1000
)</f>
        <v>234.04117849697263</v>
      </c>
      <c r="R54" s="62">
        <f>IF(TrRoad_act!R30=0,0,R17/TrRoad_act!R30*1000
)</f>
        <v>230.76410734601845</v>
      </c>
      <c r="S54" s="62">
        <f>IF(TrRoad_act!S30=0,0,S17/TrRoad_act!S30*1000
)</f>
        <v>227.29379241759838</v>
      </c>
      <c r="T54" s="62">
        <f>IF(TrRoad_act!T30=0,0,T17/TrRoad_act!T30*1000
)</f>
        <v>224.68934380871119</v>
      </c>
      <c r="U54" s="62">
        <f>IF(TrRoad_act!U30=0,0,U17/TrRoad_act!U30*1000
)</f>
        <v>219.03788799762933</v>
      </c>
      <c r="V54" s="62">
        <f>IF(TrRoad_act!V30=0,0,V17/TrRoad_act!V30*1000
)</f>
        <v>221.36660306573654</v>
      </c>
      <c r="W54" s="62">
        <f>IF(TrRoad_act!W30=0,0,W17/TrRoad_act!W30*1000
)</f>
        <v>218.85174337380531</v>
      </c>
      <c r="X54" s="62">
        <f>IF(TrRoad_act!X30=0,0,X17/TrRoad_act!X30*1000
)</f>
        <v>209.01209997274293</v>
      </c>
      <c r="Y54" s="62">
        <f>IF(TrRoad_act!Y30=0,0,Y17/TrRoad_act!Y30*1000
)</f>
        <v>197.17183560307657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254.40668216056213</v>
      </c>
      <c r="C55" s="29">
        <f>IF(TrRoad_act!C31=0,0,C18/TrRoad_act!C31*1000
)</f>
        <v>244.74273434403327</v>
      </c>
      <c r="D55" s="29">
        <f>IF(TrRoad_act!D31=0,0,D18/TrRoad_act!D31*1000
)</f>
        <v>240.10642973506091</v>
      </c>
      <c r="E55" s="29">
        <f>IF(TrRoad_act!E31=0,0,E18/TrRoad_act!E31*1000
)</f>
        <v>235.36497302602831</v>
      </c>
      <c r="F55" s="29">
        <f>IF(TrRoad_act!F31=0,0,F18/TrRoad_act!F31*1000
)</f>
        <v>230.16199669516601</v>
      </c>
      <c r="G55" s="29">
        <f>IF(TrRoad_act!G31=0,0,G18/TrRoad_act!G31*1000
)</f>
        <v>225.87085668587699</v>
      </c>
      <c r="H55" s="29">
        <f>IF(TrRoad_act!H31=0,0,H18/TrRoad_act!H31*1000
)</f>
        <v>222.28058443422537</v>
      </c>
      <c r="I55" s="29">
        <f>IF(TrRoad_act!I31=0,0,I18/TrRoad_act!I31*1000
)</f>
        <v>215.59776452813844</v>
      </c>
      <c r="J55" s="29">
        <f>IF(TrRoad_act!J31=0,0,J18/TrRoad_act!J31*1000
)</f>
        <v>209.15370034972008</v>
      </c>
      <c r="K55" s="29">
        <f>IF(TrRoad_act!K31=0,0,K18/TrRoad_act!K31*1000
)</f>
        <v>207.12098759074749</v>
      </c>
      <c r="L55" s="29">
        <f>IF(TrRoad_act!L31=0,0,L18/TrRoad_act!L31*1000
)</f>
        <v>203.1548361047997</v>
      </c>
      <c r="M55" s="29">
        <f>IF(TrRoad_act!M31=0,0,M18/TrRoad_act!M31*1000
)</f>
        <v>203.2023115607104</v>
      </c>
      <c r="N55" s="29">
        <f>IF(TrRoad_act!N31=0,0,N18/TrRoad_act!N31*1000
)</f>
        <v>200.05368594263444</v>
      </c>
      <c r="O55" s="29">
        <f>IF(TrRoad_act!O31=0,0,O18/TrRoad_act!O31*1000
)</f>
        <v>196.3154965354496</v>
      </c>
      <c r="P55" s="29">
        <f>IF(TrRoad_act!P31=0,0,P18/TrRoad_act!P31*1000
)</f>
        <v>192.37788271287303</v>
      </c>
      <c r="Q55" s="29">
        <f>IF(TrRoad_act!Q31=0,0,Q18/TrRoad_act!Q31*1000
)</f>
        <v>190.15862047311552</v>
      </c>
      <c r="R55" s="29">
        <f>IF(TrRoad_act!R31=0,0,R18/TrRoad_act!R31*1000
)</f>
        <v>186.2709813722864</v>
      </c>
      <c r="S55" s="29">
        <f>IF(TrRoad_act!S31=0,0,S18/TrRoad_act!S31*1000
)</f>
        <v>182.28068083730369</v>
      </c>
      <c r="T55" s="29">
        <f>IF(TrRoad_act!T31=0,0,T18/TrRoad_act!T31*1000
)</f>
        <v>179.78373638681768</v>
      </c>
      <c r="U55" s="29">
        <f>IF(TrRoad_act!U31=0,0,U18/TrRoad_act!U31*1000
)</f>
        <v>174.31448445262606</v>
      </c>
      <c r="V55" s="29">
        <f>IF(TrRoad_act!V31=0,0,V18/TrRoad_act!V31*1000
)</f>
        <v>170.53753128244725</v>
      </c>
      <c r="W55" s="29">
        <f>IF(TrRoad_act!W31=0,0,W18/TrRoad_act!W31*1000
)</f>
        <v>169.77599299190891</v>
      </c>
      <c r="X55" s="29">
        <f>IF(TrRoad_act!X31=0,0,X18/TrRoad_act!X31*1000
)</f>
        <v>163.87770926731744</v>
      </c>
      <c r="Y55" s="29">
        <f>IF(TrRoad_act!Y31=0,0,Y18/TrRoad_act!Y31*1000
)</f>
        <v>155.16565739437539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105.83565374948982</v>
      </c>
      <c r="C56" s="152">
        <f>IF(TrRoad_act!C32=0,0,C19/TrRoad_act!C32*1000
)</f>
        <v>105.30743575650877</v>
      </c>
      <c r="D56" s="152">
        <f>IF(TrRoad_act!D32=0,0,D19/TrRoad_act!D32*1000
)</f>
        <v>104.76259937990875</v>
      </c>
      <c r="E56" s="152">
        <f>IF(TrRoad_act!E32=0,0,E19/TrRoad_act!E32*1000
)</f>
        <v>104.23670237397779</v>
      </c>
      <c r="F56" s="152">
        <f>IF(TrRoad_act!F32=0,0,F19/TrRoad_act!F32*1000
)</f>
        <v>103.56322369410789</v>
      </c>
      <c r="G56" s="152">
        <f>IF(TrRoad_act!G32=0,0,G19/TrRoad_act!G32*1000
)</f>
        <v>102.39208848205122</v>
      </c>
      <c r="H56" s="152">
        <f>IF(TrRoad_act!H32=0,0,H19/TrRoad_act!H32*1000
)</f>
        <v>101.17460900801169</v>
      </c>
      <c r="I56" s="152">
        <f>IF(TrRoad_act!I32=0,0,I19/TrRoad_act!I32*1000
)</f>
        <v>99.214378298115122</v>
      </c>
      <c r="J56" s="152">
        <f>IF(TrRoad_act!J32=0,0,J19/TrRoad_act!J32*1000
)</f>
        <v>96.419971820037858</v>
      </c>
      <c r="K56" s="152">
        <f>IF(TrRoad_act!K32=0,0,K19/TrRoad_act!K32*1000
)</f>
        <v>95.884180666520891</v>
      </c>
      <c r="L56" s="152">
        <f>IF(TrRoad_act!L32=0,0,L19/TrRoad_act!L32*1000
)</f>
        <v>94.889272058713487</v>
      </c>
      <c r="M56" s="152">
        <f>IF(TrRoad_act!M32=0,0,M19/TrRoad_act!M32*1000
)</f>
        <v>94.394319997498911</v>
      </c>
      <c r="N56" s="152">
        <f>IF(TrRoad_act!N32=0,0,N19/TrRoad_act!N32*1000
)</f>
        <v>93.266623317654265</v>
      </c>
      <c r="O56" s="152">
        <f>IF(TrRoad_act!O32=0,0,O19/TrRoad_act!O32*1000
)</f>
        <v>92.619829821273044</v>
      </c>
      <c r="P56" s="152">
        <f>IF(TrRoad_act!P32=0,0,P19/TrRoad_act!P32*1000
)</f>
        <v>91.78586184408401</v>
      </c>
      <c r="Q56" s="152">
        <f>IF(TrRoad_act!Q32=0,0,Q19/TrRoad_act!Q32*1000
)</f>
        <v>91.317608049177096</v>
      </c>
      <c r="R56" s="152">
        <f>IF(TrRoad_act!R32=0,0,R19/TrRoad_act!R32*1000
)</f>
        <v>90.545017216466135</v>
      </c>
      <c r="S56" s="152">
        <f>IF(TrRoad_act!S32=0,0,S19/TrRoad_act!S32*1000
)</f>
        <v>89.492288161063342</v>
      </c>
      <c r="T56" s="152">
        <f>IF(TrRoad_act!T32=0,0,T19/TrRoad_act!T32*1000
)</f>
        <v>93.418144821372834</v>
      </c>
      <c r="U56" s="152">
        <f>IF(TrRoad_act!U32=0,0,U19/TrRoad_act!U32*1000
)</f>
        <v>88.316748425505253</v>
      </c>
      <c r="V56" s="152">
        <f>IF(TrRoad_act!V32=0,0,V19/TrRoad_act!V32*1000
)</f>
        <v>88.480288790970377</v>
      </c>
      <c r="W56" s="152">
        <f>IF(TrRoad_act!W32=0,0,W19/TrRoad_act!W32*1000
)</f>
        <v>86.458038562272449</v>
      </c>
      <c r="X56" s="152">
        <f>IF(TrRoad_act!X32=0,0,X19/TrRoad_act!X32*1000
)</f>
        <v>90.416497869214368</v>
      </c>
      <c r="Y56" s="152">
        <f>IF(TrRoad_act!Y32=0,0,Y19/TrRoad_act!Y32*1000
)</f>
        <v>88.252072145699699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244.72335053324414</v>
      </c>
      <c r="C57" s="116">
        <f>IF(TrRoad_act!C33=0,0,C20/TrRoad_act!C33*1000
)</f>
        <v>236.02859507322972</v>
      </c>
      <c r="D57" s="116">
        <f>IF(TrRoad_act!D33=0,0,D20/TrRoad_act!D33*1000
)</f>
        <v>231.91116586093679</v>
      </c>
      <c r="E57" s="116">
        <f>IF(TrRoad_act!E33=0,0,E20/TrRoad_act!E33*1000
)</f>
        <v>226.97137124682723</v>
      </c>
      <c r="F57" s="116">
        <f>IF(TrRoad_act!F33=0,0,F20/TrRoad_act!F33*1000
)</f>
        <v>221.7856844667559</v>
      </c>
      <c r="G57" s="116">
        <f>IF(TrRoad_act!G33=0,0,G20/TrRoad_act!G33*1000
)</f>
        <v>217.55301662320036</v>
      </c>
      <c r="H57" s="116">
        <f>IF(TrRoad_act!H33=0,0,H20/TrRoad_act!H33*1000
)</f>
        <v>213.53752837872349</v>
      </c>
      <c r="I57" s="116">
        <f>IF(TrRoad_act!I33=0,0,I20/TrRoad_act!I33*1000
)</f>
        <v>206.98102672601001</v>
      </c>
      <c r="J57" s="116">
        <f>IF(TrRoad_act!J33=0,0,J20/TrRoad_act!J33*1000
)</f>
        <v>200.89820547530906</v>
      </c>
      <c r="K57" s="116">
        <f>IF(TrRoad_act!K33=0,0,K20/TrRoad_act!K33*1000
)</f>
        <v>199.79627622059337</v>
      </c>
      <c r="L57" s="116">
        <f>IF(TrRoad_act!L33=0,0,L20/TrRoad_act!L33*1000
)</f>
        <v>196.06773797092367</v>
      </c>
      <c r="M57" s="116">
        <f>IF(TrRoad_act!M33=0,0,M20/TrRoad_act!M33*1000
)</f>
        <v>196.62263820062637</v>
      </c>
      <c r="N57" s="116">
        <f>IF(TrRoad_act!N33=0,0,N20/TrRoad_act!N33*1000
)</f>
        <v>193.61115678800061</v>
      </c>
      <c r="O57" s="116">
        <f>IF(TrRoad_act!O33=0,0,O20/TrRoad_act!O33*1000
)</f>
        <v>190.67740021918962</v>
      </c>
      <c r="P57" s="116">
        <f>IF(TrRoad_act!P33=0,0,P20/TrRoad_act!P33*1000
)</f>
        <v>186.78841792408687</v>
      </c>
      <c r="Q57" s="116">
        <f>IF(TrRoad_act!Q33=0,0,Q20/TrRoad_act!Q33*1000
)</f>
        <v>184.49239933327735</v>
      </c>
      <c r="R57" s="116">
        <f>IF(TrRoad_act!R33=0,0,R20/TrRoad_act!R33*1000
)</f>
        <v>180.06894100529846</v>
      </c>
      <c r="S57" s="116">
        <f>IF(TrRoad_act!S33=0,0,S20/TrRoad_act!S33*1000
)</f>
        <v>176.16417901152028</v>
      </c>
      <c r="T57" s="116">
        <f>IF(TrRoad_act!T33=0,0,T20/TrRoad_act!T33*1000
)</f>
        <v>173.16134654284429</v>
      </c>
      <c r="U57" s="116">
        <f>IF(TrRoad_act!U33=0,0,U20/TrRoad_act!U33*1000
)</f>
        <v>167.96674513120618</v>
      </c>
      <c r="V57" s="116">
        <f>IF(TrRoad_act!V33=0,0,V20/TrRoad_act!V33*1000
)</f>
        <v>165.00951581979535</v>
      </c>
      <c r="W57" s="116">
        <f>IF(TrRoad_act!W33=0,0,W20/TrRoad_act!W33*1000
)</f>
        <v>163.99785662812204</v>
      </c>
      <c r="X57" s="116">
        <f>IF(TrRoad_act!X33=0,0,X20/TrRoad_act!X33*1000
)</f>
        <v>157.7983619701597</v>
      </c>
      <c r="Y57" s="116">
        <f>IF(TrRoad_act!Y33=0,0,Y20/TrRoad_act!Y33*1000
)</f>
        <v>149.36010539864887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234.89140962047176</v>
      </c>
      <c r="C58" s="87">
        <f>IF(TrRoad_act!C34=0,0,C21/TrRoad_act!C34*1000
)</f>
        <v>230.19407671195896</v>
      </c>
      <c r="D58" s="87">
        <f>IF(TrRoad_act!D34=0,0,D21/TrRoad_act!D34*1000
)</f>
        <v>228.23483260123896</v>
      </c>
      <c r="E58" s="87">
        <f>IF(TrRoad_act!E34=0,0,E21/TrRoad_act!E34*1000
)</f>
        <v>226.66538393399586</v>
      </c>
      <c r="F58" s="87">
        <f>IF(TrRoad_act!F34=0,0,F21/TrRoad_act!F34*1000
)</f>
        <v>224.86762842005703</v>
      </c>
      <c r="G58" s="87">
        <f>IF(TrRoad_act!G34=0,0,G21/TrRoad_act!G34*1000
)</f>
        <v>221.86431569791949</v>
      </c>
      <c r="H58" s="87">
        <f>IF(TrRoad_act!H34=0,0,H21/TrRoad_act!H34*1000
)</f>
        <v>218.87857840974593</v>
      </c>
      <c r="I58" s="87">
        <f>IF(TrRoad_act!I34=0,0,I21/TrRoad_act!I34*1000
)</f>
        <v>213.61266502427134</v>
      </c>
      <c r="J58" s="87">
        <f>IF(TrRoad_act!J34=0,0,J21/TrRoad_act!J34*1000
)</f>
        <v>207.00890006799486</v>
      </c>
      <c r="K58" s="87">
        <f>IF(TrRoad_act!K34=0,0,K21/TrRoad_act!K34*1000
)</f>
        <v>203.62495448939907</v>
      </c>
      <c r="L58" s="87">
        <f>IF(TrRoad_act!L34=0,0,L21/TrRoad_act!L34*1000
)</f>
        <v>198.97348602275255</v>
      </c>
      <c r="M58" s="87">
        <f>IF(TrRoad_act!M34=0,0,M21/TrRoad_act!M34*1000
)</f>
        <v>195.36192573596023</v>
      </c>
      <c r="N58" s="87">
        <f>IF(TrRoad_act!N34=0,0,N21/TrRoad_act!N34*1000
)</f>
        <v>190.74466441274026</v>
      </c>
      <c r="O58" s="87">
        <f>IF(TrRoad_act!O34=0,0,O21/TrRoad_act!O34*1000
)</f>
        <v>187.3616055746061</v>
      </c>
      <c r="P58" s="87">
        <f>IF(TrRoad_act!P34=0,0,P21/TrRoad_act!P34*1000
)</f>
        <v>182.38792629286266</v>
      </c>
      <c r="Q58" s="87">
        <f>IF(TrRoad_act!Q34=0,0,Q21/TrRoad_act!Q34*1000
)</f>
        <v>177.77295699188426</v>
      </c>
      <c r="R58" s="87">
        <f>IF(TrRoad_act!R34=0,0,R21/TrRoad_act!R34*1000
)</f>
        <v>172.03223217620587</v>
      </c>
      <c r="S58" s="87">
        <f>IF(TrRoad_act!S34=0,0,S21/TrRoad_act!S34*1000
)</f>
        <v>166.58021452851176</v>
      </c>
      <c r="T58" s="87">
        <f>IF(TrRoad_act!T34=0,0,T21/TrRoad_act!T34*1000
)</f>
        <v>161.67390791788267</v>
      </c>
      <c r="U58" s="87">
        <f>IF(TrRoad_act!U34=0,0,U21/TrRoad_act!U34*1000
)</f>
        <v>157.63342893132119</v>
      </c>
      <c r="V58" s="87">
        <f>IF(TrRoad_act!V34=0,0,V21/TrRoad_act!V34*1000
)</f>
        <v>154.66854788392976</v>
      </c>
      <c r="W58" s="87">
        <f>IF(TrRoad_act!W34=0,0,W21/TrRoad_act!W34*1000
)</f>
        <v>150.37417738628656</v>
      </c>
      <c r="X58" s="87">
        <f>IF(TrRoad_act!X34=0,0,X21/TrRoad_act!X34*1000
)</f>
        <v>145.47494142925939</v>
      </c>
      <c r="Y58" s="87">
        <f>IF(TrRoad_act!Y34=0,0,Y21/TrRoad_act!Y34*1000
)</f>
        <v>142.56138603844275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256.21384873611748</v>
      </c>
      <c r="C59" s="87">
        <f>IF(TrRoad_act!C35=0,0,C22/TrRoad_act!C35*1000
)</f>
        <v>242.22438656657539</v>
      </c>
      <c r="D59" s="87">
        <f>IF(TrRoad_act!D35=0,0,D22/TrRoad_act!D35*1000
)</f>
        <v>235.59554520784621</v>
      </c>
      <c r="E59" s="87">
        <f>IF(TrRoad_act!E35=0,0,E22/TrRoad_act!E35*1000
)</f>
        <v>227.5305756593107</v>
      </c>
      <c r="F59" s="87">
        <f>IF(TrRoad_act!F35=0,0,F22/TrRoad_act!F35*1000
)</f>
        <v>219.82215809664228</v>
      </c>
      <c r="G59" s="87">
        <f>IF(TrRoad_act!G35=0,0,G22/TrRoad_act!G35*1000
)</f>
        <v>214.91565444380745</v>
      </c>
      <c r="H59" s="87">
        <f>IF(TrRoad_act!H35=0,0,H22/TrRoad_act!H35*1000
)</f>
        <v>210.58957999011406</v>
      </c>
      <c r="I59" s="87">
        <f>IF(TrRoad_act!I35=0,0,I22/TrRoad_act!I35*1000
)</f>
        <v>203.57630905209874</v>
      </c>
      <c r="J59" s="87">
        <f>IF(TrRoad_act!J35=0,0,J22/TrRoad_act!J35*1000
)</f>
        <v>198.23649758591463</v>
      </c>
      <c r="K59" s="87">
        <f>IF(TrRoad_act!K35=0,0,K22/TrRoad_act!K35*1000
)</f>
        <v>198.50340605494952</v>
      </c>
      <c r="L59" s="87">
        <f>IF(TrRoad_act!L35=0,0,L22/TrRoad_act!L35*1000
)</f>
        <v>195.14782083210054</v>
      </c>
      <c r="M59" s="87">
        <f>IF(TrRoad_act!M35=0,0,M22/TrRoad_act!M35*1000
)</f>
        <v>197.23322579788078</v>
      </c>
      <c r="N59" s="87">
        <f>IF(TrRoad_act!N35=0,0,N22/TrRoad_act!N35*1000
)</f>
        <v>194.6969463855844</v>
      </c>
      <c r="O59" s="87">
        <f>IF(TrRoad_act!O35=0,0,O22/TrRoad_act!O35*1000
)</f>
        <v>191.88842185243217</v>
      </c>
      <c r="P59" s="87">
        <f>IF(TrRoad_act!P35=0,0,P22/TrRoad_act!P35*1000
)</f>
        <v>188.41319402395493</v>
      </c>
      <c r="Q59" s="87">
        <f>IF(TrRoad_act!Q35=0,0,Q22/TrRoad_act!Q35*1000
)</f>
        <v>187.06863351451267</v>
      </c>
      <c r="R59" s="87">
        <f>IF(TrRoad_act!R35=0,0,R22/TrRoad_act!R35*1000
)</f>
        <v>183.40845813208961</v>
      </c>
      <c r="S59" s="87">
        <f>IF(TrRoad_act!S35=0,0,S22/TrRoad_act!S35*1000
)</f>
        <v>180.5213149534024</v>
      </c>
      <c r="T59" s="87">
        <f>IF(TrRoad_act!T35=0,0,T22/TrRoad_act!T35*1000
)</f>
        <v>179.04976964738819</v>
      </c>
      <c r="U59" s="87">
        <f>IF(TrRoad_act!U35=0,0,U22/TrRoad_act!U35*1000
)</f>
        <v>174.3770625778825</v>
      </c>
      <c r="V59" s="87">
        <f>IF(TrRoad_act!V35=0,0,V22/TrRoad_act!V35*1000
)</f>
        <v>173.30636494936761</v>
      </c>
      <c r="W59" s="87">
        <f>IF(TrRoad_act!W35=0,0,W22/TrRoad_act!W35*1000
)</f>
        <v>177.03405294137607</v>
      </c>
      <c r="X59" s="87">
        <f>IF(TrRoad_act!X35=0,0,X22/TrRoad_act!X35*1000
)</f>
        <v>172.51598861159903</v>
      </c>
      <c r="Y59" s="87">
        <f>IF(TrRoad_act!Y35=0,0,Y22/TrRoad_act!Y35*1000
)</f>
        <v>163.29216158190755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199.3792594448324</v>
      </c>
      <c r="C60" s="87">
        <f>IF(TrRoad_act!C36=0,0,C23/TrRoad_act!C36*1000
)</f>
        <v>197.51413043733172</v>
      </c>
      <c r="D60" s="87">
        <f>IF(TrRoad_act!D36=0,0,D23/TrRoad_act!D36*1000
)</f>
        <v>197.40126947676458</v>
      </c>
      <c r="E60" s="87">
        <f>IF(TrRoad_act!E36=0,0,E23/TrRoad_act!E36*1000
)</f>
        <v>197.17438600146369</v>
      </c>
      <c r="F60" s="87">
        <f>IF(TrRoad_act!F36=0,0,F23/TrRoad_act!F36*1000
)</f>
        <v>196.98244410498552</v>
      </c>
      <c r="G60" s="87">
        <f>IF(TrRoad_act!G36=0,0,G23/TrRoad_act!G36*1000
)</f>
        <v>196.71562150848965</v>
      </c>
      <c r="H60" s="87">
        <f>IF(TrRoad_act!H36=0,0,H23/TrRoad_act!H36*1000
)</f>
        <v>196.44314603741856</v>
      </c>
      <c r="I60" s="87">
        <f>IF(TrRoad_act!I36=0,0,I23/TrRoad_act!I36*1000
)</f>
        <v>214.30228894135021</v>
      </c>
      <c r="J60" s="87">
        <f>IF(TrRoad_act!J36=0,0,J23/TrRoad_act!J36*1000
)</f>
        <v>192.65227755649107</v>
      </c>
      <c r="K60" s="87">
        <f>IF(TrRoad_act!K36=0,0,K23/TrRoad_act!K36*1000
)</f>
        <v>152.67364733945604</v>
      </c>
      <c r="L60" s="87">
        <f>IF(TrRoad_act!L36=0,0,L23/TrRoad_act!L36*1000
)</f>
        <v>173.70539651630381</v>
      </c>
      <c r="M60" s="87">
        <f>IF(TrRoad_act!M36=0,0,M23/TrRoad_act!M36*1000
)</f>
        <v>179.50537073208989</v>
      </c>
      <c r="N60" s="87">
        <f>IF(TrRoad_act!N36=0,0,N23/TrRoad_act!N36*1000
)</f>
        <v>179.74037022021781</v>
      </c>
      <c r="O60" s="87">
        <f>IF(TrRoad_act!O36=0,0,O23/TrRoad_act!O36*1000
)</f>
        <v>186.14812462715233</v>
      </c>
      <c r="P60" s="87">
        <f>IF(TrRoad_act!P36=0,0,P23/TrRoad_act!P36*1000
)</f>
        <v>182.19205737595962</v>
      </c>
      <c r="Q60" s="87">
        <f>IF(TrRoad_act!Q36=0,0,Q23/TrRoad_act!Q36*1000
)</f>
        <v>168.08322097937037</v>
      </c>
      <c r="R60" s="87">
        <f>IF(TrRoad_act!R36=0,0,R23/TrRoad_act!R36*1000
)</f>
        <v>160.48997426268124</v>
      </c>
      <c r="S60" s="87">
        <f>IF(TrRoad_act!S36=0,0,S23/TrRoad_act!S36*1000
)</f>
        <v>148.24045313018419</v>
      </c>
      <c r="T60" s="87">
        <f>IF(TrRoad_act!T36=0,0,T23/TrRoad_act!T36*1000
)</f>
        <v>142.71469920006697</v>
      </c>
      <c r="U60" s="87">
        <f>IF(TrRoad_act!U36=0,0,U23/TrRoad_act!U36*1000
)</f>
        <v>137.21838190861897</v>
      </c>
      <c r="V60" s="87">
        <f>IF(TrRoad_act!V36=0,0,V23/TrRoad_act!V36*1000
)</f>
        <v>116.30545370089936</v>
      </c>
      <c r="W60" s="87">
        <f>IF(TrRoad_act!W36=0,0,W23/TrRoad_act!W36*1000
)</f>
        <v>145.13154801609514</v>
      </c>
      <c r="X60" s="87">
        <f>IF(TrRoad_act!X36=0,0,X23/TrRoad_act!X36*1000
)</f>
        <v>222.86983607840949</v>
      </c>
      <c r="Y60" s="87">
        <f>IF(TrRoad_act!Y36=0,0,Y23/TrRoad_act!Y36*1000
)</f>
        <v>221.91819788937357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177.76760959058458</v>
      </c>
      <c r="J61" s="87">
        <f>IF(TrRoad_act!J37=0,0,J24/TrRoad_act!J37*1000
)</f>
        <v>170.80506086762315</v>
      </c>
      <c r="K61" s="87">
        <f>IF(TrRoad_act!K37=0,0,K24/TrRoad_act!K37*1000
)</f>
        <v>165.12575928615487</v>
      </c>
      <c r="L61" s="87">
        <f>IF(TrRoad_act!L37=0,0,L24/TrRoad_act!L37*1000
)</f>
        <v>163.26601108164053</v>
      </c>
      <c r="M61" s="87">
        <f>IF(TrRoad_act!M37=0,0,M24/TrRoad_act!M37*1000
)</f>
        <v>160.94545623905785</v>
      </c>
      <c r="N61" s="87">
        <f>IF(TrRoad_act!N37=0,0,N24/TrRoad_act!N37*1000
)</f>
        <v>158.41613790516874</v>
      </c>
      <c r="O61" s="87">
        <f>IF(TrRoad_act!O37=0,0,O24/TrRoad_act!O37*1000
)</f>
        <v>156.03279867951176</v>
      </c>
      <c r="P61" s="87">
        <f>IF(TrRoad_act!P37=0,0,P24/TrRoad_act!P37*1000
)</f>
        <v>153.14491990900612</v>
      </c>
      <c r="Q61" s="87">
        <f>IF(TrRoad_act!Q37=0,0,Q24/TrRoad_act!Q37*1000
)</f>
        <v>148.53966857847746</v>
      </c>
      <c r="R61" s="87">
        <f>IF(TrRoad_act!R37=0,0,R24/TrRoad_act!R37*1000
)</f>
        <v>131.31521666942976</v>
      </c>
      <c r="S61" s="87">
        <f>IF(TrRoad_act!S37=0,0,S24/TrRoad_act!S37*1000
)</f>
        <v>129.72635976283118</v>
      </c>
      <c r="T61" s="87">
        <f>IF(TrRoad_act!T37=0,0,T24/TrRoad_act!T37*1000
)</f>
        <v>127.8687577664934</v>
      </c>
      <c r="U61" s="87">
        <f>IF(TrRoad_act!U37=0,0,U24/TrRoad_act!U37*1000
)</f>
        <v>126.68633572301339</v>
      </c>
      <c r="V61" s="87">
        <f>IF(TrRoad_act!V37=0,0,V24/TrRoad_act!V37*1000
)</f>
        <v>125.58318346252764</v>
      </c>
      <c r="W61" s="87">
        <f>IF(TrRoad_act!W37=0,0,W24/TrRoad_act!W37*1000
)</f>
        <v>123.017931318303</v>
      </c>
      <c r="X61" s="87">
        <f>IF(TrRoad_act!X37=0,0,X24/TrRoad_act!X37*1000
)</f>
        <v>121.51147381759517</v>
      </c>
      <c r="Y61" s="87">
        <f>IF(TrRoad_act!Y37=0,0,Y24/TrRoad_act!Y37*1000
)</f>
        <v>110.13143988411622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58.40213087309813</v>
      </c>
      <c r="O62" s="87">
        <f>IF(TrRoad_act!O38=0,0,O25/TrRoad_act!O38*1000
)</f>
        <v>61.185909604367033</v>
      </c>
      <c r="P62" s="87">
        <f>IF(TrRoad_act!P38=0,0,P25/TrRoad_act!P38*1000
)</f>
        <v>57.34948395618698</v>
      </c>
      <c r="Q62" s="87">
        <f>IF(TrRoad_act!Q38=0,0,Q25/TrRoad_act!Q38*1000
)</f>
        <v>59.28853045567805</v>
      </c>
      <c r="R62" s="87">
        <f>IF(TrRoad_act!R38=0,0,R25/TrRoad_act!R38*1000
)</f>
        <v>61.434615315985575</v>
      </c>
      <c r="S62" s="87">
        <f>IF(TrRoad_act!S38=0,0,S25/TrRoad_act!S38*1000
)</f>
        <v>62.709788368079863</v>
      </c>
      <c r="T62" s="87">
        <f>IF(TrRoad_act!T38=0,0,T25/TrRoad_act!T38*1000
)</f>
        <v>64.187306952899959</v>
      </c>
      <c r="U62" s="87">
        <f>IF(TrRoad_act!U38=0,0,U25/TrRoad_act!U38*1000
)</f>
        <v>61.937207085589627</v>
      </c>
      <c r="V62" s="87">
        <f>IF(TrRoad_act!V38=0,0,V25/TrRoad_act!V38*1000
)</f>
        <v>51.867777138292567</v>
      </c>
      <c r="W62" s="87">
        <f>IF(TrRoad_act!W38=0,0,W25/TrRoad_act!W38*1000
)</f>
        <v>44.632211645956026</v>
      </c>
      <c r="X62" s="87">
        <f>IF(TrRoad_act!X38=0,0,X25/TrRoad_act!X38*1000
)</f>
        <v>40.668411545982735</v>
      </c>
      <c r="Y62" s="87">
        <f>IF(TrRoad_act!Y38=0,0,Y25/TrRoad_act!Y38*1000
)</f>
        <v>37.589638492497166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1753.4548565710522</v>
      </c>
      <c r="C64" s="116">
        <f>IF(TrRoad_act!C40=0,0,C27/TrRoad_act!C40*1000
)</f>
        <v>1723.0137090118994</v>
      </c>
      <c r="D64" s="116">
        <f>IF(TrRoad_act!D40=0,0,D27/TrRoad_act!D40*1000
)</f>
        <v>1709.9069377362573</v>
      </c>
      <c r="E64" s="116">
        <f>IF(TrRoad_act!E40=0,0,E27/TrRoad_act!E40*1000
)</f>
        <v>1700.0713243118175</v>
      </c>
      <c r="F64" s="116">
        <f>IF(TrRoad_act!F40=0,0,F27/TrRoad_act!F40*1000
)</f>
        <v>1689.5702098763609</v>
      </c>
      <c r="G64" s="116">
        <f>IF(TrRoad_act!G40=0,0,G27/TrRoad_act!G40*1000
)</f>
        <v>1671.6355608059851</v>
      </c>
      <c r="H64" s="116">
        <f>IF(TrRoad_act!H40=0,0,H27/TrRoad_act!H40*1000
)</f>
        <v>1662.2568546499915</v>
      </c>
      <c r="I64" s="116">
        <f>IF(TrRoad_act!I40=0,0,I27/TrRoad_act!I40*1000
)</f>
        <v>1626.8496360399381</v>
      </c>
      <c r="J64" s="116">
        <f>IF(TrRoad_act!J40=0,0,J27/TrRoad_act!J40*1000
)</f>
        <v>1581.0077230562308</v>
      </c>
      <c r="K64" s="116">
        <f>IF(TrRoad_act!K40=0,0,K27/TrRoad_act!K40*1000
)</f>
        <v>1561.6378069877906</v>
      </c>
      <c r="L64" s="116">
        <f>IF(TrRoad_act!L40=0,0,L27/TrRoad_act!L40*1000
)</f>
        <v>1563.1876814603806</v>
      </c>
      <c r="M64" s="116">
        <f>IF(TrRoad_act!M40=0,0,M27/TrRoad_act!M40*1000
)</f>
        <v>1551.0351405340662</v>
      </c>
      <c r="N64" s="116">
        <f>IF(TrRoad_act!N40=0,0,N27/TrRoad_act!N40*1000
)</f>
        <v>1537.3267481553889</v>
      </c>
      <c r="O64" s="116">
        <f>IF(TrRoad_act!O40=0,0,O27/TrRoad_act!O40*1000
)</f>
        <v>1515.1159685401069</v>
      </c>
      <c r="P64" s="116">
        <f>IF(TrRoad_act!P40=0,0,P27/TrRoad_act!P40*1000
)</f>
        <v>1507.2391427254047</v>
      </c>
      <c r="Q64" s="116">
        <f>IF(TrRoad_act!Q40=0,0,Q27/TrRoad_act!Q40*1000
)</f>
        <v>1511.7929000243589</v>
      </c>
      <c r="R64" s="116">
        <f>IF(TrRoad_act!R40=0,0,R27/TrRoad_act!R40*1000
)</f>
        <v>1521.9789158748479</v>
      </c>
      <c r="S64" s="116">
        <f>IF(TrRoad_act!S40=0,0,S27/TrRoad_act!S40*1000
)</f>
        <v>1519.7414576319345</v>
      </c>
      <c r="T64" s="116">
        <f>IF(TrRoad_act!T40=0,0,T27/TrRoad_act!T40*1000
)</f>
        <v>1508.1023344162008</v>
      </c>
      <c r="U64" s="116">
        <f>IF(TrRoad_act!U40=0,0,U27/TrRoad_act!U40*1000
)</f>
        <v>1481.8148536722583</v>
      </c>
      <c r="V64" s="116">
        <f>IF(TrRoad_act!V40=0,0,V27/TrRoad_act!V40*1000
)</f>
        <v>1475.9119991346902</v>
      </c>
      <c r="W64" s="116">
        <f>IF(TrRoad_act!W40=0,0,W27/TrRoad_act!W40*1000
)</f>
        <v>1449.1658135871121</v>
      </c>
      <c r="X64" s="116">
        <f>IF(TrRoad_act!X40=0,0,X27/TrRoad_act!X40*1000
)</f>
        <v>1400.231585992937</v>
      </c>
      <c r="Y64" s="116">
        <f>IF(TrRoad_act!Y40=0,0,Y27/TrRoad_act!Y40*1000
)</f>
        <v>1351.6342311875087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520.79147457237457</v>
      </c>
      <c r="C65" s="101">
        <f>IF(TrRoad_act!C41=0,0,C28/TrRoad_act!C41*1000
)</f>
        <v>520.46701162146053</v>
      </c>
      <c r="D65" s="101">
        <f>IF(TrRoad_act!D41=0,0,D28/TrRoad_act!D41*1000
)</f>
        <v>520.00561011522166</v>
      </c>
      <c r="E65" s="101">
        <f>IF(TrRoad_act!E41=0,0,E28/TrRoad_act!E41*1000
)</f>
        <v>520.10936805828987</v>
      </c>
      <c r="F65" s="101">
        <f>IF(TrRoad_act!F41=0,0,F28/TrRoad_act!F41*1000
)</f>
        <v>519.70114150952895</v>
      </c>
      <c r="G65" s="101">
        <f>IF(TrRoad_act!G41=0,0,G28/TrRoad_act!G41*1000
)</f>
        <v>517.16926505421134</v>
      </c>
      <c r="H65" s="101">
        <f>IF(TrRoad_act!H41=0,0,H28/TrRoad_act!H41*1000
)</f>
        <v>514.62200289747773</v>
      </c>
      <c r="I65" s="101">
        <f>IF(TrRoad_act!I41=0,0,I28/TrRoad_act!I41*1000
)</f>
        <v>507.10125638736139</v>
      </c>
      <c r="J65" s="101">
        <f>IF(TrRoad_act!J41=0,0,J28/TrRoad_act!J41*1000
)</f>
        <v>495.8777737919616</v>
      </c>
      <c r="K65" s="101">
        <f>IF(TrRoad_act!K41=0,0,K28/TrRoad_act!K41*1000
)</f>
        <v>496.72971911337817</v>
      </c>
      <c r="L65" s="101">
        <f>IF(TrRoad_act!L41=0,0,L28/TrRoad_act!L41*1000
)</f>
        <v>494.76820562520118</v>
      </c>
      <c r="M65" s="101">
        <f>IF(TrRoad_act!M41=0,0,M28/TrRoad_act!M41*1000
)</f>
        <v>495.53673614054537</v>
      </c>
      <c r="N65" s="101">
        <f>IF(TrRoad_act!N41=0,0,N28/TrRoad_act!N41*1000
)</f>
        <v>492.07204089829594</v>
      </c>
      <c r="O65" s="101">
        <f>IF(TrRoad_act!O41=0,0,O28/TrRoad_act!O41*1000
)</f>
        <v>491.30462480571424</v>
      </c>
      <c r="P65" s="101">
        <f>IF(TrRoad_act!P41=0,0,P28/TrRoad_act!P41*1000
)</f>
        <v>489.18317445188779</v>
      </c>
      <c r="Q65" s="101">
        <f>IF(TrRoad_act!Q41=0,0,Q28/TrRoad_act!Q41*1000
)</f>
        <v>487.56690014572013</v>
      </c>
      <c r="R65" s="101">
        <f>IF(TrRoad_act!R41=0,0,R28/TrRoad_act!R41*1000
)</f>
        <v>485.66018725909311</v>
      </c>
      <c r="S65" s="101">
        <f>IF(TrRoad_act!S41=0,0,S28/TrRoad_act!S41*1000
)</f>
        <v>480.5130245123076</v>
      </c>
      <c r="T65" s="101">
        <f>IF(TrRoad_act!T41=0,0,T28/TrRoad_act!T41*1000
)</f>
        <v>478.78986858194872</v>
      </c>
      <c r="U65" s="101">
        <f>IF(TrRoad_act!U41=0,0,U28/TrRoad_act!U41*1000
)</f>
        <v>464.11791746055201</v>
      </c>
      <c r="V65" s="101">
        <f>IF(TrRoad_act!V41=0,0,V28/TrRoad_act!V41*1000
)</f>
        <v>446.49704986908631</v>
      </c>
      <c r="W65" s="101">
        <f>IF(TrRoad_act!W41=0,0,W28/TrRoad_act!W41*1000
)</f>
        <v>436.84100676995598</v>
      </c>
      <c r="X65" s="101">
        <f>IF(TrRoad_act!X41=0,0,X28/TrRoad_act!X41*1000
)</f>
        <v>426.40243172437249</v>
      </c>
      <c r="Y65" s="101">
        <f>IF(TrRoad_act!Y41=0,0,Y28/TrRoad_act!Y41*1000
)</f>
        <v>420.98892573427639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1764.4977742418137</v>
      </c>
      <c r="C66" s="101">
        <f>IF(TrRoad_act!C42=0,0,C29/TrRoad_act!C42*1000
)</f>
        <v>1738.3635375244298</v>
      </c>
      <c r="D66" s="101">
        <f>IF(TrRoad_act!D42=0,0,D29/TrRoad_act!D42*1000
)</f>
        <v>1725.8058601586526</v>
      </c>
      <c r="E66" s="101">
        <f>IF(TrRoad_act!E42=0,0,E29/TrRoad_act!E42*1000
)</f>
        <v>1717.6855919758675</v>
      </c>
      <c r="F66" s="101">
        <f>IF(TrRoad_act!F42=0,0,F29/TrRoad_act!F42*1000
)</f>
        <v>1708.928095495437</v>
      </c>
      <c r="G66" s="101">
        <f>IF(TrRoad_act!G42=0,0,G29/TrRoad_act!G42*1000
)</f>
        <v>1690.9147298611658</v>
      </c>
      <c r="H66" s="101">
        <f>IF(TrRoad_act!H42=0,0,H29/TrRoad_act!H42*1000
)</f>
        <v>1680.69446314223</v>
      </c>
      <c r="I66" s="101">
        <f>IF(TrRoad_act!I42=0,0,I29/TrRoad_act!I42*1000
)</f>
        <v>1645.7236597284982</v>
      </c>
      <c r="J66" s="101">
        <f>IF(TrRoad_act!J42=0,0,J29/TrRoad_act!J42*1000
)</f>
        <v>1600.1442763861546</v>
      </c>
      <c r="K66" s="101">
        <f>IF(TrRoad_act!K42=0,0,K29/TrRoad_act!K42*1000
)</f>
        <v>1580.2646748454731</v>
      </c>
      <c r="L66" s="101">
        <f>IF(TrRoad_act!L42=0,0,L29/TrRoad_act!L42*1000
)</f>
        <v>1579.652623455607</v>
      </c>
      <c r="M66" s="101">
        <f>IF(TrRoad_act!M42=0,0,M29/TrRoad_act!M42*1000
)</f>
        <v>1582.1431360453414</v>
      </c>
      <c r="N66" s="101">
        <f>IF(TrRoad_act!N42=0,0,N29/TrRoad_act!N42*1000
)</f>
        <v>1571.083059391221</v>
      </c>
      <c r="O66" s="101">
        <f>IF(TrRoad_act!O42=0,0,O29/TrRoad_act!O42*1000
)</f>
        <v>1569.4243267259992</v>
      </c>
      <c r="P66" s="101">
        <f>IF(TrRoad_act!P42=0,0,P29/TrRoad_act!P42*1000
)</f>
        <v>1560.7371098112444</v>
      </c>
      <c r="Q66" s="101">
        <f>IF(TrRoad_act!Q42=0,0,Q29/TrRoad_act!Q42*1000
)</f>
        <v>1566.5680036083297</v>
      </c>
      <c r="R66" s="101">
        <f>IF(TrRoad_act!R42=0,0,R29/TrRoad_act!R42*1000
)</f>
        <v>1574.5724205733918</v>
      </c>
      <c r="S66" s="101">
        <f>IF(TrRoad_act!S42=0,0,S29/TrRoad_act!S42*1000
)</f>
        <v>1574.3399777498928</v>
      </c>
      <c r="T66" s="101">
        <f>IF(TrRoad_act!T42=0,0,T29/TrRoad_act!T42*1000
)</f>
        <v>1573.4476701242984</v>
      </c>
      <c r="U66" s="101">
        <f>IF(TrRoad_act!U42=0,0,U29/TrRoad_act!U42*1000
)</f>
        <v>1567.1708698062735</v>
      </c>
      <c r="V66" s="101">
        <f>IF(TrRoad_act!V42=0,0,V29/TrRoad_act!V42*1000
)</f>
        <v>1562.8524261387595</v>
      </c>
      <c r="W66" s="101">
        <f>IF(TrRoad_act!W42=0,0,W29/TrRoad_act!W42*1000
)</f>
        <v>1558.7331019505862</v>
      </c>
      <c r="X66" s="101">
        <f>IF(TrRoad_act!X42=0,0,X29/TrRoad_act!X42*1000
)</f>
        <v>1538.8662995147174</v>
      </c>
      <c r="Y66" s="101">
        <f>IF(TrRoad_act!Y42=0,0,Y29/TrRoad_act!Y42*1000
)</f>
        <v>1499.8143722011694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1245.2613709108819</v>
      </c>
      <c r="C67" s="101">
        <f>IF(TrRoad_act!C43=0,0,C30/TrRoad_act!C43*1000
)</f>
        <v>1198.5434994104635</v>
      </c>
      <c r="D67" s="101">
        <f>IF(TrRoad_act!D43=0,0,D30/TrRoad_act!D43*1000
)</f>
        <v>1197.6308484570175</v>
      </c>
      <c r="E67" s="101">
        <f>IF(TrRoad_act!E43=0,0,E30/TrRoad_act!E43*1000
)</f>
        <v>1194.1901050953602</v>
      </c>
      <c r="F67" s="101">
        <f>IF(TrRoad_act!F43=0,0,F30/TrRoad_act!F43*1000
)</f>
        <v>1192.3298094767551</v>
      </c>
      <c r="G67" s="101">
        <f>IF(TrRoad_act!G43=0,0,G30/TrRoad_act!G43*1000
)</f>
        <v>1189.4438332757659</v>
      </c>
      <c r="H67" s="101">
        <f>IF(TrRoad_act!H43=0,0,H30/TrRoad_act!H43*1000
)</f>
        <v>1179.6724405317682</v>
      </c>
      <c r="I67" s="101">
        <f>IF(TrRoad_act!I43=0,0,I30/TrRoad_act!I43*1000
)</f>
        <v>1174.9098958182565</v>
      </c>
      <c r="J67" s="101">
        <f>IF(TrRoad_act!J43=0,0,J30/TrRoad_act!J43*1000
)</f>
        <v>1172.7127990873942</v>
      </c>
      <c r="K67" s="101">
        <f>IF(TrRoad_act!K43=0,0,K30/TrRoad_act!K43*1000
)</f>
        <v>1170.0801577772297</v>
      </c>
      <c r="L67" s="101">
        <f>IF(TrRoad_act!L43=0,0,L30/TrRoad_act!L43*1000
)</f>
        <v>1169.816665228404</v>
      </c>
      <c r="M67" s="101">
        <f>IF(TrRoad_act!M43=0,0,M30/TrRoad_act!M43*1000
)</f>
        <v>1166.6188341799793</v>
      </c>
      <c r="N67" s="101">
        <f>IF(TrRoad_act!N43=0,0,N30/TrRoad_act!N43*1000
)</f>
        <v>1163.4131229456336</v>
      </c>
      <c r="O67" s="101">
        <f>IF(TrRoad_act!O43=0,0,O30/TrRoad_act!O43*1000
)</f>
        <v>1162.1169760556324</v>
      </c>
      <c r="P67" s="101">
        <f>IF(TrRoad_act!P43=0,0,P30/TrRoad_act!P43*1000
)</f>
        <v>1159.2623798943766</v>
      </c>
      <c r="Q67" s="101">
        <f>IF(TrRoad_act!Q43=0,0,Q30/TrRoad_act!Q43*1000
)</f>
        <v>1155.6341074833351</v>
      </c>
      <c r="R67" s="101">
        <f>IF(TrRoad_act!R43=0,0,R30/TrRoad_act!R43*1000
)</f>
        <v>1155.3721147081767</v>
      </c>
      <c r="S67" s="101">
        <f>IF(TrRoad_act!S43=0,0,S30/TrRoad_act!S43*1000
)</f>
        <v>1155.9586624689609</v>
      </c>
      <c r="T67" s="101">
        <f>IF(TrRoad_act!T43=0,0,T30/TrRoad_act!T43*1000
)</f>
        <v>1154.553213120317</v>
      </c>
      <c r="U67" s="101">
        <f>IF(TrRoad_act!U43=0,0,U30/TrRoad_act!U43*1000
)</f>
        <v>1154.9904232777806</v>
      </c>
      <c r="V67" s="101">
        <f>IF(TrRoad_act!V43=0,0,V30/TrRoad_act!V43*1000
)</f>
        <v>1154.5968725487739</v>
      </c>
      <c r="W67" s="101">
        <f>IF(TrRoad_act!W43=0,0,W30/TrRoad_act!W43*1000
)</f>
        <v>1155.6268358312718</v>
      </c>
      <c r="X67" s="101">
        <f>IF(TrRoad_act!X43=0,0,X30/TrRoad_act!X43*1000
)</f>
        <v>1157.7199109585458</v>
      </c>
      <c r="Y67" s="101">
        <f>IF(TrRoad_act!Y43=0,0,Y30/TrRoad_act!Y43*1000
)</f>
        <v>1160.0958584798193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1115.3656108280784</v>
      </c>
      <c r="C68" s="101">
        <f>IF(TrRoad_act!C44=0,0,C31/TrRoad_act!C44*1000
)</f>
        <v>1011.1565317804763</v>
      </c>
      <c r="D68" s="101">
        <f>IF(TrRoad_act!D44=0,0,D31/TrRoad_act!D44*1000
)</f>
        <v>1028.0007374812456</v>
      </c>
      <c r="E68" s="101">
        <f>IF(TrRoad_act!E44=0,0,E31/TrRoad_act!E44*1000
)</f>
        <v>1023.7298134557724</v>
      </c>
      <c r="F68" s="101">
        <f>IF(TrRoad_act!F44=0,0,F31/TrRoad_act!F44*1000
)</f>
        <v>954.94985398351344</v>
      </c>
      <c r="G68" s="101">
        <f>IF(TrRoad_act!G44=0,0,G31/TrRoad_act!G44*1000
)</f>
        <v>957.44945207262595</v>
      </c>
      <c r="H68" s="101">
        <f>IF(TrRoad_act!H44=0,0,H31/TrRoad_act!H44*1000
)</f>
        <v>1035.5126647879831</v>
      </c>
      <c r="I68" s="101">
        <f>IF(TrRoad_act!I44=0,0,I31/TrRoad_act!I44*1000
)</f>
        <v>991.69679197523305</v>
      </c>
      <c r="J68" s="101">
        <f>IF(TrRoad_act!J44=0,0,J31/TrRoad_act!J44*1000
)</f>
        <v>1004.4508003580211</v>
      </c>
      <c r="K68" s="101">
        <f>IF(TrRoad_act!K44=0,0,K31/TrRoad_act!K44*1000
)</f>
        <v>999.21338095739543</v>
      </c>
      <c r="L68" s="101">
        <f>IF(TrRoad_act!L44=0,0,L31/TrRoad_act!L44*1000
)</f>
        <v>1082.8939681886961</v>
      </c>
      <c r="M68" s="101">
        <f>IF(TrRoad_act!M44=0,0,M31/TrRoad_act!M44*1000
)</f>
        <v>1064.7500048355066</v>
      </c>
      <c r="N68" s="101">
        <f>IF(TrRoad_act!N44=0,0,N31/TrRoad_act!N44*1000
)</f>
        <v>1061.4471221576234</v>
      </c>
      <c r="O68" s="101">
        <f>IF(TrRoad_act!O44=0,0,O31/TrRoad_act!O44*1000
)</f>
        <v>941.73522537853694</v>
      </c>
      <c r="P68" s="101">
        <f>IF(TrRoad_act!P44=0,0,P31/TrRoad_act!P44*1000
)</f>
        <v>971.36043226473112</v>
      </c>
      <c r="Q68" s="101">
        <f>IF(TrRoad_act!Q44=0,0,Q31/TrRoad_act!Q44*1000
)</f>
        <v>971.75812251466766</v>
      </c>
      <c r="R68" s="101">
        <f>IF(TrRoad_act!R44=0,0,R31/TrRoad_act!R44*1000
)</f>
        <v>1009.4445980383435</v>
      </c>
      <c r="S68" s="101">
        <f>IF(TrRoad_act!S44=0,0,S31/TrRoad_act!S44*1000
)</f>
        <v>1041.2895421010778</v>
      </c>
      <c r="T68" s="101">
        <f>IF(TrRoad_act!T44=0,0,T31/TrRoad_act!T44*1000
)</f>
        <v>994.16789536425836</v>
      </c>
      <c r="U68" s="101">
        <f>IF(TrRoad_act!U44=0,0,U31/TrRoad_act!U44*1000
)</f>
        <v>977.44340238415282</v>
      </c>
      <c r="V68" s="101">
        <f>IF(TrRoad_act!V44=0,0,V31/TrRoad_act!V44*1000
)</f>
        <v>1148.3703110005315</v>
      </c>
      <c r="W68" s="101">
        <f>IF(TrRoad_act!W44=0,0,W31/TrRoad_act!W44*1000
)</f>
        <v>1166.4222902175113</v>
      </c>
      <c r="X68" s="101">
        <f>IF(TrRoad_act!X44=0,0,X31/TrRoad_act!X44*1000
)</f>
        <v>1096.4732978128798</v>
      </c>
      <c r="Y68" s="101">
        <f>IF(TrRoad_act!Y44=0,0,Y31/TrRoad_act!Y44*1000
)</f>
        <v>1089.5893000596379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564.01732841252078</v>
      </c>
      <c r="C70" s="29">
        <f>IF(TrRoad_act!C46=0,0,C33/TrRoad_act!C46*1000
)</f>
        <v>549.8590690497241</v>
      </c>
      <c r="D70" s="29">
        <f>IF(TrRoad_act!D46=0,0,D33/TrRoad_act!D46*1000
)</f>
        <v>544.00177198198685</v>
      </c>
      <c r="E70" s="29">
        <f>IF(TrRoad_act!E46=0,0,E33/TrRoad_act!E46*1000
)</f>
        <v>535.23242000862092</v>
      </c>
      <c r="F70" s="29">
        <f>IF(TrRoad_act!F46=0,0,F33/TrRoad_act!F46*1000
)</f>
        <v>539.31916725546944</v>
      </c>
      <c r="G70" s="29">
        <f>IF(TrRoad_act!G46=0,0,G33/TrRoad_act!G46*1000
)</f>
        <v>533.08648445495942</v>
      </c>
      <c r="H70" s="29">
        <f>IF(TrRoad_act!H46=0,0,H33/TrRoad_act!H46*1000
)</f>
        <v>525.67352449101418</v>
      </c>
      <c r="I70" s="29">
        <f>IF(TrRoad_act!I46=0,0,I33/TrRoad_act!I46*1000
)</f>
        <v>513.86048072459596</v>
      </c>
      <c r="J70" s="29">
        <f>IF(TrRoad_act!J46=0,0,J33/TrRoad_act!J46*1000
)</f>
        <v>499.09387275096054</v>
      </c>
      <c r="K70" s="29">
        <f>IF(TrRoad_act!K46=0,0,K33/TrRoad_act!K46*1000
)</f>
        <v>475.92835095028482</v>
      </c>
      <c r="L70" s="29">
        <f>IF(TrRoad_act!L46=0,0,L33/TrRoad_act!L46*1000
)</f>
        <v>474.12600775972834</v>
      </c>
      <c r="M70" s="29">
        <f>IF(TrRoad_act!M46=0,0,M33/TrRoad_act!M46*1000
)</f>
        <v>472.85967370342428</v>
      </c>
      <c r="N70" s="29">
        <f>IF(TrRoad_act!N46=0,0,N33/TrRoad_act!N46*1000
)</f>
        <v>458.18627653531058</v>
      </c>
      <c r="O70" s="29">
        <f>IF(TrRoad_act!O46=0,0,O33/TrRoad_act!O46*1000
)</f>
        <v>451.63866388900271</v>
      </c>
      <c r="P70" s="29">
        <f>IF(TrRoad_act!P46=0,0,P33/TrRoad_act!P46*1000
)</f>
        <v>443.35552827516528</v>
      </c>
      <c r="Q70" s="29">
        <f>IF(TrRoad_act!Q46=0,0,Q33/TrRoad_act!Q46*1000
)</f>
        <v>431.93707381040281</v>
      </c>
      <c r="R70" s="29">
        <f>IF(TrRoad_act!R46=0,0,R33/TrRoad_act!R46*1000
)</f>
        <v>434.23253236595758</v>
      </c>
      <c r="S70" s="29">
        <f>IF(TrRoad_act!S46=0,0,S33/TrRoad_act!S46*1000
)</f>
        <v>428.43072053703435</v>
      </c>
      <c r="T70" s="29">
        <f>IF(TrRoad_act!T46=0,0,T33/TrRoad_act!T46*1000
)</f>
        <v>423.5953483850443</v>
      </c>
      <c r="U70" s="29">
        <f>IF(TrRoad_act!U46=0,0,U33/TrRoad_act!U46*1000
)</f>
        <v>416.8090887377117</v>
      </c>
      <c r="V70" s="29">
        <f>IF(TrRoad_act!V46=0,0,V33/TrRoad_act!V46*1000
)</f>
        <v>433.78944012455969</v>
      </c>
      <c r="W70" s="29">
        <f>IF(TrRoad_act!W46=0,0,W33/TrRoad_act!W46*1000
)</f>
        <v>425.5284864554996</v>
      </c>
      <c r="X70" s="29">
        <f>IF(TrRoad_act!X46=0,0,X33/TrRoad_act!X46*1000
)</f>
        <v>413.28387266683114</v>
      </c>
      <c r="Y70" s="29">
        <f>IF(TrRoad_act!Y46=0,0,Y33/TrRoad_act!Y46*1000
)</f>
        <v>390.14400739530805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341.7126691152456</v>
      </c>
      <c r="C71" s="152">
        <f>IF(TrRoad_act!C47=0,0,C34/TrRoad_act!C47*1000
)</f>
        <v>330.11037019123523</v>
      </c>
      <c r="D71" s="152">
        <f>IF(TrRoad_act!D47=0,0,D34/TrRoad_act!D47*1000
)</f>
        <v>324.54491715063074</v>
      </c>
      <c r="E71" s="152">
        <f>IF(TrRoad_act!E47=0,0,E34/TrRoad_act!E47*1000
)</f>
        <v>317.02663103118203</v>
      </c>
      <c r="F71" s="152">
        <f>IF(TrRoad_act!F47=0,0,F34/TrRoad_act!F47*1000
)</f>
        <v>308.81228989869925</v>
      </c>
      <c r="G71" s="152">
        <f>IF(TrRoad_act!G47=0,0,G34/TrRoad_act!G47*1000
)</f>
        <v>303.11011191180029</v>
      </c>
      <c r="H71" s="152">
        <f>IF(TrRoad_act!H47=0,0,H34/TrRoad_act!H47*1000
)</f>
        <v>296.90330928752155</v>
      </c>
      <c r="I71" s="152">
        <f>IF(TrRoad_act!I47=0,0,I34/TrRoad_act!I47*1000
)</f>
        <v>287.18354324494061</v>
      </c>
      <c r="J71" s="152">
        <f>IF(TrRoad_act!J47=0,0,J34/TrRoad_act!J47*1000
)</f>
        <v>280.19459798173602</v>
      </c>
      <c r="K71" s="152">
        <f>IF(TrRoad_act!K47=0,0,K34/TrRoad_act!K47*1000
)</f>
        <v>278.354890229376</v>
      </c>
      <c r="L71" s="152">
        <f>IF(TrRoad_act!L47=0,0,L34/TrRoad_act!L47*1000
)</f>
        <v>276.59529405070509</v>
      </c>
      <c r="M71" s="152">
        <f>IF(TrRoad_act!M47=0,0,M34/TrRoad_act!M47*1000
)</f>
        <v>279.92441686902333</v>
      </c>
      <c r="N71" s="152">
        <f>IF(TrRoad_act!N47=0,0,N34/TrRoad_act!N47*1000
)</f>
        <v>276.7247500239593</v>
      </c>
      <c r="O71" s="152">
        <f>IF(TrRoad_act!O47=0,0,O34/TrRoad_act!O47*1000
)</f>
        <v>272.10197546240499</v>
      </c>
      <c r="P71" s="152">
        <f>IF(TrRoad_act!P47=0,0,P34/TrRoad_act!P47*1000
)</f>
        <v>266.45306825618673</v>
      </c>
      <c r="Q71" s="152">
        <f>IF(TrRoad_act!Q47=0,0,Q34/TrRoad_act!Q47*1000
)</f>
        <v>263.47434015380918</v>
      </c>
      <c r="R71" s="152">
        <f>IF(TrRoad_act!R47=0,0,R34/TrRoad_act!R47*1000
)</f>
        <v>261.58771858494612</v>
      </c>
      <c r="S71" s="152">
        <f>IF(TrRoad_act!S47=0,0,S34/TrRoad_act!S47*1000
)</f>
        <v>256.8016454343736</v>
      </c>
      <c r="T71" s="152">
        <f>IF(TrRoad_act!T47=0,0,T34/TrRoad_act!T47*1000
)</f>
        <v>255.39882427959182</v>
      </c>
      <c r="U71" s="152">
        <f>IF(TrRoad_act!U47=0,0,U34/TrRoad_act!U47*1000
)</f>
        <v>249.6954427558984</v>
      </c>
      <c r="V71" s="152">
        <f>IF(TrRoad_act!V47=0,0,V34/TrRoad_act!V47*1000
)</f>
        <v>250.58496238720079</v>
      </c>
      <c r="W71" s="152">
        <f>IF(TrRoad_act!W47=0,0,W34/TrRoad_act!W47*1000
)</f>
        <v>254.60193305834633</v>
      </c>
      <c r="X71" s="152">
        <f>IF(TrRoad_act!X47=0,0,X34/TrRoad_act!X47*1000
)</f>
        <v>249.00282662251104</v>
      </c>
      <c r="Y71" s="152">
        <f>IF(TrRoad_act!Y47=0,0,Y34/TrRoad_act!Y47*1000
)</f>
        <v>237.98312239478682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329.36186376423956</v>
      </c>
      <c r="C72" s="87">
        <f>IF(TrRoad_act!C48=0,0,C35/TrRoad_act!C48*1000
)</f>
        <v>326.97290820430783</v>
      </c>
      <c r="D72" s="87">
        <f>IF(TrRoad_act!D48=0,0,D35/TrRoad_act!D48*1000
)</f>
        <v>325.50774805798517</v>
      </c>
      <c r="E72" s="87">
        <f>IF(TrRoad_act!E48=0,0,E35/TrRoad_act!E48*1000
)</f>
        <v>323.9161058286889</v>
      </c>
      <c r="F72" s="87">
        <f>IF(TrRoad_act!F48=0,0,F35/TrRoad_act!F48*1000
)</f>
        <v>321.45376269903124</v>
      </c>
      <c r="G72" s="87">
        <f>IF(TrRoad_act!G48=0,0,G35/TrRoad_act!G48*1000
)</f>
        <v>317.5157684475634</v>
      </c>
      <c r="H72" s="87">
        <f>IF(TrRoad_act!H48=0,0,H35/TrRoad_act!H48*1000
)</f>
        <v>313.44392711026825</v>
      </c>
      <c r="I72" s="87">
        <f>IF(TrRoad_act!I48=0,0,I35/TrRoad_act!I48*1000
)</f>
        <v>306.51884688866585</v>
      </c>
      <c r="J72" s="87">
        <f>IF(TrRoad_act!J48=0,0,J35/TrRoad_act!J48*1000
)</f>
        <v>298.1570399643428</v>
      </c>
      <c r="K72" s="87">
        <f>IF(TrRoad_act!K48=0,0,K35/TrRoad_act!K48*1000
)</f>
        <v>296.47312150005018</v>
      </c>
      <c r="L72" s="87">
        <f>IF(TrRoad_act!L48=0,0,L35/TrRoad_act!L48*1000
)</f>
        <v>291.92108453234783</v>
      </c>
      <c r="M72" s="87">
        <f>IF(TrRoad_act!M48=0,0,M35/TrRoad_act!M48*1000
)</f>
        <v>288.59512411667708</v>
      </c>
      <c r="N72" s="87">
        <f>IF(TrRoad_act!N48=0,0,N35/TrRoad_act!N48*1000
)</f>
        <v>282.83001642320602</v>
      </c>
      <c r="O72" s="87">
        <f>IF(TrRoad_act!O48=0,0,O35/TrRoad_act!O48*1000
)</f>
        <v>276.87579629818231</v>
      </c>
      <c r="P72" s="87">
        <f>IF(TrRoad_act!P48=0,0,P35/TrRoad_act!P48*1000
)</f>
        <v>273.50205795363217</v>
      </c>
      <c r="Q72" s="87">
        <f>IF(TrRoad_act!Q48=0,0,Q35/TrRoad_act!Q48*1000
)</f>
        <v>270.31854763845519</v>
      </c>
      <c r="R72" s="87">
        <f>IF(TrRoad_act!R48=0,0,R35/TrRoad_act!R48*1000
)</f>
        <v>266.79602077728896</v>
      </c>
      <c r="S72" s="87">
        <f>IF(TrRoad_act!S48=0,0,S35/TrRoad_act!S48*1000
)</f>
        <v>261.7864623419901</v>
      </c>
      <c r="T72" s="87">
        <f>IF(TrRoad_act!T48=0,0,T35/TrRoad_act!T48*1000
)</f>
        <v>257.1389953647348</v>
      </c>
      <c r="U72" s="87">
        <f>IF(TrRoad_act!U48=0,0,U35/TrRoad_act!U48*1000
)</f>
        <v>251.94601561938489</v>
      </c>
      <c r="V72" s="87">
        <f>IF(TrRoad_act!V48=0,0,V35/TrRoad_act!V48*1000
)</f>
        <v>248.40986634504705</v>
      </c>
      <c r="W72" s="87">
        <f>IF(TrRoad_act!W48=0,0,W35/TrRoad_act!W48*1000
)</f>
        <v>246.445575809042</v>
      </c>
      <c r="X72" s="87">
        <f>IF(TrRoad_act!X48=0,0,X35/TrRoad_act!X48*1000
)</f>
        <v>241.76094515808609</v>
      </c>
      <c r="Y72" s="87">
        <f>IF(TrRoad_act!Y48=0,0,Y35/TrRoad_act!Y48*1000
)</f>
        <v>238.29730630373075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344.07909344732354</v>
      </c>
      <c r="C73" s="87">
        <f>IF(TrRoad_act!C49=0,0,C36/TrRoad_act!C49*1000
)</f>
        <v>330.77932491824356</v>
      </c>
      <c r="D73" s="87">
        <f>IF(TrRoad_act!D49=0,0,D36/TrRoad_act!D49*1000
)</f>
        <v>324.6607233139606</v>
      </c>
      <c r="E73" s="87">
        <f>IF(TrRoad_act!E49=0,0,E36/TrRoad_act!E49*1000
)</f>
        <v>316.62413211865965</v>
      </c>
      <c r="F73" s="87">
        <f>IF(TrRoad_act!F49=0,0,F36/TrRoad_act!F49*1000
)</f>
        <v>308.12301132081058</v>
      </c>
      <c r="G73" s="87">
        <f>IF(TrRoad_act!G49=0,0,G36/TrRoad_act!G49*1000
)</f>
        <v>302.44521915141252</v>
      </c>
      <c r="H73" s="87">
        <f>IF(TrRoad_act!H49=0,0,H36/TrRoad_act!H49*1000
)</f>
        <v>296.24127116673401</v>
      </c>
      <c r="I73" s="87">
        <f>IF(TrRoad_act!I49=0,0,I36/TrRoad_act!I49*1000
)</f>
        <v>286.49811783689984</v>
      </c>
      <c r="J73" s="87">
        <f>IF(TrRoad_act!J49=0,0,J36/TrRoad_act!J49*1000
)</f>
        <v>279.6128884243509</v>
      </c>
      <c r="K73" s="87">
        <f>IF(TrRoad_act!K49=0,0,K36/TrRoad_act!K49*1000
)</f>
        <v>277.85233437592154</v>
      </c>
      <c r="L73" s="87">
        <f>IF(TrRoad_act!L49=0,0,L36/TrRoad_act!L49*1000
)</f>
        <v>276.13501571399661</v>
      </c>
      <c r="M73" s="87">
        <f>IF(TrRoad_act!M49=0,0,M36/TrRoad_act!M49*1000
)</f>
        <v>279.7417489430448</v>
      </c>
      <c r="N73" s="87">
        <f>IF(TrRoad_act!N49=0,0,N36/TrRoad_act!N49*1000
)</f>
        <v>276.64295360121446</v>
      </c>
      <c r="O73" s="87">
        <f>IF(TrRoad_act!O49=0,0,O36/TrRoad_act!O49*1000
)</f>
        <v>272.1187609690557</v>
      </c>
      <c r="P73" s="87">
        <f>IF(TrRoad_act!P49=0,0,P36/TrRoad_act!P49*1000
)</f>
        <v>266.48703969271793</v>
      </c>
      <c r="Q73" s="87">
        <f>IF(TrRoad_act!Q49=0,0,Q36/TrRoad_act!Q49*1000
)</f>
        <v>263.59011154276061</v>
      </c>
      <c r="R73" s="87">
        <f>IF(TrRoad_act!R49=0,0,R36/TrRoad_act!R49*1000
)</f>
        <v>261.90570183975581</v>
      </c>
      <c r="S73" s="87">
        <f>IF(TrRoad_act!S49=0,0,S36/TrRoad_act!S49*1000
)</f>
        <v>257.13654473864972</v>
      </c>
      <c r="T73" s="87">
        <f>IF(TrRoad_act!T49=0,0,T36/TrRoad_act!T49*1000
)</f>
        <v>256.11874085505053</v>
      </c>
      <c r="U73" s="87">
        <f>IF(TrRoad_act!U49=0,0,U36/TrRoad_act!U49*1000
)</f>
        <v>250.50607372408479</v>
      </c>
      <c r="V73" s="87">
        <f>IF(TrRoad_act!V49=0,0,V36/TrRoad_act!V49*1000
)</f>
        <v>251.83249124485064</v>
      </c>
      <c r="W73" s="87">
        <f>IF(TrRoad_act!W49=0,0,W36/TrRoad_act!W49*1000
)</f>
        <v>256.25197884332306</v>
      </c>
      <c r="X73" s="87">
        <f>IF(TrRoad_act!X49=0,0,X36/TrRoad_act!X49*1000
)</f>
        <v>250.82056640669941</v>
      </c>
      <c r="Y73" s="87">
        <f>IF(TrRoad_act!Y49=0,0,Y36/TrRoad_act!Y49*1000
)</f>
        <v>239.81354541076286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325.44034430937847</v>
      </c>
      <c r="C74" s="87">
        <f>IF(TrRoad_act!C50=0,0,C37/TrRoad_act!C50*1000
)</f>
        <v>315.63882256735769</v>
      </c>
      <c r="D74" s="87">
        <f>IF(TrRoad_act!D50=0,0,D37/TrRoad_act!D50*1000
)</f>
        <v>312.88138942554923</v>
      </c>
      <c r="E74" s="87">
        <f>IF(TrRoad_act!E50=0,0,E37/TrRoad_act!E50*1000
)</f>
        <v>310.32256503766774</v>
      </c>
      <c r="F74" s="87">
        <f>IF(TrRoad_act!F50=0,0,F37/TrRoad_act!F50*1000
)</f>
        <v>307.64537852508846</v>
      </c>
      <c r="G74" s="87">
        <f>IF(TrRoad_act!G50=0,0,G37/TrRoad_act!G50*1000
)</f>
        <v>305.52478281076304</v>
      </c>
      <c r="H74" s="87">
        <f>IF(TrRoad_act!H50=0,0,H37/TrRoad_act!H50*1000
)</f>
        <v>303.17711513669707</v>
      </c>
      <c r="I74" s="87">
        <f>IF(TrRoad_act!I50=0,0,I37/TrRoad_act!I50*1000
)</f>
        <v>299.31361104200579</v>
      </c>
      <c r="J74" s="87">
        <f>IF(TrRoad_act!J50=0,0,J37/TrRoad_act!J50*1000
)</f>
        <v>297.85019087930385</v>
      </c>
      <c r="K74" s="87">
        <f>IF(TrRoad_act!K50=0,0,K37/TrRoad_act!K50*1000
)</f>
        <v>295.20563424852213</v>
      </c>
      <c r="L74" s="87">
        <f>IF(TrRoad_act!L50=0,0,L37/TrRoad_act!L50*1000
)</f>
        <v>294.76720094366698</v>
      </c>
      <c r="M74" s="87">
        <f>IF(TrRoad_act!M50=0,0,M37/TrRoad_act!M50*1000
)</f>
        <v>294.25945245289267</v>
      </c>
      <c r="N74" s="87">
        <f>IF(TrRoad_act!N50=0,0,N37/TrRoad_act!N50*1000
)</f>
        <v>293.64408154154938</v>
      </c>
      <c r="O74" s="87">
        <f>IF(TrRoad_act!O50=0,0,O37/TrRoad_act!O50*1000
)</f>
        <v>293.06010686380495</v>
      </c>
      <c r="P74" s="87">
        <f>IF(TrRoad_act!P50=0,0,P37/TrRoad_act!P50*1000
)</f>
        <v>292.41359906121949</v>
      </c>
      <c r="Q74" s="87">
        <f>IF(TrRoad_act!Q50=0,0,Q37/TrRoad_act!Q50*1000
)</f>
        <v>291.89936147627208</v>
      </c>
      <c r="R74" s="87">
        <f>IF(TrRoad_act!R50=0,0,R37/TrRoad_act!R50*1000
)</f>
        <v>291.49818472783898</v>
      </c>
      <c r="S74" s="87">
        <f>IF(TrRoad_act!S50=0,0,S37/TrRoad_act!S50*1000
)</f>
        <v>290.9004348707723</v>
      </c>
      <c r="T74" s="87">
        <f>IF(TrRoad_act!T50=0,0,T37/TrRoad_act!T50*1000
)</f>
        <v>289.53060499393888</v>
      </c>
      <c r="U74" s="87">
        <f>IF(TrRoad_act!U50=0,0,U37/TrRoad_act!U50*1000
)</f>
        <v>288.71560304211181</v>
      </c>
      <c r="V74" s="87">
        <f>IF(TrRoad_act!V50=0,0,V37/TrRoad_act!V50*1000
)</f>
        <v>252.6703287245256</v>
      </c>
      <c r="W74" s="87">
        <f>IF(TrRoad_act!W50=0,0,W37/TrRoad_act!W50*1000
)</f>
        <v>252.1921289431252</v>
      </c>
      <c r="X74" s="87">
        <f>IF(TrRoad_act!X50=0,0,X37/TrRoad_act!X50*1000
)</f>
        <v>249.65577075810597</v>
      </c>
      <c r="Y74" s="87">
        <f>IF(TrRoad_act!Y50=0,0,Y37/TrRoad_act!Y50*1000
)</f>
        <v>245.75174474898199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271.24329225085347</v>
      </c>
      <c r="C75" s="87">
        <f>IF(TrRoad_act!C51=0,0,C38/TrRoad_act!C51*1000
)</f>
        <v>271.12018370057609</v>
      </c>
      <c r="D75" s="87">
        <f>IF(TrRoad_act!D51=0,0,D38/TrRoad_act!D51*1000
)</f>
        <v>270.75272669886681</v>
      </c>
      <c r="E75" s="87">
        <f>IF(TrRoad_act!E51=0,0,E38/TrRoad_act!E51*1000
)</f>
        <v>265.19837870668857</v>
      </c>
      <c r="F75" s="87">
        <f>IF(TrRoad_act!F51=0,0,F38/TrRoad_act!F51*1000
)</f>
        <v>264.83927213114106</v>
      </c>
      <c r="G75" s="87">
        <f>IF(TrRoad_act!G51=0,0,G38/TrRoad_act!G51*1000
)</f>
        <v>264.57739572522456</v>
      </c>
      <c r="H75" s="87">
        <f>IF(TrRoad_act!H51=0,0,H38/TrRoad_act!H51*1000
)</f>
        <v>258.46488300153032</v>
      </c>
      <c r="I75" s="87">
        <f>IF(TrRoad_act!I51=0,0,I38/TrRoad_act!I51*1000
)</f>
        <v>257.70896241404279</v>
      </c>
      <c r="J75" s="87">
        <f>IF(TrRoad_act!J51=0,0,J38/TrRoad_act!J51*1000
)</f>
        <v>256.05680104016409</v>
      </c>
      <c r="K75" s="87">
        <f>IF(TrRoad_act!K51=0,0,K38/TrRoad_act!K51*1000
)</f>
        <v>247.36149690393503</v>
      </c>
      <c r="L75" s="87">
        <f>IF(TrRoad_act!L51=0,0,L38/TrRoad_act!L51*1000
)</f>
        <v>237.07558735499254</v>
      </c>
      <c r="M75" s="87">
        <f>IF(TrRoad_act!M51=0,0,M38/TrRoad_act!M51*1000
)</f>
        <v>229.5649340348246</v>
      </c>
      <c r="N75" s="87">
        <f>IF(TrRoad_act!N51=0,0,N38/TrRoad_act!N51*1000
)</f>
        <v>222.54609787669759</v>
      </c>
      <c r="O75" s="87">
        <f>IF(TrRoad_act!O51=0,0,O38/TrRoad_act!O51*1000
)</f>
        <v>214.41031144387912</v>
      </c>
      <c r="P75" s="87">
        <f>IF(TrRoad_act!P51=0,0,P38/TrRoad_act!P51*1000
)</f>
        <v>210.12617191142311</v>
      </c>
      <c r="Q75" s="87">
        <f>IF(TrRoad_act!Q51=0,0,Q38/TrRoad_act!Q51*1000
)</f>
        <v>208.78281554964212</v>
      </c>
      <c r="R75" s="87">
        <f>IF(TrRoad_act!R51=0,0,R38/TrRoad_act!R51*1000
)</f>
        <v>213.26307342559397</v>
      </c>
      <c r="S75" s="87">
        <f>IF(TrRoad_act!S51=0,0,S38/TrRoad_act!S51*1000
)</f>
        <v>219.2905450605285</v>
      </c>
      <c r="T75" s="87">
        <f>IF(TrRoad_act!T51=0,0,T38/TrRoad_act!T51*1000
)</f>
        <v>237.28378589936631</v>
      </c>
      <c r="U75" s="87">
        <f>IF(TrRoad_act!U51=0,0,U38/TrRoad_act!U51*1000
)</f>
        <v>242.65708648467307</v>
      </c>
      <c r="V75" s="87">
        <f>IF(TrRoad_act!V51=0,0,V38/TrRoad_act!V51*1000
)</f>
        <v>240.11567517715366</v>
      </c>
      <c r="W75" s="87">
        <f>IF(TrRoad_act!W51=0,0,W38/TrRoad_act!W51*1000
)</f>
        <v>246.98120023983296</v>
      </c>
      <c r="X75" s="87">
        <f>IF(TrRoad_act!X51=0,0,X38/TrRoad_act!X51*1000
)</f>
        <v>245.44855072019038</v>
      </c>
      <c r="Y75" s="87">
        <f>IF(TrRoad_act!Y51=0,0,Y38/TrRoad_act!Y51*1000
)</f>
        <v>241.86822759185469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1271.0506268390495</v>
      </c>
      <c r="C77" s="116">
        <f>IF(TrRoad_act!C53=0,0,C40/TrRoad_act!C53*1000
)</f>
        <v>1243.3564227299037</v>
      </c>
      <c r="D77" s="116">
        <f>IF(TrRoad_act!D53=0,0,D40/TrRoad_act!D53*1000
)</f>
        <v>1226.3967592135159</v>
      </c>
      <c r="E77" s="116">
        <f>IF(TrRoad_act!E53=0,0,E40/TrRoad_act!E53*1000
)</f>
        <v>1202.5789860851398</v>
      </c>
      <c r="F77" s="116">
        <f>IF(TrRoad_act!F53=0,0,F40/TrRoad_act!F53*1000
)</f>
        <v>1175.7026908924404</v>
      </c>
      <c r="G77" s="116">
        <f>IF(TrRoad_act!G53=0,0,G40/TrRoad_act!G53*1000
)</f>
        <v>1158.0195099714597</v>
      </c>
      <c r="H77" s="116">
        <f>IF(TrRoad_act!H53=0,0,H40/TrRoad_act!H53*1000
)</f>
        <v>1143.192553846759</v>
      </c>
      <c r="I77" s="116">
        <f>IF(TrRoad_act!I53=0,0,I40/TrRoad_act!I53*1000
)</f>
        <v>1111.183651242711</v>
      </c>
      <c r="J77" s="116">
        <f>IF(TrRoad_act!J53=0,0,J40/TrRoad_act!J53*1000
)</f>
        <v>1086.8160397268759</v>
      </c>
      <c r="K77" s="116">
        <f>IF(TrRoad_act!K53=0,0,K40/TrRoad_act!K53*1000
)</f>
        <v>1093.1672631810977</v>
      </c>
      <c r="L77" s="116">
        <f>IF(TrRoad_act!L53=0,0,L40/TrRoad_act!L53*1000
)</f>
        <v>1087.4921191678509</v>
      </c>
      <c r="M77" s="116">
        <f>IF(TrRoad_act!M53=0,0,M40/TrRoad_act!M53*1000
)</f>
        <v>1100.1384814015598</v>
      </c>
      <c r="N77" s="116">
        <f>IF(TrRoad_act!N53=0,0,N40/TrRoad_act!N53*1000
)</f>
        <v>1092.6835641260363</v>
      </c>
      <c r="O77" s="116">
        <f>IF(TrRoad_act!O53=0,0,O40/TrRoad_act!O53*1000
)</f>
        <v>1084.492737924593</v>
      </c>
      <c r="P77" s="116">
        <f>IF(TrRoad_act!P53=0,0,P40/TrRoad_act!P53*1000
)</f>
        <v>1073.7723407125586</v>
      </c>
      <c r="Q77" s="116">
        <f>IF(TrRoad_act!Q53=0,0,Q40/TrRoad_act!Q53*1000
)</f>
        <v>1075.9561486435853</v>
      </c>
      <c r="R77" s="116">
        <f>IF(TrRoad_act!R53=0,0,R40/TrRoad_act!R53*1000
)</f>
        <v>1064.7648950387277</v>
      </c>
      <c r="S77" s="116">
        <f>IF(TrRoad_act!S53=0,0,S40/TrRoad_act!S53*1000
)</f>
        <v>1053.1258435306133</v>
      </c>
      <c r="T77" s="116">
        <f>IF(TrRoad_act!T53=0,0,T40/TrRoad_act!T53*1000
)</f>
        <v>1045.9019058332021</v>
      </c>
      <c r="U77" s="116">
        <f>IF(TrRoad_act!U53=0,0,U40/TrRoad_act!U53*1000
)</f>
        <v>1023.4827926698002</v>
      </c>
      <c r="V77" s="116">
        <f>IF(TrRoad_act!V53=0,0,V40/TrRoad_act!V53*1000
)</f>
        <v>1020.8991824953002</v>
      </c>
      <c r="W77" s="116">
        <f>IF(TrRoad_act!W53=0,0,W40/TrRoad_act!W53*1000
)</f>
        <v>1037.4981529636539</v>
      </c>
      <c r="X77" s="116">
        <f>IF(TrRoad_act!X53=0,0,X40/TrRoad_act!X53*1000
)</f>
        <v>1018.3433072142954</v>
      </c>
      <c r="Y77" s="116">
        <f>IF(TrRoad_act!Y53=0,0,Y40/TrRoad_act!Y53*1000
)</f>
        <v>972.50316746781425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1232.8712809126873</v>
      </c>
      <c r="C78" s="101">
        <f>IF(TrRoad_act!C54=0,0,C41/TrRoad_act!C54*1000
)</f>
        <v>1211.1904220669137</v>
      </c>
      <c r="D78" s="101">
        <f>IF(TrRoad_act!D54=0,0,D41/TrRoad_act!D54*1000
)</f>
        <v>1197.118125647695</v>
      </c>
      <c r="E78" s="101">
        <f>IF(TrRoad_act!E54=0,0,E41/TrRoad_act!E54*1000
)</f>
        <v>1178.6229660420711</v>
      </c>
      <c r="F78" s="101">
        <f>IF(TrRoad_act!F54=0,0,F41/TrRoad_act!F54*1000
)</f>
        <v>1159.0853876629285</v>
      </c>
      <c r="G78" s="101">
        <f>IF(TrRoad_act!G54=0,0,G41/TrRoad_act!G54*1000
)</f>
        <v>1141.7583742871204</v>
      </c>
      <c r="H78" s="101">
        <f>IF(TrRoad_act!H54=0,0,H41/TrRoad_act!H54*1000
)</f>
        <v>1128.0693628351962</v>
      </c>
      <c r="I78" s="101">
        <f>IF(TrRoad_act!I54=0,0,I41/TrRoad_act!I54*1000
)</f>
        <v>1097.5104609246246</v>
      </c>
      <c r="J78" s="101">
        <f>IF(TrRoad_act!J54=0,0,J41/TrRoad_act!J54*1000
)</f>
        <v>1070.1919495259745</v>
      </c>
      <c r="K78" s="101">
        <f>IF(TrRoad_act!K54=0,0,K41/TrRoad_act!K54*1000
)</f>
        <v>1071.492542394745</v>
      </c>
      <c r="L78" s="101">
        <f>IF(TrRoad_act!L54=0,0,L41/TrRoad_act!L54*1000
)</f>
        <v>1068.5787433923833</v>
      </c>
      <c r="M78" s="101">
        <f>IF(TrRoad_act!M54=0,0,M41/TrRoad_act!M54*1000
)</f>
        <v>1076.1299667987983</v>
      </c>
      <c r="N78" s="101">
        <f>IF(TrRoad_act!N54=0,0,N41/TrRoad_act!N54*1000
)</f>
        <v>1065.6831670533611</v>
      </c>
      <c r="O78" s="101">
        <f>IF(TrRoad_act!O54=0,0,O41/TrRoad_act!O54*1000
)</f>
        <v>1056.8139578296773</v>
      </c>
      <c r="P78" s="101">
        <f>IF(TrRoad_act!P54=0,0,P41/TrRoad_act!P54*1000
)</f>
        <v>1044.510397573747</v>
      </c>
      <c r="Q78" s="101">
        <f>IF(TrRoad_act!Q54=0,0,Q41/TrRoad_act!Q54*1000
)</f>
        <v>1040.9638343802421</v>
      </c>
      <c r="R78" s="101">
        <f>IF(TrRoad_act!R54=0,0,R41/TrRoad_act!R54*1000
)</f>
        <v>1027.1392607666808</v>
      </c>
      <c r="S78" s="101">
        <f>IF(TrRoad_act!S54=0,0,S41/TrRoad_act!S54*1000
)</f>
        <v>1009.8734674042757</v>
      </c>
      <c r="T78" s="101">
        <f>IF(TrRoad_act!T54=0,0,T41/TrRoad_act!T54*1000
)</f>
        <v>995.37212779602692</v>
      </c>
      <c r="U78" s="101">
        <f>IF(TrRoad_act!U54=0,0,U41/TrRoad_act!U54*1000
)</f>
        <v>968.80158723618433</v>
      </c>
      <c r="V78" s="101">
        <f>IF(TrRoad_act!V54=0,0,V41/TrRoad_act!V54*1000
)</f>
        <v>960.60103474584162</v>
      </c>
      <c r="W78" s="101">
        <f>IF(TrRoad_act!W54=0,0,W41/TrRoad_act!W54*1000
)</f>
        <v>965.49322605963039</v>
      </c>
      <c r="X78" s="101">
        <f>IF(TrRoad_act!X54=0,0,X41/TrRoad_act!X54*1000
)</f>
        <v>943.60408003296948</v>
      </c>
      <c r="Y78" s="101">
        <f>IF(TrRoad_act!Y54=0,0,Y41/TrRoad_act!Y54*1000
)</f>
        <v>905.2484986946738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1359.5448833252512</v>
      </c>
      <c r="C79" s="88">
        <f>IF(TrRoad_act!C55=0,0,C42/TrRoad_act!C55*1000
)</f>
        <v>1314.6061393928774</v>
      </c>
      <c r="D79" s="88">
        <f>IF(TrRoad_act!D55=0,0,D42/TrRoad_act!D55*1000
)</f>
        <v>1288.1216535120943</v>
      </c>
      <c r="E79" s="88">
        <f>IF(TrRoad_act!E55=0,0,E42/TrRoad_act!E55*1000
)</f>
        <v>1252.0915770177912</v>
      </c>
      <c r="F79" s="88">
        <f>IF(TrRoad_act!F55=0,0,F42/TrRoad_act!F55*1000
)</f>
        <v>1206.5115892078175</v>
      </c>
      <c r="G79" s="88">
        <f>IF(TrRoad_act!G55=0,0,G42/TrRoad_act!G55*1000
)</f>
        <v>1187.1029243844737</v>
      </c>
      <c r="H79" s="88">
        <f>IF(TrRoad_act!H55=0,0,H42/TrRoad_act!H55*1000
)</f>
        <v>1169.8538869404749</v>
      </c>
      <c r="I79" s="88">
        <f>IF(TrRoad_act!I55=0,0,I42/TrRoad_act!I55*1000
)</f>
        <v>1135.6335674374193</v>
      </c>
      <c r="J79" s="88">
        <f>IF(TrRoad_act!J55=0,0,J42/TrRoad_act!J55*1000
)</f>
        <v>1115.1839861935528</v>
      </c>
      <c r="K79" s="88">
        <f>IF(TrRoad_act!K55=0,0,K42/TrRoad_act!K55*1000
)</f>
        <v>1129.0737723815312</v>
      </c>
      <c r="L79" s="88">
        <f>IF(TrRoad_act!L55=0,0,L42/TrRoad_act!L55*1000
)</f>
        <v>1120.0410026325137</v>
      </c>
      <c r="M79" s="88">
        <f>IF(TrRoad_act!M55=0,0,M42/TrRoad_act!M55*1000
)</f>
        <v>1145.2064791787463</v>
      </c>
      <c r="N79" s="88">
        <f>IF(TrRoad_act!N55=0,0,N42/TrRoad_act!N55*1000
)</f>
        <v>1140.5409050942812</v>
      </c>
      <c r="O79" s="88">
        <f>IF(TrRoad_act!O55=0,0,O42/TrRoad_act!O55*1000
)</f>
        <v>1130.8792653572266</v>
      </c>
      <c r="P79" s="88">
        <f>IF(TrRoad_act!P55=0,0,P42/TrRoad_act!P55*1000
)</f>
        <v>1121.8546445607892</v>
      </c>
      <c r="Q79" s="88">
        <f>IF(TrRoad_act!Q55=0,0,Q42/TrRoad_act!Q55*1000
)</f>
        <v>1129.2844266264228</v>
      </c>
      <c r="R79" s="88">
        <f>IF(TrRoad_act!R55=0,0,R42/TrRoad_act!R55*1000
)</f>
        <v>1122.077296133964</v>
      </c>
      <c r="S79" s="88">
        <f>IF(TrRoad_act!S55=0,0,S42/TrRoad_act!S55*1000
)</f>
        <v>1116.7238807229799</v>
      </c>
      <c r="T79" s="88">
        <f>IF(TrRoad_act!T55=0,0,T42/TrRoad_act!T55*1000
)</f>
        <v>1119.5759780351966</v>
      </c>
      <c r="U79" s="88">
        <f>IF(TrRoad_act!U55=0,0,U42/TrRoad_act!U55*1000
)</f>
        <v>1101.5185691001739</v>
      </c>
      <c r="V79" s="88">
        <f>IF(TrRoad_act!V55=0,0,V42/TrRoad_act!V55*1000
)</f>
        <v>1106.2997016473894</v>
      </c>
      <c r="W79" s="88">
        <f>IF(TrRoad_act!W55=0,0,W42/TrRoad_act!W55*1000
)</f>
        <v>1135.5664641936837</v>
      </c>
      <c r="X79" s="88">
        <f>IF(TrRoad_act!X55=0,0,X42/TrRoad_act!X55*1000
)</f>
        <v>1118.9375651436965</v>
      </c>
      <c r="Y79" s="88">
        <f>IF(TrRoad_act!Y55=0,0,Y42/TrRoad_act!Y55*1000
)</f>
        <v>1064.0821427922201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108.82333362128804</v>
      </c>
      <c r="C82" s="29">
        <f>IF(TrRoad_act!C4=0,0,C18/TrRoad_act!C4*1000)</f>
        <v>107.90166923203506</v>
      </c>
      <c r="D82" s="29">
        <f>IF(TrRoad_act!D4=0,0,D18/TrRoad_act!D4*1000)</f>
        <v>107.42118456345912</v>
      </c>
      <c r="E82" s="29">
        <f>IF(TrRoad_act!E4=0,0,E18/TrRoad_act!E4*1000)</f>
        <v>105.35429190970051</v>
      </c>
      <c r="F82" s="29">
        <f>IF(TrRoad_act!F4=0,0,F18/TrRoad_act!F4*1000)</f>
        <v>104.18927450305641</v>
      </c>
      <c r="G82" s="29">
        <f>IF(TrRoad_act!G4=0,0,G18/TrRoad_act!G4*1000)</f>
        <v>103.59442928906202</v>
      </c>
      <c r="H82" s="29">
        <f>IF(TrRoad_act!H4=0,0,H18/TrRoad_act!H4*1000)</f>
        <v>104.26512763020499</v>
      </c>
      <c r="I82" s="29">
        <f>IF(TrRoad_act!I4=0,0,I18/TrRoad_act!I4*1000)</f>
        <v>103.03494121760113</v>
      </c>
      <c r="J82" s="29">
        <f>IF(TrRoad_act!J4=0,0,J18/TrRoad_act!J4*1000)</f>
        <v>101.07560029142155</v>
      </c>
      <c r="K82" s="29">
        <f>IF(TrRoad_act!K4=0,0,K18/TrRoad_act!K4*1000)</f>
        <v>102.81455319897881</v>
      </c>
      <c r="L82" s="29">
        <f>IF(TrRoad_act!L4=0,0,L18/TrRoad_act!L4*1000)</f>
        <v>100.90868467828615</v>
      </c>
      <c r="M82" s="29">
        <f>IF(TrRoad_act!M4=0,0,M18/TrRoad_act!M4*1000)</f>
        <v>106.49517410288865</v>
      </c>
      <c r="N82" s="29">
        <f>IF(TrRoad_act!N4=0,0,N18/TrRoad_act!N4*1000)</f>
        <v>97.816885039175219</v>
      </c>
      <c r="O82" s="29">
        <f>IF(TrRoad_act!O4=0,0,O18/TrRoad_act!O4*1000)</f>
        <v>96.584051128893307</v>
      </c>
      <c r="P82" s="29">
        <f>IF(TrRoad_act!P4=0,0,P18/TrRoad_act!P4*1000)</f>
        <v>95.56579878148591</v>
      </c>
      <c r="Q82" s="29">
        <f>IF(TrRoad_act!Q4=0,0,Q18/TrRoad_act!Q4*1000)</f>
        <v>95.989589625524843</v>
      </c>
      <c r="R82" s="29">
        <f>IF(TrRoad_act!R4=0,0,R18/TrRoad_act!R4*1000)</f>
        <v>94.820934539288729</v>
      </c>
      <c r="S82" s="29">
        <f>IF(TrRoad_act!S4=0,0,S18/TrRoad_act!S4*1000)</f>
        <v>93.52824098476782</v>
      </c>
      <c r="T82" s="29">
        <f>IF(TrRoad_act!T4=0,0,T18/TrRoad_act!T4*1000)</f>
        <v>91.642664851529119</v>
      </c>
      <c r="U82" s="29">
        <f>IF(TrRoad_act!U4=0,0,U18/TrRoad_act!U4*1000)</f>
        <v>89.240032265738421</v>
      </c>
      <c r="V82" s="29">
        <f>IF(TrRoad_act!V4=0,0,V18/TrRoad_act!V4*1000)</f>
        <v>90.900056200030747</v>
      </c>
      <c r="W82" s="29">
        <f>IF(TrRoad_act!W4=0,0,W18/TrRoad_act!W4*1000)</f>
        <v>95.04240422412596</v>
      </c>
      <c r="X82" s="29">
        <f>IF(TrRoad_act!X4=0,0,X18/TrRoad_act!X4*1000)</f>
        <v>91.054839996359931</v>
      </c>
      <c r="Y82" s="29">
        <f>IF(TrRoad_act!Y4=0,0,Y18/TrRoad_act!Y4*1000)</f>
        <v>89.413258541371206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91.220206407784445</v>
      </c>
      <c r="C83" s="152">
        <f>IF(TrRoad_act!C5=0,0,C19/TrRoad_act!C5*1000)</f>
        <v>90.776455167531196</v>
      </c>
      <c r="D83" s="152">
        <f>IF(TrRoad_act!D5=0,0,D19/TrRoad_act!D5*1000)</f>
        <v>90.318619923034902</v>
      </c>
      <c r="E83" s="152">
        <f>IF(TrRoad_act!E5=0,0,E19/TrRoad_act!E5*1000)</f>
        <v>88.889580515570557</v>
      </c>
      <c r="F83" s="152">
        <f>IF(TrRoad_act!F5=0,0,F19/TrRoad_act!F5*1000)</f>
        <v>89.087511563564064</v>
      </c>
      <c r="G83" s="152">
        <f>IF(TrRoad_act!G5=0,0,G19/TrRoad_act!G5*1000)</f>
        <v>86.801664984771207</v>
      </c>
      <c r="H83" s="152">
        <f>IF(TrRoad_act!H5=0,0,H19/TrRoad_act!H5*1000)</f>
        <v>86.524082368144121</v>
      </c>
      <c r="I83" s="152">
        <f>IF(TrRoad_act!I5=0,0,I19/TrRoad_act!I5*1000)</f>
        <v>84.605861237831732</v>
      </c>
      <c r="J83" s="152">
        <f>IF(TrRoad_act!J5=0,0,J19/TrRoad_act!J5*1000)</f>
        <v>82.461117095121907</v>
      </c>
      <c r="K83" s="152">
        <f>IF(TrRoad_act!K5=0,0,K19/TrRoad_act!K5*1000)</f>
        <v>82.428728217502467</v>
      </c>
      <c r="L83" s="152">
        <f>IF(TrRoad_act!L5=0,0,L19/TrRoad_act!L5*1000)</f>
        <v>82.171163790657374</v>
      </c>
      <c r="M83" s="152">
        <f>IF(TrRoad_act!M5=0,0,M19/TrRoad_act!M5*1000)</f>
        <v>79.825020292356044</v>
      </c>
      <c r="N83" s="152">
        <f>IF(TrRoad_act!N5=0,0,N19/TrRoad_act!N5*1000)</f>
        <v>81.860050907515188</v>
      </c>
      <c r="O83" s="152">
        <f>IF(TrRoad_act!O5=0,0,O19/TrRoad_act!O5*1000)</f>
        <v>82.082116183862112</v>
      </c>
      <c r="P83" s="152">
        <f>IF(TrRoad_act!P5=0,0,P19/TrRoad_act!P5*1000)</f>
        <v>81.243673437905258</v>
      </c>
      <c r="Q83" s="152">
        <f>IF(TrRoad_act!Q5=0,0,Q19/TrRoad_act!Q5*1000)</f>
        <v>81.115974888014833</v>
      </c>
      <c r="R83" s="152">
        <f>IF(TrRoad_act!R5=0,0,R19/TrRoad_act!R5*1000)</f>
        <v>80.489696402789406</v>
      </c>
      <c r="S83" s="152">
        <f>IF(TrRoad_act!S5=0,0,S19/TrRoad_act!S5*1000)</f>
        <v>79.591109912541086</v>
      </c>
      <c r="T83" s="152">
        <f>IF(TrRoad_act!T5=0,0,T19/TrRoad_act!T5*1000)</f>
        <v>83.128036925076103</v>
      </c>
      <c r="U83" s="152">
        <f>IF(TrRoad_act!U5=0,0,U19/TrRoad_act!U5*1000)</f>
        <v>78.528964301232719</v>
      </c>
      <c r="V83" s="152">
        <f>IF(TrRoad_act!V5=0,0,V19/TrRoad_act!V5*1000)</f>
        <v>78.812352546926078</v>
      </c>
      <c r="W83" s="152">
        <f>IF(TrRoad_act!W5=0,0,W19/TrRoad_act!W5*1000)</f>
        <v>76.957608980902421</v>
      </c>
      <c r="X83" s="152">
        <f>IF(TrRoad_act!X5=0,0,X19/TrRoad_act!X5*1000)</f>
        <v>80.482283729082809</v>
      </c>
      <c r="Y83" s="152">
        <f>IF(TrRoad_act!Y5=0,0,Y19/TrRoad_act!Y5*1000)</f>
        <v>78.463509860242723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109.42094796675487</v>
      </c>
      <c r="C84" s="116">
        <f>IF(TrRoad_act!C6=0,0,C20/TrRoad_act!C6*1000)</f>
        <v>108.37210033580455</v>
      </c>
      <c r="D84" s="116">
        <f>IF(TrRoad_act!D6=0,0,D20/TrRoad_act!D6*1000)</f>
        <v>107.97368113362144</v>
      </c>
      <c r="E84" s="116">
        <f>IF(TrRoad_act!E6=0,0,E20/TrRoad_act!E6*1000)</f>
        <v>105.79817056406108</v>
      </c>
      <c r="F84" s="116">
        <f>IF(TrRoad_act!F6=0,0,F20/TrRoad_act!F6*1000)</f>
        <v>104.58829605025518</v>
      </c>
      <c r="G84" s="116">
        <f>IF(TrRoad_act!G6=0,0,G20/TrRoad_act!G6*1000)</f>
        <v>104.06049188658577</v>
      </c>
      <c r="H84" s="116">
        <f>IF(TrRoad_act!H6=0,0,H20/TrRoad_act!H6*1000)</f>
        <v>104.85927189832152</v>
      </c>
      <c r="I84" s="116">
        <f>IF(TrRoad_act!I6=0,0,I20/TrRoad_act!I6*1000)</f>
        <v>103.61368645419098</v>
      </c>
      <c r="J84" s="116">
        <f>IF(TrRoad_act!J6=0,0,J20/TrRoad_act!J6*1000)</f>
        <v>101.81089462100181</v>
      </c>
      <c r="K84" s="116">
        <f>IF(TrRoad_act!K6=0,0,K20/TrRoad_act!K6*1000)</f>
        <v>104.03945048940201</v>
      </c>
      <c r="L84" s="116">
        <f>IF(TrRoad_act!L6=0,0,L20/TrRoad_act!L6*1000)</f>
        <v>102.25579359217733</v>
      </c>
      <c r="M84" s="116">
        <f>IF(TrRoad_act!M6=0,0,M20/TrRoad_act!M6*1000)</f>
        <v>108.62114020632633</v>
      </c>
      <c r="N84" s="116">
        <f>IF(TrRoad_act!N6=0,0,N20/TrRoad_act!N6*1000)</f>
        <v>99.078040284347324</v>
      </c>
      <c r="O84" s="116">
        <f>IF(TrRoad_act!O6=0,0,O20/TrRoad_act!O6*1000)</f>
        <v>98.23710625455854</v>
      </c>
      <c r="P84" s="116">
        <f>IF(TrRoad_act!P6=0,0,P20/TrRoad_act!P6*1000)</f>
        <v>97.237514472378209</v>
      </c>
      <c r="Q84" s="116">
        <f>IF(TrRoad_act!Q6=0,0,Q20/TrRoad_act!Q6*1000)</f>
        <v>97.668387051059796</v>
      </c>
      <c r="R84" s="116">
        <f>IF(TrRoad_act!R6=0,0,R20/TrRoad_act!R6*1000)</f>
        <v>96.306256609663919</v>
      </c>
      <c r="S84" s="116">
        <f>IF(TrRoad_act!S6=0,0,S20/TrRoad_act!S6*1000)</f>
        <v>95.011369827048327</v>
      </c>
      <c r="T84" s="116">
        <f>IF(TrRoad_act!T6=0,0,T20/TrRoad_act!T6*1000)</f>
        <v>92.829877110090834</v>
      </c>
      <c r="U84" s="116">
        <f>IF(TrRoad_act!U6=0,0,U20/TrRoad_act!U6*1000)</f>
        <v>90.470909948108954</v>
      </c>
      <c r="V84" s="116">
        <f>IF(TrRoad_act!V6=0,0,V20/TrRoad_act!V6*1000)</f>
        <v>91.151533222715713</v>
      </c>
      <c r="W84" s="116">
        <f>IF(TrRoad_act!W6=0,0,W20/TrRoad_act!W6*1000)</f>
        <v>95.340483900853698</v>
      </c>
      <c r="X84" s="116">
        <f>IF(TrRoad_act!X6=0,0,X20/TrRoad_act!X6*1000)</f>
        <v>91.38999839297982</v>
      </c>
      <c r="Y84" s="116">
        <f>IF(TrRoad_act!Y6=0,0,Y20/TrRoad_act!Y6*1000)</f>
        <v>90.456405990004754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107.0067648441627</v>
      </c>
      <c r="C85" s="87">
        <f>IF(TrRoad_act!C7=0,0,C21/TrRoad_act!C7*1000)</f>
        <v>107.82155233590115</v>
      </c>
      <c r="D85" s="87">
        <f>IF(TrRoad_act!D7=0,0,D21/TrRoad_act!D7*1000)</f>
        <v>108.49657834554715</v>
      </c>
      <c r="E85" s="87">
        <f>IF(TrRoad_act!E7=0,0,E21/TrRoad_act!E7*1000)</f>
        <v>108.00306973752765</v>
      </c>
      <c r="F85" s="87">
        <f>IF(TrRoad_act!F7=0,0,F21/TrRoad_act!F7*1000)</f>
        <v>108.49249867405092</v>
      </c>
      <c r="G85" s="87">
        <f>IF(TrRoad_act!G7=0,0,G21/TrRoad_act!G7*1000)</f>
        <v>108.6681303500951</v>
      </c>
      <c r="H85" s="87">
        <f>IF(TrRoad_act!H7=0,0,H21/TrRoad_act!H7*1000)</f>
        <v>110.18824850738712</v>
      </c>
      <c r="I85" s="87">
        <f>IF(TrRoad_act!I7=0,0,I21/TrRoad_act!I7*1000)</f>
        <v>109.74602191454602</v>
      </c>
      <c r="J85" s="87">
        <f>IF(TrRoad_act!J7=0,0,J21/TrRoad_act!J7*1000)</f>
        <v>107.77879213038806</v>
      </c>
      <c r="K85" s="87">
        <f>IF(TrRoad_act!K7=0,0,K21/TrRoad_act!K7*1000)</f>
        <v>109.0020245750446</v>
      </c>
      <c r="L85" s="87">
        <f>IF(TrRoad_act!L7=0,0,L21/TrRoad_act!L7*1000)</f>
        <v>106.76970212432184</v>
      </c>
      <c r="M85" s="87">
        <f>IF(TrRoad_act!M7=0,0,M21/TrRoad_act!M7*1000)</f>
        <v>111.0645691775547</v>
      </c>
      <c r="N85" s="87">
        <f>IF(TrRoad_act!N7=0,0,N21/TrRoad_act!N7*1000)</f>
        <v>100.52059661066636</v>
      </c>
      <c r="O85" s="87">
        <f>IF(TrRoad_act!O7=0,0,O21/TrRoad_act!O7*1000)</f>
        <v>99.43778236920825</v>
      </c>
      <c r="P85" s="87">
        <f>IF(TrRoad_act!P7=0,0,P21/TrRoad_act!P7*1000)</f>
        <v>97.804350133305505</v>
      </c>
      <c r="Q85" s="87">
        <f>IF(TrRoad_act!Q7=0,0,Q21/TrRoad_act!Q7*1000)</f>
        <v>96.925654790983344</v>
      </c>
      <c r="R85" s="87">
        <f>IF(TrRoad_act!R7=0,0,R21/TrRoad_act!R7*1000)</f>
        <v>94.714092345651878</v>
      </c>
      <c r="S85" s="87">
        <f>IF(TrRoad_act!S7=0,0,S21/TrRoad_act!S7*1000)</f>
        <v>92.427663850041498</v>
      </c>
      <c r="T85" s="87">
        <f>IF(TrRoad_act!T7=0,0,T21/TrRoad_act!T7*1000)</f>
        <v>89.079547226165786</v>
      </c>
      <c r="U85" s="87">
        <f>IF(TrRoad_act!U7=0,0,U21/TrRoad_act!U7*1000)</f>
        <v>87.162857889710054</v>
      </c>
      <c r="V85" s="87">
        <f>IF(TrRoad_act!V7=0,0,V21/TrRoad_act!V7*1000)</f>
        <v>87.603248416346744</v>
      </c>
      <c r="W85" s="87">
        <f>IF(TrRoad_act!W7=0,0,W21/TrRoad_act!W7*1000)</f>
        <v>89.473024456479365</v>
      </c>
      <c r="X85" s="87">
        <f>IF(TrRoad_act!X7=0,0,X21/TrRoad_act!X7*1000)</f>
        <v>86.107781029972912</v>
      </c>
      <c r="Y85" s="87">
        <f>IF(TrRoad_act!Y7=0,0,Y21/TrRoad_act!Y7*1000)</f>
        <v>88.088306207768412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112.25036063277813</v>
      </c>
      <c r="C86" s="87">
        <f>IF(TrRoad_act!C8=0,0,C22/TrRoad_act!C8*1000)</f>
        <v>109.11145454456684</v>
      </c>
      <c r="D86" s="87">
        <f>IF(TrRoad_act!D8=0,0,D22/TrRoad_act!D8*1000)</f>
        <v>107.70657975582763</v>
      </c>
      <c r="E86" s="87">
        <f>IF(TrRoad_act!E8=0,0,E22/TrRoad_act!E8*1000)</f>
        <v>104.2633583388881</v>
      </c>
      <c r="F86" s="87">
        <f>IF(TrRoad_act!F8=0,0,F22/TrRoad_act!F8*1000)</f>
        <v>101.99650341612748</v>
      </c>
      <c r="G86" s="87">
        <f>IF(TrRoad_act!G8=0,0,G22/TrRoad_act!G8*1000)</f>
        <v>101.23340245383019</v>
      </c>
      <c r="H86" s="87">
        <f>IF(TrRoad_act!H8=0,0,H22/TrRoad_act!H8*1000)</f>
        <v>101.95533208625106</v>
      </c>
      <c r="I86" s="87">
        <f>IF(TrRoad_act!I8=0,0,I22/TrRoad_act!I8*1000)</f>
        <v>100.58427023527956</v>
      </c>
      <c r="J86" s="87">
        <f>IF(TrRoad_act!J8=0,0,J22/TrRoad_act!J8*1000)</f>
        <v>99.258785077330359</v>
      </c>
      <c r="K86" s="87">
        <f>IF(TrRoad_act!K8=0,0,K22/TrRoad_act!K8*1000)</f>
        <v>102.19098188182717</v>
      </c>
      <c r="L86" s="87">
        <f>IF(TrRoad_act!L8=0,0,L22/TrRoad_act!L8*1000)</f>
        <v>100.70651631032275</v>
      </c>
      <c r="M86" s="87">
        <f>IF(TrRoad_act!M8=0,0,M22/TrRoad_act!M8*1000)</f>
        <v>107.83425225340697</v>
      </c>
      <c r="N86" s="87">
        <f>IF(TrRoad_act!N8=0,0,N22/TrRoad_act!N8*1000)</f>
        <v>98.674025004444673</v>
      </c>
      <c r="O86" s="87">
        <f>IF(TrRoad_act!O8=0,0,O22/TrRoad_act!O8*1000)</f>
        <v>97.940123348901821</v>
      </c>
      <c r="P86" s="87">
        <f>IF(TrRoad_act!P8=0,0,P22/TrRoad_act!P8*1000)</f>
        <v>97.166026428920972</v>
      </c>
      <c r="Q86" s="87">
        <f>IF(TrRoad_act!Q8=0,0,Q22/TrRoad_act!Q8*1000)</f>
        <v>98.087816243296885</v>
      </c>
      <c r="R86" s="87">
        <f>IF(TrRoad_act!R8=0,0,R22/TrRoad_act!R8*1000)</f>
        <v>97.110274516075293</v>
      </c>
      <c r="S86" s="87">
        <f>IF(TrRoad_act!S8=0,0,S22/TrRoad_act!S8*1000)</f>
        <v>96.327012711411655</v>
      </c>
      <c r="T86" s="87">
        <f>IF(TrRoad_act!T8=0,0,T22/TrRoad_act!T8*1000)</f>
        <v>94.875237528839662</v>
      </c>
      <c r="U86" s="87">
        <f>IF(TrRoad_act!U8=0,0,U22/TrRoad_act!U8*1000)</f>
        <v>92.72856543235828</v>
      </c>
      <c r="V86" s="87">
        <f>IF(TrRoad_act!V8=0,0,V22/TrRoad_act!V8*1000)</f>
        <v>94.400383853148341</v>
      </c>
      <c r="W86" s="87">
        <f>IF(TrRoad_act!W8=0,0,W22/TrRoad_act!W8*1000)</f>
        <v>101.30169454886043</v>
      </c>
      <c r="X86" s="87">
        <f>IF(TrRoad_act!X8=0,0,X22/TrRoad_act!X8*1000)</f>
        <v>98.202965503995145</v>
      </c>
      <c r="Y86" s="87">
        <f>IF(TrRoad_act!Y8=0,0,Y22/TrRoad_act!Y8*1000)</f>
        <v>97.03373153291713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91.903765820896751</v>
      </c>
      <c r="C87" s="87">
        <f>IF(TrRoad_act!C9=0,0,C23/TrRoad_act!C9*1000)</f>
        <v>93.49304527447093</v>
      </c>
      <c r="D87" s="87">
        <f>IF(TrRoad_act!D9=0,0,D23/TrRoad_act!D9*1000)</f>
        <v>94.748960895634113</v>
      </c>
      <c r="E87" s="87">
        <f>IF(TrRoad_act!E9=0,0,E23/TrRoad_act!E9*1000)</f>
        <v>94.75144447201022</v>
      </c>
      <c r="F87" s="87">
        <f>IF(TrRoad_act!F9=0,0,F23/TrRoad_act!F9*1000)</f>
        <v>95.764680614791573</v>
      </c>
      <c r="G87" s="87">
        <f>IF(TrRoad_act!G9=0,0,G23/TrRoad_act!G9*1000)</f>
        <v>97.003606192295067</v>
      </c>
      <c r="H87" s="87">
        <f>IF(TrRoad_act!H9=0,0,H23/TrRoad_act!H9*1000)</f>
        <v>99.44839368418927</v>
      </c>
      <c r="I87" s="87">
        <f>IF(TrRoad_act!I9=0,0,I23/TrRoad_act!I9*1000)</f>
        <v>110.596571544734</v>
      </c>
      <c r="J87" s="87">
        <f>IF(TrRoad_act!J9=0,0,J23/TrRoad_act!J9*1000)</f>
        <v>100.65158298942508</v>
      </c>
      <c r="K87" s="87">
        <f>IF(TrRoad_act!K9=0,0,K23/TrRoad_act!K9*1000)</f>
        <v>81.960199472986574</v>
      </c>
      <c r="L87" s="87">
        <f>IF(TrRoad_act!L9=0,0,L23/TrRoad_act!L9*1000)</f>
        <v>93.394943086458284</v>
      </c>
      <c r="M87" s="87">
        <f>IF(TrRoad_act!M9=0,0,M23/TrRoad_act!M9*1000)</f>
        <v>102.2319279587536</v>
      </c>
      <c r="N87" s="87">
        <f>IF(TrRoad_act!N9=0,0,N23/TrRoad_act!N9*1000)</f>
        <v>94.82457954440531</v>
      </c>
      <c r="O87" s="87">
        <f>IF(TrRoad_act!O9=0,0,O23/TrRoad_act!O9*1000)</f>
        <v>98.869712231630771</v>
      </c>
      <c r="P87" s="87">
        <f>IF(TrRoad_act!P9=0,0,P23/TrRoad_act!P9*1000)</f>
        <v>97.778103904427425</v>
      </c>
      <c r="Q87" s="87">
        <f>IF(TrRoad_act!Q9=0,0,Q23/TrRoad_act!Q9*1000)</f>
        <v>91.733542326164283</v>
      </c>
      <c r="R87" s="87">
        <f>IF(TrRoad_act!R9=0,0,R23/TrRoad_act!R9*1000)</f>
        <v>88.489525226216927</v>
      </c>
      <c r="S87" s="87">
        <f>IF(TrRoad_act!S9=0,0,S23/TrRoad_act!S9*1000)</f>
        <v>82.42386489618525</v>
      </c>
      <c r="T87" s="87">
        <f>IF(TrRoad_act!T9=0,0,T23/TrRoad_act!T9*1000)</f>
        <v>78.87398679940452</v>
      </c>
      <c r="U87" s="87">
        <f>IF(TrRoad_act!U9=0,0,U23/TrRoad_act!U9*1000)</f>
        <v>76.194954040766333</v>
      </c>
      <c r="V87" s="87">
        <f>IF(TrRoad_act!V9=0,0,V23/TrRoad_act!V9*1000)</f>
        <v>66.23435839430411</v>
      </c>
      <c r="W87" s="87">
        <f>IF(TrRoad_act!W9=0,0,W23/TrRoad_act!W9*1000)</f>
        <v>86.981976733817135</v>
      </c>
      <c r="X87" s="87">
        <f>IF(TrRoad_act!X9=0,0,X23/TrRoad_act!X9*1000)</f>
        <v>133.06864615492887</v>
      </c>
      <c r="Y87" s="87">
        <f>IF(TrRoad_act!Y9=0,0,Y23/TrRoad_act!Y9*1000)</f>
        <v>138.55617948833446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91.741848626740847</v>
      </c>
      <c r="J88" s="87">
        <f>IF(TrRoad_act!J10=0,0,J24/TrRoad_act!J10*1000)</f>
        <v>89.237459203617519</v>
      </c>
      <c r="K88" s="87">
        <f>IF(TrRoad_act!K10=0,0,K24/TrRoad_act!K10*1000)</f>
        <v>88.644899791583356</v>
      </c>
      <c r="L88" s="87">
        <f>IF(TrRoad_act!L10=0,0,L24/TrRoad_act!L10*1000)</f>
        <v>87.782073088855938</v>
      </c>
      <c r="M88" s="87">
        <f>IF(TrRoad_act!M10=0,0,M24/TrRoad_act!M10*1000)</f>
        <v>91.661682435547775</v>
      </c>
      <c r="N88" s="87">
        <f>IF(TrRoad_act!N10=0,0,N24/TrRoad_act!N10*1000)</f>
        <v>83.574678585014141</v>
      </c>
      <c r="O88" s="87">
        <f>IF(TrRoad_act!O10=0,0,O24/TrRoad_act!O10*1000)</f>
        <v>82.874420223350853</v>
      </c>
      <c r="P88" s="87">
        <f>IF(TrRoad_act!P10=0,0,P24/TrRoad_act!P10*1000)</f>
        <v>82.189202465605803</v>
      </c>
      <c r="Q88" s="87">
        <f>IF(TrRoad_act!Q10=0,0,Q24/TrRoad_act!Q10*1000)</f>
        <v>81.067401583948495</v>
      </c>
      <c r="R88" s="87">
        <f>IF(TrRoad_act!R10=0,0,R24/TrRoad_act!R10*1000)</f>
        <v>72.403408570784791</v>
      </c>
      <c r="S88" s="87">
        <f>IF(TrRoad_act!S10=0,0,S24/TrRoad_act!S10*1000)</f>
        <v>72.129757598456365</v>
      </c>
      <c r="T88" s="87">
        <f>IF(TrRoad_act!T10=0,0,T24/TrRoad_act!T10*1000)</f>
        <v>70.669095535787122</v>
      </c>
      <c r="U88" s="87">
        <f>IF(TrRoad_act!U10=0,0,U24/TrRoad_act!U10*1000)</f>
        <v>70.3466940343055</v>
      </c>
      <c r="V88" s="87">
        <f>IF(TrRoad_act!V10=0,0,V24/TrRoad_act!V10*1000)</f>
        <v>71.517898061304578</v>
      </c>
      <c r="W88" s="87">
        <f>IF(TrRoad_act!W10=0,0,W24/TrRoad_act!W10*1000)</f>
        <v>73.728579251316717</v>
      </c>
      <c r="X88" s="87">
        <f>IF(TrRoad_act!X10=0,0,X24/TrRoad_act!X10*1000)</f>
        <v>72.550721074290237</v>
      </c>
      <c r="Y88" s="87">
        <f>IF(TrRoad_act!Y10=0,0,Y24/TrRoad_act!Y10*1000)</f>
        <v>68.761335019037702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30.810871802220941</v>
      </c>
      <c r="O89" s="87">
        <f>IF(TrRoad_act!O11=0,0,O25/TrRoad_act!O11*1000)</f>
        <v>32.497954450688823</v>
      </c>
      <c r="P89" s="87">
        <f>IF(TrRoad_act!P11=0,0,P25/TrRoad_act!P11*1000)</f>
        <v>30.778091437663633</v>
      </c>
      <c r="Q89" s="87">
        <f>IF(TrRoad_act!Q11=0,0,Q25/TrRoad_act!Q11*1000)</f>
        <v>32.357464869616848</v>
      </c>
      <c r="R89" s="87">
        <f>IF(TrRoad_act!R11=0,0,R25/TrRoad_act!R11*1000)</f>
        <v>33.873268200971651</v>
      </c>
      <c r="S89" s="87">
        <f>IF(TrRoad_act!S11=0,0,S25/TrRoad_act!S11*1000)</f>
        <v>34.867561552714484</v>
      </c>
      <c r="T89" s="87">
        <f>IF(TrRoad_act!T11=0,0,T25/TrRoad_act!T11*1000)</f>
        <v>35.474333265385049</v>
      </c>
      <c r="U89" s="87">
        <f>IF(TrRoad_act!U11=0,0,U25/TrRoad_act!U11*1000)</f>
        <v>34.392641726694926</v>
      </c>
      <c r="V89" s="87">
        <f>IF(TrRoad_act!V11=0,0,V25/TrRoad_act!V11*1000)</f>
        <v>29.537986661643512</v>
      </c>
      <c r="W89" s="87">
        <f>IF(TrRoad_act!W11=0,0,W25/TrRoad_act!W11*1000)</f>
        <v>26.749511378027972</v>
      </c>
      <c r="X89" s="87">
        <f>IF(TrRoad_act!X11=0,0,X25/TrRoad_act!X11*1000)</f>
        <v>24.281843433453563</v>
      </c>
      <c r="Y89" s="87">
        <f>IF(TrRoad_act!Y11=0,0,Y25/TrRoad_act!Y11*1000)</f>
        <v>23.469353786228808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104.57216215850634</v>
      </c>
      <c r="C91" s="116">
        <f>IF(TrRoad_act!C13=0,0,C27/TrRoad_act!C13*1000)</f>
        <v>105.38034715323154</v>
      </c>
      <c r="D91" s="116">
        <f>IF(TrRoad_act!D13=0,0,D27/TrRoad_act!D13*1000)</f>
        <v>104.16182603087523</v>
      </c>
      <c r="E91" s="116">
        <f>IF(TrRoad_act!E13=0,0,E27/TrRoad_act!E13*1000)</f>
        <v>103.5834278664302</v>
      </c>
      <c r="F91" s="116">
        <f>IF(TrRoad_act!F13=0,0,F27/TrRoad_act!F13*1000)</f>
        <v>102.98487199904324</v>
      </c>
      <c r="G91" s="116">
        <f>IF(TrRoad_act!G13=0,0,G27/TrRoad_act!G13*1000)</f>
        <v>102.25157479899015</v>
      </c>
      <c r="H91" s="116">
        <f>IF(TrRoad_act!H13=0,0,H27/TrRoad_act!H13*1000)</f>
        <v>101.56396357729018</v>
      </c>
      <c r="I91" s="116">
        <f>IF(TrRoad_act!I13=0,0,I27/TrRoad_act!I13*1000)</f>
        <v>100.94942037657579</v>
      </c>
      <c r="J91" s="116">
        <f>IF(TrRoad_act!J13=0,0,J27/TrRoad_act!J13*1000)</f>
        <v>97.533267532785842</v>
      </c>
      <c r="K91" s="116">
        <f>IF(TrRoad_act!K13=0,0,K27/TrRoad_act!K13*1000)</f>
        <v>93.680611618432735</v>
      </c>
      <c r="L91" s="116">
        <f>IF(TrRoad_act!L13=0,0,L27/TrRoad_act!L13*1000)</f>
        <v>89.636532748479567</v>
      </c>
      <c r="M91" s="116">
        <f>IF(TrRoad_act!M13=0,0,M27/TrRoad_act!M13*1000)</f>
        <v>88.164835843787245</v>
      </c>
      <c r="N91" s="116">
        <f>IF(TrRoad_act!N13=0,0,N27/TrRoad_act!N13*1000)</f>
        <v>85.648706014999135</v>
      </c>
      <c r="O91" s="116">
        <f>IF(TrRoad_act!O13=0,0,O27/TrRoad_act!O13*1000)</f>
        <v>78.695276532995081</v>
      </c>
      <c r="P91" s="116">
        <f>IF(TrRoad_act!P13=0,0,P27/TrRoad_act!P13*1000)</f>
        <v>77.554442190144115</v>
      </c>
      <c r="Q91" s="116">
        <f>IF(TrRoad_act!Q13=0,0,Q27/TrRoad_act!Q13*1000)</f>
        <v>78.024456714990365</v>
      </c>
      <c r="R91" s="116">
        <f>IF(TrRoad_act!R13=0,0,R27/TrRoad_act!R13*1000)</f>
        <v>78.920824722849332</v>
      </c>
      <c r="S91" s="116">
        <f>IF(TrRoad_act!S13=0,0,S27/TrRoad_act!S13*1000)</f>
        <v>77.139352835154384</v>
      </c>
      <c r="T91" s="116">
        <f>IF(TrRoad_act!T13=0,0,T27/TrRoad_act!T13*1000)</f>
        <v>77.717644622815271</v>
      </c>
      <c r="U91" s="116">
        <f>IF(TrRoad_act!U13=0,0,U27/TrRoad_act!U13*1000)</f>
        <v>75.722367218846728</v>
      </c>
      <c r="V91" s="116">
        <f>IF(TrRoad_act!V13=0,0,V27/TrRoad_act!V13*1000)</f>
        <v>90.996642559921298</v>
      </c>
      <c r="W91" s="116">
        <f>IF(TrRoad_act!W13=0,0,W27/TrRoad_act!W13*1000)</f>
        <v>96.40682024946517</v>
      </c>
      <c r="X91" s="116">
        <f>IF(TrRoad_act!X13=0,0,X27/TrRoad_act!X13*1000)</f>
        <v>88.920484545468241</v>
      </c>
      <c r="Y91" s="116">
        <f>IF(TrRoad_act!Y13=0,0,Y27/TrRoad_act!Y13*1000)</f>
        <v>77.760202650709118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78.374390523237366</v>
      </c>
      <c r="C92" s="101">
        <f>IF(TrRoad_act!C14=0,0,C28/TrRoad_act!C14*1000)</f>
        <v>78.515281401638902</v>
      </c>
      <c r="D92" s="101">
        <f>IF(TrRoad_act!D14=0,0,D28/TrRoad_act!D14*1000)</f>
        <v>78.415901657833629</v>
      </c>
      <c r="E92" s="101">
        <f>IF(TrRoad_act!E14=0,0,E28/TrRoad_act!E14*1000)</f>
        <v>78.433044436089048</v>
      </c>
      <c r="F92" s="101">
        <f>IF(TrRoad_act!F14=0,0,F28/TrRoad_act!F14*1000)</f>
        <v>78.37447290084252</v>
      </c>
      <c r="G92" s="101">
        <f>IF(TrRoad_act!G14=0,0,G28/TrRoad_act!G14*1000)</f>
        <v>78.018778463287489</v>
      </c>
      <c r="H92" s="101">
        <f>IF(TrRoad_act!H14=0,0,H28/TrRoad_act!H14*1000)</f>
        <v>77.626245501132814</v>
      </c>
      <c r="I92" s="101">
        <f>IF(TrRoad_act!I14=0,0,I28/TrRoad_act!I14*1000)</f>
        <v>76.603404305279454</v>
      </c>
      <c r="J92" s="101">
        <f>IF(TrRoad_act!J14=0,0,J28/TrRoad_act!J14*1000)</f>
        <v>74.866890084900206</v>
      </c>
      <c r="K92" s="101">
        <f>IF(TrRoad_act!K14=0,0,K28/TrRoad_act!K14*1000)</f>
        <v>74.795778417474565</v>
      </c>
      <c r="L92" s="101">
        <f>IF(TrRoad_act!L14=0,0,L28/TrRoad_act!L14*1000)</f>
        <v>73.764780889901132</v>
      </c>
      <c r="M92" s="101">
        <f>IF(TrRoad_act!M14=0,0,M28/TrRoad_act!M14*1000)</f>
        <v>73.235722403762097</v>
      </c>
      <c r="N92" s="101">
        <f>IF(TrRoad_act!N14=0,0,N28/TrRoad_act!N14*1000)</f>
        <v>71.278189500792422</v>
      </c>
      <c r="O92" s="101">
        <f>IF(TrRoad_act!O14=0,0,O28/TrRoad_act!O14*1000)</f>
        <v>66.347870853427779</v>
      </c>
      <c r="P92" s="101">
        <f>IF(TrRoad_act!P14=0,0,P28/TrRoad_act!P14*1000)</f>
        <v>65.44393028602687</v>
      </c>
      <c r="Q92" s="101">
        <f>IF(TrRoad_act!Q14=0,0,Q28/TrRoad_act!Q14*1000)</f>
        <v>65.425343966239623</v>
      </c>
      <c r="R92" s="101">
        <f>IF(TrRoad_act!R14=0,0,R28/TrRoad_act!R14*1000)</f>
        <v>65.477008581241975</v>
      </c>
      <c r="S92" s="101">
        <f>IF(TrRoad_act!S14=0,0,S28/TrRoad_act!S14*1000)</f>
        <v>63.413947970793515</v>
      </c>
      <c r="T92" s="101">
        <f>IF(TrRoad_act!T14=0,0,T28/TrRoad_act!T14*1000)</f>
        <v>64.15154463747848</v>
      </c>
      <c r="U92" s="101">
        <f>IF(TrRoad_act!U14=0,0,U28/TrRoad_act!U14*1000)</f>
        <v>61.664032425116382</v>
      </c>
      <c r="V92" s="101">
        <f>IF(TrRoad_act!V14=0,0,V28/TrRoad_act!V14*1000)</f>
        <v>67.40775147998049</v>
      </c>
      <c r="W92" s="101">
        <f>IF(TrRoad_act!W14=0,0,W28/TrRoad_act!W14*1000)</f>
        <v>66.407929461482837</v>
      </c>
      <c r="X92" s="101">
        <f>IF(TrRoad_act!X14=0,0,X28/TrRoad_act!X14*1000)</f>
        <v>64.551128725183162</v>
      </c>
      <c r="Y92" s="101">
        <f>IF(TrRoad_act!Y14=0,0,Y28/TrRoad_act!Y14*1000)</f>
        <v>62.971236523142352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104.88990535829274</v>
      </c>
      <c r="C93" s="101">
        <f>IF(TrRoad_act!C15=0,0,C29/TrRoad_act!C15*1000)</f>
        <v>105.99890436193778</v>
      </c>
      <c r="D93" s="101">
        <f>IF(TrRoad_act!D15=0,0,D29/TrRoad_act!D15*1000)</f>
        <v>104.82419870326683</v>
      </c>
      <c r="E93" s="101">
        <f>IF(TrRoad_act!E15=0,0,E29/TrRoad_act!E15*1000)</f>
        <v>104.37353989021199</v>
      </c>
      <c r="F93" s="101">
        <f>IF(TrRoad_act!F15=0,0,F29/TrRoad_act!F15*1000)</f>
        <v>103.90507227928298</v>
      </c>
      <c r="G93" s="101">
        <f>IF(TrRoad_act!G15=0,0,G29/TrRoad_act!G15*1000)</f>
        <v>103.19683567218753</v>
      </c>
      <c r="H93" s="101">
        <f>IF(TrRoad_act!H15=0,0,H29/TrRoad_act!H15*1000)</f>
        <v>102.48164523822136</v>
      </c>
      <c r="I93" s="101">
        <f>IF(TrRoad_act!I15=0,0,I29/TrRoad_act!I15*1000)</f>
        <v>101.93775343423984</v>
      </c>
      <c r="J93" s="101">
        <f>IF(TrRoad_act!J15=0,0,J29/TrRoad_act!J15*1000)</f>
        <v>98.551002759826432</v>
      </c>
      <c r="K93" s="101">
        <f>IF(TrRoad_act!K15=0,0,K29/TrRoad_act!K15*1000)</f>
        <v>94.65234836182583</v>
      </c>
      <c r="L93" s="101">
        <f>IF(TrRoad_act!L15=0,0,L29/TrRoad_act!L15*1000)</f>
        <v>90.453904123196367</v>
      </c>
      <c r="M93" s="101">
        <f>IF(TrRoad_act!M15=0,0,M29/TrRoad_act!M15*1000)</f>
        <v>89.825670578281859</v>
      </c>
      <c r="N93" s="101">
        <f>IF(TrRoad_act!N15=0,0,N29/TrRoad_act!N15*1000)</f>
        <v>87.440173621796148</v>
      </c>
      <c r="O93" s="101">
        <f>IF(TrRoad_act!O15=0,0,O29/TrRoad_act!O15*1000)</f>
        <v>81.442330207787407</v>
      </c>
      <c r="P93" s="101">
        <f>IF(TrRoad_act!P15=0,0,P29/TrRoad_act!P15*1000)</f>
        <v>80.246785585774475</v>
      </c>
      <c r="Q93" s="101">
        <f>IF(TrRoad_act!Q15=0,0,Q29/TrRoad_act!Q15*1000)</f>
        <v>80.801024432252134</v>
      </c>
      <c r="R93" s="101">
        <f>IF(TrRoad_act!R15=0,0,R29/TrRoad_act!R15*1000)</f>
        <v>81.598720165867775</v>
      </c>
      <c r="S93" s="101">
        <f>IF(TrRoad_act!S15=0,0,S29/TrRoad_act!S15*1000)</f>
        <v>79.861646116753548</v>
      </c>
      <c r="T93" s="101">
        <f>IF(TrRoad_act!T15=0,0,T29/TrRoad_act!T15*1000)</f>
        <v>81.03630558885466</v>
      </c>
      <c r="U93" s="101">
        <f>IF(TrRoad_act!U15=0,0,U29/TrRoad_act!U15*1000)</f>
        <v>80.036087410557911</v>
      </c>
      <c r="V93" s="101">
        <f>IF(TrRoad_act!V15=0,0,V29/TrRoad_act!V15*1000)</f>
        <v>96.297124137984468</v>
      </c>
      <c r="W93" s="101">
        <f>IF(TrRoad_act!W15=0,0,W29/TrRoad_act!W15*1000)</f>
        <v>103.63926606321269</v>
      </c>
      <c r="X93" s="101">
        <f>IF(TrRoad_act!X15=0,0,X29/TrRoad_act!X15*1000)</f>
        <v>97.679060114543404</v>
      </c>
      <c r="Y93" s="101">
        <f>IF(TrRoad_act!Y15=0,0,Y29/TrRoad_act!Y15*1000)</f>
        <v>86.250066590460435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74.024093001366523</v>
      </c>
      <c r="C94" s="101">
        <f>IF(TrRoad_act!C16=0,0,C30/TrRoad_act!C16*1000)</f>
        <v>73.082698195886749</v>
      </c>
      <c r="D94" s="101">
        <f>IF(TrRoad_act!D16=0,0,D30/TrRoad_act!D16*1000)</f>
        <v>72.743230817561084</v>
      </c>
      <c r="E94" s="101">
        <f>IF(TrRoad_act!E16=0,0,E30/TrRoad_act!E16*1000)</f>
        <v>72.563831910175438</v>
      </c>
      <c r="F94" s="101">
        <f>IF(TrRoad_act!F16=0,0,F30/TrRoad_act!F16*1000)</f>
        <v>72.495218120051518</v>
      </c>
      <c r="G94" s="101">
        <f>IF(TrRoad_act!G16=0,0,G30/TrRoad_act!G16*1000)</f>
        <v>72.591975003928354</v>
      </c>
      <c r="H94" s="101">
        <f>IF(TrRoad_act!H16=0,0,H30/TrRoad_act!H16*1000)</f>
        <v>71.931439770354388</v>
      </c>
      <c r="I94" s="101">
        <f>IF(TrRoad_act!I16=0,0,I30/TrRoad_act!I16*1000)</f>
        <v>72.77508259626552</v>
      </c>
      <c r="J94" s="101">
        <f>IF(TrRoad_act!J16=0,0,J30/TrRoad_act!J16*1000)</f>
        <v>72.226001120573443</v>
      </c>
      <c r="K94" s="101">
        <f>IF(TrRoad_act!K16=0,0,K30/TrRoad_act!K16*1000)</f>
        <v>70.083724877302785</v>
      </c>
      <c r="L94" s="101">
        <f>IF(TrRoad_act!L16=0,0,L30/TrRoad_act!L16*1000)</f>
        <v>66.985920136548955</v>
      </c>
      <c r="M94" s="101">
        <f>IF(TrRoad_act!M16=0,0,M30/TrRoad_act!M16*1000)</f>
        <v>66.234411224893677</v>
      </c>
      <c r="N94" s="101">
        <f>IF(TrRoad_act!N16=0,0,N30/TrRoad_act!N16*1000)</f>
        <v>64.750902160234162</v>
      </c>
      <c r="O94" s="101">
        <f>IF(TrRoad_act!O16=0,0,O30/TrRoad_act!O16*1000)</f>
        <v>60.305879609652571</v>
      </c>
      <c r="P94" s="101">
        <f>IF(TrRoad_act!P16=0,0,P30/TrRoad_act!P16*1000)</f>
        <v>59.604579818243295</v>
      </c>
      <c r="Q94" s="101">
        <f>IF(TrRoad_act!Q16=0,0,Q30/TrRoad_act!Q16*1000)</f>
        <v>59.605723810538542</v>
      </c>
      <c r="R94" s="101">
        <f>IF(TrRoad_act!R16=0,0,R30/TrRoad_act!R16*1000)</f>
        <v>59.87459493364414</v>
      </c>
      <c r="S94" s="101">
        <f>IF(TrRoad_act!S16=0,0,S30/TrRoad_act!S16*1000)</f>
        <v>58.638390012578206</v>
      </c>
      <c r="T94" s="101">
        <f>IF(TrRoad_act!T16=0,0,T30/TrRoad_act!T16*1000)</f>
        <v>59.462242547679395</v>
      </c>
      <c r="U94" s="101">
        <f>IF(TrRoad_act!U16=0,0,U30/TrRoad_act!U16*1000)</f>
        <v>58.985855503583252</v>
      </c>
      <c r="V94" s="101">
        <f>IF(TrRoad_act!V16=0,0,V30/TrRoad_act!V16*1000)</f>
        <v>71.141943094303571</v>
      </c>
      <c r="W94" s="101">
        <f>IF(TrRoad_act!W16=0,0,W30/TrRoad_act!W16*1000)</f>
        <v>76.836962632428012</v>
      </c>
      <c r="X94" s="101">
        <f>IF(TrRoad_act!X16=0,0,X30/TrRoad_act!X16*1000)</f>
        <v>73.485911553190235</v>
      </c>
      <c r="Y94" s="101">
        <f>IF(TrRoad_act!Y16=0,0,Y30/TrRoad_act!Y16*1000)</f>
        <v>66.713819323089538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66.302488485666188</v>
      </c>
      <c r="C95" s="101">
        <f>IF(TrRoad_act!C17=0,0,C31/TrRoad_act!C17*1000)</f>
        <v>61.656542025600992</v>
      </c>
      <c r="D95" s="101">
        <f>IF(TrRoad_act!D17=0,0,D31/TrRoad_act!D17*1000)</f>
        <v>62.44002066543721</v>
      </c>
      <c r="E95" s="101">
        <f>IF(TrRoad_act!E17=0,0,E31/TrRoad_act!E17*1000)</f>
        <v>62.205973561561166</v>
      </c>
      <c r="F95" s="101">
        <f>IF(TrRoad_act!F17=0,0,F31/TrRoad_act!F17*1000)</f>
        <v>58.0622051113751</v>
      </c>
      <c r="G95" s="101">
        <f>IF(TrRoad_act!G17=0,0,G31/TrRoad_act!G17*1000)</f>
        <v>58.433315426897551</v>
      </c>
      <c r="H95" s="101">
        <f>IF(TrRoad_act!H17=0,0,H31/TrRoad_act!H17*1000)</f>
        <v>63.141185908403102</v>
      </c>
      <c r="I95" s="101">
        <f>IF(TrRoad_act!I17=0,0,I31/TrRoad_act!I17*1000)</f>
        <v>61.426681487082334</v>
      </c>
      <c r="J95" s="101">
        <f>IF(TrRoad_act!J17=0,0,J31/TrRoad_act!J17*1000)</f>
        <v>61.862942647744447</v>
      </c>
      <c r="K95" s="101">
        <f>IF(TrRoad_act!K17=0,0,K31/TrRoad_act!K17*1000)</f>
        <v>59.849400247730969</v>
      </c>
      <c r="L95" s="101">
        <f>IF(TrRoad_act!L17=0,0,L31/TrRoad_act!L17*1000)</f>
        <v>62.008561705073333</v>
      </c>
      <c r="M95" s="101">
        <f>IF(TrRoad_act!M17=0,0,M31/TrRoad_act!M17*1000)</f>
        <v>60.4508410165977</v>
      </c>
      <c r="N95" s="101">
        <f>IF(TrRoad_act!N17=0,0,N31/TrRoad_act!N17*1000)</f>
        <v>59.07588405146614</v>
      </c>
      <c r="O95" s="101">
        <f>IF(TrRoad_act!O17=0,0,O31/TrRoad_act!O17*1000)</f>
        <v>48.869582233112773</v>
      </c>
      <c r="P95" s="101">
        <f>IF(TrRoad_act!P17=0,0,P31/TrRoad_act!P17*1000)</f>
        <v>49.943422146142339</v>
      </c>
      <c r="Q95" s="101">
        <f>IF(TrRoad_act!Q17=0,0,Q31/TrRoad_act!Q17*1000)</f>
        <v>50.121700187091463</v>
      </c>
      <c r="R95" s="101">
        <f>IF(TrRoad_act!R17=0,0,R31/TrRoad_act!R17*1000)</f>
        <v>52.312225339424053</v>
      </c>
      <c r="S95" s="101">
        <f>IF(TrRoad_act!S17=0,0,S31/TrRoad_act!S17*1000)</f>
        <v>52.821562109606582</v>
      </c>
      <c r="T95" s="101">
        <f>IF(TrRoad_act!T17=0,0,T31/TrRoad_act!T17*1000)</f>
        <v>51.202016377832379</v>
      </c>
      <c r="U95" s="101">
        <f>IF(TrRoad_act!U17=0,0,U31/TrRoad_act!U17*1000)</f>
        <v>49.918453117854163</v>
      </c>
      <c r="V95" s="101">
        <f>IF(TrRoad_act!V17=0,0,V31/TrRoad_act!V17*1000)</f>
        <v>70.758285648254557</v>
      </c>
      <c r="W95" s="101">
        <f>IF(TrRoad_act!W17=0,0,W31/TrRoad_act!W17*1000)</f>
        <v>77.55474617600494</v>
      </c>
      <c r="X95" s="101">
        <f>IF(TrRoad_act!X17=0,0,X31/TrRoad_act!X17*1000)</f>
        <v>69.598301817923229</v>
      </c>
      <c r="Y95" s="101">
        <f>IF(TrRoad_act!Y17=0,0,Y31/TrRoad_act!Y17*1000)</f>
        <v>62.659187315609891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176.66511484837937</v>
      </c>
      <c r="C97" s="29">
        <f>IF(TrRoad_act!C19=0,0,C33/TrRoad_act!C19*1000)</f>
        <v>170.15851232614366</v>
      </c>
      <c r="D97" s="29">
        <f>IF(TrRoad_act!D19=0,0,D33/TrRoad_act!D19*1000)</f>
        <v>165.3139509094861</v>
      </c>
      <c r="E97" s="29">
        <f>IF(TrRoad_act!E19=0,0,E33/TrRoad_act!E19*1000)</f>
        <v>160.45547815715878</v>
      </c>
      <c r="F97" s="29">
        <f>IF(TrRoad_act!F19=0,0,F33/TrRoad_act!F19*1000)</f>
        <v>152.03422546760726</v>
      </c>
      <c r="G97" s="29">
        <f>IF(TrRoad_act!G19=0,0,G33/TrRoad_act!G19*1000)</f>
        <v>149.18363776693823</v>
      </c>
      <c r="H97" s="29">
        <f>IF(TrRoad_act!H19=0,0,H33/TrRoad_act!H19*1000)</f>
        <v>144.55040005284474</v>
      </c>
      <c r="I97" s="29">
        <f>IF(TrRoad_act!I19=0,0,I33/TrRoad_act!I19*1000)</f>
        <v>138.07247639078733</v>
      </c>
      <c r="J97" s="29">
        <f>IF(TrRoad_act!J19=0,0,J33/TrRoad_act!J19*1000)</f>
        <v>134.92698629459238</v>
      </c>
      <c r="K97" s="29">
        <f>IF(TrRoad_act!K19=0,0,K33/TrRoad_act!K19*1000)</f>
        <v>144.64553598754227</v>
      </c>
      <c r="L97" s="29">
        <f>IF(TrRoad_act!L19=0,0,L33/TrRoad_act!L19*1000)</f>
        <v>142.04966579179549</v>
      </c>
      <c r="M97" s="29">
        <f>IF(TrRoad_act!M19=0,0,M33/TrRoad_act!M19*1000)</f>
        <v>148.22597506184232</v>
      </c>
      <c r="N97" s="29">
        <f>IF(TrRoad_act!N19=0,0,N33/TrRoad_act!N19*1000)</f>
        <v>150.6812242503434</v>
      </c>
      <c r="O97" s="29">
        <f>IF(TrRoad_act!O19=0,0,O33/TrRoad_act!O19*1000)</f>
        <v>148.97936133453211</v>
      </c>
      <c r="P97" s="29">
        <f>IF(TrRoad_act!P19=0,0,P33/TrRoad_act!P19*1000)</f>
        <v>148.31639925809762</v>
      </c>
      <c r="Q97" s="29">
        <f>IF(TrRoad_act!Q19=0,0,Q33/TrRoad_act!Q19*1000)</f>
        <v>153.23929026274158</v>
      </c>
      <c r="R97" s="29">
        <f>IF(TrRoad_act!R19=0,0,R33/TrRoad_act!R19*1000)</f>
        <v>151.19772092280007</v>
      </c>
      <c r="S97" s="29">
        <f>IF(TrRoad_act!S19=0,0,S33/TrRoad_act!S19*1000)</f>
        <v>144.18165055229733</v>
      </c>
      <c r="T97" s="29">
        <f>IF(TrRoad_act!T19=0,0,T33/TrRoad_act!T19*1000)</f>
        <v>140.55883866046557</v>
      </c>
      <c r="U97" s="29">
        <f>IF(TrRoad_act!U19=0,0,U33/TrRoad_act!U19*1000)</f>
        <v>137.09647945980649</v>
      </c>
      <c r="V97" s="29">
        <f>IF(TrRoad_act!V19=0,0,V33/TrRoad_act!V19*1000)</f>
        <v>130.6526677305435</v>
      </c>
      <c r="W97" s="29">
        <f>IF(TrRoad_act!W19=0,0,W33/TrRoad_act!W19*1000)</f>
        <v>138.2225445930398</v>
      </c>
      <c r="X97" s="29">
        <f>IF(TrRoad_act!X19=0,0,X33/TrRoad_act!X19*1000)</f>
        <v>136.62966871356224</v>
      </c>
      <c r="Y97" s="29">
        <f>IF(TrRoad_act!Y19=0,0,Y33/TrRoad_act!Y19*1000)</f>
        <v>134.02107605688965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1427.6866471894905</v>
      </c>
      <c r="C98" s="152">
        <f>IF(TrRoad_act!C20=0,0,C34/TrRoad_act!C20*1000)</f>
        <v>1376.9077383207364</v>
      </c>
      <c r="D98" s="152">
        <f>IF(TrRoad_act!D20=0,0,D34/TrRoad_act!D20*1000)</f>
        <v>1345.8133511618671</v>
      </c>
      <c r="E98" s="152">
        <f>IF(TrRoad_act!E20=0,0,E34/TrRoad_act!E20*1000)</f>
        <v>1304.4269692001985</v>
      </c>
      <c r="F98" s="152">
        <f>IF(TrRoad_act!F20=0,0,F34/TrRoad_act!F20*1000)</f>
        <v>1262.4586248840149</v>
      </c>
      <c r="G98" s="152">
        <f>IF(TrRoad_act!G20=0,0,G34/TrRoad_act!G20*1000)</f>
        <v>1234.0070884927907</v>
      </c>
      <c r="H98" s="152">
        <f>IF(TrRoad_act!H20=0,0,H34/TrRoad_act!H20*1000)</f>
        <v>1208.1637357125562</v>
      </c>
      <c r="I98" s="152">
        <f>IF(TrRoad_act!I20=0,0,I34/TrRoad_act!I20*1000)</f>
        <v>1166.8713228752076</v>
      </c>
      <c r="J98" s="152">
        <f>IF(TrRoad_act!J20=0,0,J34/TrRoad_act!J20*1000)</f>
        <v>1128.926347591786</v>
      </c>
      <c r="K98" s="152">
        <f>IF(TrRoad_act!K20=0,0,K34/TrRoad_act!K20*1000)</f>
        <v>1125.1117675309592</v>
      </c>
      <c r="L98" s="152">
        <f>IF(TrRoad_act!L20=0,0,L34/TrRoad_act!L20*1000)</f>
        <v>1125.3868814426103</v>
      </c>
      <c r="M98" s="152">
        <f>IF(TrRoad_act!M20=0,0,M34/TrRoad_act!M20*1000)</f>
        <v>1153.372023679128</v>
      </c>
      <c r="N98" s="152">
        <f>IF(TrRoad_act!N20=0,0,N34/TrRoad_act!N20*1000)</f>
        <v>1144.5137467173181</v>
      </c>
      <c r="O98" s="152">
        <f>IF(TrRoad_act!O20=0,0,O34/TrRoad_act!O20*1000)</f>
        <v>1130.6911614862242</v>
      </c>
      <c r="P98" s="152">
        <f>IF(TrRoad_act!P20=0,0,P34/TrRoad_act!P20*1000)</f>
        <v>1103.7662232471807</v>
      </c>
      <c r="Q98" s="152">
        <f>IF(TrRoad_act!Q20=0,0,Q34/TrRoad_act!Q20*1000)</f>
        <v>1098.8849252575244</v>
      </c>
      <c r="R98" s="152">
        <f>IF(TrRoad_act!R20=0,0,R34/TrRoad_act!R20*1000)</f>
        <v>1091.0234019013035</v>
      </c>
      <c r="S98" s="152">
        <f>IF(TrRoad_act!S20=0,0,S34/TrRoad_act!S20*1000)</f>
        <v>1079.8757255573689</v>
      </c>
      <c r="T98" s="152">
        <f>IF(TrRoad_act!T20=0,0,T34/TrRoad_act!T20*1000)</f>
        <v>1074.9205574259756</v>
      </c>
      <c r="U98" s="152">
        <f>IF(TrRoad_act!U20=0,0,U34/TrRoad_act!U20*1000)</f>
        <v>1054.1435574064317</v>
      </c>
      <c r="V98" s="152">
        <f>IF(TrRoad_act!V20=0,0,V34/TrRoad_act!V20*1000)</f>
        <v>1025.9632776953208</v>
      </c>
      <c r="W98" s="152">
        <f>IF(TrRoad_act!W20=0,0,W34/TrRoad_act!W20*1000)</f>
        <v>1075.8033623350341</v>
      </c>
      <c r="X98" s="152">
        <f>IF(TrRoad_act!X20=0,0,X34/TrRoad_act!X20*1000)</f>
        <v>1055.0338783394996</v>
      </c>
      <c r="Y98" s="152">
        <f>IF(TrRoad_act!Y20=0,0,Y34/TrRoad_act!Y20*1000)</f>
        <v>1013.5306951427063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1805.3578094342845</v>
      </c>
      <c r="C99" s="87">
        <f>IF(TrRoad_act!C21=0,0,C35/TrRoad_act!C21*1000)</f>
        <v>1800.2565381314289</v>
      </c>
      <c r="D99" s="87">
        <f>IF(TrRoad_act!D21=0,0,D35/TrRoad_act!D21*1000)</f>
        <v>1790.5987497537644</v>
      </c>
      <c r="E99" s="87">
        <f>IF(TrRoad_act!E21=0,0,E35/TrRoad_act!E21*1000)</f>
        <v>1776.2376679728061</v>
      </c>
      <c r="F99" s="87">
        <f>IF(TrRoad_act!F21=0,0,F35/TrRoad_act!F21*1000)</f>
        <v>1757.7627370429602</v>
      </c>
      <c r="G99" s="87">
        <f>IF(TrRoad_act!G21=0,0,G35/TrRoad_act!G21*1000)</f>
        <v>1733.1591302957356</v>
      </c>
      <c r="H99" s="87">
        <f>IF(TrRoad_act!H21=0,0,H35/TrRoad_act!H21*1000)</f>
        <v>1712.8858980123482</v>
      </c>
      <c r="I99" s="87">
        <f>IF(TrRoad_act!I21=0,0,I35/TrRoad_act!I21*1000)</f>
        <v>1669.8734331590672</v>
      </c>
      <c r="J99" s="87">
        <f>IF(TrRoad_act!J21=0,0,J35/TrRoad_act!J21*1000)</f>
        <v>1596.2556088778749</v>
      </c>
      <c r="K99" s="87">
        <f>IF(TrRoad_act!K21=0,0,K35/TrRoad_act!K21*1000)</f>
        <v>1578.1081705114859</v>
      </c>
      <c r="L99" s="87">
        <f>IF(TrRoad_act!L21=0,0,L35/TrRoad_act!L21*1000)</f>
        <v>1548.9688509027226</v>
      </c>
      <c r="M99" s="87">
        <f>IF(TrRoad_act!M21=0,0,M35/TrRoad_act!M21*1000)</f>
        <v>1535.772173229723</v>
      </c>
      <c r="N99" s="87">
        <f>IF(TrRoad_act!N21=0,0,N35/TrRoad_act!N21*1000)</f>
        <v>1495.3908769930463</v>
      </c>
      <c r="O99" s="87">
        <f>IF(TrRoad_act!O21=0,0,O35/TrRoad_act!O21*1000)</f>
        <v>1455.7637163384902</v>
      </c>
      <c r="P99" s="87">
        <f>IF(TrRoad_act!P21=0,0,P35/TrRoad_act!P21*1000)</f>
        <v>1420.6970735174652</v>
      </c>
      <c r="Q99" s="87">
        <f>IF(TrRoad_act!Q21=0,0,Q35/TrRoad_act!Q21*1000)</f>
        <v>1401.237749820207</v>
      </c>
      <c r="R99" s="87">
        <f>IF(TrRoad_act!R21=0,0,R35/TrRoad_act!R21*1000)</f>
        <v>1397.3331905555822</v>
      </c>
      <c r="S99" s="87">
        <f>IF(TrRoad_act!S21=0,0,S35/TrRoad_act!S21*1000)</f>
        <v>1396.4260756056381</v>
      </c>
      <c r="T99" s="87">
        <f>IF(TrRoad_act!T21=0,0,T35/TrRoad_act!T21*1000)</f>
        <v>1386.043180439309</v>
      </c>
      <c r="U99" s="87">
        <f>IF(TrRoad_act!U21=0,0,U35/TrRoad_act!U21*1000)</f>
        <v>1375.9764798558558</v>
      </c>
      <c r="V99" s="87">
        <f>IF(TrRoad_act!V21=0,0,V35/TrRoad_act!V21*1000)</f>
        <v>1326.832250518418</v>
      </c>
      <c r="W99" s="87">
        <f>IF(TrRoad_act!W21=0,0,W35/TrRoad_act!W21*1000)</f>
        <v>1372.7212438354047</v>
      </c>
      <c r="X99" s="87">
        <f>IF(TrRoad_act!X21=0,0,X35/TrRoad_act!X21*1000)</f>
        <v>1361.79675780604</v>
      </c>
      <c r="Y99" s="87">
        <f>IF(TrRoad_act!Y21=0,0,Y35/TrRoad_act!Y21*1000)</f>
        <v>1359.7078605121396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1379.5550891542484</v>
      </c>
      <c r="C100" s="87">
        <f>IF(TrRoad_act!C22=0,0,C36/TrRoad_act!C22*1000)</f>
        <v>1333.4700774593775</v>
      </c>
      <c r="D100" s="87">
        <f>IF(TrRoad_act!D22=0,0,D36/TrRoad_act!D22*1000)</f>
        <v>1308.6955011032398</v>
      </c>
      <c r="E100" s="87">
        <f>IF(TrRoad_act!E22=0,0,E36/TrRoad_act!E22*1000)</f>
        <v>1273.527339918282</v>
      </c>
      <c r="F100" s="87">
        <f>IF(TrRoad_act!F22=0,0,F36/TrRoad_act!F22*1000)</f>
        <v>1236.9081611001402</v>
      </c>
      <c r="G100" s="87">
        <f>IF(TrRoad_act!G22=0,0,G36/TrRoad_act!G22*1000)</f>
        <v>1212.4316126451733</v>
      </c>
      <c r="H100" s="87">
        <f>IF(TrRoad_act!H22=0,0,H36/TrRoad_act!H22*1000)</f>
        <v>1189.5175657675286</v>
      </c>
      <c r="I100" s="87">
        <f>IF(TrRoad_act!I22=0,0,I36/TrRoad_act!I22*1000)</f>
        <v>1150.8870763042917</v>
      </c>
      <c r="J100" s="87">
        <f>IF(TrRoad_act!J22=0,0,J36/TrRoad_act!J22*1000)</f>
        <v>1115.3481605891732</v>
      </c>
      <c r="K100" s="87">
        <f>IF(TrRoad_act!K22=0,0,K36/TrRoad_act!K22*1000)</f>
        <v>1113.2844650597453</v>
      </c>
      <c r="L100" s="87">
        <f>IF(TrRoad_act!L22=0,0,L36/TrRoad_act!L22*1000)</f>
        <v>1113.5390145715712</v>
      </c>
      <c r="M100" s="87">
        <f>IF(TrRoad_act!M22=0,0,M36/TrRoad_act!M22*1000)</f>
        <v>1141.9444328346649</v>
      </c>
      <c r="N100" s="87">
        <f>IF(TrRoad_act!N22=0,0,N36/TrRoad_act!N22*1000)</f>
        <v>1133.3452844097271</v>
      </c>
      <c r="O100" s="87">
        <f>IF(TrRoad_act!O22=0,0,O36/TrRoad_act!O22*1000)</f>
        <v>1119.8259278626995</v>
      </c>
      <c r="P100" s="87">
        <f>IF(TrRoad_act!P22=0,0,P36/TrRoad_act!P22*1000)</f>
        <v>1094.5904656958724</v>
      </c>
      <c r="Q100" s="87">
        <f>IF(TrRoad_act!Q22=0,0,Q36/TrRoad_act!Q22*1000)</f>
        <v>1091.2743015639405</v>
      </c>
      <c r="R100" s="87">
        <f>IF(TrRoad_act!R22=0,0,R36/TrRoad_act!R22*1000)</f>
        <v>1084.0490655959638</v>
      </c>
      <c r="S100" s="87">
        <f>IF(TrRoad_act!S22=0,0,S36/TrRoad_act!S22*1000)</f>
        <v>1072.9870325182908</v>
      </c>
      <c r="T100" s="87">
        <f>IF(TrRoad_act!T22=0,0,T36/TrRoad_act!T22*1000)</f>
        <v>1069.2157732825194</v>
      </c>
      <c r="U100" s="87">
        <f>IF(TrRoad_act!U22=0,0,U36/TrRoad_act!U22*1000)</f>
        <v>1048.9988925613188</v>
      </c>
      <c r="V100" s="87">
        <f>IF(TrRoad_act!V22=0,0,V36/TrRoad_act!V22*1000)</f>
        <v>1022.4136965214487</v>
      </c>
      <c r="W100" s="87">
        <f>IF(TrRoad_act!W22=0,0,W36/TrRoad_act!W22*1000)</f>
        <v>1072.7395099024502</v>
      </c>
      <c r="X100" s="87">
        <f>IF(TrRoad_act!X22=0,0,X36/TrRoad_act!X22*1000)</f>
        <v>1051.7242839456017</v>
      </c>
      <c r="Y100" s="87">
        <f>IF(TrRoad_act!Y22=0,0,Y36/TrRoad_act!Y22*1000)</f>
        <v>1008.5347307241927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1676.5698554736962</v>
      </c>
      <c r="C101" s="87">
        <f>IF(TrRoad_act!C23=0,0,C37/TrRoad_act!C23*1000)</f>
        <v>1633.3276970827715</v>
      </c>
      <c r="D101" s="87">
        <f>IF(TrRoad_act!D23=0,0,D37/TrRoad_act!D23*1000)</f>
        <v>1617.6216959169212</v>
      </c>
      <c r="E101" s="87">
        <f>IF(TrRoad_act!E23=0,0,E37/TrRoad_act!E23*1000)</f>
        <v>1599.3450652978743</v>
      </c>
      <c r="F101" s="87">
        <f>IF(TrRoad_act!F23=0,0,F37/TrRoad_act!F23*1000)</f>
        <v>1581.0748142217033</v>
      </c>
      <c r="G101" s="87">
        <f>IF(TrRoad_act!G23=0,0,G37/TrRoad_act!G23*1000)</f>
        <v>1567.4001015190547</v>
      </c>
      <c r="H101" s="87">
        <f>IF(TrRoad_act!H23=0,0,H37/TrRoad_act!H23*1000)</f>
        <v>1555.3395338556675</v>
      </c>
      <c r="I101" s="87">
        <f>IF(TrRoad_act!I23=0,0,I37/TrRoad_act!I23*1000)</f>
        <v>1532.3718252527449</v>
      </c>
      <c r="J101" s="87">
        <f>IF(TrRoad_act!J23=0,0,J37/TrRoad_act!J23*1000)</f>
        <v>1510.219784652352</v>
      </c>
      <c r="K101" s="87">
        <f>IF(TrRoad_act!K23=0,0,K37/TrRoad_act!K23*1000)</f>
        <v>1499.8042299919321</v>
      </c>
      <c r="L101" s="87">
        <f>IF(TrRoad_act!L23=0,0,L37/TrRoad_act!L23*1000)</f>
        <v>1504.4870460488426</v>
      </c>
      <c r="M101" s="87">
        <f>IF(TrRoad_act!M23=0,0,M37/TrRoad_act!M23*1000)</f>
        <v>1518.0073951700704</v>
      </c>
      <c r="N101" s="87">
        <f>IF(TrRoad_act!N23=0,0,N37/TrRoad_act!N23*1000)</f>
        <v>1516.8049065577995</v>
      </c>
      <c r="O101" s="87">
        <f>IF(TrRoad_act!O23=0,0,O37/TrRoad_act!O23*1000)</f>
        <v>1517.1042733952884</v>
      </c>
      <c r="P101" s="87">
        <f>IF(TrRoad_act!P23=0,0,P37/TrRoad_act!P23*1000)</f>
        <v>1507.1791184462897</v>
      </c>
      <c r="Q101" s="87">
        <f>IF(TrRoad_act!Q23=0,0,Q37/TrRoad_act!Q23*1000)</f>
        <v>1513.1052161319765</v>
      </c>
      <c r="R101" s="87">
        <f>IF(TrRoad_act!R23=0,0,R37/TrRoad_act!R23*1000)</f>
        <v>1514.8962709972102</v>
      </c>
      <c r="S101" s="87">
        <f>IF(TrRoad_act!S23=0,0,S37/TrRoad_act!S23*1000)</f>
        <v>1527.8051368888573</v>
      </c>
      <c r="T101" s="87">
        <f>IF(TrRoad_act!T23=0,0,T37/TrRoad_act!T23*1000)</f>
        <v>1524.6934698495545</v>
      </c>
      <c r="U101" s="87">
        <f>IF(TrRoad_act!U23=0,0,U37/TrRoad_act!U23*1000)</f>
        <v>1528.5492299292932</v>
      </c>
      <c r="V101" s="87">
        <f>IF(TrRoad_act!V23=0,0,V37/TrRoad_act!V23*1000)</f>
        <v>1298.1757673769016</v>
      </c>
      <c r="W101" s="87">
        <f>IF(TrRoad_act!W23=0,0,W37/TrRoad_act!W23*1000)</f>
        <v>1340.7609303647853</v>
      </c>
      <c r="X101" s="87">
        <f>IF(TrRoad_act!X23=0,0,X37/TrRoad_act!X23*1000)</f>
        <v>1331.8418724225519</v>
      </c>
      <c r="Y101" s="87">
        <f>IF(TrRoad_act!Y23=0,0,Y37/TrRoad_act!Y23*1000)</f>
        <v>1317.754186000499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1394.5571239692861</v>
      </c>
      <c r="C102" s="87">
        <f>IF(TrRoad_act!C24=0,0,C38/TrRoad_act!C24*1000)</f>
        <v>1402.95829795088</v>
      </c>
      <c r="D102" s="87">
        <f>IF(TrRoad_act!D24=0,0,D38/TrRoad_act!D24*1000)</f>
        <v>1399.813155205157</v>
      </c>
      <c r="E102" s="87">
        <f>IF(TrRoad_act!E24=0,0,E38/TrRoad_act!E24*1000)</f>
        <v>1366.7833605914402</v>
      </c>
      <c r="F102" s="87">
        <f>IF(TrRoad_act!F24=0,0,F38/TrRoad_act!F24*1000)</f>
        <v>1361.0823766988833</v>
      </c>
      <c r="G102" s="87">
        <f>IF(TrRoad_act!G24=0,0,G38/TrRoad_act!G24*1000)</f>
        <v>1357.3322370258302</v>
      </c>
      <c r="H102" s="87">
        <f>IF(TrRoad_act!H24=0,0,H38/TrRoad_act!H24*1000)</f>
        <v>1325.9597462176687</v>
      </c>
      <c r="I102" s="87">
        <f>IF(TrRoad_act!I24=0,0,I38/TrRoad_act!I24*1000)</f>
        <v>1319.3718512953847</v>
      </c>
      <c r="J102" s="87">
        <f>IF(TrRoad_act!J24=0,0,J38/TrRoad_act!J24*1000)</f>
        <v>1298.3105560014492</v>
      </c>
      <c r="K102" s="87">
        <f>IF(TrRoad_act!K24=0,0,K38/TrRoad_act!K24*1000)</f>
        <v>1256.730144524724</v>
      </c>
      <c r="L102" s="87">
        <f>IF(TrRoad_act!L24=0,0,L38/TrRoad_act!L24*1000)</f>
        <v>1210.0299794825942</v>
      </c>
      <c r="M102" s="87">
        <f>IF(TrRoad_act!M24=0,0,M38/TrRoad_act!M24*1000)</f>
        <v>1184.2653299043325</v>
      </c>
      <c r="N102" s="87">
        <f>IF(TrRoad_act!N24=0,0,N38/TrRoad_act!N24*1000)</f>
        <v>1149.5515639973967</v>
      </c>
      <c r="O102" s="87">
        <f>IF(TrRoad_act!O24=0,0,O38/TrRoad_act!O24*1000)</f>
        <v>1109.9525050766931</v>
      </c>
      <c r="P102" s="87">
        <f>IF(TrRoad_act!P24=0,0,P38/TrRoad_act!P24*1000)</f>
        <v>1083.047367019509</v>
      </c>
      <c r="Q102" s="87">
        <f>IF(TrRoad_act!Q24=0,0,Q38/TrRoad_act!Q24*1000)</f>
        <v>1082.2578221794552</v>
      </c>
      <c r="R102" s="87">
        <f>IF(TrRoad_act!R24=0,0,R38/TrRoad_act!R24*1000)</f>
        <v>1108.3137103425752</v>
      </c>
      <c r="S102" s="87">
        <f>IF(TrRoad_act!S24=0,0,S38/TrRoad_act!S24*1000)</f>
        <v>1151.7109672368344</v>
      </c>
      <c r="T102" s="87">
        <f>IF(TrRoad_act!T24=0,0,T38/TrRoad_act!T24*1000)</f>
        <v>1244.5687428824579</v>
      </c>
      <c r="U102" s="87">
        <f>IF(TrRoad_act!U24=0,0,U38/TrRoad_act!U24*1000)</f>
        <v>1274.4643236948771</v>
      </c>
      <c r="V102" s="87">
        <f>IF(TrRoad_act!V24=0,0,V38/TrRoad_act!V24*1000)</f>
        <v>1218.9560792762418</v>
      </c>
      <c r="W102" s="87">
        <f>IF(TrRoad_act!W24=0,0,W38/TrRoad_act!W24*1000)</f>
        <v>1292.2149813980704</v>
      </c>
      <c r="X102" s="87">
        <f>IF(TrRoad_act!X24=0,0,X38/TrRoad_act!X24*1000)</f>
        <v>1283.4688966390954</v>
      </c>
      <c r="Y102" s="87">
        <f>IF(TrRoad_act!Y24=0,0,Y38/TrRoad_act!Y24*1000)</f>
        <v>1266.1734471508707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100.99530861810116</v>
      </c>
      <c r="C104" s="116">
        <f>IF(TrRoad_act!C26=0,0,C40/TrRoad_act!C26*1000)</f>
        <v>98.111677035644846</v>
      </c>
      <c r="D104" s="116">
        <f>IF(TrRoad_act!D26=0,0,D40/TrRoad_act!D26*1000)</f>
        <v>96.012788779493562</v>
      </c>
      <c r="E104" s="116">
        <f>IF(TrRoad_act!E26=0,0,E40/TrRoad_act!E26*1000)</f>
        <v>93.994639655081627</v>
      </c>
      <c r="F104" s="116">
        <f>IF(TrRoad_act!F26=0,0,F40/TrRoad_act!F26*1000)</f>
        <v>92.826704458703816</v>
      </c>
      <c r="G104" s="116">
        <f>IF(TrRoad_act!G26=0,0,G40/TrRoad_act!G26*1000)</f>
        <v>91.789363071042132</v>
      </c>
      <c r="H104" s="116">
        <f>IF(TrRoad_act!H26=0,0,H40/TrRoad_act!H26*1000)</f>
        <v>89.384814124885807</v>
      </c>
      <c r="I104" s="116">
        <f>IF(TrRoad_act!I26=0,0,I40/TrRoad_act!I26*1000)</f>
        <v>86.270558206223825</v>
      </c>
      <c r="J104" s="116">
        <f>IF(TrRoad_act!J26=0,0,J40/TrRoad_act!J26*1000)</f>
        <v>83.833205823969621</v>
      </c>
      <c r="K104" s="116">
        <f>IF(TrRoad_act!K26=0,0,K40/TrRoad_act!K26*1000)</f>
        <v>85.426082703574025</v>
      </c>
      <c r="L104" s="116">
        <f>IF(TrRoad_act!L26=0,0,L40/TrRoad_act!L26*1000)</f>
        <v>84.048682941813439</v>
      </c>
      <c r="M104" s="116">
        <f>IF(TrRoad_act!M26=0,0,M40/TrRoad_act!M26*1000)</f>
        <v>86.130565204201602</v>
      </c>
      <c r="N104" s="116">
        <f>IF(TrRoad_act!N26=0,0,N40/TrRoad_act!N26*1000)</f>
        <v>85.181772296018735</v>
      </c>
      <c r="O104" s="116">
        <f>IF(TrRoad_act!O26=0,0,O40/TrRoad_act!O26*1000)</f>
        <v>84.269889519807336</v>
      </c>
      <c r="P104" s="116">
        <f>IF(TrRoad_act!P26=0,0,P40/TrRoad_act!P26*1000)</f>
        <v>84.009160936318239</v>
      </c>
      <c r="Q104" s="116">
        <f>IF(TrRoad_act!Q26=0,0,Q40/TrRoad_act!Q26*1000)</f>
        <v>84.869304411012251</v>
      </c>
      <c r="R104" s="116">
        <f>IF(TrRoad_act!R26=0,0,R40/TrRoad_act!R26*1000)</f>
        <v>85.282078441919779</v>
      </c>
      <c r="S104" s="116">
        <f>IF(TrRoad_act!S26=0,0,S40/TrRoad_act!S26*1000)</f>
        <v>81.502278587318273</v>
      </c>
      <c r="T104" s="116">
        <f>IF(TrRoad_act!T26=0,0,T40/TrRoad_act!T26*1000)</f>
        <v>78.729750363195848</v>
      </c>
      <c r="U104" s="116">
        <f>IF(TrRoad_act!U26=0,0,U40/TrRoad_act!U26*1000)</f>
        <v>77.43434172598738</v>
      </c>
      <c r="V104" s="116">
        <f>IF(TrRoad_act!V26=0,0,V40/TrRoad_act!V26*1000)</f>
        <v>77.472853247839382</v>
      </c>
      <c r="W104" s="116">
        <f>IF(TrRoad_act!W26=0,0,W40/TrRoad_act!W26*1000)</f>
        <v>78.281080026313077</v>
      </c>
      <c r="X104" s="116">
        <f>IF(TrRoad_act!X26=0,0,X40/TrRoad_act!X26*1000)</f>
        <v>76.588304082228007</v>
      </c>
      <c r="Y104" s="116">
        <f>IF(TrRoad_act!Y26=0,0,Y40/TrRoad_act!Y26*1000)</f>
        <v>73.933249033731755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103.91865022334837</v>
      </c>
      <c r="C105" s="101">
        <f>IF(TrRoad_act!C27=0,0,C41/TrRoad_act!C27*1000)</f>
        <v>101.24388532701089</v>
      </c>
      <c r="D105" s="101">
        <f>IF(TrRoad_act!D27=0,0,D41/TrRoad_act!D27*1000)</f>
        <v>99.504775687592527</v>
      </c>
      <c r="E105" s="101">
        <f>IF(TrRoad_act!E27=0,0,E41/TrRoad_act!E27*1000)</f>
        <v>97.505918768741225</v>
      </c>
      <c r="F105" s="101">
        <f>IF(TrRoad_act!F27=0,0,F41/TrRoad_act!F27*1000)</f>
        <v>96.998517649585139</v>
      </c>
      <c r="G105" s="101">
        <f>IF(TrRoad_act!G27=0,0,G41/TrRoad_act!G27*1000)</f>
        <v>96.411173999894785</v>
      </c>
      <c r="H105" s="101">
        <f>IF(TrRoad_act!H27=0,0,H41/TrRoad_act!H27*1000)</f>
        <v>93.595813741334382</v>
      </c>
      <c r="I105" s="101">
        <f>IF(TrRoad_act!I27=0,0,I41/TrRoad_act!I27*1000)</f>
        <v>90.037054292732734</v>
      </c>
      <c r="J105" s="101">
        <f>IF(TrRoad_act!J27=0,0,J41/TrRoad_act!J27*1000)</f>
        <v>86.260722678543345</v>
      </c>
      <c r="K105" s="101">
        <f>IF(TrRoad_act!K27=0,0,K41/TrRoad_act!K27*1000)</f>
        <v>87.596460593413539</v>
      </c>
      <c r="L105" s="101">
        <f>IF(TrRoad_act!L27=0,0,L41/TrRoad_act!L27*1000)</f>
        <v>87.456659180795143</v>
      </c>
      <c r="M105" s="101">
        <f>IF(TrRoad_act!M27=0,0,M41/TrRoad_act!M27*1000)</f>
        <v>89.318237160628257</v>
      </c>
      <c r="N105" s="101">
        <f>IF(TrRoad_act!N27=0,0,N41/TrRoad_act!N27*1000)</f>
        <v>87.945818572352294</v>
      </c>
      <c r="O105" s="101">
        <f>IF(TrRoad_act!O27=0,0,O41/TrRoad_act!O27*1000)</f>
        <v>87.110865885377549</v>
      </c>
      <c r="P105" s="101">
        <f>IF(TrRoad_act!P27=0,0,P41/TrRoad_act!P27*1000)</f>
        <v>87.362796567675559</v>
      </c>
      <c r="Q105" s="101">
        <f>IF(TrRoad_act!Q27=0,0,Q41/TrRoad_act!Q27*1000)</f>
        <v>88.168181919619059</v>
      </c>
      <c r="R105" s="101">
        <f>IF(TrRoad_act!R27=0,0,R41/TrRoad_act!R27*1000)</f>
        <v>89.048888999029444</v>
      </c>
      <c r="S105" s="101">
        <f>IF(TrRoad_act!S27=0,0,S41/TrRoad_act!S27*1000)</f>
        <v>82.914371909979224</v>
      </c>
      <c r="T105" s="101">
        <f>IF(TrRoad_act!T27=0,0,T41/TrRoad_act!T27*1000)</f>
        <v>78.414793025034214</v>
      </c>
      <c r="U105" s="101">
        <f>IF(TrRoad_act!U27=0,0,U41/TrRoad_act!U27*1000)</f>
        <v>76.733158748811903</v>
      </c>
      <c r="V105" s="101">
        <f>IF(TrRoad_act!V27=0,0,V41/TrRoad_act!V27*1000)</f>
        <v>75.671975441637088</v>
      </c>
      <c r="W105" s="101">
        <f>IF(TrRoad_act!W27=0,0,W41/TrRoad_act!W27*1000)</f>
        <v>76.194705736126679</v>
      </c>
      <c r="X105" s="101">
        <f>IF(TrRoad_act!X27=0,0,X41/TrRoad_act!X27*1000)</f>
        <v>73.843697993921538</v>
      </c>
      <c r="Y105" s="101">
        <f>IF(TrRoad_act!Y27=0,0,Y41/TrRoad_act!Y27*1000)</f>
        <v>71.550729010123604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95.356992729097755</v>
      </c>
      <c r="C106" s="88">
        <f>IF(TrRoad_act!C28=0,0,C42/TrRoad_act!C28*1000)</f>
        <v>92.285065010222013</v>
      </c>
      <c r="D106" s="88">
        <f>IF(TrRoad_act!D28=0,0,D42/TrRoad_act!D28*1000)</f>
        <v>89.835919967723981</v>
      </c>
      <c r="E106" s="88">
        <f>IF(TrRoad_act!E28=0,0,E42/TrRoad_act!E28*1000)</f>
        <v>87.840478592252666</v>
      </c>
      <c r="F106" s="88">
        <f>IF(TrRoad_act!F28=0,0,F42/TrRoad_act!F28*1000)</f>
        <v>86.221660745710423</v>
      </c>
      <c r="G106" s="88">
        <f>IF(TrRoad_act!G28=0,0,G42/TrRoad_act!G28*1000)</f>
        <v>84.796677673406705</v>
      </c>
      <c r="H106" s="88">
        <f>IF(TrRoad_act!H28=0,0,H42/TrRoad_act!H28*1000)</f>
        <v>83.034027978498969</v>
      </c>
      <c r="I106" s="88">
        <f>IF(TrRoad_act!I28=0,0,I42/TrRoad_act!I28*1000)</f>
        <v>80.454302644304107</v>
      </c>
      <c r="J106" s="88">
        <f>IF(TrRoad_act!J28=0,0,J42/TrRoad_act!J28*1000)</f>
        <v>80.139998737269877</v>
      </c>
      <c r="K106" s="88">
        <f>IF(TrRoad_act!K28=0,0,K42/TrRoad_act!K28*1000)</f>
        <v>82.223280593731332</v>
      </c>
      <c r="L106" s="88">
        <f>IF(TrRoad_act!L28=0,0,L42/TrRoad_act!L28*1000)</f>
        <v>78.994617856236204</v>
      </c>
      <c r="M106" s="88">
        <f>IF(TrRoad_act!M28=0,0,M42/TrRoad_act!M28*1000)</f>
        <v>81.029503704996216</v>
      </c>
      <c r="N106" s="88">
        <f>IF(TrRoad_act!N28=0,0,N42/TrRoad_act!N28*1000)</f>
        <v>80.967371742167614</v>
      </c>
      <c r="O106" s="88">
        <f>IF(TrRoad_act!O28=0,0,O42/TrRoad_act!O28*1000)</f>
        <v>80.174826993141551</v>
      </c>
      <c r="P106" s="88">
        <f>IF(TrRoad_act!P28=0,0,P42/TrRoad_act!P28*1000)</f>
        <v>79.34911985696435</v>
      </c>
      <c r="Q106" s="88">
        <f>IF(TrRoad_act!Q28=0,0,Q42/TrRoad_act!Q28*1000)</f>
        <v>80.631172443760889</v>
      </c>
      <c r="R106" s="88">
        <f>IF(TrRoad_act!R28=0,0,R42/TrRoad_act!R28*1000)</f>
        <v>80.532162096214222</v>
      </c>
      <c r="S106" s="88">
        <f>IF(TrRoad_act!S28=0,0,S42/TrRoad_act!S28*1000)</f>
        <v>79.697462399546197</v>
      </c>
      <c r="T106" s="88">
        <f>IF(TrRoad_act!T28=0,0,T42/TrRoad_act!T28*1000)</f>
        <v>79.141808877304527</v>
      </c>
      <c r="U106" s="88">
        <f>IF(TrRoad_act!U28=0,0,U42/TrRoad_act!U28*1000)</f>
        <v>78.332784765789668</v>
      </c>
      <c r="V106" s="88">
        <f>IF(TrRoad_act!V28=0,0,V42/TrRoad_act!V28*1000)</f>
        <v>79.808599486375542</v>
      </c>
      <c r="W106" s="88">
        <f>IF(TrRoad_act!W28=0,0,W42/TrRoad_act!W28*1000)</f>
        <v>80.844507907817331</v>
      </c>
      <c r="X106" s="88">
        <f>IF(TrRoad_act!X28=0,0,X42/TrRoad_act!X28*1000)</f>
        <v>79.961617548417053</v>
      </c>
      <c r="Y106" s="88">
        <f>IF(TrRoad_act!Y28=0,0,Y42/TrRoad_act!Y28*1000)</f>
        <v>76.899529266046301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321.24139440150827</v>
      </c>
      <c r="C110" s="152">
        <f>IF(C19=0,0,1000000*C19/TrRoad_act!C59)</f>
        <v>346.57741737929831</v>
      </c>
      <c r="D110" s="152">
        <f>IF(D19=0,0,1000000*D19/TrRoad_act!D59)</f>
        <v>383.52125140392116</v>
      </c>
      <c r="E110" s="152">
        <f>IF(E19=0,0,1000000*E19/TrRoad_act!E59)</f>
        <v>381.59891964267882</v>
      </c>
      <c r="F110" s="152">
        <f>IF(F19=0,0,1000000*F19/TrRoad_act!F59)</f>
        <v>402.51690151253791</v>
      </c>
      <c r="G110" s="152">
        <f>IF(G19=0,0,1000000*G19/TrRoad_act!G59)</f>
        <v>406.96792595651277</v>
      </c>
      <c r="H110" s="152">
        <f>IF(H19=0,0,1000000*H19/TrRoad_act!H59)</f>
        <v>393.27403959191867</v>
      </c>
      <c r="I110" s="152">
        <f>IF(I19=0,0,1000000*I19/TrRoad_act!I59)</f>
        <v>373.29289897555196</v>
      </c>
      <c r="J110" s="152">
        <f>IF(J19=0,0,1000000*J19/TrRoad_act!J59)</f>
        <v>360.18258669158354</v>
      </c>
      <c r="K110" s="152">
        <f>IF(K19=0,0,1000000*K19/TrRoad_act!K59)</f>
        <v>355.22679581469282</v>
      </c>
      <c r="L110" s="152">
        <f>IF(L19=0,0,1000000*L19/TrRoad_act!L59)</f>
        <v>342.70773120147646</v>
      </c>
      <c r="M110" s="152">
        <f>IF(M19=0,0,1000000*M19/TrRoad_act!M59)</f>
        <v>343.30641160237798</v>
      </c>
      <c r="N110" s="152">
        <f>IF(N19=0,0,1000000*N19/TrRoad_act!N59)</f>
        <v>345.34555600440495</v>
      </c>
      <c r="O110" s="152">
        <f>IF(O19=0,0,1000000*O19/TrRoad_act!O59)</f>
        <v>351.31425901330175</v>
      </c>
      <c r="P110" s="152">
        <f>IF(P19=0,0,1000000*P19/TrRoad_act!P59)</f>
        <v>357.17158795047237</v>
      </c>
      <c r="Q110" s="152">
        <f>IF(Q19=0,0,1000000*Q19/TrRoad_act!Q59)</f>
        <v>358.6539037944143</v>
      </c>
      <c r="R110" s="152">
        <f>IF(R19=0,0,1000000*R19/TrRoad_act!R59)</f>
        <v>329.57235168929014</v>
      </c>
      <c r="S110" s="152">
        <f>IF(S19=0,0,1000000*S19/TrRoad_act!S59)</f>
        <v>315.51292057304761</v>
      </c>
      <c r="T110" s="152">
        <f>IF(T19=0,0,1000000*T19/TrRoad_act!T59)</f>
        <v>311.02753962572143</v>
      </c>
      <c r="U110" s="152">
        <f>IF(U19=0,0,1000000*U19/TrRoad_act!U59)</f>
        <v>315.54436101394759</v>
      </c>
      <c r="V110" s="152">
        <f>IF(V19=0,0,1000000*V19/TrRoad_act!V59)</f>
        <v>267.10905375435806</v>
      </c>
      <c r="W110" s="152">
        <f>IF(W19=0,0,1000000*W19/TrRoad_act!W59)</f>
        <v>306.16738648260252</v>
      </c>
      <c r="X110" s="152">
        <f>IF(X19=0,0,1000000*X19/TrRoad_act!X59)</f>
        <v>316.60438613256849</v>
      </c>
      <c r="Y110" s="152">
        <f>IF(Y19=0,0,1000000*Y19/TrRoad_act!Y59)</f>
        <v>326.22161634512423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2648.5304606424211</v>
      </c>
      <c r="C111" s="116">
        <f>IF(C20=0,0,1000000*C20/TrRoad_act!C60)</f>
        <v>2675.8356790427047</v>
      </c>
      <c r="D111" s="116">
        <f>IF(D20=0,0,1000000*D20/TrRoad_act!D60)</f>
        <v>2641.2378625126298</v>
      </c>
      <c r="E111" s="116">
        <f>IF(E20=0,0,1000000*E20/TrRoad_act!E60)</f>
        <v>2558.0455947326404</v>
      </c>
      <c r="F111" s="116">
        <f>IF(F20=0,0,1000000*F20/TrRoad_act!F60)</f>
        <v>2488.5882732661671</v>
      </c>
      <c r="G111" s="116">
        <f>IF(G20=0,0,1000000*G20/TrRoad_act!G60)</f>
        <v>2424.0492300440242</v>
      </c>
      <c r="H111" s="116">
        <f>IF(H20=0,0,1000000*H20/TrRoad_act!H60)</f>
        <v>2405.2541491672669</v>
      </c>
      <c r="I111" s="116">
        <f>IF(I20=0,0,1000000*I20/TrRoad_act!I60)</f>
        <v>2368.4702915138473</v>
      </c>
      <c r="J111" s="116">
        <f>IF(J20=0,0,1000000*J20/TrRoad_act!J60)</f>
        <v>2207.4056317248633</v>
      </c>
      <c r="K111" s="116">
        <f>IF(K20=0,0,1000000*K20/TrRoad_act!K60)</f>
        <v>2189.4490768555229</v>
      </c>
      <c r="L111" s="116">
        <f>IF(L20=0,0,1000000*L20/TrRoad_act!L60)</f>
        <v>2120.4777457844757</v>
      </c>
      <c r="M111" s="116">
        <f>IF(M20=0,0,1000000*M20/TrRoad_act!M60)</f>
        <v>2144.2051870884934</v>
      </c>
      <c r="N111" s="116">
        <f>IF(N20=0,0,1000000*N20/TrRoad_act!N60)</f>
        <v>2106.306052578117</v>
      </c>
      <c r="O111" s="116">
        <f>IF(O20=0,0,1000000*O20/TrRoad_act!O60)</f>
        <v>2059.5784919318835</v>
      </c>
      <c r="P111" s="116">
        <f>IF(P20=0,0,1000000*P20/TrRoad_act!P60)</f>
        <v>2035.7794521711266</v>
      </c>
      <c r="Q111" s="116">
        <f>IF(Q20=0,0,1000000*Q20/TrRoad_act!Q60)</f>
        <v>2043.3409965118678</v>
      </c>
      <c r="R111" s="116">
        <f>IF(R20=0,0,1000000*R20/TrRoad_act!R60)</f>
        <v>2019.6244802163801</v>
      </c>
      <c r="S111" s="116">
        <f>IF(S20=0,0,1000000*S20/TrRoad_act!S60)</f>
        <v>1980.3540087077124</v>
      </c>
      <c r="T111" s="116">
        <f>IF(T20=0,0,1000000*T20/TrRoad_act!T60)</f>
        <v>1923.9319767405661</v>
      </c>
      <c r="U111" s="116">
        <f>IF(U20=0,0,1000000*U20/TrRoad_act!U60)</f>
        <v>1882.1253391917076</v>
      </c>
      <c r="V111" s="116">
        <f>IF(V20=0,0,1000000*V20/TrRoad_act!V60)</f>
        <v>1539.5640915263962</v>
      </c>
      <c r="W111" s="116">
        <f>IF(W20=0,0,1000000*W20/TrRoad_act!W60)</f>
        <v>1746.2055848266166</v>
      </c>
      <c r="X111" s="116">
        <f>IF(X20=0,0,1000000*X20/TrRoad_act!X60)</f>
        <v>1818.412753801362</v>
      </c>
      <c r="Y111" s="116">
        <f>IF(Y20=0,0,1000000*Y20/TrRoad_act!Y60)</f>
        <v>1753.0373931730414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2053.02588077566</v>
      </c>
      <c r="C112" s="87">
        <f>IF(C21=0,0,1000000*C21/TrRoad_act!C61)</f>
        <v>2056.9219695103261</v>
      </c>
      <c r="D112" s="87">
        <f>IF(D21=0,0,1000000*D21/TrRoad_act!D61)</f>
        <v>2044.356379245085</v>
      </c>
      <c r="E112" s="87">
        <f>IF(E21=0,0,1000000*E21/TrRoad_act!E61)</f>
        <v>1967.5472908228321</v>
      </c>
      <c r="F112" s="87">
        <f>IF(F21=0,0,1000000*F21/TrRoad_act!F61)</f>
        <v>1926.6848491916207</v>
      </c>
      <c r="G112" s="87">
        <f>IF(G21=0,0,1000000*G21/TrRoad_act!G61)</f>
        <v>1864.890011003896</v>
      </c>
      <c r="H112" s="87">
        <f>IF(H21=0,0,1000000*H21/TrRoad_act!H61)</f>
        <v>1793.0624157482187</v>
      </c>
      <c r="I112" s="87">
        <f>IF(I21=0,0,1000000*I21/TrRoad_act!I61)</f>
        <v>1711.7679309300663</v>
      </c>
      <c r="J112" s="87">
        <f>IF(J21=0,0,1000000*J21/TrRoad_act!J61)</f>
        <v>1550.2479184163333</v>
      </c>
      <c r="K112" s="87">
        <f>IF(K21=0,0,1000000*K21/TrRoad_act!K61)</f>
        <v>1522.9001525049978</v>
      </c>
      <c r="L112" s="87">
        <f>IF(L21=0,0,1000000*L21/TrRoad_act!L61)</f>
        <v>1417.4322454769008</v>
      </c>
      <c r="M112" s="87">
        <f>IF(M21=0,0,1000000*M21/TrRoad_act!M61)</f>
        <v>1481.5830008018133</v>
      </c>
      <c r="N112" s="87">
        <f>IF(N21=0,0,1000000*N21/TrRoad_act!N61)</f>
        <v>1390.2800660431433</v>
      </c>
      <c r="O112" s="87">
        <f>IF(O21=0,0,1000000*O21/TrRoad_act!O61)</f>
        <v>1345.314893726875</v>
      </c>
      <c r="P112" s="87">
        <f>IF(P21=0,0,1000000*P21/TrRoad_act!P61)</f>
        <v>1340.5222935119812</v>
      </c>
      <c r="Q112" s="87">
        <f>IF(Q21=0,0,1000000*Q21/TrRoad_act!Q61)</f>
        <v>1345.3902818333449</v>
      </c>
      <c r="R112" s="87">
        <f>IF(R21=0,0,1000000*R21/TrRoad_act!R61)</f>
        <v>1358.5919735049929</v>
      </c>
      <c r="S112" s="87">
        <f>IF(S21=0,0,1000000*S21/TrRoad_act!S61)</f>
        <v>1355.4857086012591</v>
      </c>
      <c r="T112" s="87">
        <f>IF(T21=0,0,1000000*T21/TrRoad_act!T61)</f>
        <v>1347.6159427237171</v>
      </c>
      <c r="U112" s="87">
        <f>IF(U21=0,0,1000000*U21/TrRoad_act!U61)</f>
        <v>1380.2994974283265</v>
      </c>
      <c r="V112" s="87">
        <f>IF(V21=0,0,1000000*V21/TrRoad_act!V61)</f>
        <v>1159.196076670984</v>
      </c>
      <c r="W112" s="87">
        <f>IF(W21=0,0,1000000*W21/TrRoad_act!W61)</f>
        <v>1349.3357178411673</v>
      </c>
      <c r="X112" s="87">
        <f>IF(X21=0,0,1000000*X21/TrRoad_act!X61)</f>
        <v>1434.9396338380416</v>
      </c>
      <c r="Y112" s="87">
        <f>IF(Y21=0,0,1000000*Y21/TrRoad_act!Y61)</f>
        <v>1466.2511439011291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3761.1976973697483</v>
      </c>
      <c r="C113" s="87">
        <f>IF(C22=0,0,1000000*C22/TrRoad_act!C62)</f>
        <v>3717.6722285362021</v>
      </c>
      <c r="D113" s="87">
        <f>IF(D22=0,0,1000000*D22/TrRoad_act!D62)</f>
        <v>3541.9735796001714</v>
      </c>
      <c r="E113" s="87">
        <f>IF(E22=0,0,1000000*E22/TrRoad_act!E62)</f>
        <v>3359.3832275790928</v>
      </c>
      <c r="F113" s="87">
        <f>IF(F22=0,0,1000000*F22/TrRoad_act!F62)</f>
        <v>3179.9851620334994</v>
      </c>
      <c r="G113" s="87">
        <f>IF(G22=0,0,1000000*G22/TrRoad_act!G62)</f>
        <v>3051.2600957083273</v>
      </c>
      <c r="H113" s="87">
        <f>IF(H22=0,0,1000000*H22/TrRoad_act!H62)</f>
        <v>3032.8354733974888</v>
      </c>
      <c r="I113" s="87">
        <f>IF(I22=0,0,1000000*I22/TrRoad_act!I62)</f>
        <v>2985.3949381631787</v>
      </c>
      <c r="J113" s="87">
        <f>IF(J22=0,0,1000000*J22/TrRoad_act!J62)</f>
        <v>2765.1235293561003</v>
      </c>
      <c r="K113" s="87">
        <f>IF(K22=0,0,1000000*K22/TrRoad_act!K62)</f>
        <v>2704.801302664805</v>
      </c>
      <c r="L113" s="87">
        <f>IF(L22=0,0,1000000*L22/TrRoad_act!L62)</f>
        <v>2620.4979077429689</v>
      </c>
      <c r="M113" s="87">
        <f>IF(M22=0,0,1000000*M22/TrRoad_act!M62)</f>
        <v>2563.5226971275551</v>
      </c>
      <c r="N113" s="87">
        <f>IF(N22=0,0,1000000*N22/TrRoad_act!N62)</f>
        <v>2536.0371149565131</v>
      </c>
      <c r="O113" s="87">
        <f>IF(O22=0,0,1000000*O22/TrRoad_act!O62)</f>
        <v>2470.0712385609718</v>
      </c>
      <c r="P113" s="87">
        <f>IF(P22=0,0,1000000*P22/TrRoad_act!P62)</f>
        <v>2428.6606386292174</v>
      </c>
      <c r="Q113" s="87">
        <f>IF(Q22=0,0,1000000*Q22/TrRoad_act!Q62)</f>
        <v>2441.0779026171754</v>
      </c>
      <c r="R113" s="87">
        <f>IF(R22=0,0,1000000*R22/TrRoad_act!R62)</f>
        <v>2406.7811521413118</v>
      </c>
      <c r="S113" s="87">
        <f>IF(S22=0,0,1000000*S22/TrRoad_act!S62)</f>
        <v>2364.4597957524761</v>
      </c>
      <c r="T113" s="87">
        <f>IF(T22=0,0,1000000*T22/TrRoad_act!T62)</f>
        <v>2307.0808475431568</v>
      </c>
      <c r="U113" s="87">
        <f>IF(U22=0,0,1000000*U22/TrRoad_act!U62)</f>
        <v>2247.8904832715302</v>
      </c>
      <c r="V113" s="87">
        <f>IF(V22=0,0,1000000*V22/TrRoad_act!V62)</f>
        <v>1845.665330158723</v>
      </c>
      <c r="W113" s="87">
        <f>IF(W22=0,0,1000000*W22/TrRoad_act!W62)</f>
        <v>2110.9859215778215</v>
      </c>
      <c r="X113" s="87">
        <f>IF(X22=0,0,1000000*X22/TrRoad_act!X62)</f>
        <v>2223.5358753486344</v>
      </c>
      <c r="Y113" s="87">
        <f>IF(Y22=0,0,1000000*Y22/TrRoad_act!Y62)</f>
        <v>2126.6006663165203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1663.6408399408201</v>
      </c>
      <c r="C114" s="87">
        <f>IF(C23=0,0,1000000*C23/TrRoad_act!C63)</f>
        <v>1687.4651207077625</v>
      </c>
      <c r="D114" s="87">
        <f>IF(D23=0,0,1000000*D23/TrRoad_act!D63)</f>
        <v>1625.7586904833795</v>
      </c>
      <c r="E114" s="87">
        <f>IF(E23=0,0,1000000*E23/TrRoad_act!E63)</f>
        <v>1546.1220290922181</v>
      </c>
      <c r="F114" s="87">
        <f>IF(F23=0,0,1000000*F23/TrRoad_act!F63)</f>
        <v>1506.0327444418833</v>
      </c>
      <c r="G114" s="87">
        <f>IF(G23=0,0,1000000*G23/TrRoad_act!G63)</f>
        <v>1516.5109320794104</v>
      </c>
      <c r="H114" s="87">
        <f>IF(H23=0,0,1000000*H23/TrRoad_act!H63)</f>
        <v>1550.1564599463213</v>
      </c>
      <c r="I114" s="87">
        <f>IF(I23=0,0,1000000*I23/TrRoad_act!I63)</f>
        <v>1686.2357242622966</v>
      </c>
      <c r="J114" s="87">
        <f>IF(J23=0,0,1000000*J23/TrRoad_act!J63)</f>
        <v>1384.2524400952389</v>
      </c>
      <c r="K114" s="87">
        <f>IF(K23=0,0,1000000*K23/TrRoad_act!K63)</f>
        <v>1149.8952218992349</v>
      </c>
      <c r="L114" s="87">
        <f>IF(L23=0,0,1000000*L23/TrRoad_act!L63)</f>
        <v>1357.448031642851</v>
      </c>
      <c r="M114" s="87">
        <f>IF(M23=0,0,1000000*M23/TrRoad_act!M63)</f>
        <v>1338.2991625810571</v>
      </c>
      <c r="N114" s="87">
        <f>IF(N23=0,0,1000000*N23/TrRoad_act!N63)</f>
        <v>1297.0872573569147</v>
      </c>
      <c r="O114" s="87">
        <f>IF(O23=0,0,1000000*O23/TrRoad_act!O63)</f>
        <v>1264.1998630412318</v>
      </c>
      <c r="P114" s="87">
        <f>IF(P23=0,0,1000000*P23/TrRoad_act!P63)</f>
        <v>1199.4739799108936</v>
      </c>
      <c r="Q114" s="87">
        <f>IF(Q23=0,0,1000000*Q23/TrRoad_act!Q63)</f>
        <v>1070.278257723925</v>
      </c>
      <c r="R114" s="87">
        <f>IF(R23=0,0,1000000*R23/TrRoad_act!R63)</f>
        <v>983.19981460165548</v>
      </c>
      <c r="S114" s="87">
        <f>IF(S23=0,0,1000000*S23/TrRoad_act!S63)</f>
        <v>868.35089462129656</v>
      </c>
      <c r="T114" s="87">
        <f>IF(T23=0,0,1000000*T23/TrRoad_act!T63)</f>
        <v>783.97134764209227</v>
      </c>
      <c r="U114" s="87">
        <f>IF(U23=0,0,1000000*U23/TrRoad_act!U63)</f>
        <v>729.05248456197342</v>
      </c>
      <c r="V114" s="87">
        <f>IF(V23=0,0,1000000*V23/TrRoad_act!V63)</f>
        <v>487.44209926366983</v>
      </c>
      <c r="W114" s="87">
        <f>IF(W23=0,0,1000000*W23/TrRoad_act!W63)</f>
        <v>666.23572353257407</v>
      </c>
      <c r="X114" s="87">
        <f>IF(X23=0,0,1000000*X23/TrRoad_act!X63)</f>
        <v>1178.7147208560975</v>
      </c>
      <c r="Y114" s="87">
        <f>IF(Y23=0,0,1000000*Y23/TrRoad_act!Y63)</f>
        <v>1256.3323703550477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3404.255735820946</v>
      </c>
      <c r="J115" s="87">
        <f>IF(J24=0,0,1000000*J24/TrRoad_act!J64)</f>
        <v>3074.7448370761954</v>
      </c>
      <c r="K115" s="87">
        <f>IF(K24=0,0,1000000*K24/TrRoad_act!K64)</f>
        <v>2902.0149538393357</v>
      </c>
      <c r="L115" s="87">
        <f>IF(L24=0,0,1000000*L24/TrRoad_act!L64)</f>
        <v>2772.8076708630329</v>
      </c>
      <c r="M115" s="87">
        <f>IF(M24=0,0,1000000*M24/TrRoad_act!M64)</f>
        <v>2621.1500517997465</v>
      </c>
      <c r="N115" s="87">
        <f>IF(N24=0,0,1000000*N24/TrRoad_act!N64)</f>
        <v>2570.6888477618008</v>
      </c>
      <c r="O115" s="87">
        <f>IF(O24=0,0,1000000*O24/TrRoad_act!O64)</f>
        <v>2452.9496318899892</v>
      </c>
      <c r="P115" s="87">
        <f>IF(P24=0,0,1000000*P24/TrRoad_act!P64)</f>
        <v>2402.5297392937618</v>
      </c>
      <c r="Q115" s="87">
        <f>IF(Q24=0,0,1000000*Q24/TrRoad_act!Q64)</f>
        <v>2320.1106892036937</v>
      </c>
      <c r="R115" s="87">
        <f>IF(R24=0,0,1000000*R24/TrRoad_act!R64)</f>
        <v>2118.7485332268134</v>
      </c>
      <c r="S115" s="87">
        <f>IF(S24=0,0,1000000*S24/TrRoad_act!S64)</f>
        <v>2064.5704351787035</v>
      </c>
      <c r="T115" s="87">
        <f>IF(T24=0,0,1000000*T24/TrRoad_act!T64)</f>
        <v>1968.6628711568035</v>
      </c>
      <c r="U115" s="87">
        <f>IF(U24=0,0,1000000*U24/TrRoad_act!U64)</f>
        <v>1946.0507700438591</v>
      </c>
      <c r="V115" s="87">
        <f>IF(V24=0,0,1000000*V24/TrRoad_act!V64)</f>
        <v>1569.7655903800912</v>
      </c>
      <c r="W115" s="87">
        <f>IF(W24=0,0,1000000*W24/TrRoad_act!W64)</f>
        <v>1793.9948433722884</v>
      </c>
      <c r="X115" s="87">
        <f>IF(X24=0,0,1000000*X24/TrRoad_act!X64)</f>
        <v>1905.4526512322573</v>
      </c>
      <c r="Y115" s="87">
        <f>IF(Y24=0,0,1000000*Y24/TrRoad_act!Y64)</f>
        <v>1725.3737483820769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430.81284745830243</v>
      </c>
      <c r="O116" s="87">
        <f>IF(O25=0,0,1000000*O25/TrRoad_act!O65)</f>
        <v>445.37762386813245</v>
      </c>
      <c r="P116" s="87">
        <f>IF(P25=0,0,1000000*P25/TrRoad_act!P65)</f>
        <v>430.43383566621702</v>
      </c>
      <c r="Q116" s="87">
        <f>IF(Q25=0,0,1000000*Q25/TrRoad_act!Q65)</f>
        <v>457.25370472475993</v>
      </c>
      <c r="R116" s="87">
        <f>IF(R25=0,0,1000000*R25/TrRoad_act!R65)</f>
        <v>491.69205630202191</v>
      </c>
      <c r="S116" s="87">
        <f>IF(S25=0,0,1000000*S25/TrRoad_act!S65)</f>
        <v>518.88374077525361</v>
      </c>
      <c r="T116" s="87">
        <f>IF(T25=0,0,1000000*T25/TrRoad_act!T65)</f>
        <v>542.36472974582989</v>
      </c>
      <c r="U116" s="87">
        <f>IF(U25=0,0,1000000*U25/TrRoad_act!U65)</f>
        <v>549.37928946846307</v>
      </c>
      <c r="V116" s="87">
        <f>IF(V25=0,0,1000000*V25/TrRoad_act!V65)</f>
        <v>390.33032988020625</v>
      </c>
      <c r="W116" s="87">
        <f>IF(W25=0,0,1000000*W25/TrRoad_act!W65)</f>
        <v>395.13222820907544</v>
      </c>
      <c r="X116" s="87">
        <f>IF(X25=0,0,1000000*X25/TrRoad_act!X65)</f>
        <v>407.17099082034468</v>
      </c>
      <c r="Y116" s="87">
        <f>IF(Y25=0,0,1000000*Y25/TrRoad_act!Y65)</f>
        <v>390.40756963060392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60481.214230271347</v>
      </c>
      <c r="C118" s="116">
        <f>IF(C27=0,0,1000000*C27/TrRoad_act!C67)</f>
        <v>58306.570605812696</v>
      </c>
      <c r="D118" s="116">
        <f>IF(D27=0,0,1000000*D27/TrRoad_act!D67)</f>
        <v>59007.100726029246</v>
      </c>
      <c r="E118" s="116">
        <f>IF(E27=0,0,1000000*E27/TrRoad_act!E67)</f>
        <v>58431.27169197375</v>
      </c>
      <c r="F118" s="116">
        <f>IF(F27=0,0,1000000*F27/TrRoad_act!F67)</f>
        <v>58230.849436020355</v>
      </c>
      <c r="G118" s="116">
        <f>IF(G27=0,0,1000000*G27/TrRoad_act!G67)</f>
        <v>56890.626759602375</v>
      </c>
      <c r="H118" s="116">
        <f>IF(H27=0,0,1000000*H27/TrRoad_act!H67)</f>
        <v>57792.438645286573</v>
      </c>
      <c r="I118" s="116">
        <f>IF(I27=0,0,1000000*I27/TrRoad_act!I67)</f>
        <v>56729.435281000944</v>
      </c>
      <c r="J118" s="116">
        <f>IF(J27=0,0,1000000*J27/TrRoad_act!J67)</f>
        <v>56210.43027684468</v>
      </c>
      <c r="K118" s="116">
        <f>IF(K27=0,0,1000000*K27/TrRoad_act!K67)</f>
        <v>55060.821922077463</v>
      </c>
      <c r="L118" s="116">
        <f>IF(L27=0,0,1000000*L27/TrRoad_act!L67)</f>
        <v>54011.769989706379</v>
      </c>
      <c r="M118" s="116">
        <f>IF(M27=0,0,1000000*M27/TrRoad_act!M67)</f>
        <v>52593.682217446352</v>
      </c>
      <c r="N118" s="116">
        <f>IF(N27=0,0,1000000*N27/TrRoad_act!N67)</f>
        <v>51141.894338319609</v>
      </c>
      <c r="O118" s="116">
        <f>IF(O27=0,0,1000000*O27/TrRoad_act!O67)</f>
        <v>49312.013890790207</v>
      </c>
      <c r="P118" s="116">
        <f>IF(P27=0,0,1000000*P27/TrRoad_act!P67)</f>
        <v>49059.331120756367</v>
      </c>
      <c r="Q118" s="116">
        <f>IF(Q27=0,0,1000000*Q27/TrRoad_act!Q67)</f>
        <v>49921.813646071678</v>
      </c>
      <c r="R118" s="116">
        <f>IF(R27=0,0,1000000*R27/TrRoad_act!R67)</f>
        <v>50436.264036510227</v>
      </c>
      <c r="S118" s="116">
        <f>IF(S27=0,0,1000000*S27/TrRoad_act!S67)</f>
        <v>48244.547804946007</v>
      </c>
      <c r="T118" s="116">
        <f>IF(T27=0,0,1000000*T27/TrRoad_act!T67)</f>
        <v>47665.575280283047</v>
      </c>
      <c r="U118" s="116">
        <f>IF(U27=0,0,1000000*U27/TrRoad_act!U67)</f>
        <v>46363.804022647484</v>
      </c>
      <c r="V118" s="116">
        <f>IF(V27=0,0,1000000*V27/TrRoad_act!V67)</f>
        <v>33703.466199156523</v>
      </c>
      <c r="W118" s="116">
        <f>IF(W27=0,0,1000000*W27/TrRoad_act!W67)</f>
        <v>38017.452981882459</v>
      </c>
      <c r="X118" s="116">
        <f>IF(X27=0,0,1000000*X27/TrRoad_act!X67)</f>
        <v>39482.920677747599</v>
      </c>
      <c r="Y118" s="116">
        <f>IF(Y27=0,0,1000000*Y27/TrRoad_act!Y67)</f>
        <v>38361.515299771316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6477.927970656383</v>
      </c>
      <c r="C119" s="101">
        <f>IF(C28=0,0,1000000*C28/TrRoad_act!C68)</f>
        <v>6409.4130169015225</v>
      </c>
      <c r="D119" s="101">
        <f>IF(D28=0,0,1000000*D28/TrRoad_act!D68)</f>
        <v>6602.7685288036482</v>
      </c>
      <c r="E119" s="101">
        <f>IF(E28=0,0,1000000*E28/TrRoad_act!E68)</f>
        <v>6642.5715216334584</v>
      </c>
      <c r="F119" s="101">
        <f>IF(F28=0,0,1000000*F28/TrRoad_act!F68)</f>
        <v>6723.8599485069972</v>
      </c>
      <c r="G119" s="101">
        <f>IF(G28=0,0,1000000*G28/TrRoad_act!G68)</f>
        <v>6669.7698429687825</v>
      </c>
      <c r="H119" s="101">
        <f>IF(H28=0,0,1000000*H28/TrRoad_act!H68)</f>
        <v>6855.9675960777813</v>
      </c>
      <c r="I119" s="101">
        <f>IF(I28=0,0,1000000*I28/TrRoad_act!I68)</f>
        <v>6845.299638046582</v>
      </c>
      <c r="J119" s="101">
        <f>IF(J28=0,0,1000000*J28/TrRoad_act!J68)</f>
        <v>6900.4941318005167</v>
      </c>
      <c r="K119" s="101">
        <f>IF(K28=0,0,1000000*K28/TrRoad_act!K68)</f>
        <v>6921.3199840826464</v>
      </c>
      <c r="L119" s="101">
        <f>IF(L28=0,0,1000000*L28/TrRoad_act!L68)</f>
        <v>6817.2783730027586</v>
      </c>
      <c r="M119" s="101">
        <f>IF(M28=0,0,1000000*M28/TrRoad_act!M68)</f>
        <v>6762.0175514257799</v>
      </c>
      <c r="N119" s="101">
        <f>IF(N28=0,0,1000000*N28/TrRoad_act!N68)</f>
        <v>6647.7940025447988</v>
      </c>
      <c r="O119" s="101">
        <f>IF(O28=0,0,1000000*O28/TrRoad_act!O68)</f>
        <v>6552.1762364467058</v>
      </c>
      <c r="P119" s="101">
        <f>IF(P28=0,0,1000000*P28/TrRoad_act!P68)</f>
        <v>6590.3011227812731</v>
      </c>
      <c r="Q119" s="101">
        <f>IF(Q28=0,0,1000000*Q28/TrRoad_act!Q68)</f>
        <v>6736.0343377372346</v>
      </c>
      <c r="R119" s="101">
        <f>IF(R28=0,0,1000000*R28/TrRoad_act!R68)</f>
        <v>6667.3124264149674</v>
      </c>
      <c r="S119" s="101">
        <f>IF(S28=0,0,1000000*S28/TrRoad_act!S68)</f>
        <v>6459.4822806661332</v>
      </c>
      <c r="T119" s="101">
        <f>IF(T28=0,0,1000000*T28/TrRoad_act!T68)</f>
        <v>6443.0000785285119</v>
      </c>
      <c r="U119" s="101">
        <f>IF(U28=0,0,1000000*U28/TrRoad_act!U68)</f>
        <v>6005.8583043942608</v>
      </c>
      <c r="V119" s="101">
        <f>IF(V28=0,0,1000000*V28/TrRoad_act!V68)</f>
        <v>4294.1077879778559</v>
      </c>
      <c r="W119" s="101">
        <f>IF(W28=0,0,1000000*W28/TrRoad_act!W68)</f>
        <v>4424.4579262258494</v>
      </c>
      <c r="X119" s="101">
        <f>IF(X28=0,0,1000000*X28/TrRoad_act!X68)</f>
        <v>4612.1478921675453</v>
      </c>
      <c r="Y119" s="101">
        <f>IF(Y28=0,0,1000000*Y28/TrRoad_act!Y68)</f>
        <v>4538.9766364031402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61462.083853963319</v>
      </c>
      <c r="C120" s="101">
        <f>IF(C29=0,0,1000000*C29/TrRoad_act!C69)</f>
        <v>59322.298059505927</v>
      </c>
      <c r="D120" s="101">
        <f>IF(D29=0,0,1000000*D29/TrRoad_act!D69)</f>
        <v>60018.450331556822</v>
      </c>
      <c r="E120" s="101">
        <f>IF(E29=0,0,1000000*E29/TrRoad_act!E69)</f>
        <v>59425.600702015829</v>
      </c>
      <c r="F120" s="101">
        <f>IF(F29=0,0,1000000*F29/TrRoad_act!F69)</f>
        <v>59220.317473548886</v>
      </c>
      <c r="G120" s="101">
        <f>IF(G29=0,0,1000000*G29/TrRoad_act!G69)</f>
        <v>57800.497652019119</v>
      </c>
      <c r="H120" s="101">
        <f>IF(H29=0,0,1000000*H29/TrRoad_act!H69)</f>
        <v>58615.009841017883</v>
      </c>
      <c r="I120" s="101">
        <f>IF(I29=0,0,1000000*I29/TrRoad_act!I69)</f>
        <v>57511.506539189206</v>
      </c>
      <c r="J120" s="101">
        <f>IF(J29=0,0,1000000*J29/TrRoad_act!J69)</f>
        <v>56943.800395079626</v>
      </c>
      <c r="K120" s="101">
        <f>IF(K29=0,0,1000000*K29/TrRoad_act!K69)</f>
        <v>55729.891806622771</v>
      </c>
      <c r="L120" s="101">
        <f>IF(L29=0,0,1000000*L29/TrRoad_act!L69)</f>
        <v>54555.207635231622</v>
      </c>
      <c r="M120" s="101">
        <f>IF(M29=0,0,1000000*M29/TrRoad_act!M69)</f>
        <v>53287.85986923609</v>
      </c>
      <c r="N120" s="101">
        <f>IF(N29=0,0,1000000*N29/TrRoad_act!N69)</f>
        <v>51843.235955175696</v>
      </c>
      <c r="O120" s="101">
        <f>IF(O29=0,0,1000000*O29/TrRoad_act!O69)</f>
        <v>50466.869665842198</v>
      </c>
      <c r="P120" s="101">
        <f>IF(P29=0,0,1000000*P29/TrRoad_act!P69)</f>
        <v>50166.547353222784</v>
      </c>
      <c r="Q120" s="101">
        <f>IF(Q29=0,0,1000000*Q29/TrRoad_act!Q69)</f>
        <v>51088.030804946407</v>
      </c>
      <c r="R120" s="101">
        <f>IF(R29=0,0,1000000*R29/TrRoad_act!R69)</f>
        <v>51499.536360625469</v>
      </c>
      <c r="S120" s="101">
        <f>IF(S29=0,0,1000000*S29/TrRoad_act!S69)</f>
        <v>49164.055155821618</v>
      </c>
      <c r="T120" s="101">
        <f>IF(T29=0,0,1000000*T29/TrRoad_act!T69)</f>
        <v>48767.583352920825</v>
      </c>
      <c r="U120" s="101">
        <f>IF(U29=0,0,1000000*U29/TrRoad_act!U69)</f>
        <v>47818.257164104165</v>
      </c>
      <c r="V120" s="101">
        <f>IF(V29=0,0,1000000*V29/TrRoad_act!V69)</f>
        <v>34176.526006179447</v>
      </c>
      <c r="W120" s="101">
        <f>IF(W29=0,0,1000000*W29/TrRoad_act!W69)</f>
        <v>39103.493792282614</v>
      </c>
      <c r="X120" s="101">
        <f>IF(X29=0,0,1000000*X29/TrRoad_act!X69)</f>
        <v>41119.014717796337</v>
      </c>
      <c r="Y120" s="101">
        <f>IF(Y29=0,0,1000000*Y29/TrRoad_act!Y69)</f>
        <v>39926.287202076826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28921.805954548487</v>
      </c>
      <c r="C121" s="101">
        <f>IF(C30=0,0,1000000*C30/TrRoad_act!C70)</f>
        <v>27283.915043226134</v>
      </c>
      <c r="D121" s="101">
        <f>IF(D30=0,0,1000000*D30/TrRoad_act!D70)</f>
        <v>27829.413262671238</v>
      </c>
      <c r="E121" s="101">
        <f>IF(E30=0,0,1000000*E30/TrRoad_act!E70)</f>
        <v>27632.059695413605</v>
      </c>
      <c r="F121" s="101">
        <f>IF(F30=0,0,1000000*F30/TrRoad_act!F70)</f>
        <v>27669.085909644364</v>
      </c>
      <c r="G121" s="101">
        <f>IF(G30=0,0,1000000*G30/TrRoad_act!G70)</f>
        <v>27371.596704229974</v>
      </c>
      <c r="H121" s="101">
        <f>IF(H30=0,0,1000000*H30/TrRoad_act!H70)</f>
        <v>28042.704262834352</v>
      </c>
      <c r="I121" s="101">
        <f>IF(I30=0,0,1000000*I30/TrRoad_act!I70)</f>
        <v>28299.606134551992</v>
      </c>
      <c r="J121" s="101">
        <f>IF(J30=0,0,1000000*J30/TrRoad_act!J70)</f>
        <v>29118.920185449293</v>
      </c>
      <c r="K121" s="101">
        <f>IF(K30=0,0,1000000*K30/TrRoad_act!K70)</f>
        <v>29091.254582381105</v>
      </c>
      <c r="L121" s="101">
        <f>IF(L30=0,0,1000000*L30/TrRoad_act!L70)</f>
        <v>28761.074125592197</v>
      </c>
      <c r="M121" s="101">
        <f>IF(M30=0,0,1000000*M30/TrRoad_act!M70)</f>
        <v>28405.829372747339</v>
      </c>
      <c r="N121" s="101">
        <f>IF(N30=0,0,1000000*N30/TrRoad_act!N70)</f>
        <v>28045.350685231322</v>
      </c>
      <c r="O121" s="101">
        <f>IF(O30=0,0,1000000*O30/TrRoad_act!O70)</f>
        <v>27654.296582512234</v>
      </c>
      <c r="P121" s="101">
        <f>IF(P30=0,0,1000000*P30/TrRoad_act!P70)</f>
        <v>27867.213384407118</v>
      </c>
      <c r="Q121" s="101">
        <f>IF(Q30=0,0,1000000*Q30/TrRoad_act!Q70)</f>
        <v>28488.427759410228</v>
      </c>
      <c r="R121" s="101">
        <f>IF(R30=0,0,1000000*R30/TrRoad_act!R70)</f>
        <v>28302.072409376247</v>
      </c>
      <c r="S121" s="101">
        <f>IF(S30=0,0,1000000*S30/TrRoad_act!S70)</f>
        <v>27209.763547794784</v>
      </c>
      <c r="T121" s="101">
        <f>IF(T30=0,0,1000000*T30/TrRoad_act!T70)</f>
        <v>26666.184301821995</v>
      </c>
      <c r="U121" s="101">
        <f>IF(U30=0,0,1000000*U30/TrRoad_act!U70)</f>
        <v>25652.451049411993</v>
      </c>
      <c r="V121" s="101">
        <f>IF(V30=0,0,1000000*V30/TrRoad_act!V70)</f>
        <v>19058.488838122223</v>
      </c>
      <c r="W121" s="101">
        <f>IF(W30=0,0,1000000*W30/TrRoad_act!W70)</f>
        <v>20088.986463719884</v>
      </c>
      <c r="X121" s="101">
        <f>IF(X30=0,0,1000000*X30/TrRoad_act!X70)</f>
        <v>21760.860145031023</v>
      </c>
      <c r="Y121" s="101">
        <f>IF(Y30=0,0,1000000*Y30/TrRoad_act!Y70)</f>
        <v>21955.076794959466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44084.922397099595</v>
      </c>
      <c r="C122" s="101">
        <f>IF(C31=0,0,1000000*C31/TrRoad_act!C71)</f>
        <v>39567.993119707666</v>
      </c>
      <c r="D122" s="101">
        <f>IF(D31=0,0,1000000*D31/TrRoad_act!D71)</f>
        <v>41477.450313696259</v>
      </c>
      <c r="E122" s="101">
        <f>IF(E31=0,0,1000000*E31/TrRoad_act!E71)</f>
        <v>41365.729990451306</v>
      </c>
      <c r="F122" s="101">
        <f>IF(F31=0,0,1000000*F31/TrRoad_act!F71)</f>
        <v>39089.429629820828</v>
      </c>
      <c r="G122" s="101">
        <f>IF(G31=0,0,1000000*G31/TrRoad_act!G71)</f>
        <v>39066.794150529167</v>
      </c>
      <c r="H122" s="101">
        <f>IF(H31=0,0,1000000*H31/TrRoad_act!H71)</f>
        <v>43646.517648229077</v>
      </c>
      <c r="I122" s="101">
        <f>IF(I31=0,0,1000000*I31/TrRoad_act!I71)</f>
        <v>42018.368205547777</v>
      </c>
      <c r="J122" s="101">
        <f>IF(J31=0,0,1000000*J31/TrRoad_act!J71)</f>
        <v>43872.937629320171</v>
      </c>
      <c r="K122" s="101">
        <f>IF(K31=0,0,1000000*K31/TrRoad_act!K71)</f>
        <v>43700.813565905264</v>
      </c>
      <c r="L122" s="101">
        <f>IF(L31=0,0,1000000*L31/TrRoad_act!L71)</f>
        <v>46833.614482299417</v>
      </c>
      <c r="M122" s="101">
        <f>IF(M31=0,0,1000000*M31/TrRoad_act!M71)</f>
        <v>44701.737782402997</v>
      </c>
      <c r="N122" s="101">
        <f>IF(N31=0,0,1000000*N31/TrRoad_act!N71)</f>
        <v>43245.145920311908</v>
      </c>
      <c r="O122" s="101">
        <f>IF(O31=0,0,1000000*O31/TrRoad_act!O71)</f>
        <v>37125.088133699472</v>
      </c>
      <c r="P122" s="101">
        <f>IF(P31=0,0,1000000*P31/TrRoad_act!P71)</f>
        <v>37916.822657068733</v>
      </c>
      <c r="Q122" s="101">
        <f>IF(Q31=0,0,1000000*Q31/TrRoad_act!Q71)</f>
        <v>38129.39011139339</v>
      </c>
      <c r="R122" s="101">
        <f>IF(R31=0,0,1000000*R31/TrRoad_act!R71)</f>
        <v>40153.053037129939</v>
      </c>
      <c r="S122" s="101">
        <f>IF(S31=0,0,1000000*S31/TrRoad_act!S71)</f>
        <v>40605.033932084858</v>
      </c>
      <c r="T122" s="101">
        <f>IF(T31=0,0,1000000*T31/TrRoad_act!T71)</f>
        <v>38807.774919662006</v>
      </c>
      <c r="U122" s="101">
        <f>IF(U31=0,0,1000000*U31/TrRoad_act!U71)</f>
        <v>37431.770484926499</v>
      </c>
      <c r="V122" s="101">
        <f>IF(V31=0,0,1000000*V31/TrRoad_act!V71)</f>
        <v>33344.521229214311</v>
      </c>
      <c r="W122" s="101">
        <f>IF(W31=0,0,1000000*W31/TrRoad_act!W71)</f>
        <v>36388.725252197968</v>
      </c>
      <c r="X122" s="101">
        <f>IF(X31=0,0,1000000*X31/TrRoad_act!X71)</f>
        <v>36873.088271188892</v>
      </c>
      <c r="Y122" s="101">
        <f>IF(Y31=0,0,1000000*Y31/TrRoad_act!Y71)</f>
        <v>37019.058148841759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3629.6241894278046</v>
      </c>
      <c r="C125" s="152">
        <f>IF(C34=0,0,1000000*C34/TrRoad_act!C74)</f>
        <v>3589.1778081407383</v>
      </c>
      <c r="D125" s="152">
        <f>IF(D34=0,0,1000000*D34/TrRoad_act!D74)</f>
        <v>3516.7683195165328</v>
      </c>
      <c r="E125" s="152">
        <f>IF(E34=0,0,1000000*E34/TrRoad_act!E74)</f>
        <v>3388.576140643047</v>
      </c>
      <c r="F125" s="152">
        <f>IF(F34=0,0,1000000*F34/TrRoad_act!F74)</f>
        <v>3261.5110575486297</v>
      </c>
      <c r="G125" s="152">
        <f>IF(G34=0,0,1000000*G34/TrRoad_act!G74)</f>
        <v>3175.2257256725647</v>
      </c>
      <c r="H125" s="152">
        <f>IF(H34=0,0,1000000*H34/TrRoad_act!H74)</f>
        <v>3132.6667879247448</v>
      </c>
      <c r="I125" s="152">
        <f>IF(I34=0,0,1000000*I34/TrRoad_act!I74)</f>
        <v>3032.6002637471802</v>
      </c>
      <c r="J125" s="152">
        <f>IF(J34=0,0,1000000*J34/TrRoad_act!J74)</f>
        <v>2850.5221273678085</v>
      </c>
      <c r="K125" s="152">
        <f>IF(K34=0,0,1000000*K34/TrRoad_act!K74)</f>
        <v>2890.3590716289577</v>
      </c>
      <c r="L125" s="152">
        <f>IF(L34=0,0,1000000*L34/TrRoad_act!L74)</f>
        <v>2960.9292555815014</v>
      </c>
      <c r="M125" s="152">
        <f>IF(M34=0,0,1000000*M34/TrRoad_act!M74)</f>
        <v>3178.2461786746435</v>
      </c>
      <c r="N125" s="152">
        <f>IF(N34=0,0,1000000*N34/TrRoad_act!N74)</f>
        <v>3190.5250051555445</v>
      </c>
      <c r="O125" s="152">
        <f>IF(O34=0,0,1000000*O34/TrRoad_act!O74)</f>
        <v>3198.571406275732</v>
      </c>
      <c r="P125" s="152">
        <f>IF(P34=0,0,1000000*P34/TrRoad_act!P74)</f>
        <v>3097.8174899880369</v>
      </c>
      <c r="Q125" s="152">
        <f>IF(Q34=0,0,1000000*Q34/TrRoad_act!Q74)</f>
        <v>3182.4955014222287</v>
      </c>
      <c r="R125" s="152">
        <f>IF(R34=0,0,1000000*R34/TrRoad_act!R74)</f>
        <v>3162.0278529618349</v>
      </c>
      <c r="S125" s="152">
        <f>IF(S34=0,0,1000000*S34/TrRoad_act!S74)</f>
        <v>3239.008882343549</v>
      </c>
      <c r="T125" s="152">
        <f>IF(T34=0,0,1000000*T34/TrRoad_act!T74)</f>
        <v>3230.5052344284136</v>
      </c>
      <c r="U125" s="152">
        <f>IF(U34=0,0,1000000*U34/TrRoad_act!U74)</f>
        <v>3210.8965312680552</v>
      </c>
      <c r="V125" s="152">
        <f>IF(V34=0,0,1000000*V34/TrRoad_act!V74)</f>
        <v>2762.456543665287</v>
      </c>
      <c r="W125" s="152">
        <f>IF(W34=0,0,1000000*W34/TrRoad_act!W74)</f>
        <v>3273.3231950249992</v>
      </c>
      <c r="X125" s="152">
        <f>IF(X34=0,0,1000000*X34/TrRoad_act!X74)</f>
        <v>3229.3627694232464</v>
      </c>
      <c r="Y125" s="152">
        <f>IF(Y34=0,0,1000000*Y34/TrRoad_act!Y74)</f>
        <v>3132.7300843131247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3931.3456259420068</v>
      </c>
      <c r="C126" s="87">
        <f>IF(C35=0,0,1000000*C35/TrRoad_act!C75)</f>
        <v>3990.6434989885634</v>
      </c>
      <c r="D126" s="87">
        <f>IF(D35=0,0,1000000*D35/TrRoad_act!D75)</f>
        <v>3955.1603071971931</v>
      </c>
      <c r="E126" s="87">
        <f>IF(E35=0,0,1000000*E35/TrRoad_act!E75)</f>
        <v>3874.2999086805717</v>
      </c>
      <c r="F126" s="87">
        <f>IF(F35=0,0,1000000*F35/TrRoad_act!F75)</f>
        <v>3790.9254287207968</v>
      </c>
      <c r="G126" s="87">
        <f>IF(G35=0,0,1000000*G35/TrRoad_act!G75)</f>
        <v>3711.4963068088987</v>
      </c>
      <c r="H126" s="87">
        <f>IF(H35=0,0,1000000*H35/TrRoad_act!H75)</f>
        <v>3684.8580120437268</v>
      </c>
      <c r="I126" s="87">
        <f>IF(I35=0,0,1000000*I35/TrRoad_act!I75)</f>
        <v>3548.191675336634</v>
      </c>
      <c r="J126" s="87">
        <f>IF(J35=0,0,1000000*J35/TrRoad_act!J75)</f>
        <v>3163.3696008587135</v>
      </c>
      <c r="K126" s="87">
        <f>IF(K35=0,0,1000000*K35/TrRoad_act!K75)</f>
        <v>3056.0507781238703</v>
      </c>
      <c r="L126" s="87">
        <f>IF(L35=0,0,1000000*L35/TrRoad_act!L75)</f>
        <v>2961.8945643268971</v>
      </c>
      <c r="M126" s="87">
        <f>IF(M35=0,0,1000000*M35/TrRoad_act!M75)</f>
        <v>2970.9547861635501</v>
      </c>
      <c r="N126" s="87">
        <f>IF(N35=0,0,1000000*N35/TrRoad_act!N75)</f>
        <v>2818.9648925532351</v>
      </c>
      <c r="O126" s="87">
        <f>IF(O35=0,0,1000000*O35/TrRoad_act!O75)</f>
        <v>2683.6910113177578</v>
      </c>
      <c r="P126" s="87">
        <f>IF(P35=0,0,1000000*P35/TrRoad_act!P75)</f>
        <v>2495.0718904233186</v>
      </c>
      <c r="Q126" s="87">
        <f>IF(Q35=0,0,1000000*Q35/TrRoad_act!Q75)</f>
        <v>2440.4717836720201</v>
      </c>
      <c r="R126" s="87">
        <f>IF(R35=0,0,1000000*R35/TrRoad_act!R75)</f>
        <v>2536.2993544450142</v>
      </c>
      <c r="S126" s="87">
        <f>IF(S35=0,0,1000000*S35/TrRoad_act!S75)</f>
        <v>2727.2128856476347</v>
      </c>
      <c r="T126" s="87">
        <f>IF(T35=0,0,1000000*T35/TrRoad_act!T75)</f>
        <v>2822.4747080652992</v>
      </c>
      <c r="U126" s="87">
        <f>IF(U35=0,0,1000000*U35/TrRoad_act!U75)</f>
        <v>2952.8616641590893</v>
      </c>
      <c r="V126" s="87">
        <f>IF(V35=0,0,1000000*V35/TrRoad_act!V75)</f>
        <v>2605.0901638531873</v>
      </c>
      <c r="W126" s="87">
        <f>IF(W35=0,0,1000000*W35/TrRoad_act!W75)</f>
        <v>3187.4670022838186</v>
      </c>
      <c r="X126" s="87">
        <f>IF(X35=0,0,1000000*X35/TrRoad_act!X75)</f>
        <v>3307.0055827272668</v>
      </c>
      <c r="Y126" s="87">
        <f>IF(Y35=0,0,1000000*Y35/TrRoad_act!Y75)</f>
        <v>3476.7185659293059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3587.8548979919556</v>
      </c>
      <c r="C127" s="87">
        <f>IF(C36=0,0,1000000*C36/TrRoad_act!C76)</f>
        <v>3544.3428180276906</v>
      </c>
      <c r="D127" s="87">
        <f>IF(D36=0,0,1000000*D36/TrRoad_act!D76)</f>
        <v>3477.3372544976419</v>
      </c>
      <c r="E127" s="87">
        <f>IF(E36=0,0,1000000*E36/TrRoad_act!E76)</f>
        <v>3354.5794956091618</v>
      </c>
      <c r="F127" s="87">
        <f>IF(F36=0,0,1000000*F36/TrRoad_act!F76)</f>
        <v>3232.6859392373631</v>
      </c>
      <c r="G127" s="87">
        <f>IF(G36=0,0,1000000*G36/TrRoad_act!G76)</f>
        <v>3151.1721963069062</v>
      </c>
      <c r="H127" s="87">
        <f>IF(H36=0,0,1000000*H36/TrRoad_act!H76)</f>
        <v>3112.0375019688067</v>
      </c>
      <c r="I127" s="87">
        <f>IF(I36=0,0,1000000*I36/TrRoad_act!I76)</f>
        <v>3016.1243803479065</v>
      </c>
      <c r="J127" s="87">
        <f>IF(J36=0,0,1000000*J36/TrRoad_act!J76)</f>
        <v>2841.8183049853687</v>
      </c>
      <c r="K127" s="87">
        <f>IF(K36=0,0,1000000*K36/TrRoad_act!K76)</f>
        <v>2887.6683894072848</v>
      </c>
      <c r="L127" s="87">
        <f>IF(L36=0,0,1000000*L36/TrRoad_act!L76)</f>
        <v>2963.5621323719347</v>
      </c>
      <c r="M127" s="87">
        <f>IF(M36=0,0,1000000*M36/TrRoad_act!M76)</f>
        <v>3191.3062934602331</v>
      </c>
      <c r="N127" s="87">
        <f>IF(N36=0,0,1000000*N36/TrRoad_act!N76)</f>
        <v>3212.96158165407</v>
      </c>
      <c r="O127" s="87">
        <f>IF(O36=0,0,1000000*O36/TrRoad_act!O76)</f>
        <v>3232.149406657868</v>
      </c>
      <c r="P127" s="87">
        <f>IF(P36=0,0,1000000*P36/TrRoad_act!P76)</f>
        <v>3135.6437025380069</v>
      </c>
      <c r="Q127" s="87">
        <f>IF(Q36=0,0,1000000*Q36/TrRoad_act!Q76)</f>
        <v>3226.4575741666426</v>
      </c>
      <c r="R127" s="87">
        <f>IF(R36=0,0,1000000*R36/TrRoad_act!R76)</f>
        <v>3202.1203998788951</v>
      </c>
      <c r="S127" s="87">
        <f>IF(S36=0,0,1000000*S36/TrRoad_act!S76)</f>
        <v>3274.0848135956307</v>
      </c>
      <c r="T127" s="87">
        <f>IF(T36=0,0,1000000*T36/TrRoad_act!T76)</f>
        <v>3268.3919046989245</v>
      </c>
      <c r="U127" s="87">
        <f>IF(U36=0,0,1000000*U36/TrRoad_act!U76)</f>
        <v>3246.1970715031703</v>
      </c>
      <c r="V127" s="87">
        <f>IF(V36=0,0,1000000*V36/TrRoad_act!V76)</f>
        <v>2795.4969362016172</v>
      </c>
      <c r="W127" s="87">
        <f>IF(W36=0,0,1000000*W36/TrRoad_act!W76)</f>
        <v>3315.7001140845987</v>
      </c>
      <c r="X127" s="87">
        <f>IF(X36=0,0,1000000*X36/TrRoad_act!X76)</f>
        <v>3272.1236397023972</v>
      </c>
      <c r="Y127" s="87">
        <f>IF(Y36=0,0,1000000*Y36/TrRoad_act!Y76)</f>
        <v>3174.9159112490561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3418.3929017931755</v>
      </c>
      <c r="C128" s="87">
        <f>IF(C37=0,0,1000000*C37/TrRoad_act!C77)</f>
        <v>3390.035521772953</v>
      </c>
      <c r="D128" s="87">
        <f>IF(D37=0,0,1000000*D37/TrRoad_act!D77)</f>
        <v>3345.5318115642872</v>
      </c>
      <c r="E128" s="87">
        <f>IF(E37=0,0,1000000*E37/TrRoad_act!E77)</f>
        <v>3266.3048984050092</v>
      </c>
      <c r="F128" s="87">
        <f>IF(F37=0,0,1000000*F37/TrRoad_act!F77)</f>
        <v>3192.7123740735169</v>
      </c>
      <c r="G128" s="87">
        <f>IF(G37=0,0,1000000*G37/TrRoad_act!G77)</f>
        <v>3142.7718237579284</v>
      </c>
      <c r="H128" s="87">
        <f>IF(H37=0,0,1000000*H37/TrRoad_act!H77)</f>
        <v>3118.4563191736302</v>
      </c>
      <c r="I128" s="87">
        <f>IF(I37=0,0,1000000*I37/TrRoad_act!I77)</f>
        <v>3047.2928998291363</v>
      </c>
      <c r="J128" s="87">
        <f>IF(J37=0,0,1000000*J37/TrRoad_act!J77)</f>
        <v>2889.4056684631259</v>
      </c>
      <c r="K128" s="87">
        <f>IF(K37=0,0,1000000*K37/TrRoad_act!K77)</f>
        <v>2892.5013909807949</v>
      </c>
      <c r="L128" s="87">
        <f>IF(L37=0,0,1000000*L37/TrRoad_act!L77)</f>
        <v>2955.4587893776402</v>
      </c>
      <c r="M128" s="87">
        <f>IF(M37=0,0,1000000*M37/TrRoad_act!M77)</f>
        <v>3112.0532575170123</v>
      </c>
      <c r="N128" s="87">
        <f>IF(N37=0,0,1000000*N37/TrRoad_act!N77)</f>
        <v>3125.8122627512721</v>
      </c>
      <c r="O128" s="87">
        <f>IF(O37=0,0,1000000*O37/TrRoad_act!O77)</f>
        <v>3153.9123379496982</v>
      </c>
      <c r="P128" s="87">
        <f>IF(P37=0,0,1000000*P37/TrRoad_act!P77)</f>
        <v>3079.167766926867</v>
      </c>
      <c r="Q128" s="87">
        <f>IF(Q37=0,0,1000000*Q37/TrRoad_act!Q77)</f>
        <v>3162.3674878906304</v>
      </c>
      <c r="R128" s="87">
        <f>IF(R37=0,0,1000000*R37/TrRoad_act!R77)</f>
        <v>3198.6766397107353</v>
      </c>
      <c r="S128" s="87">
        <f>IF(S37=0,0,1000000*S37/TrRoad_act!S77)</f>
        <v>3364.8183351441762</v>
      </c>
      <c r="T128" s="87">
        <f>IF(T37=0,0,1000000*T37/TrRoad_act!T77)</f>
        <v>3394.1737014732589</v>
      </c>
      <c r="U128" s="87">
        <f>IF(U37=0,0,1000000*U37/TrRoad_act!U77)</f>
        <v>3476.2852598128347</v>
      </c>
      <c r="V128" s="87">
        <f>IF(V37=0,0,1000000*V37/TrRoad_act!V77)</f>
        <v>2618.4831462656289</v>
      </c>
      <c r="W128" s="87">
        <f>IF(W37=0,0,1000000*W37/TrRoad_act!W77)</f>
        <v>3100.4868490800236</v>
      </c>
      <c r="X128" s="87">
        <f>IF(X37=0,0,1000000*X37/TrRoad_act!X77)</f>
        <v>3122.4548077066061</v>
      </c>
      <c r="Y128" s="87">
        <f>IF(Y37=0,0,1000000*Y37/TrRoad_act!Y77)</f>
        <v>3153.4420698237641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2550.8543974976897</v>
      </c>
      <c r="C129" s="87">
        <f>IF(C38=0,0,1000000*C38/TrRoad_act!C78)</f>
        <v>2633.3983870590437</v>
      </c>
      <c r="D129" s="87">
        <f>IF(D38=0,0,1000000*D38/TrRoad_act!D78)</f>
        <v>2618.1778970598752</v>
      </c>
      <c r="E129" s="87">
        <f>IF(E38=0,0,1000000*E38/TrRoad_act!E78)</f>
        <v>2524.3822128702241</v>
      </c>
      <c r="F129" s="87">
        <f>IF(F38=0,0,1000000*F38/TrRoad_act!F78)</f>
        <v>2485.6081630287263</v>
      </c>
      <c r="G129" s="87">
        <f>IF(G38=0,0,1000000*G38/TrRoad_act!G78)</f>
        <v>2461.274345948435</v>
      </c>
      <c r="H129" s="87">
        <f>IF(H38=0,0,1000000*H38/TrRoad_act!H78)</f>
        <v>2404.2834936654626</v>
      </c>
      <c r="I129" s="87">
        <f>IF(I38=0,0,1000000*I38/TrRoad_act!I78)</f>
        <v>2372.7836251590779</v>
      </c>
      <c r="J129" s="87">
        <f>IF(J38=0,0,1000000*J38/TrRoad_act!J78)</f>
        <v>2246.4038464406008</v>
      </c>
      <c r="K129" s="87">
        <f>IF(K38=0,0,1000000*K38/TrRoad_act!K78)</f>
        <v>2191.9059503852418</v>
      </c>
      <c r="L129" s="87">
        <f>IF(L38=0,0,1000000*L38/TrRoad_act!L78)</f>
        <v>2149.6782708816118</v>
      </c>
      <c r="M129" s="87">
        <f>IF(M38=0,0,1000000*M38/TrRoad_act!M78)</f>
        <v>2195.6495820616547</v>
      </c>
      <c r="N129" s="87">
        <f>IF(N38=0,0,1000000*N38/TrRoad_act!N78)</f>
        <v>2142.4095880910372</v>
      </c>
      <c r="O129" s="87">
        <f>IF(O38=0,0,1000000*O38/TrRoad_act!O78)</f>
        <v>2086.7934408972901</v>
      </c>
      <c r="P129" s="87">
        <f>IF(P38=0,0,1000000*P38/TrRoad_act!P78)</f>
        <v>2001.0448153658051</v>
      </c>
      <c r="Q129" s="87">
        <f>IF(Q38=0,0,1000000*Q38/TrRoad_act!Q78)</f>
        <v>2045.5722445506794</v>
      </c>
      <c r="R129" s="87">
        <f>IF(R38=0,0,1000000*R38/TrRoad_act!R78)</f>
        <v>2116.3672320853248</v>
      </c>
      <c r="S129" s="87">
        <f>IF(S38=0,0,1000000*S38/TrRoad_act!S78)</f>
        <v>2293.9187925549895</v>
      </c>
      <c r="T129" s="87">
        <f>IF(T38=0,0,1000000*T38/TrRoad_act!T78)</f>
        <v>2465.8255656309752</v>
      </c>
      <c r="U129" s="87">
        <f>IF(U38=0,0,1000000*U38/TrRoad_act!U78)</f>
        <v>2538.6723518492981</v>
      </c>
      <c r="V129" s="87">
        <f>IF(V38=0,0,1000000*V38/TrRoad_act!V78)</f>
        <v>2119.3290611658863</v>
      </c>
      <c r="W129" s="87">
        <f>IF(W38=0,0,1000000*W38/TrRoad_act!W78)</f>
        <v>2534.8859642080702</v>
      </c>
      <c r="X129" s="87">
        <f>IF(X38=0,0,1000000*X38/TrRoad_act!X78)</f>
        <v>2512.031085399618</v>
      </c>
      <c r="Y129" s="87">
        <f>IF(Y38=0,0,1000000*Y38/TrRoad_act!Y78)</f>
        <v>2489.3781612840071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48090.945232805258</v>
      </c>
      <c r="C131" s="116">
        <f>IF(C40=0,0,1000000*C40/TrRoad_act!C80)</f>
        <v>47145.165899814543</v>
      </c>
      <c r="D131" s="116">
        <f>IF(D40=0,0,1000000*D40/TrRoad_act!D80)</f>
        <v>46031.699842952352</v>
      </c>
      <c r="E131" s="116">
        <f>IF(E40=0,0,1000000*E40/TrRoad_act!E80)</f>
        <v>44671.048010995022</v>
      </c>
      <c r="F131" s="116">
        <f>IF(F40=0,0,1000000*F40/TrRoad_act!F80)</f>
        <v>46499.28940151893</v>
      </c>
      <c r="G131" s="116">
        <f>IF(G40=0,0,1000000*G40/TrRoad_act!G80)</f>
        <v>45440.765843615678</v>
      </c>
      <c r="H131" s="116">
        <f>IF(H40=0,0,1000000*H40/TrRoad_act!H80)</f>
        <v>44852.017385198109</v>
      </c>
      <c r="I131" s="116">
        <f>IF(I40=0,0,1000000*I40/TrRoad_act!I80)</f>
        <v>44082.733627029542</v>
      </c>
      <c r="J131" s="116">
        <f>IF(J40=0,0,1000000*J40/TrRoad_act!J80)</f>
        <v>40007.733932108262</v>
      </c>
      <c r="K131" s="116">
        <f>IF(K40=0,0,1000000*K40/TrRoad_act!K80)</f>
        <v>35257.707720862076</v>
      </c>
      <c r="L131" s="116">
        <f>IF(L40=0,0,1000000*L40/TrRoad_act!L80)</f>
        <v>35180.386584960157</v>
      </c>
      <c r="M131" s="116">
        <f>IF(M40=0,0,1000000*M40/TrRoad_act!M80)</f>
        <v>36274.57831058852</v>
      </c>
      <c r="N131" s="116">
        <f>IF(N40=0,0,1000000*N40/TrRoad_act!N80)</f>
        <v>34618.036631525465</v>
      </c>
      <c r="O131" s="116">
        <f>IF(O40=0,0,1000000*O40/TrRoad_act!O80)</f>
        <v>35189.826121821323</v>
      </c>
      <c r="P131" s="116">
        <f>IF(P40=0,0,1000000*P40/TrRoad_act!P80)</f>
        <v>34516.9062703667</v>
      </c>
      <c r="Q131" s="116">
        <f>IF(Q40=0,0,1000000*Q40/TrRoad_act!Q80)</f>
        <v>34117.555664147156</v>
      </c>
      <c r="R131" s="116">
        <f>IF(R40=0,0,1000000*R40/TrRoad_act!R80)</f>
        <v>35501.944323598982</v>
      </c>
      <c r="S131" s="116">
        <f>IF(S40=0,0,1000000*S40/TrRoad_act!S80)</f>
        <v>36108.698640006915</v>
      </c>
      <c r="T131" s="116">
        <f>IF(T40=0,0,1000000*T40/TrRoad_act!T80)</f>
        <v>35030.457606116717</v>
      </c>
      <c r="U131" s="116">
        <f>IF(U40=0,0,1000000*U40/TrRoad_act!U80)</f>
        <v>34770.571745323425</v>
      </c>
      <c r="V131" s="116">
        <f>IF(V40=0,0,1000000*V40/TrRoad_act!V80)</f>
        <v>33858.954841138911</v>
      </c>
      <c r="W131" s="116">
        <f>IF(W40=0,0,1000000*W40/TrRoad_act!W80)</f>
        <v>35476.638945929582</v>
      </c>
      <c r="X131" s="116">
        <f>IF(X40=0,0,1000000*X40/TrRoad_act!X80)</f>
        <v>34467.40046918724</v>
      </c>
      <c r="Y131" s="116">
        <f>IF(Y40=0,0,1000000*Y40/TrRoad_act!Y80)</f>
        <v>32410.865663676188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37636.547667853149</v>
      </c>
      <c r="C132" s="101">
        <f>IF(C41=0,0,1000000*C41/TrRoad_act!C81)</f>
        <v>36738.530270896306</v>
      </c>
      <c r="D132" s="101">
        <f>IF(D41=0,0,1000000*D41/TrRoad_act!D81)</f>
        <v>35523.263727584315</v>
      </c>
      <c r="E132" s="101">
        <f>IF(E41=0,0,1000000*E41/TrRoad_act!E81)</f>
        <v>34408.476677595856</v>
      </c>
      <c r="F132" s="101">
        <f>IF(F41=0,0,1000000*F41/TrRoad_act!F81)</f>
        <v>35580.605606768753</v>
      </c>
      <c r="G132" s="101">
        <f>IF(G41=0,0,1000000*G41/TrRoad_act!G81)</f>
        <v>34436.98703946788</v>
      </c>
      <c r="H132" s="101">
        <f>IF(H41=0,0,1000000*H41/TrRoad_act!H81)</f>
        <v>33904.017261640169</v>
      </c>
      <c r="I132" s="101">
        <f>IF(I41=0,0,1000000*I41/TrRoad_act!I81)</f>
        <v>33538.364630162578</v>
      </c>
      <c r="J132" s="101">
        <f>IF(J41=0,0,1000000*J41/TrRoad_act!J81)</f>
        <v>29571.448997920601</v>
      </c>
      <c r="K132" s="101">
        <f>IF(K41=0,0,1000000*K41/TrRoad_act!K81)</f>
        <v>25140.978602757445</v>
      </c>
      <c r="L132" s="101">
        <f>IF(L41=0,0,1000000*L41/TrRoad_act!L81)</f>
        <v>25419.445280471202</v>
      </c>
      <c r="M132" s="101">
        <f>IF(M41=0,0,1000000*M41/TrRoad_act!M81)</f>
        <v>26758.000214352091</v>
      </c>
      <c r="N132" s="101">
        <f>IF(N41=0,0,1000000*N41/TrRoad_act!N81)</f>
        <v>24937.3086658256</v>
      </c>
      <c r="O132" s="101">
        <f>IF(O41=0,0,1000000*O41/TrRoad_act!O81)</f>
        <v>25050.338423248788</v>
      </c>
      <c r="P132" s="101">
        <f>IF(P41=0,0,1000000*P41/TrRoad_act!P81)</f>
        <v>24358.392896560323</v>
      </c>
      <c r="Q132" s="101">
        <f>IF(Q41=0,0,1000000*Q41/TrRoad_act!Q81)</f>
        <v>23386.932349803159</v>
      </c>
      <c r="R132" s="101">
        <f>IF(R41=0,0,1000000*R41/TrRoad_act!R81)</f>
        <v>24480.312946768394</v>
      </c>
      <c r="S132" s="101">
        <f>IF(S41=0,0,1000000*S41/TrRoad_act!S81)</f>
        <v>24631.388775611569</v>
      </c>
      <c r="T132" s="101">
        <f>IF(T41=0,0,1000000*T41/TrRoad_act!T81)</f>
        <v>23550.404536369522</v>
      </c>
      <c r="U132" s="101">
        <f>IF(U41=0,0,1000000*U41/TrRoad_act!U81)</f>
        <v>23167.374035625704</v>
      </c>
      <c r="V132" s="101">
        <f>IF(V41=0,0,1000000*V41/TrRoad_act!V81)</f>
        <v>22270.262766742413</v>
      </c>
      <c r="W132" s="101">
        <f>IF(W41=0,0,1000000*W41/TrRoad_act!W81)</f>
        <v>22944.885149128328</v>
      </c>
      <c r="X132" s="101">
        <f>IF(X41=0,0,1000000*X41/TrRoad_act!X81)</f>
        <v>22069.743822731209</v>
      </c>
      <c r="Y132" s="101">
        <f>IF(Y41=0,0,1000000*Y41/TrRoad_act!Y81)</f>
        <v>20857.626456993719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115561.09251791169</v>
      </c>
      <c r="C133" s="88">
        <f>IF(C42=0,0,1000000*C42/TrRoad_act!C82)</f>
        <v>111740.80975029717</v>
      </c>
      <c r="D133" s="88">
        <f>IF(D42=0,0,1000000*D42/TrRoad_act!D82)</f>
        <v>109490.32173240048</v>
      </c>
      <c r="E133" s="88">
        <f>IF(E42=0,0,1000000*E42/TrRoad_act!E82)</f>
        <v>106428.19682442865</v>
      </c>
      <c r="F133" s="88">
        <f>IF(F42=0,0,1000000*F42/TrRoad_act!F82)</f>
        <v>102553.14587625023</v>
      </c>
      <c r="G133" s="88">
        <f>IF(G42=0,0,1000000*G42/TrRoad_act!G82)</f>
        <v>100904.06966447952</v>
      </c>
      <c r="H133" s="88">
        <f>IF(H42=0,0,1000000*H42/TrRoad_act!H82)</f>
        <v>99437.29965519275</v>
      </c>
      <c r="I133" s="88">
        <f>IF(I42=0,0,1000000*I42/TrRoad_act!I82)</f>
        <v>96528.975549490759</v>
      </c>
      <c r="J133" s="88">
        <f>IF(J42=0,0,1000000*J42/TrRoad_act!J82)</f>
        <v>94790.304864359103</v>
      </c>
      <c r="K133" s="88">
        <f>IF(K42=0,0,1000000*K42/TrRoad_act!K82)</f>
        <v>95971.261361683224</v>
      </c>
      <c r="L133" s="88">
        <f>IF(L42=0,0,1000000*L42/TrRoad_act!L82)</f>
        <v>95203.380956235007</v>
      </c>
      <c r="M133" s="88">
        <f>IF(M42=0,0,1000000*M42/TrRoad_act!M82)</f>
        <v>97342.658732701195</v>
      </c>
      <c r="N133" s="88">
        <f>IF(N42=0,0,1000000*N42/TrRoad_act!N82)</f>
        <v>96946.421286994533</v>
      </c>
      <c r="O133" s="88">
        <f>IF(O42=0,0,1000000*O42/TrRoad_act!O82)</f>
        <v>96124.206269294795</v>
      </c>
      <c r="P133" s="88">
        <f>IF(P42=0,0,1000000*P42/TrRoad_act!P82)</f>
        <v>95357.972997023113</v>
      </c>
      <c r="Q133" s="88">
        <f>IF(Q42=0,0,1000000*Q42/TrRoad_act!Q82)</f>
        <v>95989.03992834402</v>
      </c>
      <c r="R133" s="88">
        <f>IF(R42=0,0,1000000*R42/TrRoad_act!R82)</f>
        <v>95376.249092703642</v>
      </c>
      <c r="S133" s="88">
        <f>IF(S42=0,0,1000000*S42/TrRoad_act!S82)</f>
        <v>94921.08497818491</v>
      </c>
      <c r="T133" s="88">
        <f>IF(T42=0,0,1000000*T42/TrRoad_act!T82)</f>
        <v>95164.23055508417</v>
      </c>
      <c r="U133" s="88">
        <f>IF(U42=0,0,1000000*U42/TrRoad_act!U82)</f>
        <v>93629.474840217488</v>
      </c>
      <c r="V133" s="88">
        <f>IF(V42=0,0,1000000*V42/TrRoad_act!V82)</f>
        <v>94035.678409617365</v>
      </c>
      <c r="W133" s="88">
        <f>IF(W42=0,0,1000000*W42/TrRoad_act!W82)</f>
        <v>96523.058143887552</v>
      </c>
      <c r="X133" s="88">
        <f>IF(X42=0,0,1000000*X42/TrRoad_act!X82)</f>
        <v>95109.702729086915</v>
      </c>
      <c r="Y133" s="88">
        <f>IF(Y42=0,0,1000000*Y42/TrRoad_act!Y82)</f>
        <v>90447.212280615975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0.63705950023799895</v>
      </c>
      <c r="C136" s="46">
        <f t="shared" si="40"/>
        <v>0.64082997538085329</v>
      </c>
      <c r="D136" s="46">
        <f t="shared" si="40"/>
        <v>0.64291310020903303</v>
      </c>
      <c r="E136" s="46">
        <f t="shared" si="40"/>
        <v>0.64372879634697044</v>
      </c>
      <c r="F136" s="46">
        <f t="shared" si="40"/>
        <v>0.63443737531650179</v>
      </c>
      <c r="G136" s="46">
        <f t="shared" si="40"/>
        <v>0.63299426429521344</v>
      </c>
      <c r="H136" s="46">
        <f t="shared" si="40"/>
        <v>0.63432751289862277</v>
      </c>
      <c r="I136" s="46">
        <f t="shared" si="40"/>
        <v>0.63571769457582472</v>
      </c>
      <c r="J136" s="46">
        <f t="shared" si="40"/>
        <v>0.64247636422147347</v>
      </c>
      <c r="K136" s="46">
        <f t="shared" si="40"/>
        <v>0.66086833447295246</v>
      </c>
      <c r="L136" s="46">
        <f t="shared" si="41"/>
        <v>0.6517031928389736</v>
      </c>
      <c r="M136" s="46">
        <f t="shared" si="40"/>
        <v>0.6554134962133088</v>
      </c>
      <c r="N136" s="46">
        <f t="shared" si="40"/>
        <v>0.66068321555317566</v>
      </c>
      <c r="O136" s="46">
        <f t="shared" si="40"/>
        <v>0.6571784964252968</v>
      </c>
      <c r="P136" s="46">
        <f t="shared" si="40"/>
        <v>0.66176837706506608</v>
      </c>
      <c r="Q136" s="46">
        <f t="shared" si="40"/>
        <v>0.66503259699938611</v>
      </c>
      <c r="R136" s="46">
        <f t="shared" si="40"/>
        <v>0.66235317358850176</v>
      </c>
      <c r="S136" s="46">
        <f t="shared" si="40"/>
        <v>0.65530724576133548</v>
      </c>
      <c r="T136" s="46">
        <f t="shared" si="40"/>
        <v>0.652771874455643</v>
      </c>
      <c r="U136" s="46">
        <f t="shared" si="40"/>
        <v>0.64904558969714032</v>
      </c>
      <c r="V136" s="46">
        <f t="shared" si="40"/>
        <v>0.62163798920755475</v>
      </c>
      <c r="W136" s="46">
        <f t="shared" si="42"/>
        <v>0.62689961227156987</v>
      </c>
      <c r="X136" s="46">
        <f t="shared" si="42"/>
        <v>0.64216943673965299</v>
      </c>
      <c r="Y136" s="46">
        <f t="shared" si="42"/>
        <v>0.64627530436462177</v>
      </c>
      <c r="DA136" s="211"/>
    </row>
    <row r="137" spans="1:105" ht="11.45" customHeight="1" x14ac:dyDescent="0.25">
      <c r="A137" s="153" t="s">
        <v>173</v>
      </c>
      <c r="B137" s="154">
        <f t="shared" si="40"/>
        <v>8.1103763502654701E-3</v>
      </c>
      <c r="C137" s="154">
        <f t="shared" si="40"/>
        <v>8.7071313308248292E-3</v>
      </c>
      <c r="D137" s="154">
        <f t="shared" si="40"/>
        <v>9.6314953173317498E-3</v>
      </c>
      <c r="E137" s="154">
        <f t="shared" si="40"/>
        <v>9.785383039352025E-3</v>
      </c>
      <c r="F137" s="154">
        <f t="shared" si="40"/>
        <v>1.0367217379552693E-2</v>
      </c>
      <c r="G137" s="154">
        <f t="shared" si="40"/>
        <v>1.0706631098181069E-2</v>
      </c>
      <c r="H137" s="154">
        <f t="shared" si="40"/>
        <v>1.0605192866792063E-2</v>
      </c>
      <c r="I137" s="154">
        <f t="shared" si="40"/>
        <v>1.088312289535588E-2</v>
      </c>
      <c r="J137" s="154">
        <f t="shared" si="40"/>
        <v>1.1759864885512575E-2</v>
      </c>
      <c r="K137" s="154">
        <f t="shared" si="40"/>
        <v>1.2287395430416901E-2</v>
      </c>
      <c r="L137" s="154">
        <f t="shared" si="41"/>
        <v>1.2114414970670477E-2</v>
      </c>
      <c r="M137" s="154">
        <f t="shared" si="40"/>
        <v>1.1480590297499878E-2</v>
      </c>
      <c r="N137" s="154">
        <f t="shared" si="40"/>
        <v>1.1656387477847134E-2</v>
      </c>
      <c r="O137" s="154">
        <f t="shared" si="40"/>
        <v>1.1829919810199901E-2</v>
      </c>
      <c r="P137" s="154">
        <f t="shared" si="40"/>
        <v>1.2091558154218454E-2</v>
      </c>
      <c r="Q137" s="154">
        <f t="shared" si="40"/>
        <v>1.1977156635301049E-2</v>
      </c>
      <c r="R137" s="154">
        <f t="shared" si="40"/>
        <v>1.096943778863441E-2</v>
      </c>
      <c r="S137" s="154">
        <f t="shared" si="40"/>
        <v>1.0343170285937685E-2</v>
      </c>
      <c r="T137" s="154">
        <f t="shared" si="40"/>
        <v>1.0434550974819223E-2</v>
      </c>
      <c r="U137" s="154">
        <f t="shared" si="40"/>
        <v>1.0737789437277347E-2</v>
      </c>
      <c r="V137" s="154">
        <f t="shared" si="40"/>
        <v>1.0625340283444669E-2</v>
      </c>
      <c r="W137" s="154">
        <f t="shared" si="42"/>
        <v>9.8040919031284774E-3</v>
      </c>
      <c r="X137" s="154">
        <f t="shared" si="42"/>
        <v>1.0185985319547775E-2</v>
      </c>
      <c r="Y137" s="154">
        <f t="shared" si="42"/>
        <v>1.1078218366619938E-2</v>
      </c>
      <c r="DA137" s="212"/>
    </row>
    <row r="138" spans="1:105" ht="11.45" customHeight="1" x14ac:dyDescent="0.25">
      <c r="A138" s="155" t="s">
        <v>20</v>
      </c>
      <c r="B138" s="156">
        <f t="shared" si="40"/>
        <v>0.58839836734341888</v>
      </c>
      <c r="C138" s="156">
        <f t="shared" si="40"/>
        <v>0.59316014428171604</v>
      </c>
      <c r="D138" s="156">
        <f t="shared" si="40"/>
        <v>0.59437086096125413</v>
      </c>
      <c r="E138" s="156">
        <f t="shared" si="40"/>
        <v>0.59415243091627934</v>
      </c>
      <c r="F138" s="156">
        <f t="shared" si="40"/>
        <v>0.58386924815986296</v>
      </c>
      <c r="G138" s="156">
        <f t="shared" si="40"/>
        <v>0.58164617119364226</v>
      </c>
      <c r="H138" s="156">
        <f t="shared" si="40"/>
        <v>0.58158044140695886</v>
      </c>
      <c r="I138" s="156">
        <f t="shared" si="40"/>
        <v>0.58217874602338004</v>
      </c>
      <c r="J138" s="156">
        <f t="shared" si="40"/>
        <v>0.58706829154042184</v>
      </c>
      <c r="K138" s="156">
        <f t="shared" si="40"/>
        <v>0.60651114292092434</v>
      </c>
      <c r="L138" s="156">
        <f t="shared" si="41"/>
        <v>0.59882351726867744</v>
      </c>
      <c r="M138" s="156">
        <f t="shared" si="40"/>
        <v>0.60539143205969648</v>
      </c>
      <c r="N138" s="156">
        <f t="shared" si="40"/>
        <v>0.61033654618647482</v>
      </c>
      <c r="O138" s="156">
        <f t="shared" si="40"/>
        <v>0.60942986434688784</v>
      </c>
      <c r="P138" s="156">
        <f t="shared" si="40"/>
        <v>0.61344381412936821</v>
      </c>
      <c r="Q138" s="156">
        <f t="shared" si="40"/>
        <v>0.61656541584669766</v>
      </c>
      <c r="R138" s="156">
        <f t="shared" si="40"/>
        <v>0.61406971690667922</v>
      </c>
      <c r="S138" s="156">
        <f t="shared" si="40"/>
        <v>0.60876124582215252</v>
      </c>
      <c r="T138" s="156">
        <f t="shared" si="40"/>
        <v>0.60511079568517767</v>
      </c>
      <c r="U138" s="156">
        <f t="shared" si="40"/>
        <v>0.60072879794584599</v>
      </c>
      <c r="V138" s="156">
        <f t="shared" si="40"/>
        <v>0.57797867513365508</v>
      </c>
      <c r="W138" s="156">
        <f t="shared" si="42"/>
        <v>0.58312224426372039</v>
      </c>
      <c r="X138" s="156">
        <f t="shared" si="42"/>
        <v>0.59658025182713104</v>
      </c>
      <c r="Y138" s="156">
        <f t="shared" si="42"/>
        <v>0.5993887917511469</v>
      </c>
      <c r="DA138" s="213"/>
    </row>
    <row r="139" spans="1:105" ht="11.45" customHeight="1" x14ac:dyDescent="0.25">
      <c r="A139" s="157" t="s">
        <v>110</v>
      </c>
      <c r="B139" s="103">
        <f t="shared" si="40"/>
        <v>0.29033338914676121</v>
      </c>
      <c r="C139" s="103">
        <f t="shared" si="40"/>
        <v>0.27980047397561258</v>
      </c>
      <c r="D139" s="103">
        <f t="shared" si="40"/>
        <v>0.27079688364490695</v>
      </c>
      <c r="E139" s="103">
        <f t="shared" si="40"/>
        <v>0.25795228779315177</v>
      </c>
      <c r="F139" s="103">
        <f t="shared" si="40"/>
        <v>0.24465163591476152</v>
      </c>
      <c r="G139" s="103">
        <f t="shared" si="40"/>
        <v>0.2325702375018778</v>
      </c>
      <c r="H139" s="103">
        <f t="shared" si="40"/>
        <v>0.21633082076642257</v>
      </c>
      <c r="I139" s="103">
        <f t="shared" si="40"/>
        <v>0.20158881524467751</v>
      </c>
      <c r="J139" s="103">
        <f t="shared" si="40"/>
        <v>0.18647451285992542</v>
      </c>
      <c r="K139" s="103">
        <f t="shared" si="40"/>
        <v>0.18066007108132806</v>
      </c>
      <c r="L139" s="103">
        <f t="shared" si="41"/>
        <v>0.16384737996896045</v>
      </c>
      <c r="M139" s="103">
        <f t="shared" si="40"/>
        <v>0.15897028627539078</v>
      </c>
      <c r="N139" s="103">
        <f t="shared" si="40"/>
        <v>0.14835947712912273</v>
      </c>
      <c r="O139" s="103">
        <f t="shared" si="40"/>
        <v>0.14269076242780485</v>
      </c>
      <c r="P139" s="103">
        <f t="shared" si="40"/>
        <v>0.14306605833955033</v>
      </c>
      <c r="Q139" s="103">
        <f t="shared" si="40"/>
        <v>0.14399536642120564</v>
      </c>
      <c r="R139" s="103">
        <f t="shared" si="40"/>
        <v>0.14839394516028509</v>
      </c>
      <c r="S139" s="103">
        <f t="shared" si="40"/>
        <v>0.15341995653385962</v>
      </c>
      <c r="T139" s="103">
        <f t="shared" si="40"/>
        <v>0.16251372984935122</v>
      </c>
      <c r="U139" s="103">
        <f t="shared" si="40"/>
        <v>0.17626402131373597</v>
      </c>
      <c r="V139" s="103">
        <f t="shared" si="40"/>
        <v>0.17861619470565462</v>
      </c>
      <c r="W139" s="103">
        <f t="shared" si="42"/>
        <v>0.19000407692100893</v>
      </c>
      <c r="X139" s="103">
        <f t="shared" si="42"/>
        <v>0.20399866744024503</v>
      </c>
      <c r="Y139" s="103">
        <f t="shared" si="42"/>
        <v>0.22319437726118604</v>
      </c>
      <c r="DA139" s="191"/>
    </row>
    <row r="140" spans="1:105" ht="11.45" customHeight="1" x14ac:dyDescent="0.25">
      <c r="A140" s="157" t="s">
        <v>111</v>
      </c>
      <c r="B140" s="103">
        <f t="shared" si="40"/>
        <v>0.29360325021893702</v>
      </c>
      <c r="C140" s="103">
        <f t="shared" si="40"/>
        <v>0.30917290208152909</v>
      </c>
      <c r="D140" s="103">
        <f t="shared" si="40"/>
        <v>0.31990743722152226</v>
      </c>
      <c r="E140" s="103">
        <f t="shared" si="40"/>
        <v>0.33308732283134984</v>
      </c>
      <c r="F140" s="103">
        <f t="shared" si="40"/>
        <v>0.33645578824329603</v>
      </c>
      <c r="G140" s="103">
        <f t="shared" si="40"/>
        <v>0.34656017999554473</v>
      </c>
      <c r="H140" s="103">
        <f t="shared" si="40"/>
        <v>0.36298181452533196</v>
      </c>
      <c r="I140" s="103">
        <f t="shared" si="40"/>
        <v>0.37843161648331741</v>
      </c>
      <c r="J140" s="103">
        <f t="shared" si="40"/>
        <v>0.39842900075750043</v>
      </c>
      <c r="K140" s="103">
        <f t="shared" si="40"/>
        <v>0.42397406493230139</v>
      </c>
      <c r="L140" s="103">
        <f t="shared" si="41"/>
        <v>0.43270469171716158</v>
      </c>
      <c r="M140" s="103">
        <f t="shared" si="40"/>
        <v>0.44399399700350844</v>
      </c>
      <c r="N140" s="103">
        <f t="shared" si="40"/>
        <v>0.459742613904631</v>
      </c>
      <c r="O140" s="103">
        <f t="shared" si="40"/>
        <v>0.46479481052967003</v>
      </c>
      <c r="P140" s="103">
        <f t="shared" si="40"/>
        <v>0.46865959954378511</v>
      </c>
      <c r="Q140" s="103">
        <f t="shared" si="40"/>
        <v>0.4710986784469875</v>
      </c>
      <c r="R140" s="103">
        <f t="shared" si="40"/>
        <v>0.46436000341198236</v>
      </c>
      <c r="S140" s="103">
        <f t="shared" si="40"/>
        <v>0.45416895003765584</v>
      </c>
      <c r="T140" s="103">
        <f t="shared" si="40"/>
        <v>0.44145698316329096</v>
      </c>
      <c r="U140" s="103">
        <f t="shared" si="40"/>
        <v>0.42328981911064356</v>
      </c>
      <c r="V140" s="103">
        <f t="shared" si="40"/>
        <v>0.3981335833618101</v>
      </c>
      <c r="W140" s="103">
        <f t="shared" si="42"/>
        <v>0.39123683650602997</v>
      </c>
      <c r="X140" s="103">
        <f t="shared" si="42"/>
        <v>0.38940206232902153</v>
      </c>
      <c r="Y140" s="103">
        <f t="shared" si="42"/>
        <v>0.37195165305002764</v>
      </c>
      <c r="DA140" s="191"/>
    </row>
    <row r="141" spans="1:105" ht="11.45" customHeight="1" x14ac:dyDescent="0.25">
      <c r="A141" s="157" t="s">
        <v>112</v>
      </c>
      <c r="B141" s="103">
        <f t="shared" si="40"/>
        <v>4.4617279777206019E-3</v>
      </c>
      <c r="C141" s="103">
        <f t="shared" si="40"/>
        <v>4.1867682245743248E-3</v>
      </c>
      <c r="D141" s="103">
        <f t="shared" si="40"/>
        <v>3.6665400948249901E-3</v>
      </c>
      <c r="E141" s="103">
        <f t="shared" si="40"/>
        <v>3.1128202917777409E-3</v>
      </c>
      <c r="F141" s="103">
        <f t="shared" si="40"/>
        <v>2.7618240018054845E-3</v>
      </c>
      <c r="G141" s="103">
        <f t="shared" si="40"/>
        <v>2.515753696219748E-3</v>
      </c>
      <c r="H141" s="103">
        <f t="shared" si="40"/>
        <v>2.2678061152043225E-3</v>
      </c>
      <c r="I141" s="103">
        <f t="shared" si="40"/>
        <v>2.1454332683509729E-3</v>
      </c>
      <c r="J141" s="103">
        <f t="shared" si="40"/>
        <v>2.1411267729059594E-3</v>
      </c>
      <c r="K141" s="103">
        <f t="shared" si="40"/>
        <v>1.8455312931324696E-3</v>
      </c>
      <c r="L141" s="103">
        <f t="shared" si="41"/>
        <v>2.2381003326496277E-3</v>
      </c>
      <c r="M141" s="103">
        <f t="shared" si="40"/>
        <v>2.3942530701591414E-3</v>
      </c>
      <c r="N141" s="103">
        <f t="shared" si="40"/>
        <v>2.1968671947745154E-3</v>
      </c>
      <c r="O141" s="103">
        <f t="shared" si="40"/>
        <v>1.9041706113006513E-3</v>
      </c>
      <c r="P141" s="103">
        <f t="shared" si="40"/>
        <v>1.6728043133646773E-3</v>
      </c>
      <c r="Q141" s="103">
        <f t="shared" si="40"/>
        <v>1.4065302727592492E-3</v>
      </c>
      <c r="R141" s="103">
        <f t="shared" si="40"/>
        <v>1.2218884700715667E-3</v>
      </c>
      <c r="S141" s="103">
        <f t="shared" si="40"/>
        <v>1.0303113560898561E-3</v>
      </c>
      <c r="T141" s="103">
        <f t="shared" si="40"/>
        <v>9.315827149807399E-4</v>
      </c>
      <c r="U141" s="103">
        <f t="shared" si="40"/>
        <v>8.7496814657597732E-4</v>
      </c>
      <c r="V141" s="103">
        <f t="shared" si="40"/>
        <v>6.8401266580974426E-4</v>
      </c>
      <c r="W141" s="103">
        <f t="shared" si="42"/>
        <v>9.0977969546508319E-4</v>
      </c>
      <c r="X141" s="103">
        <f t="shared" si="42"/>
        <v>1.7208544719120957E-3</v>
      </c>
      <c r="Y141" s="103">
        <f t="shared" si="42"/>
        <v>2.2161529532809714E-3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1.2881027034197793E-5</v>
      </c>
      <c r="J142" s="103">
        <f t="shared" si="40"/>
        <v>2.3651150089982937E-5</v>
      </c>
      <c r="K142" s="103">
        <f t="shared" si="40"/>
        <v>3.1475614162380321E-5</v>
      </c>
      <c r="L142" s="103">
        <f t="shared" si="41"/>
        <v>3.33452499059109E-5</v>
      </c>
      <c r="M142" s="103">
        <f t="shared" si="40"/>
        <v>3.2895710638136298E-5</v>
      </c>
      <c r="N142" s="103">
        <f t="shared" si="40"/>
        <v>3.5241046626511046E-5</v>
      </c>
      <c r="O142" s="103">
        <f t="shared" si="40"/>
        <v>3.477625822012163E-5</v>
      </c>
      <c r="P142" s="103">
        <f t="shared" si="40"/>
        <v>3.478750652568132E-5</v>
      </c>
      <c r="Q142" s="103">
        <f t="shared" si="40"/>
        <v>3.5060340425883175E-5</v>
      </c>
      <c r="R142" s="103">
        <f t="shared" si="40"/>
        <v>3.6371253277965889E-5</v>
      </c>
      <c r="S142" s="103">
        <f t="shared" si="40"/>
        <v>3.6179897275136502E-5</v>
      </c>
      <c r="T142" s="103">
        <f t="shared" si="40"/>
        <v>3.5664607661964817E-5</v>
      </c>
      <c r="U142" s="103">
        <f t="shared" si="40"/>
        <v>3.8508331796964867E-5</v>
      </c>
      <c r="V142" s="103">
        <f t="shared" si="40"/>
        <v>4.0873242823353662E-5</v>
      </c>
      <c r="W142" s="103">
        <f t="shared" si="42"/>
        <v>4.1456788836553828E-5</v>
      </c>
      <c r="X142" s="103">
        <f t="shared" si="42"/>
        <v>4.3663728670662849E-5</v>
      </c>
      <c r="Y142" s="103">
        <f t="shared" si="42"/>
        <v>7.286477049740504E-5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2.3469113200102829E-6</v>
      </c>
      <c r="O143" s="103">
        <f t="shared" si="40"/>
        <v>5.344519892208581E-6</v>
      </c>
      <c r="P143" s="103">
        <f t="shared" si="40"/>
        <v>1.0564426142526125E-5</v>
      </c>
      <c r="Q143" s="103">
        <f t="shared" si="40"/>
        <v>2.9780365319410091E-5</v>
      </c>
      <c r="R143" s="103">
        <f t="shared" si="40"/>
        <v>5.7508611062317959E-5</v>
      </c>
      <c r="S143" s="103">
        <f t="shared" si="40"/>
        <v>1.0584799727224642E-4</v>
      </c>
      <c r="T143" s="103">
        <f t="shared" si="40"/>
        <v>1.7283534989270558E-4</v>
      </c>
      <c r="U143" s="103">
        <f t="shared" si="40"/>
        <v>2.6148104309351176E-4</v>
      </c>
      <c r="V143" s="103">
        <f t="shared" si="40"/>
        <v>5.0401115755730277E-4</v>
      </c>
      <c r="W143" s="103">
        <f t="shared" si="42"/>
        <v>9.3009435237983648E-4</v>
      </c>
      <c r="X143" s="103">
        <f t="shared" si="42"/>
        <v>1.4150038572817464E-3</v>
      </c>
      <c r="Y143" s="103">
        <f t="shared" si="42"/>
        <v>1.9537437161546937E-3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4.0550756544314621E-2</v>
      </c>
      <c r="C145" s="156">
        <f t="shared" si="40"/>
        <v>3.8962699768312466E-2</v>
      </c>
      <c r="D145" s="156">
        <f t="shared" si="40"/>
        <v>3.8910743930447043E-2</v>
      </c>
      <c r="E145" s="156">
        <f t="shared" si="40"/>
        <v>3.979098239133904E-2</v>
      </c>
      <c r="F145" s="156">
        <f t="shared" si="40"/>
        <v>4.0200909777086097E-2</v>
      </c>
      <c r="G145" s="156">
        <f t="shared" si="40"/>
        <v>4.064146200339E-2</v>
      </c>
      <c r="H145" s="156">
        <f t="shared" si="40"/>
        <v>4.2141878624871877E-2</v>
      </c>
      <c r="I145" s="156">
        <f t="shared" si="40"/>
        <v>4.2655825657088878E-2</v>
      </c>
      <c r="J145" s="156">
        <f t="shared" si="40"/>
        <v>4.3648207795539053E-2</v>
      </c>
      <c r="K145" s="156">
        <f t="shared" si="40"/>
        <v>4.2069796121611124E-2</v>
      </c>
      <c r="L145" s="156">
        <f t="shared" si="41"/>
        <v>4.0765260599625722E-2</v>
      </c>
      <c r="M145" s="156">
        <f t="shared" si="40"/>
        <v>3.8541473856112576E-2</v>
      </c>
      <c r="N145" s="156">
        <f t="shared" si="40"/>
        <v>3.869028188885381E-2</v>
      </c>
      <c r="O145" s="156">
        <f t="shared" si="40"/>
        <v>3.5918712268209155E-2</v>
      </c>
      <c r="P145" s="156">
        <f t="shared" si="40"/>
        <v>3.6233004781479387E-2</v>
      </c>
      <c r="Q145" s="156">
        <f t="shared" si="40"/>
        <v>3.6490024517387427E-2</v>
      </c>
      <c r="R145" s="156">
        <f t="shared" si="40"/>
        <v>3.7314018893188187E-2</v>
      </c>
      <c r="S145" s="156">
        <f t="shared" si="40"/>
        <v>3.6202829653245214E-2</v>
      </c>
      <c r="T145" s="156">
        <f t="shared" si="40"/>
        <v>3.7226527795646183E-2</v>
      </c>
      <c r="U145" s="156">
        <f t="shared" si="40"/>
        <v>3.7579002314016959E-2</v>
      </c>
      <c r="V145" s="156">
        <f t="shared" si="40"/>
        <v>3.3033973790454911E-2</v>
      </c>
      <c r="W145" s="156">
        <f t="shared" si="42"/>
        <v>3.3973276104720916E-2</v>
      </c>
      <c r="X145" s="156">
        <f t="shared" si="42"/>
        <v>3.5403199592974152E-2</v>
      </c>
      <c r="Y145" s="156">
        <f t="shared" si="42"/>
        <v>3.5808294246854992E-2</v>
      </c>
      <c r="DA145" s="213"/>
    </row>
    <row r="146" spans="1:105" ht="11.45" customHeight="1" x14ac:dyDescent="0.25">
      <c r="A146" s="157" t="s">
        <v>110</v>
      </c>
      <c r="B146" s="103">
        <f t="shared" si="40"/>
        <v>6.4478349786840255E-5</v>
      </c>
      <c r="C146" s="103">
        <f t="shared" si="40"/>
        <v>5.9501398169686294E-5</v>
      </c>
      <c r="D146" s="103">
        <f t="shared" si="40"/>
        <v>5.7698136269659445E-5</v>
      </c>
      <c r="E146" s="103">
        <f t="shared" si="40"/>
        <v>5.5153990244862663E-5</v>
      </c>
      <c r="F146" s="103">
        <f t="shared" si="40"/>
        <v>5.1660753754069587E-5</v>
      </c>
      <c r="G146" s="103">
        <f t="shared" si="40"/>
        <v>4.7777054507863907E-5</v>
      </c>
      <c r="H146" s="103">
        <f t="shared" si="40"/>
        <v>4.4539980181158801E-5</v>
      </c>
      <c r="I146" s="103">
        <f t="shared" si="40"/>
        <v>4.0351426003028596E-5</v>
      </c>
      <c r="J146" s="103">
        <f t="shared" si="40"/>
        <v>3.8136163969894434E-5</v>
      </c>
      <c r="K146" s="103">
        <f t="shared" si="40"/>
        <v>3.4143757889052367E-5</v>
      </c>
      <c r="L146" s="103">
        <f t="shared" si="41"/>
        <v>2.9316622122682378E-5</v>
      </c>
      <c r="M146" s="103">
        <f t="shared" si="40"/>
        <v>2.3883241821275327E-5</v>
      </c>
      <c r="N146" s="103">
        <f t="shared" si="40"/>
        <v>2.049278220011485E-5</v>
      </c>
      <c r="O146" s="103">
        <f t="shared" si="40"/>
        <v>1.7108919660186041E-5</v>
      </c>
      <c r="P146" s="103">
        <f t="shared" si="40"/>
        <v>1.435973103128285E-5</v>
      </c>
      <c r="Q146" s="103">
        <f t="shared" si="40"/>
        <v>1.1917592543059366E-5</v>
      </c>
      <c r="R146" s="103">
        <f t="shared" si="40"/>
        <v>1.1676747838592218E-5</v>
      </c>
      <c r="S146" s="103">
        <f t="shared" si="40"/>
        <v>1.1408268271196798E-5</v>
      </c>
      <c r="T146" s="103">
        <f t="shared" si="40"/>
        <v>1.1555624361900331E-5</v>
      </c>
      <c r="U146" s="103">
        <f t="shared" si="40"/>
        <v>1.1475237940415329E-5</v>
      </c>
      <c r="V146" s="103">
        <f t="shared" si="40"/>
        <v>1.0476866630049999E-5</v>
      </c>
      <c r="W146" s="103">
        <f t="shared" si="42"/>
        <v>9.9350266785778164E-6</v>
      </c>
      <c r="X146" s="103">
        <f t="shared" si="42"/>
        <v>8.6061381513966254E-6</v>
      </c>
      <c r="Y146" s="103">
        <f t="shared" si="42"/>
        <v>7.3528062590590552E-6</v>
      </c>
      <c r="DA146" s="191"/>
    </row>
    <row r="147" spans="1:105" ht="11.45" customHeight="1" x14ac:dyDescent="0.25">
      <c r="A147" s="157" t="s">
        <v>111</v>
      </c>
      <c r="B147" s="103">
        <f t="shared" si="40"/>
        <v>4.0447175936723624E-2</v>
      </c>
      <c r="C147" s="103">
        <f t="shared" si="40"/>
        <v>3.8726932950842542E-2</v>
      </c>
      <c r="D147" s="103">
        <f t="shared" si="40"/>
        <v>3.8652687272153909E-2</v>
      </c>
      <c r="E147" s="103">
        <f t="shared" si="40"/>
        <v>3.9464083297319826E-2</v>
      </c>
      <c r="F147" s="103">
        <f t="shared" si="40"/>
        <v>3.9846847225850301E-2</v>
      </c>
      <c r="G147" s="103">
        <f t="shared" si="40"/>
        <v>4.0258423100338607E-2</v>
      </c>
      <c r="H147" s="103">
        <f t="shared" si="40"/>
        <v>4.1681405948501817E-2</v>
      </c>
      <c r="I147" s="103">
        <f t="shared" si="40"/>
        <v>4.2152152724307217E-2</v>
      </c>
      <c r="J147" s="103">
        <f t="shared" si="40"/>
        <v>4.3028848626487017E-2</v>
      </c>
      <c r="K147" s="103">
        <f t="shared" si="40"/>
        <v>4.1461072585761802E-2</v>
      </c>
      <c r="L147" s="103">
        <f t="shared" si="41"/>
        <v>4.0140581504262071E-2</v>
      </c>
      <c r="M147" s="103">
        <f t="shared" si="40"/>
        <v>3.7203489941048211E-2</v>
      </c>
      <c r="N147" s="103">
        <f t="shared" si="40"/>
        <v>3.7187674284090248E-2</v>
      </c>
      <c r="O147" s="103">
        <f t="shared" si="40"/>
        <v>3.4238770677373638E-2</v>
      </c>
      <c r="P147" s="103">
        <f t="shared" si="40"/>
        <v>3.4408770775009707E-2</v>
      </c>
      <c r="Q147" s="103">
        <f t="shared" si="40"/>
        <v>3.4642478660667983E-2</v>
      </c>
      <c r="R147" s="103">
        <f t="shared" ref="R147:V147" si="43">IF(R29=0,0,R29/R$17)</f>
        <v>3.5398179792749424E-2</v>
      </c>
      <c r="S147" s="103">
        <f t="shared" si="43"/>
        <v>3.4137266917677926E-2</v>
      </c>
      <c r="T147" s="103">
        <f t="shared" si="43"/>
        <v>3.4897910445486915E-2</v>
      </c>
      <c r="U147" s="103">
        <f t="shared" si="43"/>
        <v>3.4649223241151023E-2</v>
      </c>
      <c r="V147" s="103">
        <f t="shared" si="43"/>
        <v>2.8895134546359343E-2</v>
      </c>
      <c r="W147" s="103">
        <f t="shared" ref="W147:Y147" si="44">IF(W29=0,0,W29/W$17)</f>
        <v>2.8850853599984488E-2</v>
      </c>
      <c r="X147" s="103">
        <f t="shared" si="44"/>
        <v>2.9499245646409142E-2</v>
      </c>
      <c r="Y147" s="103">
        <f t="shared" si="44"/>
        <v>2.8989139972072739E-2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3.324238218857528E-5</v>
      </c>
      <c r="C148" s="103">
        <f t="shared" si="45"/>
        <v>3.6693295286668207E-5</v>
      </c>
      <c r="D148" s="103">
        <f t="shared" si="45"/>
        <v>3.6969502267793598E-5</v>
      </c>
      <c r="E148" s="103">
        <f t="shared" si="45"/>
        <v>3.9534889582238389E-5</v>
      </c>
      <c r="F148" s="103">
        <f t="shared" si="45"/>
        <v>4.0832276825927508E-5</v>
      </c>
      <c r="G148" s="103">
        <f t="shared" si="45"/>
        <v>4.1471932525109191E-5</v>
      </c>
      <c r="H148" s="103">
        <f t="shared" si="45"/>
        <v>3.395075439192508E-5</v>
      </c>
      <c r="I148" s="103">
        <f t="shared" si="45"/>
        <v>4.0577716212098392E-5</v>
      </c>
      <c r="J148" s="103">
        <f t="shared" si="45"/>
        <v>4.1631947984057988E-5</v>
      </c>
      <c r="K148" s="103">
        <f t="shared" si="45"/>
        <v>4.0055264008880758E-5</v>
      </c>
      <c r="L148" s="103">
        <f t="shared" ref="L148:L150" si="46">IF(L30=0,0,L30/L$17)</f>
        <v>3.7274156403789472E-5</v>
      </c>
      <c r="M148" s="103">
        <f t="shared" ref="M148:V148" si="47">IF(M30=0,0,M30/M$17)</f>
        <v>3.2760336870962371E-5</v>
      </c>
      <c r="N148" s="103">
        <f t="shared" si="47"/>
        <v>3.087636843452341E-5</v>
      </c>
      <c r="O148" s="103">
        <f t="shared" si="47"/>
        <v>2.8521968434308054E-5</v>
      </c>
      <c r="P148" s="103">
        <f t="shared" si="47"/>
        <v>2.6579493756504095E-5</v>
      </c>
      <c r="Q148" s="103">
        <f t="shared" si="47"/>
        <v>2.4738878432533638E-5</v>
      </c>
      <c r="R148" s="103">
        <f t="shared" si="47"/>
        <v>2.3298597082798202E-5</v>
      </c>
      <c r="S148" s="103">
        <f t="shared" si="47"/>
        <v>2.1285036598441021E-5</v>
      </c>
      <c r="T148" s="103">
        <f t="shared" si="47"/>
        <v>2.0183546953398601E-5</v>
      </c>
      <c r="U148" s="103">
        <f t="shared" si="47"/>
        <v>1.8326777215902683E-5</v>
      </c>
      <c r="V148" s="103">
        <f t="shared" si="47"/>
        <v>1.506579126792516E-5</v>
      </c>
      <c r="W148" s="103">
        <f t="shared" ref="W148:Y148" si="48">IF(W30=0,0,W30/W$17)</f>
        <v>1.2962469581283092E-5</v>
      </c>
      <c r="X148" s="103">
        <f t="shared" si="48"/>
        <v>1.2126425645614739E-5</v>
      </c>
      <c r="Y148" s="103">
        <f t="shared" si="48"/>
        <v>1.0899135390459164E-5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5.8598756155806239E-6</v>
      </c>
      <c r="C149" s="103">
        <f t="shared" si="49"/>
        <v>1.3957212401356149E-4</v>
      </c>
      <c r="D149" s="103">
        <f t="shared" si="49"/>
        <v>1.63389019755679E-4</v>
      </c>
      <c r="E149" s="103">
        <f t="shared" si="49"/>
        <v>2.3221021419210879E-4</v>
      </c>
      <c r="F149" s="103">
        <f t="shared" si="49"/>
        <v>2.6156952065579589E-4</v>
      </c>
      <c r="G149" s="103">
        <f t="shared" si="49"/>
        <v>2.9378991601842591E-4</v>
      </c>
      <c r="H149" s="103">
        <f t="shared" si="49"/>
        <v>3.8198194179698143E-4</v>
      </c>
      <c r="I149" s="103">
        <f t="shared" si="49"/>
        <v>4.2274379056652636E-4</v>
      </c>
      <c r="J149" s="103">
        <f t="shared" si="49"/>
        <v>5.3959105709808631E-4</v>
      </c>
      <c r="K149" s="103">
        <f t="shared" si="49"/>
        <v>5.3452451395138859E-4</v>
      </c>
      <c r="L149" s="103">
        <f t="shared" si="46"/>
        <v>5.5808831683718169E-4</v>
      </c>
      <c r="M149" s="103">
        <f t="shared" ref="M149:V149" si="50">IF(M31=0,0,M31/M$17)</f>
        <v>1.2813403363721274E-3</v>
      </c>
      <c r="N149" s="103">
        <f t="shared" si="50"/>
        <v>1.4512384541289299E-3</v>
      </c>
      <c r="O149" s="103">
        <f t="shared" si="50"/>
        <v>1.6343107027410278E-3</v>
      </c>
      <c r="P149" s="103">
        <f t="shared" si="50"/>
        <v>1.7832947816818973E-3</v>
      </c>
      <c r="Q149" s="103">
        <f t="shared" si="50"/>
        <v>1.8108893857438444E-3</v>
      </c>
      <c r="R149" s="103">
        <f t="shared" si="50"/>
        <v>1.8808637555173774E-3</v>
      </c>
      <c r="S149" s="103">
        <f t="shared" si="50"/>
        <v>2.0328694306976556E-3</v>
      </c>
      <c r="T149" s="103">
        <f t="shared" si="50"/>
        <v>2.2968781788439661E-3</v>
      </c>
      <c r="U149" s="103">
        <f t="shared" si="50"/>
        <v>2.8999770577096177E-3</v>
      </c>
      <c r="V149" s="103">
        <f t="shared" si="50"/>
        <v>4.1132965861975937E-3</v>
      </c>
      <c r="W149" s="103">
        <f t="shared" ref="W149:Y149" si="51">IF(W31=0,0,W31/W$17)</f>
        <v>5.0995250084765707E-3</v>
      </c>
      <c r="X149" s="103">
        <f t="shared" si="51"/>
        <v>5.8832213827679988E-3</v>
      </c>
      <c r="Y149" s="103">
        <f t="shared" si="51"/>
        <v>6.8009023331327351E-3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0.36294049976200099</v>
      </c>
      <c r="C151" s="46">
        <f t="shared" si="55"/>
        <v>0.35917002461914666</v>
      </c>
      <c r="D151" s="46">
        <f t="shared" si="55"/>
        <v>0.35708689979096697</v>
      </c>
      <c r="E151" s="46">
        <f t="shared" si="55"/>
        <v>0.35627120365302956</v>
      </c>
      <c r="F151" s="46">
        <f t="shared" si="55"/>
        <v>0.36556262468349832</v>
      </c>
      <c r="G151" s="46">
        <f t="shared" si="55"/>
        <v>0.36700573570478662</v>
      </c>
      <c r="H151" s="46">
        <f t="shared" si="55"/>
        <v>0.36567248710137729</v>
      </c>
      <c r="I151" s="46">
        <f t="shared" si="55"/>
        <v>0.36428230542417517</v>
      </c>
      <c r="J151" s="46">
        <f t="shared" si="55"/>
        <v>0.35752363577852653</v>
      </c>
      <c r="K151" s="46">
        <f t="shared" si="55"/>
        <v>0.33913166552704754</v>
      </c>
      <c r="L151" s="46">
        <f t="shared" ref="L151" si="56">IF(L33=0,0,L33/L$17)</f>
        <v>0.3482968071610264</v>
      </c>
      <c r="M151" s="46">
        <f t="shared" ref="M151:V151" si="57">IF(M33=0,0,M33/M$17)</f>
        <v>0.34458650378669115</v>
      </c>
      <c r="N151" s="46">
        <f t="shared" si="57"/>
        <v>0.33931678444682434</v>
      </c>
      <c r="O151" s="46">
        <f t="shared" si="57"/>
        <v>0.3428215035747032</v>
      </c>
      <c r="P151" s="46">
        <f t="shared" si="57"/>
        <v>0.33823162293493392</v>
      </c>
      <c r="Q151" s="46">
        <f t="shared" si="57"/>
        <v>0.33496740300061384</v>
      </c>
      <c r="R151" s="46">
        <f t="shared" si="57"/>
        <v>0.33764682641149812</v>
      </c>
      <c r="S151" s="46">
        <f t="shared" si="57"/>
        <v>0.34469275423866447</v>
      </c>
      <c r="T151" s="46">
        <f t="shared" si="57"/>
        <v>0.34722812554435695</v>
      </c>
      <c r="U151" s="46">
        <f t="shared" si="57"/>
        <v>0.35095441030285973</v>
      </c>
      <c r="V151" s="46">
        <f t="shared" si="57"/>
        <v>0.37836201079244536</v>
      </c>
      <c r="W151" s="46">
        <f t="shared" ref="W151:Y151" si="58">IF(W33=0,0,W33/W$17)</f>
        <v>0.37310038772843007</v>
      </c>
      <c r="X151" s="46">
        <f t="shared" si="58"/>
        <v>0.35783056326034701</v>
      </c>
      <c r="Y151" s="46">
        <f t="shared" si="58"/>
        <v>0.35372469563537828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0.16729010685381226</v>
      </c>
      <c r="C152" s="154">
        <f t="shared" si="59"/>
        <v>0.16374379972845671</v>
      </c>
      <c r="D152" s="154">
        <f t="shared" si="59"/>
        <v>0.16119406465094577</v>
      </c>
      <c r="E152" s="154">
        <f t="shared" si="59"/>
        <v>0.15902713789462686</v>
      </c>
      <c r="F152" s="154">
        <f t="shared" si="59"/>
        <v>0.15366156081730972</v>
      </c>
      <c r="G152" s="154">
        <f t="shared" si="59"/>
        <v>0.15254184313287536</v>
      </c>
      <c r="H152" s="154">
        <f t="shared" si="59"/>
        <v>0.15070329340833064</v>
      </c>
      <c r="I152" s="154">
        <f t="shared" si="59"/>
        <v>0.14758237670542829</v>
      </c>
      <c r="J152" s="154">
        <f t="shared" si="59"/>
        <v>0.14624619883565934</v>
      </c>
      <c r="K152" s="154">
        <f t="shared" si="59"/>
        <v>0.15025236063485808</v>
      </c>
      <c r="L152" s="154">
        <f t="shared" ref="L152" si="60">IF(L34=0,0,L34/L$17)</f>
        <v>0.15369320910120998</v>
      </c>
      <c r="M152" s="154">
        <f t="shared" ref="M152:V152" si="61">IF(M34=0,0,M34/M$17)</f>
        <v>0.15600559384147802</v>
      </c>
      <c r="N152" s="154">
        <f t="shared" si="61"/>
        <v>0.15935760758918641</v>
      </c>
      <c r="O152" s="154">
        <f t="shared" si="61"/>
        <v>0.16089673821920433</v>
      </c>
      <c r="P152" s="154">
        <f t="shared" si="61"/>
        <v>0.15873228698191852</v>
      </c>
      <c r="Q152" s="154">
        <f t="shared" si="61"/>
        <v>0.16195914473707243</v>
      </c>
      <c r="R152" s="154">
        <f t="shared" si="61"/>
        <v>0.15968116342817146</v>
      </c>
      <c r="S152" s="154">
        <f t="shared" si="61"/>
        <v>0.16207930081604435</v>
      </c>
      <c r="T152" s="154">
        <f t="shared" si="61"/>
        <v>0.164809946060608</v>
      </c>
      <c r="U152" s="154">
        <f t="shared" si="61"/>
        <v>0.1648381324600236</v>
      </c>
      <c r="V152" s="154">
        <f t="shared" si="61"/>
        <v>0.16658462923866127</v>
      </c>
      <c r="W152" s="154">
        <f t="shared" ref="W152:Y152" si="62">IF(W34=0,0,W34/W$17)</f>
        <v>0.17449559107405249</v>
      </c>
      <c r="X152" s="154">
        <f t="shared" si="62"/>
        <v>0.1695558207945155</v>
      </c>
      <c r="Y152" s="154">
        <f t="shared" si="62"/>
        <v>0.17107000106385856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2.3699479291391382E-2</v>
      </c>
      <c r="C153" s="103">
        <f t="shared" si="63"/>
        <v>1.971962197992308E-2</v>
      </c>
      <c r="D153" s="103">
        <f t="shared" si="63"/>
        <v>1.630862208775086E-2</v>
      </c>
      <c r="E153" s="103">
        <f t="shared" si="63"/>
        <v>1.30809814840977E-2</v>
      </c>
      <c r="F153" s="103">
        <f t="shared" si="63"/>
        <v>1.024590406795056E-2</v>
      </c>
      <c r="G153" s="103">
        <f t="shared" si="63"/>
        <v>8.5915488781786852E-3</v>
      </c>
      <c r="H153" s="103">
        <f t="shared" si="63"/>
        <v>7.2743276487072387E-3</v>
      </c>
      <c r="I153" s="103">
        <f t="shared" si="63"/>
        <v>6.2592933519931707E-3</v>
      </c>
      <c r="J153" s="103">
        <f t="shared" si="63"/>
        <v>5.5744197076024165E-3</v>
      </c>
      <c r="K153" s="103">
        <f t="shared" si="63"/>
        <v>5.085299010669151E-3</v>
      </c>
      <c r="L153" s="103">
        <f t="shared" ref="L153" si="64">IF(L35=0,0,L35/L$17)</f>
        <v>5.4513286365478596E-3</v>
      </c>
      <c r="M153" s="103">
        <f t="shared" ref="M153:V153" si="65">IF(M35=0,0,M35/M$17)</f>
        <v>5.8293857231759855E-3</v>
      </c>
      <c r="N153" s="103">
        <f t="shared" si="65"/>
        <v>6.2641743687108656E-3</v>
      </c>
      <c r="O153" s="103">
        <f t="shared" si="65"/>
        <v>6.656432611098973E-3</v>
      </c>
      <c r="P153" s="103">
        <f t="shared" si="65"/>
        <v>5.8803258820865154E-3</v>
      </c>
      <c r="Q153" s="103">
        <f t="shared" si="65"/>
        <v>5.3308433655718688E-3</v>
      </c>
      <c r="R153" s="103">
        <f t="shared" si="65"/>
        <v>5.1095488103162041E-3</v>
      </c>
      <c r="S153" s="103">
        <f t="shared" si="65"/>
        <v>5.0527508636450599E-3</v>
      </c>
      <c r="T153" s="103">
        <f t="shared" si="65"/>
        <v>5.0148760956066386E-3</v>
      </c>
      <c r="U153" s="103">
        <f t="shared" si="65"/>
        <v>4.8331941443475242E-3</v>
      </c>
      <c r="V153" s="103">
        <f t="shared" si="65"/>
        <v>4.7485385632724652E-3</v>
      </c>
      <c r="W153" s="103">
        <f t="shared" ref="W153:Y153" si="66">IF(W35=0,0,W35/W$17)</f>
        <v>5.1948937936989719E-3</v>
      </c>
      <c r="X153" s="103">
        <f t="shared" si="66"/>
        <v>5.5311962081127583E-3</v>
      </c>
      <c r="Y153" s="103">
        <f t="shared" si="66"/>
        <v>6.7980380183729171E-3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0.14301554503704433</v>
      </c>
      <c r="C154" s="103">
        <f t="shared" si="67"/>
        <v>0.14342536946205864</v>
      </c>
      <c r="D154" s="103">
        <f t="shared" si="67"/>
        <v>0.14427464721738434</v>
      </c>
      <c r="E154" s="103">
        <f t="shared" si="67"/>
        <v>0.14532239425518187</v>
      </c>
      <c r="F154" s="103">
        <f t="shared" si="67"/>
        <v>0.14278758737187539</v>
      </c>
      <c r="G154" s="103">
        <f t="shared" si="67"/>
        <v>0.14329878342187102</v>
      </c>
      <c r="H154" s="103">
        <f t="shared" si="67"/>
        <v>0.14272852582912518</v>
      </c>
      <c r="I154" s="103">
        <f t="shared" si="67"/>
        <v>0.14076548544615008</v>
      </c>
      <c r="J154" s="103">
        <f t="shared" si="67"/>
        <v>0.14014522340398061</v>
      </c>
      <c r="K154" s="103">
        <f t="shared" si="67"/>
        <v>0.14460658182676278</v>
      </c>
      <c r="L154" s="103">
        <f t="shared" ref="L154" si="68">IF(L36=0,0,L36/L$17)</f>
        <v>0.147690699357443</v>
      </c>
      <c r="M154" s="103">
        <f t="shared" ref="M154:V154" si="69">IF(M36=0,0,M36/M$17)</f>
        <v>0.14964203473701634</v>
      </c>
      <c r="N154" s="103">
        <f t="shared" si="69"/>
        <v>0.15256407129088287</v>
      </c>
      <c r="O154" s="103">
        <f t="shared" si="69"/>
        <v>0.1537099596515949</v>
      </c>
      <c r="P154" s="103">
        <f t="shared" si="69"/>
        <v>0.15233368943209319</v>
      </c>
      <c r="Q154" s="103">
        <f t="shared" si="69"/>
        <v>0.15610534645488555</v>
      </c>
      <c r="R154" s="103">
        <f t="shared" si="69"/>
        <v>0.15405556575510801</v>
      </c>
      <c r="S154" s="103">
        <f t="shared" si="69"/>
        <v>0.15650789011208835</v>
      </c>
      <c r="T154" s="103">
        <f t="shared" si="69"/>
        <v>0.15921736852283891</v>
      </c>
      <c r="U154" s="103">
        <f t="shared" si="69"/>
        <v>0.15946582181927538</v>
      </c>
      <c r="V154" s="103">
        <f t="shared" si="69"/>
        <v>0.16135443586464743</v>
      </c>
      <c r="W154" s="103">
        <f t="shared" ref="W154:Y154" si="70">IF(W36=0,0,W36/W$17)</f>
        <v>0.16877882900778324</v>
      </c>
      <c r="X154" s="103">
        <f t="shared" si="70"/>
        <v>0.16351202464652156</v>
      </c>
      <c r="Y154" s="103">
        <f t="shared" si="70"/>
        <v>0.16369271153468221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5.6909901125797382E-4</v>
      </c>
      <c r="C155" s="103">
        <f t="shared" si="71"/>
        <v>5.9326318999807827E-4</v>
      </c>
      <c r="D155" s="103">
        <f t="shared" si="71"/>
        <v>6.0514599007902091E-4</v>
      </c>
      <c r="E155" s="103">
        <f t="shared" si="71"/>
        <v>6.1478202397567162E-4</v>
      </c>
      <c r="F155" s="103">
        <f t="shared" si="71"/>
        <v>6.1958810366701314E-4</v>
      </c>
      <c r="G155" s="103">
        <f t="shared" si="71"/>
        <v>6.433105262530081E-4</v>
      </c>
      <c r="H155" s="103">
        <f t="shared" si="71"/>
        <v>6.8409748878364739E-4</v>
      </c>
      <c r="I155" s="103">
        <f t="shared" si="71"/>
        <v>5.4236341859952193E-4</v>
      </c>
      <c r="J155" s="103">
        <f t="shared" si="71"/>
        <v>5.1104174371898619E-4</v>
      </c>
      <c r="K155" s="103">
        <f t="shared" si="71"/>
        <v>5.4176079871171338E-4</v>
      </c>
      <c r="L155" s="103">
        <f t="shared" ref="L155" si="72">IF(L37=0,0,L37/L$17)</f>
        <v>5.3372357786729086E-4</v>
      </c>
      <c r="M155" s="103">
        <f t="shared" ref="M155:V155" si="73">IF(M37=0,0,M37/M$17)</f>
        <v>5.1379241088735084E-4</v>
      </c>
      <c r="N155" s="103">
        <f t="shared" si="73"/>
        <v>5.0144222303564838E-4</v>
      </c>
      <c r="O155" s="103">
        <f t="shared" si="73"/>
        <v>4.9505559446869486E-4</v>
      </c>
      <c r="P155" s="103">
        <f t="shared" si="73"/>
        <v>4.7830669669591424E-4</v>
      </c>
      <c r="Q155" s="103">
        <f t="shared" si="73"/>
        <v>4.7736769730807486E-4</v>
      </c>
      <c r="R155" s="103">
        <f t="shared" si="73"/>
        <v>4.6338946173311944E-4</v>
      </c>
      <c r="S155" s="103">
        <f t="shared" si="73"/>
        <v>4.5487415944658286E-4</v>
      </c>
      <c r="T155" s="103">
        <f t="shared" si="73"/>
        <v>3.9702820441301197E-4</v>
      </c>
      <c r="U155" s="103">
        <f t="shared" si="73"/>
        <v>3.754201172045712E-4</v>
      </c>
      <c r="V155" s="103">
        <f t="shared" si="73"/>
        <v>3.0665460730088412E-4</v>
      </c>
      <c r="W155" s="103">
        <f t="shared" ref="W155:Y155" si="74">IF(W37=0,0,W37/W$17)</f>
        <v>3.2009552331333359E-4</v>
      </c>
      <c r="X155" s="103">
        <f t="shared" si="74"/>
        <v>3.1636630508411823E-4</v>
      </c>
      <c r="Y155" s="103">
        <f t="shared" si="74"/>
        <v>3.7469419745239917E-4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5.9835141185608664E-6</v>
      </c>
      <c r="C156" s="103">
        <f t="shared" si="75"/>
        <v>5.5450964769060178E-6</v>
      </c>
      <c r="D156" s="103">
        <f t="shared" si="75"/>
        <v>5.6493557315376407E-6</v>
      </c>
      <c r="E156" s="103">
        <f t="shared" si="75"/>
        <v>8.9801313716190568E-6</v>
      </c>
      <c r="F156" s="103">
        <f t="shared" si="75"/>
        <v>8.4812738167624045E-6</v>
      </c>
      <c r="G156" s="103">
        <f t="shared" si="75"/>
        <v>8.2003065726682842E-6</v>
      </c>
      <c r="H156" s="103">
        <f t="shared" si="75"/>
        <v>1.6342441714613658E-5</v>
      </c>
      <c r="I156" s="103">
        <f t="shared" si="75"/>
        <v>1.5234488685502519E-5</v>
      </c>
      <c r="J156" s="103">
        <f t="shared" si="75"/>
        <v>1.5513980357367635E-5</v>
      </c>
      <c r="K156" s="103">
        <f t="shared" si="75"/>
        <v>1.8718998714453229E-5</v>
      </c>
      <c r="L156" s="103">
        <f t="shared" ref="L156" si="76">IF(L38=0,0,L38/L$17)</f>
        <v>1.7457529351837255E-5</v>
      </c>
      <c r="M156" s="103">
        <f t="shared" ref="M156:V156" si="77">IF(M38=0,0,M38/M$17)</f>
        <v>2.0380970398334016E-5</v>
      </c>
      <c r="N156" s="103">
        <f t="shared" si="77"/>
        <v>2.7919706557013894E-5</v>
      </c>
      <c r="O156" s="103">
        <f t="shared" si="77"/>
        <v>3.5290362041762884E-5</v>
      </c>
      <c r="P156" s="103">
        <f t="shared" si="77"/>
        <v>3.9964971042911856E-5</v>
      </c>
      <c r="Q156" s="103">
        <f t="shared" si="77"/>
        <v>4.5587219306937643E-5</v>
      </c>
      <c r="R156" s="103">
        <f t="shared" si="77"/>
        <v>5.2659401014096528E-5</v>
      </c>
      <c r="S156" s="103">
        <f t="shared" si="77"/>
        <v>6.3785680864359874E-5</v>
      </c>
      <c r="T156" s="103">
        <f t="shared" si="77"/>
        <v>1.8067323774942706E-4</v>
      </c>
      <c r="U156" s="103">
        <f t="shared" si="77"/>
        <v>1.6369637919614596E-4</v>
      </c>
      <c r="V156" s="103">
        <f t="shared" si="77"/>
        <v>1.7500020344047448E-4</v>
      </c>
      <c r="W156" s="103">
        <f t="shared" ref="W156:Y156" si="78">IF(W38=0,0,W38/W$17)</f>
        <v>2.0177274925695619E-4</v>
      </c>
      <c r="X156" s="103">
        <f t="shared" si="78"/>
        <v>1.9623363479707653E-4</v>
      </c>
      <c r="Y156" s="103">
        <f t="shared" si="78"/>
        <v>2.045573133510229E-4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0.19565039290818872</v>
      </c>
      <c r="C158" s="156">
        <f t="shared" si="83"/>
        <v>0.19542622489069</v>
      </c>
      <c r="D158" s="156">
        <f t="shared" si="83"/>
        <v>0.1958928351400212</v>
      </c>
      <c r="E158" s="156">
        <f t="shared" si="83"/>
        <v>0.19724406575840267</v>
      </c>
      <c r="F158" s="156">
        <f t="shared" si="83"/>
        <v>0.21190106386618859</v>
      </c>
      <c r="G158" s="156">
        <f t="shared" si="83"/>
        <v>0.21446389257191129</v>
      </c>
      <c r="H158" s="156">
        <f t="shared" si="83"/>
        <v>0.21496919369304668</v>
      </c>
      <c r="I158" s="156">
        <f t="shared" si="83"/>
        <v>0.21669992871874688</v>
      </c>
      <c r="J158" s="156">
        <f t="shared" si="83"/>
        <v>0.21127743694286719</v>
      </c>
      <c r="K158" s="156">
        <f t="shared" si="83"/>
        <v>0.18887930489218946</v>
      </c>
      <c r="L158" s="156">
        <f t="shared" ref="L158" si="84">IF(L40=0,0,L40/L$17)</f>
        <v>0.19460359805981642</v>
      </c>
      <c r="M158" s="156">
        <f t="shared" ref="M158:V158" si="85">IF(M40=0,0,M40/M$17)</f>
        <v>0.18858090994521315</v>
      </c>
      <c r="N158" s="156">
        <f t="shared" si="85"/>
        <v>0.17995917685763796</v>
      </c>
      <c r="O158" s="156">
        <f t="shared" si="85"/>
        <v>0.18192476535549884</v>
      </c>
      <c r="P158" s="156">
        <f t="shared" si="85"/>
        <v>0.17949933595301537</v>
      </c>
      <c r="Q158" s="156">
        <f t="shared" si="85"/>
        <v>0.17300825826354138</v>
      </c>
      <c r="R158" s="156">
        <f t="shared" si="85"/>
        <v>0.17796566298332667</v>
      </c>
      <c r="S158" s="156">
        <f t="shared" si="85"/>
        <v>0.18261345342262014</v>
      </c>
      <c r="T158" s="156">
        <f t="shared" si="85"/>
        <v>0.18241817948374894</v>
      </c>
      <c r="U158" s="156">
        <f t="shared" si="85"/>
        <v>0.1861162778428361</v>
      </c>
      <c r="V158" s="156">
        <f t="shared" si="85"/>
        <v>0.21177738155378409</v>
      </c>
      <c r="W158" s="156">
        <f t="shared" ref="W158:Y158" si="86">IF(W40=0,0,W40/W$17)</f>
        <v>0.19860479665437758</v>
      </c>
      <c r="X158" s="156">
        <f t="shared" si="86"/>
        <v>0.18827474246583145</v>
      </c>
      <c r="Y158" s="156">
        <f t="shared" si="86"/>
        <v>0.18265469457151973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0.13257589711728696</v>
      </c>
      <c r="C159" s="103">
        <f t="shared" si="87"/>
        <v>0.13115843360500576</v>
      </c>
      <c r="D159" s="103">
        <f t="shared" si="87"/>
        <v>0.12969603235142591</v>
      </c>
      <c r="E159" s="103">
        <f t="shared" si="87"/>
        <v>0.13028039258796614</v>
      </c>
      <c r="F159" s="103">
        <f t="shared" si="87"/>
        <v>0.13570907239116067</v>
      </c>
      <c r="G159" s="103">
        <f t="shared" si="87"/>
        <v>0.13562283174523354</v>
      </c>
      <c r="H159" s="103">
        <f t="shared" si="87"/>
        <v>0.13535024475172827</v>
      </c>
      <c r="I159" s="103">
        <f t="shared" si="87"/>
        <v>0.13726843623583521</v>
      </c>
      <c r="J159" s="103">
        <f t="shared" si="87"/>
        <v>0.13117497975188266</v>
      </c>
      <c r="K159" s="103">
        <f t="shared" si="87"/>
        <v>0.11544607147866927</v>
      </c>
      <c r="L159" s="103">
        <f t="shared" ref="L159" si="88">IF(L41=0,0,L41/L$17)</f>
        <v>0.120942384058542</v>
      </c>
      <c r="M159" s="103">
        <f t="shared" ref="M159:V159" si="89">IF(M41=0,0,M41/M$17)</f>
        <v>0.12035190203525717</v>
      </c>
      <c r="N159" s="103">
        <f t="shared" si="89"/>
        <v>0.11220689849688502</v>
      </c>
      <c r="O159" s="103">
        <f t="shared" si="89"/>
        <v>0.11103010414547211</v>
      </c>
      <c r="P159" s="103">
        <f t="shared" si="89"/>
        <v>0.10854770707490916</v>
      </c>
      <c r="Q159" s="103">
        <f t="shared" si="89"/>
        <v>0.1010656308280236</v>
      </c>
      <c r="R159" s="103">
        <f t="shared" si="89"/>
        <v>0.10363827737077998</v>
      </c>
      <c r="S159" s="103">
        <f t="shared" si="89"/>
        <v>0.10422861505534775</v>
      </c>
      <c r="T159" s="103">
        <f t="shared" si="89"/>
        <v>0.10297747881688277</v>
      </c>
      <c r="U159" s="103">
        <f t="shared" si="89"/>
        <v>0.10358715697036866</v>
      </c>
      <c r="V159" s="103">
        <f t="shared" si="89"/>
        <v>0.11680049977003017</v>
      </c>
      <c r="W159" s="103">
        <f t="shared" ref="W159:Y159" si="90">IF(W41=0,0,W41/W$17)</f>
        <v>0.10657230234485382</v>
      </c>
      <c r="X159" s="103">
        <f t="shared" si="90"/>
        <v>0.10009122042394543</v>
      </c>
      <c r="Y159" s="103">
        <f t="shared" si="90"/>
        <v>9.8030429981214778E-2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6.3074495790901783E-2</v>
      </c>
      <c r="C160" s="105">
        <f t="shared" si="91"/>
        <v>6.4267791285684231E-2</v>
      </c>
      <c r="D160" s="105">
        <f t="shared" si="91"/>
        <v>6.6196802788595299E-2</v>
      </c>
      <c r="E160" s="105">
        <f t="shared" si="91"/>
        <v>6.6963673170436569E-2</v>
      </c>
      <c r="F160" s="105">
        <f t="shared" si="91"/>
        <v>7.6191991475027906E-2</v>
      </c>
      <c r="G160" s="105">
        <f t="shared" si="91"/>
        <v>7.8841060826677717E-2</v>
      </c>
      <c r="H160" s="105">
        <f t="shared" si="91"/>
        <v>7.9618948941318407E-2</v>
      </c>
      <c r="I160" s="105">
        <f t="shared" si="91"/>
        <v>7.9431492482911689E-2</v>
      </c>
      <c r="J160" s="105">
        <f t="shared" si="91"/>
        <v>8.0102457190984508E-2</v>
      </c>
      <c r="K160" s="105">
        <f t="shared" si="91"/>
        <v>7.3433233413520191E-2</v>
      </c>
      <c r="L160" s="105">
        <f t="shared" ref="L160" si="92">IF(L42=0,0,L42/L$17)</f>
        <v>7.3661214001274414E-2</v>
      </c>
      <c r="M160" s="105">
        <f t="shared" ref="M160:V160" si="93">IF(M42=0,0,M42/M$17)</f>
        <v>6.8229007909956008E-2</v>
      </c>
      <c r="N160" s="105">
        <f t="shared" si="93"/>
        <v>6.7752278360752927E-2</v>
      </c>
      <c r="O160" s="105">
        <f t="shared" si="93"/>
        <v>7.089466121002673E-2</v>
      </c>
      <c r="P160" s="105">
        <f t="shared" si="93"/>
        <v>7.0951628878106202E-2</v>
      </c>
      <c r="Q160" s="105">
        <f t="shared" si="93"/>
        <v>7.1942627435517797E-2</v>
      </c>
      <c r="R160" s="105">
        <f t="shared" si="93"/>
        <v>7.432738561254669E-2</v>
      </c>
      <c r="S160" s="105">
        <f t="shared" si="93"/>
        <v>7.8384838367272391E-2</v>
      </c>
      <c r="T160" s="105">
        <f t="shared" si="93"/>
        <v>7.9440700666866162E-2</v>
      </c>
      <c r="U160" s="105">
        <f t="shared" si="93"/>
        <v>8.2529120872467429E-2</v>
      </c>
      <c r="V160" s="105">
        <f t="shared" si="93"/>
        <v>9.4976881783753908E-2</v>
      </c>
      <c r="W160" s="105">
        <f t="shared" ref="W160:Y160" si="94">IF(W42=0,0,W42/W$17)</f>
        <v>9.2032494309523746E-2</v>
      </c>
      <c r="X160" s="105">
        <f t="shared" si="94"/>
        <v>8.8183522041886023E-2</v>
      </c>
      <c r="Y160" s="105">
        <f t="shared" si="94"/>
        <v>8.4624264590304948E-2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38142673</v>
      </c>
      <c r="C3" s="54">
        <f>TrRoad_act!C57</f>
        <v>38676945</v>
      </c>
      <c r="D3" s="54">
        <f>TrRoad_act!D57</f>
        <v>39185694</v>
      </c>
      <c r="E3" s="54">
        <f>TrRoad_act!E57</f>
        <v>39642290</v>
      </c>
      <c r="F3" s="54">
        <f>TrRoad_act!F57</f>
        <v>40052579</v>
      </c>
      <c r="G3" s="54">
        <f>TrRoad_act!G57</f>
        <v>40305561</v>
      </c>
      <c r="H3" s="54">
        <f>TrRoad_act!H57</f>
        <v>40742273</v>
      </c>
      <c r="I3" s="54">
        <f>TrRoad_act!I57</f>
        <v>41337595</v>
      </c>
      <c r="J3" s="54">
        <f>TrRoad_act!J57</f>
        <v>42574876</v>
      </c>
      <c r="K3" s="54">
        <f>TrRoad_act!K57</f>
        <v>43767591</v>
      </c>
      <c r="L3" s="54">
        <f>TrRoad_act!L57</f>
        <v>44672453</v>
      </c>
      <c r="M3" s="54">
        <f>TrRoad_act!M57</f>
        <v>46297477</v>
      </c>
      <c r="N3" s="54">
        <f>TrRoad_act!N57</f>
        <v>46525394</v>
      </c>
      <c r="O3" s="54">
        <f>TrRoad_act!O57</f>
        <v>47128888</v>
      </c>
      <c r="P3" s="54">
        <f>TrRoad_act!P57</f>
        <v>47719259</v>
      </c>
      <c r="Q3" s="54">
        <f>TrRoad_act!Q57</f>
        <v>48280423</v>
      </c>
      <c r="R3" s="54">
        <f>TrRoad_act!R57</f>
        <v>48767445</v>
      </c>
      <c r="S3" s="54">
        <f>TrRoad_act!S57</f>
        <v>49107743</v>
      </c>
      <c r="T3" s="54">
        <f>TrRoad_act!T57</f>
        <v>49236027</v>
      </c>
      <c r="U3" s="54">
        <f>TrRoad_act!U57</f>
        <v>49439235</v>
      </c>
      <c r="V3" s="54">
        <f>TrRoad_act!V57</f>
        <v>49464025</v>
      </c>
      <c r="W3" s="54">
        <f>TrRoad_act!W57</f>
        <v>49487480</v>
      </c>
      <c r="X3" s="54">
        <f>TrRoad_act!X57</f>
        <v>49638528</v>
      </c>
      <c r="Y3" s="54">
        <f>TrRoad_act!Y57</f>
        <v>50182105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31727690</v>
      </c>
      <c r="C4" s="28">
        <f>TrRoad_act!C58</f>
        <v>32201089</v>
      </c>
      <c r="D4" s="28">
        <f>TrRoad_act!D58</f>
        <v>32662351</v>
      </c>
      <c r="E4" s="28">
        <f>TrRoad_act!E58</f>
        <v>33074955</v>
      </c>
      <c r="F4" s="28">
        <f>TrRoad_act!F58</f>
        <v>33435028</v>
      </c>
      <c r="G4" s="28">
        <f>TrRoad_act!G58</f>
        <v>33654493</v>
      </c>
      <c r="H4" s="28">
        <f>TrRoad_act!H58</f>
        <v>34057039</v>
      </c>
      <c r="I4" s="28">
        <f>TrRoad_act!I58</f>
        <v>34611291</v>
      </c>
      <c r="J4" s="28">
        <f>TrRoad_act!J58</f>
        <v>35806984</v>
      </c>
      <c r="K4" s="28">
        <f>TrRoad_act!K58</f>
        <v>36979364</v>
      </c>
      <c r="L4" s="28">
        <f>TrRoad_act!L58</f>
        <v>37847142</v>
      </c>
      <c r="M4" s="28">
        <f>TrRoad_act!M58</f>
        <v>39519586</v>
      </c>
      <c r="N4" s="28">
        <f>TrRoad_act!N58</f>
        <v>39763334</v>
      </c>
      <c r="O4" s="28">
        <f>TrRoad_act!O58</f>
        <v>40351983</v>
      </c>
      <c r="P4" s="28">
        <f>TrRoad_act!P58</f>
        <v>40854984</v>
      </c>
      <c r="Q4" s="28">
        <f>TrRoad_act!Q58</f>
        <v>41384982</v>
      </c>
      <c r="R4" s="28">
        <f>TrRoad_act!R58</f>
        <v>41889178</v>
      </c>
      <c r="S4" s="28">
        <f>TrRoad_act!S58</f>
        <v>42275695</v>
      </c>
      <c r="T4" s="28">
        <f>TrRoad_act!T58</f>
        <v>42402036</v>
      </c>
      <c r="U4" s="28">
        <f>TrRoad_act!U58</f>
        <v>42615123</v>
      </c>
      <c r="V4" s="28">
        <f>TrRoad_act!V58</f>
        <v>42644089</v>
      </c>
      <c r="W4" s="28">
        <f>TrRoad_act!W58</f>
        <v>42640559</v>
      </c>
      <c r="X4" s="28">
        <f>TrRoad_act!X58</f>
        <v>42773115</v>
      </c>
      <c r="Y4" s="28">
        <f>TrRoad_act!Y58</f>
        <v>43265009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3228941</v>
      </c>
      <c r="C5" s="137">
        <f>TrRoad_act!C59</f>
        <v>3269135</v>
      </c>
      <c r="D5" s="137">
        <f>TrRoad_act!D59</f>
        <v>3270475</v>
      </c>
      <c r="E5" s="137">
        <f>TrRoad_act!E59</f>
        <v>3279854</v>
      </c>
      <c r="F5" s="137">
        <f>TrRoad_act!F59</f>
        <v>3298611</v>
      </c>
      <c r="G5" s="137">
        <f>TrRoad_act!G59</f>
        <v>3316438</v>
      </c>
      <c r="H5" s="137">
        <f>TrRoad_act!H59</f>
        <v>3407887</v>
      </c>
      <c r="I5" s="137">
        <f>TrRoad_act!I59</f>
        <v>3659899</v>
      </c>
      <c r="J5" s="137">
        <f>TrRoad_act!J59</f>
        <v>3905029</v>
      </c>
      <c r="K5" s="137">
        <f>TrRoad_act!K59</f>
        <v>4094912</v>
      </c>
      <c r="L5" s="137">
        <f>TrRoad_act!L59</f>
        <v>4200457</v>
      </c>
      <c r="M5" s="137">
        <f>TrRoad_act!M59</f>
        <v>4175456</v>
      </c>
      <c r="N5" s="137">
        <f>TrRoad_act!N59</f>
        <v>4138839</v>
      </c>
      <c r="O5" s="137">
        <f>TrRoad_act!O59</f>
        <v>4113767</v>
      </c>
      <c r="P5" s="137">
        <f>TrRoad_act!P59</f>
        <v>4117278</v>
      </c>
      <c r="Q5" s="137">
        <f>TrRoad_act!Q59</f>
        <v>4114816</v>
      </c>
      <c r="R5" s="137">
        <f>TrRoad_act!R59</f>
        <v>4124034</v>
      </c>
      <c r="S5" s="137">
        <f>TrRoad_act!S59</f>
        <v>4064982</v>
      </c>
      <c r="T5" s="137">
        <f>TrRoad_act!T59</f>
        <v>4077802</v>
      </c>
      <c r="U5" s="137">
        <f>TrRoad_act!U59</f>
        <v>4096337</v>
      </c>
      <c r="V5" s="137">
        <f>TrRoad_act!V59</f>
        <v>4076015</v>
      </c>
      <c r="W5" s="137">
        <f>TrRoad_act!W59</f>
        <v>3722031</v>
      </c>
      <c r="X5" s="137">
        <f>TrRoad_act!X59</f>
        <v>3810424</v>
      </c>
      <c r="Y5" s="137">
        <f>TrRoad_act!Y59</f>
        <v>3899195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28413000</v>
      </c>
      <c r="C6" s="110">
        <f>TrRoad_act!C60</f>
        <v>28845000</v>
      </c>
      <c r="D6" s="110">
        <f>TrRoad_act!D60</f>
        <v>29306000</v>
      </c>
      <c r="E6" s="110">
        <f>TrRoad_act!E60</f>
        <v>29708000</v>
      </c>
      <c r="F6" s="110">
        <f>TrRoad_act!F60</f>
        <v>30048000</v>
      </c>
      <c r="G6" s="110">
        <f>TrRoad_act!G60</f>
        <v>30248000</v>
      </c>
      <c r="H6" s="110">
        <f>TrRoad_act!H60</f>
        <v>30557000</v>
      </c>
      <c r="I6" s="110">
        <f>TrRoad_act!I60</f>
        <v>30857000</v>
      </c>
      <c r="J6" s="110">
        <f>TrRoad_act!J60</f>
        <v>31809081</v>
      </c>
      <c r="K6" s="110">
        <f>TrRoad_act!K60</f>
        <v>32794000</v>
      </c>
      <c r="L6" s="110">
        <f>TrRoad_act!L60</f>
        <v>33557000</v>
      </c>
      <c r="M6" s="110">
        <f>TrRoad_act!M60</f>
        <v>35252631</v>
      </c>
      <c r="N6" s="110">
        <f>TrRoad_act!N60</f>
        <v>35531728</v>
      </c>
      <c r="O6" s="110">
        <f>TrRoad_act!O60</f>
        <v>36149230</v>
      </c>
      <c r="P6" s="110">
        <f>TrRoad_act!P60</f>
        <v>36647883</v>
      </c>
      <c r="Q6" s="110">
        <f>TrRoad_act!Q60</f>
        <v>37180101</v>
      </c>
      <c r="R6" s="110">
        <f>TrRoad_act!R60</f>
        <v>37673476</v>
      </c>
      <c r="S6" s="110">
        <f>TrRoad_act!S60</f>
        <v>38117663</v>
      </c>
      <c r="T6" s="110">
        <f>TrRoad_act!T60</f>
        <v>38229305</v>
      </c>
      <c r="U6" s="110">
        <f>TrRoad_act!U60</f>
        <v>38421218</v>
      </c>
      <c r="V6" s="110">
        <f>TrRoad_act!V60</f>
        <v>38467643</v>
      </c>
      <c r="W6" s="110">
        <f>TrRoad_act!W60</f>
        <v>38814659</v>
      </c>
      <c r="X6" s="110">
        <f>TrRoad_act!X60</f>
        <v>38856492</v>
      </c>
      <c r="Y6" s="110">
        <f>TrRoad_act!Y60</f>
        <v>39258636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18086443</v>
      </c>
      <c r="C7" s="84">
        <f>TrRoad_act!C61</f>
        <v>17700627</v>
      </c>
      <c r="D7" s="84">
        <f>TrRoad_act!D61</f>
        <v>17250179</v>
      </c>
      <c r="E7" s="84">
        <f>TrRoad_act!E61</f>
        <v>16768647</v>
      </c>
      <c r="F7" s="84">
        <f>TrRoad_act!F61</f>
        <v>16262618</v>
      </c>
      <c r="G7" s="84">
        <f>TrRoad_act!G61</f>
        <v>15720999</v>
      </c>
      <c r="H7" s="84">
        <f>TrRoad_act!H61</f>
        <v>15247017</v>
      </c>
      <c r="I7" s="84">
        <f>TrRoad_act!I61</f>
        <v>14783826</v>
      </c>
      <c r="J7" s="84">
        <f>TrRoad_act!J61</f>
        <v>14386759</v>
      </c>
      <c r="K7" s="84">
        <f>TrRoad_act!K61</f>
        <v>14043689</v>
      </c>
      <c r="L7" s="84">
        <f>TrRoad_act!L61</f>
        <v>13735839</v>
      </c>
      <c r="M7" s="84">
        <f>TrRoad_act!M61</f>
        <v>13397124</v>
      </c>
      <c r="N7" s="84">
        <f>TrRoad_act!N61</f>
        <v>13085232</v>
      </c>
      <c r="O7" s="84">
        <f>TrRoad_act!O61</f>
        <v>12957630</v>
      </c>
      <c r="P7" s="84">
        <f>TrRoad_act!P61</f>
        <v>12979782</v>
      </c>
      <c r="Q7" s="84">
        <f>TrRoad_act!Q61</f>
        <v>13187804</v>
      </c>
      <c r="R7" s="84">
        <f>TrRoad_act!R61</f>
        <v>13533676</v>
      </c>
      <c r="S7" s="84">
        <f>TrRoad_act!S61</f>
        <v>14034890</v>
      </c>
      <c r="T7" s="84">
        <f>TrRoad_act!T61</f>
        <v>14658014</v>
      </c>
      <c r="U7" s="84">
        <f>TrRoad_act!U61</f>
        <v>15372042</v>
      </c>
      <c r="V7" s="84">
        <f>TrRoad_act!V61</f>
        <v>15788667</v>
      </c>
      <c r="W7" s="84">
        <f>TrRoad_act!W61</f>
        <v>16367202</v>
      </c>
      <c r="X7" s="84">
        <f>TrRoad_act!X61</f>
        <v>16837627</v>
      </c>
      <c r="Y7" s="84">
        <f>TrRoad_act!Y61</f>
        <v>17478037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9983557</v>
      </c>
      <c r="C8" s="84">
        <f>TrRoad_act!C62</f>
        <v>10821522</v>
      </c>
      <c r="D8" s="84">
        <f>TrRoad_act!D62</f>
        <v>11762119</v>
      </c>
      <c r="E8" s="84">
        <f>TrRoad_act!E62</f>
        <v>12681843</v>
      </c>
      <c r="F8" s="84">
        <f>TrRoad_act!F62</f>
        <v>13550519</v>
      </c>
      <c r="G8" s="84">
        <f>TrRoad_act!G62</f>
        <v>14317878</v>
      </c>
      <c r="H8" s="84">
        <f>TrRoad_act!H62</f>
        <v>15125088</v>
      </c>
      <c r="I8" s="84">
        <f>TrRoad_act!I62</f>
        <v>15912958</v>
      </c>
      <c r="J8" s="84">
        <f>TrRoad_act!J62</f>
        <v>17233800</v>
      </c>
      <c r="K8" s="84">
        <f>TrRoad_act!K62</f>
        <v>18556428</v>
      </c>
      <c r="L8" s="84">
        <f>TrRoad_act!L62</f>
        <v>19621210</v>
      </c>
      <c r="M8" s="84">
        <f>TrRoad_act!M62</f>
        <v>21625270</v>
      </c>
      <c r="N8" s="84">
        <f>TrRoad_act!N62</f>
        <v>22229392</v>
      </c>
      <c r="O8" s="84">
        <f>TrRoad_act!O62</f>
        <v>22988226</v>
      </c>
      <c r="P8" s="84">
        <f>TrRoad_act!P62</f>
        <v>23469050</v>
      </c>
      <c r="Q8" s="84">
        <f>TrRoad_act!Q62</f>
        <v>23779488</v>
      </c>
      <c r="R8" s="84">
        <f>TrRoad_act!R62</f>
        <v>23905996</v>
      </c>
      <c r="S8" s="84">
        <f>TrRoad_act!S62</f>
        <v>23818127</v>
      </c>
      <c r="T8" s="84">
        <f>TrRoad_act!T62</f>
        <v>23258237</v>
      </c>
      <c r="U8" s="84">
        <f>TrRoad_act!U62</f>
        <v>22667514</v>
      </c>
      <c r="V8" s="84">
        <f>TrRoad_act!V62</f>
        <v>22103314</v>
      </c>
      <c r="W8" s="84">
        <f>TrRoad_act!W62</f>
        <v>21541996</v>
      </c>
      <c r="X8" s="84">
        <f>TrRoad_act!X62</f>
        <v>20741554</v>
      </c>
      <c r="Y8" s="84">
        <f>TrRoad_act!Y62</f>
        <v>20082525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343000</v>
      </c>
      <c r="C9" s="84">
        <f>TrRoad_act!C63</f>
        <v>322851</v>
      </c>
      <c r="D9" s="84">
        <f>TrRoad_act!D63</f>
        <v>293702</v>
      </c>
      <c r="E9" s="84">
        <f>TrRoad_act!E63</f>
        <v>257510</v>
      </c>
      <c r="F9" s="84">
        <f>TrRoad_act!F63</f>
        <v>234863</v>
      </c>
      <c r="G9" s="84">
        <f>TrRoad_act!G63</f>
        <v>209123</v>
      </c>
      <c r="H9" s="84">
        <f>TrRoad_act!H63</f>
        <v>184881</v>
      </c>
      <c r="I9" s="84">
        <f>TrRoad_act!I63</f>
        <v>159721</v>
      </c>
      <c r="J9" s="84">
        <f>TrRoad_act!J63</f>
        <v>185000</v>
      </c>
      <c r="K9" s="84">
        <f>TrRoad_act!K63</f>
        <v>190000</v>
      </c>
      <c r="L9" s="84">
        <f>TrRoad_act!L63</f>
        <v>195918</v>
      </c>
      <c r="M9" s="84">
        <f>TrRoad_act!M63</f>
        <v>223377</v>
      </c>
      <c r="N9" s="84">
        <f>TrRoad_act!N63</f>
        <v>207684</v>
      </c>
      <c r="O9" s="84">
        <f>TrRoad_act!O63</f>
        <v>184011</v>
      </c>
      <c r="P9" s="84">
        <f>TrRoad_act!P63</f>
        <v>169613</v>
      </c>
      <c r="Q9" s="84">
        <f>TrRoad_act!Q63</f>
        <v>161929</v>
      </c>
      <c r="R9" s="84">
        <f>TrRoad_act!R63</f>
        <v>153985</v>
      </c>
      <c r="S9" s="84">
        <f>TrRoad_act!S63</f>
        <v>147128</v>
      </c>
      <c r="T9" s="84">
        <f>TrRoad_act!T63</f>
        <v>144435</v>
      </c>
      <c r="U9" s="84">
        <f>TrRoad_act!U63</f>
        <v>144469</v>
      </c>
      <c r="V9" s="84">
        <f>TrRoad_act!V63</f>
        <v>143788</v>
      </c>
      <c r="W9" s="84">
        <f>TrRoad_act!W63</f>
        <v>158723</v>
      </c>
      <c r="X9" s="84">
        <f>TrRoad_act!X63</f>
        <v>172911</v>
      </c>
      <c r="Y9" s="84">
        <f>TrRoad_act!Y63</f>
        <v>202541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475</v>
      </c>
      <c r="J10" s="84">
        <f>TrRoad_act!J64</f>
        <v>920</v>
      </c>
      <c r="K10" s="84">
        <f>TrRoad_act!K64</f>
        <v>1284</v>
      </c>
      <c r="L10" s="84">
        <f>TrRoad_act!L64</f>
        <v>1429</v>
      </c>
      <c r="M10" s="84">
        <f>TrRoad_act!M64</f>
        <v>1567</v>
      </c>
      <c r="N10" s="84">
        <f>TrRoad_act!N64</f>
        <v>1681</v>
      </c>
      <c r="O10" s="84">
        <f>TrRoad_act!O64</f>
        <v>1732</v>
      </c>
      <c r="P10" s="84">
        <f>TrRoad_act!P64</f>
        <v>1761</v>
      </c>
      <c r="Q10" s="84">
        <f>TrRoad_act!Q64</f>
        <v>1862</v>
      </c>
      <c r="R10" s="84">
        <f>TrRoad_act!R64</f>
        <v>2127</v>
      </c>
      <c r="S10" s="84">
        <f>TrRoad_act!S64</f>
        <v>2173</v>
      </c>
      <c r="T10" s="84">
        <f>TrRoad_act!T64</f>
        <v>2202</v>
      </c>
      <c r="U10" s="84">
        <f>TrRoad_act!U64</f>
        <v>2382</v>
      </c>
      <c r="V10" s="84">
        <f>TrRoad_act!V64</f>
        <v>2668</v>
      </c>
      <c r="W10" s="84">
        <f>TrRoad_act!W64</f>
        <v>2686</v>
      </c>
      <c r="X10" s="84">
        <f>TrRoad_act!X64</f>
        <v>2714</v>
      </c>
      <c r="Y10" s="84">
        <f>TrRoad_act!Y64</f>
        <v>4849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668</v>
      </c>
      <c r="O11" s="84">
        <f>TrRoad_act!O65</f>
        <v>1466</v>
      </c>
      <c r="P11" s="84">
        <f>TrRoad_act!P65</f>
        <v>2985</v>
      </c>
      <c r="Q11" s="84">
        <f>TrRoad_act!Q65</f>
        <v>8025</v>
      </c>
      <c r="R11" s="84">
        <f>TrRoad_act!R65</f>
        <v>14492</v>
      </c>
      <c r="S11" s="84">
        <f>TrRoad_act!S65</f>
        <v>25295</v>
      </c>
      <c r="T11" s="84">
        <f>TrRoad_act!T65</f>
        <v>38734</v>
      </c>
      <c r="U11" s="84">
        <f>TrRoad_act!U65</f>
        <v>57294</v>
      </c>
      <c r="V11" s="84">
        <f>TrRoad_act!V65</f>
        <v>132309</v>
      </c>
      <c r="W11" s="84">
        <f>TrRoad_act!W65</f>
        <v>273600</v>
      </c>
      <c r="X11" s="84">
        <f>TrRoad_act!X65</f>
        <v>411593</v>
      </c>
      <c r="Y11" s="84">
        <f>TrRoad_act!Y65</f>
        <v>574602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14</v>
      </c>
      <c r="I12" s="84">
        <f>TrRoad_act!I66</f>
        <v>20</v>
      </c>
      <c r="J12" s="84">
        <f>TrRoad_act!J66</f>
        <v>2602</v>
      </c>
      <c r="K12" s="84">
        <f>TrRoad_act!K66</f>
        <v>2599</v>
      </c>
      <c r="L12" s="84">
        <f>TrRoad_act!L66</f>
        <v>2604</v>
      </c>
      <c r="M12" s="84">
        <f>TrRoad_act!M66</f>
        <v>5293</v>
      </c>
      <c r="N12" s="84">
        <f>TrRoad_act!N66</f>
        <v>7071</v>
      </c>
      <c r="O12" s="84">
        <f>TrRoad_act!O66</f>
        <v>16165</v>
      </c>
      <c r="P12" s="84">
        <f>TrRoad_act!P66</f>
        <v>24692</v>
      </c>
      <c r="Q12" s="84">
        <f>TrRoad_act!Q66</f>
        <v>40993</v>
      </c>
      <c r="R12" s="84">
        <f>TrRoad_act!R66</f>
        <v>63200</v>
      </c>
      <c r="S12" s="84">
        <f>TrRoad_act!S66</f>
        <v>90050</v>
      </c>
      <c r="T12" s="84">
        <f>TrRoad_act!T66</f>
        <v>127683</v>
      </c>
      <c r="U12" s="84">
        <f>TrRoad_act!U66</f>
        <v>177517</v>
      </c>
      <c r="V12" s="84">
        <f>TrRoad_act!V66</f>
        <v>296897</v>
      </c>
      <c r="W12" s="84">
        <f>TrRoad_act!W66</f>
        <v>470452</v>
      </c>
      <c r="X12" s="84">
        <f>TrRoad_act!X66</f>
        <v>690093</v>
      </c>
      <c r="Y12" s="84">
        <f>TrRoad_act!Y66</f>
        <v>916082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85749</v>
      </c>
      <c r="C13" s="110">
        <f>TrRoad_act!C67</f>
        <v>86954</v>
      </c>
      <c r="D13" s="110">
        <f>TrRoad_act!D67</f>
        <v>85876</v>
      </c>
      <c r="E13" s="110">
        <f>TrRoad_act!E67</f>
        <v>87101</v>
      </c>
      <c r="F13" s="110">
        <f>TrRoad_act!F67</f>
        <v>88417</v>
      </c>
      <c r="G13" s="110">
        <f>TrRoad_act!G67</f>
        <v>90055</v>
      </c>
      <c r="H13" s="110">
        <f>TrRoad_act!H67</f>
        <v>92152</v>
      </c>
      <c r="I13" s="110">
        <f>TrRoad_act!I67</f>
        <v>94392</v>
      </c>
      <c r="J13" s="110">
        <f>TrRoad_act!J67</f>
        <v>92874</v>
      </c>
      <c r="K13" s="110">
        <f>TrRoad_act!K67</f>
        <v>90452</v>
      </c>
      <c r="L13" s="110">
        <f>TrRoad_act!L67</f>
        <v>89685</v>
      </c>
      <c r="M13" s="110">
        <f>TrRoad_act!M67</f>
        <v>91499</v>
      </c>
      <c r="N13" s="110">
        <f>TrRoad_act!N67</f>
        <v>92767</v>
      </c>
      <c r="O13" s="110">
        <f>TrRoad_act!O67</f>
        <v>88986</v>
      </c>
      <c r="P13" s="110">
        <f>TrRoad_act!P67</f>
        <v>89823</v>
      </c>
      <c r="Q13" s="110">
        <f>TrRoad_act!Q67</f>
        <v>90065</v>
      </c>
      <c r="R13" s="110">
        <f>TrRoad_act!R67</f>
        <v>91668</v>
      </c>
      <c r="S13" s="110">
        <f>TrRoad_act!S67</f>
        <v>93050</v>
      </c>
      <c r="T13" s="110">
        <f>TrRoad_act!T67</f>
        <v>94929</v>
      </c>
      <c r="U13" s="110">
        <f>TrRoad_act!U67</f>
        <v>97568</v>
      </c>
      <c r="V13" s="110">
        <f>TrRoad_act!V67</f>
        <v>100431</v>
      </c>
      <c r="W13" s="110">
        <f>TrRoad_act!W67</f>
        <v>103869</v>
      </c>
      <c r="X13" s="110">
        <f>TrRoad_act!X67</f>
        <v>106199</v>
      </c>
      <c r="Y13" s="110">
        <f>TrRoad_act!Y67</f>
        <v>107178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1273</v>
      </c>
      <c r="C14" s="102">
        <f>TrRoad_act!C68</f>
        <v>1208</v>
      </c>
      <c r="D14" s="102">
        <f>TrRoad_act!D68</f>
        <v>1138</v>
      </c>
      <c r="E14" s="102">
        <f>TrRoad_act!E68</f>
        <v>1062</v>
      </c>
      <c r="F14" s="102">
        <f>TrRoad_act!F68</f>
        <v>984</v>
      </c>
      <c r="G14" s="102">
        <f>TrRoad_act!G68</f>
        <v>903</v>
      </c>
      <c r="H14" s="102">
        <f>TrRoad_act!H68</f>
        <v>821</v>
      </c>
      <c r="I14" s="102">
        <f>TrRoad_act!I68</f>
        <v>740</v>
      </c>
      <c r="J14" s="102">
        <f>TrRoad_act!J68</f>
        <v>661</v>
      </c>
      <c r="K14" s="102">
        <f>TrRoad_act!K68</f>
        <v>584</v>
      </c>
      <c r="L14" s="102">
        <f>TrRoad_act!L68</f>
        <v>511</v>
      </c>
      <c r="M14" s="102">
        <f>TrRoad_act!M68</f>
        <v>441</v>
      </c>
      <c r="N14" s="102">
        <f>TrRoad_act!N68</f>
        <v>378</v>
      </c>
      <c r="O14" s="102">
        <f>TrRoad_act!O68</f>
        <v>319</v>
      </c>
      <c r="P14" s="102">
        <f>TrRoad_act!P68</f>
        <v>265</v>
      </c>
      <c r="Q14" s="102">
        <f>TrRoad_act!Q68</f>
        <v>218</v>
      </c>
      <c r="R14" s="102">
        <f>TrRoad_act!R68</f>
        <v>217</v>
      </c>
      <c r="S14" s="102">
        <f>TrRoad_act!S68</f>
        <v>219</v>
      </c>
      <c r="T14" s="102">
        <f>TrRoad_act!T68</f>
        <v>218</v>
      </c>
      <c r="U14" s="102">
        <f>TrRoad_act!U68</f>
        <v>230</v>
      </c>
      <c r="V14" s="102">
        <f>TrRoad_act!V68</f>
        <v>250</v>
      </c>
      <c r="W14" s="102">
        <f>TrRoad_act!W68</f>
        <v>261</v>
      </c>
      <c r="X14" s="102">
        <f>TrRoad_act!X68</f>
        <v>221</v>
      </c>
      <c r="Y14" s="102">
        <f>TrRoad_act!Y68</f>
        <v>186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84165</v>
      </c>
      <c r="C15" s="102">
        <f>TrRoad_act!C69</f>
        <v>84948</v>
      </c>
      <c r="D15" s="102">
        <f>TrRoad_act!D69</f>
        <v>83869</v>
      </c>
      <c r="E15" s="102">
        <f>TrRoad_act!E69</f>
        <v>84940</v>
      </c>
      <c r="F15" s="102">
        <f>TrRoad_act!F69</f>
        <v>86174</v>
      </c>
      <c r="G15" s="102">
        <f>TrRoad_act!G69</f>
        <v>87802</v>
      </c>
      <c r="H15" s="102">
        <f>TrRoad_act!H69</f>
        <v>89866</v>
      </c>
      <c r="I15" s="102">
        <f>TrRoad_act!I69</f>
        <v>92009</v>
      </c>
      <c r="J15" s="102">
        <f>TrRoad_act!J69</f>
        <v>90377</v>
      </c>
      <c r="K15" s="102">
        <f>TrRoad_act!K69</f>
        <v>88073</v>
      </c>
      <c r="L15" s="102">
        <f>TrRoad_act!L69</f>
        <v>87431</v>
      </c>
      <c r="M15" s="102">
        <f>TrRoad_act!M69</f>
        <v>87172</v>
      </c>
      <c r="N15" s="102">
        <f>TrRoad_act!N69</f>
        <v>87958</v>
      </c>
      <c r="O15" s="102">
        <f>TrRoad_act!O69</f>
        <v>82883</v>
      </c>
      <c r="P15" s="102">
        <f>TrRoad_act!P69</f>
        <v>83418</v>
      </c>
      <c r="Q15" s="102">
        <f>TrRoad_act!Q69</f>
        <v>83553</v>
      </c>
      <c r="R15" s="102">
        <f>TrRoad_act!R69</f>
        <v>85166</v>
      </c>
      <c r="S15" s="102">
        <f>TrRoad_act!S69</f>
        <v>86100</v>
      </c>
      <c r="T15" s="102">
        <f>TrRoad_act!T69</f>
        <v>86980</v>
      </c>
      <c r="U15" s="102">
        <f>TrRoad_act!U69</f>
        <v>87225</v>
      </c>
      <c r="V15" s="102">
        <f>TrRoad_act!V69</f>
        <v>86632</v>
      </c>
      <c r="W15" s="102">
        <f>TrRoad_act!W69</f>
        <v>85758</v>
      </c>
      <c r="X15" s="102">
        <f>TrRoad_act!X69</f>
        <v>84968</v>
      </c>
      <c r="Y15" s="102">
        <f>TrRoad_act!Y69</f>
        <v>83367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147</v>
      </c>
      <c r="C16" s="102">
        <f>TrRoad_act!C70</f>
        <v>175</v>
      </c>
      <c r="D16" s="102">
        <f>TrRoad_act!D70</f>
        <v>173</v>
      </c>
      <c r="E16" s="102">
        <f>TrRoad_act!E70</f>
        <v>183</v>
      </c>
      <c r="F16" s="102">
        <f>TrRoad_act!F70</f>
        <v>189</v>
      </c>
      <c r="G16" s="102">
        <f>TrRoad_act!G70</f>
        <v>191</v>
      </c>
      <c r="H16" s="102">
        <f>TrRoad_act!H70</f>
        <v>153</v>
      </c>
      <c r="I16" s="102">
        <f>TrRoad_act!I70</f>
        <v>180</v>
      </c>
      <c r="J16" s="102">
        <f>TrRoad_act!J70</f>
        <v>171</v>
      </c>
      <c r="K16" s="102">
        <f>TrRoad_act!K70</f>
        <v>163</v>
      </c>
      <c r="L16" s="102">
        <f>TrRoad_act!L70</f>
        <v>154</v>
      </c>
      <c r="M16" s="102">
        <f>TrRoad_act!M70</f>
        <v>144</v>
      </c>
      <c r="N16" s="102">
        <f>TrRoad_act!N70</f>
        <v>135</v>
      </c>
      <c r="O16" s="102">
        <f>TrRoad_act!O70</f>
        <v>126</v>
      </c>
      <c r="P16" s="102">
        <f>TrRoad_act!P70</f>
        <v>116</v>
      </c>
      <c r="Q16" s="102">
        <f>TrRoad_act!Q70</f>
        <v>107</v>
      </c>
      <c r="R16" s="102">
        <f>TrRoad_act!R70</f>
        <v>102</v>
      </c>
      <c r="S16" s="102">
        <f>TrRoad_act!S70</f>
        <v>97</v>
      </c>
      <c r="T16" s="102">
        <f>TrRoad_act!T70</f>
        <v>92</v>
      </c>
      <c r="U16" s="102">
        <f>TrRoad_act!U70</f>
        <v>86</v>
      </c>
      <c r="V16" s="102">
        <f>TrRoad_act!V70</f>
        <v>81</v>
      </c>
      <c r="W16" s="102">
        <f>TrRoad_act!W70</f>
        <v>75</v>
      </c>
      <c r="X16" s="102">
        <f>TrRoad_act!X70</f>
        <v>66</v>
      </c>
      <c r="Y16" s="102">
        <f>TrRoad_act!Y70</f>
        <v>57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17</v>
      </c>
      <c r="C17" s="102">
        <f>TrRoad_act!C71</f>
        <v>459</v>
      </c>
      <c r="D17" s="102">
        <f>TrRoad_act!D71</f>
        <v>513</v>
      </c>
      <c r="E17" s="102">
        <f>TrRoad_act!E71</f>
        <v>718</v>
      </c>
      <c r="F17" s="102">
        <f>TrRoad_act!F71</f>
        <v>857</v>
      </c>
      <c r="G17" s="102">
        <f>TrRoad_act!G71</f>
        <v>948</v>
      </c>
      <c r="H17" s="102">
        <f>TrRoad_act!H71</f>
        <v>1106</v>
      </c>
      <c r="I17" s="102">
        <f>TrRoad_act!I71</f>
        <v>1263</v>
      </c>
      <c r="J17" s="102">
        <f>TrRoad_act!J71</f>
        <v>1471</v>
      </c>
      <c r="K17" s="102">
        <f>TrRoad_act!K71</f>
        <v>1448</v>
      </c>
      <c r="L17" s="102">
        <f>TrRoad_act!L71</f>
        <v>1416</v>
      </c>
      <c r="M17" s="102">
        <f>TrRoad_act!M71</f>
        <v>3579</v>
      </c>
      <c r="N17" s="102">
        <f>TrRoad_act!N71</f>
        <v>4115</v>
      </c>
      <c r="O17" s="102">
        <f>TrRoad_act!O71</f>
        <v>5378</v>
      </c>
      <c r="P17" s="102">
        <f>TrRoad_act!P71</f>
        <v>5720</v>
      </c>
      <c r="Q17" s="102">
        <f>TrRoad_act!Q71</f>
        <v>5852</v>
      </c>
      <c r="R17" s="102">
        <f>TrRoad_act!R71</f>
        <v>5804</v>
      </c>
      <c r="S17" s="102">
        <f>TrRoad_act!S71</f>
        <v>6208</v>
      </c>
      <c r="T17" s="102">
        <f>TrRoad_act!T71</f>
        <v>7194</v>
      </c>
      <c r="U17" s="102">
        <f>TrRoad_act!U71</f>
        <v>9326</v>
      </c>
      <c r="V17" s="102">
        <f>TrRoad_act!V71</f>
        <v>12640</v>
      </c>
      <c r="W17" s="102">
        <f>TrRoad_act!W71</f>
        <v>16289</v>
      </c>
      <c r="X17" s="102">
        <f>TrRoad_act!X71</f>
        <v>18897</v>
      </c>
      <c r="Y17" s="102">
        <f>TrRoad_act!Y71</f>
        <v>21094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147</v>
      </c>
      <c r="C18" s="102">
        <f>TrRoad_act!C72</f>
        <v>164</v>
      </c>
      <c r="D18" s="102">
        <f>TrRoad_act!D72</f>
        <v>183</v>
      </c>
      <c r="E18" s="102">
        <f>TrRoad_act!E72</f>
        <v>198</v>
      </c>
      <c r="F18" s="102">
        <f>TrRoad_act!F72</f>
        <v>213</v>
      </c>
      <c r="G18" s="102">
        <f>TrRoad_act!G72</f>
        <v>211</v>
      </c>
      <c r="H18" s="102">
        <f>TrRoad_act!H72</f>
        <v>206</v>
      </c>
      <c r="I18" s="102">
        <f>TrRoad_act!I72</f>
        <v>200</v>
      </c>
      <c r="J18" s="102">
        <f>TrRoad_act!J72</f>
        <v>194</v>
      </c>
      <c r="K18" s="102">
        <f>TrRoad_act!K72</f>
        <v>184</v>
      </c>
      <c r="L18" s="102">
        <f>TrRoad_act!L72</f>
        <v>173</v>
      </c>
      <c r="M18" s="102">
        <f>TrRoad_act!M72</f>
        <v>163</v>
      </c>
      <c r="N18" s="102">
        <f>TrRoad_act!N72</f>
        <v>181</v>
      </c>
      <c r="O18" s="102">
        <f>TrRoad_act!O72</f>
        <v>280</v>
      </c>
      <c r="P18" s="102">
        <f>TrRoad_act!P72</f>
        <v>304</v>
      </c>
      <c r="Q18" s="102">
        <f>TrRoad_act!Q72</f>
        <v>335</v>
      </c>
      <c r="R18" s="102">
        <f>TrRoad_act!R72</f>
        <v>379</v>
      </c>
      <c r="S18" s="102">
        <f>TrRoad_act!S72</f>
        <v>426</v>
      </c>
      <c r="T18" s="102">
        <f>TrRoad_act!T72</f>
        <v>445</v>
      </c>
      <c r="U18" s="102">
        <f>TrRoad_act!U72</f>
        <v>701</v>
      </c>
      <c r="V18" s="102">
        <f>TrRoad_act!V72</f>
        <v>828</v>
      </c>
      <c r="W18" s="102">
        <f>TrRoad_act!W72</f>
        <v>1486</v>
      </c>
      <c r="X18" s="102">
        <f>TrRoad_act!X72</f>
        <v>2047</v>
      </c>
      <c r="Y18" s="102">
        <f>TrRoad_act!Y72</f>
        <v>2474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6414983</v>
      </c>
      <c r="C19" s="28">
        <f>TrRoad_act!C73</f>
        <v>6475856</v>
      </c>
      <c r="D19" s="28">
        <f>TrRoad_act!D73</f>
        <v>6523343</v>
      </c>
      <c r="E19" s="28">
        <f>TrRoad_act!E73</f>
        <v>6567335</v>
      </c>
      <c r="F19" s="28">
        <f>TrRoad_act!F73</f>
        <v>6617551</v>
      </c>
      <c r="G19" s="28">
        <f>TrRoad_act!G73</f>
        <v>6651068</v>
      </c>
      <c r="H19" s="28">
        <f>TrRoad_act!H73</f>
        <v>6685234</v>
      </c>
      <c r="I19" s="28">
        <f>TrRoad_act!I73</f>
        <v>6726304</v>
      </c>
      <c r="J19" s="28">
        <f>TrRoad_act!J73</f>
        <v>6767892</v>
      </c>
      <c r="K19" s="28">
        <f>TrRoad_act!K73</f>
        <v>6788227</v>
      </c>
      <c r="L19" s="28">
        <f>TrRoad_act!L73</f>
        <v>6825311</v>
      </c>
      <c r="M19" s="28">
        <f>TrRoad_act!M73</f>
        <v>6777891</v>
      </c>
      <c r="N19" s="28">
        <f>TrRoad_act!N73</f>
        <v>6762060</v>
      </c>
      <c r="O19" s="28">
        <f>TrRoad_act!O73</f>
        <v>6776905</v>
      </c>
      <c r="P19" s="28">
        <f>TrRoad_act!P73</f>
        <v>6864275</v>
      </c>
      <c r="Q19" s="28">
        <f>TrRoad_act!Q73</f>
        <v>6895441</v>
      </c>
      <c r="R19" s="28">
        <f>TrRoad_act!R73</f>
        <v>6878267</v>
      </c>
      <c r="S19" s="28">
        <f>TrRoad_act!S73</f>
        <v>6832048</v>
      </c>
      <c r="T19" s="28">
        <f>TrRoad_act!T73</f>
        <v>6833991</v>
      </c>
      <c r="U19" s="28">
        <f>TrRoad_act!U73</f>
        <v>6824112</v>
      </c>
      <c r="V19" s="28">
        <f>TrRoad_act!V73</f>
        <v>6819936</v>
      </c>
      <c r="W19" s="28">
        <f>TrRoad_act!W73</f>
        <v>6846921</v>
      </c>
      <c r="X19" s="28">
        <f>TrRoad_act!X73</f>
        <v>6865413</v>
      </c>
      <c r="Y19" s="28">
        <f>TrRoad_act!Y73</f>
        <v>6917096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5894666</v>
      </c>
      <c r="C20" s="137">
        <f>TrRoad_act!C74</f>
        <v>5936465</v>
      </c>
      <c r="D20" s="137">
        <f>TrRoad_act!D74</f>
        <v>5969141</v>
      </c>
      <c r="E20" s="137">
        <f>TrRoad_act!E74</f>
        <v>6002578</v>
      </c>
      <c r="F20" s="137">
        <f>TrRoad_act!F74</f>
        <v>6033918</v>
      </c>
      <c r="G20" s="137">
        <f>TrRoad_act!G74</f>
        <v>6056108</v>
      </c>
      <c r="H20" s="137">
        <f>TrRoad_act!H74</f>
        <v>6079536</v>
      </c>
      <c r="I20" s="137">
        <f>TrRoad_act!I74</f>
        <v>6109204</v>
      </c>
      <c r="J20" s="137">
        <f>TrRoad_act!J74</f>
        <v>6136275</v>
      </c>
      <c r="K20" s="137">
        <f>TrRoad_act!K74</f>
        <v>6154035</v>
      </c>
      <c r="L20" s="137">
        <f>TrRoad_act!L74</f>
        <v>6168004</v>
      </c>
      <c r="M20" s="137">
        <f>TrRoad_act!M74</f>
        <v>6128783</v>
      </c>
      <c r="N20" s="137">
        <f>TrRoad_act!N74</f>
        <v>6124619</v>
      </c>
      <c r="O20" s="137">
        <f>TrRoad_act!O74</f>
        <v>6145325</v>
      </c>
      <c r="P20" s="137">
        <f>TrRoad_act!P74</f>
        <v>6231811</v>
      </c>
      <c r="Q20" s="137">
        <f>TrRoad_act!Q74</f>
        <v>6270612</v>
      </c>
      <c r="R20" s="137">
        <f>TrRoad_act!R74</f>
        <v>6257151</v>
      </c>
      <c r="S20" s="137">
        <f>TrRoad_act!S74</f>
        <v>6204939</v>
      </c>
      <c r="T20" s="137">
        <f>TrRoad_act!T74</f>
        <v>6201035</v>
      </c>
      <c r="U20" s="137">
        <f>TrRoad_act!U74</f>
        <v>6179774</v>
      </c>
      <c r="V20" s="137">
        <f>TrRoad_act!V74</f>
        <v>6179040</v>
      </c>
      <c r="W20" s="137">
        <f>TrRoad_act!W74</f>
        <v>6196224</v>
      </c>
      <c r="X20" s="137">
        <f>TrRoad_act!X74</f>
        <v>6218463</v>
      </c>
      <c r="Y20" s="137">
        <f>TrRoad_act!Y74</f>
        <v>6270016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770989</v>
      </c>
      <c r="C21" s="84">
        <f>TrRoad_act!C75</f>
        <v>643004</v>
      </c>
      <c r="D21" s="84">
        <f>TrRoad_act!D75</f>
        <v>536982</v>
      </c>
      <c r="E21" s="84">
        <f>TrRoad_act!E75</f>
        <v>431848</v>
      </c>
      <c r="F21" s="84">
        <f>TrRoad_act!F75</f>
        <v>346145</v>
      </c>
      <c r="G21" s="84">
        <f>TrRoad_act!G75</f>
        <v>291811</v>
      </c>
      <c r="H21" s="84">
        <f>TrRoad_act!H75</f>
        <v>249479</v>
      </c>
      <c r="I21" s="84">
        <f>TrRoad_act!I75</f>
        <v>221454</v>
      </c>
      <c r="J21" s="84">
        <f>TrRoad_act!J75</f>
        <v>210763</v>
      </c>
      <c r="K21" s="84">
        <f>TrRoad_act!K75</f>
        <v>196991</v>
      </c>
      <c r="L21" s="84">
        <f>TrRoad_act!L75</f>
        <v>218701</v>
      </c>
      <c r="M21" s="84">
        <f>TrRoad_act!M75</f>
        <v>244990</v>
      </c>
      <c r="N21" s="84">
        <f>TrRoad_act!N75</f>
        <v>272485</v>
      </c>
      <c r="O21" s="84">
        <f>TrRoad_act!O75</f>
        <v>303014</v>
      </c>
      <c r="P21" s="84">
        <f>TrRoad_act!P75</f>
        <v>286631</v>
      </c>
      <c r="Q21" s="84">
        <f>TrRoad_act!Q75</f>
        <v>269150</v>
      </c>
      <c r="R21" s="84">
        <f>TrRoad_act!R75</f>
        <v>249615</v>
      </c>
      <c r="S21" s="84">
        <f>TrRoad_act!S75</f>
        <v>229737</v>
      </c>
      <c r="T21" s="84">
        <f>TrRoad_act!T75</f>
        <v>215964</v>
      </c>
      <c r="U21" s="84">
        <f>TrRoad_act!U75</f>
        <v>197030</v>
      </c>
      <c r="V21" s="84">
        <f>TrRoad_act!V75</f>
        <v>186775</v>
      </c>
      <c r="W21" s="84">
        <f>TrRoad_act!W75</f>
        <v>189436</v>
      </c>
      <c r="X21" s="84">
        <f>TrRoad_act!X75</f>
        <v>198094</v>
      </c>
      <c r="Y21" s="84">
        <f>TrRoad_act!Y75</f>
        <v>224508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5097990</v>
      </c>
      <c r="C22" s="84">
        <f>TrRoad_act!C76</f>
        <v>5265605</v>
      </c>
      <c r="D22" s="84">
        <f>TrRoad_act!D76</f>
        <v>5403184</v>
      </c>
      <c r="E22" s="84">
        <f>TrRoad_act!E76</f>
        <v>5540874</v>
      </c>
      <c r="F22" s="84">
        <f>TrRoad_act!F76</f>
        <v>5656919</v>
      </c>
      <c r="G22" s="84">
        <f>TrRoad_act!G76</f>
        <v>5732573</v>
      </c>
      <c r="H22" s="84">
        <f>TrRoad_act!H76</f>
        <v>5795993</v>
      </c>
      <c r="I22" s="84">
        <f>TrRoad_act!I76</f>
        <v>5858848</v>
      </c>
      <c r="J22" s="84">
        <f>TrRoad_act!J76</f>
        <v>5898297</v>
      </c>
      <c r="K22" s="84">
        <f>TrRoad_act!K76</f>
        <v>5928314</v>
      </c>
      <c r="L22" s="84">
        <f>TrRoad_act!L76</f>
        <v>5921846</v>
      </c>
      <c r="M22" s="84">
        <f>TrRoad_act!M76</f>
        <v>5854728</v>
      </c>
      <c r="N22" s="84">
        <f>TrRoad_act!N76</f>
        <v>5822576</v>
      </c>
      <c r="O22" s="84">
        <f>TrRoad_act!O76</f>
        <v>5809841</v>
      </c>
      <c r="P22" s="84">
        <f>TrRoad_act!P76</f>
        <v>5908457</v>
      </c>
      <c r="Q22" s="84">
        <f>TrRoad_act!Q76</f>
        <v>5961617</v>
      </c>
      <c r="R22" s="84">
        <f>TrRoad_act!R76</f>
        <v>5961127</v>
      </c>
      <c r="S22" s="84">
        <f>TrRoad_act!S76</f>
        <v>5927457</v>
      </c>
      <c r="T22" s="84">
        <f>TrRoad_act!T76</f>
        <v>5921170</v>
      </c>
      <c r="U22" s="84">
        <f>TrRoad_act!U76</f>
        <v>5913355</v>
      </c>
      <c r="V22" s="84">
        <f>TrRoad_act!V76</f>
        <v>5914301</v>
      </c>
      <c r="W22" s="84">
        <f>TrRoad_act!W76</f>
        <v>5916628</v>
      </c>
      <c r="X22" s="84">
        <f>TrRoad_act!X76</f>
        <v>5918439</v>
      </c>
      <c r="Y22" s="84">
        <f>TrRoad_act!Y76</f>
        <v>5919907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21292</v>
      </c>
      <c r="C23" s="84">
        <f>TrRoad_act!C77</f>
        <v>22772</v>
      </c>
      <c r="D23" s="84">
        <f>TrRoad_act!D77</f>
        <v>23556</v>
      </c>
      <c r="E23" s="84">
        <f>TrRoad_act!E77</f>
        <v>24074</v>
      </c>
      <c r="F23" s="84">
        <f>TrRoad_act!F77</f>
        <v>24854</v>
      </c>
      <c r="G23" s="84">
        <f>TrRoad_act!G77</f>
        <v>25804</v>
      </c>
      <c r="H23" s="84">
        <f>TrRoad_act!H77</f>
        <v>27723</v>
      </c>
      <c r="I23" s="84">
        <f>TrRoad_act!I77</f>
        <v>22343</v>
      </c>
      <c r="J23" s="84">
        <f>TrRoad_act!J77</f>
        <v>21154</v>
      </c>
      <c r="K23" s="84">
        <f>TrRoad_act!K77</f>
        <v>22173</v>
      </c>
      <c r="L23" s="84">
        <f>TrRoad_act!L77</f>
        <v>21459</v>
      </c>
      <c r="M23" s="84">
        <f>TrRoad_act!M77</f>
        <v>20614</v>
      </c>
      <c r="N23" s="84">
        <f>TrRoad_act!N77</f>
        <v>19671</v>
      </c>
      <c r="O23" s="84">
        <f>TrRoad_act!O77</f>
        <v>19176</v>
      </c>
      <c r="P23" s="84">
        <f>TrRoad_act!P77</f>
        <v>18892</v>
      </c>
      <c r="Q23" s="84">
        <f>TrRoad_act!Q77</f>
        <v>18600</v>
      </c>
      <c r="R23" s="84">
        <f>TrRoad_act!R77</f>
        <v>17950</v>
      </c>
      <c r="S23" s="84">
        <f>TrRoad_act!S77</f>
        <v>16763</v>
      </c>
      <c r="T23" s="84">
        <f>TrRoad_act!T77</f>
        <v>14218</v>
      </c>
      <c r="U23" s="84">
        <f>TrRoad_act!U77</f>
        <v>13000</v>
      </c>
      <c r="V23" s="84">
        <f>TrRoad_act!V77</f>
        <v>12000</v>
      </c>
      <c r="W23" s="84">
        <f>TrRoad_act!W77</f>
        <v>12000</v>
      </c>
      <c r="X23" s="84">
        <f>TrRoad_act!X77</f>
        <v>12000</v>
      </c>
      <c r="Y23" s="84">
        <f>TrRoad_act!Y77</f>
        <v>13643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300</v>
      </c>
      <c r="C24" s="84">
        <f>TrRoad_act!C78</f>
        <v>274</v>
      </c>
      <c r="D24" s="84">
        <f>TrRoad_act!D78</f>
        <v>281</v>
      </c>
      <c r="E24" s="84">
        <f>TrRoad_act!E78</f>
        <v>455</v>
      </c>
      <c r="F24" s="84">
        <f>TrRoad_act!F78</f>
        <v>437</v>
      </c>
      <c r="G24" s="84">
        <f>TrRoad_act!G78</f>
        <v>420</v>
      </c>
      <c r="H24" s="84">
        <f>TrRoad_act!H78</f>
        <v>859</v>
      </c>
      <c r="I24" s="84">
        <f>TrRoad_act!I78</f>
        <v>806</v>
      </c>
      <c r="J24" s="84">
        <f>TrRoad_act!J78</f>
        <v>826</v>
      </c>
      <c r="K24" s="84">
        <f>TrRoad_act!K78</f>
        <v>1011</v>
      </c>
      <c r="L24" s="84">
        <f>TrRoad_act!L78</f>
        <v>965</v>
      </c>
      <c r="M24" s="84">
        <f>TrRoad_act!M78</f>
        <v>1159</v>
      </c>
      <c r="N24" s="84">
        <f>TrRoad_act!N78</f>
        <v>1598</v>
      </c>
      <c r="O24" s="84">
        <f>TrRoad_act!O78</f>
        <v>2066</v>
      </c>
      <c r="P24" s="84">
        <f>TrRoad_act!P78</f>
        <v>2429</v>
      </c>
      <c r="Q24" s="84">
        <f>TrRoad_act!Q78</f>
        <v>2746</v>
      </c>
      <c r="R24" s="84">
        <f>TrRoad_act!R78</f>
        <v>3083</v>
      </c>
      <c r="S24" s="84">
        <f>TrRoad_act!S78</f>
        <v>3448</v>
      </c>
      <c r="T24" s="84">
        <f>TrRoad_act!T78</f>
        <v>8906</v>
      </c>
      <c r="U24" s="84">
        <f>TrRoad_act!U78</f>
        <v>7762</v>
      </c>
      <c r="V24" s="84">
        <f>TrRoad_act!V78</f>
        <v>8461</v>
      </c>
      <c r="W24" s="84">
        <f>TrRoad_act!W78</f>
        <v>9252</v>
      </c>
      <c r="X24" s="84">
        <f>TrRoad_act!X78</f>
        <v>9252</v>
      </c>
      <c r="Y24" s="84">
        <f>TrRoad_act!Y78</f>
        <v>9435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4095</v>
      </c>
      <c r="C25" s="84">
        <f>TrRoad_act!C79</f>
        <v>4810</v>
      </c>
      <c r="D25" s="84">
        <f>TrRoad_act!D79</f>
        <v>5138</v>
      </c>
      <c r="E25" s="84">
        <f>TrRoad_act!E79</f>
        <v>5327</v>
      </c>
      <c r="F25" s="84">
        <f>TrRoad_act!F79</f>
        <v>5563</v>
      </c>
      <c r="G25" s="84">
        <f>TrRoad_act!G79</f>
        <v>5500</v>
      </c>
      <c r="H25" s="84">
        <f>TrRoad_act!H79</f>
        <v>5482</v>
      </c>
      <c r="I25" s="84">
        <f>TrRoad_act!I79</f>
        <v>5753</v>
      </c>
      <c r="J25" s="84">
        <f>TrRoad_act!J79</f>
        <v>5235</v>
      </c>
      <c r="K25" s="84">
        <f>TrRoad_act!K79</f>
        <v>5546</v>
      </c>
      <c r="L25" s="84">
        <f>TrRoad_act!L79</f>
        <v>5033</v>
      </c>
      <c r="M25" s="84">
        <f>TrRoad_act!M79</f>
        <v>7292</v>
      </c>
      <c r="N25" s="84">
        <f>TrRoad_act!N79</f>
        <v>8289</v>
      </c>
      <c r="O25" s="84">
        <f>TrRoad_act!O79</f>
        <v>11228</v>
      </c>
      <c r="P25" s="84">
        <f>TrRoad_act!P79</f>
        <v>15402</v>
      </c>
      <c r="Q25" s="84">
        <f>TrRoad_act!Q79</f>
        <v>18499</v>
      </c>
      <c r="R25" s="84">
        <f>TrRoad_act!R79</f>
        <v>25376</v>
      </c>
      <c r="S25" s="84">
        <f>TrRoad_act!S79</f>
        <v>27534</v>
      </c>
      <c r="T25" s="84">
        <f>TrRoad_act!T79</f>
        <v>40777</v>
      </c>
      <c r="U25" s="84">
        <f>TrRoad_act!U79</f>
        <v>48627</v>
      </c>
      <c r="V25" s="84">
        <f>TrRoad_act!V79</f>
        <v>57503</v>
      </c>
      <c r="W25" s="84">
        <f>TrRoad_act!W79</f>
        <v>68908</v>
      </c>
      <c r="X25" s="84">
        <f>TrRoad_act!X79</f>
        <v>80678</v>
      </c>
      <c r="Y25" s="84">
        <f>TrRoad_act!Y79</f>
        <v>102523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520317</v>
      </c>
      <c r="C26" s="110">
        <f>TrRoad_act!C80</f>
        <v>539391</v>
      </c>
      <c r="D26" s="110">
        <f>TrRoad_act!D80</f>
        <v>554202</v>
      </c>
      <c r="E26" s="110">
        <f>TrRoad_act!E80</f>
        <v>564757</v>
      </c>
      <c r="F26" s="110">
        <f>TrRoad_act!F80</f>
        <v>583633</v>
      </c>
      <c r="G26" s="110">
        <f>TrRoad_act!G80</f>
        <v>594960</v>
      </c>
      <c r="H26" s="110">
        <f>TrRoad_act!H80</f>
        <v>605698</v>
      </c>
      <c r="I26" s="110">
        <f>TrRoad_act!I80</f>
        <v>617100</v>
      </c>
      <c r="J26" s="110">
        <f>TrRoad_act!J80</f>
        <v>631617</v>
      </c>
      <c r="K26" s="110">
        <f>TrRoad_act!K80</f>
        <v>634192</v>
      </c>
      <c r="L26" s="110">
        <f>TrRoad_act!L80</f>
        <v>657307</v>
      </c>
      <c r="M26" s="110">
        <f>TrRoad_act!M80</f>
        <v>649108</v>
      </c>
      <c r="N26" s="110">
        <f>TrRoad_act!N80</f>
        <v>637441</v>
      </c>
      <c r="O26" s="110">
        <f>TrRoad_act!O80</f>
        <v>631580</v>
      </c>
      <c r="P26" s="110">
        <f>TrRoad_act!P80</f>
        <v>632464</v>
      </c>
      <c r="Q26" s="110">
        <f>TrRoad_act!Q80</f>
        <v>624829</v>
      </c>
      <c r="R26" s="110">
        <f>TrRoad_act!R80</f>
        <v>621116</v>
      </c>
      <c r="S26" s="110">
        <f>TrRoad_act!S80</f>
        <v>627109</v>
      </c>
      <c r="T26" s="110">
        <f>TrRoad_act!T80</f>
        <v>632956</v>
      </c>
      <c r="U26" s="110">
        <f>TrRoad_act!U80</f>
        <v>644338</v>
      </c>
      <c r="V26" s="110">
        <f>TrRoad_act!V80</f>
        <v>640896</v>
      </c>
      <c r="W26" s="110">
        <f>TrRoad_act!W80</f>
        <v>650697</v>
      </c>
      <c r="X26" s="110">
        <f>TrRoad_act!X80</f>
        <v>646950</v>
      </c>
      <c r="Y26" s="110">
        <f>TrRoad_act!Y80</f>
        <v>647080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450511</v>
      </c>
      <c r="C27" s="102">
        <f>TrRoad_act!C81</f>
        <v>464550</v>
      </c>
      <c r="D27" s="102">
        <f>TrRoad_act!D81</f>
        <v>475467</v>
      </c>
      <c r="E27" s="102">
        <f>TrRoad_act!E81</f>
        <v>484281</v>
      </c>
      <c r="F27" s="102">
        <f>TrRoad_act!F81</f>
        <v>488482</v>
      </c>
      <c r="G27" s="102">
        <f>TrRoad_act!G81</f>
        <v>496463</v>
      </c>
      <c r="H27" s="102">
        <f>TrRoad_act!H81</f>
        <v>504510</v>
      </c>
      <c r="I27" s="102">
        <f>TrRoad_act!I81</f>
        <v>513800</v>
      </c>
      <c r="J27" s="102">
        <f>TrRoad_act!J81</f>
        <v>530546</v>
      </c>
      <c r="K27" s="102">
        <f>TrRoad_act!K81</f>
        <v>543610</v>
      </c>
      <c r="L27" s="102">
        <f>TrRoad_act!L81</f>
        <v>565367</v>
      </c>
      <c r="M27" s="102">
        <f>TrRoad_act!M81</f>
        <v>561592</v>
      </c>
      <c r="N27" s="102">
        <f>TrRoad_act!N81</f>
        <v>551745</v>
      </c>
      <c r="O27" s="102">
        <f>TrRoad_act!O81</f>
        <v>541478</v>
      </c>
      <c r="P27" s="102">
        <f>TrRoad_act!P81</f>
        <v>541972</v>
      </c>
      <c r="Q27" s="102">
        <f>TrRoad_act!Q81</f>
        <v>532479</v>
      </c>
      <c r="R27" s="102">
        <f>TrRoad_act!R81</f>
        <v>524556</v>
      </c>
      <c r="S27" s="102">
        <f>TrRoad_act!S81</f>
        <v>524711</v>
      </c>
      <c r="T27" s="102">
        <f>TrRoad_act!T81</f>
        <v>531490</v>
      </c>
      <c r="U27" s="102">
        <f>TrRoad_act!U81</f>
        <v>538233</v>
      </c>
      <c r="V27" s="102">
        <f>TrRoad_act!V81</f>
        <v>537404</v>
      </c>
      <c r="W27" s="102">
        <f>TrRoad_act!W81</f>
        <v>539871</v>
      </c>
      <c r="X27" s="102">
        <f>TrRoad_act!X81</f>
        <v>537138</v>
      </c>
      <c r="Y27" s="102">
        <f>TrRoad_act!Y81</f>
        <v>539652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69806</v>
      </c>
      <c r="C28" s="86">
        <f>TrRoad_act!C82</f>
        <v>74841</v>
      </c>
      <c r="D28" s="86">
        <f>TrRoad_act!D82</f>
        <v>78735</v>
      </c>
      <c r="E28" s="86">
        <f>TrRoad_act!E82</f>
        <v>80476</v>
      </c>
      <c r="F28" s="86">
        <f>TrRoad_act!F82</f>
        <v>95151</v>
      </c>
      <c r="G28" s="86">
        <f>TrRoad_act!G82</f>
        <v>98497</v>
      </c>
      <c r="H28" s="86">
        <f>TrRoad_act!H82</f>
        <v>101188</v>
      </c>
      <c r="I28" s="86">
        <f>TrRoad_act!I82</f>
        <v>103300</v>
      </c>
      <c r="J28" s="86">
        <f>TrRoad_act!J82</f>
        <v>101071</v>
      </c>
      <c r="K28" s="86">
        <f>TrRoad_act!K82</f>
        <v>90582</v>
      </c>
      <c r="L28" s="86">
        <f>TrRoad_act!L82</f>
        <v>91940</v>
      </c>
      <c r="M28" s="86">
        <f>TrRoad_act!M82</f>
        <v>87516</v>
      </c>
      <c r="N28" s="86">
        <f>TrRoad_act!N82</f>
        <v>85696</v>
      </c>
      <c r="O28" s="86">
        <f>TrRoad_act!O82</f>
        <v>90102</v>
      </c>
      <c r="P28" s="86">
        <f>TrRoad_act!P82</f>
        <v>90492</v>
      </c>
      <c r="Q28" s="86">
        <f>TrRoad_act!Q82</f>
        <v>92350</v>
      </c>
      <c r="R28" s="86">
        <f>TrRoad_act!R82</f>
        <v>96560</v>
      </c>
      <c r="S28" s="86">
        <f>TrRoad_act!S82</f>
        <v>102398</v>
      </c>
      <c r="T28" s="86">
        <f>TrRoad_act!T82</f>
        <v>101466</v>
      </c>
      <c r="U28" s="86">
        <f>TrRoad_act!U82</f>
        <v>106105</v>
      </c>
      <c r="V28" s="86">
        <f>TrRoad_act!V82</f>
        <v>103492</v>
      </c>
      <c r="W28" s="86">
        <f>TrRoad_act!W82</f>
        <v>110826</v>
      </c>
      <c r="X28" s="86">
        <f>TrRoad_act!X82</f>
        <v>109812</v>
      </c>
      <c r="Y28" s="86">
        <f>TrRoad_act!Y82</f>
        <v>107428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2765708</v>
      </c>
      <c r="C30" s="54">
        <f>TrRoad_act!C111</f>
        <v>2910911</v>
      </c>
      <c r="D30" s="54">
        <f>TrRoad_act!D111</f>
        <v>2755246</v>
      </c>
      <c r="E30" s="54">
        <f>TrRoad_act!E111</f>
        <v>2629491</v>
      </c>
      <c r="F30" s="54">
        <f>TrRoad_act!F111</f>
        <v>2719964</v>
      </c>
      <c r="G30" s="54">
        <f>TrRoad_act!G111</f>
        <v>2775358</v>
      </c>
      <c r="H30" s="54">
        <f>TrRoad_act!H111</f>
        <v>2753268</v>
      </c>
      <c r="I30" s="54">
        <f>TrRoad_act!I111</f>
        <v>2852874</v>
      </c>
      <c r="J30" s="54">
        <f>TrRoad_act!J111</f>
        <v>2831949</v>
      </c>
      <c r="K30" s="54">
        <f>TrRoad_act!K111</f>
        <v>3000732</v>
      </c>
      <c r="L30" s="54">
        <f>TrRoad_act!L111</f>
        <v>2968057</v>
      </c>
      <c r="M30" s="54">
        <f>TrRoad_act!M111</f>
        <v>3309559</v>
      </c>
      <c r="N30" s="54">
        <f>TrRoad_act!N111</f>
        <v>2621189</v>
      </c>
      <c r="O30" s="54">
        <f>TrRoad_act!O111</f>
        <v>2566682</v>
      </c>
      <c r="P30" s="54">
        <f>TrRoad_act!P111</f>
        <v>2636712</v>
      </c>
      <c r="Q30" s="54">
        <f>TrRoad_act!Q111</f>
        <v>2777032</v>
      </c>
      <c r="R30" s="54">
        <f>TrRoad_act!R111</f>
        <v>2890906</v>
      </c>
      <c r="S30" s="54">
        <f>TrRoad_act!S111</f>
        <v>2955253</v>
      </c>
      <c r="T30" s="54">
        <f>TrRoad_act!T111</f>
        <v>3097100</v>
      </c>
      <c r="U30" s="54">
        <f>TrRoad_act!U111</f>
        <v>3116436</v>
      </c>
      <c r="V30" s="54">
        <f>TrRoad_act!V111</f>
        <v>2543352</v>
      </c>
      <c r="W30" s="54">
        <f>TrRoad_act!W111</f>
        <v>2749145</v>
      </c>
      <c r="X30" s="54">
        <f>TrRoad_act!X111</f>
        <v>2779891</v>
      </c>
      <c r="Y30" s="54">
        <f>TrRoad_act!Y111</f>
        <v>3099249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2313057</v>
      </c>
      <c r="C31" s="28">
        <f>TrRoad_act!C112</f>
        <v>2440833</v>
      </c>
      <c r="D31" s="28">
        <f>TrRoad_act!D112</f>
        <v>2320021</v>
      </c>
      <c r="E31" s="28">
        <f>TrRoad_act!E112</f>
        <v>2211158</v>
      </c>
      <c r="F31" s="28">
        <f>TrRoad_act!F112</f>
        <v>2243271</v>
      </c>
      <c r="G31" s="28">
        <f>TrRoad_act!G112</f>
        <v>2314254</v>
      </c>
      <c r="H31" s="28">
        <f>TrRoad_act!H112</f>
        <v>2280901</v>
      </c>
      <c r="I31" s="28">
        <f>TrRoad_act!I112</f>
        <v>2361165</v>
      </c>
      <c r="J31" s="28">
        <f>TrRoad_act!J112</f>
        <v>2344424</v>
      </c>
      <c r="K31" s="28">
        <f>TrRoad_act!K112</f>
        <v>2530512</v>
      </c>
      <c r="L31" s="28">
        <f>TrRoad_act!L112</f>
        <v>2496128</v>
      </c>
      <c r="M31" s="28">
        <f>TrRoad_act!M112</f>
        <v>2861194</v>
      </c>
      <c r="N31" s="28">
        <f>TrRoad_act!N112</f>
        <v>2160678</v>
      </c>
      <c r="O31" s="28">
        <f>TrRoad_act!O112</f>
        <v>2065554</v>
      </c>
      <c r="P31" s="28">
        <f>TrRoad_act!P112</f>
        <v>2063152</v>
      </c>
      <c r="Q31" s="28">
        <f>TrRoad_act!Q112</f>
        <v>2246599</v>
      </c>
      <c r="R31" s="28">
        <f>TrRoad_act!R112</f>
        <v>2409371</v>
      </c>
      <c r="S31" s="28">
        <f>TrRoad_act!S112</f>
        <v>2506559</v>
      </c>
      <c r="T31" s="28">
        <f>TrRoad_act!T112</f>
        <v>2611985</v>
      </c>
      <c r="U31" s="28">
        <f>TrRoad_act!U112</f>
        <v>2639790</v>
      </c>
      <c r="V31" s="28">
        <f>TrRoad_act!V112</f>
        <v>2140792</v>
      </c>
      <c r="W31" s="28">
        <f>TrRoad_act!W112</f>
        <v>2324396</v>
      </c>
      <c r="X31" s="28">
        <f>TrRoad_act!X112</f>
        <v>2279182</v>
      </c>
      <c r="Y31" s="28">
        <f>TrRoad_act!Y112</f>
        <v>2571671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180536</v>
      </c>
      <c r="C32" s="137">
        <f>TrRoad_act!C113</f>
        <v>180425</v>
      </c>
      <c r="D32" s="137">
        <f>TrRoad_act!D113</f>
        <v>169587</v>
      </c>
      <c r="E32" s="137">
        <f>TrRoad_act!E113</f>
        <v>196928</v>
      </c>
      <c r="F32" s="137">
        <f>TrRoad_act!F113</f>
        <v>224696</v>
      </c>
      <c r="G32" s="137">
        <f>TrRoad_act!G113</f>
        <v>241023</v>
      </c>
      <c r="H32" s="137">
        <f>TrRoad_act!H113</f>
        <v>274502</v>
      </c>
      <c r="I32" s="137">
        <f>TrRoad_act!I113</f>
        <v>290446</v>
      </c>
      <c r="J32" s="137">
        <f>TrRoad_act!J113</f>
        <v>287398</v>
      </c>
      <c r="K32" s="137">
        <f>TrRoad_act!K113</f>
        <v>254067</v>
      </c>
      <c r="L32" s="137">
        <f>TrRoad_act!L113</f>
        <v>231020</v>
      </c>
      <c r="M32" s="137">
        <f>TrRoad_act!M113</f>
        <v>215309</v>
      </c>
      <c r="N32" s="137">
        <f>TrRoad_act!N113</f>
        <v>197455</v>
      </c>
      <c r="O32" s="137">
        <f>TrRoad_act!O113</f>
        <v>172383</v>
      </c>
      <c r="P32" s="137">
        <f>TrRoad_act!P113</f>
        <v>175894</v>
      </c>
      <c r="Q32" s="137">
        <f>TrRoad_act!Q113</f>
        <v>173432</v>
      </c>
      <c r="R32" s="137">
        <f>TrRoad_act!R113</f>
        <v>182650</v>
      </c>
      <c r="S32" s="137">
        <f>TrRoad_act!S113</f>
        <v>170849</v>
      </c>
      <c r="T32" s="137">
        <f>TrRoad_act!T113</f>
        <v>183669</v>
      </c>
      <c r="U32" s="137">
        <f>TrRoad_act!U113</f>
        <v>202204</v>
      </c>
      <c r="V32" s="137">
        <f>TrRoad_act!V113</f>
        <v>181882</v>
      </c>
      <c r="W32" s="137">
        <f>TrRoad_act!W113</f>
        <v>206955</v>
      </c>
      <c r="X32" s="137">
        <f>TrRoad_act!X113</f>
        <v>193356</v>
      </c>
      <c r="Y32" s="137">
        <f>TrRoad_act!Y113</f>
        <v>206951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2127334</v>
      </c>
      <c r="C33" s="110">
        <f>TrRoad_act!C114</f>
        <v>2254732</v>
      </c>
      <c r="D33" s="110">
        <f>TrRoad_act!D114</f>
        <v>2145071</v>
      </c>
      <c r="E33" s="110">
        <f>TrRoad_act!E114</f>
        <v>2009246</v>
      </c>
      <c r="F33" s="110">
        <f>TrRoad_act!F114</f>
        <v>2013709</v>
      </c>
      <c r="G33" s="110">
        <f>TrRoad_act!G114</f>
        <v>2067789.0000000002</v>
      </c>
      <c r="H33" s="110">
        <f>TrRoad_act!H114</f>
        <v>2000549</v>
      </c>
      <c r="I33" s="110">
        <f>TrRoad_act!I114</f>
        <v>2064543</v>
      </c>
      <c r="J33" s="110">
        <f>TrRoad_act!J114</f>
        <v>2050283</v>
      </c>
      <c r="K33" s="110">
        <f>TrRoad_act!K114</f>
        <v>2269011</v>
      </c>
      <c r="L33" s="110">
        <f>TrRoad_act!L114</f>
        <v>2259208</v>
      </c>
      <c r="M33" s="110">
        <f>TrRoad_act!M114</f>
        <v>2639085</v>
      </c>
      <c r="N33" s="110">
        <f>TrRoad_act!N114</f>
        <v>1956649</v>
      </c>
      <c r="O33" s="110">
        <f>TrRoad_act!O114</f>
        <v>1884803</v>
      </c>
      <c r="P33" s="110">
        <f>TrRoad_act!P114</f>
        <v>1880149</v>
      </c>
      <c r="Q33" s="110">
        <f>TrRoad_act!Q114</f>
        <v>2065823</v>
      </c>
      <c r="R33" s="110">
        <f>TrRoad_act!R114</f>
        <v>2219435</v>
      </c>
      <c r="S33" s="110">
        <f>TrRoad_act!S114</f>
        <v>2328220</v>
      </c>
      <c r="T33" s="110">
        <f>TrRoad_act!T114</f>
        <v>2420184</v>
      </c>
      <c r="U33" s="110">
        <f>TrRoad_act!U114</f>
        <v>2428130</v>
      </c>
      <c r="V33" s="110">
        <f>TrRoad_act!V114</f>
        <v>1948160</v>
      </c>
      <c r="W33" s="110">
        <f>TrRoad_act!W114</f>
        <v>2106008</v>
      </c>
      <c r="X33" s="110">
        <f>TrRoad_act!X114</f>
        <v>2075392</v>
      </c>
      <c r="Y33" s="110">
        <f>TrRoad_act!Y114</f>
        <v>2354244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1080849</v>
      </c>
      <c r="C34" s="84">
        <f>TrRoad_act!C115</f>
        <v>966844</v>
      </c>
      <c r="D34" s="84">
        <f>TrRoad_act!D115</f>
        <v>790138</v>
      </c>
      <c r="E34" s="84">
        <f>TrRoad_act!E115</f>
        <v>655332</v>
      </c>
      <c r="F34" s="84">
        <f>TrRoad_act!F115</f>
        <v>620784</v>
      </c>
      <c r="G34" s="84">
        <f>TrRoad_act!G115</f>
        <v>638752.00000000023</v>
      </c>
      <c r="H34" s="84">
        <f>TrRoad_act!H115</f>
        <v>572838</v>
      </c>
      <c r="I34" s="84">
        <f>TrRoad_act!I115</f>
        <v>538623</v>
      </c>
      <c r="J34" s="84">
        <f>TrRoad_act!J115</f>
        <v>431337</v>
      </c>
      <c r="K34" s="84">
        <f>TrRoad_act!K115</f>
        <v>645250</v>
      </c>
      <c r="L34" s="84">
        <f>TrRoad_act!L115</f>
        <v>590071</v>
      </c>
      <c r="M34" s="84">
        <f>TrRoad_act!M115</f>
        <v>599265</v>
      </c>
      <c r="N34" s="84">
        <f>TrRoad_act!N115</f>
        <v>530542</v>
      </c>
      <c r="O34" s="84">
        <f>TrRoad_act!O115</f>
        <v>625803</v>
      </c>
      <c r="P34" s="84">
        <f>TrRoad_act!P115</f>
        <v>677504</v>
      </c>
      <c r="Q34" s="84">
        <f>TrRoad_act!Q115</f>
        <v>839442</v>
      </c>
      <c r="R34" s="84">
        <f>TrRoad_act!R115</f>
        <v>1015348</v>
      </c>
      <c r="S34" s="84">
        <f>TrRoad_act!S115</f>
        <v>1186390</v>
      </c>
      <c r="T34" s="84">
        <f>TrRoad_act!T115</f>
        <v>1420679</v>
      </c>
      <c r="U34" s="84">
        <f>TrRoad_act!U115</f>
        <v>1512278</v>
      </c>
      <c r="V34" s="84">
        <f>TrRoad_act!V115</f>
        <v>1120357</v>
      </c>
      <c r="W34" s="84">
        <f>TrRoad_act!W115</f>
        <v>1262553</v>
      </c>
      <c r="X34" s="84">
        <f>TrRoad_act!X115</f>
        <v>1320639</v>
      </c>
      <c r="Y34" s="84">
        <f>TrRoad_act!Y115</f>
        <v>1566065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1046485</v>
      </c>
      <c r="C35" s="84">
        <f>TrRoad_act!C116</f>
        <v>1267761</v>
      </c>
      <c r="D35" s="84">
        <f>TrRoad_act!D116</f>
        <v>1354933</v>
      </c>
      <c r="E35" s="84">
        <f>TrRoad_act!E116</f>
        <v>1353914</v>
      </c>
      <c r="F35" s="84">
        <f>TrRoad_act!F116</f>
        <v>1392925</v>
      </c>
      <c r="G35" s="84">
        <f>TrRoad_act!G116</f>
        <v>1429037</v>
      </c>
      <c r="H35" s="84">
        <f>TrRoad_act!H116</f>
        <v>1427697</v>
      </c>
      <c r="I35" s="84">
        <f>TrRoad_act!I116</f>
        <v>1525439</v>
      </c>
      <c r="J35" s="84">
        <f>TrRoad_act!J116</f>
        <v>1584438</v>
      </c>
      <c r="K35" s="84">
        <f>TrRoad_act!K116</f>
        <v>1598535</v>
      </c>
      <c r="L35" s="84">
        <f>TrRoad_act!L116</f>
        <v>1593402</v>
      </c>
      <c r="M35" s="84">
        <f>TrRoad_act!M116</f>
        <v>2004071</v>
      </c>
      <c r="N35" s="84">
        <f>TrRoad_act!N116</f>
        <v>1417436</v>
      </c>
      <c r="O35" s="84">
        <f>TrRoad_act!O116</f>
        <v>1246310</v>
      </c>
      <c r="P35" s="84">
        <f>TrRoad_act!P116</f>
        <v>1187395</v>
      </c>
      <c r="Q35" s="84">
        <f>TrRoad_act!Q116</f>
        <v>1201315</v>
      </c>
      <c r="R35" s="84">
        <f>TrRoad_act!R116</f>
        <v>1171962</v>
      </c>
      <c r="S35" s="84">
        <f>TrRoad_act!S116</f>
        <v>1101724</v>
      </c>
      <c r="T35" s="84">
        <f>TrRoad_act!T116</f>
        <v>944522</v>
      </c>
      <c r="U35" s="84">
        <f>TrRoad_act!U116</f>
        <v>843594</v>
      </c>
      <c r="V35" s="84">
        <f>TrRoad_act!V116</f>
        <v>614816</v>
      </c>
      <c r="W35" s="84">
        <f>TrRoad_act!W116</f>
        <v>480007</v>
      </c>
      <c r="X35" s="84">
        <f>TrRoad_act!X116</f>
        <v>333379</v>
      </c>
      <c r="Y35" s="84">
        <f>TrRoad_act!Y116</f>
        <v>246013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20127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31455</v>
      </c>
      <c r="K36" s="84">
        <f>TrRoad_act!K117</f>
        <v>24821</v>
      </c>
      <c r="L36" s="84">
        <f>TrRoad_act!L117</f>
        <v>75405</v>
      </c>
      <c r="M36" s="84">
        <f>TrRoad_act!M117</f>
        <v>32879</v>
      </c>
      <c r="N36" s="84">
        <f>TrRoad_act!N117</f>
        <v>2185</v>
      </c>
      <c r="O36" s="84">
        <f>TrRoad_act!O117</f>
        <v>2647</v>
      </c>
      <c r="P36" s="84">
        <f>TrRoad_act!P117</f>
        <v>2154</v>
      </c>
      <c r="Q36" s="84">
        <f>TrRoad_act!Q117</f>
        <v>1422</v>
      </c>
      <c r="R36" s="84">
        <f>TrRoad_act!R117</f>
        <v>544</v>
      </c>
      <c r="S36" s="84">
        <f>TrRoad_act!S117</f>
        <v>942</v>
      </c>
      <c r="T36" s="84">
        <f>TrRoad_act!T117</f>
        <v>2163</v>
      </c>
      <c r="U36" s="84">
        <f>TrRoad_act!U117</f>
        <v>2748</v>
      </c>
      <c r="V36" s="84">
        <f>TrRoad_act!V117</f>
        <v>16450</v>
      </c>
      <c r="W36" s="84">
        <f>TrRoad_act!W117</f>
        <v>46414</v>
      </c>
      <c r="X36" s="84">
        <f>TrRoad_act!X117</f>
        <v>60881</v>
      </c>
      <c r="Y36" s="84">
        <f>TrRoad_act!Y117</f>
        <v>63540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475</v>
      </c>
      <c r="J37" s="84">
        <f>TrRoad_act!J118</f>
        <v>471</v>
      </c>
      <c r="K37" s="84">
        <f>TrRoad_act!K118</f>
        <v>393</v>
      </c>
      <c r="L37" s="84">
        <f>TrRoad_act!L118</f>
        <v>178</v>
      </c>
      <c r="M37" s="84">
        <f>TrRoad_act!M118</f>
        <v>170</v>
      </c>
      <c r="N37" s="84">
        <f>TrRoad_act!N118</f>
        <v>155</v>
      </c>
      <c r="O37" s="84">
        <f>TrRoad_act!O118</f>
        <v>106</v>
      </c>
      <c r="P37" s="84">
        <f>TrRoad_act!P118</f>
        <v>92</v>
      </c>
      <c r="Q37" s="84">
        <f>TrRoad_act!Q118</f>
        <v>177</v>
      </c>
      <c r="R37" s="84">
        <f>TrRoad_act!R118</f>
        <v>1208</v>
      </c>
      <c r="S37" s="84">
        <f>TrRoad_act!S118</f>
        <v>237</v>
      </c>
      <c r="T37" s="84">
        <f>TrRoad_act!T118</f>
        <v>257</v>
      </c>
      <c r="U37" s="84">
        <f>TrRoad_act!U118</f>
        <v>353</v>
      </c>
      <c r="V37" s="84">
        <f>TrRoad_act!V118</f>
        <v>416</v>
      </c>
      <c r="W37" s="84">
        <f>TrRoad_act!W118</f>
        <v>473</v>
      </c>
      <c r="X37" s="84">
        <f>TrRoad_act!X118</f>
        <v>132</v>
      </c>
      <c r="Y37" s="84">
        <f>TrRoad_act!Y118</f>
        <v>4849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668</v>
      </c>
      <c r="O38" s="84">
        <f>TrRoad_act!O119</f>
        <v>810</v>
      </c>
      <c r="P38" s="84">
        <f>TrRoad_act!P119</f>
        <v>1865</v>
      </c>
      <c r="Q38" s="84">
        <f>TrRoad_act!Q119</f>
        <v>5726</v>
      </c>
      <c r="R38" s="84">
        <f>TrRoad_act!R119</f>
        <v>7362</v>
      </c>
      <c r="S38" s="84">
        <f>TrRoad_act!S119</f>
        <v>11801</v>
      </c>
      <c r="T38" s="84">
        <f>TrRoad_act!T119</f>
        <v>14507</v>
      </c>
      <c r="U38" s="84">
        <f>TrRoad_act!U119</f>
        <v>18698</v>
      </c>
      <c r="V38" s="84">
        <f>TrRoad_act!V119</f>
        <v>75839</v>
      </c>
      <c r="W38" s="84">
        <f>TrRoad_act!W119</f>
        <v>141688</v>
      </c>
      <c r="X38" s="84">
        <f>TrRoad_act!X119</f>
        <v>138741</v>
      </c>
      <c r="Y38" s="84">
        <f>TrRoad_act!Y119</f>
        <v>164349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14</v>
      </c>
      <c r="I39" s="84">
        <f>TrRoad_act!I120</f>
        <v>6</v>
      </c>
      <c r="J39" s="84">
        <f>TrRoad_act!J120</f>
        <v>2582</v>
      </c>
      <c r="K39" s="84">
        <f>TrRoad_act!K120</f>
        <v>12</v>
      </c>
      <c r="L39" s="84">
        <f>TrRoad_act!L120</f>
        <v>152</v>
      </c>
      <c r="M39" s="84">
        <f>TrRoad_act!M120</f>
        <v>2700</v>
      </c>
      <c r="N39" s="84">
        <f>TrRoad_act!N120</f>
        <v>5663</v>
      </c>
      <c r="O39" s="84">
        <f>TrRoad_act!O120</f>
        <v>9127</v>
      </c>
      <c r="P39" s="84">
        <f>TrRoad_act!P120</f>
        <v>11139</v>
      </c>
      <c r="Q39" s="84">
        <f>TrRoad_act!Q120</f>
        <v>17741</v>
      </c>
      <c r="R39" s="84">
        <f>TrRoad_act!R120</f>
        <v>23011</v>
      </c>
      <c r="S39" s="84">
        <f>TrRoad_act!S120</f>
        <v>27126</v>
      </c>
      <c r="T39" s="84">
        <f>TrRoad_act!T120</f>
        <v>38056</v>
      </c>
      <c r="U39" s="84">
        <f>TrRoad_act!U120</f>
        <v>50459</v>
      </c>
      <c r="V39" s="84">
        <f>TrRoad_act!V120</f>
        <v>120282</v>
      </c>
      <c r="W39" s="84">
        <f>TrRoad_act!W120</f>
        <v>174873</v>
      </c>
      <c r="X39" s="84">
        <f>TrRoad_act!X120</f>
        <v>221620</v>
      </c>
      <c r="Y39" s="84">
        <f>TrRoad_act!Y120</f>
        <v>309428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5187</v>
      </c>
      <c r="C40" s="110">
        <f>TrRoad_act!C121</f>
        <v>5676</v>
      </c>
      <c r="D40" s="110">
        <f>TrRoad_act!D121</f>
        <v>5363</v>
      </c>
      <c r="E40" s="110">
        <f>TrRoad_act!E121</f>
        <v>4984</v>
      </c>
      <c r="F40" s="110">
        <f>TrRoad_act!F121</f>
        <v>4866</v>
      </c>
      <c r="G40" s="110">
        <f>TrRoad_act!G121</f>
        <v>5442</v>
      </c>
      <c r="H40" s="110">
        <f>TrRoad_act!H121</f>
        <v>5850</v>
      </c>
      <c r="I40" s="110">
        <f>TrRoad_act!I121</f>
        <v>6176</v>
      </c>
      <c r="J40" s="110">
        <f>TrRoad_act!J121</f>
        <v>6743</v>
      </c>
      <c r="K40" s="110">
        <f>TrRoad_act!K121</f>
        <v>7434</v>
      </c>
      <c r="L40" s="110">
        <f>TrRoad_act!L121</f>
        <v>5900</v>
      </c>
      <c r="M40" s="110">
        <f>TrRoad_act!M121</f>
        <v>6800</v>
      </c>
      <c r="N40" s="110">
        <f>TrRoad_act!N121</f>
        <v>6574</v>
      </c>
      <c r="O40" s="110">
        <f>TrRoad_act!O121</f>
        <v>8368</v>
      </c>
      <c r="P40" s="110">
        <f>TrRoad_act!P121</f>
        <v>7109</v>
      </c>
      <c r="Q40" s="110">
        <f>TrRoad_act!Q121</f>
        <v>7344</v>
      </c>
      <c r="R40" s="110">
        <f>TrRoad_act!R121</f>
        <v>7286</v>
      </c>
      <c r="S40" s="110">
        <f>TrRoad_act!S121</f>
        <v>7490</v>
      </c>
      <c r="T40" s="110">
        <f>TrRoad_act!T121</f>
        <v>8132</v>
      </c>
      <c r="U40" s="110">
        <f>TrRoad_act!U121</f>
        <v>9456</v>
      </c>
      <c r="V40" s="110">
        <f>TrRoad_act!V121</f>
        <v>10750</v>
      </c>
      <c r="W40" s="110">
        <f>TrRoad_act!W121</f>
        <v>11433</v>
      </c>
      <c r="X40" s="110">
        <f>TrRoad_act!X121</f>
        <v>10434</v>
      </c>
      <c r="Y40" s="110">
        <f>TrRoad_act!Y121</f>
        <v>10476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3</v>
      </c>
      <c r="C41" s="102">
        <f>TrRoad_act!C122</f>
        <v>5</v>
      </c>
      <c r="D41" s="102">
        <f>TrRoad_act!D122</f>
        <v>4</v>
      </c>
      <c r="E41" s="102">
        <f>TrRoad_act!E122</f>
        <v>1</v>
      </c>
      <c r="F41" s="102">
        <f>TrRoad_act!F122</f>
        <v>1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1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2</v>
      </c>
      <c r="T41" s="102">
        <f>TrRoad_act!T122</f>
        <v>0</v>
      </c>
      <c r="U41" s="102">
        <f>TrRoad_act!U122</f>
        <v>13</v>
      </c>
      <c r="V41" s="102">
        <f>TrRoad_act!V122</f>
        <v>21</v>
      </c>
      <c r="W41" s="102">
        <f>TrRoad_act!W122</f>
        <v>11</v>
      </c>
      <c r="X41" s="102">
        <f>TrRoad_act!X122</f>
        <v>2</v>
      </c>
      <c r="Y41" s="102">
        <f>TrRoad_act!Y122</f>
        <v>1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5126</v>
      </c>
      <c r="C42" s="102">
        <f>TrRoad_act!C123</f>
        <v>5177</v>
      </c>
      <c r="D42" s="102">
        <f>TrRoad_act!D123</f>
        <v>5276</v>
      </c>
      <c r="E42" s="102">
        <f>TrRoad_act!E123</f>
        <v>4742</v>
      </c>
      <c r="F42" s="102">
        <f>TrRoad_act!F123</f>
        <v>4691</v>
      </c>
      <c r="G42" s="102">
        <f>TrRoad_act!G123</f>
        <v>5328</v>
      </c>
      <c r="H42" s="102">
        <f>TrRoad_act!H123</f>
        <v>5675</v>
      </c>
      <c r="I42" s="102">
        <f>TrRoad_act!I123</f>
        <v>5963</v>
      </c>
      <c r="J42" s="102">
        <f>TrRoad_act!J123</f>
        <v>6510</v>
      </c>
      <c r="K42" s="102">
        <f>TrRoad_act!K123</f>
        <v>7428</v>
      </c>
      <c r="L42" s="102">
        <f>TrRoad_act!L123</f>
        <v>5900</v>
      </c>
      <c r="M42" s="102">
        <f>TrRoad_act!M123</f>
        <v>4600</v>
      </c>
      <c r="N42" s="102">
        <f>TrRoad_act!N123</f>
        <v>5959</v>
      </c>
      <c r="O42" s="102">
        <f>TrRoad_act!O123</f>
        <v>6942</v>
      </c>
      <c r="P42" s="102">
        <f>TrRoad_act!P123</f>
        <v>6644</v>
      </c>
      <c r="Q42" s="102">
        <f>TrRoad_act!Q123</f>
        <v>7061</v>
      </c>
      <c r="R42" s="102">
        <f>TrRoad_act!R123</f>
        <v>7132</v>
      </c>
      <c r="S42" s="102">
        <f>TrRoad_act!S123</f>
        <v>6837</v>
      </c>
      <c r="T42" s="102">
        <f>TrRoad_act!T123</f>
        <v>6886</v>
      </c>
      <c r="U42" s="102">
        <f>TrRoad_act!U123</f>
        <v>6834</v>
      </c>
      <c r="V42" s="102">
        <f>TrRoad_act!V123</f>
        <v>7018</v>
      </c>
      <c r="W42" s="102">
        <f>TrRoad_act!W123</f>
        <v>6847</v>
      </c>
      <c r="X42" s="102">
        <f>TrRoad_act!X123</f>
        <v>6723</v>
      </c>
      <c r="Y42" s="102">
        <f>TrRoad_act!Y123</f>
        <v>7157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28</v>
      </c>
      <c r="C43" s="102">
        <f>TrRoad_act!C124</f>
        <v>28</v>
      </c>
      <c r="D43" s="102">
        <f>TrRoad_act!D124</f>
        <v>1</v>
      </c>
      <c r="E43" s="102">
        <f>TrRoad_act!E124</f>
        <v>10</v>
      </c>
      <c r="F43" s="102">
        <f>TrRoad_act!F124</f>
        <v>6</v>
      </c>
      <c r="G43" s="102">
        <f>TrRoad_act!G124</f>
        <v>7</v>
      </c>
      <c r="H43" s="102">
        <f>TrRoad_act!H124</f>
        <v>1</v>
      </c>
      <c r="I43" s="102">
        <f>TrRoad_act!I124</f>
        <v>36</v>
      </c>
      <c r="J43" s="102">
        <f>TrRoad_act!J124</f>
        <v>0</v>
      </c>
      <c r="K43" s="102">
        <f>TrRoad_act!K124</f>
        <v>2</v>
      </c>
      <c r="L43" s="102">
        <f>TrRoad_act!L124</f>
        <v>0</v>
      </c>
      <c r="M43" s="102">
        <f>TrRoad_act!M124</f>
        <v>0</v>
      </c>
      <c r="N43" s="102">
        <f>TrRoad_act!N124</f>
        <v>1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443</v>
      </c>
      <c r="D44" s="102">
        <f>TrRoad_act!D125</f>
        <v>56</v>
      </c>
      <c r="E44" s="102">
        <f>TrRoad_act!E125</f>
        <v>208</v>
      </c>
      <c r="F44" s="102">
        <f>TrRoad_act!F125</f>
        <v>145</v>
      </c>
      <c r="G44" s="102">
        <f>TrRoad_act!G125</f>
        <v>100</v>
      </c>
      <c r="H44" s="102">
        <f>TrRoad_act!H125</f>
        <v>170</v>
      </c>
      <c r="I44" s="102">
        <f>TrRoad_act!I125</f>
        <v>173</v>
      </c>
      <c r="J44" s="102">
        <f>TrRoad_act!J125</f>
        <v>229</v>
      </c>
      <c r="K44" s="102">
        <f>TrRoad_act!K125</f>
        <v>4</v>
      </c>
      <c r="L44" s="102">
        <f>TrRoad_act!L125</f>
        <v>0</v>
      </c>
      <c r="M44" s="102">
        <f>TrRoad_act!M125</f>
        <v>2200</v>
      </c>
      <c r="N44" s="102">
        <f>TrRoad_act!N125</f>
        <v>584</v>
      </c>
      <c r="O44" s="102">
        <f>TrRoad_act!O125</f>
        <v>1324</v>
      </c>
      <c r="P44" s="102">
        <f>TrRoad_act!P125</f>
        <v>422</v>
      </c>
      <c r="Q44" s="102">
        <f>TrRoad_act!Q125</f>
        <v>232</v>
      </c>
      <c r="R44" s="102">
        <f>TrRoad_act!R125</f>
        <v>74</v>
      </c>
      <c r="S44" s="102">
        <f>TrRoad_act!S125</f>
        <v>548</v>
      </c>
      <c r="T44" s="102">
        <f>TrRoad_act!T125</f>
        <v>1154</v>
      </c>
      <c r="U44" s="102">
        <f>TrRoad_act!U125</f>
        <v>2324</v>
      </c>
      <c r="V44" s="102">
        <f>TrRoad_act!V125</f>
        <v>3537</v>
      </c>
      <c r="W44" s="102">
        <f>TrRoad_act!W125</f>
        <v>3912</v>
      </c>
      <c r="X44" s="102">
        <f>TrRoad_act!X125</f>
        <v>2922</v>
      </c>
      <c r="Y44" s="102">
        <f>TrRoad_act!Y125</f>
        <v>2575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30</v>
      </c>
      <c r="C45" s="102">
        <f>TrRoad_act!C126</f>
        <v>23</v>
      </c>
      <c r="D45" s="102">
        <f>TrRoad_act!D126</f>
        <v>26</v>
      </c>
      <c r="E45" s="102">
        <f>TrRoad_act!E126</f>
        <v>23</v>
      </c>
      <c r="F45" s="102">
        <f>TrRoad_act!F126</f>
        <v>23</v>
      </c>
      <c r="G45" s="102">
        <f>TrRoad_act!G126</f>
        <v>7</v>
      </c>
      <c r="H45" s="102">
        <f>TrRoad_act!H126</f>
        <v>4</v>
      </c>
      <c r="I45" s="102">
        <f>TrRoad_act!I126</f>
        <v>4</v>
      </c>
      <c r="J45" s="102">
        <f>TrRoad_act!J126</f>
        <v>4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29</v>
      </c>
      <c r="O45" s="102">
        <f>TrRoad_act!O126</f>
        <v>102</v>
      </c>
      <c r="P45" s="102">
        <f>TrRoad_act!P126</f>
        <v>43</v>
      </c>
      <c r="Q45" s="102">
        <f>TrRoad_act!Q126</f>
        <v>51</v>
      </c>
      <c r="R45" s="102">
        <f>TrRoad_act!R126</f>
        <v>80</v>
      </c>
      <c r="S45" s="102">
        <f>TrRoad_act!S126</f>
        <v>103</v>
      </c>
      <c r="T45" s="102">
        <f>TrRoad_act!T126</f>
        <v>92</v>
      </c>
      <c r="U45" s="102">
        <f>TrRoad_act!U126</f>
        <v>285</v>
      </c>
      <c r="V45" s="102">
        <f>TrRoad_act!V126</f>
        <v>174</v>
      </c>
      <c r="W45" s="102">
        <f>TrRoad_act!W126</f>
        <v>663</v>
      </c>
      <c r="X45" s="102">
        <f>TrRoad_act!X126</f>
        <v>787</v>
      </c>
      <c r="Y45" s="102">
        <f>TrRoad_act!Y126</f>
        <v>743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452651</v>
      </c>
      <c r="C46" s="28">
        <f>TrRoad_act!C127</f>
        <v>470078</v>
      </c>
      <c r="D46" s="28">
        <f>TrRoad_act!D127</f>
        <v>435225</v>
      </c>
      <c r="E46" s="28">
        <f>TrRoad_act!E127</f>
        <v>418333</v>
      </c>
      <c r="F46" s="28">
        <f>TrRoad_act!F127</f>
        <v>476693</v>
      </c>
      <c r="G46" s="28">
        <f>TrRoad_act!G127</f>
        <v>461104</v>
      </c>
      <c r="H46" s="28">
        <f>TrRoad_act!H127</f>
        <v>472367</v>
      </c>
      <c r="I46" s="28">
        <f>TrRoad_act!I127</f>
        <v>491709</v>
      </c>
      <c r="J46" s="28">
        <f>TrRoad_act!J127</f>
        <v>487525</v>
      </c>
      <c r="K46" s="28">
        <f>TrRoad_act!K127</f>
        <v>470220</v>
      </c>
      <c r="L46" s="28">
        <f>TrRoad_act!L127</f>
        <v>471929</v>
      </c>
      <c r="M46" s="28">
        <f>TrRoad_act!M127</f>
        <v>448365</v>
      </c>
      <c r="N46" s="28">
        <f>TrRoad_act!N127</f>
        <v>460511</v>
      </c>
      <c r="O46" s="28">
        <f>TrRoad_act!O127</f>
        <v>501128</v>
      </c>
      <c r="P46" s="28">
        <f>TrRoad_act!P127</f>
        <v>573560</v>
      </c>
      <c r="Q46" s="28">
        <f>TrRoad_act!Q127</f>
        <v>530433</v>
      </c>
      <c r="R46" s="28">
        <f>TrRoad_act!R127</f>
        <v>481535</v>
      </c>
      <c r="S46" s="28">
        <f>TrRoad_act!S127</f>
        <v>448694</v>
      </c>
      <c r="T46" s="28">
        <f>TrRoad_act!T127</f>
        <v>485115</v>
      </c>
      <c r="U46" s="28">
        <f>TrRoad_act!U127</f>
        <v>476646</v>
      </c>
      <c r="V46" s="28">
        <f>TrRoad_act!V127</f>
        <v>402560</v>
      </c>
      <c r="W46" s="28">
        <f>TrRoad_act!W127</f>
        <v>424749</v>
      </c>
      <c r="X46" s="28">
        <f>TrRoad_act!X127</f>
        <v>500709</v>
      </c>
      <c r="Y46" s="28">
        <f>TrRoad_act!Y127</f>
        <v>527578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394454</v>
      </c>
      <c r="C47" s="137">
        <f>TrRoad_act!C128</f>
        <v>411239</v>
      </c>
      <c r="D47" s="137">
        <f>TrRoad_act!D128</f>
        <v>382489</v>
      </c>
      <c r="E47" s="137">
        <f>TrRoad_act!E128</f>
        <v>372062</v>
      </c>
      <c r="F47" s="137">
        <f>TrRoad_act!F128</f>
        <v>415172</v>
      </c>
      <c r="G47" s="137">
        <f>TrRoad_act!G128</f>
        <v>402185</v>
      </c>
      <c r="H47" s="137">
        <f>TrRoad_act!H128</f>
        <v>415658</v>
      </c>
      <c r="I47" s="137">
        <f>TrRoad_act!I128</f>
        <v>435249</v>
      </c>
      <c r="J47" s="137">
        <f>TrRoad_act!J128</f>
        <v>430402</v>
      </c>
      <c r="K47" s="137">
        <f>TrRoad_act!K128</f>
        <v>438693</v>
      </c>
      <c r="L47" s="137">
        <f>TrRoad_act!L128</f>
        <v>432216</v>
      </c>
      <c r="M47" s="137">
        <f>TrRoad_act!M128</f>
        <v>401715</v>
      </c>
      <c r="N47" s="137">
        <f>TrRoad_act!N128</f>
        <v>414731</v>
      </c>
      <c r="O47" s="137">
        <f>TrRoad_act!O128</f>
        <v>449485</v>
      </c>
      <c r="P47" s="137">
        <f>TrRoad_act!P128</f>
        <v>531504</v>
      </c>
      <c r="Q47" s="137">
        <f>TrRoad_act!Q128</f>
        <v>482915</v>
      </c>
      <c r="R47" s="137">
        <f>TrRoad_act!R128</f>
        <v>426429</v>
      </c>
      <c r="S47" s="137">
        <f>TrRoad_act!S128</f>
        <v>388954</v>
      </c>
      <c r="T47" s="137">
        <f>TrRoad_act!T128</f>
        <v>428621</v>
      </c>
      <c r="U47" s="137">
        <f>TrRoad_act!U128</f>
        <v>413579</v>
      </c>
      <c r="V47" s="137">
        <f>TrRoad_act!V128</f>
        <v>358512</v>
      </c>
      <c r="W47" s="137">
        <f>TrRoad_act!W128</f>
        <v>370348</v>
      </c>
      <c r="X47" s="137">
        <f>TrRoad_act!X128</f>
        <v>457851</v>
      </c>
      <c r="Y47" s="137">
        <f>TrRoad_act!Y128</f>
        <v>482824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15104</v>
      </c>
      <c r="C48" s="84">
        <f>TrRoad_act!C129</f>
        <v>12705</v>
      </c>
      <c r="D48" s="84">
        <f>TrRoad_act!D129</f>
        <v>9481</v>
      </c>
      <c r="E48" s="84">
        <f>TrRoad_act!E129</f>
        <v>6995</v>
      </c>
      <c r="F48" s="84">
        <f>TrRoad_act!F129</f>
        <v>6749</v>
      </c>
      <c r="G48" s="84">
        <f>TrRoad_act!G129</f>
        <v>6275</v>
      </c>
      <c r="H48" s="84">
        <f>TrRoad_act!H129</f>
        <v>5374</v>
      </c>
      <c r="I48" s="84">
        <f>TrRoad_act!I129</f>
        <v>4575</v>
      </c>
      <c r="J48" s="84">
        <f>TrRoad_act!J129</f>
        <v>3969</v>
      </c>
      <c r="K48" s="84">
        <f>TrRoad_act!K129</f>
        <v>4829</v>
      </c>
      <c r="L48" s="84">
        <f>TrRoad_act!L129</f>
        <v>24399</v>
      </c>
      <c r="M48" s="84">
        <f>TrRoad_act!M129</f>
        <v>27578</v>
      </c>
      <c r="N48" s="84">
        <f>TrRoad_act!N129</f>
        <v>34973</v>
      </c>
      <c r="O48" s="84">
        <f>TrRoad_act!O129</f>
        <v>30529</v>
      </c>
      <c r="P48" s="84">
        <f>TrRoad_act!P129</f>
        <v>3787</v>
      </c>
      <c r="Q48" s="84">
        <f>TrRoad_act!Q129</f>
        <v>3899</v>
      </c>
      <c r="R48" s="84">
        <f>TrRoad_act!R129</f>
        <v>2876</v>
      </c>
      <c r="S48" s="84">
        <f>TrRoad_act!S129</f>
        <v>4651</v>
      </c>
      <c r="T48" s="84">
        <f>TrRoad_act!T129</f>
        <v>7636</v>
      </c>
      <c r="U48" s="84">
        <f>TrRoad_act!U129</f>
        <v>7685</v>
      </c>
      <c r="V48" s="84">
        <f>TrRoad_act!V129</f>
        <v>5528</v>
      </c>
      <c r="W48" s="84">
        <f>TrRoad_act!W129</f>
        <v>2677</v>
      </c>
      <c r="X48" s="84">
        <f>TrRoad_act!X129</f>
        <v>8685</v>
      </c>
      <c r="Y48" s="84">
        <f>TrRoad_act!Y129</f>
        <v>26507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375534</v>
      </c>
      <c r="C49" s="84">
        <f>TrRoad_act!C130</f>
        <v>395934</v>
      </c>
      <c r="D49" s="84">
        <f>TrRoad_act!D130</f>
        <v>371128</v>
      </c>
      <c r="E49" s="84">
        <f>TrRoad_act!E130</f>
        <v>363195</v>
      </c>
      <c r="F49" s="84">
        <f>TrRoad_act!F130</f>
        <v>406453</v>
      </c>
      <c r="G49" s="84">
        <f>TrRoad_act!G130</f>
        <v>394206</v>
      </c>
      <c r="H49" s="84">
        <f>TrRoad_act!H130</f>
        <v>407668</v>
      </c>
      <c r="I49" s="84">
        <f>TrRoad_act!I130</f>
        <v>429755</v>
      </c>
      <c r="J49" s="84">
        <f>TrRoad_act!J130</f>
        <v>425585</v>
      </c>
      <c r="K49" s="84">
        <f>TrRoad_act!K130</f>
        <v>431613</v>
      </c>
      <c r="L49" s="84">
        <f>TrRoad_act!L130</f>
        <v>406817</v>
      </c>
      <c r="M49" s="84">
        <f>TrRoad_act!M130</f>
        <v>371493</v>
      </c>
      <c r="N49" s="84">
        <f>TrRoad_act!N130</f>
        <v>375629</v>
      </c>
      <c r="O49" s="84">
        <f>TrRoad_act!O130</f>
        <v>413296</v>
      </c>
      <c r="P49" s="84">
        <f>TrRoad_act!P130</f>
        <v>522759</v>
      </c>
      <c r="Q49" s="84">
        <f>TrRoad_act!Q130</f>
        <v>473848</v>
      </c>
      <c r="R49" s="84">
        <f>TrRoad_act!R130</f>
        <v>416108</v>
      </c>
      <c r="S49" s="84">
        <f>TrRoad_act!S130</f>
        <v>378669</v>
      </c>
      <c r="T49" s="84">
        <f>TrRoad_act!T130</f>
        <v>402011</v>
      </c>
      <c r="U49" s="84">
        <f>TrRoad_act!U130</f>
        <v>397098</v>
      </c>
      <c r="V49" s="84">
        <f>TrRoad_act!V130</f>
        <v>337136</v>
      </c>
      <c r="W49" s="84">
        <f>TrRoad_act!W130</f>
        <v>354551</v>
      </c>
      <c r="X49" s="84">
        <f>TrRoad_act!X130</f>
        <v>433842</v>
      </c>
      <c r="Y49" s="84">
        <f>TrRoad_act!Y130</f>
        <v>427355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3009</v>
      </c>
      <c r="C50" s="84">
        <f>TrRoad_act!C131</f>
        <v>1885</v>
      </c>
      <c r="D50" s="84">
        <f>TrRoad_act!D131</f>
        <v>1530</v>
      </c>
      <c r="E50" s="84">
        <f>TrRoad_act!E131</f>
        <v>1433</v>
      </c>
      <c r="F50" s="84">
        <f>TrRoad_act!F131</f>
        <v>1576</v>
      </c>
      <c r="G50" s="84">
        <f>TrRoad_act!G131</f>
        <v>1438</v>
      </c>
      <c r="H50" s="84">
        <f>TrRoad_act!H131</f>
        <v>1919</v>
      </c>
      <c r="I50" s="84">
        <f>TrRoad_act!I131</f>
        <v>454</v>
      </c>
      <c r="J50" s="84">
        <f>TrRoad_act!J131</f>
        <v>332</v>
      </c>
      <c r="K50" s="84">
        <f>TrRoad_act!K131</f>
        <v>1429</v>
      </c>
      <c r="L50" s="84">
        <f>TrRoad_act!L131</f>
        <v>0</v>
      </c>
      <c r="M50" s="84">
        <f>TrRoad_act!M131</f>
        <v>0</v>
      </c>
      <c r="N50" s="84">
        <f>TrRoad_act!N131</f>
        <v>27</v>
      </c>
      <c r="O50" s="84">
        <f>TrRoad_act!O131</f>
        <v>90</v>
      </c>
      <c r="P50" s="84">
        <f>TrRoad_act!P131</f>
        <v>120</v>
      </c>
      <c r="Q50" s="84">
        <f>TrRoad_act!Q131</f>
        <v>95</v>
      </c>
      <c r="R50" s="84">
        <f>TrRoad_act!R131</f>
        <v>8</v>
      </c>
      <c r="S50" s="84">
        <f>TrRoad_act!S131</f>
        <v>6</v>
      </c>
      <c r="T50" s="84">
        <f>TrRoad_act!T131</f>
        <v>13</v>
      </c>
      <c r="U50" s="84">
        <f>TrRoad_act!U131</f>
        <v>16</v>
      </c>
      <c r="V50" s="84">
        <f>TrRoad_act!V131</f>
        <v>5888</v>
      </c>
      <c r="W50" s="84">
        <f>TrRoad_act!W131</f>
        <v>195</v>
      </c>
      <c r="X50" s="84">
        <f>TrRoad_act!X131</f>
        <v>618</v>
      </c>
      <c r="Y50" s="84">
        <f>TrRoad_act!Y131</f>
        <v>1876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2</v>
      </c>
      <c r="C51" s="84">
        <f>TrRoad_act!C132</f>
        <v>0</v>
      </c>
      <c r="D51" s="84">
        <f>TrRoad_act!D132</f>
        <v>7</v>
      </c>
      <c r="E51" s="84">
        <f>TrRoad_act!E132</f>
        <v>204</v>
      </c>
      <c r="F51" s="84">
        <f>TrRoad_act!F132</f>
        <v>9</v>
      </c>
      <c r="G51" s="84">
        <f>TrRoad_act!G132</f>
        <v>3</v>
      </c>
      <c r="H51" s="84">
        <f>TrRoad_act!H132</f>
        <v>439</v>
      </c>
      <c r="I51" s="84">
        <f>TrRoad_act!I132</f>
        <v>14</v>
      </c>
      <c r="J51" s="84">
        <f>TrRoad_act!J132</f>
        <v>49</v>
      </c>
      <c r="K51" s="84">
        <f>TrRoad_act!K132</f>
        <v>219</v>
      </c>
      <c r="L51" s="84">
        <f>TrRoad_act!L132</f>
        <v>247</v>
      </c>
      <c r="M51" s="84">
        <f>TrRoad_act!M132</f>
        <v>295</v>
      </c>
      <c r="N51" s="84">
        <f>TrRoad_act!N132</f>
        <v>451</v>
      </c>
      <c r="O51" s="84">
        <f>TrRoad_act!O132</f>
        <v>482</v>
      </c>
      <c r="P51" s="84">
        <f>TrRoad_act!P132</f>
        <v>380</v>
      </c>
      <c r="Q51" s="84">
        <f>TrRoad_act!Q132</f>
        <v>337</v>
      </c>
      <c r="R51" s="84">
        <f>TrRoad_act!R132</f>
        <v>403</v>
      </c>
      <c r="S51" s="84">
        <f>TrRoad_act!S132</f>
        <v>487</v>
      </c>
      <c r="T51" s="84">
        <f>TrRoad_act!T132</f>
        <v>5489</v>
      </c>
      <c r="U51" s="84">
        <f>TrRoad_act!U132</f>
        <v>649</v>
      </c>
      <c r="V51" s="84">
        <f>TrRoad_act!V132</f>
        <v>749</v>
      </c>
      <c r="W51" s="84">
        <f>TrRoad_act!W132</f>
        <v>1105</v>
      </c>
      <c r="X51" s="84">
        <f>TrRoad_act!X132</f>
        <v>143</v>
      </c>
      <c r="Y51" s="84">
        <f>TrRoad_act!Y132</f>
        <v>276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805</v>
      </c>
      <c r="C52" s="84">
        <f>TrRoad_act!C133</f>
        <v>715</v>
      </c>
      <c r="D52" s="84">
        <f>TrRoad_act!D133</f>
        <v>343</v>
      </c>
      <c r="E52" s="84">
        <f>TrRoad_act!E133</f>
        <v>235</v>
      </c>
      <c r="F52" s="84">
        <f>TrRoad_act!F133</f>
        <v>385</v>
      </c>
      <c r="G52" s="84">
        <f>TrRoad_act!G133</f>
        <v>263</v>
      </c>
      <c r="H52" s="84">
        <f>TrRoad_act!H133</f>
        <v>258</v>
      </c>
      <c r="I52" s="84">
        <f>TrRoad_act!I133</f>
        <v>451</v>
      </c>
      <c r="J52" s="84">
        <f>TrRoad_act!J133</f>
        <v>467</v>
      </c>
      <c r="K52" s="84">
        <f>TrRoad_act!K133</f>
        <v>603</v>
      </c>
      <c r="L52" s="84">
        <f>TrRoad_act!L133</f>
        <v>753</v>
      </c>
      <c r="M52" s="84">
        <f>TrRoad_act!M133</f>
        <v>2349</v>
      </c>
      <c r="N52" s="84">
        <f>TrRoad_act!N133</f>
        <v>3651</v>
      </c>
      <c r="O52" s="84">
        <f>TrRoad_act!O133</f>
        <v>5088</v>
      </c>
      <c r="P52" s="84">
        <f>TrRoad_act!P133</f>
        <v>4458</v>
      </c>
      <c r="Q52" s="84">
        <f>TrRoad_act!Q133</f>
        <v>4736</v>
      </c>
      <c r="R52" s="84">
        <f>TrRoad_act!R133</f>
        <v>7034</v>
      </c>
      <c r="S52" s="84">
        <f>TrRoad_act!S133</f>
        <v>5141</v>
      </c>
      <c r="T52" s="84">
        <f>TrRoad_act!T133</f>
        <v>13472</v>
      </c>
      <c r="U52" s="84">
        <f>TrRoad_act!U133</f>
        <v>8131</v>
      </c>
      <c r="V52" s="84">
        <f>TrRoad_act!V133</f>
        <v>9211</v>
      </c>
      <c r="W52" s="84">
        <f>TrRoad_act!W133</f>
        <v>11820</v>
      </c>
      <c r="X52" s="84">
        <f>TrRoad_act!X133</f>
        <v>14563</v>
      </c>
      <c r="Y52" s="84">
        <f>TrRoad_act!Y133</f>
        <v>26810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58197</v>
      </c>
      <c r="C53" s="110">
        <f>TrRoad_act!C134</f>
        <v>58839</v>
      </c>
      <c r="D53" s="110">
        <f>TrRoad_act!D134</f>
        <v>52736</v>
      </c>
      <c r="E53" s="110">
        <f>TrRoad_act!E134</f>
        <v>46271</v>
      </c>
      <c r="F53" s="110">
        <f>TrRoad_act!F134</f>
        <v>61521</v>
      </c>
      <c r="G53" s="110">
        <f>TrRoad_act!G134</f>
        <v>58919</v>
      </c>
      <c r="H53" s="110">
        <f>TrRoad_act!H134</f>
        <v>56709</v>
      </c>
      <c r="I53" s="110">
        <f>TrRoad_act!I134</f>
        <v>56460</v>
      </c>
      <c r="J53" s="110">
        <f>TrRoad_act!J134</f>
        <v>57123</v>
      </c>
      <c r="K53" s="110">
        <f>TrRoad_act!K134</f>
        <v>31527</v>
      </c>
      <c r="L53" s="110">
        <f>TrRoad_act!L134</f>
        <v>39713</v>
      </c>
      <c r="M53" s="110">
        <f>TrRoad_act!M134</f>
        <v>46650</v>
      </c>
      <c r="N53" s="110">
        <f>TrRoad_act!N134</f>
        <v>45780</v>
      </c>
      <c r="O53" s="110">
        <f>TrRoad_act!O134</f>
        <v>51643</v>
      </c>
      <c r="P53" s="110">
        <f>TrRoad_act!P134</f>
        <v>42056</v>
      </c>
      <c r="Q53" s="110">
        <f>TrRoad_act!Q134</f>
        <v>47518</v>
      </c>
      <c r="R53" s="110">
        <f>TrRoad_act!R134</f>
        <v>55106</v>
      </c>
      <c r="S53" s="110">
        <f>TrRoad_act!S134</f>
        <v>59740</v>
      </c>
      <c r="T53" s="110">
        <f>TrRoad_act!T134</f>
        <v>56494</v>
      </c>
      <c r="U53" s="110">
        <f>TrRoad_act!U134</f>
        <v>63067</v>
      </c>
      <c r="V53" s="110">
        <f>TrRoad_act!V134</f>
        <v>44048</v>
      </c>
      <c r="W53" s="110">
        <f>TrRoad_act!W134</f>
        <v>54401</v>
      </c>
      <c r="X53" s="110">
        <f>TrRoad_act!X134</f>
        <v>42858</v>
      </c>
      <c r="Y53" s="110">
        <f>TrRoad_act!Y134</f>
        <v>44754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51216</v>
      </c>
      <c r="C54" s="102">
        <f>TrRoad_act!C135</f>
        <v>50753</v>
      </c>
      <c r="D54" s="102">
        <f>TrRoad_act!D135</f>
        <v>45136</v>
      </c>
      <c r="E54" s="102">
        <f>TrRoad_act!E135</f>
        <v>40159</v>
      </c>
      <c r="F54" s="102">
        <f>TrRoad_act!F135</f>
        <v>41834</v>
      </c>
      <c r="G54" s="102">
        <f>TrRoad_act!G135</f>
        <v>49820</v>
      </c>
      <c r="H54" s="102">
        <f>TrRoad_act!H135</f>
        <v>47575</v>
      </c>
      <c r="I54" s="102">
        <f>TrRoad_act!I135</f>
        <v>47275</v>
      </c>
      <c r="J54" s="102">
        <f>TrRoad_act!J135</f>
        <v>51727</v>
      </c>
      <c r="K54" s="102">
        <f>TrRoad_act!K135</f>
        <v>31527</v>
      </c>
      <c r="L54" s="102">
        <f>TrRoad_act!L135</f>
        <v>30385</v>
      </c>
      <c r="M54" s="102">
        <f>TrRoad_act!M135</f>
        <v>42982</v>
      </c>
      <c r="N54" s="102">
        <f>TrRoad_act!N135</f>
        <v>39514</v>
      </c>
      <c r="O54" s="102">
        <f>TrRoad_act!O135</f>
        <v>39289</v>
      </c>
      <c r="P54" s="102">
        <f>TrRoad_act!P135</f>
        <v>33928</v>
      </c>
      <c r="Q54" s="102">
        <f>TrRoad_act!Q135</f>
        <v>38042</v>
      </c>
      <c r="R54" s="102">
        <f>TrRoad_act!R135</f>
        <v>43175</v>
      </c>
      <c r="S54" s="102">
        <f>TrRoad_act!S135</f>
        <v>46062</v>
      </c>
      <c r="T54" s="102">
        <f>TrRoad_act!T135</f>
        <v>49425</v>
      </c>
      <c r="U54" s="102">
        <f>TrRoad_act!U135</f>
        <v>50251</v>
      </c>
      <c r="V54" s="102">
        <f>TrRoad_act!V135</f>
        <v>38337</v>
      </c>
      <c r="W54" s="102">
        <f>TrRoad_act!W135</f>
        <v>38705</v>
      </c>
      <c r="X54" s="102">
        <f>TrRoad_act!X135</f>
        <v>35463</v>
      </c>
      <c r="Y54" s="102">
        <f>TrRoad_act!Y135</f>
        <v>38658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6981</v>
      </c>
      <c r="C55" s="86">
        <f>TrRoad_act!C136</f>
        <v>8086</v>
      </c>
      <c r="D55" s="86">
        <f>TrRoad_act!D136</f>
        <v>7600</v>
      </c>
      <c r="E55" s="86">
        <f>TrRoad_act!E136</f>
        <v>6112</v>
      </c>
      <c r="F55" s="86">
        <f>TrRoad_act!F136</f>
        <v>19687</v>
      </c>
      <c r="G55" s="86">
        <f>TrRoad_act!G136</f>
        <v>9099</v>
      </c>
      <c r="H55" s="86">
        <f>TrRoad_act!H136</f>
        <v>9134</v>
      </c>
      <c r="I55" s="86">
        <f>TrRoad_act!I136</f>
        <v>9185</v>
      </c>
      <c r="J55" s="86">
        <f>TrRoad_act!J136</f>
        <v>5396</v>
      </c>
      <c r="K55" s="86">
        <f>TrRoad_act!K136</f>
        <v>0</v>
      </c>
      <c r="L55" s="86">
        <f>TrRoad_act!L136</f>
        <v>9328</v>
      </c>
      <c r="M55" s="86">
        <f>TrRoad_act!M136</f>
        <v>3668</v>
      </c>
      <c r="N55" s="86">
        <f>TrRoad_act!N136</f>
        <v>6266</v>
      </c>
      <c r="O55" s="86">
        <f>TrRoad_act!O136</f>
        <v>12354</v>
      </c>
      <c r="P55" s="86">
        <f>TrRoad_act!P136</f>
        <v>8128</v>
      </c>
      <c r="Q55" s="86">
        <f>TrRoad_act!Q136</f>
        <v>9476</v>
      </c>
      <c r="R55" s="86">
        <f>TrRoad_act!R136</f>
        <v>11931</v>
      </c>
      <c r="S55" s="86">
        <f>TrRoad_act!S136</f>
        <v>13678</v>
      </c>
      <c r="T55" s="86">
        <f>TrRoad_act!T136</f>
        <v>7069</v>
      </c>
      <c r="U55" s="86">
        <f>TrRoad_act!U136</f>
        <v>12816</v>
      </c>
      <c r="V55" s="86">
        <f>TrRoad_act!V136</f>
        <v>5711</v>
      </c>
      <c r="W55" s="86">
        <f>TrRoad_act!W136</f>
        <v>15696</v>
      </c>
      <c r="X55" s="86">
        <f>TrRoad_act!X136</f>
        <v>7395</v>
      </c>
      <c r="Y55" s="86">
        <f>TrRoad_act!Y136</f>
        <v>6096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2324045</v>
      </c>
      <c r="C59" s="54">
        <f t="shared" si="0"/>
        <v>793613</v>
      </c>
      <c r="D59" s="54">
        <f t="shared" si="0"/>
        <v>882887</v>
      </c>
      <c r="E59" s="54">
        <f t="shared" si="0"/>
        <v>966526</v>
      </c>
      <c r="F59" s="54">
        <f t="shared" si="0"/>
        <v>1115870</v>
      </c>
      <c r="G59" s="54">
        <f t="shared" si="0"/>
        <v>1282634</v>
      </c>
      <c r="H59" s="54">
        <f t="shared" si="0"/>
        <v>1409319</v>
      </c>
      <c r="I59" s="54">
        <f t="shared" si="0"/>
        <v>1606022</v>
      </c>
      <c r="J59" s="54">
        <f t="shared" si="0"/>
        <v>1719259</v>
      </c>
      <c r="K59" s="54">
        <f t="shared" si="0"/>
        <v>1977554</v>
      </c>
      <c r="L59" s="54">
        <f t="shared" ref="L59" si="1">L60+L75</f>
        <v>2060819</v>
      </c>
      <c r="M59" s="54">
        <f t="shared" ref="M59:V59" si="2">M60+M75</f>
        <v>2491229</v>
      </c>
      <c r="N59" s="54">
        <f t="shared" si="2"/>
        <v>2082720</v>
      </c>
      <c r="O59" s="54">
        <f t="shared" si="2"/>
        <v>2127172</v>
      </c>
      <c r="P59" s="54">
        <f t="shared" si="2"/>
        <v>2273738</v>
      </c>
      <c r="Q59" s="54">
        <f t="shared" si="2"/>
        <v>2477827</v>
      </c>
      <c r="R59" s="54">
        <f t="shared" si="2"/>
        <v>2650691</v>
      </c>
      <c r="S59" s="54">
        <f t="shared" si="2"/>
        <v>2786661</v>
      </c>
      <c r="T59" s="54">
        <f t="shared" si="2"/>
        <v>2982228</v>
      </c>
      <c r="U59" s="54">
        <f t="shared" si="2"/>
        <v>3045957</v>
      </c>
      <c r="V59" s="54">
        <f t="shared" si="2"/>
        <v>2513521</v>
      </c>
      <c r="W59" s="54">
        <f t="shared" ref="W59:Y59" si="3">W60+W75</f>
        <v>2735637</v>
      </c>
      <c r="X59" s="54">
        <f t="shared" si="3"/>
        <v>2776927</v>
      </c>
      <c r="Y59" s="54">
        <f t="shared" si="3"/>
        <v>3099249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2295126</v>
      </c>
      <c r="C60" s="28">
        <f t="shared" si="4"/>
        <v>774986</v>
      </c>
      <c r="D60" s="28">
        <f t="shared" si="4"/>
        <v>849737</v>
      </c>
      <c r="E60" s="28">
        <f t="shared" si="4"/>
        <v>916694</v>
      </c>
      <c r="F60" s="28">
        <f t="shared" si="4"/>
        <v>1038605</v>
      </c>
      <c r="G60" s="28">
        <f t="shared" si="4"/>
        <v>1181718</v>
      </c>
      <c r="H60" s="28">
        <f t="shared" si="4"/>
        <v>1277409</v>
      </c>
      <c r="I60" s="28">
        <f t="shared" si="4"/>
        <v>1434572</v>
      </c>
      <c r="J60" s="28">
        <f t="shared" si="4"/>
        <v>1512473</v>
      </c>
      <c r="K60" s="28">
        <f t="shared" si="4"/>
        <v>1742414</v>
      </c>
      <c r="L60" s="28">
        <f t="shared" ref="L60" si="5">L61+L62+L69</f>
        <v>1786413</v>
      </c>
      <c r="M60" s="28">
        <f t="shared" ref="M60:V60" si="6">M61+M62+M69</f>
        <v>2201214</v>
      </c>
      <c r="N60" s="28">
        <f t="shared" si="6"/>
        <v>1754601</v>
      </c>
      <c r="O60" s="28">
        <f t="shared" si="6"/>
        <v>1740906</v>
      </c>
      <c r="P60" s="28">
        <f t="shared" si="6"/>
        <v>1799324</v>
      </c>
      <c r="Q60" s="28">
        <f t="shared" si="6"/>
        <v>2014773</v>
      </c>
      <c r="R60" s="28">
        <f t="shared" si="6"/>
        <v>2212732</v>
      </c>
      <c r="S60" s="28">
        <f t="shared" si="6"/>
        <v>2365022</v>
      </c>
      <c r="T60" s="28">
        <f t="shared" si="6"/>
        <v>2513565</v>
      </c>
      <c r="U60" s="28">
        <f t="shared" si="6"/>
        <v>2578225</v>
      </c>
      <c r="V60" s="28">
        <f t="shared" si="6"/>
        <v>2113693</v>
      </c>
      <c r="W60" s="28">
        <f t="shared" ref="W60:Y60" si="7">W61+W62+W69</f>
        <v>2312525</v>
      </c>
      <c r="X60" s="28">
        <f t="shared" si="7"/>
        <v>2276611</v>
      </c>
      <c r="Y60" s="28">
        <f t="shared" si="7"/>
        <v>2571671</v>
      </c>
      <c r="DA60" s="173" t="s">
        <v>839</v>
      </c>
    </row>
    <row r="61" spans="1:105" ht="11.45" customHeight="1" x14ac:dyDescent="0.25">
      <c r="A61" s="136" t="s">
        <v>173</v>
      </c>
      <c r="B61" s="137">
        <v>62843</v>
      </c>
      <c r="C61" s="137">
        <v>76099</v>
      </c>
      <c r="D61" s="137">
        <v>79150</v>
      </c>
      <c r="E61" s="137">
        <v>100874</v>
      </c>
      <c r="F61" s="137">
        <v>125338</v>
      </c>
      <c r="G61" s="137">
        <v>145320</v>
      </c>
      <c r="H61" s="137">
        <v>177630</v>
      </c>
      <c r="I61" s="137">
        <v>200364</v>
      </c>
      <c r="J61" s="137">
        <v>210015</v>
      </c>
      <c r="K61" s="137">
        <v>195482</v>
      </c>
      <c r="L61" s="137">
        <v>186090</v>
      </c>
      <c r="M61" s="137">
        <v>180596</v>
      </c>
      <c r="N61" s="137">
        <v>171585</v>
      </c>
      <c r="O61" s="137">
        <v>154452</v>
      </c>
      <c r="P61" s="137">
        <v>161765</v>
      </c>
      <c r="Q61" s="137">
        <v>163028</v>
      </c>
      <c r="R61" s="137">
        <v>174801</v>
      </c>
      <c r="S61" s="137">
        <v>165857</v>
      </c>
      <c r="T61" s="137">
        <v>180260</v>
      </c>
      <c r="U61" s="137">
        <v>200028</v>
      </c>
      <c r="V61" s="137">
        <v>180888</v>
      </c>
      <c r="W61" s="137">
        <v>206510</v>
      </c>
      <c r="X61" s="137">
        <v>193269</v>
      </c>
      <c r="Y61" s="137">
        <v>206951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2232154</v>
      </c>
      <c r="C62" s="110">
        <f t="shared" si="8"/>
        <v>698874</v>
      </c>
      <c r="D62" s="110">
        <f t="shared" si="8"/>
        <v>770584</v>
      </c>
      <c r="E62" s="110">
        <f t="shared" si="8"/>
        <v>815813</v>
      </c>
      <c r="F62" s="110">
        <f t="shared" si="8"/>
        <v>913262</v>
      </c>
      <c r="G62" s="110">
        <f t="shared" si="8"/>
        <v>1036393</v>
      </c>
      <c r="H62" s="110">
        <f t="shared" si="8"/>
        <v>1099755</v>
      </c>
      <c r="I62" s="110">
        <f t="shared" si="8"/>
        <v>1234108</v>
      </c>
      <c r="J62" s="110">
        <f t="shared" si="8"/>
        <v>1301590</v>
      </c>
      <c r="K62" s="110">
        <f t="shared" si="8"/>
        <v>1544578</v>
      </c>
      <c r="L62" s="110">
        <f t="shared" ref="L62" si="9">SUM(L63:L68)</f>
        <v>1597776</v>
      </c>
      <c r="M62" s="110">
        <f t="shared" ref="M62:V62" si="10">SUM(M63:M68)</f>
        <v>2016462</v>
      </c>
      <c r="N62" s="110">
        <f t="shared" si="10"/>
        <v>1578681</v>
      </c>
      <c r="O62" s="110">
        <f t="shared" si="10"/>
        <v>1580175</v>
      </c>
      <c r="P62" s="110">
        <f t="shared" si="10"/>
        <v>1631738</v>
      </c>
      <c r="Q62" s="110">
        <f t="shared" si="10"/>
        <v>1845297</v>
      </c>
      <c r="R62" s="110">
        <f t="shared" si="10"/>
        <v>2031222</v>
      </c>
      <c r="S62" s="110">
        <f t="shared" si="10"/>
        <v>2192033</v>
      </c>
      <c r="T62" s="110">
        <f t="shared" si="10"/>
        <v>2325376</v>
      </c>
      <c r="U62" s="110">
        <f t="shared" si="10"/>
        <v>2368946</v>
      </c>
      <c r="V62" s="110">
        <f t="shared" si="10"/>
        <v>1922076</v>
      </c>
      <c r="W62" s="110">
        <f t="shared" ref="W62:Y62" si="11">SUM(W63:W68)</f>
        <v>2094591</v>
      </c>
      <c r="X62" s="110">
        <f t="shared" si="11"/>
        <v>2072908</v>
      </c>
      <c r="Y62" s="110">
        <f t="shared" si="11"/>
        <v>2354244</v>
      </c>
      <c r="DA62" s="176" t="s">
        <v>841</v>
      </c>
    </row>
    <row r="63" spans="1:105" ht="11.45" customHeight="1" x14ac:dyDescent="0.25">
      <c r="A63" s="111" t="s">
        <v>110</v>
      </c>
      <c r="B63" s="84">
        <v>1499932</v>
      </c>
      <c r="C63" s="84">
        <v>290480</v>
      </c>
      <c r="D63" s="84">
        <v>271008</v>
      </c>
      <c r="E63" s="84">
        <v>253951</v>
      </c>
      <c r="F63" s="84">
        <v>269138</v>
      </c>
      <c r="G63" s="84">
        <v>306961</v>
      </c>
      <c r="H63" s="84">
        <v>302476</v>
      </c>
      <c r="I63" s="84">
        <v>309921</v>
      </c>
      <c r="J63" s="84">
        <v>268341</v>
      </c>
      <c r="K63" s="84">
        <v>430811</v>
      </c>
      <c r="L63" s="84">
        <v>419866</v>
      </c>
      <c r="M63" s="84">
        <v>451439</v>
      </c>
      <c r="N63" s="84">
        <v>420493</v>
      </c>
      <c r="O63" s="84">
        <v>518762</v>
      </c>
      <c r="P63" s="84">
        <v>584128</v>
      </c>
      <c r="Q63" s="84">
        <v>748790</v>
      </c>
      <c r="R63" s="84">
        <v>932375</v>
      </c>
      <c r="S63" s="84">
        <v>1116251</v>
      </c>
      <c r="T63" s="84">
        <v>1363497</v>
      </c>
      <c r="U63" s="84">
        <v>1474296</v>
      </c>
      <c r="V63" s="84">
        <v>1105039</v>
      </c>
      <c r="W63" s="84">
        <v>1255206</v>
      </c>
      <c r="X63" s="84">
        <v>1318811</v>
      </c>
      <c r="Y63" s="84">
        <v>1566065</v>
      </c>
      <c r="DA63" s="171" t="s">
        <v>842</v>
      </c>
    </row>
    <row r="64" spans="1:105" ht="11.45" customHeight="1" x14ac:dyDescent="0.25">
      <c r="A64" s="111" t="s">
        <v>111</v>
      </c>
      <c r="B64" s="84">
        <v>732222</v>
      </c>
      <c r="C64" s="84">
        <v>408394</v>
      </c>
      <c r="D64" s="84">
        <v>499576</v>
      </c>
      <c r="E64" s="84">
        <v>561862</v>
      </c>
      <c r="F64" s="84">
        <v>644124</v>
      </c>
      <c r="G64" s="84">
        <v>729432</v>
      </c>
      <c r="H64" s="84">
        <v>797279</v>
      </c>
      <c r="I64" s="84">
        <v>924187</v>
      </c>
      <c r="J64" s="84">
        <v>1033249</v>
      </c>
      <c r="K64" s="84">
        <v>1113767</v>
      </c>
      <c r="L64" s="84">
        <v>1177910</v>
      </c>
      <c r="M64" s="84">
        <v>1561604</v>
      </c>
      <c r="N64" s="84">
        <v>1157079</v>
      </c>
      <c r="O64" s="84">
        <v>1059701</v>
      </c>
      <c r="P64" s="84">
        <v>1045928</v>
      </c>
      <c r="Q64" s="84">
        <v>1090716</v>
      </c>
      <c r="R64" s="84">
        <v>1091573</v>
      </c>
      <c r="S64" s="84">
        <v>1048005</v>
      </c>
      <c r="T64" s="84">
        <v>913783</v>
      </c>
      <c r="U64" s="84">
        <v>826860</v>
      </c>
      <c r="V64" s="84">
        <v>608360</v>
      </c>
      <c r="W64" s="84">
        <v>477885</v>
      </c>
      <c r="X64" s="84">
        <v>333016</v>
      </c>
      <c r="Y64" s="84">
        <v>246013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3419</v>
      </c>
      <c r="N65" s="84">
        <v>1109</v>
      </c>
      <c r="O65" s="84">
        <v>1712</v>
      </c>
      <c r="P65" s="84">
        <v>1636</v>
      </c>
      <c r="Q65" s="84">
        <v>1204</v>
      </c>
      <c r="R65" s="84">
        <v>495</v>
      </c>
      <c r="S65" s="84">
        <v>898</v>
      </c>
      <c r="T65" s="84">
        <v>2117</v>
      </c>
      <c r="U65" s="84">
        <v>2726</v>
      </c>
      <c r="V65" s="84">
        <v>16411</v>
      </c>
      <c r="W65" s="84">
        <v>46394</v>
      </c>
      <c r="X65" s="84">
        <v>60880</v>
      </c>
      <c r="Y65" s="84">
        <v>63540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84">
        <v>0</v>
      </c>
      <c r="Y66" s="84">
        <v>4849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46</v>
      </c>
      <c r="Q67" s="84">
        <v>4587</v>
      </c>
      <c r="R67" s="84">
        <v>6779</v>
      </c>
      <c r="S67" s="84">
        <v>11234</v>
      </c>
      <c r="T67" s="84">
        <v>14079</v>
      </c>
      <c r="U67" s="84">
        <v>18383</v>
      </c>
      <c r="V67" s="84">
        <v>75219</v>
      </c>
      <c r="W67" s="84">
        <v>141268</v>
      </c>
      <c r="X67" s="84">
        <v>138658</v>
      </c>
      <c r="Y67" s="84">
        <v>164349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15645</v>
      </c>
      <c r="T68" s="84">
        <v>31900</v>
      </c>
      <c r="U68" s="84">
        <v>46681</v>
      </c>
      <c r="V68" s="84">
        <v>117047</v>
      </c>
      <c r="W68" s="84">
        <v>173838</v>
      </c>
      <c r="X68" s="84">
        <v>221543</v>
      </c>
      <c r="Y68" s="84">
        <v>309428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129</v>
      </c>
      <c r="C69" s="110">
        <f t="shared" si="12"/>
        <v>13</v>
      </c>
      <c r="D69" s="110">
        <f t="shared" si="12"/>
        <v>3</v>
      </c>
      <c r="E69" s="110">
        <f t="shared" si="12"/>
        <v>7</v>
      </c>
      <c r="F69" s="110">
        <f t="shared" si="12"/>
        <v>5</v>
      </c>
      <c r="G69" s="110">
        <f t="shared" si="12"/>
        <v>5</v>
      </c>
      <c r="H69" s="110">
        <f t="shared" si="12"/>
        <v>24</v>
      </c>
      <c r="I69" s="110">
        <f t="shared" si="12"/>
        <v>100</v>
      </c>
      <c r="J69" s="110">
        <f t="shared" si="12"/>
        <v>868</v>
      </c>
      <c r="K69" s="110">
        <f t="shared" si="12"/>
        <v>2354</v>
      </c>
      <c r="L69" s="110">
        <f t="shared" ref="L69" si="13">SUM(L70:L74)</f>
        <v>2547</v>
      </c>
      <c r="M69" s="110">
        <f t="shared" ref="M69:V69" si="14">SUM(M70:M74)</f>
        <v>4156</v>
      </c>
      <c r="N69" s="110">
        <f t="shared" si="14"/>
        <v>4335</v>
      </c>
      <c r="O69" s="110">
        <f t="shared" si="14"/>
        <v>6279</v>
      </c>
      <c r="P69" s="110">
        <f t="shared" si="14"/>
        <v>5821</v>
      </c>
      <c r="Q69" s="110">
        <f t="shared" si="14"/>
        <v>6448</v>
      </c>
      <c r="R69" s="110">
        <f t="shared" si="14"/>
        <v>6709</v>
      </c>
      <c r="S69" s="110">
        <f t="shared" si="14"/>
        <v>7132</v>
      </c>
      <c r="T69" s="110">
        <f t="shared" si="14"/>
        <v>7929</v>
      </c>
      <c r="U69" s="110">
        <f t="shared" si="14"/>
        <v>9251</v>
      </c>
      <c r="V69" s="110">
        <f t="shared" si="14"/>
        <v>10729</v>
      </c>
      <c r="W69" s="110">
        <f t="shared" ref="W69:Y69" si="15">SUM(W70:W74)</f>
        <v>11424</v>
      </c>
      <c r="X69" s="110">
        <f t="shared" si="15"/>
        <v>10434</v>
      </c>
      <c r="Y69" s="110">
        <f t="shared" si="15"/>
        <v>10476</v>
      </c>
      <c r="DA69" s="176" t="s">
        <v>848</v>
      </c>
    </row>
    <row r="70" spans="1:105" ht="11.45" customHeight="1" x14ac:dyDescent="0.25">
      <c r="A70" s="111" t="s">
        <v>110</v>
      </c>
      <c r="B70" s="102">
        <v>129</v>
      </c>
      <c r="C70" s="102">
        <v>2</v>
      </c>
      <c r="D70" s="102">
        <v>2</v>
      </c>
      <c r="E70" s="102">
        <v>1</v>
      </c>
      <c r="F70" s="102">
        <v>1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1</v>
      </c>
      <c r="O70" s="102">
        <v>0</v>
      </c>
      <c r="P70" s="102">
        <v>0</v>
      </c>
      <c r="Q70" s="102">
        <v>0</v>
      </c>
      <c r="R70" s="102">
        <v>0</v>
      </c>
      <c r="S70" s="102">
        <v>2</v>
      </c>
      <c r="T70" s="102">
        <v>0</v>
      </c>
      <c r="U70" s="102">
        <v>13</v>
      </c>
      <c r="V70" s="102">
        <v>21</v>
      </c>
      <c r="W70" s="102">
        <v>11</v>
      </c>
      <c r="X70" s="102">
        <v>2</v>
      </c>
      <c r="Y70" s="102">
        <v>1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749</v>
      </c>
      <c r="K71" s="102">
        <v>2349</v>
      </c>
      <c r="L71" s="102">
        <v>2547</v>
      </c>
      <c r="M71" s="102">
        <v>2502</v>
      </c>
      <c r="N71" s="102">
        <v>3859</v>
      </c>
      <c r="O71" s="102">
        <v>5138</v>
      </c>
      <c r="P71" s="102">
        <v>5440</v>
      </c>
      <c r="Q71" s="102">
        <v>6231</v>
      </c>
      <c r="R71" s="102">
        <v>6637</v>
      </c>
      <c r="S71" s="102">
        <v>6595</v>
      </c>
      <c r="T71" s="102">
        <v>6787</v>
      </c>
      <c r="U71" s="102">
        <v>6801</v>
      </c>
      <c r="V71" s="102">
        <v>7007</v>
      </c>
      <c r="W71" s="102">
        <v>6845</v>
      </c>
      <c r="X71" s="102">
        <v>6723</v>
      </c>
      <c r="Y71" s="102">
        <v>7157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11</v>
      </c>
      <c r="D72" s="102">
        <v>1</v>
      </c>
      <c r="E72" s="102">
        <v>6</v>
      </c>
      <c r="F72" s="102">
        <v>4</v>
      </c>
      <c r="G72" s="102">
        <v>5</v>
      </c>
      <c r="H72" s="102">
        <v>1</v>
      </c>
      <c r="I72" s="102">
        <v>26</v>
      </c>
      <c r="J72" s="102">
        <v>0</v>
      </c>
      <c r="K72" s="102">
        <v>2</v>
      </c>
      <c r="L72" s="102">
        <v>0</v>
      </c>
      <c r="M72" s="102">
        <v>0</v>
      </c>
      <c r="N72" s="102">
        <v>1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23</v>
      </c>
      <c r="I73" s="102">
        <v>74</v>
      </c>
      <c r="J73" s="102">
        <v>119</v>
      </c>
      <c r="K73" s="102">
        <v>3</v>
      </c>
      <c r="L73" s="102">
        <v>0</v>
      </c>
      <c r="M73" s="102">
        <v>1654</v>
      </c>
      <c r="N73" s="102">
        <v>474</v>
      </c>
      <c r="O73" s="102">
        <v>1141</v>
      </c>
      <c r="P73" s="102">
        <v>381</v>
      </c>
      <c r="Q73" s="102">
        <v>217</v>
      </c>
      <c r="R73" s="102">
        <v>72</v>
      </c>
      <c r="S73" s="102">
        <v>535</v>
      </c>
      <c r="T73" s="102">
        <v>1142</v>
      </c>
      <c r="U73" s="102">
        <v>2316</v>
      </c>
      <c r="V73" s="102">
        <v>3535</v>
      </c>
      <c r="W73" s="102">
        <v>3911</v>
      </c>
      <c r="X73" s="102">
        <v>2922</v>
      </c>
      <c r="Y73" s="102">
        <v>2575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121</v>
      </c>
      <c r="V74" s="102">
        <v>166</v>
      </c>
      <c r="W74" s="102">
        <v>657</v>
      </c>
      <c r="X74" s="102">
        <v>787</v>
      </c>
      <c r="Y74" s="102">
        <v>743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28919</v>
      </c>
      <c r="C75" s="28">
        <f t="shared" si="16"/>
        <v>18627</v>
      </c>
      <c r="D75" s="28">
        <f t="shared" si="16"/>
        <v>33150</v>
      </c>
      <c r="E75" s="28">
        <f t="shared" si="16"/>
        <v>49832</v>
      </c>
      <c r="F75" s="28">
        <f t="shared" si="16"/>
        <v>77265</v>
      </c>
      <c r="G75" s="28">
        <f t="shared" si="16"/>
        <v>100916</v>
      </c>
      <c r="H75" s="28">
        <f t="shared" si="16"/>
        <v>131910</v>
      </c>
      <c r="I75" s="28">
        <f t="shared" si="16"/>
        <v>171450</v>
      </c>
      <c r="J75" s="28">
        <f t="shared" si="16"/>
        <v>206786</v>
      </c>
      <c r="K75" s="28">
        <f t="shared" si="16"/>
        <v>235140</v>
      </c>
      <c r="L75" s="28">
        <f t="shared" ref="L75" si="17">L76+L82</f>
        <v>274406</v>
      </c>
      <c r="M75" s="28">
        <f t="shared" ref="M75:V75" si="18">M76+M82</f>
        <v>290015</v>
      </c>
      <c r="N75" s="28">
        <f t="shared" si="18"/>
        <v>328119</v>
      </c>
      <c r="O75" s="28">
        <f t="shared" si="18"/>
        <v>386266</v>
      </c>
      <c r="P75" s="28">
        <f t="shared" si="18"/>
        <v>474414</v>
      </c>
      <c r="Q75" s="28">
        <f t="shared" si="18"/>
        <v>463054</v>
      </c>
      <c r="R75" s="28">
        <f t="shared" si="18"/>
        <v>437959</v>
      </c>
      <c r="S75" s="28">
        <f t="shared" si="18"/>
        <v>421639</v>
      </c>
      <c r="T75" s="28">
        <f t="shared" si="18"/>
        <v>468663</v>
      </c>
      <c r="U75" s="28">
        <f t="shared" si="18"/>
        <v>467732</v>
      </c>
      <c r="V75" s="28">
        <f t="shared" si="18"/>
        <v>399828</v>
      </c>
      <c r="W75" s="28">
        <f t="shared" ref="W75:Y75" si="19">W76+W82</f>
        <v>423112</v>
      </c>
      <c r="X75" s="28">
        <f t="shared" si="19"/>
        <v>500316</v>
      </c>
      <c r="Y75" s="28">
        <f t="shared" si="19"/>
        <v>527578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28919</v>
      </c>
      <c r="C76" s="137">
        <f t="shared" si="20"/>
        <v>18627</v>
      </c>
      <c r="D76" s="137">
        <f t="shared" si="20"/>
        <v>32769</v>
      </c>
      <c r="E76" s="137">
        <f t="shared" si="20"/>
        <v>46117</v>
      </c>
      <c r="F76" s="137">
        <f t="shared" si="20"/>
        <v>71221</v>
      </c>
      <c r="G76" s="137">
        <f t="shared" si="20"/>
        <v>91589</v>
      </c>
      <c r="H76" s="137">
        <f t="shared" si="20"/>
        <v>120670</v>
      </c>
      <c r="I76" s="137">
        <f t="shared" si="20"/>
        <v>156127</v>
      </c>
      <c r="J76" s="137">
        <f t="shared" si="20"/>
        <v>185649</v>
      </c>
      <c r="K76" s="137">
        <f t="shared" si="20"/>
        <v>222079</v>
      </c>
      <c r="L76" s="137">
        <f t="shared" ref="L76" si="21">SUM(L77:L81)</f>
        <v>254185</v>
      </c>
      <c r="M76" s="137">
        <f t="shared" ref="M76:V76" si="22">SUM(M77:M81)</f>
        <v>264215</v>
      </c>
      <c r="N76" s="137">
        <f t="shared" si="22"/>
        <v>299806</v>
      </c>
      <c r="O76" s="137">
        <f t="shared" si="22"/>
        <v>351265</v>
      </c>
      <c r="P76" s="137">
        <f t="shared" si="22"/>
        <v>443663</v>
      </c>
      <c r="Q76" s="137">
        <f t="shared" si="22"/>
        <v>425943</v>
      </c>
      <c r="R76" s="137">
        <f t="shared" si="22"/>
        <v>392485</v>
      </c>
      <c r="S76" s="137">
        <f t="shared" si="22"/>
        <v>370009</v>
      </c>
      <c r="T76" s="137">
        <f t="shared" si="22"/>
        <v>417282</v>
      </c>
      <c r="U76" s="137">
        <f t="shared" si="22"/>
        <v>408965</v>
      </c>
      <c r="V76" s="137">
        <f t="shared" si="22"/>
        <v>357425</v>
      </c>
      <c r="W76" s="137">
        <f t="shared" ref="W76:Y76" si="23">SUM(W77:W81)</f>
        <v>370335</v>
      </c>
      <c r="X76" s="137">
        <f t="shared" si="23"/>
        <v>457847</v>
      </c>
      <c r="Y76" s="137">
        <f t="shared" si="23"/>
        <v>482824</v>
      </c>
      <c r="DA76" s="174" t="s">
        <v>855</v>
      </c>
    </row>
    <row r="77" spans="1:105" ht="11.45" customHeight="1" x14ac:dyDescent="0.25">
      <c r="A77" s="111" t="s">
        <v>110</v>
      </c>
      <c r="B77" s="84">
        <v>27683</v>
      </c>
      <c r="C77" s="84">
        <v>3354</v>
      </c>
      <c r="D77" s="84">
        <v>2973</v>
      </c>
      <c r="E77" s="84">
        <v>2564</v>
      </c>
      <c r="F77" s="84">
        <v>2849</v>
      </c>
      <c r="G77" s="84">
        <v>3008</v>
      </c>
      <c r="H77" s="84">
        <v>2888</v>
      </c>
      <c r="I77" s="84">
        <v>2724</v>
      </c>
      <c r="J77" s="84">
        <v>2587</v>
      </c>
      <c r="K77" s="84">
        <v>3409</v>
      </c>
      <c r="L77" s="84">
        <v>18473</v>
      </c>
      <c r="M77" s="84">
        <v>22185</v>
      </c>
      <c r="N77" s="84">
        <v>29630</v>
      </c>
      <c r="O77" s="84">
        <v>27024</v>
      </c>
      <c r="P77" s="84">
        <v>3476</v>
      </c>
      <c r="Q77" s="84">
        <v>3684</v>
      </c>
      <c r="R77" s="84">
        <v>2779</v>
      </c>
      <c r="S77" s="84">
        <v>4568</v>
      </c>
      <c r="T77" s="84">
        <v>7581</v>
      </c>
      <c r="U77" s="84">
        <v>7672</v>
      </c>
      <c r="V77" s="84">
        <v>5528</v>
      </c>
      <c r="W77" s="84">
        <v>2677</v>
      </c>
      <c r="X77" s="84">
        <v>8685</v>
      </c>
      <c r="Y77" s="84">
        <v>26507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15037</v>
      </c>
      <c r="D78" s="84">
        <v>29539</v>
      </c>
      <c r="E78" s="84">
        <v>43237</v>
      </c>
      <c r="F78" s="84">
        <v>67946</v>
      </c>
      <c r="G78" s="84">
        <v>88115</v>
      </c>
      <c r="H78" s="84">
        <v>117052</v>
      </c>
      <c r="I78" s="84">
        <v>153204</v>
      </c>
      <c r="J78" s="84">
        <v>182896</v>
      </c>
      <c r="K78" s="84">
        <v>217871</v>
      </c>
      <c r="L78" s="84">
        <v>235712</v>
      </c>
      <c r="M78" s="84">
        <v>242030</v>
      </c>
      <c r="N78" s="84">
        <v>270157</v>
      </c>
      <c r="O78" s="84">
        <v>322769</v>
      </c>
      <c r="P78" s="84">
        <v>436817</v>
      </c>
      <c r="Q78" s="84">
        <v>418111</v>
      </c>
      <c r="R78" s="84">
        <v>383206</v>
      </c>
      <c r="S78" s="84">
        <v>360218</v>
      </c>
      <c r="T78" s="84">
        <v>391439</v>
      </c>
      <c r="U78" s="84">
        <v>392636</v>
      </c>
      <c r="V78" s="84">
        <v>336176</v>
      </c>
      <c r="W78" s="84">
        <v>354545</v>
      </c>
      <c r="X78" s="84">
        <v>433839</v>
      </c>
      <c r="Y78" s="84">
        <v>427355</v>
      </c>
      <c r="DA78" s="171" t="s">
        <v>857</v>
      </c>
    </row>
    <row r="79" spans="1:105" ht="11.45" customHeight="1" x14ac:dyDescent="0.25">
      <c r="A79" s="111" t="s">
        <v>112</v>
      </c>
      <c r="B79" s="84">
        <v>1236</v>
      </c>
      <c r="C79" s="84">
        <v>236</v>
      </c>
      <c r="D79" s="84">
        <v>257</v>
      </c>
      <c r="E79" s="84">
        <v>316</v>
      </c>
      <c r="F79" s="84">
        <v>426</v>
      </c>
      <c r="G79" s="84">
        <v>466</v>
      </c>
      <c r="H79" s="84">
        <v>730</v>
      </c>
      <c r="I79" s="84">
        <v>199</v>
      </c>
      <c r="J79" s="84">
        <v>166</v>
      </c>
      <c r="K79" s="84">
        <v>799</v>
      </c>
      <c r="L79" s="84">
        <v>0</v>
      </c>
      <c r="M79" s="84">
        <v>0</v>
      </c>
      <c r="N79" s="84">
        <v>19</v>
      </c>
      <c r="O79" s="84">
        <v>70</v>
      </c>
      <c r="P79" s="84">
        <v>99</v>
      </c>
      <c r="Q79" s="84">
        <v>82</v>
      </c>
      <c r="R79" s="84">
        <v>7</v>
      </c>
      <c r="S79" s="84">
        <v>6</v>
      </c>
      <c r="T79" s="84">
        <v>13</v>
      </c>
      <c r="U79" s="84">
        <v>16</v>
      </c>
      <c r="V79" s="84">
        <v>5812</v>
      </c>
      <c r="W79" s="84">
        <v>194</v>
      </c>
      <c r="X79" s="84">
        <v>618</v>
      </c>
      <c r="Y79" s="84">
        <v>1876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146</v>
      </c>
      <c r="Q80" s="84">
        <v>294</v>
      </c>
      <c r="R80" s="84">
        <v>366</v>
      </c>
      <c r="S80" s="84">
        <v>457</v>
      </c>
      <c r="T80" s="84">
        <v>5277</v>
      </c>
      <c r="U80" s="84">
        <v>635</v>
      </c>
      <c r="V80" s="84">
        <v>741</v>
      </c>
      <c r="W80" s="84">
        <v>1100</v>
      </c>
      <c r="X80" s="84">
        <v>143</v>
      </c>
      <c r="Y80" s="84">
        <v>276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1402</v>
      </c>
      <c r="P81" s="84">
        <v>3125</v>
      </c>
      <c r="Q81" s="84">
        <v>3772</v>
      </c>
      <c r="R81" s="84">
        <v>6127</v>
      </c>
      <c r="S81" s="84">
        <v>4760</v>
      </c>
      <c r="T81" s="84">
        <v>12972</v>
      </c>
      <c r="U81" s="84">
        <v>8006</v>
      </c>
      <c r="V81" s="84">
        <v>9168</v>
      </c>
      <c r="W81" s="84">
        <v>11819</v>
      </c>
      <c r="X81" s="84">
        <v>14562</v>
      </c>
      <c r="Y81" s="84">
        <v>26810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381</v>
      </c>
      <c r="E82" s="110">
        <f t="shared" si="24"/>
        <v>3715</v>
      </c>
      <c r="F82" s="110">
        <f t="shared" si="24"/>
        <v>6044</v>
      </c>
      <c r="G82" s="110">
        <f t="shared" si="24"/>
        <v>9327</v>
      </c>
      <c r="H82" s="110">
        <f t="shared" si="24"/>
        <v>11240</v>
      </c>
      <c r="I82" s="110">
        <f t="shared" si="24"/>
        <v>15323</v>
      </c>
      <c r="J82" s="110">
        <f t="shared" si="24"/>
        <v>21137</v>
      </c>
      <c r="K82" s="110">
        <f t="shared" si="24"/>
        <v>13061</v>
      </c>
      <c r="L82" s="110">
        <f t="shared" ref="L82" si="25">SUM(L83:L84)</f>
        <v>20221</v>
      </c>
      <c r="M82" s="110">
        <f t="shared" ref="M82:V82" si="26">SUM(M83:M84)</f>
        <v>25800</v>
      </c>
      <c r="N82" s="110">
        <f t="shared" si="26"/>
        <v>28313</v>
      </c>
      <c r="O82" s="110">
        <f t="shared" si="26"/>
        <v>35001</v>
      </c>
      <c r="P82" s="110">
        <f t="shared" si="26"/>
        <v>30751</v>
      </c>
      <c r="Q82" s="110">
        <f t="shared" si="26"/>
        <v>37111</v>
      </c>
      <c r="R82" s="110">
        <f t="shared" si="26"/>
        <v>45474</v>
      </c>
      <c r="S82" s="110">
        <f t="shared" si="26"/>
        <v>51630</v>
      </c>
      <c r="T82" s="110">
        <f t="shared" si="26"/>
        <v>51381</v>
      </c>
      <c r="U82" s="110">
        <f t="shared" si="26"/>
        <v>58767</v>
      </c>
      <c r="V82" s="110">
        <f t="shared" si="26"/>
        <v>42403</v>
      </c>
      <c r="W82" s="110">
        <f t="shared" ref="W82:Y82" si="27">SUM(W83:W84)</f>
        <v>52777</v>
      </c>
      <c r="X82" s="110">
        <f t="shared" si="27"/>
        <v>42469</v>
      </c>
      <c r="Y82" s="110">
        <f t="shared" si="27"/>
        <v>44754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381</v>
      </c>
      <c r="E83" s="102">
        <v>3715</v>
      </c>
      <c r="F83" s="102">
        <v>6044</v>
      </c>
      <c r="G83" s="102">
        <v>9327</v>
      </c>
      <c r="H83" s="102">
        <v>11240</v>
      </c>
      <c r="I83" s="102">
        <v>13762</v>
      </c>
      <c r="J83" s="102">
        <v>18148</v>
      </c>
      <c r="K83" s="102">
        <v>13061</v>
      </c>
      <c r="L83" s="102">
        <v>14586</v>
      </c>
      <c r="M83" s="102">
        <v>23493</v>
      </c>
      <c r="N83" s="102">
        <v>24200</v>
      </c>
      <c r="O83" s="102">
        <v>26564</v>
      </c>
      <c r="P83" s="102">
        <v>24980</v>
      </c>
      <c r="Q83" s="102">
        <v>30119</v>
      </c>
      <c r="R83" s="102">
        <v>36333</v>
      </c>
      <c r="S83" s="102">
        <v>40764</v>
      </c>
      <c r="T83" s="102">
        <v>45549</v>
      </c>
      <c r="U83" s="102">
        <v>47791</v>
      </c>
      <c r="V83" s="102">
        <v>37314</v>
      </c>
      <c r="W83" s="102">
        <v>38260</v>
      </c>
      <c r="X83" s="102">
        <v>35363</v>
      </c>
      <c r="Y83" s="102">
        <v>38658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1561</v>
      </c>
      <c r="J84" s="86">
        <v>2989</v>
      </c>
      <c r="K84" s="86">
        <v>0</v>
      </c>
      <c r="L84" s="86">
        <v>5635</v>
      </c>
      <c r="M84" s="86">
        <v>2307</v>
      </c>
      <c r="N84" s="86">
        <v>4113</v>
      </c>
      <c r="O84" s="86">
        <v>8437</v>
      </c>
      <c r="P84" s="86">
        <v>5771</v>
      </c>
      <c r="Q84" s="86">
        <v>6992</v>
      </c>
      <c r="R84" s="86">
        <v>9141</v>
      </c>
      <c r="S84" s="86">
        <v>10866</v>
      </c>
      <c r="T84" s="86">
        <v>5832</v>
      </c>
      <c r="U84" s="86">
        <v>10976</v>
      </c>
      <c r="V84" s="86">
        <v>5089</v>
      </c>
      <c r="W84" s="86">
        <v>14517</v>
      </c>
      <c r="X84" s="86">
        <v>7106</v>
      </c>
      <c r="Y84" s="86">
        <v>6096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3.4151518480171421</v>
      </c>
      <c r="C90" s="141">
        <v>3.3966043528006828</v>
      </c>
      <c r="D90" s="141">
        <v>3.3789756149845669</v>
      </c>
      <c r="E90" s="141">
        <v>3.3579586754029465</v>
      </c>
      <c r="F90" s="141">
        <v>3.3335324290707149</v>
      </c>
      <c r="G90" s="141">
        <v>3.3048551860862743</v>
      </c>
      <c r="H90" s="141">
        <v>3.2719287365903464</v>
      </c>
      <c r="I90" s="141">
        <v>3.2451965384630896</v>
      </c>
      <c r="J90" s="141">
        <v>3.2137104593476917</v>
      </c>
      <c r="K90" s="141">
        <v>3.1784991114719787</v>
      </c>
      <c r="L90" s="141">
        <v>3.1449934524558985</v>
      </c>
      <c r="M90" s="141">
        <v>3.107592214396127</v>
      </c>
      <c r="N90" s="141">
        <v>3.0712799339754464</v>
      </c>
      <c r="O90" s="141">
        <v>3.0366886912796098</v>
      </c>
      <c r="P90" s="141">
        <v>3.0022699404013453</v>
      </c>
      <c r="Q90" s="141">
        <v>2.9734834097125824</v>
      </c>
      <c r="R90" s="141">
        <v>2.9399137338685302</v>
      </c>
      <c r="S90" s="141">
        <v>2.9032728940820425</v>
      </c>
      <c r="T90" s="141">
        <v>2.8700215287252169</v>
      </c>
      <c r="U90" s="141">
        <v>2.834658392938783</v>
      </c>
      <c r="V90" s="141">
        <v>2.8007976258825602</v>
      </c>
      <c r="W90" s="141">
        <v>2.6945225734939062</v>
      </c>
      <c r="X90" s="141">
        <v>2.6754397146652575</v>
      </c>
      <c r="Y90" s="141">
        <v>2.6554669256200087</v>
      </c>
      <c r="DA90" s="174" t="s">
        <v>864</v>
      </c>
    </row>
    <row r="91" spans="1:105" ht="11.45" customHeight="1" x14ac:dyDescent="0.25">
      <c r="A91" s="109" t="s">
        <v>20</v>
      </c>
      <c r="B91" s="130">
        <v>7.755225506853888</v>
      </c>
      <c r="C91" s="130">
        <v>7.5919990903212646</v>
      </c>
      <c r="D91" s="130">
        <v>7.5054031362161835</v>
      </c>
      <c r="E91" s="130">
        <v>7.4230251224436747</v>
      </c>
      <c r="F91" s="130">
        <v>7.3390878269488873</v>
      </c>
      <c r="G91" s="130">
        <v>7.2490466718841331</v>
      </c>
      <c r="H91" s="130">
        <v>7.162238571631403</v>
      </c>
      <c r="I91" s="130">
        <v>7.0715319665174681</v>
      </c>
      <c r="J91" s="130">
        <v>6.9801113993221238</v>
      </c>
      <c r="K91" s="130">
        <v>6.8599567198933764</v>
      </c>
      <c r="L91" s="130">
        <v>6.7359707534706965</v>
      </c>
      <c r="M91" s="130">
        <v>6.6135492852335158</v>
      </c>
      <c r="N91" s="130">
        <v>6.5009102458436523</v>
      </c>
      <c r="O91" s="130">
        <v>6.4042332514313154</v>
      </c>
      <c r="P91" s="130">
        <v>6.2895075673268774</v>
      </c>
      <c r="Q91" s="130">
        <v>6.1754656054141863</v>
      </c>
      <c r="R91" s="130">
        <v>6.0387849486412071</v>
      </c>
      <c r="S91" s="130">
        <v>5.9218004535625921</v>
      </c>
      <c r="T91" s="130">
        <v>5.8007853765090589</v>
      </c>
      <c r="U91" s="130">
        <v>5.6669663747179166</v>
      </c>
      <c r="V91" s="130">
        <v>5.539790542937542</v>
      </c>
      <c r="W91" s="130">
        <v>5.4343403592176927</v>
      </c>
      <c r="X91" s="130">
        <v>5.2945435594800507</v>
      </c>
      <c r="Y91" s="130">
        <v>5.1817443217323982</v>
      </c>
      <c r="DA91" s="176" t="s">
        <v>865</v>
      </c>
    </row>
    <row r="92" spans="1:105" ht="11.45" customHeight="1" x14ac:dyDescent="0.25">
      <c r="A92" s="111" t="s">
        <v>110</v>
      </c>
      <c r="B92" s="96">
        <v>7.9093758829612764</v>
      </c>
      <c r="C92" s="96">
        <v>7.7487000327572746</v>
      </c>
      <c r="D92" s="96">
        <v>7.6847220915079042</v>
      </c>
      <c r="E92" s="96">
        <v>7.6273053779497406</v>
      </c>
      <c r="F92" s="96">
        <v>7.5687797746131249</v>
      </c>
      <c r="G92" s="96">
        <v>7.5001015781554221</v>
      </c>
      <c r="H92" s="96">
        <v>7.4307359450419153</v>
      </c>
      <c r="I92" s="96">
        <v>7.3560214058504485</v>
      </c>
      <c r="J92" s="96">
        <v>7.2803025571635489</v>
      </c>
      <c r="K92" s="96">
        <v>7.132880623766451</v>
      </c>
      <c r="L92" s="96">
        <v>6.9919809889857776</v>
      </c>
      <c r="M92" s="96">
        <v>6.8449766598329367</v>
      </c>
      <c r="N92" s="96">
        <v>6.709552026681032</v>
      </c>
      <c r="O92" s="96">
        <v>6.5833196074126556</v>
      </c>
      <c r="P92" s="96">
        <v>6.4121160931671408</v>
      </c>
      <c r="Q92" s="96">
        <v>6.240421261191738</v>
      </c>
      <c r="R92" s="96">
        <v>6.0365544981299566</v>
      </c>
      <c r="S92" s="96">
        <v>5.8590242205268304</v>
      </c>
      <c r="T92" s="96">
        <v>5.6764301479416321</v>
      </c>
      <c r="U92" s="96">
        <v>5.5237650066466362</v>
      </c>
      <c r="V92" s="96">
        <v>5.3980758220460698</v>
      </c>
      <c r="W92" s="96">
        <v>5.2664402019751124</v>
      </c>
      <c r="X92" s="96">
        <v>5.1406784108262231</v>
      </c>
      <c r="Y92" s="96">
        <v>5.0160356387522054</v>
      </c>
      <c r="DA92" s="171" t="s">
        <v>866</v>
      </c>
    </row>
    <row r="93" spans="1:105" ht="11.45" customHeight="1" x14ac:dyDescent="0.25">
      <c r="A93" s="111" t="s">
        <v>111</v>
      </c>
      <c r="B93" s="96">
        <v>7.4900652976245867</v>
      </c>
      <c r="C93" s="96">
        <v>7.2276212440032959</v>
      </c>
      <c r="D93" s="96">
        <v>7.1004237803691064</v>
      </c>
      <c r="E93" s="96">
        <v>6.9916358582466502</v>
      </c>
      <c r="F93" s="96">
        <v>6.8859307512420056</v>
      </c>
      <c r="G93" s="96">
        <v>6.7913670073551877</v>
      </c>
      <c r="H93" s="96">
        <v>6.702770302792592</v>
      </c>
      <c r="I93" s="96">
        <v>6.6243539485893628</v>
      </c>
      <c r="J93" s="96">
        <v>6.533412669351752</v>
      </c>
      <c r="K93" s="96">
        <v>6.433680262686269</v>
      </c>
      <c r="L93" s="96">
        <v>6.3222132851850459</v>
      </c>
      <c r="M93" s="96">
        <v>6.2252510850016822</v>
      </c>
      <c r="N93" s="96">
        <v>6.121653830427328</v>
      </c>
      <c r="O93" s="96">
        <v>6.0236853835672317</v>
      </c>
      <c r="P93" s="96">
        <v>5.9232924766811896</v>
      </c>
      <c r="Q93" s="96">
        <v>5.8148768119964576</v>
      </c>
      <c r="R93" s="96">
        <v>5.703493155951298</v>
      </c>
      <c r="S93" s="96">
        <v>5.603178645823867</v>
      </c>
      <c r="T93" s="96">
        <v>5.5159417742972279</v>
      </c>
      <c r="U93" s="96">
        <v>5.4199240681525938</v>
      </c>
      <c r="V93" s="96">
        <v>5.3357313832633704</v>
      </c>
      <c r="W93" s="96">
        <v>5.2940363838594653</v>
      </c>
      <c r="X93" s="96">
        <v>5.2258521265089115</v>
      </c>
      <c r="Y93" s="96">
        <v>5.2006870035047665</v>
      </c>
      <c r="DA93" s="171" t="s">
        <v>867</v>
      </c>
    </row>
    <row r="94" spans="1:105" ht="11.45" customHeight="1" x14ac:dyDescent="0.25">
      <c r="A94" s="111" t="s">
        <v>112</v>
      </c>
      <c r="B94" s="96">
        <v>7.3447592446901702</v>
      </c>
      <c r="C94" s="96">
        <v>7.2735112065387977</v>
      </c>
      <c r="D94" s="96">
        <v>7.2681624300073731</v>
      </c>
      <c r="E94" s="96">
        <v>7.2601592329724634</v>
      </c>
      <c r="F94" s="96">
        <v>7.2538952724080508</v>
      </c>
      <c r="G94" s="96">
        <v>7.2439102974060923</v>
      </c>
      <c r="H94" s="96">
        <v>7.232414662047022</v>
      </c>
      <c r="I94" s="96">
        <v>7.2174941779465422</v>
      </c>
      <c r="J94" s="96">
        <v>7.1372317238409257</v>
      </c>
      <c r="K94" s="96">
        <v>7.0066961199775877</v>
      </c>
      <c r="L94" s="96">
        <v>6.2973561888958027</v>
      </c>
      <c r="M94" s="96">
        <v>6.3108933408889882</v>
      </c>
      <c r="N94" s="96">
        <v>6.2480393917219894</v>
      </c>
      <c r="O94" s="96">
        <v>6.1457007040580072</v>
      </c>
      <c r="P94" s="96">
        <v>6.1061268806002325</v>
      </c>
      <c r="Q94" s="96">
        <v>6.1002162386093524</v>
      </c>
      <c r="R94" s="96">
        <v>6.0695045871930224</v>
      </c>
      <c r="S94" s="96">
        <v>6.0412145374472574</v>
      </c>
      <c r="T94" s="96">
        <v>6.0283011705078779</v>
      </c>
      <c r="U94" s="96">
        <v>6.0175635794480842</v>
      </c>
      <c r="V94" s="96">
        <v>5.7730435977323378</v>
      </c>
      <c r="W94" s="96">
        <v>5.2018003520670453</v>
      </c>
      <c r="X94" s="96">
        <v>4.8480092365365755</v>
      </c>
      <c r="Y94" s="96">
        <v>4.5765743668532872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7.2541156145994616</v>
      </c>
      <c r="J95" s="96">
        <v>6.9576292025252586</v>
      </c>
      <c r="K95" s="96">
        <v>6.7148626090239896</v>
      </c>
      <c r="L95" s="96">
        <v>6.6320700465217977</v>
      </c>
      <c r="M95" s="96">
        <v>6.5292266980710103</v>
      </c>
      <c r="N95" s="96">
        <v>6.4172206615332179</v>
      </c>
      <c r="O95" s="96">
        <v>6.3127741754348792</v>
      </c>
      <c r="P95" s="96">
        <v>6.1882639091313214</v>
      </c>
      <c r="Q95" s="96">
        <v>5.986307505721201</v>
      </c>
      <c r="R95" s="96">
        <v>5.1829562911482183</v>
      </c>
      <c r="S95" s="96">
        <v>5.1047097348778987</v>
      </c>
      <c r="T95" s="96">
        <v>5.0176060885801368</v>
      </c>
      <c r="U95" s="96">
        <v>4.9633387512559217</v>
      </c>
      <c r="V95" s="96">
        <v>4.9230663891658821</v>
      </c>
      <c r="W95" s="96">
        <v>4.8334532601298612</v>
      </c>
      <c r="X95" s="96">
        <v>4.8063857371717615</v>
      </c>
      <c r="Y95" s="96">
        <v>4.3669812523183626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2.6938818817013424</v>
      </c>
      <c r="O96" s="96">
        <v>2.8108872272452223</v>
      </c>
      <c r="P96" s="96">
        <v>2.7204868747657098</v>
      </c>
      <c r="Q96" s="96">
        <v>3.0370972248188424</v>
      </c>
      <c r="R96" s="96">
        <v>3.2049645249390468</v>
      </c>
      <c r="S96" s="96">
        <v>3.2823943236542301</v>
      </c>
      <c r="T96" s="96">
        <v>3.3838988766312896</v>
      </c>
      <c r="U96" s="96">
        <v>3.3306744885227761</v>
      </c>
      <c r="V96" s="96">
        <v>3.1558637599961243</v>
      </c>
      <c r="W96" s="96">
        <v>2.9608996163101362</v>
      </c>
      <c r="X96" s="96">
        <v>2.8640885924550825</v>
      </c>
      <c r="Y96" s="96">
        <v>2.7775524783525394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1.2408948463305245</v>
      </c>
      <c r="I97" s="96">
        <v>1.237075614010076</v>
      </c>
      <c r="J97" s="96">
        <v>1.2163518552278292</v>
      </c>
      <c r="K97" s="96">
        <v>1.2162584021232468</v>
      </c>
      <c r="L97" s="96">
        <v>1.2146521117973328</v>
      </c>
      <c r="M97" s="96">
        <v>1.2024957572529362</v>
      </c>
      <c r="N97" s="96">
        <v>1.1709275589979411</v>
      </c>
      <c r="O97" s="96">
        <v>1.2479974681289014</v>
      </c>
      <c r="P97" s="96">
        <v>1.2840970745583624</v>
      </c>
      <c r="Q97" s="96">
        <v>1.3251708435379077</v>
      </c>
      <c r="R97" s="96">
        <v>1.343275858457629</v>
      </c>
      <c r="S97" s="96">
        <v>1.3068574702724456</v>
      </c>
      <c r="T97" s="96">
        <v>1.3132311099233311</v>
      </c>
      <c r="U97" s="96">
        <v>1.3588334017868919</v>
      </c>
      <c r="V97" s="96">
        <v>1.4020031807318774</v>
      </c>
      <c r="W97" s="96">
        <v>1.3991233425081258</v>
      </c>
      <c r="X97" s="96">
        <v>1.3906983752709621</v>
      </c>
      <c r="Y97" s="96">
        <v>1.3836073495876224</v>
      </c>
      <c r="DA97" s="171" t="s">
        <v>871</v>
      </c>
    </row>
    <row r="98" spans="1:105" ht="11.45" customHeight="1" x14ac:dyDescent="0.25">
      <c r="A98" s="109" t="s">
        <v>21</v>
      </c>
      <c r="B98" s="130">
        <v>51.615510584809243</v>
      </c>
      <c r="C98" s="130">
        <v>51.011715762782103</v>
      </c>
      <c r="D98" s="130">
        <v>50.722241636093983</v>
      </c>
      <c r="E98" s="130">
        <v>50.478098895881182</v>
      </c>
      <c r="F98" s="130">
        <v>50.253958248433811</v>
      </c>
      <c r="G98" s="130">
        <v>50.012160249209238</v>
      </c>
      <c r="H98" s="130">
        <v>49.751790522660919</v>
      </c>
      <c r="I98" s="130">
        <v>49.476559769726769</v>
      </c>
      <c r="J98" s="130">
        <v>49.012759008288739</v>
      </c>
      <c r="K98" s="130">
        <v>48.420918682618556</v>
      </c>
      <c r="L98" s="130">
        <v>47.994828529109768</v>
      </c>
      <c r="M98" s="130">
        <v>47.433346296145665</v>
      </c>
      <c r="N98" s="130">
        <v>47.010368660689522</v>
      </c>
      <c r="O98" s="130">
        <v>46.143750379933827</v>
      </c>
      <c r="P98" s="130">
        <v>45.668642801390689</v>
      </c>
      <c r="Q98" s="130">
        <v>45.197429549265493</v>
      </c>
      <c r="R98" s="130">
        <v>44.78890646220529</v>
      </c>
      <c r="S98" s="130">
        <v>44.322049416630442</v>
      </c>
      <c r="T98" s="130">
        <v>43.773172485013028</v>
      </c>
      <c r="U98" s="130">
        <v>43.017407303987063</v>
      </c>
      <c r="V98" s="130">
        <v>42.023462041049072</v>
      </c>
      <c r="W98" s="130">
        <v>40.92155960009368</v>
      </c>
      <c r="X98" s="130">
        <v>39.927002656071004</v>
      </c>
      <c r="Y98" s="130">
        <v>38.858346188571289</v>
      </c>
      <c r="DA98" s="176" t="s">
        <v>872</v>
      </c>
    </row>
    <row r="99" spans="1:105" ht="11.45" customHeight="1" x14ac:dyDescent="0.25">
      <c r="A99" s="111" t="s">
        <v>110</v>
      </c>
      <c r="B99" s="97">
        <v>16.385002182266401</v>
      </c>
      <c r="C99" s="97">
        <v>16.370220774490072</v>
      </c>
      <c r="D99" s="97">
        <v>16.361368523028698</v>
      </c>
      <c r="E99" s="97">
        <v>16.357654934314013</v>
      </c>
      <c r="F99" s="97">
        <v>16.353198062442765</v>
      </c>
      <c r="G99" s="97">
        <v>16.350937373422617</v>
      </c>
      <c r="H99" s="97">
        <v>16.348267603644963</v>
      </c>
      <c r="I99" s="97">
        <v>16.345169561756126</v>
      </c>
      <c r="J99" s="97">
        <v>16.34155232018264</v>
      </c>
      <c r="K99" s="97">
        <v>16.335621942712852</v>
      </c>
      <c r="L99" s="97">
        <v>16.330277541435297</v>
      </c>
      <c r="M99" s="97">
        <v>16.323022288642331</v>
      </c>
      <c r="N99" s="97">
        <v>16.2897793069709</v>
      </c>
      <c r="O99" s="97">
        <v>16.27313514220986</v>
      </c>
      <c r="P99" s="97">
        <v>16.251763915112612</v>
      </c>
      <c r="Q99" s="97">
        <v>16.225104991909365</v>
      </c>
      <c r="R99" s="97">
        <v>16.224464747534963</v>
      </c>
      <c r="S99" s="97">
        <v>16.119410562686692</v>
      </c>
      <c r="T99" s="97">
        <v>16.118196423093831</v>
      </c>
      <c r="U99" s="97">
        <v>15.409857828844499</v>
      </c>
      <c r="V99" s="97">
        <v>14.491163320445192</v>
      </c>
      <c r="W99" s="97">
        <v>14.092381313354233</v>
      </c>
      <c r="X99" s="97">
        <v>13.691690250059171</v>
      </c>
      <c r="Y99" s="97">
        <v>13.276070765575199</v>
      </c>
      <c r="DA99" s="175" t="s">
        <v>873</v>
      </c>
    </row>
    <row r="100" spans="1:105" ht="11.45" customHeight="1" x14ac:dyDescent="0.25">
      <c r="A100" s="111" t="s">
        <v>111</v>
      </c>
      <c r="B100" s="97">
        <v>52.203698380588456</v>
      </c>
      <c r="C100" s="97">
        <v>51.408322573717193</v>
      </c>
      <c r="D100" s="97">
        <v>51.012874288782669</v>
      </c>
      <c r="E100" s="97">
        <v>50.689409749673978</v>
      </c>
      <c r="F100" s="97">
        <v>50.386170665426214</v>
      </c>
      <c r="G100" s="97">
        <v>50.05154495420399</v>
      </c>
      <c r="H100" s="97">
        <v>49.704656726681335</v>
      </c>
      <c r="I100" s="97">
        <v>49.360991891706576</v>
      </c>
      <c r="J100" s="97">
        <v>48.846900465296869</v>
      </c>
      <c r="K100" s="97">
        <v>48.191508967375555</v>
      </c>
      <c r="L100" s="97">
        <v>47.728687749899677</v>
      </c>
      <c r="M100" s="97">
        <v>47.393809403738203</v>
      </c>
      <c r="N100" s="97">
        <v>47.00526243182253</v>
      </c>
      <c r="O100" s="97">
        <v>46.366350382368758</v>
      </c>
      <c r="P100" s="97">
        <v>45.918706886405602</v>
      </c>
      <c r="Q100" s="97">
        <v>45.465985038055109</v>
      </c>
      <c r="R100" s="97">
        <v>45.04498327352821</v>
      </c>
      <c r="S100" s="97">
        <v>44.598367661718775</v>
      </c>
      <c r="T100" s="97">
        <v>44.090831383491135</v>
      </c>
      <c r="U100" s="97">
        <v>43.500095561998506</v>
      </c>
      <c r="V100" s="97">
        <v>42.71508026291621</v>
      </c>
      <c r="W100" s="97">
        <v>41.865447582271962</v>
      </c>
      <c r="X100" s="97">
        <v>40.935823538136844</v>
      </c>
      <c r="Y100" s="97">
        <v>39.80629337648066</v>
      </c>
      <c r="DA100" s="175" t="s">
        <v>874</v>
      </c>
    </row>
    <row r="101" spans="1:105" ht="11.45" customHeight="1" x14ac:dyDescent="0.25">
      <c r="A101" s="111" t="s">
        <v>112</v>
      </c>
      <c r="B101" s="97">
        <v>42.850535754066357</v>
      </c>
      <c r="C101" s="97">
        <v>41.212604635800368</v>
      </c>
      <c r="D101" s="97">
        <v>41.178378364592888</v>
      </c>
      <c r="E101" s="97">
        <v>41.019079057881292</v>
      </c>
      <c r="F101" s="97">
        <v>40.919967536454855</v>
      </c>
      <c r="G101" s="97">
        <v>40.762152776907719</v>
      </c>
      <c r="H101" s="97">
        <v>40.384845638725317</v>
      </c>
      <c r="I101" s="97">
        <v>39.75852058069821</v>
      </c>
      <c r="J101" s="97">
        <v>39.661956060618998</v>
      </c>
      <c r="K101" s="97">
        <v>39.511429216751999</v>
      </c>
      <c r="L101" s="97">
        <v>39.466392564917243</v>
      </c>
      <c r="M101" s="97">
        <v>39.322950847374841</v>
      </c>
      <c r="N101" s="97">
        <v>39.129773874914036</v>
      </c>
      <c r="O101" s="97">
        <v>39.052656236107936</v>
      </c>
      <c r="P101" s="97">
        <v>38.894109438881294</v>
      </c>
      <c r="Q101" s="97">
        <v>38.707021881724323</v>
      </c>
      <c r="R101" s="97">
        <v>38.712066239883981</v>
      </c>
      <c r="S101" s="97">
        <v>38.708110874139237</v>
      </c>
      <c r="T101" s="97">
        <v>38.63708681771886</v>
      </c>
      <c r="U101" s="97">
        <v>38.629515625890846</v>
      </c>
      <c r="V101" s="97">
        <v>38.58357688424681</v>
      </c>
      <c r="W101" s="97">
        <v>38.566754052636064</v>
      </c>
      <c r="X101" s="97">
        <v>38.531551828388963</v>
      </c>
      <c r="Y101" s="97">
        <v>38.483794877578688</v>
      </c>
      <c r="DA101" s="175" t="s">
        <v>875</v>
      </c>
    </row>
    <row r="102" spans="1:105" ht="11.45" customHeight="1" x14ac:dyDescent="0.25">
      <c r="A102" s="111" t="s">
        <v>113</v>
      </c>
      <c r="B102" s="97">
        <v>43.503081983823712</v>
      </c>
      <c r="C102" s="97">
        <v>39.643009718995401</v>
      </c>
      <c r="D102" s="97">
        <v>39.62384431628562</v>
      </c>
      <c r="E102" s="97">
        <v>39.573448174207655</v>
      </c>
      <c r="F102" s="97">
        <v>39.544446284184779</v>
      </c>
      <c r="G102" s="97">
        <v>39.489680934440351</v>
      </c>
      <c r="H102" s="97">
        <v>39.403573737420871</v>
      </c>
      <c r="I102" s="97">
        <v>39.310786450293143</v>
      </c>
      <c r="J102" s="97">
        <v>39.084270103393024</v>
      </c>
      <c r="K102" s="97">
        <v>39.071033719496519</v>
      </c>
      <c r="L102" s="97">
        <v>39.06222882084402</v>
      </c>
      <c r="M102" s="97">
        <v>37.811567921591596</v>
      </c>
      <c r="N102" s="97">
        <v>37.673987216056616</v>
      </c>
      <c r="O102" s="97">
        <v>37.333731407656792</v>
      </c>
      <c r="P102" s="97">
        <v>37.218658811467172</v>
      </c>
      <c r="Q102" s="97">
        <v>37.136483147964356</v>
      </c>
      <c r="R102" s="97">
        <v>37.110789199006149</v>
      </c>
      <c r="S102" s="97">
        <v>36.928803498255661</v>
      </c>
      <c r="T102" s="97">
        <v>36.640437301279178</v>
      </c>
      <c r="U102" s="97">
        <v>36.277574303486404</v>
      </c>
      <c r="V102" s="97">
        <v>35.988719083230706</v>
      </c>
      <c r="W102" s="97">
        <v>35.780538926998254</v>
      </c>
      <c r="X102" s="97">
        <v>35.657242503392276</v>
      </c>
      <c r="Y102" s="97">
        <v>35.558806436919753</v>
      </c>
      <c r="DA102" s="175" t="s">
        <v>876</v>
      </c>
    </row>
    <row r="103" spans="1:105" ht="11.45" customHeight="1" x14ac:dyDescent="0.25">
      <c r="A103" s="111" t="s">
        <v>115</v>
      </c>
      <c r="B103" s="97">
        <v>29.642544265190082</v>
      </c>
      <c r="C103" s="97">
        <v>27.982549562935038</v>
      </c>
      <c r="D103" s="97">
        <v>27.448346141591557</v>
      </c>
      <c r="E103" s="97">
        <v>27.033908110079064</v>
      </c>
      <c r="F103" s="97">
        <v>26.666619407257823</v>
      </c>
      <c r="G103" s="97">
        <v>26.496308413537641</v>
      </c>
      <c r="H103" s="97">
        <v>26.35539227375806</v>
      </c>
      <c r="I103" s="97">
        <v>26.195600872305551</v>
      </c>
      <c r="J103" s="97">
        <v>26.080553768252699</v>
      </c>
      <c r="K103" s="97">
        <v>25.966584301900422</v>
      </c>
      <c r="L103" s="97">
        <v>25.828721445407101</v>
      </c>
      <c r="M103" s="97">
        <v>25.791632257798678</v>
      </c>
      <c r="N103" s="97">
        <v>25.016434612203703</v>
      </c>
      <c r="O103" s="97">
        <v>23.961890736132297</v>
      </c>
      <c r="P103" s="97">
        <v>23.566923281007941</v>
      </c>
      <c r="Q103" s="97">
        <v>23.188033177322506</v>
      </c>
      <c r="R103" s="97">
        <v>22.734859067619031</v>
      </c>
      <c r="S103" s="97">
        <v>22.220346954411276</v>
      </c>
      <c r="T103" s="97">
        <v>21.843738281515606</v>
      </c>
      <c r="U103" s="97">
        <v>21.275684738815304</v>
      </c>
      <c r="V103" s="97">
        <v>20.939283642025565</v>
      </c>
      <c r="W103" s="97">
        <v>20.248866217085443</v>
      </c>
      <c r="X103" s="97">
        <v>19.549483396660641</v>
      </c>
      <c r="Y103" s="97">
        <v>19.003561913408806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9.8277211677184884</v>
      </c>
      <c r="C105" s="141">
        <v>9.6688109025432656</v>
      </c>
      <c r="D105" s="141">
        <v>9.5825616534102949</v>
      </c>
      <c r="E105" s="141">
        <v>9.4960875686622099</v>
      </c>
      <c r="F105" s="141">
        <v>9.3980969419913905</v>
      </c>
      <c r="G105" s="141">
        <v>9.3049726436446019</v>
      </c>
      <c r="H105" s="141">
        <v>9.2058097983488079</v>
      </c>
      <c r="I105" s="141">
        <v>9.1027658287348441</v>
      </c>
      <c r="J105" s="141">
        <v>8.990819360442865</v>
      </c>
      <c r="K105" s="141">
        <v>8.8663011353984942</v>
      </c>
      <c r="L105" s="141">
        <v>8.7794613430066057</v>
      </c>
      <c r="M105" s="141">
        <v>8.6878746435995424</v>
      </c>
      <c r="N105" s="141">
        <v>8.5583178824151886</v>
      </c>
      <c r="O105" s="141">
        <v>8.3699087704363766</v>
      </c>
      <c r="P105" s="141">
        <v>8.152635831570084</v>
      </c>
      <c r="Q105" s="141">
        <v>7.9657260184396987</v>
      </c>
      <c r="R105" s="141">
        <v>7.7724360343042864</v>
      </c>
      <c r="S105" s="141">
        <v>7.5764984819800469</v>
      </c>
      <c r="T105" s="141">
        <v>7.4361584636404388</v>
      </c>
      <c r="U105" s="141">
        <v>7.2389442738940941</v>
      </c>
      <c r="V105" s="141">
        <v>7.1442637145698535</v>
      </c>
      <c r="W105" s="141">
        <v>7.0505969955430636</v>
      </c>
      <c r="X105" s="141">
        <v>6.8975602117503882</v>
      </c>
      <c r="Y105" s="141">
        <v>6.7455507502668572</v>
      </c>
      <c r="DA105" s="174" t="s">
        <v>878</v>
      </c>
    </row>
    <row r="106" spans="1:105" ht="11.45" customHeight="1" x14ac:dyDescent="0.25">
      <c r="A106" s="111" t="s">
        <v>110</v>
      </c>
      <c r="B106" s="96">
        <v>10.362294929968995</v>
      </c>
      <c r="C106" s="96">
        <v>10.284374521339668</v>
      </c>
      <c r="D106" s="96">
        <v>10.242057619459306</v>
      </c>
      <c r="E106" s="96">
        <v>10.187504869357062</v>
      </c>
      <c r="F106" s="96">
        <v>10.114943785540754</v>
      </c>
      <c r="G106" s="96">
        <v>10.03763260590506</v>
      </c>
      <c r="H106" s="96">
        <v>9.9542369183895509</v>
      </c>
      <c r="I106" s="96">
        <v>9.8732700945602083</v>
      </c>
      <c r="J106" s="96">
        <v>9.8145409183837842</v>
      </c>
      <c r="K106" s="96">
        <v>9.7303238041243514</v>
      </c>
      <c r="L106" s="96">
        <v>9.5779946326665044</v>
      </c>
      <c r="M106" s="96">
        <v>9.4059109846979059</v>
      </c>
      <c r="N106" s="96">
        <v>9.205668104654368</v>
      </c>
      <c r="O106" s="96">
        <v>8.9642063624712591</v>
      </c>
      <c r="P106" s="96">
        <v>8.8578345000183649</v>
      </c>
      <c r="Q106" s="96">
        <v>8.7398090231601273</v>
      </c>
      <c r="R106" s="96">
        <v>8.6276048887569079</v>
      </c>
      <c r="S106" s="96">
        <v>8.4735542930758996</v>
      </c>
      <c r="T106" s="96">
        <v>8.2799320997863841</v>
      </c>
      <c r="U106" s="96">
        <v>8.0516532743953633</v>
      </c>
      <c r="V106" s="96">
        <v>7.8809491024573814</v>
      </c>
      <c r="W106" s="96">
        <v>7.834138228525255</v>
      </c>
      <c r="X106" s="96">
        <v>7.6819131581156705</v>
      </c>
      <c r="Y106" s="96">
        <v>7.384133023512315</v>
      </c>
      <c r="DA106" s="171" t="s">
        <v>879</v>
      </c>
    </row>
    <row r="107" spans="1:105" ht="11.45" customHeight="1" x14ac:dyDescent="0.25">
      <c r="A107" s="111" t="s">
        <v>111</v>
      </c>
      <c r="B107" s="96">
        <v>9.7476255576727535</v>
      </c>
      <c r="C107" s="96">
        <v>9.5468103607488892</v>
      </c>
      <c r="D107" s="96">
        <v>9.4507014154241684</v>
      </c>
      <c r="E107" s="96">
        <v>9.3586635132069205</v>
      </c>
      <c r="F107" s="96">
        <v>9.2532692433028121</v>
      </c>
      <c r="G107" s="96">
        <v>9.1526696915342036</v>
      </c>
      <c r="H107" s="96">
        <v>9.0461114993073064</v>
      </c>
      <c r="I107" s="96">
        <v>8.939575893316885</v>
      </c>
      <c r="J107" s="96">
        <v>8.8172585595586757</v>
      </c>
      <c r="K107" s="96">
        <v>8.6851602939423795</v>
      </c>
      <c r="L107" s="96">
        <v>8.6015954765025011</v>
      </c>
      <c r="M107" s="96">
        <v>8.5178433240228131</v>
      </c>
      <c r="N107" s="96">
        <v>8.3807413372103579</v>
      </c>
      <c r="O107" s="96">
        <v>8.1711625519924773</v>
      </c>
      <c r="P107" s="96">
        <v>7.9350408842057263</v>
      </c>
      <c r="Q107" s="96">
        <v>7.7427461676499654</v>
      </c>
      <c r="R107" s="96">
        <v>7.5726047576747177</v>
      </c>
      <c r="S107" s="96">
        <v>7.3943280196590351</v>
      </c>
      <c r="T107" s="96">
        <v>7.2536515097852146</v>
      </c>
      <c r="U107" s="96">
        <v>7.0806266009046608</v>
      </c>
      <c r="V107" s="96">
        <v>6.9953703236938178</v>
      </c>
      <c r="W107" s="96">
        <v>6.9090479349769449</v>
      </c>
      <c r="X107" s="96">
        <v>6.784612193052074</v>
      </c>
      <c r="Y107" s="96">
        <v>6.6668869501157646</v>
      </c>
      <c r="DA107" s="171" t="s">
        <v>880</v>
      </c>
    </row>
    <row r="108" spans="1:105" ht="11.45" customHeight="1" x14ac:dyDescent="0.25">
      <c r="A108" s="111" t="s">
        <v>112</v>
      </c>
      <c r="B108" s="96">
        <v>11.198687629283803</v>
      </c>
      <c r="C108" s="96">
        <v>10.859413821292364</v>
      </c>
      <c r="D108" s="96">
        <v>10.761013938191498</v>
      </c>
      <c r="E108" s="96">
        <v>10.667515032289542</v>
      </c>
      <c r="F108" s="96">
        <v>10.566974740383884</v>
      </c>
      <c r="G108" s="96">
        <v>10.483980402079819</v>
      </c>
      <c r="H108" s="96">
        <v>10.38607522518951</v>
      </c>
      <c r="I108" s="96">
        <v>10.238231931086114</v>
      </c>
      <c r="J108" s="96">
        <v>10.178777589104971</v>
      </c>
      <c r="K108" s="96">
        <v>10.054818464234383</v>
      </c>
      <c r="L108" s="96">
        <v>10.037540533598225</v>
      </c>
      <c r="M108" s="96">
        <v>10.017416587378348</v>
      </c>
      <c r="N108" s="96">
        <v>9.9912559409754902</v>
      </c>
      <c r="O108" s="96">
        <v>9.9620346373458641</v>
      </c>
      <c r="P108" s="96">
        <v>9.93150785252665</v>
      </c>
      <c r="Q108" s="96">
        <v>9.9066015540115764</v>
      </c>
      <c r="R108" s="96">
        <v>9.8894205023110828</v>
      </c>
      <c r="S108" s="96">
        <v>9.8633552941820675</v>
      </c>
      <c r="T108" s="96">
        <v>9.8023962230236972</v>
      </c>
      <c r="U108" s="96">
        <v>9.7647993171723826</v>
      </c>
      <c r="V108" s="96">
        <v>7.8048068838354183</v>
      </c>
      <c r="W108" s="96">
        <v>7.7664922139178509</v>
      </c>
      <c r="X108" s="96">
        <v>7.622678325949817</v>
      </c>
      <c r="Y108" s="96">
        <v>7.3967126221054587</v>
      </c>
      <c r="DA108" s="171" t="s">
        <v>881</v>
      </c>
    </row>
    <row r="109" spans="1:105" ht="11.45" customHeight="1" x14ac:dyDescent="0.25">
      <c r="A109" s="111" t="s">
        <v>113</v>
      </c>
      <c r="B109" s="96">
        <v>10.498354779039479</v>
      </c>
      <c r="C109" s="96">
        <v>10.493589915634308</v>
      </c>
      <c r="D109" s="96">
        <v>10.476427155846647</v>
      </c>
      <c r="E109" s="96">
        <v>10.185039316009366</v>
      </c>
      <c r="F109" s="96">
        <v>10.164481725470262</v>
      </c>
      <c r="G109" s="96">
        <v>10.149797450777843</v>
      </c>
      <c r="H109" s="96">
        <v>9.7483849174958106</v>
      </c>
      <c r="I109" s="96">
        <v>9.7016683247225686</v>
      </c>
      <c r="J109" s="96">
        <v>9.6148234368673773</v>
      </c>
      <c r="K109" s="96">
        <v>9.1943835748122691</v>
      </c>
      <c r="L109" s="96">
        <v>8.639862212794327</v>
      </c>
      <c r="M109" s="96">
        <v>8.2631731766717813</v>
      </c>
      <c r="N109" s="96">
        <v>7.9103943101195133</v>
      </c>
      <c r="O109" s="96">
        <v>7.5410690078190976</v>
      </c>
      <c r="P109" s="96">
        <v>7.329675989720279</v>
      </c>
      <c r="Q109" s="96">
        <v>7.2238025875380352</v>
      </c>
      <c r="R109" s="96">
        <v>7.2966945580640346</v>
      </c>
      <c r="S109" s="96">
        <v>7.396861886622208</v>
      </c>
      <c r="T109" s="96">
        <v>7.6944253007919983</v>
      </c>
      <c r="U109" s="96">
        <v>7.7571179645206811</v>
      </c>
      <c r="V109" s="96">
        <v>7.6853460328956409</v>
      </c>
      <c r="W109" s="96">
        <v>7.9123949507693805</v>
      </c>
      <c r="X109" s="96">
        <v>7.9173689297051997</v>
      </c>
      <c r="Y109" s="96">
        <v>7.8617630807012109</v>
      </c>
      <c r="DA109" s="171" t="s">
        <v>882</v>
      </c>
    </row>
    <row r="110" spans="1:105" ht="11.45" customHeight="1" x14ac:dyDescent="0.25">
      <c r="A110" s="111" t="s">
        <v>115</v>
      </c>
      <c r="B110" s="96">
        <v>1.7164441690005772</v>
      </c>
      <c r="C110" s="96">
        <v>1.6271051457319354</v>
      </c>
      <c r="D110" s="96">
        <v>1.6132208804014361</v>
      </c>
      <c r="E110" s="96">
        <v>1.6033022710462992</v>
      </c>
      <c r="F110" s="96">
        <v>1.5862877242986229</v>
      </c>
      <c r="G110" s="96">
        <v>1.5711677413480045</v>
      </c>
      <c r="H110" s="96">
        <v>1.5566996376696614</v>
      </c>
      <c r="I110" s="96">
        <v>1.5370603338504738</v>
      </c>
      <c r="J110" s="96">
        <v>1.502690297094972</v>
      </c>
      <c r="K110" s="96">
        <v>1.4791367682566707</v>
      </c>
      <c r="L110" s="96">
        <v>1.4258915135334989</v>
      </c>
      <c r="M110" s="96">
        <v>1.3947421483691016</v>
      </c>
      <c r="N110" s="96">
        <v>1.3440233291707269</v>
      </c>
      <c r="O110" s="96">
        <v>1.3335203624239749</v>
      </c>
      <c r="P110" s="96">
        <v>1.324986748021235</v>
      </c>
      <c r="Q110" s="96">
        <v>1.344331080464628</v>
      </c>
      <c r="R110" s="96">
        <v>1.3527805960508923</v>
      </c>
      <c r="S110" s="96">
        <v>1.3686561037728531</v>
      </c>
      <c r="T110" s="96">
        <v>1.4010279692514862</v>
      </c>
      <c r="U110" s="96">
        <v>1.4344949177832733</v>
      </c>
      <c r="V110" s="96">
        <v>1.5017907946229414</v>
      </c>
      <c r="W110" s="96">
        <v>1.5993202269097964</v>
      </c>
      <c r="X110" s="96">
        <v>1.6893827381644264</v>
      </c>
      <c r="Y110" s="96">
        <v>1.7739005895020159</v>
      </c>
      <c r="DA110" s="171" t="s">
        <v>883</v>
      </c>
    </row>
    <row r="111" spans="1:105" ht="11.45" customHeight="1" x14ac:dyDescent="0.25">
      <c r="A111" s="109" t="s">
        <v>154</v>
      </c>
      <c r="B111" s="130">
        <v>35.233739632824033</v>
      </c>
      <c r="C111" s="130">
        <v>34.962874380412849</v>
      </c>
      <c r="D111" s="130">
        <v>34.713767308742014</v>
      </c>
      <c r="E111" s="130">
        <v>34.480783884527284</v>
      </c>
      <c r="F111" s="130">
        <v>34.181957160209642</v>
      </c>
      <c r="G111" s="130">
        <v>33.855614328419222</v>
      </c>
      <c r="H111" s="130">
        <v>33.521157851619122</v>
      </c>
      <c r="I111" s="130">
        <v>33.168562194520263</v>
      </c>
      <c r="J111" s="130">
        <v>32.79063389028974</v>
      </c>
      <c r="K111" s="130">
        <v>32.535522870628846</v>
      </c>
      <c r="L111" s="130">
        <v>32.279957412131573</v>
      </c>
      <c r="M111" s="130">
        <v>31.835207771022521</v>
      </c>
      <c r="N111" s="130">
        <v>31.353539628542123</v>
      </c>
      <c r="O111" s="130">
        <v>30.815257357093056</v>
      </c>
      <c r="P111" s="130">
        <v>30.373381473952026</v>
      </c>
      <c r="Q111" s="130">
        <v>29.829095111913123</v>
      </c>
      <c r="R111" s="130">
        <v>29.151005287615874</v>
      </c>
      <c r="S111" s="130">
        <v>28.356583456007488</v>
      </c>
      <c r="T111" s="130">
        <v>27.556973706490094</v>
      </c>
      <c r="U111" s="130">
        <v>26.660349540054209</v>
      </c>
      <c r="V111" s="130">
        <v>26.121121788570388</v>
      </c>
      <c r="W111" s="130">
        <v>25.532734577660126</v>
      </c>
      <c r="X111" s="130">
        <v>24.856134275610422</v>
      </c>
      <c r="Y111" s="130">
        <v>24.388371374306377</v>
      </c>
      <c r="DA111" s="176" t="s">
        <v>884</v>
      </c>
    </row>
    <row r="112" spans="1:105" ht="11.45" customHeight="1" x14ac:dyDescent="0.25">
      <c r="A112" s="128" t="s">
        <v>27</v>
      </c>
      <c r="B112" s="97">
        <v>34.99999543107851</v>
      </c>
      <c r="C112" s="97">
        <v>34.735600957517875</v>
      </c>
      <c r="D112" s="97">
        <v>34.49195348980291</v>
      </c>
      <c r="E112" s="97">
        <v>34.262358816169105</v>
      </c>
      <c r="F112" s="97">
        <v>33.995981690507101</v>
      </c>
      <c r="G112" s="97">
        <v>33.661168290209893</v>
      </c>
      <c r="H112" s="97">
        <v>33.320079215934108</v>
      </c>
      <c r="I112" s="97">
        <v>32.962179056170378</v>
      </c>
      <c r="J112" s="97">
        <v>32.571820059995346</v>
      </c>
      <c r="K112" s="97">
        <v>32.330916653097447</v>
      </c>
      <c r="L112" s="97">
        <v>32.11577799197709</v>
      </c>
      <c r="M112" s="97">
        <v>31.656909187980997</v>
      </c>
      <c r="N112" s="97">
        <v>31.170766302022091</v>
      </c>
      <c r="O112" s="97">
        <v>30.646299260588069</v>
      </c>
      <c r="P112" s="97">
        <v>30.211152031387314</v>
      </c>
      <c r="Q112" s="97">
        <v>29.644136507389032</v>
      </c>
      <c r="R112" s="97">
        <v>28.935848836215655</v>
      </c>
      <c r="S112" s="97">
        <v>28.095108166436248</v>
      </c>
      <c r="T112" s="97">
        <v>27.223129048580933</v>
      </c>
      <c r="U112" s="97">
        <v>26.263455613567771</v>
      </c>
      <c r="V112" s="97">
        <v>25.702461765496626</v>
      </c>
      <c r="W112" s="97">
        <v>25.105443563334944</v>
      </c>
      <c r="X112" s="97">
        <v>24.371357524370787</v>
      </c>
      <c r="Y112" s="97">
        <v>23.893723849153304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36.373596693127276</v>
      </c>
      <c r="D113" s="98">
        <v>36.053262464003566</v>
      </c>
      <c r="E113" s="98">
        <v>35.79520197848781</v>
      </c>
      <c r="F113" s="98">
        <v>35.136709810115931</v>
      </c>
      <c r="G113" s="98">
        <v>34.835697614890044</v>
      </c>
      <c r="H113" s="98">
        <v>34.523709364540139</v>
      </c>
      <c r="I113" s="98">
        <v>34.195083554483212</v>
      </c>
      <c r="J113" s="98">
        <v>33.939240339294606</v>
      </c>
      <c r="K113" s="98">
        <v>33.763426713690869</v>
      </c>
      <c r="L113" s="98">
        <v>33.289546559776554</v>
      </c>
      <c r="M113" s="98">
        <v>32.979353502631106</v>
      </c>
      <c r="N113" s="98">
        <v>32.530307144421442</v>
      </c>
      <c r="O113" s="98">
        <v>31.830629848040289</v>
      </c>
      <c r="P113" s="98">
        <v>31.345001235319678</v>
      </c>
      <c r="Q113" s="98">
        <v>30.895544194516074</v>
      </c>
      <c r="R113" s="98">
        <v>30.319828894913844</v>
      </c>
      <c r="S113" s="98">
        <v>29.696443225399591</v>
      </c>
      <c r="T113" s="98">
        <v>29.305688519650563</v>
      </c>
      <c r="U113" s="98">
        <v>28.673651540285832</v>
      </c>
      <c r="V113" s="98">
        <v>28.295102106275444</v>
      </c>
      <c r="W113" s="98">
        <v>27.614213898349746</v>
      </c>
      <c r="X113" s="98">
        <v>27.227387095041408</v>
      </c>
      <c r="Y113" s="98">
        <v>26.873175394151339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1.0725000000065621</v>
      </c>
      <c r="C117" s="150">
        <f>IF(TrRoad_act!C59=0,0,TrRoad_ene!C62/TrRoad_tech!C90)</f>
        <v>1.0726960587554297</v>
      </c>
      <c r="D117" s="150">
        <f>IF(TrRoad_act!D59=0,0,TrRoad_ene!D62/TrRoad_tech!D90)</f>
        <v>1.0731290565258473</v>
      </c>
      <c r="E117" s="150">
        <f>IF(TrRoad_act!E59=0,0,TrRoad_ene!E62/TrRoad_tech!E90)</f>
        <v>1.0739906597211337</v>
      </c>
      <c r="F117" s="150">
        <f>IF(TrRoad_act!F59=0,0,TrRoad_ene!F62/TrRoad_tech!F90)</f>
        <v>1.075460334139517</v>
      </c>
      <c r="G117" s="150">
        <f>IF(TrRoad_act!G59=0,0,TrRoad_ene!G62/TrRoad_tech!G90)</f>
        <v>1.0776360222176955</v>
      </c>
      <c r="H117" s="150">
        <f>IF(TrRoad_act!H59=0,0,TrRoad_ene!H62/TrRoad_tech!H90)</f>
        <v>1.0806962142575083</v>
      </c>
      <c r="I117" s="150">
        <f>IF(TrRoad_act!I59=0,0,TrRoad_ene!I62/TrRoad_tech!I90)</f>
        <v>1.0841414753349989</v>
      </c>
      <c r="J117" s="150">
        <f>IF(TrRoad_act!J59=0,0,TrRoad_ene!J62/TrRoad_tech!J90)</f>
        <v>1.0877834195320177</v>
      </c>
      <c r="K117" s="150">
        <f>IF(TrRoad_act!K59=0,0,TrRoad_ene!K62/TrRoad_tech!K90)</f>
        <v>1.0914745339846197</v>
      </c>
      <c r="L117" s="150">
        <f>IF(TrRoad_act!L59=0,0,TrRoad_ene!L62/TrRoad_tech!L90)</f>
        <v>1.0956481399152707</v>
      </c>
      <c r="M117" s="150">
        <f>IF(TrRoad_act!M59=0,0,TrRoad_ene!M62/TrRoad_tech!M90)</f>
        <v>1.100881029296416</v>
      </c>
      <c r="N117" s="150">
        <f>IF(TrRoad_act!N59=0,0,TrRoad_ene!N62/TrRoad_tech!N90)</f>
        <v>1.1065817661246062</v>
      </c>
      <c r="O117" s="150">
        <f>IF(TrRoad_act!O59=0,0,TrRoad_ene!O62/TrRoad_tech!O90)</f>
        <v>1.1121581867893813</v>
      </c>
      <c r="P117" s="150">
        <f>IF(TrRoad_act!P59=0,0,TrRoad_ene!P62/TrRoad_tech!P90)</f>
        <v>1.1183168385333935</v>
      </c>
      <c r="Q117" s="150">
        <f>IF(TrRoad_act!Q59=0,0,TrRoad_ene!Q62/TrRoad_tech!Q90)</f>
        <v>1.1254763213953383</v>
      </c>
      <c r="R117" s="150">
        <f>IF(TrRoad_act!R59=0,0,TrRoad_ene!R62/TrRoad_tech!R90)</f>
        <v>1.1330887400681107</v>
      </c>
      <c r="S117" s="150">
        <f>IF(TrRoad_act!S59=0,0,TrRoad_ene!S62/TrRoad_tech!S90)</f>
        <v>1.1417593036141338</v>
      </c>
      <c r="T117" s="150">
        <f>IF(TrRoad_act!T59=0,0,TrRoad_ene!T62/TrRoad_tech!T90)</f>
        <v>1.2099237354910992</v>
      </c>
      <c r="U117" s="150">
        <f>IF(TrRoad_act!U59=0,0,TrRoad_ene!U62/TrRoad_tech!U90)</f>
        <v>1.1618447083957242</v>
      </c>
      <c r="V117" s="150">
        <f>IF(TrRoad_act!V59=0,0,TrRoad_ene!V62/TrRoad_tech!V90)</f>
        <v>1.1783930783860397</v>
      </c>
      <c r="W117" s="150">
        <f>IF(TrRoad_act!W59=0,0,TrRoad_ene!W62/TrRoad_tech!W90)</f>
        <v>1.2019065394180077</v>
      </c>
      <c r="X117" s="150">
        <f>IF(TrRoad_act!X59=0,0,TrRoad_ene!X62/TrRoad_tech!X90)</f>
        <v>1.2743810613322291</v>
      </c>
      <c r="Y117" s="150">
        <f>IF(TrRoad_act!Y59=0,0,TrRoad_ene!Y62/TrRoad_tech!Y90)</f>
        <v>1.2460292101434458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1.0603648775569594</v>
      </c>
      <c r="C118" s="151">
        <f>IF(TrRoad_act!C60=0,0,TrRoad_ene!C63/TrRoad_tech!C91)</f>
        <v>1.0429916435173754</v>
      </c>
      <c r="D118" s="151">
        <f>IF(TrRoad_act!D60=0,0,TrRoad_ene!D63/TrRoad_tech!D91)</f>
        <v>1.035757009100476</v>
      </c>
      <c r="E118" s="151">
        <f>IF(TrRoad_act!E60=0,0,TrRoad_ene!E63/TrRoad_tech!E91)</f>
        <v>1.0229107832032021</v>
      </c>
      <c r="F118" s="151">
        <f>IF(TrRoad_act!F60=0,0,TrRoad_ene!F63/TrRoad_tech!F91)</f>
        <v>1.0105255471088892</v>
      </c>
      <c r="G118" s="151">
        <f>IF(TrRoad_act!G60=0,0,TrRoad_ene!G63/TrRoad_tech!G91)</f>
        <v>1.0078980559280413</v>
      </c>
      <c r="H118" s="151">
        <f>IF(TrRoad_act!H60=0,0,TrRoad_ene!H63/TrRoad_tech!H91)</f>
        <v>1.0026863713861587</v>
      </c>
      <c r="I118" s="151">
        <f>IF(TrRoad_act!I60=0,0,TrRoad_ene!I63/TrRoad_tech!I91)</f>
        <v>0.99924096517779259</v>
      </c>
      <c r="J118" s="151">
        <f>IF(TrRoad_act!J60=0,0,TrRoad_ene!J63/TrRoad_tech!J91)</f>
        <v>1.0033944095005216</v>
      </c>
      <c r="K118" s="151">
        <f>IF(TrRoad_act!K60=0,0,TrRoad_ene!K63/TrRoad_tech!K91)</f>
        <v>1.0179165914635664</v>
      </c>
      <c r="L118" s="151">
        <f>IF(TrRoad_act!L60=0,0,TrRoad_ene!L63/TrRoad_tech!L91)</f>
        <v>1.0152561808017662</v>
      </c>
      <c r="M118" s="151">
        <f>IF(TrRoad_act!M60=0,0,TrRoad_ene!M63/TrRoad_tech!M91)</f>
        <v>1.0337721779431492</v>
      </c>
      <c r="N118" s="151">
        <f>IF(TrRoad_act!N60=0,0,TrRoad_ene!N63/TrRoad_tech!N91)</f>
        <v>1.0412809856709726</v>
      </c>
      <c r="O118" s="151">
        <f>IF(TrRoad_act!O60=0,0,TrRoad_ene!O63/TrRoad_tech!O91)</f>
        <v>1.0409260628071231</v>
      </c>
      <c r="P118" s="151">
        <f>IF(TrRoad_act!P60=0,0,TrRoad_ene!P63/TrRoad_tech!P91)</f>
        <v>1.0448218769835247</v>
      </c>
      <c r="Q118" s="151">
        <f>IF(TrRoad_act!Q60=0,0,TrRoad_ene!Q63/TrRoad_tech!Q91)</f>
        <v>1.0513714004594614</v>
      </c>
      <c r="R118" s="151">
        <f>IF(TrRoad_act!R60=0,0,TrRoad_ene!R63/TrRoad_tech!R91)</f>
        <v>1.0497820612626338</v>
      </c>
      <c r="S118" s="151">
        <f>IF(TrRoad_act!S60=0,0,TrRoad_ene!S63/TrRoad_tech!S91)</f>
        <v>1.0519315490932826</v>
      </c>
      <c r="T118" s="151">
        <f>IF(TrRoad_act!T60=0,0,TrRoad_ene!T63/TrRoad_tech!T91)</f>
        <v>1.0588166107392543</v>
      </c>
      <c r="U118" s="151">
        <f>IF(TrRoad_act!U60=0,0,TrRoad_ene!U63/TrRoad_tech!U91)</f>
        <v>1.0560013900190723</v>
      </c>
      <c r="V118" s="151">
        <f>IF(TrRoad_act!V60=0,0,TrRoad_ene!V63/TrRoad_tech!V91)</f>
        <v>1.0625761409261025</v>
      </c>
      <c r="W118" s="151">
        <f>IF(TrRoad_act!W60=0,0,TrRoad_ene!W63/TrRoad_tech!W91)</f>
        <v>1.0783287057117015</v>
      </c>
      <c r="X118" s="151">
        <f>IF(TrRoad_act!X60=0,0,TrRoad_ene!X63/TrRoad_tech!X91)</f>
        <v>1.0728585489312326</v>
      </c>
      <c r="Y118" s="151">
        <f>IF(TrRoad_act!Y60=0,0,TrRoad_ene!Y63/TrRoad_tech!Y91)</f>
        <v>1.0470612642391683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1.0277801872102783</v>
      </c>
      <c r="C119" s="91">
        <f>IF(TrRoad_act!C61=0,0,TrRoad_ene!C64/TrRoad_tech!C92)</f>
        <v>1.0278456552817172</v>
      </c>
      <c r="D119" s="91">
        <f>IF(TrRoad_act!D61=0,0,TrRoad_ene!D64/TrRoad_tech!D92)</f>
        <v>1.027979622498894</v>
      </c>
      <c r="E119" s="91">
        <f>IF(TrRoad_act!E61=0,0,TrRoad_ene!E64/TrRoad_tech!E92)</f>
        <v>1.0281802407600351</v>
      </c>
      <c r="F119" s="91">
        <f>IF(TrRoad_act!F61=0,0,TrRoad_ene!F64/TrRoad_tech!F92)</f>
        <v>1.0284770178752474</v>
      </c>
      <c r="G119" s="91">
        <f>IF(TrRoad_act!G61=0,0,TrRoad_ene!G64/TrRoad_tech!G92)</f>
        <v>1.0289125018649881</v>
      </c>
      <c r="H119" s="91">
        <f>IF(TrRoad_act!H61=0,0,TrRoad_ene!H64/TrRoad_tech!H92)</f>
        <v>1.0294549876942769</v>
      </c>
      <c r="I119" s="91">
        <f>IF(TrRoad_act!I61=0,0,TrRoad_ene!I64/TrRoad_tech!I92)</f>
        <v>1.0297608153405615</v>
      </c>
      <c r="J119" s="91">
        <f>IF(TrRoad_act!J61=0,0,TrRoad_ene!J64/TrRoad_tech!J92)</f>
        <v>1.0309124164736092</v>
      </c>
      <c r="K119" s="91">
        <f>IF(TrRoad_act!K61=0,0,TrRoad_ene!K64/TrRoad_tech!K92)</f>
        <v>1.0328916930900001</v>
      </c>
      <c r="L119" s="91">
        <f>IF(TrRoad_act!L61=0,0,TrRoad_ene!L64/TrRoad_tech!L92)</f>
        <v>1.0334005931840795</v>
      </c>
      <c r="M119" s="91">
        <f>IF(TrRoad_act!M61=0,0,TrRoad_ene!M64/TrRoad_tech!M92)</f>
        <v>1.0343952233198037</v>
      </c>
      <c r="N119" s="91">
        <f>IF(TrRoad_act!N61=0,0,TrRoad_ene!N64/TrRoad_tech!N92)</f>
        <v>1.0359422177814479</v>
      </c>
      <c r="O119" s="91">
        <f>IF(TrRoad_act!O61=0,0,TrRoad_ene!O64/TrRoad_tech!O92)</f>
        <v>1.0377637974140657</v>
      </c>
      <c r="P119" s="91">
        <f>IF(TrRoad_act!P61=0,0,TrRoad_ene!P64/TrRoad_tech!P92)</f>
        <v>1.0404794826207953</v>
      </c>
      <c r="Q119" s="91">
        <f>IF(TrRoad_act!Q61=0,0,TrRoad_ene!Q64/TrRoad_tech!Q92)</f>
        <v>1.0439967423027108</v>
      </c>
      <c r="R119" s="91">
        <f>IF(TrRoad_act!R61=0,0,TrRoad_ene!R64/TrRoad_tech!R92)</f>
        <v>1.0484667299009975</v>
      </c>
      <c r="S119" s="91">
        <f>IF(TrRoad_act!S61=0,0,TrRoad_ene!S64/TrRoad_tech!S92)</f>
        <v>1.0531128932976903</v>
      </c>
      <c r="T119" s="91">
        <f>IF(TrRoad_act!T61=0,0,TrRoad_ene!T64/TrRoad_tech!T92)</f>
        <v>1.058708867515807</v>
      </c>
      <c r="U119" s="91">
        <f>IF(TrRoad_act!U61=0,0,TrRoad_ene!U64/TrRoad_tech!U92)</f>
        <v>1.0641892574641414</v>
      </c>
      <c r="V119" s="91">
        <f>IF(TrRoad_act!V61=0,0,TrRoad_ene!V64/TrRoad_tech!V92)</f>
        <v>1.0687802227203236</v>
      </c>
      <c r="W119" s="91">
        <f>IF(TrRoad_act!W61=0,0,TrRoad_ene!W64/TrRoad_tech!W92)</f>
        <v>1.0695553217837317</v>
      </c>
      <c r="X119" s="91">
        <f>IF(TrRoad_act!X61=0,0,TrRoad_ene!X64/TrRoad_tech!X92)</f>
        <v>1.0671231749862524</v>
      </c>
      <c r="Y119" s="91">
        <f>IF(TrRoad_act!Y61=0,0,TrRoad_ene!Y64/TrRoad_tech!Y92)</f>
        <v>1.0655786350184522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1.1132426552462842</v>
      </c>
      <c r="C120" s="91">
        <f>IF(TrRoad_act!C62=0,0,TrRoad_ene!C65/TrRoad_tech!C93)</f>
        <v>1.0905186334347043</v>
      </c>
      <c r="D120" s="91">
        <f>IF(TrRoad_act!D62=0,0,TrRoad_ene!D65/TrRoad_tech!D93)</f>
        <v>1.0799124735109957</v>
      </c>
      <c r="E120" s="91">
        <f>IF(TrRoad_act!E62=0,0,TrRoad_ene!E65/TrRoad_tech!E93)</f>
        <v>1.0585224588147737</v>
      </c>
      <c r="F120" s="91">
        <f>IF(TrRoad_act!F62=0,0,TrRoad_ene!F65/TrRoad_tech!F93)</f>
        <v>1.0389880904836435</v>
      </c>
      <c r="G120" s="91">
        <f>IF(TrRoad_act!G62=0,0,TrRoad_ene!G65/TrRoad_tech!G93)</f>
        <v>1.0363515803708907</v>
      </c>
      <c r="H120" s="91">
        <f>IF(TrRoad_act!H62=0,0,TrRoad_ene!H65/TrRoad_tech!H93)</f>
        <v>1.0311184173397314</v>
      </c>
      <c r="I120" s="91">
        <f>IF(TrRoad_act!I62=0,0,TrRoad_ene!I65/TrRoad_tech!I93)</f>
        <v>1.0268518851928392</v>
      </c>
      <c r="J120" s="91">
        <f>IF(TrRoad_act!J62=0,0,TrRoad_ene!J65/TrRoad_tech!J93)</f>
        <v>1.03747299088562</v>
      </c>
      <c r="K120" s="91">
        <f>IF(TrRoad_act!K62=0,0,TrRoad_ene!K65/TrRoad_tech!K93)</f>
        <v>1.0617085426094572</v>
      </c>
      <c r="L120" s="91">
        <f>IF(TrRoad_act!L62=0,0,TrRoad_ene!L65/TrRoad_tech!L93)</f>
        <v>1.0593379778682941</v>
      </c>
      <c r="M120" s="91">
        <f>IF(TrRoad_act!M62=0,0,TrRoad_ene!M65/TrRoad_tech!M93)</f>
        <v>1.0843823281209821</v>
      </c>
      <c r="N120" s="91">
        <f>IF(TrRoad_act!N62=0,0,TrRoad_ene!N65/TrRoad_tech!N93)</f>
        <v>1.0963106897125965</v>
      </c>
      <c r="O120" s="91">
        <f>IF(TrRoad_act!O62=0,0,TrRoad_ene!O65/TrRoad_tech!O93)</f>
        <v>1.0984562945863876</v>
      </c>
      <c r="P120" s="91">
        <f>IF(TrRoad_act!P62=0,0,TrRoad_ene!P65/TrRoad_tech!P93)</f>
        <v>1.1048992979115022</v>
      </c>
      <c r="Q120" s="91">
        <f>IF(TrRoad_act!Q62=0,0,TrRoad_ene!Q65/TrRoad_tech!Q93)</f>
        <v>1.117091593041156</v>
      </c>
      <c r="R120" s="91">
        <f>IF(TrRoad_act!R62=0,0,TrRoad_ene!R65/TrRoad_tech!R93)</f>
        <v>1.1147961018244905</v>
      </c>
      <c r="S120" s="91">
        <f>IF(TrRoad_act!S62=0,0,TrRoad_ene!S65/TrRoad_tech!S93)</f>
        <v>1.1196125897971323</v>
      </c>
      <c r="T120" s="91">
        <f>IF(TrRoad_act!T62=0,0,TrRoad_ene!T65/TrRoad_tech!T93)</f>
        <v>1.1290613152553381</v>
      </c>
      <c r="U120" s="91">
        <f>IF(TrRoad_act!U62=0,0,TrRoad_ene!U65/TrRoad_tech!U93)</f>
        <v>1.1211157149260191</v>
      </c>
      <c r="V120" s="91">
        <f>IF(TrRoad_act!V62=0,0,TrRoad_ene!V65/TrRoad_tech!V93)</f>
        <v>1.1292018608020786</v>
      </c>
      <c r="W120" s="91">
        <f>IF(TrRoad_act!W62=0,0,TrRoad_ene!W65/TrRoad_tech!W93)</f>
        <v>1.1565575838125133</v>
      </c>
      <c r="X120" s="91">
        <f>IF(TrRoad_act!X62=0,0,TrRoad_ene!X65/TrRoad_tech!X93)</f>
        <v>1.1433799719577205</v>
      </c>
      <c r="Y120" s="91">
        <f>IF(TrRoad_act!Y62=0,0,TrRoad_ene!Y65/TrRoad_tech!Y93)</f>
        <v>1.0971843969765529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1.0275213140557657</v>
      </c>
      <c r="C121" s="91">
        <f>IF(TrRoad_act!C63=0,0,TrRoad_ene!C66/TrRoad_tech!C94)</f>
        <v>1.0278801614603115</v>
      </c>
      <c r="D121" s="91">
        <f>IF(TrRoad_act!D63=0,0,TrRoad_ene!D66/TrRoad_tech!D94)</f>
        <v>1.0280488275038138</v>
      </c>
      <c r="E121" s="91">
        <f>IF(TrRoad_act!E63=0,0,TrRoad_ene!E66/TrRoad_tech!E94)</f>
        <v>1.0279991993984399</v>
      </c>
      <c r="F121" s="91">
        <f>IF(TrRoad_act!F63=0,0,TrRoad_ene!F66/TrRoad_tech!F94)</f>
        <v>1.0278853252116074</v>
      </c>
      <c r="G121" s="91">
        <f>IF(TrRoad_act!G63=0,0,TrRoad_ene!G66/TrRoad_tech!G94)</f>
        <v>1.0279079165736331</v>
      </c>
      <c r="H121" s="91">
        <f>IF(TrRoad_act!H63=0,0,TrRoad_ene!H66/TrRoad_tech!H94)</f>
        <v>1.0281156926451713</v>
      </c>
      <c r="I121" s="91">
        <f>IF(TrRoad_act!I63=0,0,TrRoad_ene!I66/TrRoad_tech!I94)</f>
        <v>1.1239029024150389</v>
      </c>
      <c r="J121" s="91">
        <f>IF(TrRoad_act!J63=0,0,TrRoad_ene!J66/TrRoad_tech!J94)</f>
        <v>1.0217220727000562</v>
      </c>
      <c r="K121" s="91">
        <f>IF(TrRoad_act!K63=0,0,TrRoad_ene!K66/TrRoad_tech!K94)</f>
        <v>0.82478209351837195</v>
      </c>
      <c r="L121" s="91">
        <f>IF(TrRoad_act!L63=0,0,TrRoad_ene!L66/TrRoad_tech!L94)</f>
        <v>1.044103322502101</v>
      </c>
      <c r="M121" s="91">
        <f>IF(TrRoad_act!M63=0,0,TrRoad_ene!M66/TrRoad_tech!M94)</f>
        <v>1.0766512079170025</v>
      </c>
      <c r="N121" s="91">
        <f>IF(TrRoad_act!N63=0,0,TrRoad_ene!N66/TrRoad_tech!N94)</f>
        <v>1.0889057677554279</v>
      </c>
      <c r="O121" s="91">
        <f>IF(TrRoad_act!O63=0,0,TrRoad_ene!O66/TrRoad_tech!O94)</f>
        <v>1.1465042902487856</v>
      </c>
      <c r="P121" s="91">
        <f>IF(TrRoad_act!P63=0,0,TrRoad_ene!P66/TrRoad_tech!P94)</f>
        <v>1.1294110720413453</v>
      </c>
      <c r="Q121" s="91">
        <f>IF(TrRoad_act!Q63=0,0,TrRoad_ene!Q66/TrRoad_tech!Q94)</f>
        <v>1.0429597708581135</v>
      </c>
      <c r="R121" s="91">
        <f>IF(TrRoad_act!R63=0,0,TrRoad_ene!R66/TrRoad_tech!R94)</f>
        <v>1.0008824834406169</v>
      </c>
      <c r="S121" s="91">
        <f>IF(TrRoad_act!S63=0,0,TrRoad_ene!S66/TrRoad_tech!S94)</f>
        <v>0.92881859259013655</v>
      </c>
      <c r="T121" s="91">
        <f>IF(TrRoad_act!T63=0,0,TrRoad_ene!T66/TrRoad_tech!T94)</f>
        <v>0.89611178825680682</v>
      </c>
      <c r="U121" s="91">
        <f>IF(TrRoad_act!U63=0,0,TrRoad_ene!U66/TrRoad_tech!U94)</f>
        <v>0.86313759147406199</v>
      </c>
      <c r="V121" s="91">
        <f>IF(TrRoad_act!V63=0,0,TrRoad_ene!V66/TrRoad_tech!V94)</f>
        <v>0.76257693914354319</v>
      </c>
      <c r="W121" s="91">
        <f>IF(TrRoad_act!W63=0,0,TrRoad_ene!W66/TrRoad_tech!W94)</f>
        <v>1.0560794044507829</v>
      </c>
      <c r="X121" s="91">
        <f>IF(TrRoad_act!X63=0,0,TrRoad_ene!X66/TrRoad_tech!X94)</f>
        <v>1.7401083071630716</v>
      </c>
      <c r="Y121" s="91">
        <f>IF(TrRoad_act!Y63=0,0,TrRoad_ene!Y66/TrRoad_tech!Y94)</f>
        <v>1.8354426471239853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1.0433333333377</v>
      </c>
      <c r="J122" s="91">
        <f>IF(TrRoad_act!J64=0,0,TrRoad_ene!J67/TrRoad_tech!J95)</f>
        <v>1.0451879108617714</v>
      </c>
      <c r="K122" s="91">
        <f>IF(TrRoad_act!K64=0,0,TrRoad_ene!K67/TrRoad_tech!K95)</f>
        <v>1.0469660999497721</v>
      </c>
      <c r="L122" s="91">
        <f>IF(TrRoad_act!L64=0,0,TrRoad_ene!L67/TrRoad_tech!L95)</f>
        <v>1.0480972969667008</v>
      </c>
      <c r="M122" s="91">
        <f>IF(TrRoad_act!M64=0,0,TrRoad_ene!M67/TrRoad_tech!M95)</f>
        <v>1.0494745125028189</v>
      </c>
      <c r="N122" s="91">
        <f>IF(TrRoad_act!N64=0,0,TrRoad_ene!N67/TrRoad_tech!N95)</f>
        <v>1.0510233345848798</v>
      </c>
      <c r="O122" s="91">
        <f>IF(TrRoad_act!O64=0,0,TrRoad_ene!O67/TrRoad_tech!O95)</f>
        <v>1.0523561990108368</v>
      </c>
      <c r="P122" s="91">
        <f>IF(TrRoad_act!P64=0,0,TrRoad_ene!P67/TrRoad_tech!P95)</f>
        <v>1.0537116472613184</v>
      </c>
      <c r="Q122" s="91">
        <f>IF(TrRoad_act!Q64=0,0,TrRoad_ene!Q67/TrRoad_tech!Q95)</f>
        <v>1.0566207851104592</v>
      </c>
      <c r="R122" s="91">
        <f>IF(TrRoad_act!R64=0,0,TrRoad_ene!R67/TrRoad_tech!R95)</f>
        <v>1.0791575075930424</v>
      </c>
      <c r="S122" s="91">
        <f>IF(TrRoad_act!S64=0,0,TrRoad_ene!S67/TrRoad_tech!S95)</f>
        <v>1.0828689181008233</v>
      </c>
      <c r="T122" s="91">
        <f>IF(TrRoad_act!T64=0,0,TrRoad_ene!T67/TrRoad_tech!T95)</f>
        <v>1.086662146665123</v>
      </c>
      <c r="U122" s="91">
        <f>IF(TrRoad_act!U64=0,0,TrRoad_ene!U67/TrRoad_tech!U95)</f>
        <v>1.0895559506561634</v>
      </c>
      <c r="V122" s="91">
        <f>IF(TrRoad_act!V64=0,0,TrRoad_ene!V67/TrRoad_tech!V95)</f>
        <v>1.0915429898471356</v>
      </c>
      <c r="W122" s="91">
        <f>IF(TrRoad_act!W64=0,0,TrRoad_ene!W67/TrRoad_tech!W95)</f>
        <v>1.0937704590686075</v>
      </c>
      <c r="X122" s="91">
        <f>IF(TrRoad_act!X64=0,0,TrRoad_ene!X67/TrRoad_tech!X95)</f>
        <v>1.0942649815575516</v>
      </c>
      <c r="Y122" s="91">
        <f>IF(TrRoad_act!Y64=0,0,TrRoad_ene!Y67/TrRoad_tech!Y95)</f>
        <v>1.1004662309289517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1.0649650327043858</v>
      </c>
      <c r="O123" s="91">
        <f>IF(TrRoad_act!O65=0,0,TrRoad_ene!O68/TrRoad_tech!O96)</f>
        <v>1.068061959664744</v>
      </c>
      <c r="P123" s="91">
        <f>IF(TrRoad_act!P65=0,0,TrRoad_ene!P68/TrRoad_tech!P96)</f>
        <v>1.0736013789182772</v>
      </c>
      <c r="Q123" s="91">
        <f>IF(TrRoad_act!Q65=0,0,TrRoad_ene!Q68/TrRoad_tech!Q96)</f>
        <v>1.0811173285484652</v>
      </c>
      <c r="R123" s="91">
        <f>IF(TrRoad_act!R65=0,0,TrRoad_ene!R68/TrRoad_tech!R96)</f>
        <v>1.0853258228573794</v>
      </c>
      <c r="S123" s="91">
        <f>IF(TrRoad_act!S65=0,0,TrRoad_ene!S68/TrRoad_tech!S96)</f>
        <v>1.0886096352324748</v>
      </c>
      <c r="T123" s="91">
        <f>IF(TrRoad_act!T65=0,0,TrRoad_ene!T68/TrRoad_tech!T96)</f>
        <v>1.091194294308298</v>
      </c>
      <c r="U123" s="91">
        <f>IF(TrRoad_act!U65=0,0,TrRoad_ene!U68/TrRoad_tech!U96)</f>
        <v>1.0930284466213898</v>
      </c>
      <c r="V123" s="91">
        <f>IF(TrRoad_act!V65=0,0,TrRoad_ene!V68/TrRoad_tech!V96)</f>
        <v>1.0964348095205863</v>
      </c>
      <c r="W123" s="91">
        <f>IF(TrRoad_act!W65=0,0,TrRoad_ene!W68/TrRoad_tech!W96)</f>
        <v>1.0965444100785009</v>
      </c>
      <c r="X123" s="91">
        <f>IF(TrRoad_act!X65=0,0,TrRoad_ene!X68/TrRoad_tech!X96)</f>
        <v>1.09436419646267</v>
      </c>
      <c r="Y123" s="91">
        <f>IF(TrRoad_act!Y65=0,0,TrRoad_ene!Y68/TrRoad_tech!Y96)</f>
        <v>1.0926644438622055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1.0400000000040797</v>
      </c>
      <c r="I124" s="91">
        <f>IF(TrRoad_act!I66=0,0,TrRoad_ene!I69/TrRoad_tech!I97)</f>
        <v>1.0410188113455878</v>
      </c>
      <c r="J124" s="91">
        <f>IF(TrRoad_act!J66=0,0,TrRoad_ene!J69/TrRoad_tech!J97)</f>
        <v>1.0469928152588215</v>
      </c>
      <c r="K124" s="91">
        <f>IF(TrRoad_act!K66=0,0,TrRoad_ene!K69/TrRoad_tech!K97)</f>
        <v>1.0470223641405472</v>
      </c>
      <c r="L124" s="91">
        <f>IF(TrRoad_act!L66=0,0,TrRoad_ene!L69/TrRoad_tech!L97)</f>
        <v>1.0475721889415015</v>
      </c>
      <c r="M124" s="91">
        <f>IF(TrRoad_act!M66=0,0,TrRoad_ene!M69/TrRoad_tech!M97)</f>
        <v>1.0543793855139116</v>
      </c>
      <c r="N124" s="91">
        <f>IF(TrRoad_act!N66=0,0,TrRoad_ene!N69/TrRoad_tech!N97)</f>
        <v>1.0645351047608314</v>
      </c>
      <c r="O124" s="91">
        <f>IF(TrRoad_act!O66=0,0,TrRoad_ene!O69/TrRoad_tech!O97)</f>
        <v>1.0684981829030433</v>
      </c>
      <c r="P124" s="91">
        <f>IF(TrRoad_act!P66=0,0,TrRoad_ene!P69/TrRoad_tech!P97)</f>
        <v>1.0730391705318576</v>
      </c>
      <c r="Q124" s="91">
        <f>IF(TrRoad_act!Q66=0,0,TrRoad_ene!Q69/TrRoad_tech!Q97)</f>
        <v>1.0779906618939956</v>
      </c>
      <c r="R124" s="91">
        <f>IF(TrRoad_act!R66=0,0,TrRoad_ene!R69/TrRoad_tech!R97)</f>
        <v>1.0821253201057859</v>
      </c>
      <c r="S124" s="91">
        <f>IF(TrRoad_act!S66=0,0,TrRoad_ene!S69/TrRoad_tech!S97)</f>
        <v>1.0850407330712877</v>
      </c>
      <c r="T124" s="91">
        <f>IF(TrRoad_act!T66=0,0,TrRoad_ene!T69/TrRoad_tech!T97)</f>
        <v>1.0880771263899378</v>
      </c>
      <c r="U124" s="91">
        <f>IF(TrRoad_act!U66=0,0,TrRoad_ene!U69/TrRoad_tech!U97)</f>
        <v>1.090836823075189</v>
      </c>
      <c r="V124" s="91">
        <f>IF(TrRoad_act!V66=0,0,TrRoad_ene!V69/TrRoad_tech!V97)</f>
        <v>1.094023556496432</v>
      </c>
      <c r="W124" s="91">
        <f>IF(TrRoad_act!W66=0,0,TrRoad_ene!W69/TrRoad_tech!W97)</f>
        <v>1.0960043326949165</v>
      </c>
      <c r="X124" s="91">
        <f>IF(TrRoad_act!X66=0,0,TrRoad_ene!X69/TrRoad_tech!X97)</f>
        <v>1.0973209110562556</v>
      </c>
      <c r="Y124" s="91">
        <f>IF(TrRoad_act!Y66=0,0,TrRoad_ene!Y69/TrRoad_tech!Y97)</f>
        <v>1.099230878850028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1.1071833732568293</v>
      </c>
      <c r="C125" s="151">
        <f>IF(TrRoad_act!C67=0,0,TrRoad_ene!C70/TrRoad_tech!C98)</f>
        <v>1.1019669954034284</v>
      </c>
      <c r="D125" s="151">
        <f>IF(TrRoad_act!D67=0,0,TrRoad_ene!D70/TrRoad_tech!D98)</f>
        <v>1.1004083609255517</v>
      </c>
      <c r="E125" s="151">
        <f>IF(TrRoad_act!E67=0,0,TrRoad_ene!E70/TrRoad_tech!E98)</f>
        <v>1.0993527313603129</v>
      </c>
      <c r="F125" s="151">
        <f>IF(TrRoad_act!F67=0,0,TrRoad_ene!F70/TrRoad_tech!F98)</f>
        <v>1.0983990228075207</v>
      </c>
      <c r="G125" s="151">
        <f>IF(TrRoad_act!G67=0,0,TrRoad_ene!G70/TrRoad_tech!G98)</f>
        <v>1.098926703847884</v>
      </c>
      <c r="H125" s="151">
        <f>IF(TrRoad_act!H67=0,0,TrRoad_ene!H70/TrRoad_tech!H98)</f>
        <v>1.1012556981094073</v>
      </c>
      <c r="I125" s="151">
        <f>IF(TrRoad_act!I67=0,0,TrRoad_ene!I70/TrRoad_tech!I98)</f>
        <v>1.1033581964216266</v>
      </c>
      <c r="J125" s="151">
        <f>IF(TrRoad_act!J67=0,0,TrRoad_ene!J70/TrRoad_tech!J98)</f>
        <v>1.1079192532913946</v>
      </c>
      <c r="K125" s="151">
        <f>IF(TrRoad_act!K67=0,0,TrRoad_ene!K70/TrRoad_tech!K98)</f>
        <v>1.1147321412190545</v>
      </c>
      <c r="L125" s="151">
        <f>IF(TrRoad_act!L67=0,0,TrRoad_ene!L70/TrRoad_tech!L98)</f>
        <v>1.1230106411006002</v>
      </c>
      <c r="M125" s="151">
        <f>IF(TrRoad_act!M67=0,0,TrRoad_ene!M70/TrRoad_tech!M98)</f>
        <v>1.1297202243745561</v>
      </c>
      <c r="N125" s="151">
        <f>IF(TrRoad_act!N67=0,0,TrRoad_ene!N70/TrRoad_tech!N98)</f>
        <v>1.1387900441307199</v>
      </c>
      <c r="O125" s="151">
        <f>IF(TrRoad_act!O67=0,0,TrRoad_ene!O70/TrRoad_tech!O98)</f>
        <v>1.1469262614733589</v>
      </c>
      <c r="P125" s="151">
        <f>IF(TrRoad_act!P67=0,0,TrRoad_ene!P70/TrRoad_tech!P98)</f>
        <v>1.1619579059949845</v>
      </c>
      <c r="Q125" s="151">
        <f>IF(TrRoad_act!Q67=0,0,TrRoad_ene!Q70/TrRoad_tech!Q98)</f>
        <v>1.1775782719467787</v>
      </c>
      <c r="R125" s="151">
        <f>IF(TrRoad_act!R67=0,0,TrRoad_ene!R70/TrRoad_tech!R98)</f>
        <v>1.1950306115371825</v>
      </c>
      <c r="S125" s="151">
        <f>IF(TrRoad_act!S67=0,0,TrRoad_ene!S70/TrRoad_tech!S98)</f>
        <v>1.2107006515557888</v>
      </c>
      <c r="T125" s="151">
        <f>IF(TrRoad_act!T67=0,0,TrRoad_ene!T70/TrRoad_tech!T98)</f>
        <v>1.2191991545585001</v>
      </c>
      <c r="U125" s="151">
        <f>IF(TrRoad_act!U67=0,0,TrRoad_ene!U70/TrRoad_tech!U98)</f>
        <v>1.2275554383493805</v>
      </c>
      <c r="V125" s="151">
        <f>IF(TrRoad_act!V67=0,0,TrRoad_ene!V70/TrRoad_tech!V98)</f>
        <v>1.2643630497425853</v>
      </c>
      <c r="W125" s="151">
        <f>IF(TrRoad_act!W67=0,0,TrRoad_ene!W70/TrRoad_tech!W98)</f>
        <v>1.2844738304386147</v>
      </c>
      <c r="X125" s="151">
        <f>IF(TrRoad_act!X67=0,0,TrRoad_ene!X70/TrRoad_tech!X98)</f>
        <v>1.2839703609570541</v>
      </c>
      <c r="Y125" s="151">
        <f>IF(TrRoad_act!Y67=0,0,TrRoad_ene!Y70/TrRoad_tech!Y98)</f>
        <v>1.2954323230296352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1.100021771236654</v>
      </c>
      <c r="D126" s="93">
        <f>IF(TrRoad_act!D68=0,0,TrRoad_ene!D71/TrRoad_tech!D99)</f>
        <v>1.1000670293981685</v>
      </c>
      <c r="E126" s="93">
        <f>IF(TrRoad_act!E68=0,0,TrRoad_ene!E71/TrRoad_tech!E99)</f>
        <v>1.1000915321522799</v>
      </c>
      <c r="F126" s="93">
        <f>IF(TrRoad_act!F68=0,0,TrRoad_ene!F71/TrRoad_tech!F99)</f>
        <v>1.1001312335949682</v>
      </c>
      <c r="G126" s="93">
        <f>IF(TrRoad_act!G68=0,0,TrRoad_ene!G71/TrRoad_tech!G99)</f>
        <v>1.1001405813279026</v>
      </c>
      <c r="H126" s="93">
        <f>IF(TrRoad_act!H68=0,0,TrRoad_ene!H71/TrRoad_tech!H99)</f>
        <v>1.100151623899968</v>
      </c>
      <c r="I126" s="93">
        <f>IF(TrRoad_act!I68=0,0,TrRoad_ene!I71/TrRoad_tech!I99)</f>
        <v>1.1001644423920738</v>
      </c>
      <c r="J126" s="93">
        <f>IF(TrRoad_act!J68=0,0,TrRoad_ene!J71/TrRoad_tech!J99)</f>
        <v>1.1001794152808178</v>
      </c>
      <c r="K126" s="93">
        <f>IF(TrRoad_act!K68=0,0,TrRoad_ene!K71/TrRoad_tech!K99)</f>
        <v>1.1002039773062908</v>
      </c>
      <c r="L126" s="93">
        <f>IF(TrRoad_act!L68=0,0,TrRoad_ene!L71/TrRoad_tech!L99)</f>
        <v>1.1002261276588072</v>
      </c>
      <c r="M126" s="93">
        <f>IF(TrRoad_act!M68=0,0,TrRoad_ene!M71/TrRoad_tech!M99)</f>
        <v>1.1002562209184685</v>
      </c>
      <c r="N126" s="93">
        <f>IF(TrRoad_act!N68=0,0,TrRoad_ene!N71/TrRoad_tech!N99)</f>
        <v>1.1007536836099672</v>
      </c>
      <c r="O126" s="93">
        <f>IF(TrRoad_act!O68=0,0,TrRoad_ene!O71/TrRoad_tech!O99)</f>
        <v>1.1008863268295441</v>
      </c>
      <c r="P126" s="93">
        <f>IF(TrRoad_act!P68=0,0,TrRoad_ene!P71/TrRoad_tech!P99)</f>
        <v>1.1010570400689639</v>
      </c>
      <c r="Q126" s="93">
        <f>IF(TrRoad_act!Q68=0,0,TrRoad_ene!Q71/TrRoad_tech!Q99)</f>
        <v>1.1012706217808519</v>
      </c>
      <c r="R126" s="93">
        <f>IF(TrRoad_act!R68=0,0,TrRoad_ene!R71/TrRoad_tech!R99)</f>
        <v>1.1012757598193903</v>
      </c>
      <c r="S126" s="93">
        <f>IF(TrRoad_act!S68=0,0,TrRoad_ene!S71/TrRoad_tech!S99)</f>
        <v>1.1041620417265456</v>
      </c>
      <c r="T126" s="93">
        <f>IF(TrRoad_act!T68=0,0,TrRoad_ene!T71/TrRoad_tech!T99)</f>
        <v>1.104181383252868</v>
      </c>
      <c r="U126" s="93">
        <f>IF(TrRoad_act!U68=0,0,TrRoad_ene!U71/TrRoad_tech!U99)</f>
        <v>1.1231440100433945</v>
      </c>
      <c r="V126" s="93">
        <f>IF(TrRoad_act!V68=0,0,TrRoad_ene!V71/TrRoad_tech!V99)</f>
        <v>1.1493193634791681</v>
      </c>
      <c r="W126" s="93">
        <f>IF(TrRoad_act!W68=0,0,TrRoad_ene!W71/TrRoad_tech!W99)</f>
        <v>1.1611442054301073</v>
      </c>
      <c r="X126" s="93">
        <f>IF(TrRoad_act!X68=0,0,TrRoad_ene!X71/TrRoad_tech!X99)</f>
        <v>1.174382049038829</v>
      </c>
      <c r="Y126" s="93">
        <f>IF(TrRoad_act!Y68=0,0,TrRoad_ene!Y71/TrRoad_tech!Y99)</f>
        <v>1.1888999853033821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1.1000000000067305</v>
      </c>
      <c r="C127" s="93">
        <f>IF(TrRoad_act!C69=0,0,TrRoad_ene!C72/TrRoad_tech!C100)</f>
        <v>1.1003168973282278</v>
      </c>
      <c r="D127" s="93">
        <f>IF(TrRoad_act!D69=0,0,TrRoad_ene!D72/TrRoad_tech!D100)</f>
        <v>1.1010775254383791</v>
      </c>
      <c r="E127" s="93">
        <f>IF(TrRoad_act!E69=0,0,TrRoad_ene!E72/TrRoad_tech!E100)</f>
        <v>1.1022130560577261</v>
      </c>
      <c r="F127" s="93">
        <f>IF(TrRoad_act!F69=0,0,TrRoad_ene!F72/TrRoad_tech!F100)</f>
        <v>1.1038604911607497</v>
      </c>
      <c r="G127" s="93">
        <f>IF(TrRoad_act!G69=0,0,TrRoad_ene!G72/TrRoad_tech!G100)</f>
        <v>1.1063702361126808</v>
      </c>
      <c r="H127" s="93">
        <f>IF(TrRoad_act!H69=0,0,TrRoad_ene!H72/TrRoad_tech!H100)</f>
        <v>1.1097309359702694</v>
      </c>
      <c r="I127" s="93">
        <f>IF(TrRoad_act!I69=0,0,TrRoad_ene!I72/TrRoad_tech!I100)</f>
        <v>1.1140306323198879</v>
      </c>
      <c r="J127" s="93">
        <f>IF(TrRoad_act!J69=0,0,TrRoad_ene!J72/TrRoad_tech!J100)</f>
        <v>1.1200964088789511</v>
      </c>
      <c r="K127" s="93">
        <f>IF(TrRoad_act!K69=0,0,TrRoad_ene!K72/TrRoad_tech!K100)</f>
        <v>1.128381947308384</v>
      </c>
      <c r="L127" s="93">
        <f>IF(TrRoad_act!L69=0,0,TrRoad_ene!L72/TrRoad_tech!L100)</f>
        <v>1.1358528664382896</v>
      </c>
      <c r="M127" s="93">
        <f>IF(TrRoad_act!M69=0,0,TrRoad_ene!M72/TrRoad_tech!M100)</f>
        <v>1.1425714818486465</v>
      </c>
      <c r="N127" s="93">
        <f>IF(TrRoad_act!N69=0,0,TrRoad_ene!N72/TrRoad_tech!N100)</f>
        <v>1.1521152892361699</v>
      </c>
      <c r="O127" s="93">
        <f>IF(TrRoad_act!O69=0,0,TrRoad_ene!O72/TrRoad_tech!O100)</f>
        <v>1.1671690390186165</v>
      </c>
      <c r="P127" s="93">
        <f>IF(TrRoad_act!P69=0,0,TrRoad_ene!P72/TrRoad_tech!P100)</f>
        <v>1.1806323271293999</v>
      </c>
      <c r="Q127" s="93">
        <f>IF(TrRoad_act!Q69=0,0,TrRoad_ene!Q72/TrRoad_tech!Q100)</f>
        <v>1.1964401416713664</v>
      </c>
      <c r="R127" s="93">
        <f>IF(TrRoad_act!R69=0,0,TrRoad_ene!R72/TrRoad_tech!R100)</f>
        <v>1.2118063295211532</v>
      </c>
      <c r="S127" s="93">
        <f>IF(TrRoad_act!S69=0,0,TrRoad_ene!S72/TrRoad_tech!S100)</f>
        <v>1.2267422263583057</v>
      </c>
      <c r="T127" s="93">
        <f>IF(TrRoad_act!T69=0,0,TrRoad_ene!T72/TrRoad_tech!T100)</f>
        <v>1.2412734028704742</v>
      </c>
      <c r="U127" s="93">
        <f>IF(TrRoad_act!U69=0,0,TrRoad_ene!U72/TrRoad_tech!U100)</f>
        <v>1.2553950858689051</v>
      </c>
      <c r="V127" s="93">
        <f>IF(TrRoad_act!V69=0,0,TrRoad_ene!V72/TrRoad_tech!V100)</f>
        <v>1.2720019417722166</v>
      </c>
      <c r="W127" s="93">
        <f>IF(TrRoad_act!W69=0,0,TrRoad_ene!W72/TrRoad_tech!W100)</f>
        <v>1.2876961291238342</v>
      </c>
      <c r="X127" s="93">
        <f>IF(TrRoad_act!X69=0,0,TrRoad_ene!X72/TrRoad_tech!X100)</f>
        <v>1.3020141465900135</v>
      </c>
      <c r="Y127" s="93">
        <f>IF(TrRoad_act!Y69=0,0,TrRoad_ene!Y72/TrRoad_tech!Y100)</f>
        <v>1.3166209869143739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1.1000000000067303</v>
      </c>
      <c r="C128" s="93">
        <f>IF(TrRoad_act!C70=0,0,TrRoad_ene!C73/TrRoad_tech!C101)</f>
        <v>1.1008094856523516</v>
      </c>
      <c r="D128" s="93">
        <f>IF(TrRoad_act!D70=0,0,TrRoad_ene!D73/TrRoad_tech!D101)</f>
        <v>1.1008855200312135</v>
      </c>
      <c r="E128" s="93">
        <f>IF(TrRoad_act!E70=0,0,TrRoad_ene!E73/TrRoad_tech!E101)</f>
        <v>1.1019857739916246</v>
      </c>
      <c r="F128" s="93">
        <f>IF(TrRoad_act!F70=0,0,TrRoad_ene!F73/TrRoad_tech!F101)</f>
        <v>1.1029340553585301</v>
      </c>
      <c r="G128" s="93">
        <f>IF(TrRoad_act!G70=0,0,TrRoad_ene!G73/TrRoad_tech!G101)</f>
        <v>1.1045242413357168</v>
      </c>
      <c r="H128" s="93">
        <f>IF(TrRoad_act!H70=0,0,TrRoad_ene!H73/TrRoad_tech!H101)</f>
        <v>1.1056850348851093</v>
      </c>
      <c r="I128" s="93">
        <f>IF(TrRoad_act!I70=0,0,TrRoad_ene!I73/TrRoad_tech!I101)</f>
        <v>1.1185689793138642</v>
      </c>
      <c r="J128" s="93">
        <f>IF(TrRoad_act!J70=0,0,TrRoad_ene!J73/TrRoad_tech!J101)</f>
        <v>1.119195515457091</v>
      </c>
      <c r="K128" s="93">
        <f>IF(TrRoad_act!K70=0,0,TrRoad_ene!K73/TrRoad_tech!K101)</f>
        <v>1.1209372475153485</v>
      </c>
      <c r="L128" s="93">
        <f>IF(TrRoad_act!L70=0,0,TrRoad_ene!L73/TrRoad_tech!L101)</f>
        <v>1.1219636790506791</v>
      </c>
      <c r="M128" s="93">
        <f>IF(TrRoad_act!M70=0,0,TrRoad_ene!M73/TrRoad_tech!M101)</f>
        <v>1.1229781555495451</v>
      </c>
      <c r="N128" s="93">
        <f>IF(TrRoad_act!N70=0,0,TrRoad_ene!N73/TrRoad_tech!N101)</f>
        <v>1.1254210792519213</v>
      </c>
      <c r="O128" s="93">
        <f>IF(TrRoad_act!O70=0,0,TrRoad_ene!O73/TrRoad_tech!O101)</f>
        <v>1.1263871623236945</v>
      </c>
      <c r="P128" s="93">
        <f>IF(TrRoad_act!P70=0,0,TrRoad_ene!P73/TrRoad_tech!P101)</f>
        <v>1.1282006247013494</v>
      </c>
      <c r="Q128" s="93">
        <f>IF(TrRoad_act!Q70=0,0,TrRoad_ene!Q73/TrRoad_tech!Q101)</f>
        <v>1.1301055777669944</v>
      </c>
      <c r="R128" s="93">
        <f>IF(TrRoad_act!R70=0,0,TrRoad_ene!R73/TrRoad_tech!R101)</f>
        <v>1.129702148034091</v>
      </c>
      <c r="S128" s="93">
        <f>IF(TrRoad_act!S70=0,0,TrRoad_ene!S73/TrRoad_tech!S101)</f>
        <v>1.1303911604827317</v>
      </c>
      <c r="T128" s="93">
        <f>IF(TrRoad_act!T70=0,0,TrRoad_ene!T73/TrRoad_tech!T101)</f>
        <v>1.1310921953898072</v>
      </c>
      <c r="U128" s="93">
        <f>IF(TrRoad_act!U70=0,0,TrRoad_ene!U73/TrRoad_tech!U101)</f>
        <v>1.131742293610889</v>
      </c>
      <c r="V128" s="93">
        <f>IF(TrRoad_act!V70=0,0,TrRoad_ene!V73/TrRoad_tech!V101)</f>
        <v>1.1327036909609154</v>
      </c>
      <c r="W128" s="93">
        <f>IF(TrRoad_act!W70=0,0,TrRoad_ene!W73/TrRoad_tech!W101)</f>
        <v>1.1342086508309464</v>
      </c>
      <c r="X128" s="93">
        <f>IF(TrRoad_act!X70=0,0,TrRoad_ene!X73/TrRoad_tech!X101)</f>
        <v>1.137301017144752</v>
      </c>
      <c r="Y128" s="93">
        <f>IF(TrRoad_act!Y70=0,0,TrRoad_ene!Y73/TrRoad_tech!Y101)</f>
        <v>1.1410493042005996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1.0915713983381783</v>
      </c>
      <c r="C129" s="93">
        <f>IF(TrRoad_act!C71=0,0,TrRoad_ene!C74/TrRoad_tech!C102)</f>
        <v>1.0859421641826188</v>
      </c>
      <c r="D129" s="93">
        <f>IF(TrRoad_act!D71=0,0,TrRoad_ene!D74/TrRoad_tech!D102)</f>
        <v>1.1045661778186915</v>
      </c>
      <c r="E129" s="93">
        <f>IF(TrRoad_act!E71=0,0,TrRoad_ene!E74/TrRoad_tech!E102)</f>
        <v>1.101377958600958</v>
      </c>
      <c r="F129" s="93">
        <f>IF(TrRoad_act!F71=0,0,TrRoad_ene!F74/TrRoad_tech!F102)</f>
        <v>1.0281346386926082</v>
      </c>
      <c r="G129" s="93">
        <f>IF(TrRoad_act!G71=0,0,TrRoad_ene!G74/TrRoad_tech!G102)</f>
        <v>1.0322553761409055</v>
      </c>
      <c r="H129" s="93">
        <f>IF(TrRoad_act!H71=0,0,TrRoad_ene!H74/TrRoad_tech!H102)</f>
        <v>1.1188573671548991</v>
      </c>
      <c r="I129" s="93">
        <f>IF(TrRoad_act!I71=0,0,TrRoad_ene!I74/TrRoad_tech!I102)</f>
        <v>1.074044064000655</v>
      </c>
      <c r="J129" s="93">
        <f>IF(TrRoad_act!J71=0,0,TrRoad_ene!J74/TrRoad_tech!J102)</f>
        <v>1.0941618959558999</v>
      </c>
      <c r="K129" s="93">
        <f>IF(TrRoad_act!K71=0,0,TrRoad_ene!K74/TrRoad_tech!K102)</f>
        <v>1.0888254484365392</v>
      </c>
      <c r="L129" s="93">
        <f>IF(TrRoad_act!L71=0,0,TrRoad_ene!L74/TrRoad_tech!L102)</f>
        <v>1.1802767120759978</v>
      </c>
      <c r="M129" s="93">
        <f>IF(TrRoad_act!M71=0,0,TrRoad_ene!M74/TrRoad_tech!M102)</f>
        <v>1.1988859964506482</v>
      </c>
      <c r="N129" s="93">
        <f>IF(TrRoad_act!N71=0,0,TrRoad_ene!N74/TrRoad_tech!N102)</f>
        <v>1.1995453953654547</v>
      </c>
      <c r="O129" s="93">
        <f>IF(TrRoad_act!O71=0,0,TrRoad_ene!O74/TrRoad_tech!O102)</f>
        <v>1.0739758998480584</v>
      </c>
      <c r="P129" s="93">
        <f>IF(TrRoad_act!P71=0,0,TrRoad_ene!P74/TrRoad_tech!P102)</f>
        <v>1.1112395805244752</v>
      </c>
      <c r="Q129" s="93">
        <f>IF(TrRoad_act!Q71=0,0,TrRoad_ene!Q74/TrRoad_tech!Q102)</f>
        <v>1.1142768993808527</v>
      </c>
      <c r="R129" s="93">
        <f>IF(TrRoad_act!R71=0,0,TrRoad_ene!R74/TrRoad_tech!R102)</f>
        <v>1.1585896014674384</v>
      </c>
      <c r="S129" s="93">
        <f>IF(TrRoad_act!S71=0,0,TrRoad_ene!S74/TrRoad_tech!S102)</f>
        <v>1.2015033302233598</v>
      </c>
      <c r="T129" s="93">
        <f>IF(TrRoad_act!T71=0,0,TrRoad_ene!T74/TrRoad_tech!T102)</f>
        <v>1.1569797093997691</v>
      </c>
      <c r="U129" s="93">
        <f>IF(TrRoad_act!U71=0,0,TrRoad_ene!U74/TrRoad_tech!U102)</f>
        <v>1.150130335699727</v>
      </c>
      <c r="V129" s="93">
        <f>IF(TrRoad_act!V71=0,0,TrRoad_ene!V74/TrRoad_tech!V102)</f>
        <v>1.3654022554836767</v>
      </c>
      <c r="W129" s="93">
        <f>IF(TrRoad_act!W71=0,0,TrRoad_ene!W74/TrRoad_tech!W102)</f>
        <v>1.400955130603714</v>
      </c>
      <c r="X129" s="93">
        <f>IF(TrRoad_act!X71=0,0,TrRoad_ene!X74/TrRoad_tech!X102)</f>
        <v>1.3309880007553936</v>
      </c>
      <c r="Y129" s="93">
        <f>IF(TrRoad_act!Y71=0,0,TrRoad_ene!Y74/TrRoad_tech!Y102)</f>
        <v>1.3370953704325048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1.100685999198878</v>
      </c>
      <c r="D130" s="93">
        <f>IF(TrRoad_act!D72=0,0,TrRoad_ene!D75/TrRoad_tech!D103)</f>
        <v>1.1021830469951652</v>
      </c>
      <c r="E130" s="93">
        <f>IF(TrRoad_act!E72=0,0,TrRoad_ene!E75/TrRoad_tech!E103)</f>
        <v>1.1041632252963489</v>
      </c>
      <c r="F130" s="93">
        <f>IF(TrRoad_act!F72=0,0,TrRoad_ene!F75/TrRoad_tech!F103)</f>
        <v>1.1068159775700432</v>
      </c>
      <c r="G130" s="93">
        <f>IF(TrRoad_act!G72=0,0,TrRoad_ene!G75/TrRoad_tech!G103)</f>
        <v>1.1080752653471588</v>
      </c>
      <c r="H130" s="93">
        <f>IF(TrRoad_act!H72=0,0,TrRoad_ene!H75/TrRoad_tech!H103)</f>
        <v>1.1091656863025832</v>
      </c>
      <c r="I130" s="93">
        <f>IF(TrRoad_act!I72=0,0,TrRoad_ene!I75/TrRoad_tech!I103)</f>
        <v>1.1106198198589197</v>
      </c>
      <c r="J130" s="93">
        <f>IF(TrRoad_act!J72=0,0,TrRoad_ene!J75/TrRoad_tech!J103)</f>
        <v>1.1124799136510826</v>
      </c>
      <c r="K130" s="93">
        <f>IF(TrRoad_act!K72=0,0,TrRoad_ene!K75/TrRoad_tech!K103)</f>
        <v>1.112935748989037</v>
      </c>
      <c r="L130" s="93">
        <f>IF(TrRoad_act!L72=0,0,TrRoad_ene!L75/TrRoad_tech!L103)</f>
        <v>1.1134925251704828</v>
      </c>
      <c r="M130" s="93">
        <f>IF(TrRoad_act!M72=0,0,TrRoad_ene!M75/TrRoad_tech!M103)</f>
        <v>1.1139311539960004</v>
      </c>
      <c r="N130" s="93">
        <f>IF(TrRoad_act!N72=0,0,TrRoad_ene!N75/TrRoad_tech!N103)</f>
        <v>1.1389468291995255</v>
      </c>
      <c r="O130" s="93">
        <f>IF(TrRoad_act!O72=0,0,TrRoad_ene!O75/TrRoad_tech!O103)</f>
        <v>1.1887389079717396</v>
      </c>
      <c r="P130" s="93">
        <f>IF(TrRoad_act!P72=0,0,TrRoad_ene!P75/TrRoad_tech!P103)</f>
        <v>1.2071378357377323</v>
      </c>
      <c r="Q130" s="93">
        <f>IF(TrRoad_act!Q72=0,0,TrRoad_ene!Q75/TrRoad_tech!Q103)</f>
        <v>1.2278409737166323</v>
      </c>
      <c r="R130" s="93">
        <f>IF(TrRoad_act!R72=0,0,TrRoad_ene!R75/TrRoad_tech!R103)</f>
        <v>1.2571846536576659</v>
      </c>
      <c r="S130" s="93">
        <f>IF(TrRoad_act!S72=0,0,TrRoad_ene!S75/TrRoad_tech!S103)</f>
        <v>1.289287093505185</v>
      </c>
      <c r="T130" s="93">
        <f>IF(TrRoad_act!T72=0,0,TrRoad_ene!T75/TrRoad_tech!T103)</f>
        <v>1.3099195101464536</v>
      </c>
      <c r="U130" s="93">
        <f>IF(TrRoad_act!U72=0,0,TrRoad_ene!U75/TrRoad_tech!U103)</f>
        <v>1.3276157046353299</v>
      </c>
      <c r="V130" s="93">
        <f>IF(TrRoad_act!V72=0,0,TrRoad_ene!V75/TrRoad_tech!V103)</f>
        <v>1.3363773812588522</v>
      </c>
      <c r="W130" s="93">
        <f>IF(TrRoad_act!W72=0,0,TrRoad_ene!W75/TrRoad_tech!W103)</f>
        <v>1.3462714725627869</v>
      </c>
      <c r="X130" s="93">
        <f>IF(TrRoad_act!X72=0,0,TrRoad_ene!X75/TrRoad_tech!X103)</f>
        <v>1.3557239209427048</v>
      </c>
      <c r="Y130" s="93">
        <f>IF(TrRoad_act!Y72=0,0,TrRoad_ene!Y75/TrRoad_tech!Y103)</f>
        <v>1.3595841497072327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1.1424496378656199</v>
      </c>
      <c r="C132" s="150">
        <f>IF(TrRoad_act!C74=0,0,TrRoad_ene!C77/TrRoad_tech!C105)</f>
        <v>1.1201741066068069</v>
      </c>
      <c r="D132" s="150">
        <f>IF(TrRoad_act!D74=0,0,TrRoad_ene!D77/TrRoad_tech!D105)</f>
        <v>1.1101500522397749</v>
      </c>
      <c r="E132" s="150">
        <f>IF(TrRoad_act!E74=0,0,TrRoad_ene!E77/TrRoad_tech!E105)</f>
        <v>1.0923879773146925</v>
      </c>
      <c r="F132" s="150">
        <f>IF(TrRoad_act!F74=0,0,TrRoad_ene!F77/TrRoad_tech!F105)</f>
        <v>1.0747953979353071</v>
      </c>
      <c r="G132" s="150">
        <f>IF(TrRoad_act!G74=0,0,TrRoad_ene!G77/TrRoad_tech!G105)</f>
        <v>1.071341811471118</v>
      </c>
      <c r="H132" s="150">
        <f>IF(TrRoad_act!H74=0,0,TrRoad_ene!H77/TrRoad_tech!H105)</f>
        <v>1.0626534236463943</v>
      </c>
      <c r="I132" s="150">
        <f>IF(TrRoad_act!I74=0,0,TrRoad_ene!I77/TrRoad_tech!I105)</f>
        <v>1.0575528577007927</v>
      </c>
      <c r="J132" s="150">
        <f>IF(TrRoad_act!J74=0,0,TrRoad_ene!J77/TrRoad_tech!J105)</f>
        <v>1.0685699554025421</v>
      </c>
      <c r="K132" s="150">
        <f>IF(TrRoad_act!K74=0,0,TrRoad_ene!K77/TrRoad_tech!K105)</f>
        <v>1.0827224904558836</v>
      </c>
      <c r="L132" s="150">
        <f>IF(TrRoad_act!L74=0,0,TrRoad_ene!L77/TrRoad_tech!L105)</f>
        <v>1.0839567170111712</v>
      </c>
      <c r="M132" s="150">
        <f>IF(TrRoad_act!M74=0,0,TrRoad_ene!M77/TrRoad_tech!M105)</f>
        <v>1.105739487382096</v>
      </c>
      <c r="N132" s="150">
        <f>IF(TrRoad_act!N74=0,0,TrRoad_ene!N77/TrRoad_tech!N105)</f>
        <v>1.1175864927846044</v>
      </c>
      <c r="O132" s="150">
        <f>IF(TrRoad_act!O74=0,0,TrRoad_ene!O77/TrRoad_tech!O105)</f>
        <v>1.1242486825485725</v>
      </c>
      <c r="P132" s="150">
        <f>IF(TrRoad_act!P74=0,0,TrRoad_ene!P77/TrRoad_tech!P105)</f>
        <v>1.1381290676248266</v>
      </c>
      <c r="Q132" s="150">
        <f>IF(TrRoad_act!Q74=0,0,TrRoad_ene!Q77/TrRoad_tech!Q105)</f>
        <v>1.1513145499159132</v>
      </c>
      <c r="R132" s="150">
        <f>IF(TrRoad_act!R74=0,0,TrRoad_ene!R77/TrRoad_tech!R105)</f>
        <v>1.1698850194430839</v>
      </c>
      <c r="S132" s="150">
        <f>IF(TrRoad_act!S74=0,0,TrRoad_ene!S77/TrRoad_tech!S105)</f>
        <v>1.1811990142831388</v>
      </c>
      <c r="T132" s="150">
        <f>IF(TrRoad_act!T74=0,0,TrRoad_ene!T77/TrRoad_tech!T105)</f>
        <v>1.1984496571467276</v>
      </c>
      <c r="U132" s="150">
        <f>IF(TrRoad_act!U74=0,0,TrRoad_ene!U77/TrRoad_tech!U105)</f>
        <v>1.2058972492514759</v>
      </c>
      <c r="V132" s="150">
        <f>IF(TrRoad_act!V74=0,0,TrRoad_ene!V77/TrRoad_tech!V105)</f>
        <v>1.2236977175814086</v>
      </c>
      <c r="W132" s="150">
        <f>IF(TrRoad_act!W74=0,0,TrRoad_ene!W77/TrRoad_tech!W105)</f>
        <v>1.2541420245166142</v>
      </c>
      <c r="X132" s="150">
        <f>IF(TrRoad_act!X74=0,0,TrRoad_ene!X77/TrRoad_tech!X105)</f>
        <v>1.2565082522883424</v>
      </c>
      <c r="Y132" s="150">
        <f>IF(TrRoad_act!Y74=0,0,TrRoad_ene!Y77/TrRoad_tech!Y105)</f>
        <v>1.2396405912333159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1.1000096505528498</v>
      </c>
      <c r="D133" s="91">
        <f>IF(TrRoad_act!D75=0,0,TrRoad_ene!D78/TrRoad_tech!D106)</f>
        <v>1.1000308423252079</v>
      </c>
      <c r="E133" s="91">
        <f>IF(TrRoad_act!E75=0,0,TrRoad_ene!E78/TrRoad_tech!E106)</f>
        <v>1.1000689364191627</v>
      </c>
      <c r="F133" s="91">
        <f>IF(TrRoad_act!F75=0,0,TrRoad_ene!F78/TrRoad_tech!F106)</f>
        <v>1.1001415338630591</v>
      </c>
      <c r="G133" s="91">
        <f>IF(TrRoad_act!G75=0,0,TrRoad_ene!G78/TrRoad_tech!G106)</f>
        <v>1.1002519202989705</v>
      </c>
      <c r="H133" s="91">
        <f>IF(TrRoad_act!H75=0,0,TrRoad_ene!H78/TrRoad_tech!H106)</f>
        <v>1.1004943527821145</v>
      </c>
      <c r="I133" s="91">
        <f>IF(TrRoad_act!I75=0,0,TrRoad_ene!I78/TrRoad_tech!I106)</f>
        <v>1.1009016263399733</v>
      </c>
      <c r="J133" s="91">
        <f>IF(TrRoad_act!J75=0,0,TrRoad_ene!J78/TrRoad_tech!J106)</f>
        <v>1.1014309071991288</v>
      </c>
      <c r="K133" s="91">
        <f>IF(TrRoad_act!K75=0,0,TrRoad_ene!K78/TrRoad_tech!K106)</f>
        <v>1.1024192122407377</v>
      </c>
      <c r="L133" s="91">
        <f>IF(TrRoad_act!L75=0,0,TrRoad_ene!L78/TrRoad_tech!L106)</f>
        <v>1.106788431018962</v>
      </c>
      <c r="M133" s="91">
        <f>IF(TrRoad_act!M75=0,0,TrRoad_ene!M78/TrRoad_tech!M106)</f>
        <v>1.1120048344145308</v>
      </c>
      <c r="N133" s="91">
        <f>IF(TrRoad_act!N75=0,0,TrRoad_ene!N78/TrRoad_tech!N106)</f>
        <v>1.1195586356478324</v>
      </c>
      <c r="O133" s="91">
        <f>IF(TrRoad_act!O75=0,0,TrRoad_ene!O78/TrRoad_tech!O106)</f>
        <v>1.1262531104539963</v>
      </c>
      <c r="P133" s="91">
        <f>IF(TrRoad_act!P75=0,0,TrRoad_ene!P78/TrRoad_tech!P106)</f>
        <v>1.1294625847653246</v>
      </c>
      <c r="Q133" s="91">
        <f>IF(TrRoad_act!Q75=0,0,TrRoad_ene!Q78/TrRoad_tech!Q106)</f>
        <v>1.1334993034722738</v>
      </c>
      <c r="R133" s="91">
        <f>IF(TrRoad_act!R75=0,0,TrRoad_ene!R78/TrRoad_tech!R106)</f>
        <v>1.1376876802194538</v>
      </c>
      <c r="S133" s="91">
        <f>IF(TrRoad_act!S75=0,0,TrRoad_ene!S78/TrRoad_tech!S106)</f>
        <v>1.1443486826109419</v>
      </c>
      <c r="T133" s="91">
        <f>IF(TrRoad_act!T75=0,0,TrRoad_ene!T78/TrRoad_tech!T106)</f>
        <v>1.1543913929398917</v>
      </c>
      <c r="U133" s="91">
        <f>IF(TrRoad_act!U75=0,0,TrRoad_ene!U78/TrRoad_tech!U106)</f>
        <v>1.1668853092677411</v>
      </c>
      <c r="V133" s="91">
        <f>IF(TrRoad_act!V75=0,0,TrRoad_ene!V78/TrRoad_tech!V106)</f>
        <v>1.1757519278222595</v>
      </c>
      <c r="W133" s="91">
        <f>IF(TrRoad_act!W75=0,0,TrRoad_ene!W78/TrRoad_tech!W106)</f>
        <v>1.178357150963572</v>
      </c>
      <c r="X133" s="91">
        <f>IF(TrRoad_act!X75=0,0,TrRoad_ene!X78/TrRoad_tech!X106)</f>
        <v>1.1867617723756987</v>
      </c>
      <c r="Y133" s="91">
        <f>IF(TrRoad_act!Y75=0,0,TrRoad_ene!Y78/TrRoad_tech!Y106)</f>
        <v>1.2099399873331149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1.1487678941637269</v>
      </c>
      <c r="C134" s="91">
        <f>IF(TrRoad_act!C76=0,0,TrRoad_ene!C79/TrRoad_tech!C107)</f>
        <v>1.1274328181383284</v>
      </c>
      <c r="D134" s="91">
        <f>IF(TrRoad_act!D76=0,0,TrRoad_ene!D79/TrRoad_tech!D107)</f>
        <v>1.118076353722387</v>
      </c>
      <c r="E134" s="91">
        <f>IF(TrRoad_act!E76=0,0,TrRoad_ene!E79/TrRoad_tech!E107)</f>
        <v>1.1004474087676561</v>
      </c>
      <c r="F134" s="91">
        <f>IF(TrRoad_act!F76=0,0,TrRoad_ene!F79/TrRoad_tech!F107)</f>
        <v>1.0837539357186565</v>
      </c>
      <c r="G134" s="91">
        <f>IF(TrRoad_act!G76=0,0,TrRoad_ene!G79/TrRoad_tech!G107)</f>
        <v>1.082169272468493</v>
      </c>
      <c r="H134" s="91">
        <f>IF(TrRoad_act!H76=0,0,TrRoad_ene!H79/TrRoad_tech!H107)</f>
        <v>1.0747553822022839</v>
      </c>
      <c r="I134" s="91">
        <f>IF(TrRoad_act!I76=0,0,TrRoad_ene!I79/TrRoad_tech!I107)</f>
        <v>1.0708507754386298</v>
      </c>
      <c r="J134" s="91">
        <f>IF(TrRoad_act!J76=0,0,TrRoad_ene!J79/TrRoad_tech!J107)</f>
        <v>1.0843185389048358</v>
      </c>
      <c r="K134" s="91">
        <f>IF(TrRoad_act!K76=0,0,TrRoad_ene!K79/TrRoad_tech!K107)</f>
        <v>1.1008623884826731</v>
      </c>
      <c r="L134" s="91">
        <f>IF(TrRoad_act!L76=0,0,TrRoad_ene!L79/TrRoad_tech!L107)</f>
        <v>1.1017484457165372</v>
      </c>
      <c r="M134" s="91">
        <f>IF(TrRoad_act!M76=0,0,TrRoad_ene!M79/TrRoad_tech!M107)</f>
        <v>1.1240531954690356</v>
      </c>
      <c r="N134" s="91">
        <f>IF(TrRoad_act!N76=0,0,TrRoad_ene!N79/TrRoad_tech!N107)</f>
        <v>1.1378380477000565</v>
      </c>
      <c r="O134" s="91">
        <f>IF(TrRoad_act!O76=0,0,TrRoad_ene!O79/TrRoad_tech!O107)</f>
        <v>1.148341145583982</v>
      </c>
      <c r="P134" s="91">
        <f>IF(TrRoad_act!P76=0,0,TrRoad_ene!P79/TrRoad_tech!P107)</f>
        <v>1.1665449740853064</v>
      </c>
      <c r="Q134" s="91">
        <f>IF(TrRoad_act!Q76=0,0,TrRoad_ene!Q79/TrRoad_tech!Q107)</f>
        <v>1.1821223274426753</v>
      </c>
      <c r="R134" s="91">
        <f>IF(TrRoad_act!R76=0,0,TrRoad_ene!R79/TrRoad_tech!R107)</f>
        <v>1.1989930609642705</v>
      </c>
      <c r="S134" s="91">
        <f>IF(TrRoad_act!S76=0,0,TrRoad_ene!S79/TrRoad_tech!S107)</f>
        <v>1.2084782701534422</v>
      </c>
      <c r="T134" s="91">
        <f>IF(TrRoad_act!T76=0,0,TrRoad_ene!T79/TrRoad_tech!T107)</f>
        <v>1.2281406475827521</v>
      </c>
      <c r="U134" s="91">
        <f>IF(TrRoad_act!U76=0,0,TrRoad_ene!U79/TrRoad_tech!U107)</f>
        <v>1.2328233534509399</v>
      </c>
      <c r="V134" s="91">
        <f>IF(TrRoad_act!V76=0,0,TrRoad_ene!V79/TrRoad_tech!V107)</f>
        <v>1.2515611718078856</v>
      </c>
      <c r="W134" s="91">
        <f>IF(TrRoad_act!W76=0,0,TrRoad_ene!W79/TrRoad_tech!W107)</f>
        <v>1.2827629047090832</v>
      </c>
      <c r="X134" s="91">
        <f>IF(TrRoad_act!X76=0,0,TrRoad_ene!X79/TrRoad_tech!X107)</f>
        <v>1.2804318298914203</v>
      </c>
      <c r="Y134" s="91">
        <f>IF(TrRoad_act!Y76=0,0,TrRoad_ene!Y79/TrRoad_tech!Y107)</f>
        <v>1.256972049956701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1.1002020675235922</v>
      </c>
      <c r="D135" s="91">
        <f>IF(TrRoad_act!D77=0,0,TrRoad_ene!D80/TrRoad_tech!D108)</f>
        <v>1.1005631388113646</v>
      </c>
      <c r="E135" s="91">
        <f>IF(TrRoad_act!E77=0,0,TrRoad_ene!E80/TrRoad_tech!E108)</f>
        <v>1.1011298049176015</v>
      </c>
      <c r="F135" s="91">
        <f>IF(TrRoad_act!F77=0,0,TrRoad_ene!F80/TrRoad_tech!F108)</f>
        <v>1.1020166380122467</v>
      </c>
      <c r="G135" s="91">
        <f>IF(TrRoad_act!G77=0,0,TrRoad_ene!G80/TrRoad_tech!G108)</f>
        <v>1.1030842122858135</v>
      </c>
      <c r="H135" s="91">
        <f>IF(TrRoad_act!H77=0,0,TrRoad_ene!H80/TrRoad_tech!H108)</f>
        <v>1.1049264694254957</v>
      </c>
      <c r="I135" s="91">
        <f>IF(TrRoad_act!I77=0,0,TrRoad_ene!I80/TrRoad_tech!I108)</f>
        <v>1.1065981202409856</v>
      </c>
      <c r="J135" s="91">
        <f>IF(TrRoad_act!J77=0,0,TrRoad_ene!J80/TrRoad_tech!J108)</f>
        <v>1.1076197296426649</v>
      </c>
      <c r="K135" s="91">
        <f>IF(TrRoad_act!K77=0,0,TrRoad_ene!K80/TrRoad_tech!K108)</f>
        <v>1.1113192403336378</v>
      </c>
      <c r="L135" s="91">
        <f>IF(TrRoad_act!L77=0,0,TrRoad_ene!L80/TrRoad_tech!L108)</f>
        <v>1.1115788392668078</v>
      </c>
      <c r="M135" s="91">
        <f>IF(TrRoad_act!M77=0,0,TrRoad_ene!M80/TrRoad_tech!M108)</f>
        <v>1.1118932990733328</v>
      </c>
      <c r="N135" s="91">
        <f>IF(TrRoad_act!N77=0,0,TrRoad_ene!N80/TrRoad_tech!N108)</f>
        <v>1.1124732911701036</v>
      </c>
      <c r="O135" s="91">
        <f>IF(TrRoad_act!O77=0,0,TrRoad_ene!O80/TrRoad_tech!O108)</f>
        <v>1.1135175889837967</v>
      </c>
      <c r="P135" s="91">
        <f>IF(TrRoad_act!P77=0,0,TrRoad_ene!P80/TrRoad_tech!P108)</f>
        <v>1.1144762069011813</v>
      </c>
      <c r="Q135" s="91">
        <f>IF(TrRoad_act!Q77=0,0,TrRoad_ene!Q80/TrRoad_tech!Q108)</f>
        <v>1.1153132824805587</v>
      </c>
      <c r="R135" s="91">
        <f>IF(TrRoad_act!R77=0,0,TrRoad_ene!R80/TrRoad_tech!R108)</f>
        <v>1.1157154220283196</v>
      </c>
      <c r="S135" s="91">
        <f>IF(TrRoad_act!S77=0,0,TrRoad_ene!S80/TrRoad_tech!S108)</f>
        <v>1.1163698999484493</v>
      </c>
      <c r="T135" s="91">
        <f>IF(TrRoad_act!T77=0,0,TrRoad_ene!T80/TrRoad_tech!T108)</f>
        <v>1.1180227733678811</v>
      </c>
      <c r="U135" s="91">
        <f>IF(TrRoad_act!U77=0,0,TrRoad_ene!U80/TrRoad_tech!U108)</f>
        <v>1.119168190857474</v>
      </c>
      <c r="V135" s="91">
        <f>IF(TrRoad_act!V77=0,0,TrRoad_ene!V80/TrRoad_tech!V108)</f>
        <v>1.2254074291343717</v>
      </c>
      <c r="W135" s="91">
        <f>IF(TrRoad_act!W77=0,0,TrRoad_ene!W80/TrRoad_tech!W108)</f>
        <v>1.2291221408948123</v>
      </c>
      <c r="X135" s="91">
        <f>IF(TrRoad_act!X77=0,0,TrRoad_ene!X80/TrRoad_tech!X108)</f>
        <v>1.2397166708203213</v>
      </c>
      <c r="Y135" s="91">
        <f>IF(TrRoad_act!Y77=0,0,TrRoad_ene!Y80/TrRoad_tech!Y108)</f>
        <v>1.2576108898546223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1.1000000000067303</v>
      </c>
      <c r="C136" s="91">
        <f>IF(TrRoad_act!C78=0,0,TrRoad_ene!C81/TrRoad_tech!C109)</f>
        <v>1.1000000000067303</v>
      </c>
      <c r="D136" s="91">
        <f>IF(TrRoad_act!D78=0,0,TrRoad_ene!D81/TrRoad_tech!D109)</f>
        <v>1.1003087449888216</v>
      </c>
      <c r="E136" s="91">
        <f>IF(TrRoad_act!E78=0,0,TrRoad_ene!E81/TrRoad_tech!E109)</f>
        <v>1.1085698890851619</v>
      </c>
      <c r="F136" s="91">
        <f>IF(TrRoad_act!F78=0,0,TrRoad_ene!F81/TrRoad_tech!F109)</f>
        <v>1.1093078070849711</v>
      </c>
      <c r="G136" s="91">
        <f>IF(TrRoad_act!G78=0,0,TrRoad_ene!G81/TrRoad_tech!G109)</f>
        <v>1.1098142197258241</v>
      </c>
      <c r="H136" s="91">
        <f>IF(TrRoad_act!H78=0,0,TrRoad_ene!H81/TrRoad_tech!H109)</f>
        <v>1.1288176700417045</v>
      </c>
      <c r="I136" s="91">
        <f>IF(TrRoad_act!I78=0,0,TrRoad_ene!I81/TrRoad_tech!I109)</f>
        <v>1.1309359837120012</v>
      </c>
      <c r="J136" s="91">
        <f>IF(TrRoad_act!J78=0,0,TrRoad_ene!J81/TrRoad_tech!J109)</f>
        <v>1.1338351731963212</v>
      </c>
      <c r="K136" s="91">
        <f>IF(TrRoad_act!K78=0,0,TrRoad_ene!K81/TrRoad_tech!K109)</f>
        <v>1.1454190604768355</v>
      </c>
      <c r="L136" s="91">
        <f>IF(TrRoad_act!L78=0,0,TrRoad_ene!L81/TrRoad_tech!L109)</f>
        <v>1.168247719632739</v>
      </c>
      <c r="M136" s="91">
        <f>IF(TrRoad_act!M78=0,0,TrRoad_ene!M81/TrRoad_tech!M109)</f>
        <v>1.182806272803304</v>
      </c>
      <c r="N136" s="91">
        <f>IF(TrRoad_act!N78=0,0,TrRoad_ene!N81/TrRoad_tech!N109)</f>
        <v>1.1977929747689853</v>
      </c>
      <c r="O136" s="91">
        <f>IF(TrRoad_act!O78=0,0,TrRoad_ene!O81/TrRoad_tech!O109)</f>
        <v>1.2105420273355099</v>
      </c>
      <c r="P136" s="91">
        <f>IF(TrRoad_act!P78=0,0,TrRoad_ene!P81/TrRoad_tech!P109)</f>
        <v>1.2206281567882957</v>
      </c>
      <c r="Q136" s="91">
        <f>IF(TrRoad_act!Q78=0,0,TrRoad_ene!Q81/TrRoad_tech!Q109)</f>
        <v>1.2307351432822156</v>
      </c>
      <c r="R136" s="91">
        <f>IF(TrRoad_act!R78=0,0,TrRoad_ene!R81/TrRoad_tech!R109)</f>
        <v>1.2449067593304901</v>
      </c>
      <c r="S136" s="91">
        <f>IF(TrRoad_act!S78=0,0,TrRoad_ene!S81/TrRoad_tech!S109)</f>
        <v>1.2632552335762224</v>
      </c>
      <c r="T136" s="91">
        <f>IF(TrRoad_act!T78=0,0,TrRoad_ene!T81/TrRoad_tech!T109)</f>
        <v>1.314978135290076</v>
      </c>
      <c r="U136" s="91">
        <f>IF(TrRoad_act!U78=0,0,TrRoad_ene!U81/TrRoad_tech!U109)</f>
        <v>1.3353227930946923</v>
      </c>
      <c r="V136" s="91">
        <f>IF(TrRoad_act!V78=0,0,TrRoad_ene!V81/TrRoad_tech!V109)</f>
        <v>1.3369098878940442</v>
      </c>
      <c r="W136" s="91">
        <f>IF(TrRoad_act!W78=0,0,TrRoad_ene!W81/TrRoad_tech!W109)</f>
        <v>1.3414399403205233</v>
      </c>
      <c r="X136" s="91">
        <f>IF(TrRoad_act!X78=0,0,TrRoad_ene!X81/TrRoad_tech!X109)</f>
        <v>1.3418483134145278</v>
      </c>
      <c r="Y136" s="91">
        <f>IF(TrRoad_act!Y78=0,0,TrRoad_ene!Y81/TrRoad_tech!Y109)</f>
        <v>1.3424731258785445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1.1000000000067303</v>
      </c>
      <c r="C137" s="91">
        <f>IF(TrRoad_act!C79=0,0,TrRoad_ene!C82/TrRoad_tech!C110)</f>
        <v>1.1006939859435165</v>
      </c>
      <c r="D137" s="91">
        <f>IF(TrRoad_act!D79=0,0,TrRoad_ene!D82/TrRoad_tech!D110)</f>
        <v>1.1013777702120962</v>
      </c>
      <c r="E137" s="91">
        <f>IF(TrRoad_act!E79=0,0,TrRoad_ene!E82/TrRoad_tech!E110)</f>
        <v>1.1021629104121924</v>
      </c>
      <c r="F137" s="91">
        <f>IF(TrRoad_act!F79=0,0,TrRoad_ene!F82/TrRoad_tech!F110)</f>
        <v>1.104036203488572</v>
      </c>
      <c r="G137" s="91">
        <f>IF(TrRoad_act!G79=0,0,TrRoad_ene!G82/TrRoad_tech!G110)</f>
        <v>1.1059291026545321</v>
      </c>
      <c r="H137" s="91">
        <f>IF(TrRoad_act!H79=0,0,TrRoad_ene!H82/TrRoad_tech!H110)</f>
        <v>1.1083562258129207</v>
      </c>
      <c r="I137" s="91">
        <f>IF(TrRoad_act!I79=0,0,TrRoad_ene!I82/TrRoad_tech!I110)</f>
        <v>1.1131479346938793</v>
      </c>
      <c r="J137" s="91">
        <f>IF(TrRoad_act!J79=0,0,TrRoad_ene!J82/TrRoad_tech!J110)</f>
        <v>1.1209295114299713</v>
      </c>
      <c r="K137" s="91">
        <f>IF(TrRoad_act!K79=0,0,TrRoad_ene!K82/TrRoad_tech!K110)</f>
        <v>1.1298708723082558</v>
      </c>
      <c r="L137" s="91">
        <f>IF(TrRoad_act!L79=0,0,TrRoad_ene!L82/TrRoad_tech!L110)</f>
        <v>1.1472770095013831</v>
      </c>
      <c r="M137" s="91">
        <f>IF(TrRoad_act!M79=0,0,TrRoad_ene!M82/TrRoad_tech!M110)</f>
        <v>1.1724661430681711</v>
      </c>
      <c r="N137" s="91">
        <f>IF(TrRoad_act!N79=0,0,TrRoad_ene!N82/TrRoad_tech!N110)</f>
        <v>1.2162396135292206</v>
      </c>
      <c r="O137" s="91">
        <f>IF(TrRoad_act!O79=0,0,TrRoad_ene!O82/TrRoad_tech!O110)</f>
        <v>1.2411313620024444</v>
      </c>
      <c r="P137" s="91">
        <f>IF(TrRoad_act!P79=0,0,TrRoad_ene!P82/TrRoad_tech!P110)</f>
        <v>1.2524911774996841</v>
      </c>
      <c r="Q137" s="91">
        <f>IF(TrRoad_act!Q79=0,0,TrRoad_ene!Q82/TrRoad_tech!Q110)</f>
        <v>1.2686243009220883</v>
      </c>
      <c r="R137" s="91">
        <f>IF(TrRoad_act!R79=0,0,TrRoad_ene!R82/TrRoad_tech!R110)</f>
        <v>1.283301382603159</v>
      </c>
      <c r="S137" s="91">
        <f>IF(TrRoad_act!S79=0,0,TrRoad_ene!S82/TrRoad_tech!S110)</f>
        <v>1.2975815002004469</v>
      </c>
      <c r="T137" s="91">
        <f>IF(TrRoad_act!T79=0,0,TrRoad_ene!T82/TrRoad_tech!T110)</f>
        <v>1.3133625367124264</v>
      </c>
      <c r="U137" s="91">
        <f>IF(TrRoad_act!U79=0,0,TrRoad_ene!U82/TrRoad_tech!U110)</f>
        <v>1.3203982689539491</v>
      </c>
      <c r="V137" s="91">
        <f>IF(TrRoad_act!V79=0,0,TrRoad_ene!V82/TrRoad_tech!V110)</f>
        <v>1.327578158126185</v>
      </c>
      <c r="W137" s="91">
        <f>IF(TrRoad_act!W79=0,0,TrRoad_ene!W82/TrRoad_tech!W110)</f>
        <v>1.3349416987819522</v>
      </c>
      <c r="X137" s="91">
        <f>IF(TrRoad_act!X79=0,0,TrRoad_ene!X82/TrRoad_tech!X110)</f>
        <v>1.3427473783797996</v>
      </c>
      <c r="Y137" s="91">
        <f>IF(TrRoad_act!Y79=0,0,TrRoad_ene!Y82/TrRoad_tech!Y110)</f>
        <v>1.35110484857994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1.1740239335795639</v>
      </c>
      <c r="C138" s="151">
        <f>IF(TrRoad_act!C80=0,0,TrRoad_ene!C83/TrRoad_tech!C111)</f>
        <v>1.1571752172615613</v>
      </c>
      <c r="D138" s="151">
        <f>IF(TrRoad_act!D80=0,0,TrRoad_ene!D83/TrRoad_tech!D111)</f>
        <v>1.1498336106194855</v>
      </c>
      <c r="E138" s="151">
        <f>IF(TrRoad_act!E80=0,0,TrRoad_ene!E83/TrRoad_tech!E111)</f>
        <v>1.1344244876855476</v>
      </c>
      <c r="F138" s="151">
        <f>IF(TrRoad_act!F80=0,0,TrRoad_ene!F83/TrRoad_tech!F111)</f>
        <v>1.1194439144074639</v>
      </c>
      <c r="G138" s="151">
        <f>IF(TrRoad_act!G80=0,0,TrRoad_ene!G83/TrRoad_tech!G111)</f>
        <v>1.1201635624228272</v>
      </c>
      <c r="H138" s="151">
        <f>IF(TrRoad_act!H80=0,0,TrRoad_ene!H83/TrRoad_tech!H111)</f>
        <v>1.1192481323486669</v>
      </c>
      <c r="I138" s="151">
        <f>IF(TrRoad_act!I80=0,0,TrRoad_ene!I83/TrRoad_tech!I111)</f>
        <v>1.119394825774179</v>
      </c>
      <c r="J138" s="151">
        <f>IF(TrRoad_act!J80=0,0,TrRoad_ene!J83/TrRoad_tech!J111)</f>
        <v>1.1332859396407771</v>
      </c>
      <c r="K138" s="151">
        <f>IF(TrRoad_act!K80=0,0,TrRoad_ene!K83/TrRoad_tech!K111)</f>
        <v>1.1561805240765406</v>
      </c>
      <c r="L138" s="151">
        <f>IF(TrRoad_act!L80=0,0,TrRoad_ene!L83/TrRoad_tech!L111)</f>
        <v>1.1562004781524264</v>
      </c>
      <c r="M138" s="151">
        <f>IF(TrRoad_act!M80=0,0,TrRoad_ene!M83/TrRoad_tech!M111)</f>
        <v>1.1827661686655175</v>
      </c>
      <c r="N138" s="151">
        <f>IF(TrRoad_act!N80=0,0,TrRoad_ene!N83/TrRoad_tech!N111)</f>
        <v>1.2012989827736191</v>
      </c>
      <c r="O138" s="151">
        <f>IF(TrRoad_act!O80=0,0,TrRoad_ene!O83/TrRoad_tech!O111)</f>
        <v>1.2135485074899139</v>
      </c>
      <c r="P138" s="151">
        <f>IF(TrRoad_act!P80=0,0,TrRoad_ene!P83/TrRoad_tech!P111)</f>
        <v>1.227986610100126</v>
      </c>
      <c r="Q138" s="151">
        <f>IF(TrRoad_act!Q80=0,0,TrRoad_ene!Q83/TrRoad_tech!Q111)</f>
        <v>1.2525146694448159</v>
      </c>
      <c r="R138" s="151">
        <f>IF(TrRoad_act!R80=0,0,TrRoad_ene!R83/TrRoad_tech!R111)</f>
        <v>1.2662433985188304</v>
      </c>
      <c r="S138" s="151">
        <f>IF(TrRoad_act!S80=0,0,TrRoad_ene!S83/TrRoad_tech!S111)</f>
        <v>1.2906251417331749</v>
      </c>
      <c r="T138" s="151">
        <f>IF(TrRoad_act!T80=0,0,TrRoad_ene!T83/TrRoad_tech!T111)</f>
        <v>1.3201487432241028</v>
      </c>
      <c r="U138" s="151">
        <f>IF(TrRoad_act!U80=0,0,TrRoad_ene!U83/TrRoad_tech!U111)</f>
        <v>1.3377316156795973</v>
      </c>
      <c r="V138" s="151">
        <f>IF(TrRoad_act!V80=0,0,TrRoad_ene!V83/TrRoad_tech!V111)</f>
        <v>1.3587578361622294</v>
      </c>
      <c r="W138" s="151">
        <f>IF(TrRoad_act!W80=0,0,TrRoad_ene!W83/TrRoad_tech!W111)</f>
        <v>1.4053593001791937</v>
      </c>
      <c r="X138" s="151">
        <f>IF(TrRoad_act!X80=0,0,TrRoad_ene!X83/TrRoad_tech!X111)</f>
        <v>1.4189888175834375</v>
      </c>
      <c r="Y138" s="151">
        <f>IF(TrRoad_act!Y80=0,0,TrRoad_ene!Y83/TrRoad_tech!Y111)</f>
        <v>1.393423808746459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1.1463641352988663</v>
      </c>
      <c r="C139" s="93">
        <f>IF(TrRoad_act!C81=0,0,TrRoad_ene!C84/TrRoad_tech!C112)</f>
        <v>1.1346142207889089</v>
      </c>
      <c r="D139" s="93">
        <f>IF(TrRoad_act!D81=0,0,TrRoad_ene!D84/TrRoad_tech!D112)</f>
        <v>1.1296007389446721</v>
      </c>
      <c r="E139" s="93">
        <f>IF(TrRoad_act!E81=0,0,TrRoad_ene!E84/TrRoad_tech!E112)</f>
        <v>1.1189141156814402</v>
      </c>
      <c r="F139" s="93">
        <f>IF(TrRoad_act!F81=0,0,TrRoad_ene!F84/TrRoad_tech!F112)</f>
        <v>1.1096591465196488</v>
      </c>
      <c r="G139" s="93">
        <f>IF(TrRoad_act!G81=0,0,TrRoad_ene!G84/TrRoad_tech!G112)</f>
        <v>1.1108138458263495</v>
      </c>
      <c r="H139" s="93">
        <f>IF(TrRoad_act!H81=0,0,TrRoad_ene!H84/TrRoad_tech!H112)</f>
        <v>1.1111067390085672</v>
      </c>
      <c r="I139" s="93">
        <f>IF(TrRoad_act!I81=0,0,TrRoad_ene!I84/TrRoad_tech!I112)</f>
        <v>1.1125431195734863</v>
      </c>
      <c r="J139" s="93">
        <f>IF(TrRoad_act!J81=0,0,TrRoad_ene!J84/TrRoad_tech!J112)</f>
        <v>1.1234478731426363</v>
      </c>
      <c r="K139" s="93">
        <f>IF(TrRoad_act!K81=0,0,TrRoad_ene!K84/TrRoad_tech!K112)</f>
        <v>1.1404282245213675</v>
      </c>
      <c r="L139" s="93">
        <f>IF(TrRoad_act!L81=0,0,TrRoad_ene!L84/TrRoad_tech!L112)</f>
        <v>1.1418999738272522</v>
      </c>
      <c r="M139" s="93">
        <f>IF(TrRoad_act!M81=0,0,TrRoad_ene!M84/TrRoad_tech!M112)</f>
        <v>1.1634706741713525</v>
      </c>
      <c r="N139" s="93">
        <f>IF(TrRoad_act!N81=0,0,TrRoad_ene!N84/TrRoad_tech!N112)</f>
        <v>1.1784845758687361</v>
      </c>
      <c r="O139" s="93">
        <f>IF(TrRoad_act!O81=0,0,TrRoad_ene!O84/TrRoad_tech!O112)</f>
        <v>1.1890956595126081</v>
      </c>
      <c r="P139" s="93">
        <f>IF(TrRoad_act!P81=0,0,TrRoad_ene!P84/TrRoad_tech!P112)</f>
        <v>1.2009364995269385</v>
      </c>
      <c r="Q139" s="93">
        <f>IF(TrRoad_act!Q81=0,0,TrRoad_ene!Q84/TrRoad_tech!Q112)</f>
        <v>1.2193409663135437</v>
      </c>
      <c r="R139" s="93">
        <f>IF(TrRoad_act!R81=0,0,TrRoad_ene!R84/TrRoad_tech!R112)</f>
        <v>1.2305807271762161</v>
      </c>
      <c r="S139" s="93">
        <f>IF(TrRoad_act!S81=0,0,TrRoad_ene!S84/TrRoad_tech!S112)</f>
        <v>1.2491368139794097</v>
      </c>
      <c r="T139" s="93">
        <f>IF(TrRoad_act!T81=0,0,TrRoad_ene!T84/TrRoad_tech!T112)</f>
        <v>1.2717767106900819</v>
      </c>
      <c r="U139" s="93">
        <f>IF(TrRoad_act!U81=0,0,TrRoad_ene!U84/TrRoad_tech!U112)</f>
        <v>1.2853969311125637</v>
      </c>
      <c r="V139" s="93">
        <f>IF(TrRoad_act!V81=0,0,TrRoad_ene!V84/TrRoad_tech!V112)</f>
        <v>1.299329677458624</v>
      </c>
      <c r="W139" s="93">
        <f>IF(TrRoad_act!W81=0,0,TrRoad_ene!W84/TrRoad_tech!W112)</f>
        <v>1.330082877187853</v>
      </c>
      <c r="X139" s="93">
        <f>IF(TrRoad_act!X81=0,0,TrRoad_ene!X84/TrRoad_tech!X112)</f>
        <v>1.3409989419120123</v>
      </c>
      <c r="Y139" s="93">
        <f>IF(TrRoad_act!Y81=0,0,TrRoad_ene!Y84/TrRoad_tech!Y112)</f>
        <v>1.3239115625469271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1.2042050126910273</v>
      </c>
      <c r="C140" s="94">
        <f>IF(TrRoad_act!C82=0,0,TrRoad_ene!C85/TrRoad_tech!C113)</f>
        <v>1.1760343874180479</v>
      </c>
      <c r="D140" s="94">
        <f>IF(TrRoad_act!D82=0,0,TrRoad_ene!D85/TrRoad_tech!D113)</f>
        <v>1.162834916126263</v>
      </c>
      <c r="E140" s="94">
        <f>IF(TrRoad_act!E82=0,0,TrRoad_ene!E85/TrRoad_tech!E113)</f>
        <v>1.1377592869149868</v>
      </c>
      <c r="F140" s="94">
        <f>IF(TrRoad_act!F82=0,0,TrRoad_ene!F85/TrRoad_tech!F113)</f>
        <v>1.1175633713197335</v>
      </c>
      <c r="G140" s="94">
        <f>IF(TrRoad_act!G82=0,0,TrRoad_ene!G85/TrRoad_tech!G113)</f>
        <v>1.1159895467070122</v>
      </c>
      <c r="H140" s="94">
        <f>IF(TrRoad_act!H82=0,0,TrRoad_ene!H85/TrRoad_tech!H113)</f>
        <v>1.1120906079900945</v>
      </c>
      <c r="I140" s="94">
        <f>IF(TrRoad_act!I82=0,0,TrRoad_ene!I85/TrRoad_tech!I113)</f>
        <v>1.1096822769027939</v>
      </c>
      <c r="J140" s="94">
        <f>IF(TrRoad_act!J82=0,0,TrRoad_ene!J85/TrRoad_tech!J113)</f>
        <v>1.1235119103624815</v>
      </c>
      <c r="K140" s="94">
        <f>IF(TrRoad_act!K82=0,0,TrRoad_ene!K85/TrRoad_tech!K113)</f>
        <v>1.1507278500130143</v>
      </c>
      <c r="L140" s="94">
        <f>IF(TrRoad_act!L82=0,0,TrRoad_ene!L85/TrRoad_tech!L113)</f>
        <v>1.1546916396066527</v>
      </c>
      <c r="M140" s="94">
        <f>IF(TrRoad_act!M82=0,0,TrRoad_ene!M85/TrRoad_tech!M113)</f>
        <v>1.1885046489189899</v>
      </c>
      <c r="N140" s="94">
        <f>IF(TrRoad_act!N82=0,0,TrRoad_ene!N85/TrRoad_tech!N113)</f>
        <v>1.2085537710830643</v>
      </c>
      <c r="O140" s="94">
        <f>IF(TrRoad_act!O82=0,0,TrRoad_ene!O85/TrRoad_tech!O113)</f>
        <v>1.2250880411656144</v>
      </c>
      <c r="P140" s="94">
        <f>IF(TrRoad_act!P82=0,0,TrRoad_ene!P85/TrRoad_tech!P113)</f>
        <v>1.2432053265738299</v>
      </c>
      <c r="Q140" s="94">
        <f>IF(TrRoad_act!Q82=0,0,TrRoad_ene!Q85/TrRoad_tech!Q113)</f>
        <v>1.2692168174780707</v>
      </c>
      <c r="R140" s="94">
        <f>IF(TrRoad_act!R82=0,0,TrRoad_ene!R85/TrRoad_tech!R113)</f>
        <v>1.2829597607966885</v>
      </c>
      <c r="S140" s="94">
        <f>IF(TrRoad_act!S82=0,0,TrRoad_ene!S85/TrRoad_tech!S113)</f>
        <v>1.3068180404935557</v>
      </c>
      <c r="T140" s="94">
        <f>IF(TrRoad_act!T82=0,0,TrRoad_ene!T85/TrRoad_tech!T113)</f>
        <v>1.328816696288474</v>
      </c>
      <c r="U140" s="94">
        <f>IF(TrRoad_act!U82=0,0,TrRoad_ene!U85/TrRoad_tech!U113)</f>
        <v>1.3386378621865129</v>
      </c>
      <c r="V140" s="94">
        <f>IF(TrRoad_act!V82=0,0,TrRoad_ene!V85/TrRoad_tech!V113)</f>
        <v>1.359291369793552</v>
      </c>
      <c r="W140" s="94">
        <f>IF(TrRoad_act!W82=0,0,TrRoad_ene!W85/TrRoad_tech!W113)</f>
        <v>1.4222542631395398</v>
      </c>
      <c r="X140" s="94">
        <f>IF(TrRoad_act!X82=0,0,TrRoad_ene!X85/TrRoad_tech!X113)</f>
        <v>1.4233713971761577</v>
      </c>
      <c r="Y140" s="94">
        <f>IF(TrRoad_act!Y82=0,0,TrRoad_ene!Y85/TrRoad_tech!Y113)</f>
        <v>1.3836656842357928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3.0938747142819518</v>
      </c>
      <c r="C144" s="141">
        <v>3.0938747142819518</v>
      </c>
      <c r="D144" s="141">
        <v>3.0938747142819518</v>
      </c>
      <c r="E144" s="141">
        <v>3.081355143318917</v>
      </c>
      <c r="F144" s="141">
        <v>3.0688355723558822</v>
      </c>
      <c r="G144" s="141">
        <v>3.0313065266965484</v>
      </c>
      <c r="H144" s="141">
        <v>2.9812282428444097</v>
      </c>
      <c r="I144" s="141">
        <v>2.956189100918341</v>
      </c>
      <c r="J144" s="141">
        <v>2.8059839165916953</v>
      </c>
      <c r="K144" s="141">
        <v>2.6807882069613491</v>
      </c>
      <c r="L144" s="141">
        <v>2.6682686359983143</v>
      </c>
      <c r="M144" s="141">
        <v>2.6559277512788806</v>
      </c>
      <c r="N144" s="141">
        <v>2.6268579813211534</v>
      </c>
      <c r="O144" s="141">
        <v>2.5365462793713642</v>
      </c>
      <c r="P144" s="141">
        <v>2.4926216904300658</v>
      </c>
      <c r="Q144" s="141">
        <v>2.6024043716049308</v>
      </c>
      <c r="R144" s="141">
        <v>2.48546062455158</v>
      </c>
      <c r="S144" s="141">
        <v>2.4620718751409099</v>
      </c>
      <c r="T144" s="141">
        <v>2.4433608756123739</v>
      </c>
      <c r="U144" s="141">
        <v>2.428392075989545</v>
      </c>
      <c r="V144" s="141">
        <v>2.416417036291282</v>
      </c>
      <c r="W144" s="141">
        <v>2.4068370045326715</v>
      </c>
      <c r="X144" s="141">
        <v>2.3991729791257832</v>
      </c>
      <c r="Y144" s="141">
        <v>2.3930417588002726</v>
      </c>
      <c r="DA144" s="174" t="s">
        <v>887</v>
      </c>
    </row>
    <row r="145" spans="1:105" ht="11.45" customHeight="1" x14ac:dyDescent="0.25">
      <c r="A145" s="109" t="s">
        <v>20</v>
      </c>
      <c r="B145" s="130">
        <v>6.6746275673549604</v>
      </c>
      <c r="C145" s="130">
        <v>6.6331030648983482</v>
      </c>
      <c r="D145" s="130">
        <v>6.5569201670676094</v>
      </c>
      <c r="E145" s="130">
        <v>6.4961268787522597</v>
      </c>
      <c r="F145" s="130">
        <v>6.4170863945488712</v>
      </c>
      <c r="G145" s="130">
        <v>6.3787725199018377</v>
      </c>
      <c r="H145" s="130">
        <v>6.2627082991890619</v>
      </c>
      <c r="I145" s="130">
        <v>6.2651215223950425</v>
      </c>
      <c r="J145" s="130">
        <v>5.8609992905738233</v>
      </c>
      <c r="K145" s="130">
        <v>5.5936306953355643</v>
      </c>
      <c r="L145" s="130">
        <v>5.4542616286085916</v>
      </c>
      <c r="M145" s="130">
        <v>5.3293829072498955</v>
      </c>
      <c r="N145" s="130">
        <v>5.1955258463603951</v>
      </c>
      <c r="O145" s="130">
        <v>4.906544736303796</v>
      </c>
      <c r="P145" s="130">
        <v>4.7746675902405995</v>
      </c>
      <c r="Q145" s="130">
        <v>4.6434535677447624</v>
      </c>
      <c r="R145" s="130">
        <v>4.5954419086647356</v>
      </c>
      <c r="S145" s="130">
        <v>4.6190557221282722</v>
      </c>
      <c r="T145" s="130">
        <v>4.6887984330222228</v>
      </c>
      <c r="U145" s="130">
        <v>4.7071224376525498</v>
      </c>
      <c r="V145" s="130">
        <v>4.2623456573887237</v>
      </c>
      <c r="W145" s="130">
        <v>3.9891194432409827</v>
      </c>
      <c r="X145" s="130">
        <v>3.8883667933774881</v>
      </c>
      <c r="Y145" s="130">
        <v>3.7948403099767201</v>
      </c>
      <c r="DA145" s="176" t="s">
        <v>888</v>
      </c>
    </row>
    <row r="146" spans="1:105" ht="11.45" customHeight="1" x14ac:dyDescent="0.25">
      <c r="A146" s="111" t="s">
        <v>110</v>
      </c>
      <c r="B146" s="96">
        <v>6.8390733768642171</v>
      </c>
      <c r="C146" s="96">
        <v>6.8390733768642171</v>
      </c>
      <c r="D146" s="96">
        <v>6.8390733768642145</v>
      </c>
      <c r="E146" s="96">
        <v>6.7973656835054932</v>
      </c>
      <c r="F146" s="96">
        <v>6.7556579901467755</v>
      </c>
      <c r="G146" s="96">
        <v>6.6306337434671976</v>
      </c>
      <c r="H146" s="96">
        <v>6.4638029700323179</v>
      </c>
      <c r="I146" s="96">
        <v>6.3803875833148807</v>
      </c>
      <c r="J146" s="96">
        <v>5.8799940964068265</v>
      </c>
      <c r="K146" s="96">
        <v>5.4629171628196262</v>
      </c>
      <c r="L146" s="96">
        <v>5.405124229653393</v>
      </c>
      <c r="M146" s="96">
        <v>5.3645247855326428</v>
      </c>
      <c r="N146" s="96">
        <v>5.2645004605727239</v>
      </c>
      <c r="O146" s="96">
        <v>4.9844272794562521</v>
      </c>
      <c r="P146" s="96">
        <v>4.8440232191025805</v>
      </c>
      <c r="Q146" s="96">
        <v>4.748575435081194</v>
      </c>
      <c r="R146" s="96">
        <v>4.7563642863998998</v>
      </c>
      <c r="S146" s="96">
        <v>4.7529525184217007</v>
      </c>
      <c r="T146" s="96">
        <v>4.7820194401001235</v>
      </c>
      <c r="U146" s="96">
        <v>4.8633436259631928</v>
      </c>
      <c r="V146" s="96">
        <v>4.5813626465967792</v>
      </c>
      <c r="W146" s="96">
        <v>4.3772276417386307</v>
      </c>
      <c r="X146" s="96">
        <v>4.3334898297032955</v>
      </c>
      <c r="Y146" s="96">
        <v>4.2910843249052366</v>
      </c>
      <c r="DA146" s="171" t="s">
        <v>889</v>
      </c>
    </row>
    <row r="147" spans="1:105" ht="11.45" customHeight="1" x14ac:dyDescent="0.25">
      <c r="A147" s="111" t="s">
        <v>111</v>
      </c>
      <c r="B147" s="96">
        <v>6.5531614978802351</v>
      </c>
      <c r="C147" s="96">
        <v>6.4765042053837032</v>
      </c>
      <c r="D147" s="96">
        <v>6.3923806858664953</v>
      </c>
      <c r="E147" s="96">
        <v>6.3503189261078941</v>
      </c>
      <c r="F147" s="96">
        <v>6.2661954065906906</v>
      </c>
      <c r="G147" s="96">
        <v>6.2661954065906906</v>
      </c>
      <c r="H147" s="96">
        <v>6.1820718870734863</v>
      </c>
      <c r="I147" s="96">
        <v>6.2241336468320894</v>
      </c>
      <c r="J147" s="96">
        <v>5.8456896753870051</v>
      </c>
      <c r="K147" s="96">
        <v>5.635380876593997</v>
      </c>
      <c r="L147" s="96">
        <v>5.4671338375596319</v>
      </c>
      <c r="M147" s="96">
        <v>5.3260171682356665</v>
      </c>
      <c r="N147" s="96">
        <v>5.1861726056064938</v>
      </c>
      <c r="O147" s="96">
        <v>4.8935549506534262</v>
      </c>
      <c r="P147" s="96">
        <v>4.7692140689180018</v>
      </c>
      <c r="Q147" s="96">
        <v>4.6239472766050573</v>
      </c>
      <c r="R147" s="96">
        <v>4.5265543756683408</v>
      </c>
      <c r="S147" s="96">
        <v>4.5712429152509992</v>
      </c>
      <c r="T147" s="96">
        <v>4.700671260923067</v>
      </c>
      <c r="U147" s="96">
        <v>4.6513377108625891</v>
      </c>
      <c r="V147" s="96">
        <v>4.3694700528131563</v>
      </c>
      <c r="W147" s="96">
        <v>4.2293196742752004</v>
      </c>
      <c r="X147" s="96">
        <v>4.1972271268396897</v>
      </c>
      <c r="Y147" s="96">
        <v>4.3438735874462431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6.6027342287486741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6.7406255757385125</v>
      </c>
      <c r="K148" s="96">
        <v>6.295207063091504</v>
      </c>
      <c r="L148" s="96">
        <v>5.5736907716971293</v>
      </c>
      <c r="M148" s="96">
        <v>5.2311602162898101</v>
      </c>
      <c r="N148" s="96">
        <v>5.6988895620274995</v>
      </c>
      <c r="O148" s="96">
        <v>5.6318017444599828</v>
      </c>
      <c r="P148" s="96">
        <v>5.7187177366171822</v>
      </c>
      <c r="Q148" s="96">
        <v>5.8713145047347961</v>
      </c>
      <c r="R148" s="96">
        <v>5.1952188544984717</v>
      </c>
      <c r="S148" s="96">
        <v>5.501293183383436</v>
      </c>
      <c r="T148" s="96">
        <v>5.2037349277453604</v>
      </c>
      <c r="U148" s="96">
        <v>5.4857176022581751</v>
      </c>
      <c r="V148" s="96">
        <v>4.6796809526060397</v>
      </c>
      <c r="W148" s="96">
        <v>4.3728381386588122</v>
      </c>
      <c r="X148" s="96">
        <v>4.4280218016175192</v>
      </c>
      <c r="Y148" s="96">
        <v>4.3940829004669029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7.2541156145994616</v>
      </c>
      <c r="J149" s="96">
        <v>6.6851984196133696</v>
      </c>
      <c r="K149" s="96">
        <v>6.211007117452338</v>
      </c>
      <c r="L149" s="96">
        <v>6.1635879872362347</v>
      </c>
      <c r="M149" s="96">
        <v>5.8369337622157751</v>
      </c>
      <c r="N149" s="96">
        <v>5.5493039341128094</v>
      </c>
      <c r="O149" s="96">
        <v>5.1496564829263525</v>
      </c>
      <c r="P149" s="96">
        <v>4.5859607795140231</v>
      </c>
      <c r="Q149" s="96">
        <v>4.6216704587823907</v>
      </c>
      <c r="R149" s="96">
        <v>5.0368417410071027</v>
      </c>
      <c r="S149" s="96">
        <v>5.1036104628164223</v>
      </c>
      <c r="T149" s="96">
        <v>4.9488399428547432</v>
      </c>
      <c r="U149" s="96">
        <v>4.855235275461764</v>
      </c>
      <c r="V149" s="96">
        <v>4.7270560269396968</v>
      </c>
      <c r="W149" s="96">
        <v>4.3962989990993719</v>
      </c>
      <c r="X149" s="96">
        <v>4.4723129728256588</v>
      </c>
      <c r="Y149" s="96">
        <v>4.3669812523183626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2.6938818817013424</v>
      </c>
      <c r="O150" s="96">
        <v>2.90222501195636</v>
      </c>
      <c r="P150" s="96">
        <v>2.6511936955258588</v>
      </c>
      <c r="Q150" s="96">
        <v>3.166842625446507</v>
      </c>
      <c r="R150" s="96">
        <v>3.3352972242700787</v>
      </c>
      <c r="S150" s="96">
        <v>3.3342489997666309</v>
      </c>
      <c r="T150" s="96">
        <v>3.5236772793422269</v>
      </c>
      <c r="U150" s="96">
        <v>3.2268256312328534</v>
      </c>
      <c r="V150" s="96">
        <v>3.0345965420353851</v>
      </c>
      <c r="W150" s="96">
        <v>2.7924782520108042</v>
      </c>
      <c r="X150" s="96">
        <v>2.687830409865728</v>
      </c>
      <c r="Y150" s="96">
        <v>2.5803154655232401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1.2408948463305245</v>
      </c>
      <c r="I151" s="96">
        <v>1.2284858978672195</v>
      </c>
      <c r="J151" s="96">
        <v>1.2162010388885471</v>
      </c>
      <c r="K151" s="96">
        <v>1.2040390284996614</v>
      </c>
      <c r="L151" s="96">
        <v>1.1919986382146648</v>
      </c>
      <c r="M151" s="96">
        <v>1.1919986382146648</v>
      </c>
      <c r="N151" s="96">
        <v>1.165877821262056</v>
      </c>
      <c r="O151" s="96">
        <v>1.3049389986534738</v>
      </c>
      <c r="P151" s="96">
        <v>1.3121416722292623</v>
      </c>
      <c r="Q151" s="96">
        <v>1.3686889656002195</v>
      </c>
      <c r="R151" s="96">
        <v>1.3691176319009692</v>
      </c>
      <c r="S151" s="96">
        <v>1.2289058164303319</v>
      </c>
      <c r="T151" s="96">
        <v>1.3271865978670896</v>
      </c>
      <c r="U151" s="96">
        <v>1.4628354113135305</v>
      </c>
      <c r="V151" s="96">
        <v>1.4587513603516551</v>
      </c>
      <c r="W151" s="96">
        <v>1.3943347652640259</v>
      </c>
      <c r="X151" s="96">
        <v>1.3742318337749408</v>
      </c>
      <c r="Y151" s="96">
        <v>1.3598184344605633</v>
      </c>
      <c r="DA151" s="171" t="s">
        <v>894</v>
      </c>
    </row>
    <row r="152" spans="1:105" ht="11.45" customHeight="1" x14ac:dyDescent="0.25">
      <c r="A152" s="109" t="s">
        <v>21</v>
      </c>
      <c r="B152" s="130">
        <v>47.268010779786735</v>
      </c>
      <c r="C152" s="130">
        <v>46.681279154061009</v>
      </c>
      <c r="D152" s="130">
        <v>47.242252322676627</v>
      </c>
      <c r="E152" s="130">
        <v>46.929515526350791</v>
      </c>
      <c r="F152" s="130">
        <v>46.953798639853012</v>
      </c>
      <c r="G152" s="130">
        <v>46.906197178415553</v>
      </c>
      <c r="H152" s="130">
        <v>46.544923055253797</v>
      </c>
      <c r="I152" s="130">
        <v>46.354861728267544</v>
      </c>
      <c r="J152" s="130">
        <v>45.392962302150849</v>
      </c>
      <c r="K152" s="130">
        <v>44.803083073905221</v>
      </c>
      <c r="L152" s="130">
        <v>44.723092174594242</v>
      </c>
      <c r="M152" s="130">
        <v>42.230875284665039</v>
      </c>
      <c r="N152" s="130">
        <v>43.675145830842617</v>
      </c>
      <c r="O152" s="130">
        <v>42.361990676705204</v>
      </c>
      <c r="P152" s="130">
        <v>42.887963731894814</v>
      </c>
      <c r="Q152" s="130">
        <v>42.826940598874188</v>
      </c>
      <c r="R152" s="130">
        <v>42.340608990353786</v>
      </c>
      <c r="S152" s="130">
        <v>41.067303952313956</v>
      </c>
      <c r="T152" s="130">
        <v>39.780947364452295</v>
      </c>
      <c r="U152" s="130">
        <v>37.887739041728871</v>
      </c>
      <c r="V152" s="130">
        <v>36.844734172436489</v>
      </c>
      <c r="W152" s="130">
        <v>35.111277648124251</v>
      </c>
      <c r="X152" s="130">
        <v>33.814113518038376</v>
      </c>
      <c r="Y152" s="130">
        <v>32.691403472843646</v>
      </c>
      <c r="DA152" s="176" t="s">
        <v>895</v>
      </c>
    </row>
    <row r="153" spans="1:105" ht="11.45" customHeight="1" x14ac:dyDescent="0.25">
      <c r="A153" s="111" t="s">
        <v>110</v>
      </c>
      <c r="B153" s="97">
        <v>14.826593640733188</v>
      </c>
      <c r="C153" s="97">
        <v>14.826593640733188</v>
      </c>
      <c r="D153" s="97">
        <v>14.826593640733188</v>
      </c>
      <c r="E153" s="97">
        <v>14.736174517111269</v>
      </c>
      <c r="F153" s="97">
        <v>14.645755393489351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11.453695013794086</v>
      </c>
      <c r="O153" s="97">
        <v>0</v>
      </c>
      <c r="P153" s="97">
        <v>0</v>
      </c>
      <c r="Q153" s="97">
        <v>0</v>
      </c>
      <c r="R153" s="97">
        <v>0</v>
      </c>
      <c r="S153" s="97">
        <v>10.693142741231711</v>
      </c>
      <c r="T153" s="97">
        <v>0</v>
      </c>
      <c r="U153" s="97">
        <v>10.136680279231067</v>
      </c>
      <c r="V153" s="97">
        <v>9.8937467585264933</v>
      </c>
      <c r="W153" s="97">
        <v>9.6704083940506145</v>
      </c>
      <c r="X153" s="97">
        <v>9.4642439552314883</v>
      </c>
      <c r="Y153" s="97">
        <v>9.2731741211270347</v>
      </c>
      <c r="DA153" s="175" t="s">
        <v>896</v>
      </c>
    </row>
    <row r="154" spans="1:105" ht="11.45" customHeight="1" x14ac:dyDescent="0.25">
      <c r="A154" s="111" t="s">
        <v>111</v>
      </c>
      <c r="B154" s="97">
        <v>47.457907618716774</v>
      </c>
      <c r="C154" s="97">
        <v>47.457907618716774</v>
      </c>
      <c r="D154" s="97">
        <v>47.457907618716774</v>
      </c>
      <c r="E154" s="97">
        <v>47.385220333251524</v>
      </c>
      <c r="F154" s="97">
        <v>47.312197002009569</v>
      </c>
      <c r="G154" s="97">
        <v>47.090219006202332</v>
      </c>
      <c r="H154" s="97">
        <v>46.788317354490658</v>
      </c>
      <c r="I154" s="97">
        <v>46.635891234156581</v>
      </c>
      <c r="J154" s="97">
        <v>45.664370131294348</v>
      </c>
      <c r="K154" s="97">
        <v>44.809110664793685</v>
      </c>
      <c r="L154" s="97">
        <v>44.723092174594242</v>
      </c>
      <c r="M154" s="97">
        <v>44.637816363065639</v>
      </c>
      <c r="N154" s="97">
        <v>44.434194620787302</v>
      </c>
      <c r="O154" s="97">
        <v>43.773374738741964</v>
      </c>
      <c r="P154" s="97">
        <v>43.444735076831392</v>
      </c>
      <c r="Q154" s="97">
        <v>43.199999999908329</v>
      </c>
      <c r="R154" s="97">
        <v>42.637070062320305</v>
      </c>
      <c r="S154" s="97">
        <v>41.799613974946375</v>
      </c>
      <c r="T154" s="97">
        <v>40.731496747210507</v>
      </c>
      <c r="U154" s="97">
        <v>39.475199163417294</v>
      </c>
      <c r="V154" s="97">
        <v>38.070674077976001</v>
      </c>
      <c r="W154" s="97">
        <v>36.554584483328455</v>
      </c>
      <c r="X154" s="97">
        <v>34.959859648252419</v>
      </c>
      <c r="Y154" s="97">
        <v>33.315504827521337</v>
      </c>
      <c r="DA154" s="175" t="s">
        <v>897</v>
      </c>
    </row>
    <row r="155" spans="1:105" ht="11.45" customHeight="1" x14ac:dyDescent="0.25">
      <c r="A155" s="111" t="s">
        <v>112</v>
      </c>
      <c r="B155" s="97">
        <v>38.955032503696685</v>
      </c>
      <c r="C155" s="97">
        <v>38.955032503696685</v>
      </c>
      <c r="D155" s="97">
        <v>39.548256348930643</v>
      </c>
      <c r="E155" s="97">
        <v>39.092806774932512</v>
      </c>
      <c r="F155" s="97">
        <v>38.835428372482852</v>
      </c>
      <c r="G155" s="97">
        <v>38.653221434257745</v>
      </c>
      <c r="H155" s="97">
        <v>38.405410495144416</v>
      </c>
      <c r="I155" s="97">
        <v>38.280294054703532</v>
      </c>
      <c r="J155" s="97">
        <v>0</v>
      </c>
      <c r="K155" s="97">
        <v>37.340925553994737</v>
      </c>
      <c r="L155" s="97">
        <v>0</v>
      </c>
      <c r="M155" s="97">
        <v>0</v>
      </c>
      <c r="N155" s="97">
        <v>36.473068084562911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39.548256348930643</v>
      </c>
      <c r="D156" s="97">
        <v>39.548256348930643</v>
      </c>
      <c r="E156" s="97">
        <v>39.487683611042939</v>
      </c>
      <c r="F156" s="97">
        <v>39.426830835007969</v>
      </c>
      <c r="G156" s="97">
        <v>39.241849171835277</v>
      </c>
      <c r="H156" s="97">
        <v>38.990264462075551</v>
      </c>
      <c r="I156" s="97">
        <v>38.863242695130488</v>
      </c>
      <c r="J156" s="97">
        <v>38.053641776078621</v>
      </c>
      <c r="K156" s="97">
        <v>37.340925553994737</v>
      </c>
      <c r="L156" s="97">
        <v>0</v>
      </c>
      <c r="M156" s="97">
        <v>37.198180302554697</v>
      </c>
      <c r="N156" s="97">
        <v>37.028495517322753</v>
      </c>
      <c r="O156" s="97">
        <v>36.477812282284965</v>
      </c>
      <c r="P156" s="97">
        <v>36.203945897359496</v>
      </c>
      <c r="Q156" s="97">
        <v>35.99999999992361</v>
      </c>
      <c r="R156" s="97">
        <v>35.842306153746492</v>
      </c>
      <c r="S156" s="97">
        <v>35.712273583038822</v>
      </c>
      <c r="T156" s="97">
        <v>35.598846107843428</v>
      </c>
      <c r="U156" s="97">
        <v>35.495431659406314</v>
      </c>
      <c r="V156" s="97">
        <v>35.398093719836218</v>
      </c>
      <c r="W156" s="97">
        <v>35.304479308620877</v>
      </c>
      <c r="X156" s="97">
        <v>35.213181109954441</v>
      </c>
      <c r="Y156" s="97">
        <v>35.123357041948118</v>
      </c>
      <c r="DA156" s="175" t="s">
        <v>899</v>
      </c>
    </row>
    <row r="157" spans="1:105" ht="11.45" customHeight="1" x14ac:dyDescent="0.25">
      <c r="A157" s="111" t="s">
        <v>115</v>
      </c>
      <c r="B157" s="97">
        <v>25.823892339529273</v>
      </c>
      <c r="C157" s="97">
        <v>25.591360672612797</v>
      </c>
      <c r="D157" s="97">
        <v>25.335447065886669</v>
      </c>
      <c r="E157" s="97">
        <v>25.082092595227802</v>
      </c>
      <c r="F157" s="97">
        <v>24.831271669275523</v>
      </c>
      <c r="G157" s="97">
        <v>24.582958952582768</v>
      </c>
      <c r="H157" s="97">
        <v>24.337129363056938</v>
      </c>
      <c r="I157" s="97">
        <v>24.093758069426368</v>
      </c>
      <c r="J157" s="97">
        <v>23.852820488732103</v>
      </c>
      <c r="K157" s="97">
        <v>0</v>
      </c>
      <c r="L157" s="97">
        <v>0</v>
      </c>
      <c r="M157" s="97">
        <v>0</v>
      </c>
      <c r="N157" s="97">
        <v>22.912924188722311</v>
      </c>
      <c r="O157" s="97">
        <v>22.683794946835089</v>
      </c>
      <c r="P157" s="97">
        <v>22.456956997366738</v>
      </c>
      <c r="Q157" s="97">
        <v>22.232387427393071</v>
      </c>
      <c r="R157" s="97">
        <v>21.922034548400656</v>
      </c>
      <c r="S157" s="97">
        <v>21.538190748887406</v>
      </c>
      <c r="T157" s="97">
        <v>21.092488673730092</v>
      </c>
      <c r="U157" s="97">
        <v>20.595751844575808</v>
      </c>
      <c r="V157" s="97">
        <v>20.057905203833194</v>
      </c>
      <c r="W157" s="97">
        <v>19.487933402707693</v>
      </c>
      <c r="X157" s="97">
        <v>18.893875909547695</v>
      </c>
      <c r="Y157" s="97">
        <v>18.282849493677315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8.7378280840760176</v>
      </c>
      <c r="C159" s="141">
        <v>8.657944102489461</v>
      </c>
      <c r="D159" s="141">
        <v>8.576673201219398</v>
      </c>
      <c r="E159" s="141">
        <v>8.5121566284992802</v>
      </c>
      <c r="F159" s="141">
        <v>8.4147542816129945</v>
      </c>
      <c r="G159" s="141">
        <v>8.3670739965204657</v>
      </c>
      <c r="H159" s="141">
        <v>8.2651326494341451</v>
      </c>
      <c r="I159" s="141">
        <v>8.2207468348507113</v>
      </c>
      <c r="J159" s="141">
        <v>7.9666695800753997</v>
      </c>
      <c r="K159" s="141">
        <v>7.785782149282312</v>
      </c>
      <c r="L159" s="141">
        <v>8.1729340424902261</v>
      </c>
      <c r="M159" s="141">
        <v>8.0348411885671887</v>
      </c>
      <c r="N159" s="141">
        <v>7.3316432628137553</v>
      </c>
      <c r="O159" s="141">
        <v>6.5315449796035949</v>
      </c>
      <c r="P159" s="141">
        <v>6.4245549060331655</v>
      </c>
      <c r="Q159" s="141">
        <v>6.4506919842534742</v>
      </c>
      <c r="R159" s="141">
        <v>6.4789336176944516</v>
      </c>
      <c r="S159" s="141">
        <v>6.1440747845642818</v>
      </c>
      <c r="T159" s="141">
        <v>5.9905619946095294</v>
      </c>
      <c r="U159" s="141">
        <v>5.9481152354847273</v>
      </c>
      <c r="V159" s="141">
        <v>6.1527959179912273</v>
      </c>
      <c r="W159" s="141">
        <v>6.190043746944359</v>
      </c>
      <c r="X159" s="141">
        <v>6.1721848158699828</v>
      </c>
      <c r="Y159" s="141">
        <v>5.9572931426295375</v>
      </c>
      <c r="DA159" s="174" t="s">
        <v>901</v>
      </c>
    </row>
    <row r="160" spans="1:105" ht="11.45" customHeight="1" x14ac:dyDescent="0.25">
      <c r="A160" s="111" t="s">
        <v>110</v>
      </c>
      <c r="B160" s="96">
        <v>8.9600616315927226</v>
      </c>
      <c r="C160" s="96">
        <v>8.9600616315927226</v>
      </c>
      <c r="D160" s="96">
        <v>8.9600616315927226</v>
      </c>
      <c r="E160" s="96">
        <v>8.9054192140585116</v>
      </c>
      <c r="F160" s="96">
        <v>8.850776796524304</v>
      </c>
      <c r="G160" s="96">
        <v>8.6869790283234156</v>
      </c>
      <c r="H160" s="96">
        <v>8.4684093581865856</v>
      </c>
      <c r="I160" s="96">
        <v>8.3591245231181706</v>
      </c>
      <c r="J160" s="96">
        <v>7.7035449971094137</v>
      </c>
      <c r="K160" s="96">
        <v>7.1571208217673359</v>
      </c>
      <c r="L160" s="96">
        <v>7.1024784042331266</v>
      </c>
      <c r="M160" s="96">
        <v>7.0486158735144731</v>
      </c>
      <c r="N160" s="96">
        <v>6.9217391209209893</v>
      </c>
      <c r="O160" s="96">
        <v>5.7891012472600556</v>
      </c>
      <c r="P160" s="96">
        <v>5.7292164908954861</v>
      </c>
      <c r="Q160" s="96">
        <v>5.8422761188732322</v>
      </c>
      <c r="R160" s="96">
        <v>5.9784946300309496</v>
      </c>
      <c r="S160" s="96">
        <v>6.0725118636062678</v>
      </c>
      <c r="T160" s="96">
        <v>6.1326147755921783</v>
      </c>
      <c r="U160" s="96">
        <v>6.0542464559819988</v>
      </c>
      <c r="V160" s="96">
        <v>5.6031214901461599</v>
      </c>
      <c r="W160" s="96">
        <v>5.5565693347328695</v>
      </c>
      <c r="X160" s="96">
        <v>5.4547825804072163</v>
      </c>
      <c r="Y160" s="96">
        <v>5.8416067490354493</v>
      </c>
      <c r="DA160" s="171" t="s">
        <v>902</v>
      </c>
    </row>
    <row r="161" spans="1:105" ht="11.45" customHeight="1" x14ac:dyDescent="0.25">
      <c r="A161" s="111" t="s">
        <v>111</v>
      </c>
      <c r="B161" s="96">
        <v>8.5283321255627147</v>
      </c>
      <c r="C161" s="96">
        <v>8.4285697665138333</v>
      </c>
      <c r="D161" s="96">
        <v>8.3190908052146124</v>
      </c>
      <c r="E161" s="96">
        <v>8.2643513245650055</v>
      </c>
      <c r="F161" s="96">
        <v>8.1548723632657847</v>
      </c>
      <c r="G161" s="96">
        <v>8.1548723632657847</v>
      </c>
      <c r="H161" s="96">
        <v>8.0453934019665656</v>
      </c>
      <c r="I161" s="96">
        <v>8.1001328826161743</v>
      </c>
      <c r="J161" s="96">
        <v>7.6076231404948107</v>
      </c>
      <c r="K161" s="96">
        <v>7.3339257372467577</v>
      </c>
      <c r="L161" s="96">
        <v>7.1149678146483142</v>
      </c>
      <c r="M161" s="96">
        <v>6.9313175528872906</v>
      </c>
      <c r="N161" s="96">
        <v>6.7493228200485795</v>
      </c>
      <c r="O161" s="96">
        <v>6.0951620653085117</v>
      </c>
      <c r="P161" s="96">
        <v>6.0256616916125196</v>
      </c>
      <c r="Q161" s="96">
        <v>6.1709571488371875</v>
      </c>
      <c r="R161" s="96">
        <v>6.3994456118409149</v>
      </c>
      <c r="S161" s="96">
        <v>6.0766276035861226</v>
      </c>
      <c r="T161" s="96">
        <v>6.1196483888585842</v>
      </c>
      <c r="U161" s="96">
        <v>6.0336759779722158</v>
      </c>
      <c r="V161" s="96">
        <v>6.293276662583601</v>
      </c>
      <c r="W161" s="96">
        <v>6.3054581925614519</v>
      </c>
      <c r="X161" s="96">
        <v>6.5494316184492147</v>
      </c>
      <c r="Y161" s="96">
        <v>6.2903946251765328</v>
      </c>
      <c r="DA161" s="171" t="s">
        <v>903</v>
      </c>
    </row>
    <row r="162" spans="1:105" ht="11.45" customHeight="1" x14ac:dyDescent="0.25">
      <c r="A162" s="111" t="s">
        <v>112</v>
      </c>
      <c r="B162" s="96">
        <v>9.7978863578511248</v>
      </c>
      <c r="C162" s="96">
        <v>9.6832730615628311</v>
      </c>
      <c r="D162" s="96">
        <v>9.5574967191792837</v>
      </c>
      <c r="E162" s="96">
        <v>9.4946085479875144</v>
      </c>
      <c r="F162" s="96">
        <v>9.368832205603967</v>
      </c>
      <c r="G162" s="96">
        <v>9.368832205603967</v>
      </c>
      <c r="H162" s="96">
        <v>9.2430558632204249</v>
      </c>
      <c r="I162" s="96">
        <v>9.3059440344121995</v>
      </c>
      <c r="J162" s="96">
        <v>8.7401177494606976</v>
      </c>
      <c r="K162" s="96">
        <v>8.4256768935018407</v>
      </c>
      <c r="L162" s="96">
        <v>0</v>
      </c>
      <c r="M162" s="96">
        <v>0</v>
      </c>
      <c r="N162" s="96">
        <v>8.3577351238110626</v>
      </c>
      <c r="O162" s="96">
        <v>7.8047069842112675</v>
      </c>
      <c r="P162" s="96">
        <v>6.743827651626833</v>
      </c>
      <c r="Q162" s="96">
        <v>6.8559911052921558</v>
      </c>
      <c r="R162" s="96">
        <v>5.9516732601155846</v>
      </c>
      <c r="S162" s="96">
        <v>5.7694076479094552</v>
      </c>
      <c r="T162" s="96">
        <v>6.2962523317123837</v>
      </c>
      <c r="U162" s="96">
        <v>6.2171851855889386</v>
      </c>
      <c r="V162" s="96">
        <v>6.1471590510784999</v>
      </c>
      <c r="W162" s="96">
        <v>7.0949979070173184</v>
      </c>
      <c r="X162" s="96">
        <v>7.3664280172734733</v>
      </c>
      <c r="Y162" s="96">
        <v>7.3945603142186078</v>
      </c>
      <c r="DA162" s="171" t="s">
        <v>904</v>
      </c>
    </row>
    <row r="163" spans="1:105" ht="11.45" customHeight="1" x14ac:dyDescent="0.25">
      <c r="A163" s="111" t="s">
        <v>113</v>
      </c>
      <c r="B163" s="96">
        <v>9.9984331228947418</v>
      </c>
      <c r="C163" s="96">
        <v>0</v>
      </c>
      <c r="D163" s="96">
        <v>9.9984331228947418</v>
      </c>
      <c r="E163" s="96">
        <v>9.9374582568890553</v>
      </c>
      <c r="F163" s="96">
        <v>9.8764833908833651</v>
      </c>
      <c r="G163" s="96">
        <v>9.6937032830701071</v>
      </c>
      <c r="H163" s="96">
        <v>9.4498038190473537</v>
      </c>
      <c r="I163" s="96">
        <v>9.3278540870359787</v>
      </c>
      <c r="J163" s="96">
        <v>8.5963001851715291</v>
      </c>
      <c r="K163" s="96">
        <v>7.9865515251146535</v>
      </c>
      <c r="L163" s="96">
        <v>7.9255766591089669</v>
      </c>
      <c r="M163" s="96">
        <v>7.5055415907716405</v>
      </c>
      <c r="N163" s="96">
        <v>7.1356868475934077</v>
      </c>
      <c r="O163" s="96">
        <v>6.4632869932804216</v>
      </c>
      <c r="P163" s="96">
        <v>6.3321874488785905</v>
      </c>
      <c r="Q163" s="96">
        <v>6.5783851943885185</v>
      </c>
      <c r="R163" s="96">
        <v>7.7538527927987673</v>
      </c>
      <c r="S163" s="96">
        <v>8.1990602320430614</v>
      </c>
      <c r="T163" s="96">
        <v>7.8487276361034919</v>
      </c>
      <c r="U163" s="96">
        <v>7.9588170713073927</v>
      </c>
      <c r="V163" s="96">
        <v>7.0121425389915402</v>
      </c>
      <c r="W163" s="96">
        <v>9.1527059129638051</v>
      </c>
      <c r="X163" s="96">
        <v>8.1121799800672854</v>
      </c>
      <c r="Y163" s="96">
        <v>6.2763074244536972</v>
      </c>
      <c r="DA163" s="171" t="s">
        <v>905</v>
      </c>
    </row>
    <row r="164" spans="1:105" ht="11.45" customHeight="1" x14ac:dyDescent="0.25">
      <c r="A164" s="111" t="s">
        <v>115</v>
      </c>
      <c r="B164" s="96">
        <v>1.497659392543268</v>
      </c>
      <c r="C164" s="96">
        <v>1.4841736937011876</v>
      </c>
      <c r="D164" s="96">
        <v>1.4693319567641756</v>
      </c>
      <c r="E164" s="96">
        <v>1.4546386371965336</v>
      </c>
      <c r="F164" s="96">
        <v>1.4400922508245682</v>
      </c>
      <c r="G164" s="96">
        <v>1.4256913283163226</v>
      </c>
      <c r="H164" s="96">
        <v>1.4114344150331595</v>
      </c>
      <c r="I164" s="96">
        <v>1.3973200708828279</v>
      </c>
      <c r="J164" s="96">
        <v>1.3833468701739995</v>
      </c>
      <c r="K164" s="96">
        <v>1.3695134014722594</v>
      </c>
      <c r="L164" s="96">
        <v>1.3558182674575368</v>
      </c>
      <c r="M164" s="96">
        <v>1.3422600847829613</v>
      </c>
      <c r="N164" s="96">
        <v>1.3288374839351316</v>
      </c>
      <c r="O164" s="96">
        <v>1.3324494794820432</v>
      </c>
      <c r="P164" s="96">
        <v>1.3061879031174766</v>
      </c>
      <c r="Q164" s="96">
        <v>1.4014975114698334</v>
      </c>
      <c r="R164" s="96">
        <v>1.3726082317231094</v>
      </c>
      <c r="S164" s="96">
        <v>1.4216992346921091</v>
      </c>
      <c r="T164" s="96">
        <v>1.459760645190344</v>
      </c>
      <c r="U164" s="96">
        <v>1.582883726628822</v>
      </c>
      <c r="V164" s="96">
        <v>1.8109753942920412</v>
      </c>
      <c r="W164" s="96">
        <v>2.0051875296016459</v>
      </c>
      <c r="X164" s="96">
        <v>2.0075229959111196</v>
      </c>
      <c r="Y164" s="96">
        <v>1.9364187221169304</v>
      </c>
      <c r="DA164" s="171" t="s">
        <v>906</v>
      </c>
    </row>
    <row r="165" spans="1:105" ht="11.45" customHeight="1" x14ac:dyDescent="0.25">
      <c r="A165" s="109" t="s">
        <v>154</v>
      </c>
      <c r="B165" s="130">
        <v>33.033758751759777</v>
      </c>
      <c r="C165" s="130">
        <v>32.849836553745682</v>
      </c>
      <c r="D165" s="130">
        <v>32.640236353125928</v>
      </c>
      <c r="E165" s="130">
        <v>32.364497150036392</v>
      </c>
      <c r="F165" s="130">
        <v>32.210245548846501</v>
      </c>
      <c r="G165" s="130">
        <v>31.696970195252831</v>
      </c>
      <c r="H165" s="130">
        <v>31.286553816146533</v>
      </c>
      <c r="I165" s="130">
        <v>30.822850628418209</v>
      </c>
      <c r="J165" s="130">
        <v>30.213872072645756</v>
      </c>
      <c r="K165" s="130">
        <v>29.494405701917085</v>
      </c>
      <c r="L165" s="130">
        <v>29.272549973275762</v>
      </c>
      <c r="M165" s="130">
        <v>28.334110929906466</v>
      </c>
      <c r="N165" s="130">
        <v>27.752138619843606</v>
      </c>
      <c r="O165" s="130">
        <v>27.258805159731381</v>
      </c>
      <c r="P165" s="130">
        <v>26.387272758885853</v>
      </c>
      <c r="Q165" s="130">
        <v>25.605474434513997</v>
      </c>
      <c r="R165" s="130">
        <v>24.44295413340873</v>
      </c>
      <c r="S165" s="130">
        <v>23.642206210064202</v>
      </c>
      <c r="T165" s="130">
        <v>22.322569353829731</v>
      </c>
      <c r="U165" s="130">
        <v>21.554716708498123</v>
      </c>
      <c r="V165" s="130">
        <v>20.596434320182485</v>
      </c>
      <c r="W165" s="130">
        <v>21.201131059895985</v>
      </c>
      <c r="X165" s="130">
        <v>20.509268031191439</v>
      </c>
      <c r="Y165" s="130">
        <v>20.125813812259636</v>
      </c>
      <c r="DA165" s="176" t="s">
        <v>907</v>
      </c>
    </row>
    <row r="166" spans="1:105" ht="11.45" customHeight="1" x14ac:dyDescent="0.25">
      <c r="A166" s="128" t="s">
        <v>27</v>
      </c>
      <c r="B166" s="97">
        <v>32.963917597420973</v>
      </c>
      <c r="C166" s="97">
        <v>32.76185567003786</v>
      </c>
      <c r="D166" s="97">
        <v>32.538794763097926</v>
      </c>
      <c r="E166" s="97">
        <v>32.261042414347749</v>
      </c>
      <c r="F166" s="97">
        <v>31.929304397736836</v>
      </c>
      <c r="G166" s="97">
        <v>31.544417715942842</v>
      </c>
      <c r="H166" s="97">
        <v>31.107345380845981</v>
      </c>
      <c r="I166" s="97">
        <v>30.619170481803856</v>
      </c>
      <c r="J166" s="97">
        <v>30.081089608695375</v>
      </c>
      <c r="K166" s="97">
        <v>29.494405701917085</v>
      </c>
      <c r="L166" s="97">
        <v>28.86052040808379</v>
      </c>
      <c r="M166" s="97">
        <v>28.180926021411892</v>
      </c>
      <c r="N166" s="97">
        <v>27.457197093862217</v>
      </c>
      <c r="O166" s="97">
        <v>26.690981798091372</v>
      </c>
      <c r="P166" s="97">
        <v>25.883993125283354</v>
      </c>
      <c r="Q166" s="97">
        <v>25.037999999946866</v>
      </c>
      <c r="R166" s="97">
        <v>23.707807673576028</v>
      </c>
      <c r="S166" s="97">
        <v>22.776673045116443</v>
      </c>
      <c r="T166" s="97">
        <v>21.798981685233876</v>
      </c>
      <c r="U166" s="97">
        <v>20.60402557871074</v>
      </c>
      <c r="V166" s="97">
        <v>19.958413835891371</v>
      </c>
      <c r="W166" s="97">
        <v>19.762600314753318</v>
      </c>
      <c r="X166" s="97">
        <v>19.653720755182686</v>
      </c>
      <c r="Y166" s="97">
        <v>19.457183547630859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99.089005257937714</v>
      </c>
      <c r="C171" s="152">
        <v>98.550858512839866</v>
      </c>
      <c r="D171" s="152">
        <v>98.039369076384475</v>
      </c>
      <c r="E171" s="152">
        <v>97.429572578487011</v>
      </c>
      <c r="F171" s="152">
        <v>96.720856668050544</v>
      </c>
      <c r="G171" s="152">
        <v>95.888800113224661</v>
      </c>
      <c r="H171" s="152">
        <v>94.933454854090286</v>
      </c>
      <c r="I171" s="152">
        <v>94.157832849954247</v>
      </c>
      <c r="J171" s="152">
        <v>93.244279251794637</v>
      </c>
      <c r="K171" s="152">
        <v>92.222638753782405</v>
      </c>
      <c r="L171" s="152">
        <v>91.250488006124542</v>
      </c>
      <c r="M171" s="152">
        <v>90.165308886809569</v>
      </c>
      <c r="N171" s="152">
        <v>89.111725355049003</v>
      </c>
      <c r="O171" s="152">
        <v>88.108076913660838</v>
      </c>
      <c r="P171" s="152">
        <v>87.109433240253423</v>
      </c>
      <c r="Q171" s="152">
        <v>86.274205754707552</v>
      </c>
      <c r="R171" s="152">
        <v>85.30019758925809</v>
      </c>
      <c r="S171" s="152">
        <v>84.237081063892887</v>
      </c>
      <c r="T171" s="152">
        <v>83.272308525714493</v>
      </c>
      <c r="U171" s="152">
        <v>82.246263973723742</v>
      </c>
      <c r="V171" s="152">
        <v>81.263809935312565</v>
      </c>
      <c r="W171" s="152">
        <v>78.180289877180712</v>
      </c>
      <c r="X171" s="152">
        <v>77.626609811708278</v>
      </c>
      <c r="Y171" s="152">
        <v>77.047108844607962</v>
      </c>
      <c r="DA171" s="174" t="s">
        <v>910</v>
      </c>
    </row>
    <row r="172" spans="1:105" ht="11.45" customHeight="1" x14ac:dyDescent="0.25">
      <c r="A172" s="109" t="s">
        <v>20</v>
      </c>
      <c r="B172" s="116">
        <v>233.44484631794151</v>
      </c>
      <c r="C172" s="116">
        <v>228.4793049713445</v>
      </c>
      <c r="D172" s="116">
        <v>227.05400213294016</v>
      </c>
      <c r="E172" s="116">
        <v>225.20214305842001</v>
      </c>
      <c r="F172" s="116">
        <v>222.90250851937066</v>
      </c>
      <c r="G172" s="116">
        <v>220.21791485760275</v>
      </c>
      <c r="H172" s="116">
        <v>217.94849138807388</v>
      </c>
      <c r="I172" s="116">
        <v>215.59835873639082</v>
      </c>
      <c r="J172" s="116">
        <v>212.95401079705402</v>
      </c>
      <c r="K172" s="116">
        <v>208.59661215356564</v>
      </c>
      <c r="L172" s="116">
        <v>204.40851543455423</v>
      </c>
      <c r="M172" s="116">
        <v>201.71912415261224</v>
      </c>
      <c r="N172" s="116">
        <v>197.91324160878725</v>
      </c>
      <c r="O172" s="116">
        <v>194.02339505245737</v>
      </c>
      <c r="P172" s="116">
        <v>190.10954731719835</v>
      </c>
      <c r="Q172" s="116">
        <v>185.77318916741348</v>
      </c>
      <c r="R172" s="116">
        <v>180.80965446187861</v>
      </c>
      <c r="S172" s="116">
        <v>176.63004526310857</v>
      </c>
      <c r="T172" s="116">
        <v>171.82824950702346</v>
      </c>
      <c r="U172" s="116">
        <v>166.90993324322696</v>
      </c>
      <c r="V172" s="116">
        <v>158.5848238747902</v>
      </c>
      <c r="W172" s="116">
        <v>151.49012968401303</v>
      </c>
      <c r="X172" s="116">
        <v>145.25616017353855</v>
      </c>
      <c r="Y172" s="116">
        <v>139.80297750189283</v>
      </c>
      <c r="DA172" s="176" t="s">
        <v>911</v>
      </c>
    </row>
    <row r="173" spans="1:105" ht="11.45" customHeight="1" x14ac:dyDescent="0.25">
      <c r="A173" s="111" t="s">
        <v>110</v>
      </c>
      <c r="B173" s="87">
        <v>229.48677638120114</v>
      </c>
      <c r="C173" s="87">
        <v>224.82484306923672</v>
      </c>
      <c r="D173" s="87">
        <v>222.96855355738631</v>
      </c>
      <c r="E173" s="87">
        <v>221.30263494385187</v>
      </c>
      <c r="F173" s="87">
        <v>219.60454242122708</v>
      </c>
      <c r="G173" s="87">
        <v>217.61187724182835</v>
      </c>
      <c r="H173" s="87">
        <v>215.5992664150813</v>
      </c>
      <c r="I173" s="87">
        <v>213.4314596245616</v>
      </c>
      <c r="J173" s="87">
        <v>211.23451327208318</v>
      </c>
      <c r="K173" s="87">
        <v>206.95713604740669</v>
      </c>
      <c r="L173" s="87">
        <v>202.86900021247158</v>
      </c>
      <c r="M173" s="87">
        <v>198.60373957616258</v>
      </c>
      <c r="N173" s="87">
        <v>194.67445830738544</v>
      </c>
      <c r="O173" s="87">
        <v>191.01188474894508</v>
      </c>
      <c r="P173" s="87">
        <v>186.04449627598427</v>
      </c>
      <c r="Q173" s="87">
        <v>181.06285245295797</v>
      </c>
      <c r="R173" s="87">
        <v>175.14775536329958</v>
      </c>
      <c r="S173" s="87">
        <v>169.99679886305702</v>
      </c>
      <c r="T173" s="87">
        <v>164.69891876177604</v>
      </c>
      <c r="U173" s="87">
        <v>160.26941235570899</v>
      </c>
      <c r="V173" s="87">
        <v>156.62260049257546</v>
      </c>
      <c r="W173" s="87">
        <v>152.80325563477174</v>
      </c>
      <c r="X173" s="87">
        <v>149.15433712719934</v>
      </c>
      <c r="Y173" s="87">
        <v>145.5378864254312</v>
      </c>
      <c r="DA173" s="171" t="s">
        <v>912</v>
      </c>
    </row>
    <row r="174" spans="1:105" ht="11.45" customHeight="1" x14ac:dyDescent="0.25">
      <c r="A174" s="111" t="s">
        <v>111</v>
      </c>
      <c r="B174" s="87">
        <v>232.37319392578115</v>
      </c>
      <c r="C174" s="87">
        <v>224.23108026675212</v>
      </c>
      <c r="D174" s="87">
        <v>220.2848822418419</v>
      </c>
      <c r="E174" s="87">
        <v>216.90982529378545</v>
      </c>
      <c r="F174" s="87">
        <v>213.63041018151321</v>
      </c>
      <c r="G174" s="87">
        <v>210.69664681318471</v>
      </c>
      <c r="H174" s="87">
        <v>207.94800599465432</v>
      </c>
      <c r="I174" s="87">
        <v>205.51520227957874</v>
      </c>
      <c r="J174" s="87">
        <v>202.69382293555063</v>
      </c>
      <c r="K174" s="87">
        <v>199.59970600146821</v>
      </c>
      <c r="L174" s="87">
        <v>196.14153353567846</v>
      </c>
      <c r="M174" s="87">
        <v>193.13336000829617</v>
      </c>
      <c r="N174" s="87">
        <v>189.91933930609753</v>
      </c>
      <c r="O174" s="87">
        <v>186.8799477926419</v>
      </c>
      <c r="P174" s="87">
        <v>183.76533937554282</v>
      </c>
      <c r="Q174" s="87">
        <v>180.4018314122188</v>
      </c>
      <c r="R174" s="87">
        <v>176.94624392694641</v>
      </c>
      <c r="S174" s="87">
        <v>173.83406770562507</v>
      </c>
      <c r="T174" s="87">
        <v>171.12761460285077</v>
      </c>
      <c r="U174" s="87">
        <v>168.14874323609087</v>
      </c>
      <c r="V174" s="87">
        <v>165.53673355186288</v>
      </c>
      <c r="W174" s="87">
        <v>164.24318005169624</v>
      </c>
      <c r="X174" s="87">
        <v>162.12781883301227</v>
      </c>
      <c r="Y174" s="87">
        <v>161.34709132588856</v>
      </c>
      <c r="DA174" s="171" t="s">
        <v>913</v>
      </c>
    </row>
    <row r="175" spans="1:105" ht="11.45" customHeight="1" x14ac:dyDescent="0.25">
      <c r="A175" s="111" t="s">
        <v>112</v>
      </c>
      <c r="B175" s="87">
        <v>194.0390498157702</v>
      </c>
      <c r="C175" s="87">
        <v>192.15676870027622</v>
      </c>
      <c r="D175" s="87">
        <v>192.01546093493525</v>
      </c>
      <c r="E175" s="87">
        <v>191.8040268094035</v>
      </c>
      <c r="F175" s="87">
        <v>191.63854106432879</v>
      </c>
      <c r="G175" s="87">
        <v>191.37475092536474</v>
      </c>
      <c r="H175" s="87">
        <v>191.071051091539</v>
      </c>
      <c r="I175" s="87">
        <v>190.67687117886976</v>
      </c>
      <c r="J175" s="87">
        <v>188.5564408404901</v>
      </c>
      <c r="K175" s="87">
        <v>185.1078588384209</v>
      </c>
      <c r="L175" s="87">
        <v>166.36801432643108</v>
      </c>
      <c r="M175" s="87">
        <v>166.72564839209065</v>
      </c>
      <c r="N175" s="87">
        <v>165.06512826240089</v>
      </c>
      <c r="O175" s="87">
        <v>162.36147235590292</v>
      </c>
      <c r="P175" s="87">
        <v>161.31598306952841</v>
      </c>
      <c r="Q175" s="87">
        <v>161.15983154467881</v>
      </c>
      <c r="R175" s="87">
        <v>160.34846939371303</v>
      </c>
      <c r="S175" s="87">
        <v>159.60108283017419</v>
      </c>
      <c r="T175" s="87">
        <v>159.25992835970587</v>
      </c>
      <c r="U175" s="87">
        <v>158.97625507687377</v>
      </c>
      <c r="V175" s="87">
        <v>152.51635307976011</v>
      </c>
      <c r="W175" s="87">
        <v>137.42484457555651</v>
      </c>
      <c r="X175" s="87">
        <v>128.07814040136276</v>
      </c>
      <c r="Y175" s="87">
        <v>120.9071818381819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170.38429034170022</v>
      </c>
      <c r="J176" s="87">
        <v>163.4204329121948</v>
      </c>
      <c r="K176" s="87">
        <v>157.71834378789984</v>
      </c>
      <c r="L176" s="87">
        <v>155.77371638506162</v>
      </c>
      <c r="M176" s="87">
        <v>153.35813716450363</v>
      </c>
      <c r="N176" s="87">
        <v>150.72734520261784</v>
      </c>
      <c r="O176" s="87">
        <v>148.27411156835737</v>
      </c>
      <c r="P176" s="87">
        <v>145.34962090795321</v>
      </c>
      <c r="Q176" s="87">
        <v>140.60607940638926</v>
      </c>
      <c r="R176" s="87">
        <v>121.73700785276223</v>
      </c>
      <c r="S176" s="87">
        <v>119.89915680790588</v>
      </c>
      <c r="T176" s="87">
        <v>117.85327089305366</v>
      </c>
      <c r="U176" s="87">
        <v>116.57864249588404</v>
      </c>
      <c r="V176" s="87">
        <v>115.632727349276</v>
      </c>
      <c r="W176" s="87">
        <v>113.52789883436067</v>
      </c>
      <c r="X176" s="87">
        <v>112.89213826263202</v>
      </c>
      <c r="Y176" s="87">
        <v>102.5714285714286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57.992150918950657</v>
      </c>
      <c r="O177" s="87">
        <v>60.622477830867666</v>
      </c>
      <c r="P177" s="87">
        <v>56.706856658557101</v>
      </c>
      <c r="Q177" s="87">
        <v>58.322304150892343</v>
      </c>
      <c r="R177" s="87">
        <v>60.430074705417425</v>
      </c>
      <c r="S177" s="87">
        <v>61.916138230509496</v>
      </c>
      <c r="T177" s="87">
        <v>63.444132519670688</v>
      </c>
      <c r="U177" s="87">
        <v>61.310574370002591</v>
      </c>
      <c r="V177" s="87">
        <v>51.176574038996314</v>
      </c>
      <c r="W177" s="87">
        <v>44.271208778825773</v>
      </c>
      <c r="X177" s="87">
        <v>40.809076614098828</v>
      </c>
      <c r="Y177" s="87">
        <v>37.667218379810819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1595.1930767039062</v>
      </c>
      <c r="C179" s="116">
        <v>1552.6658892494213</v>
      </c>
      <c r="D179" s="116">
        <v>1566.1233128235649</v>
      </c>
      <c r="E179" s="116">
        <v>1548.4260360772967</v>
      </c>
      <c r="F179" s="116">
        <v>1545.472148663677</v>
      </c>
      <c r="G179" s="116">
        <v>1544.5023802155279</v>
      </c>
      <c r="H179" s="116">
        <v>1533.797489321415</v>
      </c>
      <c r="I179" s="116">
        <v>1524.5998826257182</v>
      </c>
      <c r="J179" s="116">
        <v>1509.5909812696348</v>
      </c>
      <c r="K179" s="116">
        <v>1502.0060368914881</v>
      </c>
      <c r="L179" s="116">
        <v>1489.0005833148648</v>
      </c>
      <c r="M179" s="116">
        <v>1369.7116255358692</v>
      </c>
      <c r="N179" s="116">
        <v>1428.369061364624</v>
      </c>
      <c r="O179" s="116">
        <v>1374.8493727389091</v>
      </c>
      <c r="P179" s="116">
        <v>1395.0988167022592</v>
      </c>
      <c r="Q179" s="116">
        <v>1388.1135430035731</v>
      </c>
      <c r="R179" s="116">
        <v>1378.7379684873943</v>
      </c>
      <c r="S179" s="116">
        <v>1343.8804640562048</v>
      </c>
      <c r="T179" s="116">
        <v>1307.9889118173351</v>
      </c>
      <c r="U179" s="116">
        <v>1238.0376390057327</v>
      </c>
      <c r="V179" s="116">
        <v>1192.1014888623979</v>
      </c>
      <c r="W179" s="116">
        <v>1122.5705945061829</v>
      </c>
      <c r="X179" s="116">
        <v>1098.7410833383747</v>
      </c>
      <c r="Y179" s="116">
        <v>1080.3925850133253</v>
      </c>
      <c r="DA179" s="176" t="s">
        <v>918</v>
      </c>
    </row>
    <row r="180" spans="1:105" ht="11.45" customHeight="1" x14ac:dyDescent="0.25">
      <c r="A180" s="111" t="s">
        <v>110</v>
      </c>
      <c r="B180" s="101">
        <v>475.40303905742093</v>
      </c>
      <c r="C180" s="101">
        <v>474.97416354674084</v>
      </c>
      <c r="D180" s="101">
        <v>474.71731968426081</v>
      </c>
      <c r="E180" s="101">
        <v>474.60957167537237</v>
      </c>
      <c r="F180" s="101">
        <v>474.48025765949916</v>
      </c>
      <c r="G180" s="101">
        <v>474.41466484366754</v>
      </c>
      <c r="H180" s="101">
        <v>474.33720274437923</v>
      </c>
      <c r="I180" s="101">
        <v>474.24731453364262</v>
      </c>
      <c r="J180" s="101">
        <v>474.14236199119489</v>
      </c>
      <c r="K180" s="101">
        <v>473.97029491176869</v>
      </c>
      <c r="L180" s="101">
        <v>473.81522965263542</v>
      </c>
      <c r="M180" s="101">
        <v>473.60472194634787</v>
      </c>
      <c r="N180" s="101">
        <v>472.6401926568106</v>
      </c>
      <c r="O180" s="101">
        <v>472.15727013889142</v>
      </c>
      <c r="P180" s="101">
        <v>471.5371941573689</v>
      </c>
      <c r="Q180" s="101">
        <v>470.76369819027417</v>
      </c>
      <c r="R180" s="101">
        <v>470.74512180450716</v>
      </c>
      <c r="S180" s="101">
        <v>467.69702463692659</v>
      </c>
      <c r="T180" s="101">
        <v>467.66179695457009</v>
      </c>
      <c r="U180" s="101">
        <v>447.10968981159664</v>
      </c>
      <c r="V180" s="101">
        <v>420.45420594897672</v>
      </c>
      <c r="W180" s="101">
        <v>408.88373583346788</v>
      </c>
      <c r="X180" s="101">
        <v>397.2578753609078</v>
      </c>
      <c r="Y180" s="101">
        <v>385.19887385347994</v>
      </c>
      <c r="DA180" s="175" t="s">
        <v>919</v>
      </c>
    </row>
    <row r="181" spans="1:105" ht="11.45" customHeight="1" x14ac:dyDescent="0.25">
      <c r="A181" s="111" t="s">
        <v>111</v>
      </c>
      <c r="B181" s="101">
        <v>1619.577352854672</v>
      </c>
      <c r="C181" s="101">
        <v>1594.9014642916461</v>
      </c>
      <c r="D181" s="101">
        <v>1582.6330023555599</v>
      </c>
      <c r="E181" s="101">
        <v>1572.5977776829186</v>
      </c>
      <c r="F181" s="101">
        <v>1563.1900313242679</v>
      </c>
      <c r="G181" s="101">
        <v>1552.8085403496764</v>
      </c>
      <c r="H181" s="101">
        <v>1542.0466147640266</v>
      </c>
      <c r="I181" s="101">
        <v>1531.3846923147805</v>
      </c>
      <c r="J181" s="101">
        <v>1515.4354232526578</v>
      </c>
      <c r="K181" s="101">
        <v>1495.1024342075452</v>
      </c>
      <c r="L181" s="101">
        <v>1480.7437817461846</v>
      </c>
      <c r="M181" s="101">
        <v>1470.3544529777421</v>
      </c>
      <c r="N181" s="101">
        <v>1458.3000986741997</v>
      </c>
      <c r="O181" s="101">
        <v>1438.4783711364801</v>
      </c>
      <c r="P181" s="101">
        <v>1424.5905951607422</v>
      </c>
      <c r="Q181" s="101">
        <v>1410.545267425809</v>
      </c>
      <c r="R181" s="101">
        <v>1397.4840295347947</v>
      </c>
      <c r="S181" s="101">
        <v>1383.6281428302837</v>
      </c>
      <c r="T181" s="101">
        <v>1367.8822419177293</v>
      </c>
      <c r="U181" s="101">
        <v>1349.5551427334074</v>
      </c>
      <c r="V181" s="101">
        <v>1325.2006805118019</v>
      </c>
      <c r="W181" s="101">
        <v>1298.8415164965509</v>
      </c>
      <c r="X181" s="101">
        <v>1270.0006853819825</v>
      </c>
      <c r="Y181" s="101">
        <v>1234.9579292950909</v>
      </c>
      <c r="DA181" s="175" t="s">
        <v>920</v>
      </c>
    </row>
    <row r="182" spans="1:105" ht="11.45" customHeight="1" x14ac:dyDescent="0.25">
      <c r="A182" s="111" t="s">
        <v>112</v>
      </c>
      <c r="B182" s="101">
        <v>1132.0557917302392</v>
      </c>
      <c r="C182" s="101">
        <v>1088.7837677926566</v>
      </c>
      <c r="D182" s="101">
        <v>1087.8795539276973</v>
      </c>
      <c r="E182" s="101">
        <v>1083.6710720590811</v>
      </c>
      <c r="F182" s="101">
        <v>1081.0526737150806</v>
      </c>
      <c r="G182" s="101">
        <v>1076.8834116645144</v>
      </c>
      <c r="H182" s="101">
        <v>1066.9154445545578</v>
      </c>
      <c r="I182" s="101">
        <v>1050.3687457334568</v>
      </c>
      <c r="J182" s="101">
        <v>1047.8176358743237</v>
      </c>
      <c r="K182" s="101">
        <v>1043.8409111400399</v>
      </c>
      <c r="L182" s="101">
        <v>1042.6511009859198</v>
      </c>
      <c r="M182" s="101">
        <v>1038.8615561351485</v>
      </c>
      <c r="N182" s="101">
        <v>1033.7580701073828</v>
      </c>
      <c r="O182" s="101">
        <v>1031.7207217261148</v>
      </c>
      <c r="P182" s="101">
        <v>1027.532120185849</v>
      </c>
      <c r="Q182" s="101">
        <v>1022.5895086428856</v>
      </c>
      <c r="R182" s="101">
        <v>1022.7227740681529</v>
      </c>
      <c r="S182" s="101">
        <v>1022.6182784155095</v>
      </c>
      <c r="T182" s="101">
        <v>1020.7419146079638</v>
      </c>
      <c r="U182" s="101">
        <v>1020.5418935018477</v>
      </c>
      <c r="V182" s="101">
        <v>1019.3282513004665</v>
      </c>
      <c r="W182" s="101">
        <v>1018.883813824409</v>
      </c>
      <c r="X182" s="101">
        <v>1017.953816541074</v>
      </c>
      <c r="Y182" s="101">
        <v>1016.6921396026473</v>
      </c>
      <c r="DA182" s="175" t="s">
        <v>921</v>
      </c>
    </row>
    <row r="183" spans="1:105" ht="11.45" customHeight="1" x14ac:dyDescent="0.25">
      <c r="A183" s="111" t="s">
        <v>113</v>
      </c>
      <c r="B183" s="101">
        <v>1021.7981274757883</v>
      </c>
      <c r="C183" s="101">
        <v>931.13295084325875</v>
      </c>
      <c r="D183" s="101">
        <v>930.68279486101233</v>
      </c>
      <c r="E183" s="101">
        <v>929.49909289648429</v>
      </c>
      <c r="F183" s="101">
        <v>928.81789801172545</v>
      </c>
      <c r="G183" s="101">
        <v>927.53157232472631</v>
      </c>
      <c r="H183" s="101">
        <v>925.50909095870713</v>
      </c>
      <c r="I183" s="101">
        <v>923.32970798359008</v>
      </c>
      <c r="J183" s="101">
        <v>918.00930380645013</v>
      </c>
      <c r="K183" s="101">
        <v>917.69840830978092</v>
      </c>
      <c r="L183" s="101">
        <v>917.49159930808594</v>
      </c>
      <c r="M183" s="101">
        <v>888.11614114081169</v>
      </c>
      <c r="N183" s="101">
        <v>884.88465268340269</v>
      </c>
      <c r="O183" s="101">
        <v>876.89274194900963</v>
      </c>
      <c r="P183" s="101">
        <v>874.18992279348288</v>
      </c>
      <c r="Q183" s="101">
        <v>872.25978508226319</v>
      </c>
      <c r="R183" s="101">
        <v>871.6562869452182</v>
      </c>
      <c r="S183" s="101">
        <v>867.381816269247</v>
      </c>
      <c r="T183" s="101">
        <v>860.60868602970572</v>
      </c>
      <c r="U183" s="101">
        <v>852.08577880642497</v>
      </c>
      <c r="V183" s="101">
        <v>845.30116241353062</v>
      </c>
      <c r="W183" s="101">
        <v>840.41143772931105</v>
      </c>
      <c r="X183" s="101">
        <v>837.51545774306771</v>
      </c>
      <c r="Y183" s="101">
        <v>835.2033965324365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296.87967724948521</v>
      </c>
      <c r="C186" s="152">
        <v>291.43089734817215</v>
      </c>
      <c r="D186" s="152">
        <v>288.13063364674099</v>
      </c>
      <c r="E186" s="152">
        <v>285.85495216063663</v>
      </c>
      <c r="F186" s="152">
        <v>282.34675398178655</v>
      </c>
      <c r="G186" s="152">
        <v>281.13538971549804</v>
      </c>
      <c r="H186" s="152">
        <v>277.72065315941757</v>
      </c>
      <c r="I186" s="152">
        <v>277.86471023344677</v>
      </c>
      <c r="J186" s="152">
        <v>265.93376716173265</v>
      </c>
      <c r="K186" s="152">
        <v>258.45959746734127</v>
      </c>
      <c r="L186" s="152">
        <v>235.79391791425545</v>
      </c>
      <c r="M186" s="152">
        <v>230.34404447359321</v>
      </c>
      <c r="N186" s="152">
        <v>241.37950024984445</v>
      </c>
      <c r="O186" s="152">
        <v>237.69181469419473</v>
      </c>
      <c r="P186" s="152">
        <v>235.01067402949323</v>
      </c>
      <c r="Q186" s="152">
        <v>233.84176458880466</v>
      </c>
      <c r="R186" s="152">
        <v>234.02398196169696</v>
      </c>
      <c r="S186" s="152">
        <v>229.22539063930515</v>
      </c>
      <c r="T186" s="152">
        <v>227.91249988945563</v>
      </c>
      <c r="U186" s="152">
        <v>223.07177523808278</v>
      </c>
      <c r="V186" s="152">
        <v>219.59561552877355</v>
      </c>
      <c r="W186" s="152">
        <v>215.48369692642785</v>
      </c>
      <c r="X186" s="152">
        <v>218.87830229616128</v>
      </c>
      <c r="Y186" s="152">
        <v>207.08121928544656</v>
      </c>
      <c r="DA186" s="174" t="s">
        <v>924</v>
      </c>
    </row>
    <row r="187" spans="1:105" ht="11.45" customHeight="1" x14ac:dyDescent="0.25">
      <c r="A187" s="111" t="s">
        <v>110</v>
      </c>
      <c r="B187" s="87">
        <v>300.65705494066367</v>
      </c>
      <c r="C187" s="87">
        <v>298.39623137439827</v>
      </c>
      <c r="D187" s="87">
        <v>297.16842660918491</v>
      </c>
      <c r="E187" s="87">
        <v>295.58560453207735</v>
      </c>
      <c r="F187" s="87">
        <v>293.48027922422307</v>
      </c>
      <c r="G187" s="87">
        <v>291.23713214721494</v>
      </c>
      <c r="H187" s="87">
        <v>288.81744597029967</v>
      </c>
      <c r="I187" s="87">
        <v>286.46823211709943</v>
      </c>
      <c r="J187" s="87">
        <v>284.76423302542838</v>
      </c>
      <c r="K187" s="87">
        <v>282.32071354253731</v>
      </c>
      <c r="L187" s="87">
        <v>277.90095514137352</v>
      </c>
      <c r="M187" s="87">
        <v>272.908030007381</v>
      </c>
      <c r="N187" s="87">
        <v>267.09807815852866</v>
      </c>
      <c r="O187" s="87">
        <v>260.09218064487504</v>
      </c>
      <c r="P187" s="87">
        <v>257.00585168881088</v>
      </c>
      <c r="Q187" s="87">
        <v>253.58139865789605</v>
      </c>
      <c r="R187" s="87">
        <v>250.32584910735466</v>
      </c>
      <c r="S187" s="87">
        <v>245.85614440175374</v>
      </c>
      <c r="T187" s="87">
        <v>240.23828862762244</v>
      </c>
      <c r="U187" s="87">
        <v>233.61488716962288</v>
      </c>
      <c r="V187" s="87">
        <v>228.66198687602812</v>
      </c>
      <c r="W187" s="87">
        <v>227.3037916508635</v>
      </c>
      <c r="X187" s="87">
        <v>222.88705369206292</v>
      </c>
      <c r="Y187" s="87">
        <v>214.24710482989062</v>
      </c>
      <c r="DA187" s="171" t="s">
        <v>925</v>
      </c>
    </row>
    <row r="188" spans="1:105" ht="11.45" customHeight="1" x14ac:dyDescent="0.25">
      <c r="A188" s="111" t="s">
        <v>111</v>
      </c>
      <c r="B188" s="87">
        <v>302.41216785484437</v>
      </c>
      <c r="C188" s="87">
        <v>296.18203943222142</v>
      </c>
      <c r="D188" s="87">
        <v>293.20033744398552</v>
      </c>
      <c r="E188" s="87">
        <v>290.344936262472</v>
      </c>
      <c r="F188" s="87">
        <v>287.07516461884416</v>
      </c>
      <c r="G188" s="87">
        <v>283.95414521205907</v>
      </c>
      <c r="H188" s="87">
        <v>280.64826382347172</v>
      </c>
      <c r="I188" s="87">
        <v>277.34308315453097</v>
      </c>
      <c r="J188" s="87">
        <v>273.54828719635753</v>
      </c>
      <c r="K188" s="87">
        <v>269.45004576940363</v>
      </c>
      <c r="L188" s="87">
        <v>266.85751516296318</v>
      </c>
      <c r="M188" s="87">
        <v>264.25917263902863</v>
      </c>
      <c r="N188" s="87">
        <v>260.00569482498548</v>
      </c>
      <c r="O188" s="87">
        <v>253.5036831915744</v>
      </c>
      <c r="P188" s="87">
        <v>246.17820017928472</v>
      </c>
      <c r="Q188" s="87">
        <v>240.21241274145208</v>
      </c>
      <c r="R188" s="87">
        <v>234.93391365179491</v>
      </c>
      <c r="S188" s="87">
        <v>229.40302261556963</v>
      </c>
      <c r="T188" s="87">
        <v>225.03864812606037</v>
      </c>
      <c r="U188" s="87">
        <v>219.67069082426718</v>
      </c>
      <c r="V188" s="87">
        <v>217.02568405189788</v>
      </c>
      <c r="W188" s="87">
        <v>214.34760203573654</v>
      </c>
      <c r="X188" s="87">
        <v>210.48708418433984</v>
      </c>
      <c r="Y188" s="87">
        <v>206.83475411513811</v>
      </c>
      <c r="DA188" s="171" t="s">
        <v>926</v>
      </c>
    </row>
    <row r="189" spans="1:105" ht="11.45" customHeight="1" x14ac:dyDescent="0.25">
      <c r="A189" s="111" t="s">
        <v>112</v>
      </c>
      <c r="B189" s="87">
        <v>295.85485846126107</v>
      </c>
      <c r="C189" s="87">
        <v>286.89168279588722</v>
      </c>
      <c r="D189" s="87">
        <v>284.29208501701129</v>
      </c>
      <c r="E189" s="87">
        <v>281.82196472366797</v>
      </c>
      <c r="F189" s="87">
        <v>279.16582010957768</v>
      </c>
      <c r="G189" s="87">
        <v>276.97321692026935</v>
      </c>
      <c r="H189" s="87">
        <v>274.38668864031592</v>
      </c>
      <c r="I189" s="87">
        <v>270.48085982364023</v>
      </c>
      <c r="J189" s="87">
        <v>268.91015292350829</v>
      </c>
      <c r="K189" s="87">
        <v>265.6353129996167</v>
      </c>
      <c r="L189" s="87">
        <v>265.17885239529579</v>
      </c>
      <c r="M189" s="87">
        <v>264.64720373630513</v>
      </c>
      <c r="N189" s="87">
        <v>263.95607325789672</v>
      </c>
      <c r="O189" s="87">
        <v>263.18408416992634</v>
      </c>
      <c r="P189" s="87">
        <v>262.37760595560866</v>
      </c>
      <c r="Q189" s="87">
        <v>261.71961372777815</v>
      </c>
      <c r="R189" s="87">
        <v>261.26571253976988</v>
      </c>
      <c r="S189" s="87">
        <v>260.57710341725021</v>
      </c>
      <c r="T189" s="87">
        <v>258.96664351636593</v>
      </c>
      <c r="U189" s="87">
        <v>257.97338183897659</v>
      </c>
      <c r="V189" s="87">
        <v>206.19291406043789</v>
      </c>
      <c r="W189" s="87">
        <v>205.18068998376927</v>
      </c>
      <c r="X189" s="87">
        <v>201.38131287119708</v>
      </c>
      <c r="Y189" s="87">
        <v>195.41159092331853</v>
      </c>
      <c r="DA189" s="171" t="s">
        <v>927</v>
      </c>
    </row>
    <row r="190" spans="1:105" ht="11.45" customHeight="1" x14ac:dyDescent="0.25">
      <c r="A190" s="111" t="s">
        <v>113</v>
      </c>
      <c r="B190" s="87">
        <v>246.58481113563082</v>
      </c>
      <c r="C190" s="87">
        <v>246.47289427174303</v>
      </c>
      <c r="D190" s="87">
        <v>246.06977626231398</v>
      </c>
      <c r="E190" s="87">
        <v>239.22567383238359</v>
      </c>
      <c r="F190" s="87">
        <v>238.74281821479582</v>
      </c>
      <c r="G190" s="87">
        <v>238.39791473440258</v>
      </c>
      <c r="H190" s="87">
        <v>228.96955802612592</v>
      </c>
      <c r="I190" s="87">
        <v>227.87228112433084</v>
      </c>
      <c r="J190" s="87">
        <v>225.83247291432227</v>
      </c>
      <c r="K190" s="87">
        <v>215.95720329724472</v>
      </c>
      <c r="L190" s="87">
        <v>202.93263438127812</v>
      </c>
      <c r="M190" s="87">
        <v>194.08498188866164</v>
      </c>
      <c r="N190" s="87">
        <v>185.79893021558303</v>
      </c>
      <c r="O190" s="87">
        <v>177.12423672006656</v>
      </c>
      <c r="P190" s="87">
        <v>172.15904850339851</v>
      </c>
      <c r="Q190" s="87">
        <v>169.67229953835883</v>
      </c>
      <c r="R190" s="87">
        <v>171.38438235169104</v>
      </c>
      <c r="S190" s="87">
        <v>173.7371073561643</v>
      </c>
      <c r="T190" s="87">
        <v>180.72626135488682</v>
      </c>
      <c r="U190" s="87">
        <v>182.1987833805276</v>
      </c>
      <c r="V190" s="87">
        <v>180.51300798265913</v>
      </c>
      <c r="W190" s="87">
        <v>185.84592115913378</v>
      </c>
      <c r="X190" s="87">
        <v>185.96274971773144</v>
      </c>
      <c r="Y190" s="87">
        <v>184.65668242782988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1093.0981623117839</v>
      </c>
      <c r="C192" s="116">
        <v>1084.6947877983116</v>
      </c>
      <c r="D192" s="116">
        <v>1076.9664431746662</v>
      </c>
      <c r="E192" s="116">
        <v>1069.7383216209448</v>
      </c>
      <c r="F192" s="116">
        <v>1060.4674651462901</v>
      </c>
      <c r="G192" s="116">
        <v>1050.3429437803718</v>
      </c>
      <c r="H192" s="116">
        <v>1039.9667031663078</v>
      </c>
      <c r="I192" s="116">
        <v>1029.0277092124893</v>
      </c>
      <c r="J192" s="116">
        <v>1017.3027904515202</v>
      </c>
      <c r="K192" s="116">
        <v>1009.388178216689</v>
      </c>
      <c r="L192" s="116">
        <v>1001.4594673859634</v>
      </c>
      <c r="M192" s="116">
        <v>987.66147090726383</v>
      </c>
      <c r="N192" s="116">
        <v>972.718107901341</v>
      </c>
      <c r="O192" s="116">
        <v>956.01833751483821</v>
      </c>
      <c r="P192" s="116">
        <v>942.30949704360478</v>
      </c>
      <c r="Q192" s="116">
        <v>925.42345462187393</v>
      </c>
      <c r="R192" s="116">
        <v>904.38626843198904</v>
      </c>
      <c r="S192" s="116">
        <v>879.73997617686598</v>
      </c>
      <c r="T192" s="116">
        <v>854.93273298120562</v>
      </c>
      <c r="U192" s="116">
        <v>827.11569627635538</v>
      </c>
      <c r="V192" s="116">
        <v>810.38659313950393</v>
      </c>
      <c r="W192" s="116">
        <v>792.1323576914283</v>
      </c>
      <c r="X192" s="116">
        <v>771.14138271978163</v>
      </c>
      <c r="Y192" s="116">
        <v>756.6294185302994</v>
      </c>
      <c r="DA192" s="176" t="s">
        <v>930</v>
      </c>
    </row>
    <row r="193" spans="1:105" ht="11.45" customHeight="1" x14ac:dyDescent="0.25">
      <c r="A193" s="128" t="s">
        <v>27</v>
      </c>
      <c r="B193" s="101">
        <v>1015.5082074349177</v>
      </c>
      <c r="C193" s="101">
        <v>1007.8369276363254</v>
      </c>
      <c r="D193" s="101">
        <v>1000.7676123367703</v>
      </c>
      <c r="E193" s="101">
        <v>994.10603216835011</v>
      </c>
      <c r="F193" s="101">
        <v>986.37722666277875</v>
      </c>
      <c r="G193" s="101">
        <v>976.66277522433393</v>
      </c>
      <c r="H193" s="101">
        <v>966.76623809262151</v>
      </c>
      <c r="I193" s="101">
        <v>956.3819353175528</v>
      </c>
      <c r="J193" s="101">
        <v>945.05585485441645</v>
      </c>
      <c r="K193" s="101">
        <v>938.06615717329555</v>
      </c>
      <c r="L193" s="101">
        <v>931.82401132689108</v>
      </c>
      <c r="M193" s="101">
        <v>918.51015140049515</v>
      </c>
      <c r="N193" s="101">
        <v>904.40494696841142</v>
      </c>
      <c r="O193" s="101">
        <v>889.18778540751475</v>
      </c>
      <c r="P193" s="101">
        <v>876.56219568233598</v>
      </c>
      <c r="Q193" s="101">
        <v>860.11051015291525</v>
      </c>
      <c r="R193" s="101">
        <v>839.55988051875136</v>
      </c>
      <c r="S193" s="101">
        <v>815.1661901776605</v>
      </c>
      <c r="T193" s="101">
        <v>789.86613113514863</v>
      </c>
      <c r="U193" s="101">
        <v>762.02166322279697</v>
      </c>
      <c r="V193" s="101">
        <v>745.74469375408432</v>
      </c>
      <c r="W193" s="101">
        <v>728.42249479902739</v>
      </c>
      <c r="X193" s="101">
        <v>707.12333780343681</v>
      </c>
      <c r="Y193" s="101">
        <v>693.26502407063094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1055.3625942190622</v>
      </c>
      <c r="D194" s="88">
        <v>1046.0682490401307</v>
      </c>
      <c r="E194" s="88">
        <v>1038.5807468896821</v>
      </c>
      <c r="F194" s="88">
        <v>1019.4749100666442</v>
      </c>
      <c r="G194" s="88">
        <v>1010.74118450397</v>
      </c>
      <c r="H194" s="88">
        <v>1001.6889939264746</v>
      </c>
      <c r="I194" s="88">
        <v>992.15407247355847</v>
      </c>
      <c r="J194" s="88">
        <v>984.73090336623159</v>
      </c>
      <c r="K194" s="88">
        <v>979.62975470662502</v>
      </c>
      <c r="L194" s="88">
        <v>965.8803476077544</v>
      </c>
      <c r="M194" s="88">
        <v>956.88024370657422</v>
      </c>
      <c r="N194" s="88">
        <v>943.85137736918762</v>
      </c>
      <c r="O194" s="88">
        <v>923.55057366108122</v>
      </c>
      <c r="P194" s="88">
        <v>909.46029062221248</v>
      </c>
      <c r="Q194" s="88">
        <v>896.41950852484717</v>
      </c>
      <c r="R194" s="88">
        <v>879.71540314737126</v>
      </c>
      <c r="S194" s="88">
        <v>861.62816467799394</v>
      </c>
      <c r="T194" s="88">
        <v>850.29060288992582</v>
      </c>
      <c r="U194" s="88">
        <v>831.95235078326039</v>
      </c>
      <c r="V194" s="88">
        <v>820.9689191449794</v>
      </c>
      <c r="W194" s="88">
        <v>801.21327189480223</v>
      </c>
      <c r="X194" s="88">
        <v>789.98967632636925</v>
      </c>
      <c r="Y194" s="88">
        <v>779.71239242981346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1.0680867516430301</v>
      </c>
      <c r="C198" s="150">
        <f>IF(TrRoad_act!C59=0,0,TrRoad_emi!C56/TrRoad_tech!C171)</f>
        <v>1.0685592936036028</v>
      </c>
      <c r="D198" s="150">
        <f>IF(TrRoad_act!D59=0,0,TrRoad_emi!D56/TrRoad_tech!D171)</f>
        <v>1.0685768418020527</v>
      </c>
      <c r="E198" s="150">
        <f>IF(TrRoad_act!E59=0,0,TrRoad_emi!E56/TrRoad_tech!E171)</f>
        <v>1.0698671831902693</v>
      </c>
      <c r="F198" s="150">
        <f>IF(TrRoad_act!F59=0,0,TrRoad_emi!F56/TrRoad_tech!F171)</f>
        <v>1.0707434493631565</v>
      </c>
      <c r="G198" s="150">
        <f>IF(TrRoad_act!G59=0,0,TrRoad_emi!G56/TrRoad_tech!G171)</f>
        <v>1.0678211465900871</v>
      </c>
      <c r="H198" s="150">
        <f>IF(TrRoad_act!H59=0,0,TrRoad_emi!H56/TrRoad_tech!H171)</f>
        <v>1.0657424104443882</v>
      </c>
      <c r="I198" s="150">
        <f>IF(TrRoad_act!I59=0,0,TrRoad_emi!I56/TrRoad_tech!I171)</f>
        <v>1.0537028656576959</v>
      </c>
      <c r="J198" s="150">
        <f>IF(TrRoad_act!J59=0,0,TrRoad_emi!J56/TrRoad_tech!J171)</f>
        <v>1.0340577737714896</v>
      </c>
      <c r="K198" s="150">
        <f>IF(TrRoad_act!K59=0,0,TrRoad_emi!K56/TrRoad_tech!K171)</f>
        <v>1.0397032871995144</v>
      </c>
      <c r="L198" s="150">
        <f>IF(TrRoad_act!L59=0,0,TrRoad_emi!L56/TrRoad_tech!L171)</f>
        <v>1.0398768722458198</v>
      </c>
      <c r="M198" s="150">
        <f>IF(TrRoad_act!M59=0,0,TrRoad_emi!M56/TrRoad_tech!M171)</f>
        <v>1.0469028627850463</v>
      </c>
      <c r="N198" s="150">
        <f>IF(TrRoad_act!N59=0,0,TrRoad_emi!N56/TrRoad_tech!N171)</f>
        <v>1.0466257155952357</v>
      </c>
      <c r="O198" s="150">
        <f>IF(TrRoad_act!O59=0,0,TrRoad_emi!O56/TrRoad_tech!O171)</f>
        <v>1.0512070296578302</v>
      </c>
      <c r="P198" s="150">
        <f>IF(TrRoad_act!P59=0,0,TrRoad_emi!P56/TrRoad_tech!P171)</f>
        <v>1.0536845256578893</v>
      </c>
      <c r="Q198" s="150">
        <f>IF(TrRoad_act!Q59=0,0,TrRoad_emi!Q56/TrRoad_tech!Q171)</f>
        <v>1.0584578235215378</v>
      </c>
      <c r="R198" s="150">
        <f>IF(TrRoad_act!R59=0,0,TrRoad_emi!R56/TrRoad_tech!R171)</f>
        <v>1.0614866058395687</v>
      </c>
      <c r="S198" s="150">
        <f>IF(TrRoad_act!S59=0,0,TrRoad_emi!S56/TrRoad_tech!S171)</f>
        <v>1.0623859116531404</v>
      </c>
      <c r="T198" s="150">
        <f>IF(TrRoad_act!T59=0,0,TrRoad_emi!T56/TrRoad_tech!T171)</f>
        <v>1.1218392581553724</v>
      </c>
      <c r="U198" s="150">
        <f>IF(TrRoad_act!U59=0,0,TrRoad_emi!U56/TrRoad_tech!U171)</f>
        <v>1.0738086346842566</v>
      </c>
      <c r="V198" s="150">
        <f>IF(TrRoad_act!V59=0,0,TrRoad_emi!V56/TrRoad_tech!V171)</f>
        <v>1.0888031075752203</v>
      </c>
      <c r="W198" s="150">
        <f>IF(TrRoad_act!W59=0,0,TrRoad_emi!W56/TrRoad_tech!W171)</f>
        <v>1.1058802506117063</v>
      </c>
      <c r="X198" s="150">
        <f>IF(TrRoad_act!X59=0,0,TrRoad_emi!X56/TrRoad_tech!X171)</f>
        <v>1.1647616466638095</v>
      </c>
      <c r="Y198" s="150">
        <f>IF(TrRoad_act!Y59=0,0,TrRoad_emi!Y56/TrRoad_tech!Y171)</f>
        <v>1.1454300293563306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1.0483133570656848</v>
      </c>
      <c r="C199" s="151">
        <f>IF(TrRoad_act!C60=0,0,TrRoad_emi!C57/TrRoad_tech!C172)</f>
        <v>1.0330414612510836</v>
      </c>
      <c r="D199" s="151">
        <f>IF(TrRoad_act!D60=0,0,TrRoad_emi!D57/TrRoad_tech!D172)</f>
        <v>1.0213921079671291</v>
      </c>
      <c r="E199" s="151">
        <f>IF(TrRoad_act!E60=0,0,TrRoad_emi!E57/TrRoad_tech!E172)</f>
        <v>1.0078561782955515</v>
      </c>
      <c r="F199" s="151">
        <f>IF(TrRoad_act!F60=0,0,TrRoad_emi!F57/TrRoad_tech!F172)</f>
        <v>0.99498962995063056</v>
      </c>
      <c r="G199" s="151">
        <f>IF(TrRoad_act!G60=0,0,TrRoad_emi!G57/TrRoad_tech!G172)</f>
        <v>0.98789881270047641</v>
      </c>
      <c r="H199" s="151">
        <f>IF(TrRoad_act!H60=0,0,TrRoad_emi!H57/TrRoad_tech!H172)</f>
        <v>0.97976144280119692</v>
      </c>
      <c r="I199" s="151">
        <f>IF(TrRoad_act!I60=0,0,TrRoad_emi!I57/TrRoad_tech!I172)</f>
        <v>0.96003062332716038</v>
      </c>
      <c r="J199" s="151">
        <f>IF(TrRoad_act!J60=0,0,TrRoad_emi!J57/TrRoad_tech!J172)</f>
        <v>0.94338775176564205</v>
      </c>
      <c r="K199" s="151">
        <f>IF(TrRoad_act!K60=0,0,TrRoad_emi!K57/TrRoad_tech!K172)</f>
        <v>0.95781170249067327</v>
      </c>
      <c r="L199" s="151">
        <f>IF(TrRoad_act!L60=0,0,TrRoad_emi!L57/TrRoad_tech!L172)</f>
        <v>0.9591955479648252</v>
      </c>
      <c r="M199" s="151">
        <f>IF(TrRoad_act!M60=0,0,TrRoad_emi!M57/TrRoad_tech!M172)</f>
        <v>0.97473474082640732</v>
      </c>
      <c r="N199" s="151">
        <f>IF(TrRoad_act!N60=0,0,TrRoad_emi!N57/TrRoad_tech!N172)</f>
        <v>0.97826277420441365</v>
      </c>
      <c r="O199" s="151">
        <f>IF(TrRoad_act!O60=0,0,TrRoad_emi!O57/TrRoad_tech!O172)</f>
        <v>0.98275468361759621</v>
      </c>
      <c r="P199" s="151">
        <f>IF(TrRoad_act!P60=0,0,TrRoad_emi!P57/TrRoad_tech!P172)</f>
        <v>0.98253044394677258</v>
      </c>
      <c r="Q199" s="151">
        <f>IF(TrRoad_act!Q60=0,0,TrRoad_emi!Q57/TrRoad_tech!Q172)</f>
        <v>0.99310562606005581</v>
      </c>
      <c r="R199" s="151">
        <f>IF(TrRoad_act!R60=0,0,TrRoad_emi!R57/TrRoad_tech!R172)</f>
        <v>0.9959033522917532</v>
      </c>
      <c r="S199" s="151">
        <f>IF(TrRoad_act!S60=0,0,TrRoad_emi!S57/TrRoad_tech!S172)</f>
        <v>0.99736247448221882</v>
      </c>
      <c r="T199" s="151">
        <f>IF(TrRoad_act!T60=0,0,TrRoad_emi!T57/TrRoad_tech!T172)</f>
        <v>1.0077583112185888</v>
      </c>
      <c r="U199" s="151">
        <f>IF(TrRoad_act!U60=0,0,TrRoad_emi!U57/TrRoad_tech!U172)</f>
        <v>1.0063316296846108</v>
      </c>
      <c r="V199" s="151">
        <f>IF(TrRoad_act!V60=0,0,TrRoad_emi!V57/TrRoad_tech!V172)</f>
        <v>1.0405126530271127</v>
      </c>
      <c r="W199" s="151">
        <f>IF(TrRoad_act!W60=0,0,TrRoad_emi!W57/TrRoad_tech!W172)</f>
        <v>1.0825646328919143</v>
      </c>
      <c r="X199" s="151">
        <f>IF(TrRoad_act!X60=0,0,TrRoad_emi!X57/TrRoad_tech!X172)</f>
        <v>1.0863454037449214</v>
      </c>
      <c r="Y199" s="151">
        <f>IF(TrRoad_act!Y60=0,0,TrRoad_emi!Y57/TrRoad_tech!Y172)</f>
        <v>1.0683614045103342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1.023550957159697</v>
      </c>
      <c r="C200" s="91">
        <f>IF(TrRoad_act!C61=0,0,TrRoad_emi!C58/TrRoad_tech!C173)</f>
        <v>1.0238818520650261</v>
      </c>
      <c r="D200" s="91">
        <f>IF(TrRoad_act!D61=0,0,TrRoad_emi!D58/TrRoad_tech!D173)</f>
        <v>1.023618931727506</v>
      </c>
      <c r="E200" s="91">
        <f>IF(TrRoad_act!E61=0,0,TrRoad_emi!E58/TrRoad_tech!E173)</f>
        <v>1.0242326486148916</v>
      </c>
      <c r="F200" s="91">
        <f>IF(TrRoad_act!F61=0,0,TrRoad_emi!F58/TrRoad_tech!F173)</f>
        <v>1.0239661982434531</v>
      </c>
      <c r="G200" s="91">
        <f>IF(TrRoad_act!G61=0,0,TrRoad_emi!G58/TrRoad_tech!G173)</f>
        <v>1.0195413895141645</v>
      </c>
      <c r="H200" s="91">
        <f>IF(TrRoad_act!H61=0,0,TrRoad_emi!H58/TrRoad_tech!H173)</f>
        <v>1.0152102187043213</v>
      </c>
      <c r="I200" s="91">
        <f>IF(TrRoad_act!I61=0,0,TrRoad_emi!I58/TrRoad_tech!I173)</f>
        <v>1.0008490097946596</v>
      </c>
      <c r="J200" s="91">
        <f>IF(TrRoad_act!J61=0,0,TrRoad_emi!J58/TrRoad_tech!J173)</f>
        <v>0.97999563073935048</v>
      </c>
      <c r="K200" s="91">
        <f>IF(TrRoad_act!K61=0,0,TrRoad_emi!K58/TrRoad_tech!K173)</f>
        <v>0.98389917051594522</v>
      </c>
      <c r="L200" s="91">
        <f>IF(TrRoad_act!L61=0,0,TrRoad_emi!L58/TrRoad_tech!L173)</f>
        <v>0.98079788343394447</v>
      </c>
      <c r="M200" s="91">
        <f>IF(TrRoad_act!M61=0,0,TrRoad_emi!M58/TrRoad_tech!M173)</f>
        <v>0.98367697482876881</v>
      </c>
      <c r="N200" s="91">
        <f>IF(TrRoad_act!N61=0,0,TrRoad_emi!N58/TrRoad_tech!N173)</f>
        <v>0.97981351057137578</v>
      </c>
      <c r="O200" s="91">
        <f>IF(TrRoad_act!O61=0,0,TrRoad_emi!O58/TrRoad_tech!O173)</f>
        <v>0.98088977982110015</v>
      </c>
      <c r="P200" s="91">
        <f>IF(TrRoad_act!P61=0,0,TrRoad_emi!P58/TrRoad_tech!P173)</f>
        <v>0.98034572343544446</v>
      </c>
      <c r="Q200" s="91">
        <f>IF(TrRoad_act!Q61=0,0,TrRoad_emi!Q58/TrRoad_tech!Q173)</f>
        <v>0.9818300915041176</v>
      </c>
      <c r="R200" s="91">
        <f>IF(TrRoad_act!R61=0,0,TrRoad_emi!R58/TrRoad_tech!R173)</f>
        <v>0.98221202903439242</v>
      </c>
      <c r="S200" s="91">
        <f>IF(TrRoad_act!S61=0,0,TrRoad_emi!S58/TrRoad_tech!S173)</f>
        <v>0.9799020666424576</v>
      </c>
      <c r="T200" s="91">
        <f>IF(TrRoad_act!T61=0,0,TrRoad_emi!T58/TrRoad_tech!T173)</f>
        <v>0.98163308619974121</v>
      </c>
      <c r="U200" s="91">
        <f>IF(TrRoad_act!U61=0,0,TrRoad_emi!U58/TrRoad_tech!U173)</f>
        <v>0.98355279784431116</v>
      </c>
      <c r="V200" s="91">
        <f>IF(TrRoad_act!V61=0,0,TrRoad_emi!V58/TrRoad_tech!V173)</f>
        <v>0.98752381455485838</v>
      </c>
      <c r="W200" s="91">
        <f>IF(TrRoad_act!W61=0,0,TrRoad_emi!W58/TrRoad_tech!W173)</f>
        <v>0.98410322974864406</v>
      </c>
      <c r="X200" s="91">
        <f>IF(TrRoad_act!X61=0,0,TrRoad_emi!X58/TrRoad_tech!X173)</f>
        <v>0.97533162113279914</v>
      </c>
      <c r="Y200" s="91">
        <f>IF(TrRoad_act!Y61=0,0,TrRoad_emi!Y58/TrRoad_tech!Y173)</f>
        <v>0.97954827804570666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1.1025964071309831</v>
      </c>
      <c r="C201" s="91">
        <f>IF(TrRoad_act!C62=0,0,TrRoad_emi!C59/TrRoad_tech!C174)</f>
        <v>1.0802444793933914</v>
      </c>
      <c r="D201" s="91">
        <f>IF(TrRoad_act!D62=0,0,TrRoad_emi!D59/TrRoad_tech!D174)</f>
        <v>1.0695039206058423</v>
      </c>
      <c r="E201" s="91">
        <f>IF(TrRoad_act!E62=0,0,TrRoad_emi!E59/TrRoad_tech!E174)</f>
        <v>1.0489638970993609</v>
      </c>
      <c r="F201" s="91">
        <f>IF(TrRoad_act!F62=0,0,TrRoad_emi!F59/TrRoad_tech!F174)</f>
        <v>1.0289834575043328</v>
      </c>
      <c r="G201" s="91">
        <f>IF(TrRoad_act!G62=0,0,TrRoad_emi!G59/TrRoad_tech!G174)</f>
        <v>1.0200240853114457</v>
      </c>
      <c r="H201" s="91">
        <f>IF(TrRoad_act!H62=0,0,TrRoad_emi!H59/TrRoad_tech!H174)</f>
        <v>1.0127030503746579</v>
      </c>
      <c r="I201" s="91">
        <f>IF(TrRoad_act!I62=0,0,TrRoad_emi!I59/TrRoad_tech!I174)</f>
        <v>0.99056569438185704</v>
      </c>
      <c r="J201" s="91">
        <f>IF(TrRoad_act!J62=0,0,TrRoad_emi!J59/TrRoad_tech!J174)</f>
        <v>0.97800956494341096</v>
      </c>
      <c r="K201" s="91">
        <f>IF(TrRoad_act!K62=0,0,TrRoad_emi!K59/TrRoad_tech!K174)</f>
        <v>0.99450750720789827</v>
      </c>
      <c r="L201" s="91">
        <f>IF(TrRoad_act!L62=0,0,TrRoad_emi!L59/TrRoad_tech!L174)</f>
        <v>0.99493369565504508</v>
      </c>
      <c r="M201" s="91">
        <f>IF(TrRoad_act!M62=0,0,TrRoad_emi!M59/TrRoad_tech!M174)</f>
        <v>1.0212281595960868</v>
      </c>
      <c r="N201" s="91">
        <f>IF(TrRoad_act!N62=0,0,TrRoad_emi!N59/TrRoad_tech!N174)</f>
        <v>1.0251559798856855</v>
      </c>
      <c r="O201" s="91">
        <f>IF(TrRoad_act!O62=0,0,TrRoad_emi!O59/TrRoad_tech!O174)</f>
        <v>1.0268004893994704</v>
      </c>
      <c r="P201" s="91">
        <f>IF(TrRoad_act!P62=0,0,TrRoad_emi!P59/TrRoad_tech!P174)</f>
        <v>1.0252923356722552</v>
      </c>
      <c r="Q201" s="91">
        <f>IF(TrRoad_act!Q62=0,0,TrRoad_emi!Q59/TrRoad_tech!Q174)</f>
        <v>1.0369552905871571</v>
      </c>
      <c r="R201" s="91">
        <f>IF(TrRoad_act!R62=0,0,TrRoad_emi!R59/TrRoad_tech!R174)</f>
        <v>1.0365207763766444</v>
      </c>
      <c r="S201" s="91">
        <f>IF(TrRoad_act!S62=0,0,TrRoad_emi!S59/TrRoad_tech!S174)</f>
        <v>1.0384691409229501</v>
      </c>
      <c r="T201" s="91">
        <f>IF(TrRoad_act!T62=0,0,TrRoad_emi!T59/TrRoad_tech!T174)</f>
        <v>1.0462938437079428</v>
      </c>
      <c r="U201" s="91">
        <f>IF(TrRoad_act!U62=0,0,TrRoad_emi!U59/TrRoad_tech!U174)</f>
        <v>1.0370405346000517</v>
      </c>
      <c r="V201" s="91">
        <f>IF(TrRoad_act!V62=0,0,TrRoad_emi!V59/TrRoad_tech!V174)</f>
        <v>1.0469359955992517</v>
      </c>
      <c r="W201" s="91">
        <f>IF(TrRoad_act!W62=0,0,TrRoad_emi!W59/TrRoad_tech!W174)</f>
        <v>1.0778776499922484</v>
      </c>
      <c r="X201" s="91">
        <f>IF(TrRoad_act!X62=0,0,TrRoad_emi!X59/TrRoad_tech!X174)</f>
        <v>1.064073950129967</v>
      </c>
      <c r="Y201" s="91">
        <f>IF(TrRoad_act!Y62=0,0,TrRoad_emi!Y59/TrRoad_tech!Y174)</f>
        <v>1.0120551925667525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1.0275213140557657</v>
      </c>
      <c r="C202" s="91">
        <f>IF(TrRoad_act!C63=0,0,TrRoad_emi!C60/TrRoad_tech!C175)</f>
        <v>1.0278801614603119</v>
      </c>
      <c r="D202" s="91">
        <f>IF(TrRoad_act!D63=0,0,TrRoad_emi!D60/TrRoad_tech!D175)</f>
        <v>1.028048827503814</v>
      </c>
      <c r="E202" s="91">
        <f>IF(TrRoad_act!E63=0,0,TrRoad_emi!E60/TrRoad_tech!E175)</f>
        <v>1.0279991993984399</v>
      </c>
      <c r="F202" s="91">
        <f>IF(TrRoad_act!F63=0,0,TrRoad_emi!F60/TrRoad_tech!F175)</f>
        <v>1.0278853252116071</v>
      </c>
      <c r="G202" s="91">
        <f>IF(TrRoad_act!G63=0,0,TrRoad_emi!G60/TrRoad_tech!G175)</f>
        <v>1.0279079165736331</v>
      </c>
      <c r="H202" s="91">
        <f>IF(TrRoad_act!H63=0,0,TrRoad_emi!H60/TrRoad_tech!H175)</f>
        <v>1.0281156926451713</v>
      </c>
      <c r="I202" s="91">
        <f>IF(TrRoad_act!I63=0,0,TrRoad_emi!I60/TrRoad_tech!I175)</f>
        <v>1.1239029024150389</v>
      </c>
      <c r="J202" s="91">
        <f>IF(TrRoad_act!J63=0,0,TrRoad_emi!J60/TrRoad_tech!J175)</f>
        <v>1.0217220727000562</v>
      </c>
      <c r="K202" s="91">
        <f>IF(TrRoad_act!K63=0,0,TrRoad_emi!K60/TrRoad_tech!K175)</f>
        <v>0.82478209351837184</v>
      </c>
      <c r="L202" s="91">
        <f>IF(TrRoad_act!L63=0,0,TrRoad_emi!L60/TrRoad_tech!L175)</f>
        <v>1.0441033225021008</v>
      </c>
      <c r="M202" s="91">
        <f>IF(TrRoad_act!M63=0,0,TrRoad_emi!M60/TrRoad_tech!M175)</f>
        <v>1.0766512079170028</v>
      </c>
      <c r="N202" s="91">
        <f>IF(TrRoad_act!N63=0,0,TrRoad_emi!N60/TrRoad_tech!N175)</f>
        <v>1.0889057677554279</v>
      </c>
      <c r="O202" s="91">
        <f>IF(TrRoad_act!O63=0,0,TrRoad_emi!O60/TrRoad_tech!O175)</f>
        <v>1.1465042902487859</v>
      </c>
      <c r="P202" s="91">
        <f>IF(TrRoad_act!P63=0,0,TrRoad_emi!P60/TrRoad_tech!P175)</f>
        <v>1.1294110720413455</v>
      </c>
      <c r="Q202" s="91">
        <f>IF(TrRoad_act!Q63=0,0,TrRoad_emi!Q60/TrRoad_tech!Q175)</f>
        <v>1.0429597708581133</v>
      </c>
      <c r="R202" s="91">
        <f>IF(TrRoad_act!R63=0,0,TrRoad_emi!R60/TrRoad_tech!R175)</f>
        <v>1.0008824834406169</v>
      </c>
      <c r="S202" s="91">
        <f>IF(TrRoad_act!S63=0,0,TrRoad_emi!S60/TrRoad_tech!S175)</f>
        <v>0.92881859259013655</v>
      </c>
      <c r="T202" s="91">
        <f>IF(TrRoad_act!T63=0,0,TrRoad_emi!T60/TrRoad_tech!T175)</f>
        <v>0.89611178825680682</v>
      </c>
      <c r="U202" s="91">
        <f>IF(TrRoad_act!U63=0,0,TrRoad_emi!U60/TrRoad_tech!U175)</f>
        <v>0.8631375914740621</v>
      </c>
      <c r="V202" s="91">
        <f>IF(TrRoad_act!V63=0,0,TrRoad_emi!V60/TrRoad_tech!V175)</f>
        <v>0.76257693914354319</v>
      </c>
      <c r="W202" s="91">
        <f>IF(TrRoad_act!W63=0,0,TrRoad_emi!W60/TrRoad_tech!W175)</f>
        <v>1.0560794044507831</v>
      </c>
      <c r="X202" s="91">
        <f>IF(TrRoad_act!X63=0,0,TrRoad_emi!X60/TrRoad_tech!X175)</f>
        <v>1.740108307163071</v>
      </c>
      <c r="Y202" s="91">
        <f>IF(TrRoad_act!Y63=0,0,TrRoad_emi!Y60/TrRoad_tech!Y175)</f>
        <v>1.8354426471239849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1.0433333333377</v>
      </c>
      <c r="J203" s="91">
        <f>IF(TrRoad_act!J64=0,0,TrRoad_emi!J61/TrRoad_tech!J176)</f>
        <v>1.0451879108617714</v>
      </c>
      <c r="K203" s="91">
        <f>IF(TrRoad_act!K64=0,0,TrRoad_emi!K61/TrRoad_tech!K176)</f>
        <v>1.0469660999497721</v>
      </c>
      <c r="L203" s="91">
        <f>IF(TrRoad_act!L64=0,0,TrRoad_emi!L61/TrRoad_tech!L176)</f>
        <v>1.0480972969667006</v>
      </c>
      <c r="M203" s="91">
        <f>IF(TrRoad_act!M64=0,0,TrRoad_emi!M61/TrRoad_tech!M176)</f>
        <v>1.0494745125028186</v>
      </c>
      <c r="N203" s="91">
        <f>IF(TrRoad_act!N64=0,0,TrRoad_emi!N61/TrRoad_tech!N176)</f>
        <v>1.0510112660195474</v>
      </c>
      <c r="O203" s="91">
        <f>IF(TrRoad_act!O64=0,0,TrRoad_emi!O61/TrRoad_tech!O176)</f>
        <v>1.0523266471070878</v>
      </c>
      <c r="P203" s="91">
        <f>IF(TrRoad_act!P64=0,0,TrRoad_emi!P61/TrRoad_tech!P176)</f>
        <v>1.0536313679551288</v>
      </c>
      <c r="Q203" s="91">
        <f>IF(TrRoad_act!Q64=0,0,TrRoad_emi!Q61/TrRoad_tech!Q176)</f>
        <v>1.0564242257915322</v>
      </c>
      <c r="R203" s="91">
        <f>IF(TrRoad_act!R64=0,0,TrRoad_emi!R61/TrRoad_tech!R176)</f>
        <v>1.0786795156675126</v>
      </c>
      <c r="S203" s="91">
        <f>IF(TrRoad_act!S64=0,0,TrRoad_emi!S61/TrRoad_tech!S176)</f>
        <v>1.0819622357367347</v>
      </c>
      <c r="T203" s="91">
        <f>IF(TrRoad_act!T64=0,0,TrRoad_emi!T61/TrRoad_tech!T176)</f>
        <v>1.084982680561563</v>
      </c>
      <c r="U203" s="91">
        <f>IF(TrRoad_act!U64=0,0,TrRoad_emi!U61/TrRoad_tech!U176)</f>
        <v>1.0867027871549131</v>
      </c>
      <c r="V203" s="91">
        <f>IF(TrRoad_act!V64=0,0,TrRoad_emi!V61/TrRoad_tech!V176)</f>
        <v>1.0860522478484458</v>
      </c>
      <c r="W203" s="91">
        <f>IF(TrRoad_act!W64=0,0,TrRoad_emi!W61/TrRoad_tech!W176)</f>
        <v>1.0835920736786335</v>
      </c>
      <c r="X203" s="91">
        <f>IF(TrRoad_act!X64=0,0,TrRoad_emi!X61/TrRoad_tech!X176)</f>
        <v>1.0763501842343632</v>
      </c>
      <c r="Y203" s="91">
        <f>IF(TrRoad_act!Y64=0,0,TrRoad_emi!Y61/TrRoad_tech!Y176)</f>
        <v>1.073704845666871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1.0070695766177127</v>
      </c>
      <c r="O204" s="91">
        <f>IF(TrRoad_act!O65=0,0,TrRoad_emi!O62/TrRoad_tech!O177)</f>
        <v>1.0092941066360122</v>
      </c>
      <c r="P204" s="91">
        <f>IF(TrRoad_act!P65=0,0,TrRoad_emi!P62/TrRoad_tech!P177)</f>
        <v>1.0113324443549969</v>
      </c>
      <c r="Q204" s="91">
        <f>IF(TrRoad_act!Q65=0,0,TrRoad_emi!Q62/TrRoad_tech!Q177)</f>
        <v>1.0165670118636922</v>
      </c>
      <c r="R204" s="91">
        <f>IF(TrRoad_act!R65=0,0,TrRoad_emi!R62/TrRoad_tech!R177)</f>
        <v>1.0166231899507827</v>
      </c>
      <c r="S204" s="91">
        <f>IF(TrRoad_act!S65=0,0,TrRoad_emi!S62/TrRoad_tech!S177)</f>
        <v>1.0128181466133379</v>
      </c>
      <c r="T204" s="91">
        <f>IF(TrRoad_act!T65=0,0,TrRoad_emi!T62/TrRoad_tech!T177)</f>
        <v>1.0117138402514818</v>
      </c>
      <c r="U204" s="91">
        <f>IF(TrRoad_act!U65=0,0,TrRoad_emi!U62/TrRoad_tech!U177)</f>
        <v>1.0102206303239858</v>
      </c>
      <c r="V204" s="91">
        <f>IF(TrRoad_act!V65=0,0,TrRoad_emi!V62/TrRoad_tech!V177)</f>
        <v>1.0135062401553014</v>
      </c>
      <c r="W204" s="91">
        <f>IF(TrRoad_act!W65=0,0,TrRoad_emi!W62/TrRoad_tech!W177)</f>
        <v>1.0081543485504041</v>
      </c>
      <c r="X204" s="91">
        <f>IF(TrRoad_act!X65=0,0,TrRoad_emi!X62/TrRoad_tech!X177)</f>
        <v>0.9965530935814535</v>
      </c>
      <c r="Y204" s="91">
        <f>IF(TrRoad_act!Y65=0,0,TrRoad_emi!Y62/TrRoad_tech!Y177)</f>
        <v>0.99794038714164157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1.0992116767420763</v>
      </c>
      <c r="C206" s="151">
        <f>IF(TrRoad_act!C67=0,0,TrRoad_emi!C64/TrRoad_tech!C179)</f>
        <v>1.1097131204736046</v>
      </c>
      <c r="D206" s="151">
        <f>IF(TrRoad_act!D67=0,0,TrRoad_emi!D64/TrRoad_tech!D179)</f>
        <v>1.0918086230728952</v>
      </c>
      <c r="E206" s="151">
        <f>IF(TrRoad_act!E67=0,0,TrRoad_emi!E64/TrRoad_tech!E179)</f>
        <v>1.0979351190830473</v>
      </c>
      <c r="F206" s="151">
        <f>IF(TrRoad_act!F67=0,0,TrRoad_emi!F64/TrRoad_tech!F179)</f>
        <v>1.0932388599414626</v>
      </c>
      <c r="G206" s="151">
        <f>IF(TrRoad_act!G67=0,0,TrRoad_emi!G64/TrRoad_tech!G179)</f>
        <v>1.0823133600951242</v>
      </c>
      <c r="H206" s="151">
        <f>IF(TrRoad_act!H67=0,0,TrRoad_emi!H64/TrRoad_tech!H179)</f>
        <v>1.0837524942001371</v>
      </c>
      <c r="I206" s="151">
        <f>IF(TrRoad_act!I67=0,0,TrRoad_emi!I64/TrRoad_tech!I179)</f>
        <v>1.0670666150374628</v>
      </c>
      <c r="J206" s="151">
        <f>IF(TrRoad_act!J67=0,0,TrRoad_emi!J64/TrRoad_tech!J179)</f>
        <v>1.0473086701448966</v>
      </c>
      <c r="K206" s="151">
        <f>IF(TrRoad_act!K67=0,0,TrRoad_emi!K64/TrRoad_tech!K179)</f>
        <v>1.0397014183909106</v>
      </c>
      <c r="L206" s="151">
        <f>IF(TrRoad_act!L67=0,0,TrRoad_emi!L64/TrRoad_tech!L179)</f>
        <v>1.0498234177856116</v>
      </c>
      <c r="M206" s="151">
        <f>IF(TrRoad_act!M67=0,0,TrRoad_emi!M64/TrRoad_tech!M179)</f>
        <v>1.1323807957950698</v>
      </c>
      <c r="N206" s="151">
        <f>IF(TrRoad_act!N67=0,0,TrRoad_emi!N64/TrRoad_tech!N179)</f>
        <v>1.0762811865209889</v>
      </c>
      <c r="O206" s="151">
        <f>IF(TrRoad_act!O67=0,0,TrRoad_emi!O64/TrRoad_tech!O179)</f>
        <v>1.1020232460242283</v>
      </c>
      <c r="P206" s="151">
        <f>IF(TrRoad_act!P67=0,0,TrRoad_emi!P64/TrRoad_tech!P179)</f>
        <v>1.0803816365411472</v>
      </c>
      <c r="Q206" s="151">
        <f>IF(TrRoad_act!Q67=0,0,TrRoad_emi!Q64/TrRoad_tech!Q179)</f>
        <v>1.0890988764169613</v>
      </c>
      <c r="R206" s="151">
        <f>IF(TrRoad_act!R67=0,0,TrRoad_emi!R64/TrRoad_tech!R179)</f>
        <v>1.103892799546677</v>
      </c>
      <c r="S206" s="151">
        <f>IF(TrRoad_act!S67=0,0,TrRoad_emi!S64/TrRoad_tech!S179)</f>
        <v>1.1308605923512962</v>
      </c>
      <c r="T206" s="151">
        <f>IF(TrRoad_act!T67=0,0,TrRoad_emi!T64/TrRoad_tech!T179)</f>
        <v>1.1529932102565195</v>
      </c>
      <c r="U206" s="151">
        <f>IF(TrRoad_act!U67=0,0,TrRoad_emi!U64/TrRoad_tech!U179)</f>
        <v>1.1969061416115774</v>
      </c>
      <c r="V206" s="151">
        <f>IF(TrRoad_act!V67=0,0,TrRoad_emi!V64/TrRoad_tech!V179)</f>
        <v>1.2380757954955059</v>
      </c>
      <c r="W206" s="151">
        <f>IF(TrRoad_act!W67=0,0,TrRoad_emi!W64/TrRoad_tech!W179)</f>
        <v>1.2909351275360976</v>
      </c>
      <c r="X206" s="151">
        <f>IF(TrRoad_act!X67=0,0,TrRoad_emi!X64/TrRoad_tech!X179)</f>
        <v>1.2743963134049057</v>
      </c>
      <c r="Y206" s="151">
        <f>IF(TrRoad_act!Y67=0,0,TrRoad_emi!Y64/TrRoad_tech!Y179)</f>
        <v>1.251058411485523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1.0954735914287486</v>
      </c>
      <c r="C207" s="93">
        <f>IF(TrRoad_act!C68=0,0,TrRoad_emi!C65/TrRoad_tech!C180)</f>
        <v>1.0957796266959325</v>
      </c>
      <c r="D207" s="93">
        <f>IF(TrRoad_act!D68=0,0,TrRoad_emi!D65/TrRoad_tech!D180)</f>
        <v>1.0954005437616696</v>
      </c>
      <c r="E207" s="93">
        <f>IF(TrRoad_act!E68=0,0,TrRoad_emi!E65/TrRoad_tech!E180)</f>
        <v>1.0958678440097682</v>
      </c>
      <c r="F207" s="93">
        <f>IF(TrRoad_act!F68=0,0,TrRoad_emi!F65/TrRoad_tech!F180)</f>
        <v>1.0953061441862595</v>
      </c>
      <c r="G207" s="93">
        <f>IF(TrRoad_act!G68=0,0,TrRoad_emi!G65/TrRoad_tech!G180)</f>
        <v>1.0901207390472059</v>
      </c>
      <c r="H207" s="93">
        <f>IF(TrRoad_act!H68=0,0,TrRoad_emi!H65/TrRoad_tech!H180)</f>
        <v>1.0849286117977299</v>
      </c>
      <c r="I207" s="93">
        <f>IF(TrRoad_act!I68=0,0,TrRoad_emi!I65/TrRoad_tech!I180)</f>
        <v>1.0692759681433854</v>
      </c>
      <c r="J207" s="93">
        <f>IF(TrRoad_act!J68=0,0,TrRoad_emi!J65/TrRoad_tech!J180)</f>
        <v>1.0458415310319189</v>
      </c>
      <c r="K207" s="93">
        <f>IF(TrRoad_act!K68=0,0,TrRoad_emi!K65/TrRoad_tech!K180)</f>
        <v>1.048018672152959</v>
      </c>
      <c r="L207" s="93">
        <f>IF(TrRoad_act!L68=0,0,TrRoad_emi!L65/TrRoad_tech!L180)</f>
        <v>1.0442218288085143</v>
      </c>
      <c r="M207" s="93">
        <f>IF(TrRoad_act!M68=0,0,TrRoad_emi!M65/TrRoad_tech!M180)</f>
        <v>1.0463086898797476</v>
      </c>
      <c r="N207" s="93">
        <f>IF(TrRoad_act!N68=0,0,TrRoad_emi!N65/TrRoad_tech!N180)</f>
        <v>1.0411134062303393</v>
      </c>
      <c r="O207" s="93">
        <f>IF(TrRoad_act!O68=0,0,TrRoad_emi!O65/TrRoad_tech!O180)</f>
        <v>1.0405529171692949</v>
      </c>
      <c r="P207" s="93">
        <f>IF(TrRoad_act!P68=0,0,TrRoad_emi!P65/TrRoad_tech!P180)</f>
        <v>1.0374222447627954</v>
      </c>
      <c r="Q207" s="93">
        <f>IF(TrRoad_act!Q68=0,0,TrRoad_emi!Q65/TrRoad_tech!Q180)</f>
        <v>1.0356934955266122</v>
      </c>
      <c r="R207" s="93">
        <f>IF(TrRoad_act!R68=0,0,TrRoad_emi!R65/TrRoad_tech!R180)</f>
        <v>1.0316839511738582</v>
      </c>
      <c r="S207" s="93">
        <f>IF(TrRoad_act!S68=0,0,TrRoad_emi!S65/TrRoad_tech!S180)</f>
        <v>1.0274023549440583</v>
      </c>
      <c r="T207" s="93">
        <f>IF(TrRoad_act!T68=0,0,TrRoad_emi!T65/TrRoad_tech!T180)</f>
        <v>1.023795126520586</v>
      </c>
      <c r="U207" s="93">
        <f>IF(TrRoad_act!U68=0,0,TrRoad_emi!U65/TrRoad_tech!U180)</f>
        <v>1.038040391511359</v>
      </c>
      <c r="V207" s="93">
        <f>IF(TrRoad_act!V68=0,0,TrRoad_emi!V65/TrRoad_tech!V180)</f>
        <v>1.0619397869057587</v>
      </c>
      <c r="W207" s="93">
        <f>IF(TrRoad_act!W68=0,0,TrRoad_emi!W65/TrRoad_tech!W180)</f>
        <v>1.0683746221392252</v>
      </c>
      <c r="X207" s="93">
        <f>IF(TrRoad_act!X68=0,0,TrRoad_emi!X65/TrRoad_tech!X180)</f>
        <v>1.0733643262250923</v>
      </c>
      <c r="Y207" s="93">
        <f>IF(TrRoad_act!Y68=0,0,TrRoad_emi!Y65/TrRoad_tech!Y180)</f>
        <v>1.0929131789061515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1.0894803950744956</v>
      </c>
      <c r="C208" s="93">
        <f>IF(TrRoad_act!C69=0,0,TrRoad_emi!C66/TrRoad_tech!C181)</f>
        <v>1.0899504304464982</v>
      </c>
      <c r="D208" s="93">
        <f>IF(TrRoad_act!D69=0,0,TrRoad_emi!D66/TrRoad_tech!D181)</f>
        <v>1.0904649767760415</v>
      </c>
      <c r="E208" s="93">
        <f>IF(TrRoad_act!E69=0,0,TrRoad_emi!E66/TrRoad_tech!E181)</f>
        <v>1.0922599639602204</v>
      </c>
      <c r="F208" s="93">
        <f>IF(TrRoad_act!F69=0,0,TrRoad_emi!F66/TrRoad_tech!F181)</f>
        <v>1.0932311883077364</v>
      </c>
      <c r="G208" s="93">
        <f>IF(TrRoad_act!G69=0,0,TrRoad_emi!G66/TrRoad_tech!G181)</f>
        <v>1.0889396122720896</v>
      </c>
      <c r="H208" s="93">
        <f>IF(TrRoad_act!H69=0,0,TrRoad_emi!H66/TrRoad_tech!H181)</f>
        <v>1.0899115805260013</v>
      </c>
      <c r="I208" s="93">
        <f>IF(TrRoad_act!I69=0,0,TrRoad_emi!I66/TrRoad_tech!I181)</f>
        <v>1.0746637784663287</v>
      </c>
      <c r="J208" s="93">
        <f>IF(TrRoad_act!J69=0,0,TrRoad_emi!J66/TrRoad_tech!J181)</f>
        <v>1.055897369055609</v>
      </c>
      <c r="K208" s="93">
        <f>IF(TrRoad_act!K69=0,0,TrRoad_emi!K66/TrRoad_tech!K181)</f>
        <v>1.0569608066239733</v>
      </c>
      <c r="L208" s="93">
        <f>IF(TrRoad_act!L69=0,0,TrRoad_emi!L66/TrRoad_tech!L181)</f>
        <v>1.0667967294063414</v>
      </c>
      <c r="M208" s="93">
        <f>IF(TrRoad_act!M69=0,0,TrRoad_emi!M66/TrRoad_tech!M181)</f>
        <v>1.0760283908694304</v>
      </c>
      <c r="N208" s="93">
        <f>IF(TrRoad_act!N69=0,0,TrRoad_emi!N66/TrRoad_tech!N181)</f>
        <v>1.0773386498564712</v>
      </c>
      <c r="O208" s="93">
        <f>IF(TrRoad_act!O69=0,0,TrRoad_emi!O66/TrRoad_tech!O181)</f>
        <v>1.0910308825054245</v>
      </c>
      <c r="P208" s="93">
        <f>IF(TrRoad_act!P69=0,0,TrRoad_emi!P66/TrRoad_tech!P181)</f>
        <v>1.0955688708833153</v>
      </c>
      <c r="Q208" s="93">
        <f>IF(TrRoad_act!Q69=0,0,TrRoad_emi!Q66/TrRoad_tech!Q181)</f>
        <v>1.1106116476979546</v>
      </c>
      <c r="R208" s="93">
        <f>IF(TrRoad_act!R69=0,0,TrRoad_emi!R66/TrRoad_tech!R181)</f>
        <v>1.1267194381445258</v>
      </c>
      <c r="S208" s="93">
        <f>IF(TrRoad_act!S69=0,0,TrRoad_emi!S66/TrRoad_tech!S181)</f>
        <v>1.1378346023878194</v>
      </c>
      <c r="T208" s="93">
        <f>IF(TrRoad_act!T69=0,0,TrRoad_emi!T66/TrRoad_tech!T181)</f>
        <v>1.1502800620602931</v>
      </c>
      <c r="U208" s="93">
        <f>IF(TrRoad_act!U69=0,0,TrRoad_emi!U66/TrRoad_tech!U181)</f>
        <v>1.1612499705881629</v>
      </c>
      <c r="V208" s="93">
        <f>IF(TrRoad_act!V69=0,0,TrRoad_emi!V66/TrRoad_tech!V181)</f>
        <v>1.1793326468374397</v>
      </c>
      <c r="W208" s="93">
        <f>IF(TrRoad_act!W69=0,0,TrRoad_emi!W66/TrRoad_tech!W181)</f>
        <v>1.2000949170111668</v>
      </c>
      <c r="X208" s="93">
        <f>IF(TrRoad_act!X69=0,0,TrRoad_emi!X66/TrRoad_tech!X181)</f>
        <v>1.2117050937274629</v>
      </c>
      <c r="Y208" s="93">
        <f>IF(TrRoad_act!Y69=0,0,TrRoad_emi!Y66/TrRoad_tech!Y181)</f>
        <v>1.2144659640812683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</v>
      </c>
      <c r="C209" s="93">
        <f>IF(TrRoad_act!C70=0,0,TrRoad_emi!C67/TrRoad_tech!C182)</f>
        <v>1.1008094856523514</v>
      </c>
      <c r="D209" s="93">
        <f>IF(TrRoad_act!D70=0,0,TrRoad_emi!D67/TrRoad_tech!D182)</f>
        <v>1.1008855200312133</v>
      </c>
      <c r="E209" s="93">
        <f>IF(TrRoad_act!E70=0,0,TrRoad_emi!E67/TrRoad_tech!E182)</f>
        <v>1.1019857739916248</v>
      </c>
      <c r="F209" s="93">
        <f>IF(TrRoad_act!F70=0,0,TrRoad_emi!F67/TrRoad_tech!F182)</f>
        <v>1.1029340553585296</v>
      </c>
      <c r="G209" s="93">
        <f>IF(TrRoad_act!G70=0,0,TrRoad_emi!G67/TrRoad_tech!G182)</f>
        <v>1.1045242413357166</v>
      </c>
      <c r="H209" s="93">
        <f>IF(TrRoad_act!H70=0,0,TrRoad_emi!H67/TrRoad_tech!H182)</f>
        <v>1.1056850348851093</v>
      </c>
      <c r="I209" s="93">
        <f>IF(TrRoad_act!I70=0,0,TrRoad_emi!I67/TrRoad_tech!I182)</f>
        <v>1.1185689793138642</v>
      </c>
      <c r="J209" s="93">
        <f>IF(TrRoad_act!J70=0,0,TrRoad_emi!J67/TrRoad_tech!J182)</f>
        <v>1.119195515457091</v>
      </c>
      <c r="K209" s="93">
        <f>IF(TrRoad_act!K70=0,0,TrRoad_emi!K67/TrRoad_tech!K182)</f>
        <v>1.1209372475153485</v>
      </c>
      <c r="L209" s="93">
        <f>IF(TrRoad_act!L70=0,0,TrRoad_emi!L67/TrRoad_tech!L182)</f>
        <v>1.1219636790506793</v>
      </c>
      <c r="M209" s="93">
        <f>IF(TrRoad_act!M70=0,0,TrRoad_emi!M67/TrRoad_tech!M182)</f>
        <v>1.1229781555495453</v>
      </c>
      <c r="N209" s="93">
        <f>IF(TrRoad_act!N70=0,0,TrRoad_emi!N67/TrRoad_tech!N182)</f>
        <v>1.1254210792519208</v>
      </c>
      <c r="O209" s="93">
        <f>IF(TrRoad_act!O70=0,0,TrRoad_emi!O67/TrRoad_tech!O182)</f>
        <v>1.1263871623236945</v>
      </c>
      <c r="P209" s="93">
        <f>IF(TrRoad_act!P70=0,0,TrRoad_emi!P67/TrRoad_tech!P182)</f>
        <v>1.1282006247013492</v>
      </c>
      <c r="Q209" s="93">
        <f>IF(TrRoad_act!Q70=0,0,TrRoad_emi!Q67/TrRoad_tech!Q182)</f>
        <v>1.1301055777669944</v>
      </c>
      <c r="R209" s="93">
        <f>IF(TrRoad_act!R70=0,0,TrRoad_emi!R67/TrRoad_tech!R182)</f>
        <v>1.129702148034091</v>
      </c>
      <c r="S209" s="93">
        <f>IF(TrRoad_act!S70=0,0,TrRoad_emi!S67/TrRoad_tech!S182)</f>
        <v>1.1303911604827317</v>
      </c>
      <c r="T209" s="93">
        <f>IF(TrRoad_act!T70=0,0,TrRoad_emi!T67/TrRoad_tech!T182)</f>
        <v>1.1310921953898072</v>
      </c>
      <c r="U209" s="93">
        <f>IF(TrRoad_act!U70=0,0,TrRoad_emi!U67/TrRoad_tech!U182)</f>
        <v>1.131742293610889</v>
      </c>
      <c r="V209" s="93">
        <f>IF(TrRoad_act!V70=0,0,TrRoad_emi!V67/TrRoad_tech!V182)</f>
        <v>1.1327036909609154</v>
      </c>
      <c r="W209" s="93">
        <f>IF(TrRoad_act!W70=0,0,TrRoad_emi!W67/TrRoad_tech!W182)</f>
        <v>1.1342086508309461</v>
      </c>
      <c r="X209" s="93">
        <f>IF(TrRoad_act!X70=0,0,TrRoad_emi!X67/TrRoad_tech!X182)</f>
        <v>1.137301017144752</v>
      </c>
      <c r="Y209" s="93">
        <f>IF(TrRoad_act!Y70=0,0,TrRoad_emi!Y67/TrRoad_tech!Y182)</f>
        <v>1.1410493042005994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1.0915713983381783</v>
      </c>
      <c r="C210" s="93">
        <f>IF(TrRoad_act!C71=0,0,TrRoad_emi!C68/TrRoad_tech!C183)</f>
        <v>1.0859421641826186</v>
      </c>
      <c r="D210" s="93">
        <f>IF(TrRoad_act!D71=0,0,TrRoad_emi!D68/TrRoad_tech!D183)</f>
        <v>1.1045661778186913</v>
      </c>
      <c r="E210" s="93">
        <f>IF(TrRoad_act!E71=0,0,TrRoad_emi!E68/TrRoad_tech!E183)</f>
        <v>1.1013779586009582</v>
      </c>
      <c r="F210" s="93">
        <f>IF(TrRoad_act!F71=0,0,TrRoad_emi!F68/TrRoad_tech!F183)</f>
        <v>1.0281346386926085</v>
      </c>
      <c r="G210" s="93">
        <f>IF(TrRoad_act!G71=0,0,TrRoad_emi!G68/TrRoad_tech!G183)</f>
        <v>1.0322553761409057</v>
      </c>
      <c r="H210" s="93">
        <f>IF(TrRoad_act!H71=0,0,TrRoad_emi!H68/TrRoad_tech!H183)</f>
        <v>1.1188573671548991</v>
      </c>
      <c r="I210" s="93">
        <f>IF(TrRoad_act!I71=0,0,TrRoad_emi!I68/TrRoad_tech!I183)</f>
        <v>1.074044064000655</v>
      </c>
      <c r="J210" s="93">
        <f>IF(TrRoad_act!J71=0,0,TrRoad_emi!J68/TrRoad_tech!J183)</f>
        <v>1.0941618959558999</v>
      </c>
      <c r="K210" s="93">
        <f>IF(TrRoad_act!K71=0,0,TrRoad_emi!K68/TrRoad_tech!K183)</f>
        <v>1.0888254484365392</v>
      </c>
      <c r="L210" s="93">
        <f>IF(TrRoad_act!L71=0,0,TrRoad_emi!L68/TrRoad_tech!L183)</f>
        <v>1.1802767120759974</v>
      </c>
      <c r="M210" s="93">
        <f>IF(TrRoad_act!M71=0,0,TrRoad_emi!M68/TrRoad_tech!M183)</f>
        <v>1.1988859964506482</v>
      </c>
      <c r="N210" s="93">
        <f>IF(TrRoad_act!N71=0,0,TrRoad_emi!N68/TrRoad_tech!N183)</f>
        <v>1.1995316213687253</v>
      </c>
      <c r="O210" s="93">
        <f>IF(TrRoad_act!O71=0,0,TrRoad_emi!O68/TrRoad_tech!O183)</f>
        <v>1.073945740827329</v>
      </c>
      <c r="P210" s="93">
        <f>IF(TrRoad_act!P71=0,0,TrRoad_emi!P68/TrRoad_tech!P183)</f>
        <v>1.1111549183279747</v>
      </c>
      <c r="Q210" s="93">
        <f>IF(TrRoad_act!Q71=0,0,TrRoad_emi!Q68/TrRoad_tech!Q183)</f>
        <v>1.1140696145048357</v>
      </c>
      <c r="R210" s="93">
        <f>IF(TrRoad_act!R71=0,0,TrRoad_emi!R68/TrRoad_tech!R183)</f>
        <v>1.15807642663373</v>
      </c>
      <c r="S210" s="93">
        <f>IF(TrRoad_act!S71=0,0,TrRoad_emi!S68/TrRoad_tech!S183)</f>
        <v>1.200497315680235</v>
      </c>
      <c r="T210" s="93">
        <f>IF(TrRoad_act!T71=0,0,TrRoad_emi!T68/TrRoad_tech!T183)</f>
        <v>1.1551915655775087</v>
      </c>
      <c r="U210" s="93">
        <f>IF(TrRoad_act!U71=0,0,TrRoad_emi!U68/TrRoad_tech!U183)</f>
        <v>1.1471185492067768</v>
      </c>
      <c r="V210" s="93">
        <f>IF(TrRoad_act!V71=0,0,TrRoad_emi!V68/TrRoad_tech!V183)</f>
        <v>1.3585339309384934</v>
      </c>
      <c r="W210" s="93">
        <f>IF(TrRoad_act!W71=0,0,TrRoad_emi!W68/TrRoad_tech!W183)</f>
        <v>1.3879181527669848</v>
      </c>
      <c r="X210" s="93">
        <f>IF(TrRoad_act!X71=0,0,TrRoad_emi!X68/TrRoad_tech!X183)</f>
        <v>1.3091976842644197</v>
      </c>
      <c r="Y210" s="93">
        <f>IF(TrRoad_act!Y71=0,0,TrRoad_emi!Y68/TrRoad_tech!Y183)</f>
        <v>1.3045795845459327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1.1510140144355001</v>
      </c>
      <c r="C213" s="150">
        <f>IF(TrRoad_act!C74=0,0,TrRoad_emi!C71/TrRoad_tech!C186)</f>
        <v>1.1327226220521593</v>
      </c>
      <c r="D213" s="150">
        <f>IF(TrRoad_act!D74=0,0,TrRoad_emi!D71/TrRoad_tech!D186)</f>
        <v>1.1263811592783814</v>
      </c>
      <c r="E213" s="150">
        <f>IF(TrRoad_act!E74=0,0,TrRoad_emi!E71/TrRoad_tech!E186)</f>
        <v>1.1090471885651589</v>
      </c>
      <c r="F213" s="150">
        <f>IF(TrRoad_act!F74=0,0,TrRoad_emi!F71/TrRoad_tech!F186)</f>
        <v>1.0937341603672905</v>
      </c>
      <c r="G213" s="150">
        <f>IF(TrRoad_act!G74=0,0,TrRoad_emi!G71/TrRoad_tech!G186)</f>
        <v>1.0781641977502019</v>
      </c>
      <c r="H213" s="150">
        <f>IF(TrRoad_act!H74=0,0,TrRoad_emi!H71/TrRoad_tech!H186)</f>
        <v>1.0690717665750726</v>
      </c>
      <c r="I213" s="150">
        <f>IF(TrRoad_act!I74=0,0,TrRoad_emi!I71/TrRoad_tech!I186)</f>
        <v>1.0335373031129598</v>
      </c>
      <c r="J213" s="150">
        <f>IF(TrRoad_act!J74=0,0,TrRoad_emi!J71/TrRoad_tech!J186)</f>
        <v>1.0536254984547726</v>
      </c>
      <c r="K213" s="150">
        <f>IF(TrRoad_act!K74=0,0,TrRoad_emi!K71/TrRoad_tech!K186)</f>
        <v>1.0769764131685946</v>
      </c>
      <c r="L213" s="150">
        <f>IF(TrRoad_act!L74=0,0,TrRoad_emi!L71/TrRoad_tech!L186)</f>
        <v>1.173038289101616</v>
      </c>
      <c r="M213" s="150">
        <f>IF(TrRoad_act!M74=0,0,TrRoad_emi!M71/TrRoad_tech!M186)</f>
        <v>1.2152448634334632</v>
      </c>
      <c r="N213" s="150">
        <f>IF(TrRoad_act!N74=0,0,TrRoad_emi!N71/TrRoad_tech!N186)</f>
        <v>1.1464302052888919</v>
      </c>
      <c r="O213" s="150">
        <f>IF(TrRoad_act!O74=0,0,TrRoad_emi!O71/TrRoad_tech!O186)</f>
        <v>1.1447679669259165</v>
      </c>
      <c r="P213" s="150">
        <f>IF(TrRoad_act!P74=0,0,TrRoad_emi!P71/TrRoad_tech!P186)</f>
        <v>1.1337913452507589</v>
      </c>
      <c r="Q213" s="150">
        <f>IF(TrRoad_act!Q74=0,0,TrRoad_emi!Q71/TrRoad_tech!Q186)</f>
        <v>1.1267206292986689</v>
      </c>
      <c r="R213" s="150">
        <f>IF(TrRoad_act!R74=0,0,TrRoad_emi!R71/TrRoad_tech!R186)</f>
        <v>1.1177816751607985</v>
      </c>
      <c r="S213" s="150">
        <f>IF(TrRoad_act!S74=0,0,TrRoad_emi!S71/TrRoad_tech!S186)</f>
        <v>1.1203019208219422</v>
      </c>
      <c r="T213" s="150">
        <f>IF(TrRoad_act!T74=0,0,TrRoad_emi!T71/TrRoad_tech!T186)</f>
        <v>1.1206003374254061</v>
      </c>
      <c r="U213" s="150">
        <f>IF(TrRoad_act!U74=0,0,TrRoad_emi!U71/TrRoad_tech!U186)</f>
        <v>1.1193502292676891</v>
      </c>
      <c r="V213" s="150">
        <f>IF(TrRoad_act!V74=0,0,TrRoad_emi!V71/TrRoad_tech!V186)</f>
        <v>1.1411200619092812</v>
      </c>
      <c r="W213" s="150">
        <f>IF(TrRoad_act!W74=0,0,TrRoad_emi!W71/TrRoad_tech!W186)</f>
        <v>1.1815368711874037</v>
      </c>
      <c r="X213" s="150">
        <f>IF(TrRoad_act!X74=0,0,TrRoad_emi!X71/TrRoad_tech!X186)</f>
        <v>1.1376313869868593</v>
      </c>
      <c r="Y213" s="150">
        <f>IF(TrRoad_act!Y74=0,0,TrRoad_emi!Y71/TrRoad_tech!Y186)</f>
        <v>1.1492260052165533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1.095473591428749</v>
      </c>
      <c r="C214" s="91">
        <f>IF(TrRoad_act!C75=0,0,TrRoad_emi!C72/TrRoad_tech!C187)</f>
        <v>1.0957675527545598</v>
      </c>
      <c r="D214" s="91">
        <f>IF(TrRoad_act!D75=0,0,TrRoad_emi!D72/TrRoad_tech!D187)</f>
        <v>1.0953645101943152</v>
      </c>
      <c r="E214" s="91">
        <f>IF(TrRoad_act!E75=0,0,TrRoad_emi!E72/TrRoad_tech!E187)</f>
        <v>1.0958453350306412</v>
      </c>
      <c r="F214" s="91">
        <f>IF(TrRoad_act!F75=0,0,TrRoad_emi!F72/TrRoad_tech!F187)</f>
        <v>1.0953163992781814</v>
      </c>
      <c r="G214" s="91">
        <f>IF(TrRoad_act!G75=0,0,TrRoad_emi!G72/TrRoad_tech!G187)</f>
        <v>1.0902310639670256</v>
      </c>
      <c r="H214" s="91">
        <f>IF(TrRoad_act!H75=0,0,TrRoad_emi!H72/TrRoad_tech!H187)</f>
        <v>1.0852665982736411</v>
      </c>
      <c r="I214" s="91">
        <f>IF(TrRoad_act!I75=0,0,TrRoad_emi!I72/TrRoad_tech!I187)</f>
        <v>1.0699924547423127</v>
      </c>
      <c r="J214" s="91">
        <f>IF(TrRoad_act!J75=0,0,TrRoad_emi!J72/TrRoad_tech!J187)</f>
        <v>1.0470312117383032</v>
      </c>
      <c r="K214" s="91">
        <f>IF(TrRoad_act!K75=0,0,TrRoad_emi!K72/TrRoad_tech!K187)</f>
        <v>1.0501288331979954</v>
      </c>
      <c r="L214" s="91">
        <f>IF(TrRoad_act!L75=0,0,TrRoad_emi!L72/TrRoad_tech!L187)</f>
        <v>1.0504500942929182</v>
      </c>
      <c r="M214" s="91">
        <f>IF(TrRoad_act!M75=0,0,TrRoad_emi!M72/TrRoad_tech!M187)</f>
        <v>1.0574812478360267</v>
      </c>
      <c r="N214" s="91">
        <f>IF(TrRoad_act!N75=0,0,TrRoad_emi!N72/TrRoad_tech!N187)</f>
        <v>1.0588994813183945</v>
      </c>
      <c r="O214" s="91">
        <f>IF(TrRoad_act!O75=0,0,TrRoad_emi!O72/TrRoad_tech!O187)</f>
        <v>1.0645294895513344</v>
      </c>
      <c r="P214" s="91">
        <f>IF(TrRoad_act!P75=0,0,TrRoad_emi!P72/TrRoad_tech!P187)</f>
        <v>1.0641861115473561</v>
      </c>
      <c r="Q214" s="91">
        <f>IF(TrRoad_act!Q75=0,0,TrRoad_emi!Q72/TrRoad_tech!Q187)</f>
        <v>1.0660030628001191</v>
      </c>
      <c r="R214" s="91">
        <f>IF(TrRoad_act!R75=0,0,TrRoad_emi!R72/TrRoad_tech!R187)</f>
        <v>1.0657949298031579</v>
      </c>
      <c r="S214" s="91">
        <f>IF(TrRoad_act!S75=0,0,TrRoad_emi!S72/TrRoad_tech!S187)</f>
        <v>1.0647952809111194</v>
      </c>
      <c r="T214" s="91">
        <f>IF(TrRoad_act!T75=0,0,TrRoad_emi!T72/TrRoad_tech!T187)</f>
        <v>1.0703497632856893</v>
      </c>
      <c r="U214" s="91">
        <f>IF(TrRoad_act!U75=0,0,TrRoad_emi!U72/TrRoad_tech!U187)</f>
        <v>1.0784672957783388</v>
      </c>
      <c r="V214" s="91">
        <f>IF(TrRoad_act!V75=0,0,TrRoad_emi!V72/TrRoad_tech!V187)</f>
        <v>1.0863627563934599</v>
      </c>
      <c r="W214" s="91">
        <f>IF(TrRoad_act!W75=0,0,TrRoad_emi!W72/TrRoad_tech!W187)</f>
        <v>1.0842123398785186</v>
      </c>
      <c r="X214" s="91">
        <f>IF(TrRoad_act!X75=0,0,TrRoad_emi!X72/TrRoad_tech!X187)</f>
        <v>1.0846791733902097</v>
      </c>
      <c r="Y214" s="91">
        <f>IF(TrRoad_act!Y75=0,0,TrRoad_emi!Y72/TrRoad_tech!Y187)</f>
        <v>1.1122544992751975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1.1377819083406691</v>
      </c>
      <c r="C215" s="91">
        <f>IF(TrRoad_act!C76=0,0,TrRoad_emi!C73/TrRoad_tech!C188)</f>
        <v>1.1168108827677223</v>
      </c>
      <c r="D215" s="91">
        <f>IF(TrRoad_act!D76=0,0,TrRoad_emi!D73/TrRoad_tech!D188)</f>
        <v>1.1072999647416348</v>
      </c>
      <c r="E215" s="91">
        <f>IF(TrRoad_act!E76=0,0,TrRoad_emi!E73/TrRoad_tech!E188)</f>
        <v>1.0905102606385091</v>
      </c>
      <c r="F215" s="91">
        <f>IF(TrRoad_act!F76=0,0,TrRoad_emi!F73/TrRoad_tech!F188)</f>
        <v>1.0733182430807349</v>
      </c>
      <c r="G215" s="91">
        <f>IF(TrRoad_act!G76=0,0,TrRoad_emi!G73/TrRoad_tech!G188)</f>
        <v>1.0651199295771652</v>
      </c>
      <c r="H215" s="91">
        <f>IF(TrRoad_act!H76=0,0,TrRoad_emi!H73/TrRoad_tech!H188)</f>
        <v>1.0555606763100103</v>
      </c>
      <c r="I215" s="91">
        <f>IF(TrRoad_act!I76=0,0,TrRoad_emi!I73/TrRoad_tech!I188)</f>
        <v>1.0330097818854485</v>
      </c>
      <c r="J215" s="91">
        <f>IF(TrRoad_act!J76=0,0,TrRoad_emi!J73/TrRoad_tech!J188)</f>
        <v>1.0221701305102309</v>
      </c>
      <c r="K215" s="91">
        <f>IF(TrRoad_act!K76=0,0,TrRoad_emi!K73/TrRoad_tech!K188)</f>
        <v>1.0311831032818179</v>
      </c>
      <c r="L215" s="91">
        <f>IF(TrRoad_act!L76=0,0,TrRoad_emi!L73/TrRoad_tech!L188)</f>
        <v>1.0347657458526807</v>
      </c>
      <c r="M215" s="91">
        <f>IF(TrRoad_act!M76=0,0,TrRoad_emi!M73/TrRoad_tech!M188)</f>
        <v>1.0585886050781101</v>
      </c>
      <c r="N215" s="91">
        <f>IF(TrRoad_act!N76=0,0,TrRoad_emi!N73/TrRoad_tech!N188)</f>
        <v>1.0639880552902037</v>
      </c>
      <c r="O215" s="91">
        <f>IF(TrRoad_act!O76=0,0,TrRoad_emi!O73/TrRoad_tech!O188)</f>
        <v>1.0734311925693552</v>
      </c>
      <c r="P215" s="91">
        <f>IF(TrRoad_act!P76=0,0,TrRoad_emi!P73/TrRoad_tech!P188)</f>
        <v>1.0824964984659196</v>
      </c>
      <c r="Q215" s="91">
        <f>IF(TrRoad_act!Q76=0,0,TrRoad_emi!Q73/TrRoad_tech!Q188)</f>
        <v>1.0973209441365157</v>
      </c>
      <c r="R215" s="91">
        <f>IF(TrRoad_act!R76=0,0,TrRoad_emi!R73/TrRoad_tech!R188)</f>
        <v>1.1148058522871962</v>
      </c>
      <c r="S215" s="91">
        <f>IF(TrRoad_act!S76=0,0,TrRoad_emi!S73/TrRoad_tech!S188)</f>
        <v>1.1208943186836537</v>
      </c>
      <c r="T215" s="91">
        <f>IF(TrRoad_act!T76=0,0,TrRoad_emi!T73/TrRoad_tech!T188)</f>
        <v>1.1381100223797114</v>
      </c>
      <c r="U215" s="91">
        <f>IF(TrRoad_act!U76=0,0,TrRoad_emi!U73/TrRoad_tech!U188)</f>
        <v>1.1403709470030545</v>
      </c>
      <c r="V215" s="91">
        <f>IF(TrRoad_act!V76=0,0,TrRoad_emi!V73/TrRoad_tech!V188)</f>
        <v>1.160381050496444</v>
      </c>
      <c r="W215" s="91">
        <f>IF(TrRoad_act!W76=0,0,TrRoad_emi!W73/TrRoad_tech!W188)</f>
        <v>1.1954972969587974</v>
      </c>
      <c r="X215" s="91">
        <f>IF(TrRoad_act!X76=0,0,TrRoad_emi!X73/TrRoad_tech!X188)</f>
        <v>1.191619748920254</v>
      </c>
      <c r="Y215" s="91">
        <f>IF(TrRoad_act!Y76=0,0,TrRoad_emi!Y73/TrRoad_tech!Y188)</f>
        <v>1.1594451156756109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1.1000000000067307</v>
      </c>
      <c r="C216" s="91">
        <f>IF(TrRoad_act!C77=0,0,TrRoad_emi!C74/TrRoad_tech!C189)</f>
        <v>1.1002020675235922</v>
      </c>
      <c r="D216" s="91">
        <f>IF(TrRoad_act!D77=0,0,TrRoad_emi!D74/TrRoad_tech!D189)</f>
        <v>1.1005631388113646</v>
      </c>
      <c r="E216" s="91">
        <f>IF(TrRoad_act!E77=0,0,TrRoad_emi!E74/TrRoad_tech!E189)</f>
        <v>1.1011298049176017</v>
      </c>
      <c r="F216" s="91">
        <f>IF(TrRoad_act!F77=0,0,TrRoad_emi!F74/TrRoad_tech!F189)</f>
        <v>1.1020166380122467</v>
      </c>
      <c r="G216" s="91">
        <f>IF(TrRoad_act!G77=0,0,TrRoad_emi!G74/TrRoad_tech!G189)</f>
        <v>1.1030842122858133</v>
      </c>
      <c r="H216" s="91">
        <f>IF(TrRoad_act!H77=0,0,TrRoad_emi!H74/TrRoad_tech!H189)</f>
        <v>1.1049264694254959</v>
      </c>
      <c r="I216" s="91">
        <f>IF(TrRoad_act!I77=0,0,TrRoad_emi!I74/TrRoad_tech!I189)</f>
        <v>1.1065981202409856</v>
      </c>
      <c r="J216" s="91">
        <f>IF(TrRoad_act!J77=0,0,TrRoad_emi!J74/TrRoad_tech!J189)</f>
        <v>1.1076197296426646</v>
      </c>
      <c r="K216" s="91">
        <f>IF(TrRoad_act!K77=0,0,TrRoad_emi!K74/TrRoad_tech!K189)</f>
        <v>1.1113192403336378</v>
      </c>
      <c r="L216" s="91">
        <f>IF(TrRoad_act!L77=0,0,TrRoad_emi!L74/TrRoad_tech!L189)</f>
        <v>1.1115788392668076</v>
      </c>
      <c r="M216" s="91">
        <f>IF(TrRoad_act!M77=0,0,TrRoad_emi!M74/TrRoad_tech!M189)</f>
        <v>1.1118932990733326</v>
      </c>
      <c r="N216" s="91">
        <f>IF(TrRoad_act!N77=0,0,TrRoad_emi!N74/TrRoad_tech!N189)</f>
        <v>1.1124732911701039</v>
      </c>
      <c r="O216" s="91">
        <f>IF(TrRoad_act!O77=0,0,TrRoad_emi!O74/TrRoad_tech!O189)</f>
        <v>1.1135175889837965</v>
      </c>
      <c r="P216" s="91">
        <f>IF(TrRoad_act!P77=0,0,TrRoad_emi!P74/TrRoad_tech!P189)</f>
        <v>1.1144762069011811</v>
      </c>
      <c r="Q216" s="91">
        <f>IF(TrRoad_act!Q77=0,0,TrRoad_emi!Q74/TrRoad_tech!Q189)</f>
        <v>1.1153132824805585</v>
      </c>
      <c r="R216" s="91">
        <f>IF(TrRoad_act!R77=0,0,TrRoad_emi!R74/TrRoad_tech!R189)</f>
        <v>1.1157154220283196</v>
      </c>
      <c r="S216" s="91">
        <f>IF(TrRoad_act!S77=0,0,TrRoad_emi!S74/TrRoad_tech!S189)</f>
        <v>1.116369899948449</v>
      </c>
      <c r="T216" s="91">
        <f>IF(TrRoad_act!T77=0,0,TrRoad_emi!T74/TrRoad_tech!T189)</f>
        <v>1.1180227733678811</v>
      </c>
      <c r="U216" s="91">
        <f>IF(TrRoad_act!U77=0,0,TrRoad_emi!U74/TrRoad_tech!U189)</f>
        <v>1.1191681908574742</v>
      </c>
      <c r="V216" s="91">
        <f>IF(TrRoad_act!V77=0,0,TrRoad_emi!V74/TrRoad_tech!V189)</f>
        <v>1.2254074291343715</v>
      </c>
      <c r="W216" s="91">
        <f>IF(TrRoad_act!W77=0,0,TrRoad_emi!W74/TrRoad_tech!W189)</f>
        <v>1.2291221408948121</v>
      </c>
      <c r="X216" s="91">
        <f>IF(TrRoad_act!X77=0,0,TrRoad_emi!X74/TrRoad_tech!X189)</f>
        <v>1.2397166708203213</v>
      </c>
      <c r="Y216" s="91">
        <f>IF(TrRoad_act!Y77=0,0,TrRoad_emi!Y74/TrRoad_tech!Y189)</f>
        <v>1.2576108898546221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1.1000000000067303</v>
      </c>
      <c r="C217" s="91">
        <f>IF(TrRoad_act!C78=0,0,TrRoad_emi!C75/TrRoad_tech!C190)</f>
        <v>1.10000000000673</v>
      </c>
      <c r="D217" s="91">
        <f>IF(TrRoad_act!D78=0,0,TrRoad_emi!D75/TrRoad_tech!D190)</f>
        <v>1.1003087449888216</v>
      </c>
      <c r="E217" s="91">
        <f>IF(TrRoad_act!E78=0,0,TrRoad_emi!E75/TrRoad_tech!E190)</f>
        <v>1.1085698890851619</v>
      </c>
      <c r="F217" s="91">
        <f>IF(TrRoad_act!F78=0,0,TrRoad_emi!F75/TrRoad_tech!F190)</f>
        <v>1.1093078070849711</v>
      </c>
      <c r="G217" s="91">
        <f>IF(TrRoad_act!G78=0,0,TrRoad_emi!G75/TrRoad_tech!G190)</f>
        <v>1.1098142197258243</v>
      </c>
      <c r="H217" s="91">
        <f>IF(TrRoad_act!H78=0,0,TrRoad_emi!H75/TrRoad_tech!H190)</f>
        <v>1.1288176700417045</v>
      </c>
      <c r="I217" s="91">
        <f>IF(TrRoad_act!I78=0,0,TrRoad_emi!I75/TrRoad_tech!I190)</f>
        <v>1.1309359837120012</v>
      </c>
      <c r="J217" s="91">
        <f>IF(TrRoad_act!J78=0,0,TrRoad_emi!J75/TrRoad_tech!J190)</f>
        <v>1.1338351731963212</v>
      </c>
      <c r="K217" s="91">
        <f>IF(TrRoad_act!K78=0,0,TrRoad_emi!K75/TrRoad_tech!K190)</f>
        <v>1.1454190604768357</v>
      </c>
      <c r="L217" s="91">
        <f>IF(TrRoad_act!L78=0,0,TrRoad_emi!L75/TrRoad_tech!L190)</f>
        <v>1.168247719632739</v>
      </c>
      <c r="M217" s="91">
        <f>IF(TrRoad_act!M78=0,0,TrRoad_emi!M75/TrRoad_tech!M190)</f>
        <v>1.1828062728033037</v>
      </c>
      <c r="N217" s="91">
        <f>IF(TrRoad_act!N78=0,0,TrRoad_emi!N75/TrRoad_tech!N190)</f>
        <v>1.197779220894742</v>
      </c>
      <c r="O217" s="91">
        <f>IF(TrRoad_act!O78=0,0,TrRoad_emi!O75/TrRoad_tech!O190)</f>
        <v>1.2105080333118996</v>
      </c>
      <c r="P217" s="91">
        <f>IF(TrRoad_act!P78=0,0,TrRoad_emi!P75/TrRoad_tech!P190)</f>
        <v>1.2205351605859689</v>
      </c>
      <c r="Q217" s="91">
        <f>IF(TrRoad_act!Q78=0,0,TrRoad_emi!Q75/TrRoad_tech!Q190)</f>
        <v>1.2305061941029529</v>
      </c>
      <c r="R217" s="91">
        <f>IF(TrRoad_act!R78=0,0,TrRoad_emi!R75/TrRoad_tech!R190)</f>
        <v>1.2443553519828041</v>
      </c>
      <c r="S217" s="91">
        <f>IF(TrRoad_act!S78=0,0,TrRoad_emi!S75/TrRoad_tech!S190)</f>
        <v>1.2621975143800386</v>
      </c>
      <c r="T217" s="91">
        <f>IF(TrRoad_act!T78=0,0,TrRoad_emi!T75/TrRoad_tech!T190)</f>
        <v>1.3129458005741577</v>
      </c>
      <c r="U217" s="91">
        <f>IF(TrRoad_act!U78=0,0,TrRoad_emi!U75/TrRoad_tech!U190)</f>
        <v>1.3318260527452397</v>
      </c>
      <c r="V217" s="91">
        <f>IF(TrRoad_act!V78=0,0,TrRoad_emi!V75/TrRoad_tech!V190)</f>
        <v>1.3301848872864621</v>
      </c>
      <c r="W217" s="91">
        <f>IF(TrRoad_act!W78=0,0,TrRoad_emi!W75/TrRoad_tech!W190)</f>
        <v>1.3289567976493335</v>
      </c>
      <c r="X217" s="91">
        <f>IF(TrRoad_act!X78=0,0,TrRoad_emi!X75/TrRoad_tech!X190)</f>
        <v>1.3198801969359513</v>
      </c>
      <c r="Y217" s="91">
        <f>IF(TrRoad_act!Y78=0,0,TrRoad_emi!Y75/TrRoad_tech!Y190)</f>
        <v>1.3098265625257566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1.1627964172503187</v>
      </c>
      <c r="C219" s="151">
        <f>IF(TrRoad_act!C80=0,0,TrRoad_emi!C77/TrRoad_tech!C192)</f>
        <v>1.1462730684395006</v>
      </c>
      <c r="D219" s="151">
        <f>IF(TrRoad_act!D80=0,0,TrRoad_emi!D77/TrRoad_tech!D192)</f>
        <v>1.1387511347135024</v>
      </c>
      <c r="E219" s="151">
        <f>IF(TrRoad_act!E80=0,0,TrRoad_emi!E77/TrRoad_tech!E192)</f>
        <v>1.1241805231983324</v>
      </c>
      <c r="F219" s="151">
        <f>IF(TrRoad_act!F80=0,0,TrRoad_emi!F77/TrRoad_tech!F192)</f>
        <v>1.1086645555224588</v>
      </c>
      <c r="G219" s="151">
        <f>IF(TrRoad_act!G80=0,0,TrRoad_emi!G77/TrRoad_tech!G192)</f>
        <v>1.1025156277087373</v>
      </c>
      <c r="H219" s="151">
        <f>IF(TrRoad_act!H80=0,0,TrRoad_emi!H77/TrRoad_tech!H192)</f>
        <v>1.0992588035426205</v>
      </c>
      <c r="I219" s="151">
        <f>IF(TrRoad_act!I80=0,0,TrRoad_emi!I77/TrRoad_tech!I192)</f>
        <v>1.0798384157148648</v>
      </c>
      <c r="J219" s="151">
        <f>IF(TrRoad_act!J80=0,0,TrRoad_emi!J77/TrRoad_tech!J192)</f>
        <v>1.0683309334524709</v>
      </c>
      <c r="K219" s="151">
        <f>IF(TrRoad_act!K80=0,0,TrRoad_emi!K77/TrRoad_tech!K192)</f>
        <v>1.0829998674171351</v>
      </c>
      <c r="L219" s="151">
        <f>IF(TrRoad_act!L80=0,0,TrRoad_emi!L77/TrRoad_tech!L192)</f>
        <v>1.0859072729188453</v>
      </c>
      <c r="M219" s="151">
        <f>IF(TrRoad_act!M80=0,0,TrRoad_emi!M77/TrRoad_tech!M192)</f>
        <v>1.1138821486991639</v>
      </c>
      <c r="N219" s="151">
        <f>IF(TrRoad_act!N80=0,0,TrRoad_emi!N77/TrRoad_tech!N192)</f>
        <v>1.1233301356787972</v>
      </c>
      <c r="O219" s="151">
        <f>IF(TrRoad_act!O80=0,0,TrRoad_emi!O77/TrRoad_tech!O192)</f>
        <v>1.1343848704238488</v>
      </c>
      <c r="P219" s="151">
        <f>IF(TrRoad_act!P80=0,0,TrRoad_emi!P77/TrRoad_tech!P192)</f>
        <v>1.1395113220034441</v>
      </c>
      <c r="Q219" s="151">
        <f>IF(TrRoad_act!Q80=0,0,TrRoad_emi!Q77/TrRoad_tech!Q192)</f>
        <v>1.1626635820282063</v>
      </c>
      <c r="R219" s="151">
        <f>IF(TrRoad_act!R80=0,0,TrRoad_emi!R77/TrRoad_tech!R192)</f>
        <v>1.1773342123878114</v>
      </c>
      <c r="S219" s="151">
        <f>IF(TrRoad_act!S80=0,0,TrRoad_emi!S77/TrRoad_tech!S192)</f>
        <v>1.1970876304919549</v>
      </c>
      <c r="T219" s="151">
        <f>IF(TrRoad_act!T80=0,0,TrRoad_emi!T77/TrRoad_tech!T192)</f>
        <v>1.2233733315907496</v>
      </c>
      <c r="U219" s="151">
        <f>IF(TrRoad_act!U80=0,0,TrRoad_emi!U77/TrRoad_tech!U192)</f>
        <v>1.2374118847913083</v>
      </c>
      <c r="V219" s="151">
        <f>IF(TrRoad_act!V80=0,0,TrRoad_emi!V77/TrRoad_tech!V192)</f>
        <v>1.2597681046773657</v>
      </c>
      <c r="W219" s="151">
        <f>IF(TrRoad_act!W80=0,0,TrRoad_emi!W77/TrRoad_tech!W192)</f>
        <v>1.3097535315781239</v>
      </c>
      <c r="X219" s="151">
        <f>IF(TrRoad_act!X80=0,0,TrRoad_emi!X77/TrRoad_tech!X192)</f>
        <v>1.3205662801063061</v>
      </c>
      <c r="Y219" s="151">
        <f>IF(TrRoad_act!Y80=0,0,TrRoad_emi!Y77/TrRoad_tech!Y192)</f>
        <v>1.2853097482739102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1.2140436403038131</v>
      </c>
      <c r="C220" s="93">
        <f>IF(TrRoad_act!C81=0,0,TrRoad_emi!C78/TrRoad_tech!C193)</f>
        <v>1.2017722201423122</v>
      </c>
      <c r="D220" s="93">
        <f>IF(TrRoad_act!D81=0,0,TrRoad_emi!D78/TrRoad_tech!D193)</f>
        <v>1.1961999078411927</v>
      </c>
      <c r="E220" s="93">
        <f>IF(TrRoad_act!E81=0,0,TrRoad_emi!E78/TrRoad_tech!E193)</f>
        <v>1.1856109186574912</v>
      </c>
      <c r="F220" s="93">
        <f>IF(TrRoad_act!F81=0,0,TrRoad_emi!F78/TrRoad_tech!F193)</f>
        <v>1.1750934189594737</v>
      </c>
      <c r="G220" s="93">
        <f>IF(TrRoad_act!G81=0,0,TrRoad_emi!G78/TrRoad_tech!G193)</f>
        <v>1.1690405360487555</v>
      </c>
      <c r="H220" s="93">
        <f>IF(TrRoad_act!H81=0,0,TrRoad_emi!H78/TrRoad_tech!H193)</f>
        <v>1.1668481152805017</v>
      </c>
      <c r="I220" s="93">
        <f>IF(TrRoad_act!I81=0,0,TrRoad_emi!I78/TrRoad_tech!I193)</f>
        <v>1.147565026476804</v>
      </c>
      <c r="J220" s="93">
        <f>IF(TrRoad_act!J81=0,0,TrRoad_emi!J78/TrRoad_tech!J193)</f>
        <v>1.1324113215412384</v>
      </c>
      <c r="K220" s="93">
        <f>IF(TrRoad_act!K81=0,0,TrRoad_emi!K78/TrRoad_tech!K193)</f>
        <v>1.1422355813618812</v>
      </c>
      <c r="L220" s="93">
        <f>IF(TrRoad_act!L81=0,0,TrRoad_emi!L78/TrRoad_tech!L193)</f>
        <v>1.1467602577344593</v>
      </c>
      <c r="M220" s="93">
        <f>IF(TrRoad_act!M81=0,0,TrRoad_emi!M78/TrRoad_tech!M193)</f>
        <v>1.1716037815782143</v>
      </c>
      <c r="N220" s="93">
        <f>IF(TrRoad_act!N81=0,0,TrRoad_emi!N78/TrRoad_tech!N193)</f>
        <v>1.1783252298934879</v>
      </c>
      <c r="O220" s="93">
        <f>IF(TrRoad_act!O81=0,0,TrRoad_emi!O78/TrRoad_tech!O193)</f>
        <v>1.1885160538337123</v>
      </c>
      <c r="P220" s="93">
        <f>IF(TrRoad_act!P81=0,0,TrRoad_emi!P78/TrRoad_tech!P193)</f>
        <v>1.1915987282119511</v>
      </c>
      <c r="Q220" s="93">
        <f>IF(TrRoad_act!Q81=0,0,TrRoad_emi!Q78/TrRoad_tech!Q193)</f>
        <v>1.2102675436382864</v>
      </c>
      <c r="R220" s="93">
        <f>IF(TrRoad_act!R81=0,0,TrRoad_emi!R78/TrRoad_tech!R193)</f>
        <v>1.2234258503777324</v>
      </c>
      <c r="S220" s="93">
        <f>IF(TrRoad_act!S81=0,0,TrRoad_emi!S78/TrRoad_tech!S193)</f>
        <v>1.2388559284876375</v>
      </c>
      <c r="T220" s="93">
        <f>IF(TrRoad_act!T81=0,0,TrRoad_emi!T78/TrRoad_tech!T193)</f>
        <v>1.2601782613030099</v>
      </c>
      <c r="U220" s="93">
        <f>IF(TrRoad_act!U81=0,0,TrRoad_emi!U78/TrRoad_tech!U193)</f>
        <v>1.2713570151521136</v>
      </c>
      <c r="V220" s="93">
        <f>IF(TrRoad_act!V81=0,0,TrRoad_emi!V78/TrRoad_tech!V193)</f>
        <v>1.2881097817943148</v>
      </c>
      <c r="W220" s="93">
        <f>IF(TrRoad_act!W81=0,0,TrRoad_emi!W78/TrRoad_tech!W193)</f>
        <v>1.3254577294815848</v>
      </c>
      <c r="X220" s="93">
        <f>IF(TrRoad_act!X81=0,0,TrRoad_emi!X78/TrRoad_tech!X193)</f>
        <v>1.3344264424423065</v>
      </c>
      <c r="Y220" s="93">
        <f>IF(TrRoad_act!Y81=0,0,TrRoad_emi!Y78/TrRoad_tech!Y193)</f>
        <v>1.3057755220064955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1.2752993505840708</v>
      </c>
      <c r="C221" s="94">
        <f>IF(TrRoad_act!C82=0,0,TrRoad_emi!C79/TrRoad_tech!C194)</f>
        <v>1.2456440531376307</v>
      </c>
      <c r="D221" s="94">
        <f>IF(TrRoad_act!D82=0,0,TrRoad_emi!D79/TrRoad_tech!D194)</f>
        <v>1.2313935105994003</v>
      </c>
      <c r="E221" s="94">
        <f>IF(TrRoad_act!E82=0,0,TrRoad_emi!E79/TrRoad_tech!E194)</f>
        <v>1.2055794224642873</v>
      </c>
      <c r="F221" s="94">
        <f>IF(TrRoad_act!F82=0,0,TrRoad_emi!F79/TrRoad_tech!F194)</f>
        <v>1.1834637393174752</v>
      </c>
      <c r="G221" s="94">
        <f>IF(TrRoad_act!G82=0,0,TrRoad_emi!G79/TrRoad_tech!G194)</f>
        <v>1.1744875370513914</v>
      </c>
      <c r="H221" s="94">
        <f>IF(TrRoad_act!H82=0,0,TrRoad_emi!H79/TrRoad_tech!H194)</f>
        <v>1.1678813424462402</v>
      </c>
      <c r="I221" s="94">
        <f>IF(TrRoad_act!I82=0,0,TrRoad_emi!I79/TrRoad_tech!I194)</f>
        <v>1.1446141269229984</v>
      </c>
      <c r="J221" s="94">
        <f>IF(TrRoad_act!J82=0,0,TrRoad_emi!J79/TrRoad_tech!J194)</f>
        <v>1.1324758696831558</v>
      </c>
      <c r="K221" s="94">
        <f>IF(TrRoad_act!K82=0,0,TrRoad_emi!K79/TrRoad_tech!K194)</f>
        <v>1.1525515297559137</v>
      </c>
      <c r="L221" s="94">
        <f>IF(TrRoad_act!L82=0,0,TrRoad_emi!L79/TrRoad_tech!L194)</f>
        <v>1.1596063688494924</v>
      </c>
      <c r="M221" s="94">
        <f>IF(TrRoad_act!M82=0,0,TrRoad_emi!M79/TrRoad_tech!M194)</f>
        <v>1.1968127534357602</v>
      </c>
      <c r="N221" s="94">
        <f>IF(TrRoad_act!N82=0,0,TrRoad_emi!N79/TrRoad_tech!N194)</f>
        <v>1.2083903593734531</v>
      </c>
      <c r="O221" s="94">
        <f>IF(TrRoad_act!O82=0,0,TrRoad_emi!O79/TrRoad_tech!O194)</f>
        <v>1.2244908915753969</v>
      </c>
      <c r="P221" s="94">
        <f>IF(TrRoad_act!P82=0,0,TrRoad_emi!P79/TrRoad_tech!P194)</f>
        <v>1.2335388978811443</v>
      </c>
      <c r="Q221" s="94">
        <f>IF(TrRoad_act!Q82=0,0,TrRoad_emi!Q79/TrRoad_tech!Q194)</f>
        <v>1.2597722560554037</v>
      </c>
      <c r="R221" s="94">
        <f>IF(TrRoad_act!R82=0,0,TrRoad_emi!R79/TrRoad_tech!R194)</f>
        <v>1.2755003403594967</v>
      </c>
      <c r="S221" s="94">
        <f>IF(TrRoad_act!S82=0,0,TrRoad_emi!S79/TrRoad_tech!S194)</f>
        <v>1.2960624159034075</v>
      </c>
      <c r="T221" s="94">
        <f>IF(TrRoad_act!T82=0,0,TrRoad_emi!T79/TrRoad_tech!T194)</f>
        <v>1.3166980491493578</v>
      </c>
      <c r="U221" s="94">
        <f>IF(TrRoad_act!U82=0,0,TrRoad_emi!U79/TrRoad_tech!U194)</f>
        <v>1.3240164151986882</v>
      </c>
      <c r="V221" s="94">
        <f>IF(TrRoad_act!V82=0,0,TrRoad_emi!V79/TrRoad_tech!V194)</f>
        <v>1.3475536964293064</v>
      </c>
      <c r="W221" s="94">
        <f>IF(TrRoad_act!W82=0,0,TrRoad_emi!W79/TrRoad_tech!W194)</f>
        <v>1.4173086043721719</v>
      </c>
      <c r="X221" s="94">
        <f>IF(TrRoad_act!X82=0,0,TrRoad_emi!X79/TrRoad_tech!X194)</f>
        <v>1.4163951741078558</v>
      </c>
      <c r="Y221" s="94">
        <f>IF(TrRoad_act!Y82=0,0,TrRoad_emi!Y79/TrRoad_tech!Y194)</f>
        <v>1.3647110820904447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89.767302150526831</v>
      </c>
      <c r="C225" s="152">
        <v>89.767302150526831</v>
      </c>
      <c r="D225" s="152">
        <v>89.767302150526831</v>
      </c>
      <c r="E225" s="152">
        <v>89.404052758350161</v>
      </c>
      <c r="F225" s="152">
        <v>89.040803366173478</v>
      </c>
      <c r="G225" s="152">
        <v>87.951915970193639</v>
      </c>
      <c r="H225" s="152">
        <v>86.498918401486961</v>
      </c>
      <c r="I225" s="152">
        <v>85.772419617133636</v>
      </c>
      <c r="J225" s="152">
        <v>81.414287691563757</v>
      </c>
      <c r="K225" s="152">
        <v>77.781793769797034</v>
      </c>
      <c r="L225" s="152">
        <v>77.418544377620364</v>
      </c>
      <c r="M225" s="152">
        <v>77.060479481747109</v>
      </c>
      <c r="N225" s="152">
        <v>76.217033943634164</v>
      </c>
      <c r="O225" s="152">
        <v>73.596682899931153</v>
      </c>
      <c r="P225" s="152">
        <v>72.322231859903724</v>
      </c>
      <c r="Q225" s="152">
        <v>75.507524097636178</v>
      </c>
      <c r="R225" s="152">
        <v>72.114456942106813</v>
      </c>
      <c r="S225" s="152">
        <v>71.43584351100094</v>
      </c>
      <c r="T225" s="152">
        <v>70.892952766116238</v>
      </c>
      <c r="U225" s="152">
        <v>70.458640170208469</v>
      </c>
      <c r="V225" s="152">
        <v>70.111190093482278</v>
      </c>
      <c r="W225" s="152">
        <v>69.833230032101312</v>
      </c>
      <c r="X225" s="152">
        <v>69.610861982996539</v>
      </c>
      <c r="Y225" s="152">
        <v>69.432967543712721</v>
      </c>
      <c r="DA225" s="174" t="s">
        <v>933</v>
      </c>
    </row>
    <row r="226" spans="1:105" ht="11.45" customHeight="1" x14ac:dyDescent="0.25">
      <c r="A226" s="109" t="s">
        <v>20</v>
      </c>
      <c r="B226" s="116">
        <v>200.91709845363118</v>
      </c>
      <c r="C226" s="116">
        <v>199.62157002934234</v>
      </c>
      <c r="D226" s="116">
        <v>198.36042629276363</v>
      </c>
      <c r="E226" s="116">
        <v>197.08160359732295</v>
      </c>
      <c r="F226" s="116">
        <v>194.8995145524955</v>
      </c>
      <c r="G226" s="116">
        <v>193.77996131988647</v>
      </c>
      <c r="H226" s="116">
        <v>190.57558780828498</v>
      </c>
      <c r="I226" s="116">
        <v>191.01234695791328</v>
      </c>
      <c r="J226" s="116">
        <v>178.81137345853764</v>
      </c>
      <c r="K226" s="116">
        <v>170.09034609526341</v>
      </c>
      <c r="L226" s="116">
        <v>165.51400875977487</v>
      </c>
      <c r="M226" s="116">
        <v>162.5509096491738</v>
      </c>
      <c r="N226" s="116">
        <v>158.17221331010413</v>
      </c>
      <c r="O226" s="116">
        <v>148.64924969771559</v>
      </c>
      <c r="P226" s="116">
        <v>144.32129772546361</v>
      </c>
      <c r="Q226" s="116">
        <v>139.68650028176984</v>
      </c>
      <c r="R226" s="116">
        <v>137.59394823163365</v>
      </c>
      <c r="S226" s="116">
        <v>137.77296747334816</v>
      </c>
      <c r="T226" s="116">
        <v>138.88947353579528</v>
      </c>
      <c r="U226" s="116">
        <v>138.6395189040434</v>
      </c>
      <c r="V226" s="116">
        <v>122.01604557634418</v>
      </c>
      <c r="W226" s="116">
        <v>111.20249778918684</v>
      </c>
      <c r="X226" s="116">
        <v>106.67760561550197</v>
      </c>
      <c r="Y226" s="116">
        <v>102.38443688815214</v>
      </c>
      <c r="DA226" s="176" t="s">
        <v>934</v>
      </c>
    </row>
    <row r="227" spans="1:105" ht="11.45" customHeight="1" x14ac:dyDescent="0.25">
      <c r="A227" s="111" t="s">
        <v>110</v>
      </c>
      <c r="B227" s="87">
        <v>198.43245863078786</v>
      </c>
      <c r="C227" s="87">
        <v>198.43245863078786</v>
      </c>
      <c r="D227" s="87">
        <v>198.43245863078783</v>
      </c>
      <c r="E227" s="87">
        <v>197.22232976084658</v>
      </c>
      <c r="F227" s="87">
        <v>196.01220089090538</v>
      </c>
      <c r="G227" s="87">
        <v>192.38468188503884</v>
      </c>
      <c r="H227" s="87">
        <v>187.54416640527396</v>
      </c>
      <c r="I227" s="87">
        <v>185.12390866539161</v>
      </c>
      <c r="J227" s="87">
        <v>170.60522983005418</v>
      </c>
      <c r="K227" s="87">
        <v>158.50394113064198</v>
      </c>
      <c r="L227" s="87">
        <v>156.82710668425989</v>
      </c>
      <c r="M227" s="87">
        <v>155.64913313843172</v>
      </c>
      <c r="N227" s="87">
        <v>152.74697496129835</v>
      </c>
      <c r="O227" s="87">
        <v>144.62078492603814</v>
      </c>
      <c r="P227" s="87">
        <v>140.5470279472091</v>
      </c>
      <c r="Q227" s="87">
        <v>137.77765592697375</v>
      </c>
      <c r="R227" s="87">
        <v>138.00364574049277</v>
      </c>
      <c r="S227" s="87">
        <v>137.90465491660689</v>
      </c>
      <c r="T227" s="87">
        <v>138.74801781325161</v>
      </c>
      <c r="U227" s="87">
        <v>141.10760035575609</v>
      </c>
      <c r="V227" s="87">
        <v>132.92605646238579</v>
      </c>
      <c r="W227" s="87">
        <v>127.00317646468891</v>
      </c>
      <c r="X227" s="87">
        <v>125.7341446676822</v>
      </c>
      <c r="Y227" s="87">
        <v>124.5037691309868</v>
      </c>
      <c r="DA227" s="171" t="s">
        <v>935</v>
      </c>
    </row>
    <row r="228" spans="1:105" ht="11.45" customHeight="1" x14ac:dyDescent="0.25">
      <c r="A228" s="111" t="s">
        <v>111</v>
      </c>
      <c r="B228" s="87">
        <v>203.30651430459804</v>
      </c>
      <c r="C228" s="87">
        <v>200.92828405061462</v>
      </c>
      <c r="D228" s="87">
        <v>198.31842016589113</v>
      </c>
      <c r="E228" s="87">
        <v>197.01348822352944</v>
      </c>
      <c r="F228" s="87">
        <v>194.40362433880603</v>
      </c>
      <c r="G228" s="87">
        <v>194.40362433880603</v>
      </c>
      <c r="H228" s="87">
        <v>191.79376045408262</v>
      </c>
      <c r="I228" s="87">
        <v>193.09869239644436</v>
      </c>
      <c r="J228" s="87">
        <v>181.35777547886545</v>
      </c>
      <c r="K228" s="87">
        <v>174.83311576705697</v>
      </c>
      <c r="L228" s="87">
        <v>169.61338799761148</v>
      </c>
      <c r="M228" s="87">
        <v>165.23535791857094</v>
      </c>
      <c r="N228" s="87">
        <v>160.8967939167857</v>
      </c>
      <c r="O228" s="87">
        <v>151.81856877740262</v>
      </c>
      <c r="P228" s="87">
        <v>147.96099388635704</v>
      </c>
      <c r="Q228" s="87">
        <v>143.45420961148332</v>
      </c>
      <c r="R228" s="87">
        <v>140.43267394295725</v>
      </c>
      <c r="S228" s="87">
        <v>141.81909959641507</v>
      </c>
      <c r="T228" s="87">
        <v>145.83450892507429</v>
      </c>
      <c r="U228" s="87">
        <v>144.3039755932906</v>
      </c>
      <c r="V228" s="87">
        <v>135.55926037884529</v>
      </c>
      <c r="W228" s="87">
        <v>131.2112086868126</v>
      </c>
      <c r="X228" s="87">
        <v>130.21556346177439</v>
      </c>
      <c r="Y228" s="87">
        <v>134.7651508251667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174.43570759091645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178.07861882276768</v>
      </c>
      <c r="K229" s="87">
        <v>166.31123719935206</v>
      </c>
      <c r="L229" s="87">
        <v>147.24970897976115</v>
      </c>
      <c r="M229" s="87">
        <v>138.20049425537735</v>
      </c>
      <c r="N229" s="87">
        <v>150.55729926345242</v>
      </c>
      <c r="O229" s="87">
        <v>148.78492580077892</v>
      </c>
      <c r="P229" s="87">
        <v>151.08113401811025</v>
      </c>
      <c r="Q229" s="87">
        <v>155.11254347675322</v>
      </c>
      <c r="R229" s="87">
        <v>137.25096991308965</v>
      </c>
      <c r="S229" s="87">
        <v>145.33705823419749</v>
      </c>
      <c r="T229" s="87">
        <v>137.47595356550579</v>
      </c>
      <c r="U229" s="87">
        <v>144.9255715045189</v>
      </c>
      <c r="V229" s="87">
        <v>123.63112462006082</v>
      </c>
      <c r="W229" s="87">
        <v>115.5247339164907</v>
      </c>
      <c r="X229" s="87">
        <v>116.9826149945672</v>
      </c>
      <c r="Y229" s="87">
        <v>116.0859930752282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170.38429034170022</v>
      </c>
      <c r="J230" s="87">
        <v>157.02159284956105</v>
      </c>
      <c r="K230" s="87">
        <v>145.88381220235044</v>
      </c>
      <c r="L230" s="87">
        <v>144.77003413762938</v>
      </c>
      <c r="M230" s="87">
        <v>137.09759668636852</v>
      </c>
      <c r="N230" s="87">
        <v>130.34176224063711</v>
      </c>
      <c r="O230" s="87">
        <v>120.95486368883708</v>
      </c>
      <c r="P230" s="87">
        <v>107.71480831926485</v>
      </c>
      <c r="Q230" s="87">
        <v>108.55355540901694</v>
      </c>
      <c r="R230" s="87">
        <v>118.30507689700431</v>
      </c>
      <c r="S230" s="87">
        <v>119.87333716288808</v>
      </c>
      <c r="T230" s="87">
        <v>116.2380952380952</v>
      </c>
      <c r="U230" s="87">
        <v>114.0395136778116</v>
      </c>
      <c r="V230" s="87">
        <v>111.0288461538462</v>
      </c>
      <c r="W230" s="87">
        <v>103.26004228329811</v>
      </c>
      <c r="X230" s="87">
        <v>105.0454545454545</v>
      </c>
      <c r="Y230" s="87">
        <v>102.5714285714286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57.992150918950664</v>
      </c>
      <c r="O231" s="87">
        <v>62.685607189716109</v>
      </c>
      <c r="P231" s="87">
        <v>54.094967375580232</v>
      </c>
      <c r="Q231" s="87">
        <v>58.986410999911847</v>
      </c>
      <c r="R231" s="87">
        <v>62.451007619886283</v>
      </c>
      <c r="S231" s="87">
        <v>63.236302920123308</v>
      </c>
      <c r="T231" s="87">
        <v>65.523588879528219</v>
      </c>
      <c r="U231" s="87">
        <v>57.138516429763477</v>
      </c>
      <c r="V231" s="87">
        <v>44.280901395078978</v>
      </c>
      <c r="W231" s="87">
        <v>38.478931602228649</v>
      </c>
      <c r="X231" s="87">
        <v>34.607039584388417</v>
      </c>
      <c r="Y231" s="87">
        <v>30.602553870710299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1460.8322709815943</v>
      </c>
      <c r="C233" s="116">
        <v>1420.8584974105493</v>
      </c>
      <c r="D233" s="116">
        <v>1458.6735587054129</v>
      </c>
      <c r="E233" s="116">
        <v>1439.572513445522</v>
      </c>
      <c r="F233" s="116">
        <v>1443.9815409787509</v>
      </c>
      <c r="G233" s="116">
        <v>1448.5823613281568</v>
      </c>
      <c r="H233" s="116">
        <v>1434.9330018643213</v>
      </c>
      <c r="I233" s="116">
        <v>1428.4060387175618</v>
      </c>
      <c r="J233" s="116">
        <v>1398.1013901472256</v>
      </c>
      <c r="K233" s="116">
        <v>1389.7815877771213</v>
      </c>
      <c r="L233" s="116">
        <v>1387.4976195659406</v>
      </c>
      <c r="M233" s="116">
        <v>1219.4821860725733</v>
      </c>
      <c r="N233" s="116">
        <v>1327.031223805951</v>
      </c>
      <c r="O233" s="116">
        <v>1262.1721431460983</v>
      </c>
      <c r="P233" s="116">
        <v>1310.1538338536709</v>
      </c>
      <c r="Q233" s="116">
        <v>1315.3105573383857</v>
      </c>
      <c r="R233" s="116">
        <v>1303.3719694214915</v>
      </c>
      <c r="S233" s="116">
        <v>1245.1939434069754</v>
      </c>
      <c r="T233" s="116">
        <v>1188.6969826577595</v>
      </c>
      <c r="U233" s="116">
        <v>1090.4061850826563</v>
      </c>
      <c r="V233" s="116">
        <v>1045.1938115140674</v>
      </c>
      <c r="W233" s="116">
        <v>963.18146738562393</v>
      </c>
      <c r="X233" s="116">
        <v>930.52203389695376</v>
      </c>
      <c r="Y233" s="116">
        <v>908.93085707613204</v>
      </c>
      <c r="DA233" s="176" t="s">
        <v>941</v>
      </c>
    </row>
    <row r="234" spans="1:105" ht="11.45" customHeight="1" x14ac:dyDescent="0.25">
      <c r="A234" s="111" t="s">
        <v>110</v>
      </c>
      <c r="B234" s="101">
        <v>430.18655702730052</v>
      </c>
      <c r="C234" s="101">
        <v>430.18655702730052</v>
      </c>
      <c r="D234" s="101">
        <v>430.18655702730052</v>
      </c>
      <c r="E234" s="101">
        <v>427.56308919491335</v>
      </c>
      <c r="F234" s="101">
        <v>424.93962136252628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332.32350886640887</v>
      </c>
      <c r="O234" s="101">
        <v>0</v>
      </c>
      <c r="P234" s="101">
        <v>0</v>
      </c>
      <c r="Q234" s="101">
        <v>0</v>
      </c>
      <c r="R234" s="101">
        <v>0</v>
      </c>
      <c r="S234" s="101">
        <v>310.25644670089326</v>
      </c>
      <c r="T234" s="101">
        <v>0</v>
      </c>
      <c r="U234" s="101">
        <v>294.1109532420765</v>
      </c>
      <c r="V234" s="101">
        <v>287.06235277518914</v>
      </c>
      <c r="W234" s="101">
        <v>280.58229643898301</v>
      </c>
      <c r="X234" s="101">
        <v>274.60053338091893</v>
      </c>
      <c r="Y234" s="101">
        <v>269.05673309361924</v>
      </c>
      <c r="DA234" s="175" t="s">
        <v>942</v>
      </c>
    </row>
    <row r="235" spans="1:105" ht="11.45" customHeight="1" x14ac:dyDescent="0.25">
      <c r="A235" s="111" t="s">
        <v>111</v>
      </c>
      <c r="B235" s="101">
        <v>1472.3430480497016</v>
      </c>
      <c r="C235" s="101">
        <v>1472.3430480497016</v>
      </c>
      <c r="D235" s="101">
        <v>1472.3430480497016</v>
      </c>
      <c r="E235" s="101">
        <v>1470.0879840402181</v>
      </c>
      <c r="F235" s="101">
        <v>1467.8224944833812</v>
      </c>
      <c r="G235" s="101">
        <v>1460.9358074095946</v>
      </c>
      <c r="H235" s="101">
        <v>1451.569553809381</v>
      </c>
      <c r="I235" s="101">
        <v>1446.8406571960259</v>
      </c>
      <c r="J235" s="101">
        <v>1416.7000038548606</v>
      </c>
      <c r="K235" s="101">
        <v>1390.1662733773644</v>
      </c>
      <c r="L235" s="101">
        <v>1387.4976195659406</v>
      </c>
      <c r="M235" s="101">
        <v>1384.8520067572247</v>
      </c>
      <c r="N235" s="101">
        <v>1378.5348075438942</v>
      </c>
      <c r="O235" s="101">
        <v>1358.0334072891815</v>
      </c>
      <c r="P235" s="101">
        <v>1347.8376286338116</v>
      </c>
      <c r="Q235" s="101">
        <v>1340.2449215971562</v>
      </c>
      <c r="R235" s="101">
        <v>1322.7804773825969</v>
      </c>
      <c r="S235" s="101">
        <v>1296.7990822861636</v>
      </c>
      <c r="T235" s="101">
        <v>1263.6616126068475</v>
      </c>
      <c r="U235" s="101">
        <v>1224.6860001833008</v>
      </c>
      <c r="V235" s="101">
        <v>1181.1117498818542</v>
      </c>
      <c r="W235" s="101">
        <v>1134.076301272665</v>
      </c>
      <c r="X235" s="101">
        <v>1084.6012581809969</v>
      </c>
      <c r="Y235" s="101">
        <v>1033.5864850839296</v>
      </c>
      <c r="DA235" s="175" t="s">
        <v>943</v>
      </c>
    </row>
    <row r="236" spans="1:105" ht="11.45" customHeight="1" x14ac:dyDescent="0.25">
      <c r="A236" s="111" t="s">
        <v>112</v>
      </c>
      <c r="B236" s="101">
        <v>1029.1416288456719</v>
      </c>
      <c r="C236" s="101">
        <v>1029.1416288456719</v>
      </c>
      <c r="D236" s="101">
        <v>1044.813836391545</v>
      </c>
      <c r="E236" s="101">
        <v>1032.7814470873639</v>
      </c>
      <c r="F236" s="101">
        <v>1025.98184222754</v>
      </c>
      <c r="G236" s="101">
        <v>1021.1681703309968</v>
      </c>
      <c r="H236" s="101">
        <v>1014.6213254913558</v>
      </c>
      <c r="I236" s="101">
        <v>1011.3159107853489</v>
      </c>
      <c r="J236" s="101">
        <v>0</v>
      </c>
      <c r="K236" s="101">
        <v>986.49900866072528</v>
      </c>
      <c r="L236" s="101">
        <v>0</v>
      </c>
      <c r="M236" s="101">
        <v>0</v>
      </c>
      <c r="N236" s="101">
        <v>963.571335590187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928.90738861435295</v>
      </c>
      <c r="D237" s="101">
        <v>928.90738861435295</v>
      </c>
      <c r="E237" s="101">
        <v>927.48465929662882</v>
      </c>
      <c r="F237" s="101">
        <v>926.05535245746387</v>
      </c>
      <c r="G237" s="101">
        <v>921.71051277191009</v>
      </c>
      <c r="H237" s="101">
        <v>915.80130419147861</v>
      </c>
      <c r="I237" s="101">
        <v>912.81782353460483</v>
      </c>
      <c r="J237" s="101">
        <v>893.80195924716236</v>
      </c>
      <c r="K237" s="101">
        <v>877.06171768409968</v>
      </c>
      <c r="L237" s="101">
        <v>0</v>
      </c>
      <c r="M237" s="101">
        <v>873.70892464102917</v>
      </c>
      <c r="N237" s="101">
        <v>869.72337722911004</v>
      </c>
      <c r="O237" s="101">
        <v>856.78895804007072</v>
      </c>
      <c r="P237" s="101">
        <v>850.35639863199333</v>
      </c>
      <c r="Q237" s="101">
        <v>845.56612799820584</v>
      </c>
      <c r="R237" s="101">
        <v>841.86222313927772</v>
      </c>
      <c r="S237" s="101">
        <v>838.80802488018958</v>
      </c>
      <c r="T237" s="101">
        <v>836.143846241029</v>
      </c>
      <c r="U237" s="101">
        <v>833.71485305368935</v>
      </c>
      <c r="V237" s="101">
        <v>831.42858459063973</v>
      </c>
      <c r="W237" s="101">
        <v>829.22977416796334</v>
      </c>
      <c r="X237" s="101">
        <v>827.0853668251923</v>
      </c>
      <c r="Y237" s="101">
        <v>824.97558378671135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263.95575710703582</v>
      </c>
      <c r="C240" s="152">
        <v>260.96201946768065</v>
      </c>
      <c r="D240" s="152">
        <v>257.8853518953257</v>
      </c>
      <c r="E240" s="152">
        <v>256.23627712252636</v>
      </c>
      <c r="F240" s="152">
        <v>252.80421894268491</v>
      </c>
      <c r="G240" s="152">
        <v>252.79822938510458</v>
      </c>
      <c r="H240" s="152">
        <v>249.34232708802983</v>
      </c>
      <c r="I240" s="152">
        <v>250.94081075419655</v>
      </c>
      <c r="J240" s="152">
        <v>235.64108767255587</v>
      </c>
      <c r="K240" s="152">
        <v>226.96162577174576</v>
      </c>
      <c r="L240" s="152">
        <v>219.50414307235869</v>
      </c>
      <c r="M240" s="152">
        <v>213.02998627415377</v>
      </c>
      <c r="N240" s="152">
        <v>206.7822685605486</v>
      </c>
      <c r="O240" s="152">
        <v>185.48526890070204</v>
      </c>
      <c r="P240" s="152">
        <v>185.19642113286542</v>
      </c>
      <c r="Q240" s="152">
        <v>189.36644229601043</v>
      </c>
      <c r="R240" s="152">
        <v>195.07730104003053</v>
      </c>
      <c r="S240" s="152">
        <v>185.88770867684326</v>
      </c>
      <c r="T240" s="152">
        <v>183.60608728418822</v>
      </c>
      <c r="U240" s="152">
        <v>183.29421731913678</v>
      </c>
      <c r="V240" s="152">
        <v>189.12053933266074</v>
      </c>
      <c r="W240" s="152">
        <v>189.1830594729872</v>
      </c>
      <c r="X240" s="152">
        <v>195.86017265269152</v>
      </c>
      <c r="Y240" s="152">
        <v>182.88255077878568</v>
      </c>
      <c r="DA240" s="174" t="s">
        <v>947</v>
      </c>
    </row>
    <row r="241" spans="1:105" ht="11.45" customHeight="1" x14ac:dyDescent="0.25">
      <c r="A241" s="111" t="s">
        <v>110</v>
      </c>
      <c r="B241" s="87">
        <v>259.97192325132619</v>
      </c>
      <c r="C241" s="87">
        <v>259.97192325132619</v>
      </c>
      <c r="D241" s="87">
        <v>259.97192325132619</v>
      </c>
      <c r="E241" s="87">
        <v>258.38649951636182</v>
      </c>
      <c r="F241" s="87">
        <v>256.80107578139751</v>
      </c>
      <c r="G241" s="87">
        <v>252.04856150478648</v>
      </c>
      <c r="H241" s="87">
        <v>245.7068665649293</v>
      </c>
      <c r="I241" s="87">
        <v>242.53601909500074</v>
      </c>
      <c r="J241" s="87">
        <v>223.51469120371104</v>
      </c>
      <c r="K241" s="87">
        <v>207.66045385406809</v>
      </c>
      <c r="L241" s="87">
        <v>206.07503011910376</v>
      </c>
      <c r="M241" s="87">
        <v>204.51223442886663</v>
      </c>
      <c r="N241" s="87">
        <v>200.83096584570094</v>
      </c>
      <c r="O241" s="87">
        <v>167.96801707705683</v>
      </c>
      <c r="P241" s="87">
        <v>166.23048937628289</v>
      </c>
      <c r="Q241" s="87">
        <v>169.51086066567424</v>
      </c>
      <c r="R241" s="87">
        <v>173.46317592690411</v>
      </c>
      <c r="S241" s="87">
        <v>176.1910412068888</v>
      </c>
      <c r="T241" s="87">
        <v>177.93489858917388</v>
      </c>
      <c r="U241" s="87">
        <v>175.66107909900467</v>
      </c>
      <c r="V241" s="87">
        <v>162.57190295076151</v>
      </c>
      <c r="W241" s="87">
        <v>161.22121432027089</v>
      </c>
      <c r="X241" s="87">
        <v>158.26792009400711</v>
      </c>
      <c r="Y241" s="87">
        <v>169.49143921845101</v>
      </c>
      <c r="DA241" s="171" t="s">
        <v>948</v>
      </c>
    </row>
    <row r="242" spans="1:105" ht="11.45" customHeight="1" x14ac:dyDescent="0.25">
      <c r="A242" s="111" t="s">
        <v>111</v>
      </c>
      <c r="B242" s="87">
        <v>264.58457918989728</v>
      </c>
      <c r="C242" s="87">
        <v>261.48953300744131</v>
      </c>
      <c r="D242" s="87">
        <v>258.09303713004954</v>
      </c>
      <c r="E242" s="87">
        <v>256.39478919135377</v>
      </c>
      <c r="F242" s="87">
        <v>252.99829331396197</v>
      </c>
      <c r="G242" s="87">
        <v>252.99829331396197</v>
      </c>
      <c r="H242" s="87">
        <v>249.60179743657028</v>
      </c>
      <c r="I242" s="87">
        <v>251.30004537526611</v>
      </c>
      <c r="J242" s="87">
        <v>236.02033054386141</v>
      </c>
      <c r="K242" s="87">
        <v>227.529090850382</v>
      </c>
      <c r="L242" s="87">
        <v>220.73609909559846</v>
      </c>
      <c r="M242" s="87">
        <v>215.03849884847523</v>
      </c>
      <c r="N242" s="87">
        <v>209.39226004187728</v>
      </c>
      <c r="O242" s="87">
        <v>189.09745380459955</v>
      </c>
      <c r="P242" s="87">
        <v>186.94126114498485</v>
      </c>
      <c r="Q242" s="87">
        <v>191.44893472546892</v>
      </c>
      <c r="R242" s="87">
        <v>198.53760375752759</v>
      </c>
      <c r="S242" s="87">
        <v>188.52243717964535</v>
      </c>
      <c r="T242" s="87">
        <v>189.85712210984585</v>
      </c>
      <c r="U242" s="87">
        <v>187.18989787169389</v>
      </c>
      <c r="V242" s="87">
        <v>195.24379831600621</v>
      </c>
      <c r="W242" s="87">
        <v>195.62172039216671</v>
      </c>
      <c r="X242" s="87">
        <v>203.1907978239127</v>
      </c>
      <c r="Y242" s="87">
        <v>195.15438544566629</v>
      </c>
      <c r="DA242" s="171" t="s">
        <v>949</v>
      </c>
    </row>
    <row r="243" spans="1:105" ht="11.45" customHeight="1" x14ac:dyDescent="0.25">
      <c r="A243" s="111" t="s">
        <v>112</v>
      </c>
      <c r="B243" s="87">
        <v>258.84749870525241</v>
      </c>
      <c r="C243" s="87">
        <v>255.8195634976945</v>
      </c>
      <c r="D243" s="87">
        <v>252.49671503495554</v>
      </c>
      <c r="E243" s="87">
        <v>250.83529080358616</v>
      </c>
      <c r="F243" s="87">
        <v>247.5124423408472</v>
      </c>
      <c r="G243" s="87">
        <v>247.5124423408472</v>
      </c>
      <c r="H243" s="87">
        <v>244.18959387810838</v>
      </c>
      <c r="I243" s="87">
        <v>245.85101810947791</v>
      </c>
      <c r="J243" s="87">
        <v>230.9026187086194</v>
      </c>
      <c r="K243" s="87">
        <v>222.5954975517723</v>
      </c>
      <c r="L243" s="87">
        <v>0</v>
      </c>
      <c r="M243" s="87">
        <v>0</v>
      </c>
      <c r="N243" s="87">
        <v>220.80056377730833</v>
      </c>
      <c r="O243" s="87">
        <v>206.19027484143814</v>
      </c>
      <c r="P243" s="87">
        <v>178.16321353065504</v>
      </c>
      <c r="Q243" s="87">
        <v>181.12642706131078</v>
      </c>
      <c r="R243" s="87">
        <v>157.2355179704017</v>
      </c>
      <c r="S243" s="87">
        <v>152.42029598308673</v>
      </c>
      <c r="T243" s="87">
        <v>166.33885184582863</v>
      </c>
      <c r="U243" s="87">
        <v>164.25</v>
      </c>
      <c r="V243" s="87">
        <v>162.4</v>
      </c>
      <c r="W243" s="87">
        <v>187.4406779661017</v>
      </c>
      <c r="X243" s="87">
        <v>194.6115107913669</v>
      </c>
      <c r="Y243" s="87">
        <v>195.35472972972971</v>
      </c>
      <c r="DA243" s="171" t="s">
        <v>950</v>
      </c>
    </row>
    <row r="244" spans="1:105" ht="11.45" customHeight="1" x14ac:dyDescent="0.25">
      <c r="A244" s="111" t="s">
        <v>113</v>
      </c>
      <c r="B244" s="87">
        <v>234.84267727202933</v>
      </c>
      <c r="C244" s="87">
        <v>0</v>
      </c>
      <c r="D244" s="87">
        <v>234.84267727202933</v>
      </c>
      <c r="E244" s="87">
        <v>233.4105027899808</v>
      </c>
      <c r="F244" s="87">
        <v>231.97832830793217</v>
      </c>
      <c r="G244" s="87">
        <v>227.68519864017998</v>
      </c>
      <c r="H244" s="87">
        <v>221.95650071198568</v>
      </c>
      <c r="I244" s="87">
        <v>219.09215174788858</v>
      </c>
      <c r="J244" s="87">
        <v>201.90945174169929</v>
      </c>
      <c r="K244" s="87">
        <v>187.58770692121371</v>
      </c>
      <c r="L244" s="87">
        <v>186.15553243916517</v>
      </c>
      <c r="M244" s="87">
        <v>176.28977059588161</v>
      </c>
      <c r="N244" s="87">
        <v>167.6026416205579</v>
      </c>
      <c r="O244" s="87">
        <v>151.80934880724689</v>
      </c>
      <c r="P244" s="87">
        <v>148.73008952551302</v>
      </c>
      <c r="Q244" s="87">
        <v>154.51276936976743</v>
      </c>
      <c r="R244" s="87">
        <v>182.12209119691224</v>
      </c>
      <c r="S244" s="87">
        <v>192.57910037909537</v>
      </c>
      <c r="T244" s="87">
        <v>184.35050658296174</v>
      </c>
      <c r="U244" s="87">
        <v>186.93628151238033</v>
      </c>
      <c r="V244" s="87">
        <v>164.70083932442128</v>
      </c>
      <c r="W244" s="87">
        <v>214.9782805429864</v>
      </c>
      <c r="X244" s="87">
        <v>190.53846153846149</v>
      </c>
      <c r="Y244" s="87">
        <v>147.41758241758239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1024.8455418612407</v>
      </c>
      <c r="C246" s="116">
        <v>1019.1395050126781</v>
      </c>
      <c r="D246" s="116">
        <v>1012.6368289838132</v>
      </c>
      <c r="E246" s="116">
        <v>1004.0822441081933</v>
      </c>
      <c r="F246" s="116">
        <v>999.29671343357711</v>
      </c>
      <c r="G246" s="116">
        <v>983.37276236792059</v>
      </c>
      <c r="H246" s="116">
        <v>970.63992746424753</v>
      </c>
      <c r="I246" s="116">
        <v>956.25391259196476</v>
      </c>
      <c r="J246" s="116">
        <v>937.36084738971158</v>
      </c>
      <c r="K246" s="116">
        <v>915.03998744454759</v>
      </c>
      <c r="L246" s="116">
        <v>908.15709361030224</v>
      </c>
      <c r="M246" s="116">
        <v>879.04278430227316</v>
      </c>
      <c r="N246" s="116">
        <v>860.98756594408849</v>
      </c>
      <c r="O246" s="116">
        <v>845.68229593087642</v>
      </c>
      <c r="P246" s="116">
        <v>818.64371087895336</v>
      </c>
      <c r="Q246" s="116">
        <v>794.38905268555607</v>
      </c>
      <c r="R246" s="116">
        <v>758.32280431024958</v>
      </c>
      <c r="S246" s="116">
        <v>733.48025019579927</v>
      </c>
      <c r="T246" s="116">
        <v>692.53958827625218</v>
      </c>
      <c r="U246" s="116">
        <v>668.71758345118701</v>
      </c>
      <c r="V246" s="116">
        <v>638.9876504789936</v>
      </c>
      <c r="W246" s="116">
        <v>657.74787581485225</v>
      </c>
      <c r="X246" s="116">
        <v>636.28338714207314</v>
      </c>
      <c r="Y246" s="116">
        <v>624.38703136453967</v>
      </c>
      <c r="DA246" s="176" t="s">
        <v>953</v>
      </c>
    </row>
    <row r="247" spans="1:105" ht="11.45" customHeight="1" x14ac:dyDescent="0.25">
      <c r="A247" s="128" t="s">
        <v>27</v>
      </c>
      <c r="B247" s="101">
        <v>956.43237826439315</v>
      </c>
      <c r="C247" s="101">
        <v>950.56964762284963</v>
      </c>
      <c r="D247" s="101">
        <v>944.0976415849791</v>
      </c>
      <c r="E247" s="101">
        <v>936.0387893961107</v>
      </c>
      <c r="F247" s="101">
        <v>926.41356875144095</v>
      </c>
      <c r="G247" s="101">
        <v>915.24626488524882</v>
      </c>
      <c r="H247" s="101">
        <v>902.56481912884499</v>
      </c>
      <c r="I247" s="101">
        <v>888.40065680438954</v>
      </c>
      <c r="J247" s="101">
        <v>872.78849639764258</v>
      </c>
      <c r="K247" s="101">
        <v>855.7661421040101</v>
      </c>
      <c r="L247" s="101">
        <v>837.3742620328369</v>
      </c>
      <c r="M247" s="101">
        <v>817.65615439047986</v>
      </c>
      <c r="N247" s="101">
        <v>796.65750405259564</v>
      </c>
      <c r="O247" s="101">
        <v>774.42613196428522</v>
      </c>
      <c r="P247" s="101">
        <v>751.01173974936887</v>
      </c>
      <c r="Q247" s="101">
        <v>726.4656519104584</v>
      </c>
      <c r="R247" s="101">
        <v>687.87075473235598</v>
      </c>
      <c r="S247" s="101">
        <v>660.85432670768409</v>
      </c>
      <c r="T247" s="101">
        <v>632.48707728177874</v>
      </c>
      <c r="U247" s="101">
        <v>597.81599465011675</v>
      </c>
      <c r="V247" s="101">
        <v>579.0838772434023</v>
      </c>
      <c r="W247" s="101">
        <v>573.40244113481776</v>
      </c>
      <c r="X247" s="101">
        <v>570.2433525405462</v>
      </c>
      <c r="Y247" s="101">
        <v>564.54091901514073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82586.552367490192</v>
      </c>
      <c r="C4" s="28">
        <f t="shared" ref="C4:V4" si="1">SUM(C5,C6,C9)</f>
        <v>84529.237738894386</v>
      </c>
      <c r="D4" s="28">
        <f t="shared" si="1"/>
        <v>86540.789264264342</v>
      </c>
      <c r="E4" s="28">
        <f t="shared" si="1"/>
        <v>84766.32898632178</v>
      </c>
      <c r="F4" s="28">
        <f t="shared" si="1"/>
        <v>89311.632693297783</v>
      </c>
      <c r="G4" s="28">
        <f t="shared" si="1"/>
        <v>91713.008074748417</v>
      </c>
      <c r="H4" s="28">
        <f t="shared" si="1"/>
        <v>95502.877924160333</v>
      </c>
      <c r="I4" s="28">
        <f t="shared" si="1"/>
        <v>97648.179587810591</v>
      </c>
      <c r="J4" s="28">
        <f t="shared" si="1"/>
        <v>103653.94241273106</v>
      </c>
      <c r="K4" s="28">
        <f t="shared" si="1"/>
        <v>101821.38761838467</v>
      </c>
      <c r="L4" s="28">
        <f t="shared" si="1"/>
        <v>102166.83545137725</v>
      </c>
      <c r="M4" s="28">
        <f t="shared" si="1"/>
        <v>105595.59315414328</v>
      </c>
      <c r="N4" s="28">
        <f t="shared" si="1"/>
        <v>106311.37251954872</v>
      </c>
      <c r="O4" s="28">
        <f t="shared" si="1"/>
        <v>105829.78112363731</v>
      </c>
      <c r="P4" s="28">
        <f t="shared" si="1"/>
        <v>105333.29871039712</v>
      </c>
      <c r="Q4" s="28">
        <f t="shared" si="1"/>
        <v>105702.98466171586</v>
      </c>
      <c r="R4" s="28">
        <f t="shared" si="1"/>
        <v>105120.27766897556</v>
      </c>
      <c r="S4" s="28">
        <f t="shared" si="1"/>
        <v>111506.761184713</v>
      </c>
      <c r="T4" s="28">
        <f t="shared" si="1"/>
        <v>106260.36843526563</v>
      </c>
      <c r="U4" s="28">
        <f t="shared" si="1"/>
        <v>110354.16255895862</v>
      </c>
      <c r="V4" s="28">
        <f t="shared" si="1"/>
        <v>62827.347300934736</v>
      </c>
      <c r="W4" s="28">
        <f t="shared" ref="W4:Y4" si="2">SUM(W5,W6,W9)</f>
        <v>82051.536377723838</v>
      </c>
      <c r="X4" s="28">
        <f t="shared" si="2"/>
        <v>111559.70934923508</v>
      </c>
      <c r="Y4" s="28">
        <f t="shared" si="2"/>
        <v>117312.87715967574</v>
      </c>
      <c r="DA4" s="173" t="s">
        <v>376</v>
      </c>
    </row>
    <row r="5" spans="1:105" ht="11.45" customHeight="1" x14ac:dyDescent="0.25">
      <c r="A5" s="107" t="s">
        <v>23</v>
      </c>
      <c r="B5" s="108">
        <v>7724.0431490065121</v>
      </c>
      <c r="C5" s="108">
        <v>7769.5880121263035</v>
      </c>
      <c r="D5" s="108">
        <v>7977.2892893022072</v>
      </c>
      <c r="E5" s="108">
        <v>8155.4573582894873</v>
      </c>
      <c r="F5" s="108">
        <v>9093.9084975150909</v>
      </c>
      <c r="G5" s="108">
        <v>9375.8304582177316</v>
      </c>
      <c r="H5" s="108">
        <v>9717.3314868784601</v>
      </c>
      <c r="I5" s="108">
        <v>9797.5213131986329</v>
      </c>
      <c r="J5" s="108">
        <v>10452.132712643686</v>
      </c>
      <c r="K5" s="108">
        <v>9568.4556247749915</v>
      </c>
      <c r="L5" s="108">
        <v>9806.3450079108698</v>
      </c>
      <c r="M5" s="108">
        <v>9930.2983452846838</v>
      </c>
      <c r="N5" s="108">
        <v>10465.358973566958</v>
      </c>
      <c r="O5" s="108">
        <v>10704.861136223224</v>
      </c>
      <c r="P5" s="108">
        <v>10948.744205250521</v>
      </c>
      <c r="Q5" s="108">
        <v>11042.604368561835</v>
      </c>
      <c r="R5" s="108">
        <v>11133.583305155149</v>
      </c>
      <c r="S5" s="108">
        <v>11306.01665471299</v>
      </c>
      <c r="T5" s="108">
        <v>11661.627571265637</v>
      </c>
      <c r="U5" s="108">
        <v>11404.560736958605</v>
      </c>
      <c r="V5" s="108">
        <v>6153.0741569347338</v>
      </c>
      <c r="W5" s="108">
        <v>7910.7060877238437</v>
      </c>
      <c r="X5" s="108">
        <v>10071.721038235079</v>
      </c>
      <c r="Y5" s="108">
        <v>10360.26432667575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39671.489577238863</v>
      </c>
      <c r="C6" s="110">
        <f t="shared" ref="C6:V6" si="4">SUM(C7:C8)</f>
        <v>38767.186905081202</v>
      </c>
      <c r="D6" s="110">
        <f t="shared" si="4"/>
        <v>38159.474736033815</v>
      </c>
      <c r="E6" s="110">
        <f t="shared" si="4"/>
        <v>36520.188058439089</v>
      </c>
      <c r="F6" s="110">
        <f t="shared" si="4"/>
        <v>38088.165686821158</v>
      </c>
      <c r="G6" s="110">
        <f t="shared" si="4"/>
        <v>38913.69257217626</v>
      </c>
      <c r="H6" s="110">
        <f t="shared" si="4"/>
        <v>40013.028844043845</v>
      </c>
      <c r="I6" s="110">
        <f t="shared" si="4"/>
        <v>38865.216373422532</v>
      </c>
      <c r="J6" s="110">
        <f t="shared" si="4"/>
        <v>39864.709369642937</v>
      </c>
      <c r="K6" s="110">
        <f t="shared" si="4"/>
        <v>39284.234020510368</v>
      </c>
      <c r="L6" s="110">
        <f t="shared" si="4"/>
        <v>38453.736454856233</v>
      </c>
      <c r="M6" s="110">
        <f t="shared" si="4"/>
        <v>40476.569784752937</v>
      </c>
      <c r="N6" s="110">
        <f t="shared" si="4"/>
        <v>40659.984641617528</v>
      </c>
      <c r="O6" s="110">
        <f t="shared" si="4"/>
        <v>40211.758422112696</v>
      </c>
      <c r="P6" s="110">
        <f t="shared" si="4"/>
        <v>39517.716598937201</v>
      </c>
      <c r="Q6" s="110">
        <f t="shared" si="4"/>
        <v>39457.990157780019</v>
      </c>
      <c r="R6" s="110">
        <f t="shared" si="4"/>
        <v>39223.418769510004</v>
      </c>
      <c r="S6" s="110">
        <f t="shared" si="4"/>
        <v>40554.30954200001</v>
      </c>
      <c r="T6" s="110">
        <f t="shared" si="4"/>
        <v>38535.514314999993</v>
      </c>
      <c r="U6" s="110">
        <f t="shared" si="4"/>
        <v>40023.971710000013</v>
      </c>
      <c r="V6" s="110">
        <f t="shared" si="4"/>
        <v>23610.820739999996</v>
      </c>
      <c r="W6" s="110">
        <f t="shared" ref="W6:Y6" si="5">SUM(W7:W8)</f>
        <v>30619.322423999998</v>
      </c>
      <c r="X6" s="110">
        <f t="shared" si="5"/>
        <v>40111.862157999996</v>
      </c>
      <c r="Y6" s="110">
        <f t="shared" si="5"/>
        <v>42381.445115999995</v>
      </c>
      <c r="DA6" s="176" t="s">
        <v>378</v>
      </c>
    </row>
    <row r="7" spans="1:105" ht="11.45" customHeight="1" x14ac:dyDescent="0.25">
      <c r="A7" s="111" t="s">
        <v>90</v>
      </c>
      <c r="B7" s="84">
        <v>7353.1372539413278</v>
      </c>
      <c r="C7" s="84">
        <v>7197.193671109284</v>
      </c>
      <c r="D7" s="84">
        <v>7217.4336511658812</v>
      </c>
      <c r="E7" s="84">
        <v>7028.6216468167941</v>
      </c>
      <c r="F7" s="84">
        <v>7458.5392042938893</v>
      </c>
      <c r="G7" s="84">
        <v>7606.358491090311</v>
      </c>
      <c r="H7" s="84">
        <v>7822.573483039745</v>
      </c>
      <c r="I7" s="84">
        <v>7262.0888809201415</v>
      </c>
      <c r="J7" s="84">
        <v>7253.5867850758132</v>
      </c>
      <c r="K7" s="84">
        <v>6894.1958248318051</v>
      </c>
      <c r="L7" s="84">
        <v>6582.793744140974</v>
      </c>
      <c r="M7" s="84">
        <v>6924.9952397125207</v>
      </c>
      <c r="N7" s="84">
        <v>6716.1002145223156</v>
      </c>
      <c r="O7" s="84">
        <v>6519.5477193334173</v>
      </c>
      <c r="P7" s="84">
        <v>6127.9386624964682</v>
      </c>
      <c r="Q7" s="84">
        <v>6259.9884584820793</v>
      </c>
      <c r="R7" s="84">
        <v>5667.1745847505526</v>
      </c>
      <c r="S7" s="84">
        <v>6163.5042071440039</v>
      </c>
      <c r="T7" s="84">
        <v>5693.1829451355034</v>
      </c>
      <c r="U7" s="84">
        <v>6060.8962141744478</v>
      </c>
      <c r="V7" s="84">
        <v>3307.679562581844</v>
      </c>
      <c r="W7" s="84">
        <v>4567.5000244238163</v>
      </c>
      <c r="X7" s="84">
        <v>5503.4763575550296</v>
      </c>
      <c r="Y7" s="84">
        <v>5135.845484254477</v>
      </c>
      <c r="DA7" s="171" t="s">
        <v>1031</v>
      </c>
    </row>
    <row r="8" spans="1:105" ht="11.45" customHeight="1" x14ac:dyDescent="0.25">
      <c r="A8" s="111" t="s">
        <v>93</v>
      </c>
      <c r="B8" s="84">
        <v>32318.352323297535</v>
      </c>
      <c r="C8" s="84">
        <v>31569.993233971916</v>
      </c>
      <c r="D8" s="84">
        <v>30942.041084867935</v>
      </c>
      <c r="E8" s="84">
        <v>29491.566411622294</v>
      </c>
      <c r="F8" s="84">
        <v>30629.626482527266</v>
      </c>
      <c r="G8" s="84">
        <v>31307.334081085948</v>
      </c>
      <c r="H8" s="84">
        <v>32190.4553610041</v>
      </c>
      <c r="I8" s="84">
        <v>31603.12749250239</v>
      </c>
      <c r="J8" s="84">
        <v>32611.122584567122</v>
      </c>
      <c r="K8" s="84">
        <v>32390.038195678564</v>
      </c>
      <c r="L8" s="84">
        <v>31870.942710715259</v>
      </c>
      <c r="M8" s="84">
        <v>33551.574545040414</v>
      </c>
      <c r="N8" s="84">
        <v>33943.88442709521</v>
      </c>
      <c r="O8" s="84">
        <v>33692.210702779281</v>
      </c>
      <c r="P8" s="84">
        <v>33389.777936440732</v>
      </c>
      <c r="Q8" s="84">
        <v>33198.001699297936</v>
      </c>
      <c r="R8" s="84">
        <v>33556.244184759453</v>
      </c>
      <c r="S8" s="84">
        <v>34390.805334856006</v>
      </c>
      <c r="T8" s="84">
        <v>32842.331369864492</v>
      </c>
      <c r="U8" s="84">
        <v>33963.075495825564</v>
      </c>
      <c r="V8" s="84">
        <v>20303.141177418151</v>
      </c>
      <c r="W8" s="84">
        <v>26051.82239957618</v>
      </c>
      <c r="X8" s="84">
        <v>34608.385800444965</v>
      </c>
      <c r="Y8" s="84">
        <v>37245.599631745521</v>
      </c>
      <c r="DA8" s="171" t="s">
        <v>1032</v>
      </c>
    </row>
    <row r="9" spans="1:105" ht="11.45" customHeight="1" x14ac:dyDescent="0.25">
      <c r="A9" s="112" t="s">
        <v>25</v>
      </c>
      <c r="B9" s="113">
        <v>35191.01964124482</v>
      </c>
      <c r="C9" s="113">
        <v>37992.46282168688</v>
      </c>
      <c r="D9" s="113">
        <v>40404.02523892832</v>
      </c>
      <c r="E9" s="113">
        <v>40090.68356959321</v>
      </c>
      <c r="F9" s="113">
        <v>42129.558508961534</v>
      </c>
      <c r="G9" s="113">
        <v>43423.48504435442</v>
      </c>
      <c r="H9" s="113">
        <v>45772.517593238023</v>
      </c>
      <c r="I9" s="113">
        <v>48985.441901189421</v>
      </c>
      <c r="J9" s="113">
        <v>53337.100330444446</v>
      </c>
      <c r="K9" s="113">
        <v>52968.697973099319</v>
      </c>
      <c r="L9" s="113">
        <v>53906.753988610144</v>
      </c>
      <c r="M9" s="113">
        <v>55188.725024105661</v>
      </c>
      <c r="N9" s="113">
        <v>55186.028904364226</v>
      </c>
      <c r="O9" s="113">
        <v>54913.16156530138</v>
      </c>
      <c r="P9" s="113">
        <v>54866.837906209403</v>
      </c>
      <c r="Q9" s="113">
        <v>55202.390135374</v>
      </c>
      <c r="R9" s="113">
        <v>54763.275594310391</v>
      </c>
      <c r="S9" s="113">
        <v>59646.434988000001</v>
      </c>
      <c r="T9" s="113">
        <v>56063.226548999999</v>
      </c>
      <c r="U9" s="113">
        <v>58925.630111999999</v>
      </c>
      <c r="V9" s="113">
        <v>33063.452404000003</v>
      </c>
      <c r="W9" s="113">
        <v>43521.507866</v>
      </c>
      <c r="X9" s="113">
        <v>61376.126152999997</v>
      </c>
      <c r="Y9" s="113">
        <v>64571.167716999997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57725.75464222399</v>
      </c>
      <c r="C10" s="28">
        <f t="shared" ref="C10:V10" si="7">SUM(C11:C12)</f>
        <v>51718.302252257003</v>
      </c>
      <c r="D10" s="28">
        <f t="shared" si="7"/>
        <v>51288.192553031004</v>
      </c>
      <c r="E10" s="28">
        <f t="shared" si="7"/>
        <v>48057.268754624005</v>
      </c>
      <c r="F10" s="28">
        <f t="shared" si="7"/>
        <v>45121</v>
      </c>
      <c r="G10" s="28">
        <f t="shared" si="7"/>
        <v>40701</v>
      </c>
      <c r="H10" s="28">
        <f t="shared" si="7"/>
        <v>41179</v>
      </c>
      <c r="I10" s="28">
        <f t="shared" si="7"/>
        <v>42612</v>
      </c>
      <c r="J10" s="28">
        <f t="shared" si="7"/>
        <v>40436</v>
      </c>
      <c r="K10" s="28">
        <f t="shared" si="7"/>
        <v>32128.999999999996</v>
      </c>
      <c r="L10" s="28">
        <f t="shared" si="7"/>
        <v>29965</v>
      </c>
      <c r="M10" s="28">
        <f t="shared" si="7"/>
        <v>34202</v>
      </c>
      <c r="N10" s="28">
        <f t="shared" si="7"/>
        <v>32539</v>
      </c>
      <c r="O10" s="28">
        <f t="shared" si="7"/>
        <v>32229.999999999996</v>
      </c>
      <c r="P10" s="28">
        <f t="shared" si="7"/>
        <v>32595.999999999996</v>
      </c>
      <c r="Q10" s="28">
        <f t="shared" si="7"/>
        <v>36328</v>
      </c>
      <c r="R10" s="28">
        <f t="shared" si="7"/>
        <v>34714</v>
      </c>
      <c r="S10" s="28">
        <f t="shared" si="7"/>
        <v>35481</v>
      </c>
      <c r="T10" s="28">
        <f t="shared" si="7"/>
        <v>33850</v>
      </c>
      <c r="U10" s="28">
        <f t="shared" si="7"/>
        <v>33909</v>
      </c>
      <c r="V10" s="28">
        <f t="shared" si="7"/>
        <v>31297</v>
      </c>
      <c r="W10" s="28">
        <f t="shared" ref="W10:Y10" si="8">SUM(W11:W12)</f>
        <v>35770</v>
      </c>
      <c r="X10" s="28">
        <f t="shared" si="8"/>
        <v>35282</v>
      </c>
      <c r="Y10" s="28">
        <f t="shared" si="8"/>
        <v>29399</v>
      </c>
      <c r="DA10" s="173" t="s">
        <v>384</v>
      </c>
    </row>
    <row r="11" spans="1:105" ht="11.45" customHeight="1" x14ac:dyDescent="0.25">
      <c r="A11" s="83" t="s">
        <v>90</v>
      </c>
      <c r="B11" s="84">
        <v>7763.6389189469273</v>
      </c>
      <c r="C11" s="84">
        <v>7479.6310963519018</v>
      </c>
      <c r="D11" s="84">
        <v>7303.767882729856</v>
      </c>
      <c r="E11" s="84">
        <v>7064.3221006138119</v>
      </c>
      <c r="F11" s="84">
        <v>6232.8279544514044</v>
      </c>
      <c r="G11" s="84">
        <v>4936.5956463994871</v>
      </c>
      <c r="H11" s="84">
        <v>4816.7120560768417</v>
      </c>
      <c r="I11" s="84">
        <v>4692.1181607964836</v>
      </c>
      <c r="J11" s="84">
        <v>4444.0573657999194</v>
      </c>
      <c r="K11" s="84">
        <v>3372.646165719274</v>
      </c>
      <c r="L11" s="84">
        <v>3012.4368753978592</v>
      </c>
      <c r="M11" s="84">
        <v>3537.5812419569775</v>
      </c>
      <c r="N11" s="84">
        <v>3088.1335907614412</v>
      </c>
      <c r="O11" s="84">
        <v>3007.7427103538053</v>
      </c>
      <c r="P11" s="84">
        <v>2940.5652173939789</v>
      </c>
      <c r="Q11" s="84">
        <v>3287.6706269109418</v>
      </c>
      <c r="R11" s="84">
        <v>2869.2426281413032</v>
      </c>
      <c r="S11" s="84">
        <v>3096.4150435988608</v>
      </c>
      <c r="T11" s="84">
        <v>2804.3055006529421</v>
      </c>
      <c r="U11" s="84">
        <v>2829.6100245047196</v>
      </c>
      <c r="V11" s="84">
        <v>2661.9296991652718</v>
      </c>
      <c r="W11" s="84">
        <v>3125.3054625491632</v>
      </c>
      <c r="X11" s="84">
        <v>2999.9423449331307</v>
      </c>
      <c r="Y11" s="84">
        <v>2196.236299073837</v>
      </c>
      <c r="DA11" s="171" t="s">
        <v>1033</v>
      </c>
    </row>
    <row r="12" spans="1:105" ht="11.45" customHeight="1" x14ac:dyDescent="0.25">
      <c r="A12" s="85" t="s">
        <v>93</v>
      </c>
      <c r="B12" s="86">
        <v>49962.115723277064</v>
      </c>
      <c r="C12" s="86">
        <v>44238.671155905104</v>
      </c>
      <c r="D12" s="86">
        <v>43984.424670301145</v>
      </c>
      <c r="E12" s="86">
        <v>40992.946654010193</v>
      </c>
      <c r="F12" s="86">
        <v>38888.172045548592</v>
      </c>
      <c r="G12" s="86">
        <v>35764.404353600512</v>
      </c>
      <c r="H12" s="86">
        <v>36362.287943923162</v>
      </c>
      <c r="I12" s="86">
        <v>37919.881839203517</v>
      </c>
      <c r="J12" s="86">
        <v>35991.942634200081</v>
      </c>
      <c r="K12" s="86">
        <v>28756.353834280722</v>
      </c>
      <c r="L12" s="86">
        <v>26952.56312460214</v>
      </c>
      <c r="M12" s="86">
        <v>30664.418758043023</v>
      </c>
      <c r="N12" s="86">
        <v>29450.866409238559</v>
      </c>
      <c r="O12" s="86">
        <v>29222.25728964619</v>
      </c>
      <c r="P12" s="86">
        <v>29655.434782606018</v>
      </c>
      <c r="Q12" s="86">
        <v>33040.329373089058</v>
      </c>
      <c r="R12" s="86">
        <v>31844.757371858697</v>
      </c>
      <c r="S12" s="86">
        <v>32384.584956401141</v>
      </c>
      <c r="T12" s="86">
        <v>31045.694499347057</v>
      </c>
      <c r="U12" s="86">
        <v>31079.38997549528</v>
      </c>
      <c r="V12" s="86">
        <v>28635.070300834726</v>
      </c>
      <c r="W12" s="86">
        <v>32644.694537450836</v>
      </c>
      <c r="X12" s="86">
        <v>32282.05765506687</v>
      </c>
      <c r="Y12" s="86">
        <v>27202.763700926163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556.04327865469213</v>
      </c>
      <c r="C14" s="62">
        <f t="shared" ref="C14:V14" si="10">C15+C21</f>
        <v>541.6083428030073</v>
      </c>
      <c r="D14" s="62">
        <f t="shared" si="10"/>
        <v>555.71216384351135</v>
      </c>
      <c r="E14" s="62">
        <f t="shared" si="10"/>
        <v>584.11600379591994</v>
      </c>
      <c r="F14" s="62">
        <f t="shared" si="10"/>
        <v>613.73066284980121</v>
      </c>
      <c r="G14" s="62">
        <f t="shared" si="10"/>
        <v>613.7607833115344</v>
      </c>
      <c r="H14" s="62">
        <f t="shared" si="10"/>
        <v>630.88270144300861</v>
      </c>
      <c r="I14" s="62">
        <f t="shared" si="10"/>
        <v>635.76309163841893</v>
      </c>
      <c r="J14" s="62">
        <f t="shared" si="10"/>
        <v>677.3644793786018</v>
      </c>
      <c r="K14" s="62">
        <f t="shared" si="10"/>
        <v>657.02555213876963</v>
      </c>
      <c r="L14" s="62">
        <f t="shared" si="10"/>
        <v>659.44619244842784</v>
      </c>
      <c r="M14" s="62">
        <f t="shared" si="10"/>
        <v>653.35419592615347</v>
      </c>
      <c r="N14" s="62">
        <f t="shared" si="10"/>
        <v>669.48081605908601</v>
      </c>
      <c r="O14" s="62">
        <f t="shared" si="10"/>
        <v>691.10050511540351</v>
      </c>
      <c r="P14" s="62">
        <f t="shared" si="10"/>
        <v>684.48249076750608</v>
      </c>
      <c r="Q14" s="62">
        <f t="shared" si="10"/>
        <v>707.41864181824849</v>
      </c>
      <c r="R14" s="62">
        <f t="shared" si="10"/>
        <v>698.18901187580195</v>
      </c>
      <c r="S14" s="62">
        <f t="shared" si="10"/>
        <v>693.8753150912994</v>
      </c>
      <c r="T14" s="62">
        <f t="shared" si="10"/>
        <v>665.74951258147212</v>
      </c>
      <c r="U14" s="62">
        <f t="shared" si="10"/>
        <v>657.6389306842093</v>
      </c>
      <c r="V14" s="62">
        <f t="shared" si="10"/>
        <v>530.0124288516289</v>
      </c>
      <c r="W14" s="62">
        <f t="shared" ref="W14:Y14" si="11">W15+W21</f>
        <v>585.48646635102523</v>
      </c>
      <c r="X14" s="62">
        <f t="shared" si="11"/>
        <v>626.66089626172311</v>
      </c>
      <c r="Y14" s="62">
        <f t="shared" si="11"/>
        <v>691.22839381266613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449.53963966668346</v>
      </c>
      <c r="C15" s="29">
        <f t="shared" ref="C15:V15" si="13">SUM(C16,C17,C20)</f>
        <v>438.11450729546681</v>
      </c>
      <c r="D15" s="29">
        <f t="shared" si="13"/>
        <v>450.97447553430089</v>
      </c>
      <c r="E15" s="29">
        <f t="shared" si="13"/>
        <v>473.25235153386973</v>
      </c>
      <c r="F15" s="29">
        <f t="shared" si="13"/>
        <v>509.51662354940544</v>
      </c>
      <c r="G15" s="29">
        <f t="shared" si="13"/>
        <v>525.06752980090641</v>
      </c>
      <c r="H15" s="29">
        <f t="shared" si="13"/>
        <v>544.48935280338321</v>
      </c>
      <c r="I15" s="29">
        <f t="shared" si="13"/>
        <v>551.49317123604476</v>
      </c>
      <c r="J15" s="29">
        <f t="shared" si="13"/>
        <v>595.42650381743533</v>
      </c>
      <c r="K15" s="29">
        <f t="shared" si="13"/>
        <v>589.69374802654454</v>
      </c>
      <c r="L15" s="29">
        <f t="shared" si="13"/>
        <v>593.74806307228175</v>
      </c>
      <c r="M15" s="29">
        <f t="shared" si="13"/>
        <v>594.57276993075754</v>
      </c>
      <c r="N15" s="29">
        <f t="shared" si="13"/>
        <v>610.04644967325771</v>
      </c>
      <c r="O15" s="29">
        <f t="shared" si="13"/>
        <v>623.92272351330337</v>
      </c>
      <c r="P15" s="29">
        <f t="shared" si="13"/>
        <v>619.68835334737048</v>
      </c>
      <c r="Q15" s="29">
        <f t="shared" si="13"/>
        <v>639.97063457713443</v>
      </c>
      <c r="R15" s="29">
        <f t="shared" si="13"/>
        <v>634.84806836054418</v>
      </c>
      <c r="S15" s="29">
        <f t="shared" si="13"/>
        <v>626.91215847005969</v>
      </c>
      <c r="T15" s="29">
        <f t="shared" si="13"/>
        <v>601.65383841795199</v>
      </c>
      <c r="U15" s="29">
        <f t="shared" si="13"/>
        <v>595.47264554688923</v>
      </c>
      <c r="V15" s="29">
        <f t="shared" si="13"/>
        <v>463.30853083544088</v>
      </c>
      <c r="W15" s="29">
        <f t="shared" ref="W15:Y15" si="14">SUM(W16,W17,W20)</f>
        <v>514.60568568847816</v>
      </c>
      <c r="X15" s="29">
        <f t="shared" si="14"/>
        <v>559.2534356968431</v>
      </c>
      <c r="Y15" s="29">
        <f t="shared" si="14"/>
        <v>631.88966016352913</v>
      </c>
      <c r="DA15" s="173" t="s">
        <v>1036</v>
      </c>
    </row>
    <row r="16" spans="1:105" ht="11.45" customHeight="1" x14ac:dyDescent="0.25">
      <c r="A16" s="107" t="s">
        <v>23</v>
      </c>
      <c r="B16" s="115">
        <v>83.767159188033787</v>
      </c>
      <c r="C16" s="115">
        <v>88.340575290789076</v>
      </c>
      <c r="D16" s="115">
        <v>91.125691546722976</v>
      </c>
      <c r="E16" s="115">
        <v>93.24628283350566</v>
      </c>
      <c r="F16" s="115">
        <v>103.62767703035439</v>
      </c>
      <c r="G16" s="115">
        <v>105.88857256527996</v>
      </c>
      <c r="H16" s="115">
        <v>107.53308202862337</v>
      </c>
      <c r="I16" s="115">
        <v>106.73573589716561</v>
      </c>
      <c r="J16" s="115">
        <v>116.05701181995241</v>
      </c>
      <c r="K16" s="115">
        <v>105.61180752413381</v>
      </c>
      <c r="L16" s="115">
        <v>107.23570004289553</v>
      </c>
      <c r="M16" s="115">
        <v>108.82020635607432</v>
      </c>
      <c r="N16" s="115">
        <v>112.51352555313734</v>
      </c>
      <c r="O16" s="115">
        <v>117.27002079400938</v>
      </c>
      <c r="P16" s="115">
        <v>118.92465268351997</v>
      </c>
      <c r="Q16" s="115">
        <v>120.43660476674272</v>
      </c>
      <c r="R16" s="115">
        <v>120.57988347694815</v>
      </c>
      <c r="S16" s="115">
        <v>121.18467220111209</v>
      </c>
      <c r="T16" s="115">
        <v>124.51902125042071</v>
      </c>
      <c r="U16" s="115">
        <v>120.50831997245088</v>
      </c>
      <c r="V16" s="115">
        <v>88.322504198816119</v>
      </c>
      <c r="W16" s="115">
        <v>105.78869480073166</v>
      </c>
      <c r="X16" s="115">
        <v>102.07596651462576</v>
      </c>
      <c r="Y16" s="115">
        <v>101.30406864393355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276.02026601697372</v>
      </c>
      <c r="C17" s="116">
        <f t="shared" ref="C17:V17" si="16">SUM(C18:C19)</f>
        <v>248.03202327913249</v>
      </c>
      <c r="D17" s="116">
        <f t="shared" si="16"/>
        <v>251.64894074188487</v>
      </c>
      <c r="E17" s="116">
        <f t="shared" si="16"/>
        <v>272.64519361782709</v>
      </c>
      <c r="F17" s="116">
        <f t="shared" si="16"/>
        <v>291.92841407376017</v>
      </c>
      <c r="G17" s="116">
        <f t="shared" si="16"/>
        <v>302.89286653533208</v>
      </c>
      <c r="H17" s="116">
        <f t="shared" si="16"/>
        <v>318.59814806333043</v>
      </c>
      <c r="I17" s="116">
        <f t="shared" si="16"/>
        <v>321.24435018025332</v>
      </c>
      <c r="J17" s="116">
        <f t="shared" si="16"/>
        <v>343.60844573657761</v>
      </c>
      <c r="K17" s="116">
        <f t="shared" si="16"/>
        <v>348.48261460452119</v>
      </c>
      <c r="L17" s="116">
        <f t="shared" si="16"/>
        <v>353.16702303349422</v>
      </c>
      <c r="M17" s="116">
        <f t="shared" si="16"/>
        <v>349.20098462731477</v>
      </c>
      <c r="N17" s="116">
        <f t="shared" si="16"/>
        <v>356.91397007045219</v>
      </c>
      <c r="O17" s="116">
        <f t="shared" si="16"/>
        <v>366.6003027160516</v>
      </c>
      <c r="P17" s="116">
        <f t="shared" si="16"/>
        <v>365.90424236539991</v>
      </c>
      <c r="Q17" s="116">
        <f t="shared" si="16"/>
        <v>384.99002981039172</v>
      </c>
      <c r="R17" s="116">
        <f t="shared" si="16"/>
        <v>382.78158694545164</v>
      </c>
      <c r="S17" s="116">
        <f t="shared" si="16"/>
        <v>366.51548297534276</v>
      </c>
      <c r="T17" s="116">
        <f t="shared" si="16"/>
        <v>347.48866241414282</v>
      </c>
      <c r="U17" s="116">
        <f t="shared" si="16"/>
        <v>341.05756460046507</v>
      </c>
      <c r="V17" s="116">
        <f t="shared" si="16"/>
        <v>269.60502842312644</v>
      </c>
      <c r="W17" s="116">
        <f t="shared" ref="W17:Y17" si="17">SUM(W18:W19)</f>
        <v>280.29362470312299</v>
      </c>
      <c r="X17" s="116">
        <f t="shared" si="17"/>
        <v>314.58536487643863</v>
      </c>
      <c r="Y17" s="116">
        <f t="shared" si="17"/>
        <v>382.28980304158569</v>
      </c>
      <c r="DA17" s="176" t="s">
        <v>1038</v>
      </c>
    </row>
    <row r="18" spans="1:105" ht="11.45" customHeight="1" x14ac:dyDescent="0.25">
      <c r="A18" s="111" t="s">
        <v>92</v>
      </c>
      <c r="B18" s="87">
        <v>76.274612580215702</v>
      </c>
      <c r="C18" s="87">
        <v>61.738336480000939</v>
      </c>
      <c r="D18" s="87">
        <v>65.000356741010947</v>
      </c>
      <c r="E18" s="87">
        <v>63.868603328832712</v>
      </c>
      <c r="F18" s="87">
        <v>70.160039473884794</v>
      </c>
      <c r="G18" s="87">
        <v>66.49631251892977</v>
      </c>
      <c r="H18" s="87">
        <v>66.081486108201787</v>
      </c>
      <c r="I18" s="87">
        <v>61.850844206867521</v>
      </c>
      <c r="J18" s="87">
        <v>66.295872711670782</v>
      </c>
      <c r="K18" s="87">
        <v>65.505152059367049</v>
      </c>
      <c r="L18" s="87">
        <v>63.685840410026493</v>
      </c>
      <c r="M18" s="87">
        <v>66.097750766748746</v>
      </c>
      <c r="N18" s="87">
        <v>62.893422326211869</v>
      </c>
      <c r="O18" s="87">
        <v>62.773859588731767</v>
      </c>
      <c r="P18" s="87">
        <v>59.874396805277392</v>
      </c>
      <c r="Q18" s="87">
        <v>61.304674597381201</v>
      </c>
      <c r="R18" s="87">
        <v>54.91694331924387</v>
      </c>
      <c r="S18" s="87">
        <v>58.702441160942406</v>
      </c>
      <c r="T18" s="87">
        <v>52.965321335225369</v>
      </c>
      <c r="U18" s="87">
        <v>53.056290268884624</v>
      </c>
      <c r="V18" s="87">
        <v>42.198852573252005</v>
      </c>
      <c r="W18" s="87">
        <v>47.446873246347636</v>
      </c>
      <c r="X18" s="87">
        <v>52.620390958588189</v>
      </c>
      <c r="Y18" s="87">
        <v>52.418066745833798</v>
      </c>
      <c r="DA18" s="171" t="s">
        <v>1039</v>
      </c>
    </row>
    <row r="19" spans="1:105" ht="11.45" customHeight="1" x14ac:dyDescent="0.25">
      <c r="A19" s="111" t="s">
        <v>93</v>
      </c>
      <c r="B19" s="87">
        <v>199.745653436758</v>
      </c>
      <c r="C19" s="87">
        <v>186.29368679913154</v>
      </c>
      <c r="D19" s="87">
        <v>186.64858400087394</v>
      </c>
      <c r="E19" s="87">
        <v>208.77659028899438</v>
      </c>
      <c r="F19" s="87">
        <v>221.76837459987536</v>
      </c>
      <c r="G19" s="87">
        <v>236.39655401640229</v>
      </c>
      <c r="H19" s="87">
        <v>252.51666195512865</v>
      </c>
      <c r="I19" s="87">
        <v>259.3935059733858</v>
      </c>
      <c r="J19" s="87">
        <v>277.31257302490684</v>
      </c>
      <c r="K19" s="87">
        <v>282.97746254515414</v>
      </c>
      <c r="L19" s="87">
        <v>289.4811826234677</v>
      </c>
      <c r="M19" s="87">
        <v>283.10323386056604</v>
      </c>
      <c r="N19" s="87">
        <v>294.02054774424033</v>
      </c>
      <c r="O19" s="87">
        <v>303.82644312731986</v>
      </c>
      <c r="P19" s="87">
        <v>306.02984556012251</v>
      </c>
      <c r="Q19" s="87">
        <v>323.6853552130105</v>
      </c>
      <c r="R19" s="87">
        <v>327.86464362620779</v>
      </c>
      <c r="S19" s="87">
        <v>307.81304181440038</v>
      </c>
      <c r="T19" s="87">
        <v>294.52334107891744</v>
      </c>
      <c r="U19" s="87">
        <v>288.00127433158048</v>
      </c>
      <c r="V19" s="87">
        <v>227.40617584987444</v>
      </c>
      <c r="W19" s="87">
        <v>232.84675145677534</v>
      </c>
      <c r="X19" s="87">
        <v>261.96497391785044</v>
      </c>
      <c r="Y19" s="87">
        <v>329.87173629575187</v>
      </c>
      <c r="DA19" s="171" t="s">
        <v>1040</v>
      </c>
    </row>
    <row r="20" spans="1:105" ht="11.45" customHeight="1" x14ac:dyDescent="0.25">
      <c r="A20" s="112" t="s">
        <v>25</v>
      </c>
      <c r="B20" s="117">
        <v>89.752214461675948</v>
      </c>
      <c r="C20" s="117">
        <v>101.7419087255452</v>
      </c>
      <c r="D20" s="117">
        <v>108.19984324569305</v>
      </c>
      <c r="E20" s="117">
        <v>107.36087508253698</v>
      </c>
      <c r="F20" s="117">
        <v>113.96053244529088</v>
      </c>
      <c r="G20" s="117">
        <v>116.28609070029434</v>
      </c>
      <c r="H20" s="117">
        <v>118.3581227114294</v>
      </c>
      <c r="I20" s="117">
        <v>123.51308515862578</v>
      </c>
      <c r="J20" s="117">
        <v>135.76104626090532</v>
      </c>
      <c r="K20" s="117">
        <v>135.59932589788954</v>
      </c>
      <c r="L20" s="117">
        <v>133.345339995892</v>
      </c>
      <c r="M20" s="117">
        <v>136.55157894736843</v>
      </c>
      <c r="N20" s="117">
        <v>140.61895404966819</v>
      </c>
      <c r="O20" s="117">
        <v>140.05240000324241</v>
      </c>
      <c r="P20" s="117">
        <v>134.85945829845062</v>
      </c>
      <c r="Q20" s="117">
        <v>134.54400000000001</v>
      </c>
      <c r="R20" s="117">
        <v>131.48659793814434</v>
      </c>
      <c r="S20" s="117">
        <v>139.21200329360477</v>
      </c>
      <c r="T20" s="117">
        <v>129.64615475338852</v>
      </c>
      <c r="U20" s="117">
        <v>133.90676097397332</v>
      </c>
      <c r="V20" s="117">
        <v>105.38099821349833</v>
      </c>
      <c r="W20" s="117">
        <v>128.52336618462351</v>
      </c>
      <c r="X20" s="117">
        <v>142.59210430577875</v>
      </c>
      <c r="Y20" s="117">
        <v>148.29578847800994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106.50363898800869</v>
      </c>
      <c r="C21" s="29">
        <f t="shared" ref="C21:V21" si="19">SUM(C22:C23)</f>
        <v>103.4938355075405</v>
      </c>
      <c r="D21" s="29">
        <f t="shared" si="19"/>
        <v>104.7376883092105</v>
      </c>
      <c r="E21" s="29">
        <f t="shared" si="19"/>
        <v>110.86365226205021</v>
      </c>
      <c r="F21" s="29">
        <f t="shared" si="19"/>
        <v>104.21403930039574</v>
      </c>
      <c r="G21" s="29">
        <f t="shared" si="19"/>
        <v>88.69325351062804</v>
      </c>
      <c r="H21" s="29">
        <f t="shared" si="19"/>
        <v>86.393348639625373</v>
      </c>
      <c r="I21" s="29">
        <f t="shared" si="19"/>
        <v>84.269920402374126</v>
      </c>
      <c r="J21" s="29">
        <f t="shared" si="19"/>
        <v>81.937975561166411</v>
      </c>
      <c r="K21" s="29">
        <f t="shared" si="19"/>
        <v>67.3318041122251</v>
      </c>
      <c r="L21" s="29">
        <f t="shared" si="19"/>
        <v>65.698129376146113</v>
      </c>
      <c r="M21" s="29">
        <f t="shared" si="19"/>
        <v>58.781425995395956</v>
      </c>
      <c r="N21" s="29">
        <f t="shared" si="19"/>
        <v>59.434366385828319</v>
      </c>
      <c r="O21" s="29">
        <f t="shared" si="19"/>
        <v>67.177781602100154</v>
      </c>
      <c r="P21" s="29">
        <f t="shared" si="19"/>
        <v>64.794137420135627</v>
      </c>
      <c r="Q21" s="29">
        <f t="shared" si="19"/>
        <v>67.448007241114084</v>
      </c>
      <c r="R21" s="29">
        <f t="shared" si="19"/>
        <v>63.340943515257777</v>
      </c>
      <c r="S21" s="29">
        <f t="shared" si="19"/>
        <v>66.963156621239733</v>
      </c>
      <c r="T21" s="29">
        <f t="shared" si="19"/>
        <v>64.095674163520144</v>
      </c>
      <c r="U21" s="29">
        <f t="shared" si="19"/>
        <v>62.166285137320067</v>
      </c>
      <c r="V21" s="29">
        <f t="shared" si="19"/>
        <v>66.703898016187978</v>
      </c>
      <c r="W21" s="29">
        <f t="shared" ref="W21:Y21" si="20">SUM(W22:W23)</f>
        <v>70.880780662547011</v>
      </c>
      <c r="X21" s="29">
        <f t="shared" si="20"/>
        <v>67.407460564880068</v>
      </c>
      <c r="Y21" s="29">
        <f t="shared" si="20"/>
        <v>59.338733649136977</v>
      </c>
      <c r="DA21" s="173" t="s">
        <v>1042</v>
      </c>
    </row>
    <row r="22" spans="1:105" ht="11.45" customHeight="1" x14ac:dyDescent="0.25">
      <c r="A22" s="83" t="s">
        <v>92</v>
      </c>
      <c r="B22" s="87">
        <v>16.479692784138578</v>
      </c>
      <c r="C22" s="87">
        <v>13.982640170505114</v>
      </c>
      <c r="D22" s="87">
        <v>14.382099169242151</v>
      </c>
      <c r="E22" s="87">
        <v>12.816494018139387</v>
      </c>
      <c r="F22" s="87">
        <v>10.00531092816569</v>
      </c>
      <c r="G22" s="87">
        <v>8.0586633640844454</v>
      </c>
      <c r="H22" s="87">
        <v>7.3796859041101452</v>
      </c>
      <c r="I22" s="87">
        <v>7.1945860956412506</v>
      </c>
      <c r="J22" s="87">
        <v>7.3293044179816222</v>
      </c>
      <c r="K22" s="87">
        <v>5.4999403493788206</v>
      </c>
      <c r="L22" s="87">
        <v>5.0587482501315355</v>
      </c>
      <c r="M22" s="87">
        <v>5.1585855918504775</v>
      </c>
      <c r="N22" s="87">
        <v>4.3650544814711045</v>
      </c>
      <c r="O22" s="87">
        <v>4.5270555565844841</v>
      </c>
      <c r="P22" s="87">
        <v>4.1173182618274398</v>
      </c>
      <c r="Q22" s="87">
        <v>4.4481441249447515</v>
      </c>
      <c r="R22" s="87">
        <v>4.1515024607761815</v>
      </c>
      <c r="S22" s="87">
        <v>4.5533313162251137</v>
      </c>
      <c r="T22" s="87">
        <v>4.0072677445363611</v>
      </c>
      <c r="U22" s="87">
        <v>4.2354482657628179</v>
      </c>
      <c r="V22" s="87">
        <v>4.5327439443262421</v>
      </c>
      <c r="W22" s="87">
        <v>5.7201286366483144</v>
      </c>
      <c r="X22" s="87">
        <v>4.8975004954127215</v>
      </c>
      <c r="Y22" s="87">
        <v>3.6622683111913332</v>
      </c>
      <c r="DA22" s="171" t="s">
        <v>1043</v>
      </c>
    </row>
    <row r="23" spans="1:105" ht="11.45" customHeight="1" x14ac:dyDescent="0.25">
      <c r="A23" s="85" t="s">
        <v>93</v>
      </c>
      <c r="B23" s="88">
        <v>90.023946203870111</v>
      </c>
      <c r="C23" s="88">
        <v>89.511195337035389</v>
      </c>
      <c r="D23" s="88">
        <v>90.355589139968345</v>
      </c>
      <c r="E23" s="88">
        <v>98.047158243910815</v>
      </c>
      <c r="F23" s="88">
        <v>94.208728372230055</v>
      </c>
      <c r="G23" s="88">
        <v>80.634590146543587</v>
      </c>
      <c r="H23" s="88">
        <v>79.013662735515226</v>
      </c>
      <c r="I23" s="88">
        <v>77.07533430673287</v>
      </c>
      <c r="J23" s="88">
        <v>74.608671143184793</v>
      </c>
      <c r="K23" s="88">
        <v>61.831863762846282</v>
      </c>
      <c r="L23" s="88">
        <v>60.639381126014577</v>
      </c>
      <c r="M23" s="88">
        <v>53.622840403545482</v>
      </c>
      <c r="N23" s="88">
        <v>55.069311904357214</v>
      </c>
      <c r="O23" s="88">
        <v>62.650726045515668</v>
      </c>
      <c r="P23" s="88">
        <v>60.676819158308184</v>
      </c>
      <c r="Q23" s="88">
        <v>62.999863116169337</v>
      </c>
      <c r="R23" s="88">
        <v>59.189441054481598</v>
      </c>
      <c r="S23" s="88">
        <v>62.409825305014614</v>
      </c>
      <c r="T23" s="88">
        <v>60.088406418983787</v>
      </c>
      <c r="U23" s="88">
        <v>57.930836871557247</v>
      </c>
      <c r="V23" s="88">
        <v>62.171154071861736</v>
      </c>
      <c r="W23" s="88">
        <v>65.160652025898699</v>
      </c>
      <c r="X23" s="88">
        <v>62.509960069467347</v>
      </c>
      <c r="Y23" s="88">
        <v>55.676465337945643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3333.6222989999997</v>
      </c>
      <c r="C25" s="62">
        <f t="shared" ref="C25:V25" si="22">C26+C32</f>
        <v>3250.5094549999999</v>
      </c>
      <c r="D25" s="62">
        <f t="shared" si="22"/>
        <v>3270.2075230000005</v>
      </c>
      <c r="E25" s="62">
        <f t="shared" si="22"/>
        <v>3458.2260919999999</v>
      </c>
      <c r="F25" s="62">
        <f t="shared" si="22"/>
        <v>3668.3911149999999</v>
      </c>
      <c r="G25" s="62">
        <f t="shared" si="22"/>
        <v>3713.9571480000004</v>
      </c>
      <c r="H25" s="62">
        <f t="shared" si="22"/>
        <v>3799.0104259999998</v>
      </c>
      <c r="I25" s="62">
        <f t="shared" si="22"/>
        <v>3807.7770000000005</v>
      </c>
      <c r="J25" s="62">
        <f t="shared" si="22"/>
        <v>4057.167809</v>
      </c>
      <c r="K25" s="62">
        <f t="shared" si="22"/>
        <v>3959.899109</v>
      </c>
      <c r="L25" s="62">
        <f t="shared" si="22"/>
        <v>3954.1304479999999</v>
      </c>
      <c r="M25" s="62">
        <f t="shared" si="22"/>
        <v>3914.636254</v>
      </c>
      <c r="N25" s="62">
        <f t="shared" si="22"/>
        <v>4011.9350990000003</v>
      </c>
      <c r="O25" s="62">
        <f t="shared" si="22"/>
        <v>4157.2095829999998</v>
      </c>
      <c r="P25" s="62">
        <f t="shared" si="22"/>
        <v>4144.1531980000009</v>
      </c>
      <c r="Q25" s="62">
        <f t="shared" si="22"/>
        <v>4297.7051300000003</v>
      </c>
      <c r="R25" s="62">
        <f t="shared" si="22"/>
        <v>4256.9551650000003</v>
      </c>
      <c r="S25" s="62">
        <f t="shared" si="22"/>
        <v>4189.8047610000003</v>
      </c>
      <c r="T25" s="62">
        <f t="shared" si="22"/>
        <v>4058.4756309999998</v>
      </c>
      <c r="U25" s="62">
        <f t="shared" si="22"/>
        <v>3977.6492870000006</v>
      </c>
      <c r="V25" s="62">
        <f t="shared" si="22"/>
        <v>3720.2269430000001</v>
      </c>
      <c r="W25" s="62">
        <f t="shared" ref="W25:Y25" si="23">W26+W32</f>
        <v>3571.720241</v>
      </c>
      <c r="X25" s="62">
        <f t="shared" si="23"/>
        <v>3679.1077460000001</v>
      </c>
      <c r="Y25" s="62">
        <f t="shared" si="23"/>
        <v>4095.7846330000002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2801.1041029999997</v>
      </c>
      <c r="C26" s="29">
        <f t="shared" ref="C26:V26" si="25">SUM(C27,C28,C31)</f>
        <v>2728.79486</v>
      </c>
      <c r="D26" s="29">
        <f t="shared" si="25"/>
        <v>2746.5190810000004</v>
      </c>
      <c r="E26" s="29">
        <f t="shared" si="25"/>
        <v>2903.9078289999998</v>
      </c>
      <c r="F26" s="29">
        <f t="shared" si="25"/>
        <v>3141.504848</v>
      </c>
      <c r="G26" s="29">
        <f t="shared" si="25"/>
        <v>3240.3227000000002</v>
      </c>
      <c r="H26" s="29">
        <f t="shared" si="25"/>
        <v>3364.5791789999998</v>
      </c>
      <c r="I26" s="29">
        <f t="shared" si="25"/>
        <v>3386.4273970000004</v>
      </c>
      <c r="J26" s="29">
        <f t="shared" si="25"/>
        <v>3647.47793</v>
      </c>
      <c r="K26" s="29">
        <f t="shared" si="25"/>
        <v>3603.461049</v>
      </c>
      <c r="L26" s="29">
        <f t="shared" si="25"/>
        <v>3625.6397999999999</v>
      </c>
      <c r="M26" s="29">
        <f t="shared" si="25"/>
        <v>3620.7291230000001</v>
      </c>
      <c r="N26" s="29">
        <f t="shared" si="25"/>
        <v>3714.7632660000004</v>
      </c>
      <c r="O26" s="29">
        <f t="shared" si="25"/>
        <v>3821.3206740000001</v>
      </c>
      <c r="P26" s="29">
        <f t="shared" si="25"/>
        <v>3820.1825100000005</v>
      </c>
      <c r="Q26" s="29">
        <f t="shared" si="25"/>
        <v>3960.4650929999998</v>
      </c>
      <c r="R26" s="29">
        <f t="shared" si="25"/>
        <v>3940.250446</v>
      </c>
      <c r="S26" s="29">
        <f t="shared" si="25"/>
        <v>3854.9889770000004</v>
      </c>
      <c r="T26" s="29">
        <f t="shared" si="25"/>
        <v>3737.9972589999998</v>
      </c>
      <c r="U26" s="29">
        <f t="shared" si="25"/>
        <v>3666.8178600000006</v>
      </c>
      <c r="V26" s="29">
        <f t="shared" si="25"/>
        <v>3386.7074520000001</v>
      </c>
      <c r="W26" s="29">
        <f t="shared" ref="W26:Y26" si="26">SUM(W27,W28,W31)</f>
        <v>3217.3163359999999</v>
      </c>
      <c r="X26" s="29">
        <f t="shared" si="26"/>
        <v>3342.0704420000002</v>
      </c>
      <c r="Y26" s="29">
        <f t="shared" si="26"/>
        <v>3799.0909640000004</v>
      </c>
      <c r="DA26" s="173" t="s">
        <v>1046</v>
      </c>
    </row>
    <row r="27" spans="1:105" ht="11.45" customHeight="1" x14ac:dyDescent="0.25">
      <c r="A27" s="107" t="s">
        <v>23</v>
      </c>
      <c r="B27" s="115">
        <v>761.51962900000001</v>
      </c>
      <c r="C27" s="115">
        <v>803.09613999999999</v>
      </c>
      <c r="D27" s="115">
        <v>828.41537800000003</v>
      </c>
      <c r="E27" s="115">
        <v>847.69348100000002</v>
      </c>
      <c r="F27" s="115">
        <v>942.06979200000001</v>
      </c>
      <c r="G27" s="115">
        <v>962.62338699999998</v>
      </c>
      <c r="H27" s="115">
        <v>977.57347300000004</v>
      </c>
      <c r="I27" s="115">
        <v>970.32487200000003</v>
      </c>
      <c r="J27" s="115">
        <v>1055.063744</v>
      </c>
      <c r="K27" s="115">
        <v>978.91178200000002</v>
      </c>
      <c r="L27" s="115">
        <v>974.870001</v>
      </c>
      <c r="M27" s="115">
        <v>989.27460399999995</v>
      </c>
      <c r="N27" s="115">
        <v>1022.850233</v>
      </c>
      <c r="O27" s="115">
        <v>1066.0910990000002</v>
      </c>
      <c r="P27" s="115">
        <v>1081.1332070000001</v>
      </c>
      <c r="Q27" s="115">
        <v>1094.878226</v>
      </c>
      <c r="R27" s="115">
        <v>1096.1807590000001</v>
      </c>
      <c r="S27" s="115">
        <v>1101.6788390000002</v>
      </c>
      <c r="T27" s="115">
        <v>1131.9911030000001</v>
      </c>
      <c r="U27" s="115">
        <v>1095.5301820000002</v>
      </c>
      <c r="V27" s="115">
        <v>1019.3782199999999</v>
      </c>
      <c r="W27" s="115">
        <v>961.71540800000002</v>
      </c>
      <c r="X27" s="115">
        <v>927.96333200000004</v>
      </c>
      <c r="Y27" s="115">
        <v>920.94607900000005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1840.1351079999999</v>
      </c>
      <c r="C28" s="116">
        <f t="shared" ref="C28:V28" si="28">SUM(C29:C30)</f>
        <v>1699.605589</v>
      </c>
      <c r="D28" s="116">
        <f t="shared" si="28"/>
        <v>1677.6596060000002</v>
      </c>
      <c r="E28" s="116">
        <f t="shared" si="28"/>
        <v>1817.6346250000001</v>
      </c>
      <c r="F28" s="116">
        <f t="shared" si="28"/>
        <v>1946.1894280000001</v>
      </c>
      <c r="G28" s="116">
        <f t="shared" si="28"/>
        <v>2019.2857780000002</v>
      </c>
      <c r="H28" s="116">
        <f t="shared" si="28"/>
        <v>2123.9876549999999</v>
      </c>
      <c r="I28" s="116">
        <f t="shared" si="28"/>
        <v>2141.6290020000001</v>
      </c>
      <c r="J28" s="116">
        <f t="shared" si="28"/>
        <v>2290.722972</v>
      </c>
      <c r="K28" s="116">
        <f t="shared" si="28"/>
        <v>2323.217431</v>
      </c>
      <c r="L28" s="116">
        <f t="shared" si="28"/>
        <v>2354.446821</v>
      </c>
      <c r="M28" s="116">
        <f t="shared" si="28"/>
        <v>2328.0065650000001</v>
      </c>
      <c r="N28" s="116">
        <f t="shared" si="28"/>
        <v>2379.4264680000001</v>
      </c>
      <c r="O28" s="116">
        <f t="shared" si="28"/>
        <v>2444.002019</v>
      </c>
      <c r="P28" s="116">
        <f t="shared" si="28"/>
        <v>2439.361617</v>
      </c>
      <c r="Q28" s="116">
        <f t="shared" si="28"/>
        <v>2566.6001999999999</v>
      </c>
      <c r="R28" s="116">
        <f t="shared" si="28"/>
        <v>2551.8772469999999</v>
      </c>
      <c r="S28" s="116">
        <f t="shared" si="28"/>
        <v>2443.9501300000002</v>
      </c>
      <c r="T28" s="116">
        <f t="shared" si="28"/>
        <v>2316.5910840000001</v>
      </c>
      <c r="U28" s="116">
        <f t="shared" si="28"/>
        <v>2273.7170980000001</v>
      </c>
      <c r="V28" s="116">
        <f t="shared" si="28"/>
        <v>2089.7035879999999</v>
      </c>
      <c r="W28" s="116">
        <f t="shared" ref="W28:Y28" si="29">SUM(W29:W30)</f>
        <v>1969.9934469999998</v>
      </c>
      <c r="X28" s="116">
        <f t="shared" si="29"/>
        <v>2097.2357670000001</v>
      </c>
      <c r="Y28" s="116">
        <f t="shared" si="29"/>
        <v>2548.598688</v>
      </c>
      <c r="DA28" s="176" t="s">
        <v>1048</v>
      </c>
    </row>
    <row r="29" spans="1:105" ht="11.45" customHeight="1" x14ac:dyDescent="0.25">
      <c r="A29" s="111" t="s">
        <v>92</v>
      </c>
      <c r="B29" s="87">
        <v>508.49741799999998</v>
      </c>
      <c r="C29" s="87">
        <v>457.64767699999999</v>
      </c>
      <c r="D29" s="87">
        <v>433.335712</v>
      </c>
      <c r="E29" s="87">
        <v>425.79068899999999</v>
      </c>
      <c r="F29" s="87">
        <v>467.73359699999997</v>
      </c>
      <c r="G29" s="87">
        <v>443.30875099999997</v>
      </c>
      <c r="H29" s="87">
        <v>440.54324100000002</v>
      </c>
      <c r="I29" s="87">
        <v>412.33896199999998</v>
      </c>
      <c r="J29" s="87">
        <v>441.97248500000001</v>
      </c>
      <c r="K29" s="87">
        <v>436.70101399999999</v>
      </c>
      <c r="L29" s="87">
        <v>424.57227</v>
      </c>
      <c r="M29" s="87">
        <v>440.65167200000002</v>
      </c>
      <c r="N29" s="87">
        <v>419.28948300000002</v>
      </c>
      <c r="O29" s="87">
        <v>418.49239799999998</v>
      </c>
      <c r="P29" s="87">
        <v>399.162646</v>
      </c>
      <c r="Q29" s="87">
        <v>408.69783100000001</v>
      </c>
      <c r="R29" s="87">
        <v>366.112956</v>
      </c>
      <c r="S29" s="87">
        <v>391.34960799999999</v>
      </c>
      <c r="T29" s="87">
        <v>353.10214300000001</v>
      </c>
      <c r="U29" s="87">
        <v>353.70860199999998</v>
      </c>
      <c r="V29" s="87">
        <v>302.85886099999999</v>
      </c>
      <c r="W29" s="87">
        <v>316.31248899999997</v>
      </c>
      <c r="X29" s="87">
        <v>350.80260700000002</v>
      </c>
      <c r="Y29" s="87">
        <v>349.453779</v>
      </c>
      <c r="DA29" s="171" t="s">
        <v>1049</v>
      </c>
    </row>
    <row r="30" spans="1:105" ht="11.45" customHeight="1" x14ac:dyDescent="0.25">
      <c r="A30" s="111" t="s">
        <v>93</v>
      </c>
      <c r="B30" s="87">
        <v>1331.63769</v>
      </c>
      <c r="C30" s="87">
        <v>1241.9579120000001</v>
      </c>
      <c r="D30" s="87">
        <v>1244.3238940000001</v>
      </c>
      <c r="E30" s="87">
        <v>1391.8439360000002</v>
      </c>
      <c r="F30" s="87">
        <v>1478.4558310000002</v>
      </c>
      <c r="G30" s="87">
        <v>1575.9770270000001</v>
      </c>
      <c r="H30" s="87">
        <v>1683.4444140000001</v>
      </c>
      <c r="I30" s="87">
        <v>1729.2900400000001</v>
      </c>
      <c r="J30" s="87">
        <v>1848.750487</v>
      </c>
      <c r="K30" s="87">
        <v>1886.516417</v>
      </c>
      <c r="L30" s="87">
        <v>1929.8745510000001</v>
      </c>
      <c r="M30" s="87">
        <v>1887.3548930000002</v>
      </c>
      <c r="N30" s="87">
        <v>1960.1369850000001</v>
      </c>
      <c r="O30" s="87">
        <v>2025.5096210000002</v>
      </c>
      <c r="P30" s="87">
        <v>2040.198971</v>
      </c>
      <c r="Q30" s="87">
        <v>2157.9023689999999</v>
      </c>
      <c r="R30" s="87">
        <v>2185.764291</v>
      </c>
      <c r="S30" s="87">
        <v>2052.6005220000002</v>
      </c>
      <c r="T30" s="87">
        <v>1963.4889410000001</v>
      </c>
      <c r="U30" s="87">
        <v>1920.0084960000002</v>
      </c>
      <c r="V30" s="87">
        <v>1786.8447269999999</v>
      </c>
      <c r="W30" s="87">
        <v>1653.6809579999999</v>
      </c>
      <c r="X30" s="87">
        <v>1746.43316</v>
      </c>
      <c r="Y30" s="87">
        <v>2199.1449090000001</v>
      </c>
      <c r="DA30" s="171" t="s">
        <v>1050</v>
      </c>
    </row>
    <row r="31" spans="1:105" ht="11.45" customHeight="1" x14ac:dyDescent="0.25">
      <c r="A31" s="112" t="s">
        <v>25</v>
      </c>
      <c r="B31" s="117">
        <v>199.449366</v>
      </c>
      <c r="C31" s="117">
        <v>226.093131</v>
      </c>
      <c r="D31" s="117">
        <v>240.444097</v>
      </c>
      <c r="E31" s="117">
        <v>238.579723</v>
      </c>
      <c r="F31" s="117">
        <v>253.24562800000001</v>
      </c>
      <c r="G31" s="117">
        <v>258.41353500000002</v>
      </c>
      <c r="H31" s="117">
        <v>263.01805100000001</v>
      </c>
      <c r="I31" s="117">
        <v>274.473523</v>
      </c>
      <c r="J31" s="117">
        <v>301.691214</v>
      </c>
      <c r="K31" s="117">
        <v>301.33183600000001</v>
      </c>
      <c r="L31" s="117">
        <v>296.32297799999998</v>
      </c>
      <c r="M31" s="117">
        <v>303.44795399999998</v>
      </c>
      <c r="N31" s="117">
        <v>312.48656499999998</v>
      </c>
      <c r="O31" s="117">
        <v>311.22755599999999</v>
      </c>
      <c r="P31" s="117">
        <v>299.68768599999999</v>
      </c>
      <c r="Q31" s="117">
        <v>298.98666700000001</v>
      </c>
      <c r="R31" s="117">
        <v>292.19243999999998</v>
      </c>
      <c r="S31" s="117">
        <v>309.36000799999999</v>
      </c>
      <c r="T31" s="117">
        <v>289.41507200000001</v>
      </c>
      <c r="U31" s="117">
        <v>297.57058000000001</v>
      </c>
      <c r="V31" s="117">
        <v>277.62564400000002</v>
      </c>
      <c r="W31" s="117">
        <v>285.60748100000001</v>
      </c>
      <c r="X31" s="117">
        <v>316.87134300000002</v>
      </c>
      <c r="Y31" s="117">
        <v>329.54619700000001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532.51819599999999</v>
      </c>
      <c r="C32" s="29">
        <f t="shared" ref="C32:V32" si="31">SUM(C33:C34)</f>
        <v>521.71459500000003</v>
      </c>
      <c r="D32" s="29">
        <f t="shared" si="31"/>
        <v>523.68844200000001</v>
      </c>
      <c r="E32" s="29">
        <f t="shared" si="31"/>
        <v>554.318263</v>
      </c>
      <c r="F32" s="29">
        <f t="shared" si="31"/>
        <v>526.88626699999998</v>
      </c>
      <c r="G32" s="29">
        <f t="shared" si="31"/>
        <v>473.63444800000002</v>
      </c>
      <c r="H32" s="29">
        <f t="shared" si="31"/>
        <v>434.43124699999998</v>
      </c>
      <c r="I32" s="29">
        <f t="shared" si="31"/>
        <v>421.349603</v>
      </c>
      <c r="J32" s="29">
        <f t="shared" si="31"/>
        <v>409.68987900000002</v>
      </c>
      <c r="K32" s="29">
        <f t="shared" si="31"/>
        <v>356.43806000000001</v>
      </c>
      <c r="L32" s="29">
        <f t="shared" si="31"/>
        <v>328.49064800000002</v>
      </c>
      <c r="M32" s="29">
        <f t="shared" si="31"/>
        <v>293.90713099999999</v>
      </c>
      <c r="N32" s="29">
        <f t="shared" si="31"/>
        <v>297.17183299999999</v>
      </c>
      <c r="O32" s="29">
        <f t="shared" si="31"/>
        <v>335.88890900000001</v>
      </c>
      <c r="P32" s="29">
        <f t="shared" si="31"/>
        <v>323.970688</v>
      </c>
      <c r="Q32" s="29">
        <f t="shared" si="31"/>
        <v>337.24003700000003</v>
      </c>
      <c r="R32" s="29">
        <f t="shared" si="31"/>
        <v>316.70471900000001</v>
      </c>
      <c r="S32" s="29">
        <f t="shared" si="31"/>
        <v>334.81578400000001</v>
      </c>
      <c r="T32" s="29">
        <f t="shared" si="31"/>
        <v>320.47837199999998</v>
      </c>
      <c r="U32" s="29">
        <f t="shared" si="31"/>
        <v>310.83142699999996</v>
      </c>
      <c r="V32" s="29">
        <f t="shared" si="31"/>
        <v>333.51949100000002</v>
      </c>
      <c r="W32" s="29">
        <f t="shared" ref="W32:Y32" si="32">SUM(W33:W34)</f>
        <v>354.40390500000001</v>
      </c>
      <c r="X32" s="29">
        <f t="shared" si="32"/>
        <v>337.03730400000001</v>
      </c>
      <c r="Y32" s="29">
        <f t="shared" si="32"/>
        <v>296.693669</v>
      </c>
      <c r="DA32" s="173" t="s">
        <v>1052</v>
      </c>
    </row>
    <row r="33" spans="1:105" ht="11.45" customHeight="1" x14ac:dyDescent="0.25">
      <c r="A33" s="83" t="s">
        <v>92</v>
      </c>
      <c r="B33" s="87">
        <v>82.398464000000004</v>
      </c>
      <c r="C33" s="87">
        <v>74.158618000000004</v>
      </c>
      <c r="D33" s="87">
        <v>71.910495999999995</v>
      </c>
      <c r="E33" s="87">
        <v>64.082470999999998</v>
      </c>
      <c r="F33" s="87">
        <v>55.842624999999998</v>
      </c>
      <c r="G33" s="87">
        <v>47.602778999999998</v>
      </c>
      <c r="H33" s="87">
        <v>39.362932999999998</v>
      </c>
      <c r="I33" s="87">
        <v>35.972930999999996</v>
      </c>
      <c r="J33" s="87">
        <v>36.646522999999995</v>
      </c>
      <c r="K33" s="87">
        <v>28.406677000000002</v>
      </c>
      <c r="L33" s="87">
        <v>25.293742000000002</v>
      </c>
      <c r="M33" s="87">
        <v>25.792928</v>
      </c>
      <c r="N33" s="87">
        <v>21.825272999999999</v>
      </c>
      <c r="O33" s="87">
        <v>22.635278</v>
      </c>
      <c r="P33" s="87">
        <v>20.586592</v>
      </c>
      <c r="Q33" s="87">
        <v>22.240721000000001</v>
      </c>
      <c r="R33" s="87">
        <v>20.757512999999999</v>
      </c>
      <c r="S33" s="87">
        <v>22.766657000000002</v>
      </c>
      <c r="T33" s="87">
        <v>20.036339000000002</v>
      </c>
      <c r="U33" s="87">
        <v>21.177242</v>
      </c>
      <c r="V33" s="87">
        <v>22.663720000000001</v>
      </c>
      <c r="W33" s="87">
        <v>28.600644000000003</v>
      </c>
      <c r="X33" s="87">
        <v>24.487503</v>
      </c>
      <c r="Y33" s="87">
        <v>18.311342</v>
      </c>
      <c r="DA33" s="171" t="s">
        <v>1053</v>
      </c>
    </row>
    <row r="34" spans="1:105" ht="11.45" customHeight="1" x14ac:dyDescent="0.25">
      <c r="A34" s="85" t="s">
        <v>93</v>
      </c>
      <c r="B34" s="88">
        <v>450.119732</v>
      </c>
      <c r="C34" s="88">
        <v>447.55597699999998</v>
      </c>
      <c r="D34" s="88">
        <v>451.77794599999999</v>
      </c>
      <c r="E34" s="88">
        <v>490.235792</v>
      </c>
      <c r="F34" s="88">
        <v>471.04364199999998</v>
      </c>
      <c r="G34" s="88">
        <v>426.03166900000002</v>
      </c>
      <c r="H34" s="88">
        <v>395.06831399999999</v>
      </c>
      <c r="I34" s="88">
        <v>385.37667199999999</v>
      </c>
      <c r="J34" s="88">
        <v>373.04335600000002</v>
      </c>
      <c r="K34" s="88">
        <v>328.03138300000001</v>
      </c>
      <c r="L34" s="88">
        <v>303.19690600000001</v>
      </c>
      <c r="M34" s="88">
        <v>268.11420299999997</v>
      </c>
      <c r="N34" s="88">
        <v>275.34656000000001</v>
      </c>
      <c r="O34" s="88">
        <v>313.25363099999998</v>
      </c>
      <c r="P34" s="88">
        <v>303.384096</v>
      </c>
      <c r="Q34" s="88">
        <v>314.99931600000002</v>
      </c>
      <c r="R34" s="88">
        <v>295.94720599999999</v>
      </c>
      <c r="S34" s="88">
        <v>312.049127</v>
      </c>
      <c r="T34" s="88">
        <v>300.44203299999998</v>
      </c>
      <c r="U34" s="88">
        <v>289.65418499999998</v>
      </c>
      <c r="V34" s="88">
        <v>310.855771</v>
      </c>
      <c r="W34" s="88">
        <v>325.80326100000002</v>
      </c>
      <c r="X34" s="88">
        <v>312.549801</v>
      </c>
      <c r="Y34" s="88">
        <v>278.38232699999998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113.80472999999995</v>
      </c>
      <c r="D36" s="54">
        <f t="shared" ref="D36:V36" si="34">D37+D43</f>
        <v>130.60909900000004</v>
      </c>
      <c r="E36" s="54">
        <f t="shared" si="34"/>
        <v>294.73423800000012</v>
      </c>
      <c r="F36" s="54">
        <f t="shared" si="34"/>
        <v>321.56612999999999</v>
      </c>
      <c r="G36" s="54">
        <f t="shared" si="34"/>
        <v>191.95688599999988</v>
      </c>
      <c r="H36" s="54">
        <f t="shared" si="34"/>
        <v>208.22559000000001</v>
      </c>
      <c r="I36" s="54">
        <f t="shared" si="34"/>
        <v>123.99357600000002</v>
      </c>
      <c r="J36" s="54">
        <f t="shared" si="34"/>
        <v>351.24479800000012</v>
      </c>
      <c r="K36" s="54">
        <f t="shared" si="34"/>
        <v>89.334320000000048</v>
      </c>
      <c r="L36" s="54">
        <f t="shared" si="34"/>
        <v>106.14786200000003</v>
      </c>
      <c r="M36" s="54">
        <f t="shared" si="34"/>
        <v>89.559110999999973</v>
      </c>
      <c r="N36" s="54">
        <f t="shared" si="34"/>
        <v>206.26141000000001</v>
      </c>
      <c r="O36" s="54">
        <f t="shared" si="34"/>
        <v>247.12847300000035</v>
      </c>
      <c r="P36" s="54">
        <f t="shared" si="34"/>
        <v>97.952498999999634</v>
      </c>
      <c r="Q36" s="54">
        <f t="shared" si="34"/>
        <v>255.40592100000003</v>
      </c>
      <c r="R36" s="54">
        <f t="shared" si="34"/>
        <v>92.901976000000161</v>
      </c>
      <c r="S36" s="54">
        <f t="shared" si="34"/>
        <v>132.38284200000024</v>
      </c>
      <c r="T36" s="54">
        <f t="shared" si="34"/>
        <v>60.629601999999998</v>
      </c>
      <c r="U36" s="54">
        <f t="shared" si="34"/>
        <v>38.714627000000036</v>
      </c>
      <c r="V36" s="54">
        <f t="shared" si="34"/>
        <v>40.572942000000047</v>
      </c>
      <c r="W36" s="54">
        <f t="shared" ref="W36:Y36" si="35">W37+W43</f>
        <v>81.91948400000004</v>
      </c>
      <c r="X36" s="54">
        <f t="shared" si="35"/>
        <v>217.37049400000024</v>
      </c>
      <c r="Y36" s="54">
        <f t="shared" si="35"/>
        <v>540.98963299999991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101.44995199999994</v>
      </c>
      <c r="D37" s="28">
        <f t="shared" ref="D37:V37" si="37">SUM(D38,D39,D42)</f>
        <v>110.75037400000002</v>
      </c>
      <c r="E37" s="28">
        <f t="shared" si="37"/>
        <v>241.35785900000005</v>
      </c>
      <c r="F37" s="28">
        <f t="shared" si="37"/>
        <v>321.56612999999999</v>
      </c>
      <c r="G37" s="28">
        <f t="shared" si="37"/>
        <v>191.95688599999988</v>
      </c>
      <c r="H37" s="28">
        <f t="shared" si="37"/>
        <v>208.22559000000001</v>
      </c>
      <c r="I37" s="28">
        <f t="shared" si="37"/>
        <v>118.766685</v>
      </c>
      <c r="J37" s="28">
        <f t="shared" si="37"/>
        <v>345.01964400000008</v>
      </c>
      <c r="K37" s="28">
        <f t="shared" si="37"/>
        <v>89.334320000000048</v>
      </c>
      <c r="L37" s="28">
        <f t="shared" si="37"/>
        <v>106.14786200000003</v>
      </c>
      <c r="M37" s="28">
        <f t="shared" si="37"/>
        <v>86.093579999999974</v>
      </c>
      <c r="N37" s="28">
        <f t="shared" si="37"/>
        <v>184.11051999999995</v>
      </c>
      <c r="O37" s="28">
        <f t="shared" si="37"/>
        <v>190.52651900000035</v>
      </c>
      <c r="P37" s="28">
        <f t="shared" si="37"/>
        <v>91.985841999999593</v>
      </c>
      <c r="Q37" s="28">
        <f t="shared" si="37"/>
        <v>224.25169399999999</v>
      </c>
      <c r="R37" s="28">
        <f t="shared" si="37"/>
        <v>91.418839000000162</v>
      </c>
      <c r="S37" s="28">
        <f t="shared" si="37"/>
        <v>96.386899000000199</v>
      </c>
      <c r="T37" s="28">
        <f t="shared" si="37"/>
        <v>57.082135999999991</v>
      </c>
      <c r="U37" s="28">
        <f t="shared" si="37"/>
        <v>30.476694000000009</v>
      </c>
      <c r="V37" s="28">
        <f t="shared" si="37"/>
        <v>0</v>
      </c>
      <c r="W37" s="28">
        <f t="shared" ref="W37:Y37" si="38">SUM(W38,W39,W42)</f>
        <v>43.150192000000004</v>
      </c>
      <c r="X37" s="28">
        <f t="shared" si="38"/>
        <v>215.70542100000023</v>
      </c>
      <c r="Y37" s="28">
        <f t="shared" si="38"/>
        <v>540.98963299999991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68.346382999999946</v>
      </c>
      <c r="D38" s="108">
        <v>52.089110000000005</v>
      </c>
      <c r="E38" s="108">
        <v>46.047974999999951</v>
      </c>
      <c r="F38" s="108">
        <v>121.14618299999995</v>
      </c>
      <c r="G38" s="108">
        <v>47.323466999999937</v>
      </c>
      <c r="H38" s="108">
        <v>41.71995800000002</v>
      </c>
      <c r="I38" s="108">
        <v>19.521270999999956</v>
      </c>
      <c r="J38" s="108">
        <v>111.50874400000009</v>
      </c>
      <c r="K38" s="108">
        <v>0</v>
      </c>
      <c r="L38" s="108">
        <v>22.728090999999949</v>
      </c>
      <c r="M38" s="108">
        <v>41.174474999999916</v>
      </c>
      <c r="N38" s="108">
        <v>60.345501000000013</v>
      </c>
      <c r="O38" s="108">
        <v>70.010738000000288</v>
      </c>
      <c r="P38" s="108">
        <v>41.811979999999949</v>
      </c>
      <c r="Q38" s="108">
        <v>40.514891000000034</v>
      </c>
      <c r="R38" s="108">
        <v>28.072405000000117</v>
      </c>
      <c r="S38" s="108">
        <v>32.26795200000015</v>
      </c>
      <c r="T38" s="108">
        <v>57.082135999999991</v>
      </c>
      <c r="U38" s="108">
        <v>0</v>
      </c>
      <c r="V38" s="108">
        <v>0</v>
      </c>
      <c r="W38" s="108">
        <v>0</v>
      </c>
      <c r="X38" s="108">
        <v>0</v>
      </c>
      <c r="Y38" s="108">
        <v>19.752618999999981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37.850494000000026</v>
      </c>
      <c r="E39" s="110">
        <f t="shared" si="40"/>
        <v>190.7144540000001</v>
      </c>
      <c r="F39" s="110">
        <f t="shared" si="40"/>
        <v>179.29423800000001</v>
      </c>
      <c r="G39" s="110">
        <f t="shared" si="40"/>
        <v>133.00570799999991</v>
      </c>
      <c r="H39" s="110">
        <f t="shared" si="40"/>
        <v>155.44131199999998</v>
      </c>
      <c r="I39" s="110">
        <f t="shared" si="40"/>
        <v>81.330138000000034</v>
      </c>
      <c r="J39" s="110">
        <f t="shared" si="40"/>
        <v>199.83340499999997</v>
      </c>
      <c r="K39" s="110">
        <f t="shared" si="40"/>
        <v>83.233894000000021</v>
      </c>
      <c r="L39" s="110">
        <f t="shared" si="40"/>
        <v>81.968825000000095</v>
      </c>
      <c r="M39" s="110">
        <f t="shared" si="40"/>
        <v>31.334325000000035</v>
      </c>
      <c r="N39" s="110">
        <f t="shared" si="40"/>
        <v>108.26660399999992</v>
      </c>
      <c r="O39" s="110">
        <f t="shared" si="40"/>
        <v>115.31498600000003</v>
      </c>
      <c r="P39" s="110">
        <f t="shared" si="40"/>
        <v>50.173861999999644</v>
      </c>
      <c r="Q39" s="110">
        <f t="shared" si="40"/>
        <v>177.97801799999991</v>
      </c>
      <c r="R39" s="110">
        <f t="shared" si="40"/>
        <v>63.346434000000045</v>
      </c>
      <c r="S39" s="110">
        <f t="shared" si="40"/>
        <v>40.491575000000012</v>
      </c>
      <c r="T39" s="110">
        <f t="shared" si="40"/>
        <v>0</v>
      </c>
      <c r="U39" s="110">
        <f t="shared" si="40"/>
        <v>15.861381999999992</v>
      </c>
      <c r="V39" s="110">
        <f t="shared" si="40"/>
        <v>0</v>
      </c>
      <c r="W39" s="110">
        <f t="shared" ref="W39:Y39" si="41">SUM(W40:W41)</f>
        <v>28.708551</v>
      </c>
      <c r="X39" s="110">
        <f t="shared" si="41"/>
        <v>177.98175500000019</v>
      </c>
      <c r="Y39" s="110">
        <f t="shared" si="41"/>
        <v>502.10235600000004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7.7099000000000046</v>
      </c>
      <c r="F40" s="84">
        <v>57.197831000000008</v>
      </c>
      <c r="G40" s="84">
        <v>0</v>
      </c>
      <c r="H40" s="84">
        <v>12.48941300000007</v>
      </c>
      <c r="I40" s="84">
        <v>0</v>
      </c>
      <c r="J40" s="84">
        <v>44.888446000000044</v>
      </c>
      <c r="K40" s="84">
        <v>9.9834519999999998</v>
      </c>
      <c r="L40" s="84">
        <v>3.126179000000036</v>
      </c>
      <c r="M40" s="84">
        <v>31.334325000000035</v>
      </c>
      <c r="N40" s="84">
        <v>0</v>
      </c>
      <c r="O40" s="84">
        <v>14.457837999999981</v>
      </c>
      <c r="P40" s="84">
        <v>0</v>
      </c>
      <c r="Q40" s="84">
        <v>24.790108000000032</v>
      </c>
      <c r="R40" s="84">
        <v>0</v>
      </c>
      <c r="S40" s="84">
        <v>40.491575000000012</v>
      </c>
      <c r="T40" s="84">
        <v>0</v>
      </c>
      <c r="U40" s="84">
        <v>15.861381999999992</v>
      </c>
      <c r="V40" s="84">
        <v>0</v>
      </c>
      <c r="W40" s="84">
        <v>28.708551</v>
      </c>
      <c r="X40" s="84">
        <v>49.745041000000072</v>
      </c>
      <c r="Y40" s="84">
        <v>13.906094999999993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37.850494000000026</v>
      </c>
      <c r="E41" s="84">
        <v>183.0045540000001</v>
      </c>
      <c r="F41" s="84">
        <v>122.096407</v>
      </c>
      <c r="G41" s="84">
        <v>133.00570799999991</v>
      </c>
      <c r="H41" s="84">
        <v>142.95189899999991</v>
      </c>
      <c r="I41" s="84">
        <v>81.330138000000034</v>
      </c>
      <c r="J41" s="84">
        <v>154.94495899999993</v>
      </c>
      <c r="K41" s="84">
        <v>73.250442000000021</v>
      </c>
      <c r="L41" s="84">
        <v>78.842646000000059</v>
      </c>
      <c r="M41" s="84">
        <v>0</v>
      </c>
      <c r="N41" s="84">
        <v>108.26660399999992</v>
      </c>
      <c r="O41" s="84">
        <v>100.85714800000005</v>
      </c>
      <c r="P41" s="84">
        <v>50.173861999999644</v>
      </c>
      <c r="Q41" s="84">
        <v>153.18790999999987</v>
      </c>
      <c r="R41" s="84">
        <v>63.346434000000045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X41" s="84">
        <v>128.23671400000012</v>
      </c>
      <c r="Y41" s="84">
        <v>488.19626100000005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33.103568999999993</v>
      </c>
      <c r="D42" s="113">
        <v>20.810769999999991</v>
      </c>
      <c r="E42" s="113">
        <v>4.5954299999999932</v>
      </c>
      <c r="F42" s="113">
        <v>21.125709000000029</v>
      </c>
      <c r="G42" s="113">
        <v>11.627711000000033</v>
      </c>
      <c r="H42" s="113">
        <v>11.064320000000009</v>
      </c>
      <c r="I42" s="113">
        <v>17.915276000000006</v>
      </c>
      <c r="J42" s="113">
        <v>33.677495000000022</v>
      </c>
      <c r="K42" s="113">
        <v>6.1004260000000272</v>
      </c>
      <c r="L42" s="113">
        <v>1.4509459999999876</v>
      </c>
      <c r="M42" s="113">
        <v>13.584780000000023</v>
      </c>
      <c r="N42" s="113">
        <v>15.498415000000023</v>
      </c>
      <c r="O42" s="113">
        <v>5.2007950000000278</v>
      </c>
      <c r="P42" s="113">
        <v>0</v>
      </c>
      <c r="Q42" s="113">
        <v>5.7587850000000458</v>
      </c>
      <c r="R42" s="113">
        <v>0</v>
      </c>
      <c r="S42" s="113">
        <v>23.627372000000037</v>
      </c>
      <c r="T42" s="113">
        <v>0</v>
      </c>
      <c r="U42" s="113">
        <v>14.615312000000017</v>
      </c>
      <c r="V42" s="113">
        <v>0</v>
      </c>
      <c r="W42" s="113">
        <v>14.441641000000004</v>
      </c>
      <c r="X42" s="113">
        <v>37.723666000000037</v>
      </c>
      <c r="Y42" s="113">
        <v>19.134658000000002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12.35477800000001</v>
      </c>
      <c r="D43" s="28">
        <f t="shared" ref="D43:V43" si="43">SUM(D44:D45)</f>
        <v>19.858725000000021</v>
      </c>
      <c r="E43" s="28">
        <f t="shared" si="43"/>
        <v>53.376379000000043</v>
      </c>
      <c r="F43" s="28">
        <f t="shared" si="43"/>
        <v>0</v>
      </c>
      <c r="G43" s="28">
        <f t="shared" si="43"/>
        <v>0</v>
      </c>
      <c r="H43" s="28">
        <f t="shared" si="43"/>
        <v>0</v>
      </c>
      <c r="I43" s="28">
        <f t="shared" si="43"/>
        <v>5.2268910000000233</v>
      </c>
      <c r="J43" s="28">
        <f t="shared" si="43"/>
        <v>6.2251540000000531</v>
      </c>
      <c r="K43" s="28">
        <f t="shared" si="43"/>
        <v>0</v>
      </c>
      <c r="L43" s="28">
        <f t="shared" si="43"/>
        <v>0</v>
      </c>
      <c r="M43" s="28">
        <f t="shared" si="43"/>
        <v>3.4655309999999986</v>
      </c>
      <c r="N43" s="28">
        <f t="shared" si="43"/>
        <v>22.150890000000061</v>
      </c>
      <c r="O43" s="28">
        <f t="shared" si="43"/>
        <v>56.601953999999999</v>
      </c>
      <c r="P43" s="28">
        <f t="shared" si="43"/>
        <v>5.9666570000000405</v>
      </c>
      <c r="Q43" s="28">
        <f t="shared" si="43"/>
        <v>31.154227000000049</v>
      </c>
      <c r="R43" s="28">
        <f t="shared" si="43"/>
        <v>1.4831369999999993</v>
      </c>
      <c r="S43" s="28">
        <f t="shared" si="43"/>
        <v>35.995943000000032</v>
      </c>
      <c r="T43" s="28">
        <f t="shared" si="43"/>
        <v>3.5474660000000071</v>
      </c>
      <c r="U43" s="28">
        <f t="shared" si="43"/>
        <v>8.2379330000000266</v>
      </c>
      <c r="V43" s="28">
        <f t="shared" si="43"/>
        <v>40.572942000000047</v>
      </c>
      <c r="W43" s="28">
        <f t="shared" ref="W43:Y43" si="44">SUM(W44:W45)</f>
        <v>38.769292000000043</v>
      </c>
      <c r="X43" s="28">
        <f t="shared" si="44"/>
        <v>1.6650730000000067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0.71822299999999473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3.6399369999999962</v>
      </c>
      <c r="K44" s="84">
        <v>0</v>
      </c>
      <c r="L44" s="84">
        <v>0</v>
      </c>
      <c r="M44" s="84">
        <v>3.4655309999999986</v>
      </c>
      <c r="N44" s="84">
        <v>0</v>
      </c>
      <c r="O44" s="84">
        <v>3.7763500000000008</v>
      </c>
      <c r="P44" s="84">
        <v>0.91765900000000045</v>
      </c>
      <c r="Q44" s="84">
        <v>4.6204740000000015</v>
      </c>
      <c r="R44" s="84">
        <v>1.4831369999999993</v>
      </c>
      <c r="S44" s="84">
        <v>4.9754890000000032</v>
      </c>
      <c r="T44" s="84">
        <v>0.23602699999999999</v>
      </c>
      <c r="U44" s="84">
        <v>4.1072479999999985</v>
      </c>
      <c r="V44" s="84">
        <v>4.4528230000000022</v>
      </c>
      <c r="W44" s="84">
        <v>8.9032690000000017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12.35477800000001</v>
      </c>
      <c r="D45" s="86">
        <v>19.140502000000026</v>
      </c>
      <c r="E45" s="86">
        <v>53.376379000000043</v>
      </c>
      <c r="F45" s="86">
        <v>0</v>
      </c>
      <c r="G45" s="86">
        <v>0</v>
      </c>
      <c r="H45" s="86">
        <v>0</v>
      </c>
      <c r="I45" s="86">
        <v>5.2268910000000233</v>
      </c>
      <c r="J45" s="86">
        <v>2.5852170000000569</v>
      </c>
      <c r="K45" s="86">
        <v>0</v>
      </c>
      <c r="L45" s="86">
        <v>0</v>
      </c>
      <c r="M45" s="86">
        <v>0</v>
      </c>
      <c r="N45" s="86">
        <v>22.150890000000061</v>
      </c>
      <c r="O45" s="86">
        <v>52.825603999999998</v>
      </c>
      <c r="P45" s="86">
        <v>5.0489980000000401</v>
      </c>
      <c r="Q45" s="86">
        <v>26.533753000000047</v>
      </c>
      <c r="R45" s="86">
        <v>0</v>
      </c>
      <c r="S45" s="86">
        <v>31.020454000000029</v>
      </c>
      <c r="T45" s="86">
        <v>3.3114390000000071</v>
      </c>
      <c r="U45" s="86">
        <v>4.1306850000000281</v>
      </c>
      <c r="V45" s="86">
        <v>36.120119000000045</v>
      </c>
      <c r="W45" s="86">
        <v>29.866023000000041</v>
      </c>
      <c r="X45" s="86">
        <v>1.6650730000000067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183.71361517468176</v>
      </c>
      <c r="C50" s="29">
        <f t="shared" si="45"/>
        <v>192.9386868759573</v>
      </c>
      <c r="D50" s="29">
        <f t="shared" si="45"/>
        <v>191.89731117649939</v>
      </c>
      <c r="E50" s="29">
        <f t="shared" si="45"/>
        <v>179.11443801934331</v>
      </c>
      <c r="F50" s="29">
        <f t="shared" si="45"/>
        <v>175.28698488997907</v>
      </c>
      <c r="G50" s="29">
        <f t="shared" si="45"/>
        <v>174.66897659720814</v>
      </c>
      <c r="H50" s="29">
        <f t="shared" si="45"/>
        <v>175.39898150891247</v>
      </c>
      <c r="I50" s="29">
        <f t="shared" si="45"/>
        <v>177.06144822963938</v>
      </c>
      <c r="J50" s="29">
        <f t="shared" si="45"/>
        <v>174.08352122080302</v>
      </c>
      <c r="K50" s="29">
        <f t="shared" ref="K50:V50" si="46">IF(K4=0,0,K4/K15)</f>
        <v>172.66825018772502</v>
      </c>
      <c r="L50" s="29">
        <f t="shared" si="46"/>
        <v>172.07102103664405</v>
      </c>
      <c r="M50" s="29">
        <f t="shared" si="46"/>
        <v>177.59910728242849</v>
      </c>
      <c r="N50" s="29">
        <f t="shared" si="46"/>
        <v>174.26766859554601</v>
      </c>
      <c r="O50" s="29">
        <f t="shared" si="46"/>
        <v>169.62001404230116</v>
      </c>
      <c r="P50" s="29">
        <f t="shared" si="46"/>
        <v>169.97785764637703</v>
      </c>
      <c r="Q50" s="29">
        <f t="shared" si="46"/>
        <v>165.16849203801348</v>
      </c>
      <c r="R50" s="29">
        <f t="shared" si="46"/>
        <v>165.58336223727068</v>
      </c>
      <c r="S50" s="29">
        <f t="shared" si="46"/>
        <v>177.86664316231855</v>
      </c>
      <c r="T50" s="29">
        <f t="shared" si="46"/>
        <v>176.61379625646057</v>
      </c>
      <c r="U50" s="29">
        <f t="shared" si="46"/>
        <v>185.32196799335429</v>
      </c>
      <c r="V50" s="29">
        <f t="shared" si="46"/>
        <v>135.60585035558069</v>
      </c>
      <c r="W50" s="29">
        <f t="shared" ref="W50:Y50" si="47">IF(W4=0,0,W4/W15)</f>
        <v>159.44545243014392</v>
      </c>
      <c r="X50" s="29">
        <f t="shared" si="47"/>
        <v>199.47970316933151</v>
      </c>
      <c r="Y50" s="29">
        <f t="shared" si="47"/>
        <v>185.65405411020004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92.208488671177221</v>
      </c>
      <c r="C51" s="115">
        <f t="shared" si="48"/>
        <v>87.950389575246604</v>
      </c>
      <c r="D51" s="115">
        <f t="shared" si="48"/>
        <v>87.541604940380651</v>
      </c>
      <c r="E51" s="115">
        <f t="shared" si="48"/>
        <v>87.461474178561389</v>
      </c>
      <c r="F51" s="115">
        <f t="shared" si="48"/>
        <v>87.755595398045287</v>
      </c>
      <c r="G51" s="115">
        <f t="shared" si="48"/>
        <v>88.544308711287641</v>
      </c>
      <c r="H51" s="115">
        <f t="shared" si="48"/>
        <v>90.365972067013587</v>
      </c>
      <c r="I51" s="115">
        <f t="shared" si="48"/>
        <v>91.792324574761352</v>
      </c>
      <c r="J51" s="115">
        <f t="shared" si="48"/>
        <v>90.060329391030947</v>
      </c>
      <c r="K51" s="115">
        <f t="shared" ref="K51:V51" si="49">IF(K5=0,0,K5/K16)</f>
        <v>90.600244888228644</v>
      </c>
      <c r="L51" s="115">
        <f t="shared" si="49"/>
        <v>91.446645137656745</v>
      </c>
      <c r="M51" s="115">
        <f t="shared" si="49"/>
        <v>91.254176754558017</v>
      </c>
      <c r="N51" s="115">
        <f t="shared" si="49"/>
        <v>93.014230263582206</v>
      </c>
      <c r="O51" s="115">
        <f t="shared" si="49"/>
        <v>91.283868321528175</v>
      </c>
      <c r="P51" s="115">
        <f t="shared" si="49"/>
        <v>92.064546401385016</v>
      </c>
      <c r="Q51" s="115">
        <f t="shared" si="49"/>
        <v>91.688107531333628</v>
      </c>
      <c r="R51" s="115">
        <f t="shared" si="49"/>
        <v>92.333671124202155</v>
      </c>
      <c r="S51" s="115">
        <f t="shared" si="49"/>
        <v>93.295764632263754</v>
      </c>
      <c r="T51" s="115">
        <f t="shared" si="49"/>
        <v>93.653382866003184</v>
      </c>
      <c r="U51" s="115">
        <f t="shared" si="49"/>
        <v>94.637123308712418</v>
      </c>
      <c r="V51" s="115">
        <f t="shared" si="49"/>
        <v>69.66598391599058</v>
      </c>
      <c r="W51" s="115">
        <f t="shared" ref="W51:Y51" si="50">IF(W5=0,0,W5/W16)</f>
        <v>74.778369301415481</v>
      </c>
      <c r="X51" s="115">
        <f t="shared" si="50"/>
        <v>98.668877524583337</v>
      </c>
      <c r="Y51" s="115">
        <f t="shared" si="50"/>
        <v>102.26898549445535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143.72672756861732</v>
      </c>
      <c r="C52" s="116">
        <f t="shared" si="51"/>
        <v>156.29911973686171</v>
      </c>
      <c r="D52" s="116">
        <f t="shared" si="51"/>
        <v>151.63773240426158</v>
      </c>
      <c r="E52" s="116">
        <f t="shared" si="51"/>
        <v>133.94766866725058</v>
      </c>
      <c r="F52" s="116">
        <f t="shared" si="51"/>
        <v>130.47090947850523</v>
      </c>
      <c r="G52" s="116">
        <f t="shared" si="51"/>
        <v>128.47345339391487</v>
      </c>
      <c r="H52" s="116">
        <f t="shared" si="51"/>
        <v>125.59090216710902</v>
      </c>
      <c r="I52" s="116">
        <f t="shared" si="51"/>
        <v>120.98334601562605</v>
      </c>
      <c r="J52" s="116">
        <f t="shared" si="51"/>
        <v>116.01783909643663</v>
      </c>
      <c r="K52" s="116">
        <f t="shared" ref="K52:V52" si="52">IF(K6=0,0,K6/K17)</f>
        <v>112.72939416243894</v>
      </c>
      <c r="L52" s="116">
        <f t="shared" si="52"/>
        <v>108.88257947914151</v>
      </c>
      <c r="M52" s="116">
        <f t="shared" si="52"/>
        <v>115.91195777397824</v>
      </c>
      <c r="N52" s="116">
        <f t="shared" si="52"/>
        <v>113.92096709913469</v>
      </c>
      <c r="O52" s="116">
        <f t="shared" si="52"/>
        <v>109.68828482735462</v>
      </c>
      <c r="P52" s="116">
        <f t="shared" si="52"/>
        <v>108.00015966875277</v>
      </c>
      <c r="Q52" s="116">
        <f t="shared" si="52"/>
        <v>102.49094029061779</v>
      </c>
      <c r="R52" s="116">
        <f t="shared" si="52"/>
        <v>102.46945022227401</v>
      </c>
      <c r="S52" s="116">
        <f t="shared" si="52"/>
        <v>110.64828479491081</v>
      </c>
      <c r="T52" s="116">
        <f t="shared" si="52"/>
        <v>110.89718452187289</v>
      </c>
      <c r="U52" s="116">
        <f t="shared" si="52"/>
        <v>117.35254063895768</v>
      </c>
      <c r="V52" s="116">
        <f t="shared" si="52"/>
        <v>87.575594854797913</v>
      </c>
      <c r="W52" s="116">
        <f t="shared" ref="W52:Y52" si="53">IF(W6=0,0,W6/W17)</f>
        <v>109.24016718693082</v>
      </c>
      <c r="X52" s="116">
        <f t="shared" si="53"/>
        <v>127.50708277149175</v>
      </c>
      <c r="Y52" s="116">
        <f t="shared" si="53"/>
        <v>110.86208624662092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96.403469060013322</v>
      </c>
      <c r="C53" s="87">
        <f t="shared" si="54"/>
        <v>116.57576283158666</v>
      </c>
      <c r="D53" s="87">
        <f t="shared" si="54"/>
        <v>111.03683138114465</v>
      </c>
      <c r="E53" s="87">
        <f t="shared" si="54"/>
        <v>110.04815011578322</v>
      </c>
      <c r="F53" s="87">
        <f t="shared" si="54"/>
        <v>106.30751151544223</v>
      </c>
      <c r="G53" s="87">
        <f t="shared" si="54"/>
        <v>114.38767358603499</v>
      </c>
      <c r="H53" s="87">
        <f t="shared" si="54"/>
        <v>118.37768706095785</v>
      </c>
      <c r="I53" s="87">
        <f t="shared" si="54"/>
        <v>117.41293064054582</v>
      </c>
      <c r="J53" s="87">
        <f t="shared" si="54"/>
        <v>109.41234330864891</v>
      </c>
      <c r="K53" s="87">
        <f t="shared" ref="K53:V53" si="55">IF(K7=0,0,K7/K18)</f>
        <v>105.24661966410862</v>
      </c>
      <c r="L53" s="87">
        <f t="shared" si="55"/>
        <v>103.36353735397358</v>
      </c>
      <c r="M53" s="87">
        <f t="shared" si="55"/>
        <v>104.76899984312661</v>
      </c>
      <c r="N53" s="87">
        <f t="shared" si="55"/>
        <v>106.78541516929458</v>
      </c>
      <c r="O53" s="87">
        <f t="shared" si="55"/>
        <v>103.85768474404448</v>
      </c>
      <c r="P53" s="87">
        <f t="shared" si="55"/>
        <v>102.34656196079365</v>
      </c>
      <c r="Q53" s="87">
        <f t="shared" si="55"/>
        <v>102.11274261864351</v>
      </c>
      <c r="R53" s="87">
        <f t="shared" si="55"/>
        <v>103.19537545646089</v>
      </c>
      <c r="S53" s="87">
        <f t="shared" si="55"/>
        <v>104.99570520833609</v>
      </c>
      <c r="T53" s="87">
        <f t="shared" si="55"/>
        <v>107.48887765831731</v>
      </c>
      <c r="U53" s="87">
        <f t="shared" si="55"/>
        <v>114.23520535375462</v>
      </c>
      <c r="V53" s="87">
        <f t="shared" si="55"/>
        <v>78.383163543134742</v>
      </c>
      <c r="W53" s="87">
        <f t="shared" ref="W53:Y53" si="56">IF(W7=0,0,W7/W18)</f>
        <v>96.265564238743877</v>
      </c>
      <c r="X53" s="87">
        <f t="shared" si="56"/>
        <v>104.58828331181005</v>
      </c>
      <c r="Y53" s="87">
        <f t="shared" si="56"/>
        <v>97.978536849848155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161.79752483840622</v>
      </c>
      <c r="C54" s="87">
        <f t="shared" si="57"/>
        <v>169.46357000284075</v>
      </c>
      <c r="D54" s="87">
        <f t="shared" si="57"/>
        <v>165.77699343662343</v>
      </c>
      <c r="E54" s="87">
        <f t="shared" si="57"/>
        <v>141.2589714718458</v>
      </c>
      <c r="F54" s="87">
        <f t="shared" si="57"/>
        <v>138.11539421610786</v>
      </c>
      <c r="G54" s="87">
        <f t="shared" si="57"/>
        <v>132.43566181135492</v>
      </c>
      <c r="H54" s="87">
        <f t="shared" si="57"/>
        <v>127.47853987838725</v>
      </c>
      <c r="I54" s="87">
        <f t="shared" si="57"/>
        <v>121.83469040179025</v>
      </c>
      <c r="J54" s="87">
        <f t="shared" si="57"/>
        <v>117.59698533985386</v>
      </c>
      <c r="K54" s="87">
        <f t="shared" ref="K54:V54" si="58">IF(K8=0,0,K8/K19)</f>
        <v>114.46154723544512</v>
      </c>
      <c r="L54" s="87">
        <f t="shared" si="58"/>
        <v>110.09676836981231</v>
      </c>
      <c r="M54" s="87">
        <f t="shared" si="58"/>
        <v>118.51356866366716</v>
      </c>
      <c r="N54" s="87">
        <f t="shared" si="58"/>
        <v>115.44732056149347</v>
      </c>
      <c r="O54" s="87">
        <f t="shared" si="58"/>
        <v>110.8929504488864</v>
      </c>
      <c r="P54" s="87">
        <f t="shared" si="58"/>
        <v>109.10627973336342</v>
      </c>
      <c r="Q54" s="87">
        <f t="shared" si="58"/>
        <v>102.56256937373961</v>
      </c>
      <c r="R54" s="87">
        <f t="shared" si="58"/>
        <v>102.34785859684304</v>
      </c>
      <c r="S54" s="87">
        <f t="shared" si="58"/>
        <v>111.72627752268002</v>
      </c>
      <c r="T54" s="87">
        <f t="shared" si="58"/>
        <v>111.51011410353517</v>
      </c>
      <c r="U54" s="87">
        <f t="shared" si="58"/>
        <v>117.9268236734374</v>
      </c>
      <c r="V54" s="87">
        <f t="shared" si="58"/>
        <v>89.281397488613365</v>
      </c>
      <c r="W54" s="87">
        <f t="shared" ref="W54:Y54" si="59">IF(W8=0,0,W8/W19)</f>
        <v>111.88398479509098</v>
      </c>
      <c r="X54" s="87">
        <f t="shared" si="59"/>
        <v>132.11073710677749</v>
      </c>
      <c r="Y54" s="87">
        <f t="shared" si="59"/>
        <v>112.90933879328288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392.09082307680922</v>
      </c>
      <c r="C55" s="117">
        <f t="shared" si="60"/>
        <v>373.41999277970882</v>
      </c>
      <c r="D55" s="117">
        <f t="shared" si="60"/>
        <v>373.4203675986991</v>
      </c>
      <c r="E55" s="117">
        <f t="shared" si="60"/>
        <v>373.41986583820466</v>
      </c>
      <c r="F55" s="117">
        <f t="shared" si="60"/>
        <v>369.68551835423114</v>
      </c>
      <c r="G55" s="117">
        <f t="shared" si="60"/>
        <v>373.41942430819466</v>
      </c>
      <c r="H55" s="117">
        <f t="shared" si="60"/>
        <v>386.72899286208383</v>
      </c>
      <c r="I55" s="117">
        <f t="shared" si="60"/>
        <v>396.60123328858833</v>
      </c>
      <c r="J55" s="117">
        <f t="shared" si="60"/>
        <v>392.87484738399343</v>
      </c>
      <c r="K55" s="117">
        <f t="shared" ref="K55:V55" si="61">IF(K9=0,0,K9/K20)</f>
        <v>390.62655822482759</v>
      </c>
      <c r="L55" s="117">
        <f t="shared" si="61"/>
        <v>404.2642509312351</v>
      </c>
      <c r="M55" s="117">
        <f t="shared" si="61"/>
        <v>404.1602847036815</v>
      </c>
      <c r="N55" s="117">
        <f t="shared" si="61"/>
        <v>392.45085612620829</v>
      </c>
      <c r="O55" s="117">
        <f t="shared" si="61"/>
        <v>392.09011458589828</v>
      </c>
      <c r="P55" s="117">
        <f t="shared" si="61"/>
        <v>406.844566917853</v>
      </c>
      <c r="Q55" s="117">
        <f t="shared" si="61"/>
        <v>410.2924703842163</v>
      </c>
      <c r="R55" s="117">
        <f t="shared" si="61"/>
        <v>416.49321263960951</v>
      </c>
      <c r="S55" s="117">
        <f t="shared" si="61"/>
        <v>428.4575580900364</v>
      </c>
      <c r="T55" s="117">
        <f t="shared" si="61"/>
        <v>432.43262135805611</v>
      </c>
      <c r="U55" s="117">
        <f t="shared" si="61"/>
        <v>440.04970087696341</v>
      </c>
      <c r="V55" s="117">
        <f t="shared" si="61"/>
        <v>313.75155829340855</v>
      </c>
      <c r="W55" s="117">
        <f t="shared" ref="W55:Y55" si="62">IF(W9=0,0,W9/W20)</f>
        <v>338.62720186990322</v>
      </c>
      <c r="X55" s="117">
        <f t="shared" si="62"/>
        <v>430.43144956598161</v>
      </c>
      <c r="Y55" s="117">
        <f t="shared" si="62"/>
        <v>435.42145316267658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542.00734538961035</v>
      </c>
      <c r="C56" s="29">
        <f t="shared" si="63"/>
        <v>499.72350525639604</v>
      </c>
      <c r="D56" s="29">
        <f t="shared" si="63"/>
        <v>489.68230424960399</v>
      </c>
      <c r="E56" s="29">
        <f t="shared" si="63"/>
        <v>433.48083681232384</v>
      </c>
      <c r="F56" s="29">
        <f t="shared" si="63"/>
        <v>432.9646974908942</v>
      </c>
      <c r="G56" s="29">
        <f t="shared" si="63"/>
        <v>458.89623380568435</v>
      </c>
      <c r="H56" s="29">
        <f t="shared" si="63"/>
        <v>476.64549005700593</v>
      </c>
      <c r="I56" s="29">
        <f t="shared" si="63"/>
        <v>505.66085498283559</v>
      </c>
      <c r="J56" s="29">
        <f t="shared" si="63"/>
        <v>493.49522883702036</v>
      </c>
      <c r="K56" s="29">
        <f t="shared" ref="K56:V56" si="64">IF(K10=0,0,K10/K21)</f>
        <v>477.17420353758934</v>
      </c>
      <c r="L56" s="29">
        <f t="shared" si="64"/>
        <v>456.10126626953536</v>
      </c>
      <c r="M56" s="29">
        <f t="shared" si="64"/>
        <v>581.85046417007413</v>
      </c>
      <c r="N56" s="29">
        <f t="shared" si="64"/>
        <v>547.47786472169207</v>
      </c>
      <c r="O56" s="29">
        <f t="shared" si="64"/>
        <v>479.77172260467142</v>
      </c>
      <c r="P56" s="29">
        <f t="shared" si="64"/>
        <v>503.07020508109059</v>
      </c>
      <c r="Q56" s="29">
        <f t="shared" si="64"/>
        <v>538.60746204308384</v>
      </c>
      <c r="R56" s="29">
        <f t="shared" si="64"/>
        <v>548.04993537297048</v>
      </c>
      <c r="S56" s="29">
        <f t="shared" si="64"/>
        <v>529.85853400981921</v>
      </c>
      <c r="T56" s="29">
        <f t="shared" si="64"/>
        <v>528.11676360002502</v>
      </c>
      <c r="U56" s="29">
        <f t="shared" si="64"/>
        <v>545.45643068582729</v>
      </c>
      <c r="V56" s="29">
        <f t="shared" si="64"/>
        <v>469.19296968828888</v>
      </c>
      <c r="W56" s="29">
        <f t="shared" ref="W56:Y56" si="65">IF(W10=0,0,W10/W21)</f>
        <v>504.65019805997508</v>
      </c>
      <c r="X56" s="29">
        <f t="shared" si="65"/>
        <v>523.41387295017398</v>
      </c>
      <c r="Y56" s="29">
        <f t="shared" si="65"/>
        <v>495.44367046713307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471.10337678256337</v>
      </c>
      <c r="C57" s="87">
        <f t="shared" si="66"/>
        <v>534.92266161074394</v>
      </c>
      <c r="D57" s="87">
        <f t="shared" si="66"/>
        <v>507.83740236959579</v>
      </c>
      <c r="E57" s="87">
        <f t="shared" si="66"/>
        <v>551.18990346467331</v>
      </c>
      <c r="F57" s="87">
        <f t="shared" si="66"/>
        <v>622.95195013935381</v>
      </c>
      <c r="G57" s="87">
        <f t="shared" si="66"/>
        <v>612.58243747973461</v>
      </c>
      <c r="H57" s="87">
        <f t="shared" si="66"/>
        <v>652.69878944226537</v>
      </c>
      <c r="I57" s="87">
        <f t="shared" si="66"/>
        <v>652.17346744090594</v>
      </c>
      <c r="J57" s="87">
        <f t="shared" si="66"/>
        <v>606.34094483740171</v>
      </c>
      <c r="K57" s="87">
        <f t="shared" ref="K57:V57" si="67">IF(K11=0,0,K11/K22)</f>
        <v>613.21504443228923</v>
      </c>
      <c r="L57" s="87">
        <f t="shared" si="67"/>
        <v>595.49056929637311</v>
      </c>
      <c r="M57" s="87">
        <f t="shared" si="67"/>
        <v>685.76573538794059</v>
      </c>
      <c r="N57" s="87">
        <f t="shared" si="67"/>
        <v>707.46736469614063</v>
      </c>
      <c r="O57" s="87">
        <f t="shared" si="67"/>
        <v>664.39271017540796</v>
      </c>
      <c r="P57" s="87">
        <f t="shared" si="67"/>
        <v>714.19429599518787</v>
      </c>
      <c r="Q57" s="87">
        <f t="shared" si="67"/>
        <v>739.11063458443505</v>
      </c>
      <c r="R57" s="87">
        <f t="shared" si="67"/>
        <v>691.13354869717648</v>
      </c>
      <c r="S57" s="87">
        <f t="shared" si="67"/>
        <v>680.03288769373091</v>
      </c>
      <c r="T57" s="87">
        <f t="shared" si="67"/>
        <v>699.80487440012541</v>
      </c>
      <c r="U57" s="87">
        <f t="shared" si="67"/>
        <v>668.0780514728109</v>
      </c>
      <c r="V57" s="87">
        <f t="shared" si="67"/>
        <v>587.26672670254868</v>
      </c>
      <c r="W57" s="87">
        <f t="shared" ref="W57:Y57" si="68">IF(W11=0,0,W11/W22)</f>
        <v>546.36978660333466</v>
      </c>
      <c r="X57" s="87">
        <f t="shared" si="68"/>
        <v>612.54559294951537</v>
      </c>
      <c r="Y57" s="87">
        <f t="shared" si="68"/>
        <v>599.69289862309483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554.98695436136302</v>
      </c>
      <c r="C58" s="88">
        <f t="shared" si="69"/>
        <v>494.22500715506914</v>
      </c>
      <c r="D58" s="88">
        <f t="shared" si="69"/>
        <v>486.79251708674713</v>
      </c>
      <c r="E58" s="88">
        <f t="shared" si="69"/>
        <v>418.09418435190645</v>
      </c>
      <c r="F58" s="88">
        <f t="shared" si="69"/>
        <v>412.78735757791708</v>
      </c>
      <c r="G58" s="88">
        <f t="shared" si="69"/>
        <v>443.53675375050636</v>
      </c>
      <c r="H58" s="88">
        <f t="shared" si="69"/>
        <v>460.20253567588338</v>
      </c>
      <c r="I58" s="88">
        <f t="shared" si="69"/>
        <v>491.98465605475872</v>
      </c>
      <c r="J58" s="88">
        <f t="shared" si="69"/>
        <v>482.40964599310922</v>
      </c>
      <c r="K58" s="88">
        <f t="shared" ref="K58:V58" si="70">IF(K12=0,0,K12/K23)</f>
        <v>465.07337939180684</v>
      </c>
      <c r="L58" s="88">
        <f t="shared" si="70"/>
        <v>444.47292541775903</v>
      </c>
      <c r="M58" s="88">
        <f t="shared" si="70"/>
        <v>571.8536826336325</v>
      </c>
      <c r="N58" s="88">
        <f t="shared" si="70"/>
        <v>534.79633920953961</v>
      </c>
      <c r="O58" s="88">
        <f t="shared" si="70"/>
        <v>466.431263197433</v>
      </c>
      <c r="P58" s="88">
        <f t="shared" si="70"/>
        <v>488.74405735135576</v>
      </c>
      <c r="Q58" s="88">
        <f t="shared" si="70"/>
        <v>524.450812094051</v>
      </c>
      <c r="R58" s="88">
        <f t="shared" si="70"/>
        <v>538.01415935904561</v>
      </c>
      <c r="S58" s="88">
        <f t="shared" si="70"/>
        <v>518.90202861694354</v>
      </c>
      <c r="T58" s="88">
        <f t="shared" si="70"/>
        <v>516.66696372128717</v>
      </c>
      <c r="U58" s="88">
        <f t="shared" si="70"/>
        <v>536.49129986510809</v>
      </c>
      <c r="V58" s="88">
        <f t="shared" si="70"/>
        <v>460.5845062444285</v>
      </c>
      <c r="W58" s="88">
        <f t="shared" ref="W58:Y58" si="71">IF(W12=0,0,W12/W23)</f>
        <v>500.98784346841563</v>
      </c>
      <c r="X58" s="88">
        <f t="shared" si="71"/>
        <v>516.43062352290428</v>
      </c>
      <c r="Y58" s="88">
        <f t="shared" si="71"/>
        <v>488.58639886369434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358.83804891202931</v>
      </c>
      <c r="C61" s="29">
        <f t="shared" ref="C61" si="73">IF(C26=0,0,(C62*C27+C64*C29+C65*C30+C66*C31)/(C27+C29+C30+C31))</f>
        <v>363.42944366290692</v>
      </c>
      <c r="D61" s="29">
        <f t="shared" ref="D61" si="74">IF(D26=0,0,(D62*D27+D64*D29+D65*D30+D66*D31)/(D27+D29+D30+D31))</f>
        <v>365.14070715098012</v>
      </c>
      <c r="E61" s="29">
        <f t="shared" ref="E61" si="75">IF(E26=0,0,(E62*E27+E64*E29+E65*E30+E66*E31)/(E27+E29+E30+E31))</f>
        <v>363.07113702127089</v>
      </c>
      <c r="F61" s="29">
        <f t="shared" ref="F61" si="76">IF(F26=0,0,(F62*F27+F64*F29+F65*F30+F66*F31)/(F27+F29+F30+F31))</f>
        <v>363.33736240027605</v>
      </c>
      <c r="G61" s="29">
        <f t="shared" ref="G61" si="77">IF(G26=0,0,(G62*G27+G64*G29+G65*G30+G66*G31)/(G27+G29+G30+G31))</f>
        <v>362.90594864517664</v>
      </c>
      <c r="H61" s="29">
        <f t="shared" ref="H61" si="78">IF(H26=0,0,(H62*H27+H64*H29+H65*H30+H66*H31)/(H27+H29+H30+H31))</f>
        <v>362.00531554201837</v>
      </c>
      <c r="I61" s="29">
        <f t="shared" ref="I61" si="79">IF(I26=0,0,(I62*I27+I64*I29+I65*I30+I66*I31)/(I27+I29+I30+I31))</f>
        <v>362.3749333610769</v>
      </c>
      <c r="J61" s="29">
        <f t="shared" ref="J61" si="80">IF(J26=0,0,(J62*J27+J64*J29+J65*J30+J66*J31)/(J27+J29+J30+J31))</f>
        <v>362.99162157781717</v>
      </c>
      <c r="K61" s="29">
        <f t="shared" ref="K61" si="81">IF(K26=0,0,(K62*K27+K64*K29+K65*K30+K66*K31)/(K27+K29+K30+K31))</f>
        <v>361.80219548697556</v>
      </c>
      <c r="L61" s="29">
        <f t="shared" ref="L61" si="82">IF(L26=0,0,(L62*L27+L64*L29+L65*L30+L66*L31)/(L27+L29+L30+L31))</f>
        <v>361.12573863515064</v>
      </c>
      <c r="M61" s="29">
        <f t="shared" ref="M61" si="83">IF(M26=0,0,(M62*M27+M64*M29+M65*M30+M66*M31)/(M27+M29+M30+M31))</f>
        <v>361.97206477409276</v>
      </c>
      <c r="N61" s="29">
        <f t="shared" ref="N61" si="84">IF(N26=0,0,(N62*N27+N64*N29+N65*N30+N66*N31)/(N27+N29+N30+N31))</f>
        <v>362.21663212710365</v>
      </c>
      <c r="O61" s="29">
        <f t="shared" ref="O61" si="85">IF(O26=0,0,(O62*O27+O64*O29+O65*O30+O66*O31)/(O27+O29+O30+O31))</f>
        <v>361.86560485449598</v>
      </c>
      <c r="P61" s="29">
        <f t="shared" ref="P61" si="86">IF(P26=0,0,(P62*P27+P64*P29+P65*P30+P66*P31)/(P27+P29+P30+P31))</f>
        <v>361.46809760667691</v>
      </c>
      <c r="Q61" s="29">
        <f t="shared" ref="Q61" si="87">IF(Q26=0,0,(Q62*Q27+Q64*Q29+Q65*Q30+Q66*Q31)/(Q27+Q29+Q30+Q31))</f>
        <v>360.23443065857117</v>
      </c>
      <c r="R61" s="29">
        <f t="shared" ref="R61" si="88">IF(R26=0,0,(R62*R27+R64*R29+R65*R30+R66*R31)/(R27+R29+R30+R31))</f>
        <v>360.05345560717188</v>
      </c>
      <c r="S61" s="29">
        <f t="shared" ref="S61" si="89">IF(S26=0,0,(S62*S27+S64*S29+S65*S30+S66*S31)/(S27+S29+S30+S31))</f>
        <v>362.12222395675087</v>
      </c>
      <c r="T61" s="29">
        <f t="shared" ref="T61" si="90">IF(T26=0,0,(T62*T27+T64*T29+T65*T30+T66*T31)/(T27+T29+T30+T31))</f>
        <v>362.80872735653344</v>
      </c>
      <c r="U61" s="29">
        <f t="shared" ref="U61" si="91">IF(U26=0,0,(U62*U27+U64*U29+U65*U30+U66*U31)/(U27+U29+U30+U31))</f>
        <v>363.37803507916806</v>
      </c>
      <c r="V61" s="29">
        <f t="shared" ref="V61" si="92">IF(V26=0,0,(V62*V27+V64*V29+V65*V30+V66*V31)/(V27+V29+V30+V31))</f>
        <v>363.75353178866777</v>
      </c>
      <c r="W61" s="29">
        <f t="shared" ref="W61:Y61" si="93">IF(W26=0,0,(W62*W27+W64*W29+W65*W30+W66*W31)/(W27+W29+W30+W31))</f>
        <v>365.21875155766469</v>
      </c>
      <c r="X61" s="29">
        <f t="shared" si="93"/>
        <v>364.96798960050165</v>
      </c>
      <c r="Y61" s="29">
        <f t="shared" si="93"/>
        <v>360.21140189787781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319.99999999999994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320.00000000000006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320.00000000000006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2100.0000000000005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2100.0000000000005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2099.9999999999995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0.51196804723380918</v>
      </c>
      <c r="C72" s="30">
        <f t="shared" ref="C72:J72" si="138">IF(C50=0,0,C50/C61)</f>
        <v>0.53088347749533038</v>
      </c>
      <c r="D72" s="30">
        <f t="shared" si="138"/>
        <v>0.52554346151592668</v>
      </c>
      <c r="E72" s="30">
        <f t="shared" si="138"/>
        <v>0.49333152585150197</v>
      </c>
      <c r="F72" s="30">
        <f t="shared" si="138"/>
        <v>0.48243589300037781</v>
      </c>
      <c r="G72" s="30">
        <f t="shared" si="138"/>
        <v>0.48130645763535534</v>
      </c>
      <c r="H72" s="30">
        <f t="shared" si="138"/>
        <v>0.484520458618939</v>
      </c>
      <c r="I72" s="30">
        <f t="shared" si="138"/>
        <v>0.48861395181882566</v>
      </c>
      <c r="J72" s="30">
        <f t="shared" si="138"/>
        <v>0.47957999819421027</v>
      </c>
      <c r="K72" s="30">
        <f t="shared" ref="K72:V72" si="139">IF(K50=0,0,K50/K61)</f>
        <v>0.4772448933188988</v>
      </c>
      <c r="L72" s="30">
        <f t="shared" si="139"/>
        <v>0.47648506497203547</v>
      </c>
      <c r="M72" s="30">
        <f t="shared" si="139"/>
        <v>0.49064313124071696</v>
      </c>
      <c r="N72" s="30">
        <f t="shared" si="139"/>
        <v>0.48111448547286645</v>
      </c>
      <c r="O72" s="30">
        <f t="shared" si="139"/>
        <v>0.46873759696090589</v>
      </c>
      <c r="P72" s="30">
        <f t="shared" si="139"/>
        <v>0.47024304156250735</v>
      </c>
      <c r="Q72" s="30">
        <f t="shared" si="139"/>
        <v>0.45850279146292811</v>
      </c>
      <c r="R72" s="30">
        <f t="shared" si="139"/>
        <v>0.45988549660783323</v>
      </c>
      <c r="S72" s="30">
        <f t="shared" si="139"/>
        <v>0.49117847896449901</v>
      </c>
      <c r="T72" s="30">
        <f t="shared" si="139"/>
        <v>0.48679588703196097</v>
      </c>
      <c r="U72" s="30">
        <f t="shared" si="139"/>
        <v>0.50999771616074363</v>
      </c>
      <c r="V72" s="30">
        <f t="shared" si="139"/>
        <v>0.37279596898694717</v>
      </c>
      <c r="W72" s="30">
        <f t="shared" ref="W72:Y72" si="140">IF(W50=0,0,W50/W61)</f>
        <v>0.43657520800918936</v>
      </c>
      <c r="X72" s="30">
        <f t="shared" si="140"/>
        <v>0.54656766854453287</v>
      </c>
      <c r="Y72" s="30">
        <f t="shared" si="140"/>
        <v>0.51540304702190998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0.23052122167794306</v>
      </c>
      <c r="C73" s="118">
        <f t="shared" si="141"/>
        <v>0.2198759739381165</v>
      </c>
      <c r="D73" s="118">
        <f t="shared" si="141"/>
        <v>0.21885401235095162</v>
      </c>
      <c r="E73" s="118">
        <f t="shared" si="141"/>
        <v>0.21865368544640348</v>
      </c>
      <c r="F73" s="118">
        <f t="shared" si="141"/>
        <v>0.21938898849511321</v>
      </c>
      <c r="G73" s="118">
        <f t="shared" si="141"/>
        <v>0.22136077177821911</v>
      </c>
      <c r="H73" s="118">
        <f t="shared" si="141"/>
        <v>0.22591493016753397</v>
      </c>
      <c r="I73" s="118">
        <f t="shared" si="141"/>
        <v>0.22948081143690338</v>
      </c>
      <c r="J73" s="118">
        <f t="shared" si="141"/>
        <v>0.22515082347757737</v>
      </c>
      <c r="K73" s="118">
        <f t="shared" ref="K73:V73" si="142">IF(K51=0,0,K51/K62)</f>
        <v>0.22650061222057161</v>
      </c>
      <c r="L73" s="118">
        <f t="shared" si="142"/>
        <v>0.22861661284414186</v>
      </c>
      <c r="M73" s="118">
        <f t="shared" si="142"/>
        <v>0.22813544188639504</v>
      </c>
      <c r="N73" s="118">
        <f t="shared" si="142"/>
        <v>0.23253557565895552</v>
      </c>
      <c r="O73" s="118">
        <f t="shared" si="142"/>
        <v>0.22820967080382043</v>
      </c>
      <c r="P73" s="118">
        <f t="shared" si="142"/>
        <v>0.23016136600346254</v>
      </c>
      <c r="Q73" s="118">
        <f t="shared" si="142"/>
        <v>0.22922026882833407</v>
      </c>
      <c r="R73" s="118">
        <f t="shared" si="142"/>
        <v>0.23083417781050539</v>
      </c>
      <c r="S73" s="118">
        <f t="shared" si="142"/>
        <v>0.23323941158065939</v>
      </c>
      <c r="T73" s="118">
        <f t="shared" si="142"/>
        <v>0.23413345716500797</v>
      </c>
      <c r="U73" s="118">
        <f t="shared" si="142"/>
        <v>0.23659280827178106</v>
      </c>
      <c r="V73" s="118">
        <f t="shared" si="142"/>
        <v>0.17416495978997645</v>
      </c>
      <c r="W73" s="118">
        <f t="shared" ref="W73:Y73" si="143">IF(W51=0,0,W51/W62)</f>
        <v>0.1869459232535387</v>
      </c>
      <c r="X73" s="118">
        <f t="shared" si="143"/>
        <v>0.24667219381145833</v>
      </c>
      <c r="Y73" s="118">
        <f t="shared" si="143"/>
        <v>0.25567246373613839</v>
      </c>
      <c r="DA73" s="203"/>
    </row>
    <row r="74" spans="1:105" ht="11.45" customHeight="1" x14ac:dyDescent="0.25">
      <c r="A74" s="109" t="s">
        <v>24</v>
      </c>
      <c r="B74" s="119">
        <f t="shared" si="141"/>
        <v>0.44914602365192913</v>
      </c>
      <c r="C74" s="119">
        <f t="shared" si="141"/>
        <v>0.48843474917769286</v>
      </c>
      <c r="D74" s="119">
        <f t="shared" si="141"/>
        <v>0.47386791376331755</v>
      </c>
      <c r="E74" s="119">
        <f t="shared" si="141"/>
        <v>0.41858646458515808</v>
      </c>
      <c r="F74" s="119">
        <f t="shared" si="141"/>
        <v>0.40772159212032888</v>
      </c>
      <c r="G74" s="119">
        <f t="shared" si="141"/>
        <v>0.401479541855984</v>
      </c>
      <c r="H74" s="119">
        <f t="shared" si="141"/>
        <v>0.39247156927221571</v>
      </c>
      <c r="I74" s="119">
        <f t="shared" si="141"/>
        <v>0.37807295629883142</v>
      </c>
      <c r="J74" s="119">
        <f t="shared" si="141"/>
        <v>0.36255574717636441</v>
      </c>
      <c r="K74" s="119">
        <f t="shared" ref="K74:V74" si="144">IF(K52=0,0,K52/K63)</f>
        <v>0.35227935675762168</v>
      </c>
      <c r="L74" s="119">
        <f t="shared" si="144"/>
        <v>0.34025806087231725</v>
      </c>
      <c r="M74" s="119">
        <f t="shared" si="144"/>
        <v>0.36222486804368204</v>
      </c>
      <c r="N74" s="119">
        <f t="shared" si="144"/>
        <v>0.35600302218479585</v>
      </c>
      <c r="O74" s="119">
        <f t="shared" si="144"/>
        <v>0.34277589008548315</v>
      </c>
      <c r="P74" s="119">
        <f t="shared" si="144"/>
        <v>0.3375004989648524</v>
      </c>
      <c r="Q74" s="119">
        <f t="shared" si="144"/>
        <v>0.32028418840818057</v>
      </c>
      <c r="R74" s="119">
        <f t="shared" si="144"/>
        <v>0.32021703194460627</v>
      </c>
      <c r="S74" s="119">
        <f t="shared" si="144"/>
        <v>0.34577588998409625</v>
      </c>
      <c r="T74" s="119">
        <f t="shared" si="144"/>
        <v>0.34655370163085275</v>
      </c>
      <c r="U74" s="119">
        <f t="shared" si="144"/>
        <v>0.36672668949674275</v>
      </c>
      <c r="V74" s="119">
        <f t="shared" si="144"/>
        <v>0.2736737339212435</v>
      </c>
      <c r="W74" s="119">
        <f t="shared" ref="W74:Y74" si="145">IF(W52=0,0,W52/W63)</f>
        <v>0.34137552245915875</v>
      </c>
      <c r="X74" s="119">
        <f t="shared" si="145"/>
        <v>0.39845963366091175</v>
      </c>
      <c r="Y74" s="119">
        <f t="shared" si="145"/>
        <v>0.34644401952069037</v>
      </c>
      <c r="DA74" s="176"/>
    </row>
    <row r="75" spans="1:105" ht="11.45" customHeight="1" x14ac:dyDescent="0.25">
      <c r="A75" s="111" t="s">
        <v>92</v>
      </c>
      <c r="B75" s="120">
        <f t="shared" si="141"/>
        <v>0.30126084081254162</v>
      </c>
      <c r="C75" s="120">
        <f t="shared" si="141"/>
        <v>0.36429925884870829</v>
      </c>
      <c r="D75" s="120">
        <f t="shared" si="141"/>
        <v>0.34699009806607706</v>
      </c>
      <c r="E75" s="120">
        <f t="shared" si="141"/>
        <v>0.34390046911182254</v>
      </c>
      <c r="F75" s="120">
        <f t="shared" si="141"/>
        <v>0.33221097348575696</v>
      </c>
      <c r="G75" s="120">
        <f t="shared" si="141"/>
        <v>0.35746147995635935</v>
      </c>
      <c r="H75" s="120">
        <f t="shared" si="141"/>
        <v>0.36993027206549328</v>
      </c>
      <c r="I75" s="120">
        <f t="shared" si="141"/>
        <v>0.36691540825170571</v>
      </c>
      <c r="J75" s="120">
        <f t="shared" si="141"/>
        <v>0.34191357283952784</v>
      </c>
      <c r="K75" s="120">
        <f t="shared" ref="K75:V75" si="146">IF(K53=0,0,K53/K64)</f>
        <v>0.32889568645033945</v>
      </c>
      <c r="L75" s="120">
        <f t="shared" si="146"/>
        <v>0.32301105423116744</v>
      </c>
      <c r="M75" s="120">
        <f t="shared" si="146"/>
        <v>0.32740312450977066</v>
      </c>
      <c r="N75" s="120">
        <f t="shared" si="146"/>
        <v>0.33370442240404558</v>
      </c>
      <c r="O75" s="120">
        <f t="shared" si="146"/>
        <v>0.32455526482513897</v>
      </c>
      <c r="P75" s="120">
        <f t="shared" si="146"/>
        <v>0.31983300612748017</v>
      </c>
      <c r="Q75" s="120">
        <f t="shared" si="146"/>
        <v>0.31910232068326094</v>
      </c>
      <c r="R75" s="120">
        <f t="shared" si="146"/>
        <v>0.32248554830144027</v>
      </c>
      <c r="S75" s="120">
        <f t="shared" si="146"/>
        <v>0.32811157877605029</v>
      </c>
      <c r="T75" s="120">
        <f t="shared" si="146"/>
        <v>0.33590274268224157</v>
      </c>
      <c r="U75" s="120">
        <f t="shared" si="146"/>
        <v>0.35698501673048322</v>
      </c>
      <c r="V75" s="120">
        <f t="shared" si="146"/>
        <v>0.24494738607229607</v>
      </c>
      <c r="W75" s="120">
        <f t="shared" ref="W75:Y75" si="147">IF(W53=0,0,W53/W64)</f>
        <v>0.30082988824607459</v>
      </c>
      <c r="X75" s="120">
        <f t="shared" si="147"/>
        <v>0.3268383853494064</v>
      </c>
      <c r="Y75" s="120">
        <f t="shared" si="147"/>
        <v>0.30618292765577548</v>
      </c>
      <c r="DA75" s="171"/>
    </row>
    <row r="76" spans="1:105" ht="11.45" customHeight="1" x14ac:dyDescent="0.25">
      <c r="A76" s="111" t="s">
        <v>93</v>
      </c>
      <c r="B76" s="120">
        <f t="shared" si="141"/>
        <v>0.50561726512001948</v>
      </c>
      <c r="C76" s="120">
        <f t="shared" si="141"/>
        <v>0.52957365625887731</v>
      </c>
      <c r="D76" s="120">
        <f t="shared" si="141"/>
        <v>0.51805310448944819</v>
      </c>
      <c r="E76" s="120">
        <f t="shared" si="141"/>
        <v>0.4414342858495181</v>
      </c>
      <c r="F76" s="120">
        <f t="shared" si="141"/>
        <v>0.43161060692533704</v>
      </c>
      <c r="G76" s="120">
        <f t="shared" si="141"/>
        <v>0.41386144316048412</v>
      </c>
      <c r="H76" s="120">
        <f t="shared" si="141"/>
        <v>0.39837043711996017</v>
      </c>
      <c r="I76" s="120">
        <f t="shared" si="141"/>
        <v>0.38073340750559453</v>
      </c>
      <c r="J76" s="120">
        <f t="shared" si="141"/>
        <v>0.36749057918704331</v>
      </c>
      <c r="K76" s="120">
        <f t="shared" ref="K76:V76" si="148">IF(K54=0,0,K54/K65)</f>
        <v>0.35769233511076604</v>
      </c>
      <c r="L76" s="120">
        <f t="shared" si="148"/>
        <v>0.34405240115566349</v>
      </c>
      <c r="M76" s="120">
        <f t="shared" si="148"/>
        <v>0.37035490207395988</v>
      </c>
      <c r="N76" s="120">
        <f t="shared" si="148"/>
        <v>0.36077287675466707</v>
      </c>
      <c r="O76" s="120">
        <f t="shared" si="148"/>
        <v>0.34654047015277001</v>
      </c>
      <c r="P76" s="120">
        <f t="shared" si="148"/>
        <v>0.34095712416676072</v>
      </c>
      <c r="Q76" s="120">
        <f t="shared" si="148"/>
        <v>0.32050802929293626</v>
      </c>
      <c r="R76" s="120">
        <f t="shared" si="148"/>
        <v>0.31983705811513452</v>
      </c>
      <c r="S76" s="120">
        <f t="shared" si="148"/>
        <v>0.34914461725837509</v>
      </c>
      <c r="T76" s="120">
        <f t="shared" si="148"/>
        <v>0.3484691065735474</v>
      </c>
      <c r="U76" s="120">
        <f t="shared" si="148"/>
        <v>0.36852132397949189</v>
      </c>
      <c r="V76" s="120">
        <f t="shared" si="148"/>
        <v>0.27900436715191679</v>
      </c>
      <c r="W76" s="120">
        <f t="shared" ref="W76:Y76" si="149">IF(W54=0,0,W54/W65)</f>
        <v>0.34963745248465933</v>
      </c>
      <c r="X76" s="120">
        <f t="shared" si="149"/>
        <v>0.41284605345867964</v>
      </c>
      <c r="Y76" s="120">
        <f t="shared" si="149"/>
        <v>0.35284168372900904</v>
      </c>
      <c r="DA76" s="171"/>
    </row>
    <row r="77" spans="1:105" ht="11.45" customHeight="1" x14ac:dyDescent="0.25">
      <c r="A77" s="112" t="s">
        <v>25</v>
      </c>
      <c r="B77" s="121">
        <f t="shared" si="141"/>
        <v>0.70016218406573072</v>
      </c>
      <c r="C77" s="121">
        <f t="shared" si="141"/>
        <v>0.66682141567805142</v>
      </c>
      <c r="D77" s="121">
        <f t="shared" si="141"/>
        <v>0.66682208499767692</v>
      </c>
      <c r="E77" s="121">
        <f t="shared" si="141"/>
        <v>0.66682118899679399</v>
      </c>
      <c r="F77" s="121">
        <f t="shared" si="141"/>
        <v>0.66015271134684128</v>
      </c>
      <c r="G77" s="121">
        <f t="shared" si="141"/>
        <v>0.66682040055034764</v>
      </c>
      <c r="H77" s="121">
        <f t="shared" si="141"/>
        <v>0.6905874872537211</v>
      </c>
      <c r="I77" s="121">
        <f t="shared" si="141"/>
        <v>0.70821648801533632</v>
      </c>
      <c r="J77" s="121">
        <f t="shared" si="141"/>
        <v>0.70156222747141683</v>
      </c>
      <c r="K77" s="121">
        <f t="shared" ref="K77:V77" si="150">IF(K55=0,0,K55/K66)</f>
        <v>0.69754742540147785</v>
      </c>
      <c r="L77" s="121">
        <f t="shared" si="150"/>
        <v>0.72190044809149123</v>
      </c>
      <c r="M77" s="121">
        <f t="shared" si="150"/>
        <v>0.72171479411371697</v>
      </c>
      <c r="N77" s="121">
        <f t="shared" si="150"/>
        <v>0.7008051002253719</v>
      </c>
      <c r="O77" s="121">
        <f t="shared" si="150"/>
        <v>0.70016091890338983</v>
      </c>
      <c r="P77" s="121">
        <f t="shared" si="150"/>
        <v>0.72650815521045176</v>
      </c>
      <c r="Q77" s="121">
        <f t="shared" si="150"/>
        <v>0.73266512568610054</v>
      </c>
      <c r="R77" s="121">
        <f t="shared" si="150"/>
        <v>0.7437378797135884</v>
      </c>
      <c r="S77" s="121">
        <f t="shared" si="150"/>
        <v>0.76510278230363638</v>
      </c>
      <c r="T77" s="121">
        <f t="shared" si="150"/>
        <v>0.77220110956795729</v>
      </c>
      <c r="U77" s="121">
        <f t="shared" si="150"/>
        <v>0.78580303728029177</v>
      </c>
      <c r="V77" s="121">
        <f t="shared" si="150"/>
        <v>0.56027063980965808</v>
      </c>
      <c r="W77" s="121">
        <f t="shared" ref="W77:Y77" si="151">IF(W55=0,0,W55/W66)</f>
        <v>0.60469143191054142</v>
      </c>
      <c r="X77" s="121">
        <f t="shared" si="151"/>
        <v>0.76862758851068147</v>
      </c>
      <c r="Y77" s="121">
        <f t="shared" si="151"/>
        <v>0.7775383092190653</v>
      </c>
      <c r="DA77" s="204"/>
    </row>
    <row r="78" spans="1:105" ht="11.45" customHeight="1" x14ac:dyDescent="0.25">
      <c r="A78" s="27" t="s">
        <v>34</v>
      </c>
      <c r="B78" s="30">
        <f t="shared" si="141"/>
        <v>0.25809873589981447</v>
      </c>
      <c r="C78" s="30">
        <f t="shared" si="141"/>
        <v>0.23796357393161716</v>
      </c>
      <c r="D78" s="30">
        <f t="shared" si="141"/>
        <v>0.23318204964266856</v>
      </c>
      <c r="E78" s="30">
        <f t="shared" si="141"/>
        <v>0.2064194461011066</v>
      </c>
      <c r="F78" s="30">
        <f t="shared" si="141"/>
        <v>0.20617366547185437</v>
      </c>
      <c r="G78" s="30">
        <f t="shared" si="141"/>
        <v>0.21852201609794492</v>
      </c>
      <c r="H78" s="30">
        <f t="shared" si="141"/>
        <v>0.22697404288428855</v>
      </c>
      <c r="I78" s="30">
        <f t="shared" si="141"/>
        <v>0.2407908833251598</v>
      </c>
      <c r="J78" s="30">
        <f t="shared" si="141"/>
        <v>0.23499772801762875</v>
      </c>
      <c r="K78" s="30">
        <f t="shared" ref="K78:V78" si="152">IF(K56=0,0,K56/K67)</f>
        <v>0.22722581120837587</v>
      </c>
      <c r="L78" s="30">
        <f t="shared" si="152"/>
        <v>0.21719107917596922</v>
      </c>
      <c r="M78" s="30">
        <f t="shared" si="152"/>
        <v>0.27707164960479719</v>
      </c>
      <c r="N78" s="30">
        <f t="shared" si="152"/>
        <v>0.2607037451055676</v>
      </c>
      <c r="O78" s="30">
        <f t="shared" si="152"/>
        <v>0.22846272504984352</v>
      </c>
      <c r="P78" s="30">
        <f t="shared" si="152"/>
        <v>0.23955724051480504</v>
      </c>
      <c r="Q78" s="30">
        <f t="shared" si="152"/>
        <v>0.25647974383003991</v>
      </c>
      <c r="R78" s="30">
        <f t="shared" si="152"/>
        <v>0.26097615970141452</v>
      </c>
      <c r="S78" s="30">
        <f t="shared" si="152"/>
        <v>0.25231358762372341</v>
      </c>
      <c r="T78" s="30">
        <f t="shared" si="152"/>
        <v>0.25148417314286908</v>
      </c>
      <c r="U78" s="30">
        <f t="shared" si="152"/>
        <v>0.25974115746944149</v>
      </c>
      <c r="V78" s="30">
        <f t="shared" si="152"/>
        <v>0.22342522366108994</v>
      </c>
      <c r="W78" s="30">
        <f t="shared" ref="W78:Y78" si="153">IF(W56=0,0,W56/W67)</f>
        <v>0.24030961812379767</v>
      </c>
      <c r="X78" s="30">
        <f t="shared" si="153"/>
        <v>0.24924470140484475</v>
      </c>
      <c r="Y78" s="30">
        <f t="shared" si="153"/>
        <v>0.23592555736530152</v>
      </c>
      <c r="DA78" s="173"/>
    </row>
    <row r="79" spans="1:105" ht="11.45" customHeight="1" x14ac:dyDescent="0.25">
      <c r="A79" s="83" t="s">
        <v>92</v>
      </c>
      <c r="B79" s="120">
        <f t="shared" si="141"/>
        <v>0.22433494132503018</v>
      </c>
      <c r="C79" s="120">
        <f t="shared" si="141"/>
        <v>0.25472507695749713</v>
      </c>
      <c r="D79" s="120">
        <f t="shared" si="141"/>
        <v>0.24182733446171228</v>
      </c>
      <c r="E79" s="120">
        <f t="shared" si="141"/>
        <v>0.26247138260222541</v>
      </c>
      <c r="F79" s="120">
        <f t="shared" si="141"/>
        <v>0.29664378578064465</v>
      </c>
      <c r="G79" s="120">
        <f t="shared" si="141"/>
        <v>0.29170592260939743</v>
      </c>
      <c r="H79" s="120">
        <f t="shared" si="141"/>
        <v>0.31080894735345971</v>
      </c>
      <c r="I79" s="120">
        <f t="shared" si="141"/>
        <v>0.310558794019479</v>
      </c>
      <c r="J79" s="120">
        <f t="shared" si="141"/>
        <v>0.2887337832559056</v>
      </c>
      <c r="K79" s="120">
        <f t="shared" ref="K79:V79" si="154">IF(K57=0,0,K57/K68)</f>
        <v>0.2920071640153758</v>
      </c>
      <c r="L79" s="120">
        <f t="shared" si="154"/>
        <v>0.28356693776017766</v>
      </c>
      <c r="M79" s="120">
        <f t="shared" si="154"/>
        <v>0.3265551120894955</v>
      </c>
      <c r="N79" s="120">
        <f t="shared" si="154"/>
        <v>0.33688922128387649</v>
      </c>
      <c r="O79" s="120">
        <f t="shared" si="154"/>
        <v>0.31637748103590857</v>
      </c>
      <c r="P79" s="120">
        <f t="shared" si="154"/>
        <v>0.34009252190247041</v>
      </c>
      <c r="Q79" s="120">
        <f t="shared" si="154"/>
        <v>0.35195744504020715</v>
      </c>
      <c r="R79" s="120">
        <f t="shared" si="154"/>
        <v>0.32911121366532214</v>
      </c>
      <c r="S79" s="120">
        <f t="shared" si="154"/>
        <v>0.32382518461606236</v>
      </c>
      <c r="T79" s="120">
        <f t="shared" si="154"/>
        <v>0.33324041638101209</v>
      </c>
      <c r="U79" s="120">
        <f t="shared" si="154"/>
        <v>0.31813240546324328</v>
      </c>
      <c r="V79" s="120">
        <f t="shared" si="154"/>
        <v>0.27965082223930887</v>
      </c>
      <c r="W79" s="120">
        <f t="shared" ref="W79:Y79" si="155">IF(W57=0,0,W57/W68)</f>
        <v>0.26017608885873078</v>
      </c>
      <c r="X79" s="120">
        <f t="shared" si="155"/>
        <v>0.29168837759500732</v>
      </c>
      <c r="Y79" s="120">
        <f t="shared" si="155"/>
        <v>0.28556804696337851</v>
      </c>
      <c r="DA79" s="171"/>
    </row>
    <row r="80" spans="1:105" ht="11.45" customHeight="1" x14ac:dyDescent="0.25">
      <c r="A80" s="85" t="s">
        <v>93</v>
      </c>
      <c r="B80" s="122">
        <f t="shared" si="141"/>
        <v>0.26427950207683953</v>
      </c>
      <c r="C80" s="122">
        <f t="shared" si="141"/>
        <v>0.23534524150241387</v>
      </c>
      <c r="D80" s="122">
        <f t="shared" si="141"/>
        <v>0.23180596051749863</v>
      </c>
      <c r="E80" s="122">
        <f t="shared" si="141"/>
        <v>0.19909246873900308</v>
      </c>
      <c r="F80" s="122">
        <f t="shared" si="141"/>
        <v>0.19656540837043671</v>
      </c>
      <c r="G80" s="122">
        <f t="shared" si="141"/>
        <v>0.21120797797643159</v>
      </c>
      <c r="H80" s="122">
        <f t="shared" si="141"/>
        <v>0.21914406460756353</v>
      </c>
      <c r="I80" s="122">
        <f t="shared" si="141"/>
        <v>0.2342784076451232</v>
      </c>
      <c r="J80" s="122">
        <f t="shared" si="141"/>
        <v>0.22971887904433771</v>
      </c>
      <c r="K80" s="122">
        <f t="shared" ref="K80:V80" si="156">IF(K58=0,0,K58/K69)</f>
        <v>0.22146351399609848</v>
      </c>
      <c r="L80" s="122">
        <f t="shared" si="156"/>
        <v>0.21165377400845667</v>
      </c>
      <c r="M80" s="122">
        <f t="shared" si="156"/>
        <v>0.27231127744458689</v>
      </c>
      <c r="N80" s="122">
        <f t="shared" si="156"/>
        <v>0.25466492343311409</v>
      </c>
      <c r="O80" s="122">
        <f t="shared" si="156"/>
        <v>0.22211012533211094</v>
      </c>
      <c r="P80" s="122">
        <f t="shared" si="156"/>
        <v>0.23273526540540751</v>
      </c>
      <c r="Q80" s="122">
        <f t="shared" si="156"/>
        <v>0.24973848194954809</v>
      </c>
      <c r="R80" s="122">
        <f t="shared" si="156"/>
        <v>0.25619721874240264</v>
      </c>
      <c r="S80" s="122">
        <f t="shared" si="156"/>
        <v>0.24709620410330646</v>
      </c>
      <c r="T80" s="122">
        <f t="shared" si="156"/>
        <v>0.24603188748632723</v>
      </c>
      <c r="U80" s="122">
        <f t="shared" si="156"/>
        <v>0.2554720475548134</v>
      </c>
      <c r="V80" s="122">
        <f t="shared" si="156"/>
        <v>0.21932595535448976</v>
      </c>
      <c r="W80" s="122">
        <f t="shared" ref="W80:Y80" si="157">IF(W58=0,0,W58/W69)</f>
        <v>0.23856563974686459</v>
      </c>
      <c r="X80" s="122">
        <f t="shared" si="157"/>
        <v>0.24591934453471634</v>
      </c>
      <c r="Y80" s="122">
        <f t="shared" si="157"/>
        <v>0.23266018993509255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166798.52388241183</v>
      </c>
      <c r="C82" s="54">
        <f t="shared" si="158"/>
        <v>166622.60187242168</v>
      </c>
      <c r="D82" s="54">
        <f t="shared" si="158"/>
        <v>169931.77342265911</v>
      </c>
      <c r="E82" s="54">
        <f t="shared" si="158"/>
        <v>168906.25085131649</v>
      </c>
      <c r="F82" s="54">
        <f t="shared" si="158"/>
        <v>167302.40686176158</v>
      </c>
      <c r="G82" s="54">
        <f t="shared" si="158"/>
        <v>165257.90655448198</v>
      </c>
      <c r="H82" s="54">
        <f t="shared" si="158"/>
        <v>166065.00922590747</v>
      </c>
      <c r="I82" s="54">
        <f t="shared" si="158"/>
        <v>166964.37098034334</v>
      </c>
      <c r="J82" s="54">
        <f t="shared" si="158"/>
        <v>166955.00685872711</v>
      </c>
      <c r="K82" s="54">
        <f t="shared" ref="K82:V82" si="159">IF(K14=0,0,K14/K25*1000000)</f>
        <v>165919.77069453403</v>
      </c>
      <c r="L82" s="54">
        <f t="shared" si="159"/>
        <v>166774.01039765289</v>
      </c>
      <c r="M82" s="54">
        <f t="shared" si="159"/>
        <v>166900.3589435805</v>
      </c>
      <c r="N82" s="54">
        <f t="shared" si="159"/>
        <v>166872.29467544434</v>
      </c>
      <c r="O82" s="54">
        <f t="shared" si="159"/>
        <v>166241.43943608424</v>
      </c>
      <c r="P82" s="54">
        <f t="shared" si="159"/>
        <v>165168.2401842293</v>
      </c>
      <c r="Q82" s="54">
        <f t="shared" si="159"/>
        <v>164603.81073613779</v>
      </c>
      <c r="R82" s="54">
        <f t="shared" si="159"/>
        <v>164011.36136368068</v>
      </c>
      <c r="S82" s="54">
        <f t="shared" si="159"/>
        <v>165610.417351688</v>
      </c>
      <c r="T82" s="54">
        <f t="shared" si="159"/>
        <v>164039.30271165207</v>
      </c>
      <c r="U82" s="54">
        <f t="shared" si="159"/>
        <v>165333.56342741061</v>
      </c>
      <c r="V82" s="54">
        <f t="shared" si="159"/>
        <v>142467.76795402315</v>
      </c>
      <c r="W82" s="54">
        <f t="shared" ref="W82:Y82" si="160">IF(W14=0,0,W14/W25*1000000)</f>
        <v>163922.82341438433</v>
      </c>
      <c r="X82" s="54">
        <f t="shared" si="160"/>
        <v>170329.58519441064</v>
      </c>
      <c r="Y82" s="54">
        <f t="shared" si="160"/>
        <v>168765.80576121961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160486.58783699747</v>
      </c>
      <c r="C83" s="28">
        <f t="shared" si="161"/>
        <v>160552.37926366765</v>
      </c>
      <c r="D83" s="28">
        <f t="shared" si="161"/>
        <v>164198.55906120347</v>
      </c>
      <c r="E83" s="28">
        <f t="shared" si="161"/>
        <v>162970.85837495077</v>
      </c>
      <c r="F83" s="28">
        <f t="shared" si="161"/>
        <v>162188.7115258736</v>
      </c>
      <c r="G83" s="28">
        <f t="shared" si="161"/>
        <v>162041.74041088758</v>
      </c>
      <c r="H83" s="28">
        <f t="shared" si="161"/>
        <v>161829.85266086474</v>
      </c>
      <c r="I83" s="28">
        <f t="shared" si="161"/>
        <v>162853.97753532429</v>
      </c>
      <c r="J83" s="28">
        <f t="shared" si="161"/>
        <v>163243.34656561865</v>
      </c>
      <c r="K83" s="28">
        <f t="shared" ref="K83:V83" si="162">IF(K15=0,0,K15/K26*1000000)</f>
        <v>163646.48875285915</v>
      </c>
      <c r="L83" s="28">
        <f t="shared" si="162"/>
        <v>163763.66540114707</v>
      </c>
      <c r="M83" s="28">
        <f t="shared" si="162"/>
        <v>164213.54642462646</v>
      </c>
      <c r="N83" s="28">
        <f t="shared" si="162"/>
        <v>164222.16060356016</v>
      </c>
      <c r="O83" s="28">
        <f t="shared" si="162"/>
        <v>163274.10776029088</v>
      </c>
      <c r="P83" s="28">
        <f t="shared" si="162"/>
        <v>162214.3318349914</v>
      </c>
      <c r="Q83" s="28">
        <f t="shared" si="162"/>
        <v>161589.76775436371</v>
      </c>
      <c r="R83" s="28">
        <f t="shared" si="162"/>
        <v>161118.70985384166</v>
      </c>
      <c r="S83" s="28">
        <f t="shared" si="162"/>
        <v>162623.59301424783</v>
      </c>
      <c r="T83" s="28">
        <f t="shared" si="162"/>
        <v>160956.20106979646</v>
      </c>
      <c r="U83" s="28">
        <f t="shared" si="162"/>
        <v>162394.93432239612</v>
      </c>
      <c r="V83" s="28">
        <f t="shared" si="162"/>
        <v>136802.05255456499</v>
      </c>
      <c r="W83" s="28">
        <f t="shared" ref="W83:Y83" si="163">IF(W15=0,0,W15/W26*1000000)</f>
        <v>159948.73737789586</v>
      </c>
      <c r="X83" s="28">
        <f t="shared" si="163"/>
        <v>167337.4171497619</v>
      </c>
      <c r="Y83" s="28">
        <f t="shared" si="163"/>
        <v>166326.54130982506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109999.99999741804</v>
      </c>
      <c r="C84" s="108">
        <f t="shared" si="161"/>
        <v>109999.99986401264</v>
      </c>
      <c r="D84" s="108">
        <f t="shared" si="161"/>
        <v>109999.99995983051</v>
      </c>
      <c r="E84" s="108">
        <f t="shared" si="161"/>
        <v>109999.9999097618</v>
      </c>
      <c r="F84" s="108">
        <f t="shared" si="161"/>
        <v>109999.99990484185</v>
      </c>
      <c r="G84" s="108">
        <f t="shared" si="161"/>
        <v>109999.99999509669</v>
      </c>
      <c r="H84" s="108">
        <f t="shared" si="161"/>
        <v>109999.99999859178</v>
      </c>
      <c r="I84" s="108">
        <f t="shared" si="161"/>
        <v>109999.99997646727</v>
      </c>
      <c r="J84" s="108">
        <f t="shared" si="161"/>
        <v>109999.99998099869</v>
      </c>
      <c r="K84" s="108">
        <f t="shared" ref="K84:V84" si="164">IF(K16=0,0,K16/K27*1000000)</f>
        <v>107886.95106760276</v>
      </c>
      <c r="L84" s="108">
        <f t="shared" si="164"/>
        <v>109999.99993116573</v>
      </c>
      <c r="M84" s="108">
        <f t="shared" si="164"/>
        <v>109999.99991516443</v>
      </c>
      <c r="N84" s="108">
        <f t="shared" si="164"/>
        <v>109999.99992485443</v>
      </c>
      <c r="O84" s="108">
        <f t="shared" si="164"/>
        <v>109999.99990996018</v>
      </c>
      <c r="P84" s="108">
        <f t="shared" si="164"/>
        <v>109999.99992000982</v>
      </c>
      <c r="Q84" s="108">
        <f t="shared" si="164"/>
        <v>109999.99991482405</v>
      </c>
      <c r="R84" s="108">
        <f t="shared" si="164"/>
        <v>109999.99998809335</v>
      </c>
      <c r="S84" s="108">
        <f t="shared" si="164"/>
        <v>109999.99991931595</v>
      </c>
      <c r="T84" s="108">
        <f t="shared" si="164"/>
        <v>109999.99992969971</v>
      </c>
      <c r="U84" s="108">
        <f t="shared" si="164"/>
        <v>109999.99995659714</v>
      </c>
      <c r="V84" s="108">
        <f t="shared" si="164"/>
        <v>86643.507253682663</v>
      </c>
      <c r="W84" s="108">
        <f t="shared" ref="W84:Y84" si="165">IF(W16=0,0,W16/W27*1000000)</f>
        <v>109999.9999175761</v>
      </c>
      <c r="X84" s="108">
        <f t="shared" si="165"/>
        <v>109999.99999420857</v>
      </c>
      <c r="Y84" s="108">
        <f t="shared" si="165"/>
        <v>109999.9999499792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149999.9999005365</v>
      </c>
      <c r="C85" s="110">
        <f t="shared" si="161"/>
        <v>145935.04803962636</v>
      </c>
      <c r="D85" s="110">
        <f t="shared" si="161"/>
        <v>149999.99990575254</v>
      </c>
      <c r="E85" s="110">
        <f t="shared" si="161"/>
        <v>149999.999927283</v>
      </c>
      <c r="F85" s="110">
        <f t="shared" si="161"/>
        <v>149999.99993513487</v>
      </c>
      <c r="G85" s="110">
        <f t="shared" si="161"/>
        <v>149999.99991845241</v>
      </c>
      <c r="H85" s="110">
        <f t="shared" si="161"/>
        <v>149999.99991211362</v>
      </c>
      <c r="I85" s="110">
        <f t="shared" si="161"/>
        <v>149999.99994408616</v>
      </c>
      <c r="J85" s="110">
        <f t="shared" si="161"/>
        <v>149999.99997231335</v>
      </c>
      <c r="K85" s="110">
        <f t="shared" ref="K85:V85" si="166">IF(K17=0,0,K17/K28*1000000)</f>
        <v>149999.99998042421</v>
      </c>
      <c r="L85" s="110">
        <f t="shared" si="166"/>
        <v>149999.99995051671</v>
      </c>
      <c r="M85" s="110">
        <f t="shared" si="166"/>
        <v>149999.9999473003</v>
      </c>
      <c r="N85" s="110">
        <f t="shared" si="166"/>
        <v>149999.99994555503</v>
      </c>
      <c r="O85" s="110">
        <f t="shared" si="166"/>
        <v>149999.99994519301</v>
      </c>
      <c r="P85" s="110">
        <f t="shared" si="166"/>
        <v>149999.99992432442</v>
      </c>
      <c r="Q85" s="110">
        <f t="shared" si="166"/>
        <v>149999.99992612473</v>
      </c>
      <c r="R85" s="110">
        <f t="shared" si="166"/>
        <v>149999.99995903083</v>
      </c>
      <c r="S85" s="110">
        <f t="shared" si="166"/>
        <v>149968.47868386854</v>
      </c>
      <c r="T85" s="110">
        <f t="shared" si="166"/>
        <v>149999.99991977125</v>
      </c>
      <c r="U85" s="110">
        <f t="shared" si="166"/>
        <v>149999.99995622368</v>
      </c>
      <c r="V85" s="110">
        <f t="shared" si="166"/>
        <v>129015.91879887534</v>
      </c>
      <c r="W85" s="110">
        <f t="shared" ref="W85:Y85" si="167">IF(W17=0,0,W17/W28*1000000)</f>
        <v>142281.50105269006</v>
      </c>
      <c r="X85" s="110">
        <f t="shared" si="167"/>
        <v>149999.99991724276</v>
      </c>
      <c r="Y85" s="110">
        <f t="shared" si="167"/>
        <v>149999.99993784257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149999.99976443482</v>
      </c>
      <c r="C86" s="84">
        <f t="shared" si="161"/>
        <v>134903.63784803162</v>
      </c>
      <c r="D86" s="84">
        <f t="shared" si="161"/>
        <v>149999.99986387216</v>
      </c>
      <c r="E86" s="84">
        <f t="shared" si="161"/>
        <v>149999.99995028714</v>
      </c>
      <c r="F86" s="84">
        <f t="shared" si="161"/>
        <v>149999.99983726806</v>
      </c>
      <c r="G86" s="84">
        <f t="shared" si="161"/>
        <v>149999.99970433649</v>
      </c>
      <c r="H86" s="84">
        <f t="shared" si="161"/>
        <v>149999.99990512119</v>
      </c>
      <c r="I86" s="84">
        <f t="shared" si="161"/>
        <v>149999.99977413611</v>
      </c>
      <c r="J86" s="84">
        <f t="shared" si="161"/>
        <v>149999.99991327693</v>
      </c>
      <c r="K86" s="84">
        <f t="shared" ref="K86:V86" si="168">IF(K18=0,0,K18/K29*1000000)</f>
        <v>149999.99990695476</v>
      </c>
      <c r="L86" s="84">
        <f t="shared" si="168"/>
        <v>149999.99978808433</v>
      </c>
      <c r="M86" s="84">
        <f t="shared" si="168"/>
        <v>149999.99992454072</v>
      </c>
      <c r="N86" s="84">
        <f t="shared" si="168"/>
        <v>149999.9997047669</v>
      </c>
      <c r="O86" s="84">
        <f t="shared" si="168"/>
        <v>149999.99973412126</v>
      </c>
      <c r="P86" s="84">
        <f t="shared" si="168"/>
        <v>149999.99976269671</v>
      </c>
      <c r="Q86" s="84">
        <f t="shared" si="168"/>
        <v>149999.99987125257</v>
      </c>
      <c r="R86" s="84">
        <f t="shared" si="168"/>
        <v>149999.99977942291</v>
      </c>
      <c r="S86" s="84">
        <f t="shared" si="168"/>
        <v>149999.9999001977</v>
      </c>
      <c r="T86" s="84">
        <f t="shared" si="168"/>
        <v>149999.99967495346</v>
      </c>
      <c r="U86" s="84">
        <f t="shared" si="168"/>
        <v>149999.99991203105</v>
      </c>
      <c r="V86" s="84">
        <f t="shared" si="168"/>
        <v>139335.04350480935</v>
      </c>
      <c r="W86" s="84">
        <f t="shared" ref="W86:Y86" si="169">IF(W18=0,0,W18/W29*1000000)</f>
        <v>149999.99967231025</v>
      </c>
      <c r="X86" s="84">
        <f t="shared" si="169"/>
        <v>149999.99973942095</v>
      </c>
      <c r="Y86" s="84">
        <f t="shared" si="169"/>
        <v>149999.99970191708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149999.99995250811</v>
      </c>
      <c r="C87" s="84">
        <f t="shared" si="161"/>
        <v>149999.99999930072</v>
      </c>
      <c r="D87" s="84">
        <f t="shared" si="161"/>
        <v>149999.9999203374</v>
      </c>
      <c r="E87" s="84">
        <f t="shared" si="161"/>
        <v>149999.99992024564</v>
      </c>
      <c r="F87" s="84">
        <f t="shared" si="161"/>
        <v>149999.99996609663</v>
      </c>
      <c r="G87" s="84">
        <f t="shared" si="161"/>
        <v>149999.99997868133</v>
      </c>
      <c r="H87" s="84">
        <f t="shared" si="161"/>
        <v>149999.99991394349</v>
      </c>
      <c r="I87" s="84">
        <f t="shared" si="161"/>
        <v>149999.99998460975</v>
      </c>
      <c r="J87" s="84">
        <f t="shared" si="161"/>
        <v>149999.99998642696</v>
      </c>
      <c r="K87" s="84">
        <f t="shared" ref="K87:V87" si="170">IF(K19=0,0,K19/K30*1000000)</f>
        <v>149999.99999743133</v>
      </c>
      <c r="L87" s="84">
        <f t="shared" si="170"/>
        <v>149999.99998625179</v>
      </c>
      <c r="M87" s="84">
        <f t="shared" si="170"/>
        <v>149999.99995261413</v>
      </c>
      <c r="N87" s="84">
        <f t="shared" si="170"/>
        <v>149999.99999706159</v>
      </c>
      <c r="O87" s="84">
        <f t="shared" si="170"/>
        <v>149999.99998880274</v>
      </c>
      <c r="P87" s="84">
        <f t="shared" si="170"/>
        <v>149999.9999559467</v>
      </c>
      <c r="Q87" s="84">
        <f t="shared" si="170"/>
        <v>149999.9999365173</v>
      </c>
      <c r="R87" s="84">
        <f t="shared" si="170"/>
        <v>149999.99998911493</v>
      </c>
      <c r="S87" s="84">
        <f t="shared" si="170"/>
        <v>149962.46883659338</v>
      </c>
      <c r="T87" s="84">
        <f t="shared" si="170"/>
        <v>149999.9999637978</v>
      </c>
      <c r="U87" s="84">
        <f t="shared" si="170"/>
        <v>149999.99996436498</v>
      </c>
      <c r="V87" s="84">
        <f t="shared" si="170"/>
        <v>127266.89253613834</v>
      </c>
      <c r="W87" s="84">
        <f t="shared" ref="W87:Y87" si="171">IF(W19=0,0,W19/W30*1000000)</f>
        <v>140805.12346129061</v>
      </c>
      <c r="X87" s="84">
        <f t="shared" si="171"/>
        <v>149999.99995296152</v>
      </c>
      <c r="Y87" s="84">
        <f t="shared" si="171"/>
        <v>149999.99997533218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449999.99880508997</v>
      </c>
      <c r="C88" s="113">
        <f t="shared" si="161"/>
        <v>449999.99900724628</v>
      </c>
      <c r="D88" s="113">
        <f t="shared" si="161"/>
        <v>449999.99831849913</v>
      </c>
      <c r="E88" s="113">
        <f t="shared" si="161"/>
        <v>449999.99887893652</v>
      </c>
      <c r="F88" s="113">
        <f t="shared" si="161"/>
        <v>449999.99938909459</v>
      </c>
      <c r="G88" s="113">
        <f t="shared" si="161"/>
        <v>449999.99980765063</v>
      </c>
      <c r="H88" s="113">
        <f t="shared" si="161"/>
        <v>449999.99909294967</v>
      </c>
      <c r="I88" s="113">
        <f t="shared" si="161"/>
        <v>449999.99930275889</v>
      </c>
      <c r="J88" s="113">
        <f t="shared" si="161"/>
        <v>449999.9998704149</v>
      </c>
      <c r="K88" s="113">
        <f t="shared" ref="K88:V88" si="172">IF(K20=0,0,K20/K31*1000000)</f>
        <v>449999.99899741606</v>
      </c>
      <c r="L88" s="113">
        <f t="shared" si="172"/>
        <v>449999.99964866717</v>
      </c>
      <c r="M88" s="113">
        <f t="shared" si="172"/>
        <v>449999.99883791746</v>
      </c>
      <c r="N88" s="113">
        <f t="shared" si="172"/>
        <v>449999.99935891066</v>
      </c>
      <c r="O88" s="113">
        <f t="shared" si="172"/>
        <v>449999.99936780153</v>
      </c>
      <c r="P88" s="113">
        <f t="shared" si="172"/>
        <v>449999.9986601072</v>
      </c>
      <c r="Q88" s="113">
        <f t="shared" si="172"/>
        <v>449999.99949830538</v>
      </c>
      <c r="R88" s="113">
        <f t="shared" si="172"/>
        <v>449999.99978830514</v>
      </c>
      <c r="S88" s="113">
        <f t="shared" si="172"/>
        <v>449999.99900958361</v>
      </c>
      <c r="T88" s="113">
        <f t="shared" si="172"/>
        <v>447959.23673729238</v>
      </c>
      <c r="U88" s="113">
        <f t="shared" si="172"/>
        <v>449999.99991253606</v>
      </c>
      <c r="V88" s="113">
        <f t="shared" si="172"/>
        <v>379579.48226676905</v>
      </c>
      <c r="W88" s="113">
        <f t="shared" ref="W88:Y88" si="173">IF(W20=0,0,W20/W31*1000000)</f>
        <v>449999.99907083495</v>
      </c>
      <c r="X88" s="113">
        <f t="shared" si="173"/>
        <v>449999.99986044411</v>
      </c>
      <c r="Y88" s="113">
        <f t="shared" si="173"/>
        <v>449999.99947810028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199999.99960190788</v>
      </c>
      <c r="C89" s="28">
        <f t="shared" si="161"/>
        <v>198372.51343819601</v>
      </c>
      <c r="D89" s="28">
        <f t="shared" si="161"/>
        <v>199999.99982663451</v>
      </c>
      <c r="E89" s="28">
        <f t="shared" si="161"/>
        <v>199999.99939033255</v>
      </c>
      <c r="F89" s="28">
        <f t="shared" si="161"/>
        <v>197792.28616789085</v>
      </c>
      <c r="G89" s="28">
        <f t="shared" si="161"/>
        <v>187260.98552406821</v>
      </c>
      <c r="H89" s="28">
        <f t="shared" si="161"/>
        <v>198865.41135386005</v>
      </c>
      <c r="I89" s="28">
        <f t="shared" si="161"/>
        <v>199999.99953096936</v>
      </c>
      <c r="J89" s="28">
        <f t="shared" si="161"/>
        <v>199999.99941703808</v>
      </c>
      <c r="K89" s="28">
        <f t="shared" ref="K89:V89" si="174">IF(K21=0,0,K21/K32*1000000)</f>
        <v>188901.83644312591</v>
      </c>
      <c r="L89" s="28">
        <f t="shared" si="174"/>
        <v>199999.999318538</v>
      </c>
      <c r="M89" s="28">
        <f t="shared" si="174"/>
        <v>199999.99930384799</v>
      </c>
      <c r="N89" s="28">
        <f t="shared" si="174"/>
        <v>199999.99927930022</v>
      </c>
      <c r="O89" s="28">
        <f t="shared" si="174"/>
        <v>199999.99941081755</v>
      </c>
      <c r="P89" s="28">
        <f t="shared" si="174"/>
        <v>199999.9994448128</v>
      </c>
      <c r="Q89" s="28">
        <f t="shared" si="174"/>
        <v>199999.99952886399</v>
      </c>
      <c r="R89" s="28">
        <f t="shared" si="174"/>
        <v>199999.99910092205</v>
      </c>
      <c r="S89" s="28">
        <f t="shared" si="174"/>
        <v>199999.99946609366</v>
      </c>
      <c r="T89" s="28">
        <f t="shared" si="174"/>
        <v>199999.99926210355</v>
      </c>
      <c r="U89" s="28">
        <f t="shared" si="174"/>
        <v>199999.99915491196</v>
      </c>
      <c r="V89" s="28">
        <f t="shared" si="174"/>
        <v>199999.99944887171</v>
      </c>
      <c r="W89" s="28">
        <f t="shared" ref="W89:Y89" si="175">IF(W21=0,0,W21/W32*1000000)</f>
        <v>199999.99904782936</v>
      </c>
      <c r="X89" s="28">
        <f t="shared" si="175"/>
        <v>199999.99930239195</v>
      </c>
      <c r="Y89" s="28">
        <f t="shared" si="175"/>
        <v>199999.99949151924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199999.99980750342</v>
      </c>
      <c r="C90" s="84">
        <f t="shared" si="161"/>
        <v>188550.44157518027</v>
      </c>
      <c r="D90" s="84">
        <f t="shared" si="161"/>
        <v>199999.99957227596</v>
      </c>
      <c r="E90" s="84">
        <f t="shared" si="161"/>
        <v>199999.99716208488</v>
      </c>
      <c r="F90" s="84">
        <f t="shared" si="161"/>
        <v>179169.78165273732</v>
      </c>
      <c r="G90" s="84">
        <f t="shared" si="161"/>
        <v>169289.76697105111</v>
      </c>
      <c r="H90" s="84">
        <f t="shared" si="161"/>
        <v>187478.04956785473</v>
      </c>
      <c r="I90" s="84">
        <f t="shared" si="161"/>
        <v>199999.99709896455</v>
      </c>
      <c r="J90" s="84">
        <f t="shared" si="161"/>
        <v>199999.99503313377</v>
      </c>
      <c r="K90" s="84">
        <f t="shared" ref="K90:V90" si="176">IF(K22=0,0,K22/K33*1000000)</f>
        <v>193614.35163214692</v>
      </c>
      <c r="L90" s="84">
        <f t="shared" si="176"/>
        <v>199999.99407487968</v>
      </c>
      <c r="M90" s="84">
        <f t="shared" si="176"/>
        <v>199999.99968404041</v>
      </c>
      <c r="N90" s="84">
        <f t="shared" si="176"/>
        <v>199999.99456919072</v>
      </c>
      <c r="O90" s="84">
        <f t="shared" si="176"/>
        <v>199999.9980819535</v>
      </c>
      <c r="P90" s="84">
        <f t="shared" si="176"/>
        <v>199999.99328822564</v>
      </c>
      <c r="Q90" s="84">
        <f t="shared" si="176"/>
        <v>199999.99662532305</v>
      </c>
      <c r="R90" s="84">
        <f t="shared" si="176"/>
        <v>199999.99329284686</v>
      </c>
      <c r="S90" s="84">
        <f t="shared" si="176"/>
        <v>199999.99632028159</v>
      </c>
      <c r="T90" s="84">
        <f t="shared" si="176"/>
        <v>199999.99723184764</v>
      </c>
      <c r="U90" s="84">
        <f t="shared" si="176"/>
        <v>199999.99366125287</v>
      </c>
      <c r="V90" s="84">
        <f t="shared" si="176"/>
        <v>199999.99754348543</v>
      </c>
      <c r="W90" s="84">
        <f t="shared" ref="W90:Y90" si="177">IF(W22=0,0,W22/W33*1000000)</f>
        <v>199999.99428853119</v>
      </c>
      <c r="X90" s="84">
        <f t="shared" si="177"/>
        <v>199999.9957289529</v>
      </c>
      <c r="Y90" s="84">
        <f t="shared" si="177"/>
        <v>199999.99515007329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199999.99956427171</v>
      </c>
      <c r="C91" s="86">
        <f t="shared" si="161"/>
        <v>199999.99985931459</v>
      </c>
      <c r="D91" s="86">
        <f t="shared" si="161"/>
        <v>199999.99986712134</v>
      </c>
      <c r="E91" s="86">
        <f t="shared" si="161"/>
        <v>199999.99968160386</v>
      </c>
      <c r="F91" s="86">
        <f t="shared" si="161"/>
        <v>199999.99994104591</v>
      </c>
      <c r="G91" s="86">
        <f t="shared" si="161"/>
        <v>189269.00513244141</v>
      </c>
      <c r="H91" s="86">
        <f t="shared" si="161"/>
        <v>199999.99983677562</v>
      </c>
      <c r="I91" s="86">
        <f t="shared" si="161"/>
        <v>199999.99975798448</v>
      </c>
      <c r="J91" s="86">
        <f t="shared" si="161"/>
        <v>199999.99984769811</v>
      </c>
      <c r="K91" s="86">
        <f t="shared" ref="K91:V91" si="178">IF(K23=0,0,K23/K34*1000000)</f>
        <v>188493.74470626877</v>
      </c>
      <c r="L91" s="86">
        <f t="shared" si="178"/>
        <v>199999.99975598225</v>
      </c>
      <c r="M91" s="86">
        <f t="shared" si="178"/>
        <v>199999.99926727303</v>
      </c>
      <c r="N91" s="86">
        <f t="shared" si="178"/>
        <v>199999.99965264578</v>
      </c>
      <c r="O91" s="86">
        <f t="shared" si="178"/>
        <v>199999.99950683946</v>
      </c>
      <c r="P91" s="86">
        <f t="shared" si="178"/>
        <v>199999.99986257748</v>
      </c>
      <c r="Q91" s="86">
        <f t="shared" si="178"/>
        <v>199999.9997338703</v>
      </c>
      <c r="R91" s="86">
        <f t="shared" si="178"/>
        <v>199999.99950829608</v>
      </c>
      <c r="S91" s="86">
        <f t="shared" si="178"/>
        <v>199999.99969560758</v>
      </c>
      <c r="T91" s="86">
        <f t="shared" si="178"/>
        <v>199999.99939750039</v>
      </c>
      <c r="U91" s="86">
        <f t="shared" si="178"/>
        <v>199999.99955656519</v>
      </c>
      <c r="V91" s="86">
        <f t="shared" si="178"/>
        <v>199999.99958778868</v>
      </c>
      <c r="W91" s="86">
        <f t="shared" ref="W91:Y91" si="179">IF(W23=0,0,W23/W34*1000000)</f>
        <v>199999.99946562442</v>
      </c>
      <c r="X91" s="86">
        <f t="shared" si="179"/>
        <v>199999.99958236207</v>
      </c>
      <c r="Y91" s="86">
        <f t="shared" si="179"/>
        <v>199999.99977708946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29483571.238583915</v>
      </c>
      <c r="C94" s="28">
        <f t="shared" si="180"/>
        <v>30976765.229942709</v>
      </c>
      <c r="D94" s="28">
        <f t="shared" si="180"/>
        <v>31509261.982900575</v>
      </c>
      <c r="E94" s="28">
        <f t="shared" si="180"/>
        <v>29190433.711359296</v>
      </c>
      <c r="F94" s="28">
        <f t="shared" si="180"/>
        <v>28429570.22656098</v>
      </c>
      <c r="G94" s="28">
        <f t="shared" si="180"/>
        <v>28303664.963600203</v>
      </c>
      <c r="H94" s="28">
        <f t="shared" si="180"/>
        <v>28384791.334453046</v>
      </c>
      <c r="I94" s="28">
        <f t="shared" si="180"/>
        <v>28835161.112361677</v>
      </c>
      <c r="J94" s="28">
        <f t="shared" si="180"/>
        <v>28417976.586010776</v>
      </c>
      <c r="K94" s="28">
        <f t="shared" ref="K94:V94" si="181">IF(K4=0,0,K4/K26*1000000)</f>
        <v>28256552.862321414</v>
      </c>
      <c r="L94" s="28">
        <f t="shared" si="181"/>
        <v>28178981.114278711</v>
      </c>
      <c r="M94" s="28">
        <f t="shared" si="181"/>
        <v>29164179.248695284</v>
      </c>
      <c r="N94" s="28">
        <f t="shared" si="181"/>
        <v>28618613.060105756</v>
      </c>
      <c r="O94" s="28">
        <f t="shared" si="181"/>
        <v>27694556.451044731</v>
      </c>
      <c r="P94" s="28">
        <f t="shared" si="181"/>
        <v>27572844.604850337</v>
      </c>
      <c r="Q94" s="28">
        <f t="shared" si="181"/>
        <v>26689538.268761069</v>
      </c>
      <c r="R94" s="28">
        <f t="shared" si="181"/>
        <v>26678577.696930371</v>
      </c>
      <c r="S94" s="28">
        <f t="shared" si="181"/>
        <v>28925312.588439342</v>
      </c>
      <c r="T94" s="28">
        <f t="shared" si="181"/>
        <v>28427085.701954935</v>
      </c>
      <c r="U94" s="28">
        <f t="shared" si="181"/>
        <v>30095348.820777971</v>
      </c>
      <c r="V94" s="28">
        <f t="shared" si="181"/>
        <v>18551158.667050626</v>
      </c>
      <c r="W94" s="28">
        <f t="shared" ref="W94:Y94" si="182">IF(W4=0,0,W4/W26*1000000)</f>
        <v>25503098.796848878</v>
      </c>
      <c r="X94" s="28">
        <f t="shared" si="182"/>
        <v>33380418.302157104</v>
      </c>
      <c r="Y94" s="28">
        <f t="shared" si="182"/>
        <v>30879196.700296678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10142933.753591416</v>
      </c>
      <c r="C95" s="108">
        <f t="shared" si="180"/>
        <v>9674542.841316985</v>
      </c>
      <c r="D95" s="108">
        <f t="shared" si="180"/>
        <v>9629576.5399253685</v>
      </c>
      <c r="E95" s="108">
        <f t="shared" si="180"/>
        <v>9620762.1517493855</v>
      </c>
      <c r="F95" s="108">
        <f t="shared" si="180"/>
        <v>9653115.4854343217</v>
      </c>
      <c r="G95" s="108">
        <f t="shared" si="180"/>
        <v>9739873.9578074813</v>
      </c>
      <c r="H95" s="108">
        <f t="shared" si="180"/>
        <v>9940256.9272442404</v>
      </c>
      <c r="I95" s="108">
        <f t="shared" si="180"/>
        <v>10097155.701063626</v>
      </c>
      <c r="J95" s="108">
        <f t="shared" si="180"/>
        <v>9906636.2313021403</v>
      </c>
      <c r="K95" s="108">
        <f t="shared" ref="K95:V95" si="183">IF(K5=0,0,K5/K27*1000000)</f>
        <v>9774584.1869691499</v>
      </c>
      <c r="L95" s="108">
        <f t="shared" si="183"/>
        <v>10059130.958847579</v>
      </c>
      <c r="M95" s="108">
        <f t="shared" si="183"/>
        <v>10037959.435259782</v>
      </c>
      <c r="N95" s="108">
        <f t="shared" si="183"/>
        <v>10231565.322004436</v>
      </c>
      <c r="O95" s="108">
        <f t="shared" si="183"/>
        <v>10041225.507148918</v>
      </c>
      <c r="P95" s="108">
        <f t="shared" si="183"/>
        <v>10127100.096788093</v>
      </c>
      <c r="Q95" s="108">
        <f t="shared" si="183"/>
        <v>10085691.820637079</v>
      </c>
      <c r="R95" s="108">
        <f t="shared" si="183"/>
        <v>10156703.822562851</v>
      </c>
      <c r="S95" s="108">
        <f t="shared" si="183"/>
        <v>10262534.102021532</v>
      </c>
      <c r="T95" s="108">
        <f t="shared" si="183"/>
        <v>10301872.108676491</v>
      </c>
      <c r="U95" s="108">
        <f t="shared" si="183"/>
        <v>10410083.559850844</v>
      </c>
      <c r="V95" s="108">
        <f t="shared" si="183"/>
        <v>6036105.1827600691</v>
      </c>
      <c r="W95" s="108">
        <f t="shared" ref="W95:Y95" si="184">IF(W5=0,0,W5/W27*1000000)</f>
        <v>8225620.6169921774</v>
      </c>
      <c r="X95" s="108">
        <f t="shared" si="184"/>
        <v>10853576.527132733</v>
      </c>
      <c r="Y95" s="108">
        <f t="shared" si="184"/>
        <v>11249588.399274513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21559009.120997038</v>
      </c>
      <c r="C96" s="110">
        <f t="shared" si="180"/>
        <v>22809519.547350232</v>
      </c>
      <c r="D96" s="110">
        <f t="shared" si="180"/>
        <v>22745659.846347764</v>
      </c>
      <c r="E96" s="110">
        <f t="shared" si="180"/>
        <v>20092150.290347315</v>
      </c>
      <c r="F96" s="110">
        <f t="shared" si="180"/>
        <v>19570636.413312774</v>
      </c>
      <c r="G96" s="110">
        <f t="shared" si="180"/>
        <v>19271017.998610526</v>
      </c>
      <c r="H96" s="110">
        <f t="shared" si="180"/>
        <v>18838635.314028624</v>
      </c>
      <c r="I96" s="110">
        <f t="shared" si="180"/>
        <v>18147501.895579264</v>
      </c>
      <c r="J96" s="110">
        <f t="shared" si="180"/>
        <v>17402675.861253351</v>
      </c>
      <c r="K96" s="110">
        <f t="shared" ref="K96:V96" si="185">IF(K6=0,0,K6/K28*1000000)</f>
        <v>16909409.122159071</v>
      </c>
      <c r="L96" s="110">
        <f t="shared" si="185"/>
        <v>16332386.916483358</v>
      </c>
      <c r="M96" s="110">
        <f t="shared" si="185"/>
        <v>17386793.65998821</v>
      </c>
      <c r="N96" s="110">
        <f t="shared" si="185"/>
        <v>17088145.058667779</v>
      </c>
      <c r="O96" s="110">
        <f t="shared" si="185"/>
        <v>16453242.718091508</v>
      </c>
      <c r="P96" s="110">
        <f t="shared" si="185"/>
        <v>16200023.942139938</v>
      </c>
      <c r="Q96" s="110">
        <f t="shared" si="185"/>
        <v>15373641.036021123</v>
      </c>
      <c r="R96" s="110">
        <f t="shared" si="185"/>
        <v>15370417.529143009</v>
      </c>
      <c r="S96" s="110">
        <f t="shared" si="185"/>
        <v>16593754.939672198</v>
      </c>
      <c r="T96" s="110">
        <f t="shared" si="185"/>
        <v>16634577.66938379</v>
      </c>
      <c r="U96" s="110">
        <f t="shared" si="185"/>
        <v>17602881.090706389</v>
      </c>
      <c r="V96" s="110">
        <f t="shared" si="185"/>
        <v>11298645.834549813</v>
      </c>
      <c r="W96" s="110">
        <f t="shared" ref="W96:Y96" si="186">IF(W6=0,0,W6/W28*1000000)</f>
        <v>15542854.962603336</v>
      </c>
      <c r="X96" s="110">
        <f t="shared" si="186"/>
        <v>19126062.405171633</v>
      </c>
      <c r="Y96" s="110">
        <f t="shared" si="186"/>
        <v>16629312.930102238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14460520.336292697</v>
      </c>
      <c r="C97" s="84">
        <f t="shared" si="180"/>
        <v>15726494.490890389</v>
      </c>
      <c r="D97" s="84">
        <f t="shared" si="180"/>
        <v>16655524.692056492</v>
      </c>
      <c r="E97" s="84">
        <f t="shared" si="180"/>
        <v>16507222.511896672</v>
      </c>
      <c r="F97" s="84">
        <f t="shared" si="180"/>
        <v>15946126.710016707</v>
      </c>
      <c r="G97" s="84">
        <f t="shared" si="180"/>
        <v>17158151.004084989</v>
      </c>
      <c r="H97" s="84">
        <f t="shared" si="180"/>
        <v>17756653.047912147</v>
      </c>
      <c r="I97" s="84">
        <f t="shared" si="180"/>
        <v>17611939.569562532</v>
      </c>
      <c r="J97" s="84">
        <f t="shared" si="180"/>
        <v>16411851.48680876</v>
      </c>
      <c r="K97" s="84">
        <f t="shared" ref="K97:V97" si="187">IF(K7=0,0,K7/K29*1000000)</f>
        <v>15786992.939823596</v>
      </c>
      <c r="L97" s="84">
        <f t="shared" si="187"/>
        <v>15504530.581191687</v>
      </c>
      <c r="M97" s="84">
        <f t="shared" si="187"/>
        <v>15715349.968563197</v>
      </c>
      <c r="N97" s="84">
        <f t="shared" si="187"/>
        <v>16017812.243867598</v>
      </c>
      <c r="O97" s="84">
        <f t="shared" si="187"/>
        <v>15578652.683993122</v>
      </c>
      <c r="P97" s="84">
        <f t="shared" si="187"/>
        <v>15351984.269831872</v>
      </c>
      <c r="Q97" s="84">
        <f t="shared" si="187"/>
        <v>15316911.379649771</v>
      </c>
      <c r="R97" s="84">
        <f t="shared" si="187"/>
        <v>15479306.295706598</v>
      </c>
      <c r="S97" s="84">
        <f t="shared" si="187"/>
        <v>15749355.7707716</v>
      </c>
      <c r="T97" s="84">
        <f t="shared" si="187"/>
        <v>16123331.613808708</v>
      </c>
      <c r="U97" s="84">
        <f t="shared" si="187"/>
        <v>17135280.793014038</v>
      </c>
      <c r="V97" s="84">
        <f t="shared" si="187"/>
        <v>10921521.502327265</v>
      </c>
      <c r="W97" s="84">
        <f t="shared" ref="W97:Y97" si="188">IF(W7=0,0,W7/W29*1000000)</f>
        <v>14439834.604266344</v>
      </c>
      <c r="X97" s="84">
        <f t="shared" si="188"/>
        <v>15688242.469517991</v>
      </c>
      <c r="Y97" s="84">
        <f t="shared" si="188"/>
        <v>14696780.498271495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24269628.718076862</v>
      </c>
      <c r="C98" s="84">
        <f t="shared" si="180"/>
        <v>25419535.500307608</v>
      </c>
      <c r="D98" s="84">
        <f t="shared" si="180"/>
        <v>24866549.002287287</v>
      </c>
      <c r="E98" s="84">
        <f t="shared" si="180"/>
        <v>21188845.709510848</v>
      </c>
      <c r="F98" s="84">
        <f t="shared" si="180"/>
        <v>20717309.127733599</v>
      </c>
      <c r="G98" s="84">
        <f t="shared" si="180"/>
        <v>19865349.268879887</v>
      </c>
      <c r="H98" s="84">
        <f t="shared" si="180"/>
        <v>19121780.97078773</v>
      </c>
      <c r="I98" s="84">
        <f t="shared" si="180"/>
        <v>18275203.558393471</v>
      </c>
      <c r="J98" s="84">
        <f t="shared" si="180"/>
        <v>17639547.79938193</v>
      </c>
      <c r="K98" s="84">
        <f t="shared" ref="K98:V98" si="189">IF(K8=0,0,K8/K30*1000000)</f>
        <v>17169232.085022751</v>
      </c>
      <c r="L98" s="84">
        <f t="shared" si="189"/>
        <v>16514515.253958212</v>
      </c>
      <c r="M98" s="84">
        <f t="shared" si="189"/>
        <v>17777035.2939342</v>
      </c>
      <c r="N98" s="84">
        <f t="shared" si="189"/>
        <v>17317098.083884791</v>
      </c>
      <c r="O98" s="84">
        <f t="shared" si="189"/>
        <v>16633942.56609126</v>
      </c>
      <c r="P98" s="84">
        <f t="shared" si="189"/>
        <v>16365941.955198022</v>
      </c>
      <c r="Q98" s="84">
        <f t="shared" si="189"/>
        <v>15384385.399549991</v>
      </c>
      <c r="R98" s="84">
        <f t="shared" si="189"/>
        <v>15352178.788412394</v>
      </c>
      <c r="S98" s="84">
        <f t="shared" si="189"/>
        <v>16754748.411223488</v>
      </c>
      <c r="T98" s="84">
        <f t="shared" si="189"/>
        <v>16726517.111493368</v>
      </c>
      <c r="U98" s="84">
        <f t="shared" si="189"/>
        <v>17689023.546813287</v>
      </c>
      <c r="V98" s="84">
        <f t="shared" si="189"/>
        <v>11362566.01965961</v>
      </c>
      <c r="W98" s="84">
        <f t="shared" ref="W98:Y98" si="190">IF(W8=0,0,W8/W30*1000000)</f>
        <v>15753838.292413948</v>
      </c>
      <c r="X98" s="84">
        <f t="shared" si="190"/>
        <v>19816610.559802338</v>
      </c>
      <c r="Y98" s="84">
        <f t="shared" si="190"/>
        <v>16936400.816207204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176440869.91605088</v>
      </c>
      <c r="C99" s="113">
        <f t="shared" si="180"/>
        <v>168038996.38015485</v>
      </c>
      <c r="D99" s="113">
        <f t="shared" si="180"/>
        <v>168039164.79150793</v>
      </c>
      <c r="E99" s="113">
        <f t="shared" si="180"/>
        <v>168038939.20856473</v>
      </c>
      <c r="F99" s="113">
        <f t="shared" si="180"/>
        <v>166358483.03356114</v>
      </c>
      <c r="G99" s="113">
        <f t="shared" si="180"/>
        <v>168038740.86686063</v>
      </c>
      <c r="H99" s="113">
        <f t="shared" si="180"/>
        <v>174028046.43715507</v>
      </c>
      <c r="I99" s="113">
        <f t="shared" si="180"/>
        <v>178470554.70333809</v>
      </c>
      <c r="J99" s="113">
        <f t="shared" si="180"/>
        <v>176793681.27188629</v>
      </c>
      <c r="K99" s="113">
        <f t="shared" ref="K99:V99" si="191">IF(K9=0,0,K9/K31*1000000)</f>
        <v>175781950.80953649</v>
      </c>
      <c r="L99" s="113">
        <f t="shared" si="191"/>
        <v>181918912.77702451</v>
      </c>
      <c r="M99" s="113">
        <f t="shared" si="191"/>
        <v>181872127.64698908</v>
      </c>
      <c r="N99" s="113">
        <f t="shared" si="191"/>
        <v>176602885.00519767</v>
      </c>
      <c r="O99" s="113">
        <f t="shared" si="191"/>
        <v>176440551.31577545</v>
      </c>
      <c r="P99" s="113">
        <f t="shared" si="191"/>
        <v>183080054.56790575</v>
      </c>
      <c r="Q99" s="113">
        <f t="shared" si="191"/>
        <v>184631611.46705583</v>
      </c>
      <c r="R99" s="113">
        <f t="shared" si="191"/>
        <v>187421945.59965476</v>
      </c>
      <c r="S99" s="113">
        <f t="shared" si="191"/>
        <v>192805900.71616498</v>
      </c>
      <c r="T99" s="113">
        <f t="shared" si="191"/>
        <v>193712187.00386134</v>
      </c>
      <c r="U99" s="113">
        <f t="shared" si="191"/>
        <v>198022365.35614508</v>
      </c>
      <c r="V99" s="113">
        <f t="shared" si="191"/>
        <v>119093654.05740401</v>
      </c>
      <c r="W99" s="113">
        <f t="shared" ref="W99:Y99" si="192">IF(W9=0,0,W9/W31*1000000)</f>
        <v>152382240.52681589</v>
      </c>
      <c r="X99" s="113">
        <f t="shared" si="192"/>
        <v>193694152.2446225</v>
      </c>
      <c r="Y99" s="113">
        <f t="shared" si="192"/>
        <v>195939653.69595814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108401468.86215319</v>
      </c>
      <c r="C100" s="28">
        <f t="shared" si="180"/>
        <v>99131407.761856854</v>
      </c>
      <c r="D100" s="28">
        <f t="shared" si="180"/>
        <v>97936460.765026778</v>
      </c>
      <c r="E100" s="28">
        <f t="shared" si="180"/>
        <v>86696167.098185629</v>
      </c>
      <c r="F100" s="28">
        <f t="shared" si="180"/>
        <v>85637077.346713245</v>
      </c>
      <c r="G100" s="28">
        <f t="shared" si="180"/>
        <v>85933360.99573569</v>
      </c>
      <c r="H100" s="28">
        <f t="shared" si="180"/>
        <v>94788301.450148687</v>
      </c>
      <c r="I100" s="28">
        <f t="shared" si="180"/>
        <v>101132170.75939669</v>
      </c>
      <c r="J100" s="28">
        <f t="shared" si="180"/>
        <v>98699045.479715154</v>
      </c>
      <c r="K100" s="28">
        <f t="shared" ref="K100:V100" si="193">IF(K10=0,0,K10/K32*1000000)</f>
        <v>90139083.351536587</v>
      </c>
      <c r="L100" s="28">
        <f t="shared" si="193"/>
        <v>91220252.943091393</v>
      </c>
      <c r="M100" s="28">
        <f t="shared" si="193"/>
        <v>116370092.42895846</v>
      </c>
      <c r="N100" s="28">
        <f t="shared" si="193"/>
        <v>109495572.54977123</v>
      </c>
      <c r="O100" s="28">
        <f t="shared" si="193"/>
        <v>95954344.238261208</v>
      </c>
      <c r="P100" s="28">
        <f t="shared" si="193"/>
        <v>100614040.73691998</v>
      </c>
      <c r="Q100" s="28">
        <f t="shared" si="193"/>
        <v>107721492.15485941</v>
      </c>
      <c r="R100" s="28">
        <f t="shared" si="193"/>
        <v>109609986.58185449</v>
      </c>
      <c r="S100" s="28">
        <f t="shared" si="193"/>
        <v>105971706.519069</v>
      </c>
      <c r="T100" s="28">
        <f t="shared" si="193"/>
        <v>105623352.33030953</v>
      </c>
      <c r="U100" s="28">
        <f t="shared" si="193"/>
        <v>109091285.67620675</v>
      </c>
      <c r="V100" s="28">
        <f t="shared" si="193"/>
        <v>93838593.679072261</v>
      </c>
      <c r="W100" s="28">
        <f t="shared" ref="W100:Y100" si="194">IF(W10=0,0,W10/W32*1000000)</f>
        <v>100930039.13148192</v>
      </c>
      <c r="X100" s="28">
        <f t="shared" si="194"/>
        <v>104682774.22489707</v>
      </c>
      <c r="Y100" s="28">
        <f t="shared" si="194"/>
        <v>99088733.841503024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94220675.265826881</v>
      </c>
      <c r="C101" s="84">
        <f t="shared" si="180"/>
        <v>100859904.0552765</v>
      </c>
      <c r="D101" s="84">
        <f t="shared" si="180"/>
        <v>101567480.2567049</v>
      </c>
      <c r="E101" s="84">
        <f t="shared" si="180"/>
        <v>110237979.1287045</v>
      </c>
      <c r="F101" s="84">
        <f t="shared" si="180"/>
        <v>111614164.88661492</v>
      </c>
      <c r="G101" s="84">
        <f t="shared" si="180"/>
        <v>103703938.09150276</v>
      </c>
      <c r="H101" s="84">
        <f t="shared" si="180"/>
        <v>122366695.99993584</v>
      </c>
      <c r="I101" s="84">
        <f t="shared" si="180"/>
        <v>130434691.59620284</v>
      </c>
      <c r="J101" s="84">
        <f t="shared" si="180"/>
        <v>121268185.95586599</v>
      </c>
      <c r="K101" s="84">
        <f t="shared" ref="K101:V101" si="195">IF(K11=0,0,K11/K33*1000000)</f>
        <v>118727233.23883586</v>
      </c>
      <c r="L101" s="84">
        <f t="shared" si="195"/>
        <v>119098110.33092134</v>
      </c>
      <c r="M101" s="84">
        <f t="shared" si="195"/>
        <v>137153146.86091387</v>
      </c>
      <c r="N101" s="84">
        <f t="shared" si="195"/>
        <v>141493469.0971078</v>
      </c>
      <c r="O101" s="84">
        <f t="shared" si="195"/>
        <v>132878540.76074547</v>
      </c>
      <c r="P101" s="84">
        <f t="shared" si="195"/>
        <v>142838854.40552661</v>
      </c>
      <c r="Q101" s="84">
        <f t="shared" si="195"/>
        <v>147822124.42262739</v>
      </c>
      <c r="R101" s="84">
        <f t="shared" si="195"/>
        <v>138226705.10389677</v>
      </c>
      <c r="S101" s="84">
        <f t="shared" si="195"/>
        <v>136006575.03641665</v>
      </c>
      <c r="T101" s="84">
        <f t="shared" si="195"/>
        <v>139960972.94285858</v>
      </c>
      <c r="U101" s="84">
        <f t="shared" si="195"/>
        <v>133615606.05978434</v>
      </c>
      <c r="V101" s="84">
        <f t="shared" si="195"/>
        <v>117453343.89788048</v>
      </c>
      <c r="W101" s="84">
        <f t="shared" ref="W101:Y101" si="196">IF(W11=0,0,W11/W33*1000000)</f>
        <v>109273954.20009294</v>
      </c>
      <c r="X101" s="84">
        <f t="shared" si="196"/>
        <v>122509115.97369199</v>
      </c>
      <c r="Y101" s="84">
        <f t="shared" si="196"/>
        <v>119938576.81615236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110997390.6304491</v>
      </c>
      <c r="C102" s="86">
        <f t="shared" si="180"/>
        <v>98845001.361483559</v>
      </c>
      <c r="D102" s="86">
        <f t="shared" si="180"/>
        <v>97358503.352665082</v>
      </c>
      <c r="E102" s="86">
        <f t="shared" si="180"/>
        <v>83618836.737261713</v>
      </c>
      <c r="F102" s="86">
        <f t="shared" si="180"/>
        <v>82557471.491247922</v>
      </c>
      <c r="G102" s="86">
        <f t="shared" si="180"/>
        <v>83947760.122031003</v>
      </c>
      <c r="H102" s="86">
        <f t="shared" si="180"/>
        <v>92040507.060060412</v>
      </c>
      <c r="I102" s="86">
        <f t="shared" si="180"/>
        <v>98396931.091883823</v>
      </c>
      <c r="J102" s="86">
        <f t="shared" si="180"/>
        <v>96481929.12514995</v>
      </c>
      <c r="K102" s="86">
        <f t="shared" ref="K102:V102" si="197">IF(K12=0,0,K12/K34*1000000)</f>
        <v>87663422.844760925</v>
      </c>
      <c r="L102" s="86">
        <f t="shared" si="197"/>
        <v>88894584.975092515</v>
      </c>
      <c r="M102" s="86">
        <f t="shared" si="197"/>
        <v>114370736.10771386</v>
      </c>
      <c r="N102" s="86">
        <f t="shared" si="197"/>
        <v>106959267.65614416</v>
      </c>
      <c r="O102" s="86">
        <f t="shared" si="197"/>
        <v>93286252.409461111</v>
      </c>
      <c r="P102" s="86">
        <f t="shared" si="197"/>
        <v>97748811.403106704</v>
      </c>
      <c r="Q102" s="86">
        <f t="shared" si="197"/>
        <v>104890162.27923827</v>
      </c>
      <c r="R102" s="86">
        <f t="shared" si="197"/>
        <v>107602831.60726544</v>
      </c>
      <c r="S102" s="86">
        <f t="shared" si="197"/>
        <v>103780405.56543887</v>
      </c>
      <c r="T102" s="86">
        <f t="shared" si="197"/>
        <v>103333392.4329658</v>
      </c>
      <c r="U102" s="86">
        <f t="shared" si="197"/>
        <v>107298259.7351227</v>
      </c>
      <c r="V102" s="86">
        <f t="shared" si="197"/>
        <v>92116901.059027553</v>
      </c>
      <c r="W102" s="86">
        <f t="shared" ref="W102:Y102" si="198">IF(W12=0,0,W12/W34*1000000)</f>
        <v>100197568.42596745</v>
      </c>
      <c r="X102" s="86">
        <f t="shared" si="198"/>
        <v>103286124.48889983</v>
      </c>
      <c r="Y102" s="86">
        <f t="shared" si="198"/>
        <v>97717279.663827822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9.3526644805759507E-2</v>
      </c>
      <c r="C106" s="123">
        <f t="shared" si="199"/>
        <v>9.1915983391759465E-2</v>
      </c>
      <c r="D106" s="123">
        <f t="shared" si="199"/>
        <v>9.2179530105075014E-2</v>
      </c>
      <c r="E106" s="123">
        <f t="shared" si="199"/>
        <v>9.6211048134519112E-2</v>
      </c>
      <c r="F106" s="123">
        <f t="shared" si="199"/>
        <v>0.1018222175911193</v>
      </c>
      <c r="G106" s="123">
        <f t="shared" si="199"/>
        <v>0.10223010514033291</v>
      </c>
      <c r="H106" s="123">
        <f t="shared" si="199"/>
        <v>0.10174909592352889</v>
      </c>
      <c r="I106" s="123">
        <f t="shared" si="199"/>
        <v>0.10033491002654243</v>
      </c>
      <c r="J106" s="123">
        <f t="shared" si="199"/>
        <v>0.10083680822312771</v>
      </c>
      <c r="K106" s="123">
        <f t="shared" ref="K106:V106" si="202">IF(K5=0,0,K5/K$4)</f>
        <v>9.3972944668918743E-2</v>
      </c>
      <c r="L106" s="123">
        <f t="shared" si="202"/>
        <v>9.5983642486194634E-2</v>
      </c>
      <c r="M106" s="123">
        <f t="shared" si="202"/>
        <v>9.4040840613385454E-2</v>
      </c>
      <c r="N106" s="123">
        <f t="shared" si="202"/>
        <v>9.8440634576912919E-2</v>
      </c>
      <c r="O106" s="123">
        <f t="shared" si="202"/>
        <v>0.10115168927465797</v>
      </c>
      <c r="P106" s="123">
        <f t="shared" si="202"/>
        <v>0.10394380826668068</v>
      </c>
      <c r="Q106" s="123">
        <f t="shared" si="202"/>
        <v>0.10446823619883376</v>
      </c>
      <c r="R106" s="123">
        <f t="shared" si="202"/>
        <v>0.1059128034289909</v>
      </c>
      <c r="S106" s="123">
        <f t="shared" si="202"/>
        <v>0.10139310419019673</v>
      </c>
      <c r="T106" s="123">
        <f t="shared" si="202"/>
        <v>0.10974578521596189</v>
      </c>
      <c r="U106" s="123">
        <f t="shared" si="202"/>
        <v>0.10334508887116534</v>
      </c>
      <c r="V106" s="123">
        <f t="shared" si="202"/>
        <v>9.7936239890287227E-2</v>
      </c>
      <c r="W106" s="123">
        <f t="shared" ref="W106:Y106" si="203">IF(W5=0,0,W5/W$4)</f>
        <v>9.6411431606922601E-2</v>
      </c>
      <c r="X106" s="123">
        <f t="shared" si="203"/>
        <v>9.0280990305431769E-2</v>
      </c>
      <c r="Y106" s="123">
        <f t="shared" si="203"/>
        <v>8.8313104047173685E-2</v>
      </c>
      <c r="DA106" s="203"/>
    </row>
    <row r="107" spans="1:105" ht="11.45" customHeight="1" x14ac:dyDescent="0.25">
      <c r="A107" s="109" t="s">
        <v>24</v>
      </c>
      <c r="B107" s="124">
        <f t="shared" si="199"/>
        <v>0.4803625825268783</v>
      </c>
      <c r="C107" s="124">
        <f t="shared" si="199"/>
        <v>0.45862458886510554</v>
      </c>
      <c r="D107" s="124">
        <f t="shared" si="199"/>
        <v>0.44094206975058375</v>
      </c>
      <c r="E107" s="124">
        <f t="shared" si="199"/>
        <v>0.43083366349782737</v>
      </c>
      <c r="F107" s="124">
        <f t="shared" si="199"/>
        <v>0.42646365919228579</v>
      </c>
      <c r="G107" s="124">
        <f t="shared" si="199"/>
        <v>0.42429850889266024</v>
      </c>
      <c r="H107" s="124">
        <f t="shared" si="199"/>
        <v>0.4189719693663948</v>
      </c>
      <c r="I107" s="124">
        <f t="shared" si="199"/>
        <v>0.39801270784032183</v>
      </c>
      <c r="J107" s="124">
        <f t="shared" si="199"/>
        <v>0.38459424158619021</v>
      </c>
      <c r="K107" s="124">
        <f t="shared" ref="K107:V107" si="204">IF(K6=0,0,K6/K$4)</f>
        <v>0.38581515081824796</v>
      </c>
      <c r="L107" s="124">
        <f t="shared" si="204"/>
        <v>0.3763817904799151</v>
      </c>
      <c r="M107" s="124">
        <f t="shared" si="204"/>
        <v>0.38331684661941545</v>
      </c>
      <c r="N107" s="124">
        <f t="shared" si="204"/>
        <v>0.38246128968131698</v>
      </c>
      <c r="O107" s="124">
        <f t="shared" si="204"/>
        <v>0.37996637614826656</v>
      </c>
      <c r="P107" s="124">
        <f t="shared" si="204"/>
        <v>0.37516831887689217</v>
      </c>
      <c r="Q107" s="124">
        <f t="shared" si="204"/>
        <v>0.37329116376475552</v>
      </c>
      <c r="R107" s="124">
        <f t="shared" si="204"/>
        <v>0.37312894942139335</v>
      </c>
      <c r="S107" s="124">
        <f t="shared" si="204"/>
        <v>0.36369372682990092</v>
      </c>
      <c r="T107" s="124">
        <f t="shared" si="204"/>
        <v>0.36265180407760422</v>
      </c>
      <c r="U107" s="124">
        <f t="shared" si="204"/>
        <v>0.36268656099507363</v>
      </c>
      <c r="V107" s="124">
        <f t="shared" si="204"/>
        <v>0.37580483267751646</v>
      </c>
      <c r="W107" s="124">
        <f t="shared" ref="W107:Y107" si="205">IF(W6=0,0,W6/W$4)</f>
        <v>0.37317183535776954</v>
      </c>
      <c r="X107" s="124">
        <f t="shared" si="205"/>
        <v>0.35955509737328861</v>
      </c>
      <c r="Y107" s="124">
        <f t="shared" si="205"/>
        <v>0.36126848255809274</v>
      </c>
      <c r="DA107" s="176"/>
    </row>
    <row r="108" spans="1:105" ht="11.45" customHeight="1" x14ac:dyDescent="0.25">
      <c r="A108" s="111" t="s">
        <v>92</v>
      </c>
      <c r="B108" s="125">
        <f t="shared" si="199"/>
        <v>8.9035527493890834E-2</v>
      </c>
      <c r="C108" s="125">
        <f t="shared" si="199"/>
        <v>8.5144428882003798E-2</v>
      </c>
      <c r="D108" s="125">
        <f t="shared" si="199"/>
        <v>8.3399212238825821E-2</v>
      </c>
      <c r="E108" s="125">
        <f t="shared" si="199"/>
        <v>8.291761281712412E-2</v>
      </c>
      <c r="F108" s="125">
        <f t="shared" si="199"/>
        <v>8.3511396884961439E-2</v>
      </c>
      <c r="G108" s="125">
        <f t="shared" si="199"/>
        <v>8.293652831549192E-2</v>
      </c>
      <c r="H108" s="125">
        <f t="shared" si="199"/>
        <v>8.1909295856526107E-2</v>
      </c>
      <c r="I108" s="125">
        <f t="shared" si="199"/>
        <v>7.4369936148063809E-2</v>
      </c>
      <c r="J108" s="125">
        <f t="shared" si="199"/>
        <v>6.9978879878908565E-2</v>
      </c>
      <c r="K108" s="125">
        <f t="shared" ref="K108:V108" si="206">IF(K7=0,0,K7/K$4)</f>
        <v>6.770872000556985E-2</v>
      </c>
      <c r="L108" s="125">
        <f t="shared" si="206"/>
        <v>6.44318062222239E-2</v>
      </c>
      <c r="M108" s="125">
        <f t="shared" si="206"/>
        <v>6.5580343202426561E-2</v>
      </c>
      <c r="N108" s="125">
        <f t="shared" si="206"/>
        <v>6.3173864238158975E-2</v>
      </c>
      <c r="O108" s="125">
        <f t="shared" si="206"/>
        <v>6.1604093385744157E-2</v>
      </c>
      <c r="P108" s="125">
        <f t="shared" si="206"/>
        <v>5.8176651994395367E-2</v>
      </c>
      <c r="Q108" s="125">
        <f t="shared" si="206"/>
        <v>5.9222438027801111E-2</v>
      </c>
      <c r="R108" s="125">
        <f t="shared" si="206"/>
        <v>5.3911335761464813E-2</v>
      </c>
      <c r="S108" s="125">
        <f t="shared" si="206"/>
        <v>5.5274712866370909E-2</v>
      </c>
      <c r="T108" s="125">
        <f t="shared" si="206"/>
        <v>5.3577669915607529E-2</v>
      </c>
      <c r="U108" s="125">
        <f t="shared" si="206"/>
        <v>5.4922225620046811E-2</v>
      </c>
      <c r="V108" s="125">
        <f t="shared" si="206"/>
        <v>5.2647130663315986E-2</v>
      </c>
      <c r="W108" s="125">
        <f t="shared" ref="W108:Y108" si="207">IF(W7=0,0,W7/W$4)</f>
        <v>5.5666234004410994E-2</v>
      </c>
      <c r="X108" s="125">
        <f t="shared" si="207"/>
        <v>4.933211452108148E-2</v>
      </c>
      <c r="Y108" s="125">
        <f t="shared" si="207"/>
        <v>4.3779042920105232E-2</v>
      </c>
      <c r="DA108" s="171"/>
    </row>
    <row r="109" spans="1:105" ht="11.45" customHeight="1" x14ac:dyDescent="0.25">
      <c r="A109" s="111" t="s">
        <v>93</v>
      </c>
      <c r="B109" s="125">
        <f t="shared" si="199"/>
        <v>0.39132705503298748</v>
      </c>
      <c r="C109" s="125">
        <f t="shared" si="199"/>
        <v>0.37348015998310174</v>
      </c>
      <c r="D109" s="125">
        <f t="shared" si="199"/>
        <v>0.35754285751175791</v>
      </c>
      <c r="E109" s="125">
        <f t="shared" si="199"/>
        <v>0.34791605068070325</v>
      </c>
      <c r="F109" s="125">
        <f t="shared" si="199"/>
        <v>0.34295226230732434</v>
      </c>
      <c r="G109" s="125">
        <f t="shared" si="199"/>
        <v>0.34136198057716827</v>
      </c>
      <c r="H109" s="125">
        <f t="shared" si="199"/>
        <v>0.33706267350986868</v>
      </c>
      <c r="I109" s="125">
        <f t="shared" si="199"/>
        <v>0.32364277169225797</v>
      </c>
      <c r="J109" s="125">
        <f t="shared" si="199"/>
        <v>0.3146153617072816</v>
      </c>
      <c r="K109" s="125">
        <f t="shared" ref="K109:V109" si="208">IF(K8=0,0,K8/K$4)</f>
        <v>0.31810643081267809</v>
      </c>
      <c r="L109" s="125">
        <f t="shared" si="208"/>
        <v>0.31194998425769116</v>
      </c>
      <c r="M109" s="125">
        <f t="shared" si="208"/>
        <v>0.31773650341698889</v>
      </c>
      <c r="N109" s="125">
        <f t="shared" si="208"/>
        <v>0.31928742544315802</v>
      </c>
      <c r="O109" s="125">
        <f t="shared" si="208"/>
        <v>0.31836228276252243</v>
      </c>
      <c r="P109" s="125">
        <f t="shared" si="208"/>
        <v>0.31699166688249675</v>
      </c>
      <c r="Q109" s="125">
        <f t="shared" si="208"/>
        <v>0.31406872573695438</v>
      </c>
      <c r="R109" s="125">
        <f t="shared" si="208"/>
        <v>0.31921761365992857</v>
      </c>
      <c r="S109" s="125">
        <f t="shared" si="208"/>
        <v>0.30841901396353</v>
      </c>
      <c r="T109" s="125">
        <f t="shared" si="208"/>
        <v>0.30907413416199675</v>
      </c>
      <c r="U109" s="125">
        <f t="shared" si="208"/>
        <v>0.30776433537502679</v>
      </c>
      <c r="V109" s="125">
        <f t="shared" si="208"/>
        <v>0.32315770201420047</v>
      </c>
      <c r="W109" s="125">
        <f t="shared" ref="W109:Y109" si="209">IF(W8=0,0,W8/W$4)</f>
        <v>0.31750560135335854</v>
      </c>
      <c r="X109" s="125">
        <f t="shared" si="209"/>
        <v>0.31022298285220712</v>
      </c>
      <c r="Y109" s="125">
        <f t="shared" si="209"/>
        <v>0.31748943963798754</v>
      </c>
      <c r="DA109" s="171"/>
    </row>
    <row r="110" spans="1:105" ht="11.45" customHeight="1" x14ac:dyDescent="0.25">
      <c r="A110" s="112" t="s">
        <v>25</v>
      </c>
      <c r="B110" s="126">
        <f t="shared" si="199"/>
        <v>0.42611077266736225</v>
      </c>
      <c r="C110" s="126">
        <f t="shared" si="199"/>
        <v>0.44945942774313496</v>
      </c>
      <c r="D110" s="126">
        <f t="shared" si="199"/>
        <v>0.46687840014434123</v>
      </c>
      <c r="E110" s="126">
        <f t="shared" si="199"/>
        <v>0.4729552883676536</v>
      </c>
      <c r="F110" s="126">
        <f t="shared" si="199"/>
        <v>0.47171412321659489</v>
      </c>
      <c r="G110" s="126">
        <f t="shared" si="199"/>
        <v>0.47347138596700683</v>
      </c>
      <c r="H110" s="126">
        <f t="shared" si="199"/>
        <v>0.47927893471007627</v>
      </c>
      <c r="I110" s="126">
        <f t="shared" si="199"/>
        <v>0.50165238213313568</v>
      </c>
      <c r="J110" s="126">
        <f t="shared" si="199"/>
        <v>0.51456895019068216</v>
      </c>
      <c r="K110" s="126">
        <f t="shared" ref="K110:V110" si="210">IF(K9=0,0,K9/K$4)</f>
        <v>0.52021190451283339</v>
      </c>
      <c r="L110" s="126">
        <f t="shared" si="210"/>
        <v>0.52763456703389022</v>
      </c>
      <c r="M110" s="126">
        <f t="shared" si="210"/>
        <v>0.52264231276719908</v>
      </c>
      <c r="N110" s="126">
        <f t="shared" si="210"/>
        <v>0.51909807574177003</v>
      </c>
      <c r="O110" s="126">
        <f t="shared" si="210"/>
        <v>0.51888193457707532</v>
      </c>
      <c r="P110" s="126">
        <f t="shared" si="210"/>
        <v>0.52088787285642724</v>
      </c>
      <c r="Q110" s="126">
        <f t="shared" si="210"/>
        <v>0.5222406000364106</v>
      </c>
      <c r="R110" s="126">
        <f t="shared" si="210"/>
        <v>0.52095824714961569</v>
      </c>
      <c r="S110" s="126">
        <f t="shared" si="210"/>
        <v>0.53491316897990238</v>
      </c>
      <c r="T110" s="126">
        <f t="shared" si="210"/>
        <v>0.52760241070643388</v>
      </c>
      <c r="U110" s="126">
        <f t="shared" si="210"/>
        <v>0.53396835013376109</v>
      </c>
      <c r="V110" s="126">
        <f t="shared" si="210"/>
        <v>0.52625892743219627</v>
      </c>
      <c r="W110" s="126">
        <f t="shared" ref="W110:Y110" si="211">IF(W9=0,0,W9/W$4)</f>
        <v>0.5304167330353079</v>
      </c>
      <c r="X110" s="126">
        <f t="shared" si="211"/>
        <v>0.55016391232127948</v>
      </c>
      <c r="Y110" s="126">
        <f t="shared" si="211"/>
        <v>0.55041841339473352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0.13449177004380206</v>
      </c>
      <c r="C112" s="125">
        <f t="shared" si="212"/>
        <v>0.1446225179602737</v>
      </c>
      <c r="D112" s="125">
        <f t="shared" si="212"/>
        <v>0.14240641986316638</v>
      </c>
      <c r="E112" s="125">
        <f t="shared" si="212"/>
        <v>0.14699799392852705</v>
      </c>
      <c r="F112" s="125">
        <f t="shared" si="212"/>
        <v>0.13813585590858812</v>
      </c>
      <c r="G112" s="125">
        <f t="shared" si="212"/>
        <v>0.12128929624332295</v>
      </c>
      <c r="H112" s="125">
        <f t="shared" si="212"/>
        <v>0.116970107483835</v>
      </c>
      <c r="I112" s="125">
        <f t="shared" si="212"/>
        <v>0.11011260116390885</v>
      </c>
      <c r="J112" s="125">
        <f t="shared" si="212"/>
        <v>0.10990348614600651</v>
      </c>
      <c r="K112" s="125">
        <f t="shared" ref="K112:V112" si="215">IF(K11=0,0,K11/K$10)</f>
        <v>0.10497202420614629</v>
      </c>
      <c r="L112" s="125">
        <f t="shared" si="215"/>
        <v>0.10053184967121172</v>
      </c>
      <c r="M112" s="125">
        <f t="shared" si="215"/>
        <v>0.10343199935550487</v>
      </c>
      <c r="N112" s="125">
        <f t="shared" si="215"/>
        <v>9.4905608370307662E-2</v>
      </c>
      <c r="O112" s="125">
        <f t="shared" si="215"/>
        <v>9.3321213476692699E-2</v>
      </c>
      <c r="P112" s="125">
        <f t="shared" si="215"/>
        <v>9.021245604963736E-2</v>
      </c>
      <c r="Q112" s="125">
        <f t="shared" si="215"/>
        <v>9.0499631879292608E-2</v>
      </c>
      <c r="R112" s="125">
        <f t="shared" si="215"/>
        <v>8.2653760100861409E-2</v>
      </c>
      <c r="S112" s="125">
        <f t="shared" si="215"/>
        <v>8.7269666683545022E-2</v>
      </c>
      <c r="T112" s="125">
        <f t="shared" si="215"/>
        <v>8.2845066489008634E-2</v>
      </c>
      <c r="U112" s="125">
        <f t="shared" si="215"/>
        <v>8.3447168141340636E-2</v>
      </c>
      <c r="V112" s="125">
        <f t="shared" si="215"/>
        <v>8.5053829413850271E-2</v>
      </c>
      <c r="W112" s="125">
        <f t="shared" ref="W112:Y112" si="216">IF(W11=0,0,W11/W$10)</f>
        <v>8.7372252237885473E-2</v>
      </c>
      <c r="X112" s="125">
        <f t="shared" si="216"/>
        <v>8.5027559235109421E-2</v>
      </c>
      <c r="Y112" s="125">
        <f t="shared" si="216"/>
        <v>7.4704455902372083E-2</v>
      </c>
      <c r="DA112" s="171"/>
    </row>
    <row r="113" spans="1:105" ht="11.45" customHeight="1" x14ac:dyDescent="0.25">
      <c r="A113" s="85" t="s">
        <v>93</v>
      </c>
      <c r="B113" s="127">
        <f t="shared" si="212"/>
        <v>0.86550822995619792</v>
      </c>
      <c r="C113" s="127">
        <f t="shared" si="212"/>
        <v>0.85537748203972641</v>
      </c>
      <c r="D113" s="127">
        <f t="shared" si="212"/>
        <v>0.85759358013683362</v>
      </c>
      <c r="E113" s="127">
        <f t="shared" si="212"/>
        <v>0.85300200607147292</v>
      </c>
      <c r="F113" s="127">
        <f t="shared" si="212"/>
        <v>0.86186414409141177</v>
      </c>
      <c r="G113" s="127">
        <f t="shared" si="212"/>
        <v>0.87871070375667704</v>
      </c>
      <c r="H113" s="127">
        <f t="shared" si="212"/>
        <v>0.88302989251616504</v>
      </c>
      <c r="I113" s="127">
        <f t="shared" si="212"/>
        <v>0.88988739883609114</v>
      </c>
      <c r="J113" s="127">
        <f t="shared" si="212"/>
        <v>0.89009651385399347</v>
      </c>
      <c r="K113" s="127">
        <f t="shared" ref="K113:V113" si="217">IF(K12=0,0,K12/K$10)</f>
        <v>0.89502797579385374</v>
      </c>
      <c r="L113" s="127">
        <f t="shared" si="217"/>
        <v>0.89946815032878824</v>
      </c>
      <c r="M113" s="127">
        <f t="shared" si="217"/>
        <v>0.89656800064449516</v>
      </c>
      <c r="N113" s="127">
        <f t="shared" si="217"/>
        <v>0.9050943916296923</v>
      </c>
      <c r="O113" s="127">
        <f t="shared" si="217"/>
        <v>0.90667878652330725</v>
      </c>
      <c r="P113" s="127">
        <f t="shared" si="217"/>
        <v>0.90978754395036265</v>
      </c>
      <c r="Q113" s="127">
        <f t="shared" si="217"/>
        <v>0.90950036812070745</v>
      </c>
      <c r="R113" s="127">
        <f t="shared" si="217"/>
        <v>0.91734623989913855</v>
      </c>
      <c r="S113" s="127">
        <f t="shared" si="217"/>
        <v>0.91273033331645503</v>
      </c>
      <c r="T113" s="127">
        <f t="shared" si="217"/>
        <v>0.91715493351099131</v>
      </c>
      <c r="U113" s="127">
        <f t="shared" si="217"/>
        <v>0.91655283185865932</v>
      </c>
      <c r="V113" s="127">
        <f t="shared" si="217"/>
        <v>0.91494617058614969</v>
      </c>
      <c r="W113" s="127">
        <f t="shared" ref="W113:Y113" si="218">IF(W12=0,0,W12/W$10)</f>
        <v>0.91262774776211453</v>
      </c>
      <c r="X113" s="127">
        <f t="shared" si="218"/>
        <v>0.91497244076489059</v>
      </c>
      <c r="Y113" s="127">
        <f t="shared" si="218"/>
        <v>0.92529554409762793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0.18633987260866239</v>
      </c>
      <c r="C117" s="123">
        <f t="shared" si="219"/>
        <v>0.20163809647876305</v>
      </c>
      <c r="D117" s="123">
        <f t="shared" si="219"/>
        <v>0.20206396701001764</v>
      </c>
      <c r="E117" s="123">
        <f t="shared" si="219"/>
        <v>0.19703289911034327</v>
      </c>
      <c r="F117" s="123">
        <f t="shared" si="219"/>
        <v>0.20338429060167082</v>
      </c>
      <c r="G117" s="123">
        <f t="shared" si="219"/>
        <v>0.20166657916445621</v>
      </c>
      <c r="H117" s="123">
        <f t="shared" si="219"/>
        <v>0.19749345230530871</v>
      </c>
      <c r="I117" s="123">
        <f t="shared" si="219"/>
        <v>0.19353954221761635</v>
      </c>
      <c r="J117" s="123">
        <f t="shared" si="219"/>
        <v>0.19491408440148447</v>
      </c>
      <c r="K117" s="123">
        <f t="shared" ref="K117:V117" si="222">IF(K16=0,0,K16/K$15)</f>
        <v>0.179096027179484</v>
      </c>
      <c r="L117" s="123">
        <f t="shared" si="222"/>
        <v>0.1806080839877045</v>
      </c>
      <c r="M117" s="123">
        <f t="shared" si="222"/>
        <v>0.18302251946174267</v>
      </c>
      <c r="N117" s="123">
        <f t="shared" si="222"/>
        <v>0.18443435842205105</v>
      </c>
      <c r="O117" s="123">
        <f t="shared" si="222"/>
        <v>0.18795600220114267</v>
      </c>
      <c r="P117" s="123">
        <f t="shared" si="222"/>
        <v>0.19191042084480803</v>
      </c>
      <c r="Q117" s="123">
        <f t="shared" si="222"/>
        <v>0.18819082979693613</v>
      </c>
      <c r="R117" s="123">
        <f t="shared" si="222"/>
        <v>0.18993502459310971</v>
      </c>
      <c r="S117" s="123">
        <f t="shared" si="222"/>
        <v>0.19330407069605379</v>
      </c>
      <c r="T117" s="123">
        <f t="shared" si="222"/>
        <v>0.20696123468246014</v>
      </c>
      <c r="U117" s="123">
        <f t="shared" si="222"/>
        <v>0.20237423309642474</v>
      </c>
      <c r="V117" s="123">
        <f t="shared" si="222"/>
        <v>0.19063431454532559</v>
      </c>
      <c r="W117" s="123">
        <f t="shared" ref="W117:Y117" si="223">IF(W16=0,0,W16/W$15)</f>
        <v>0.2055723396433127</v>
      </c>
      <c r="X117" s="123">
        <f t="shared" si="223"/>
        <v>0.18252184072403002</v>
      </c>
      <c r="Y117" s="123">
        <f t="shared" si="223"/>
        <v>0.160319237725328</v>
      </c>
      <c r="DA117" s="203"/>
    </row>
    <row r="118" spans="1:105" ht="11.45" customHeight="1" x14ac:dyDescent="0.25">
      <c r="A118" s="109" t="s">
        <v>24</v>
      </c>
      <c r="B118" s="124">
        <f t="shared" si="219"/>
        <v>0.61400651168745046</v>
      </c>
      <c r="C118" s="124">
        <f t="shared" si="219"/>
        <v>0.5661351522237047</v>
      </c>
      <c r="D118" s="124">
        <f t="shared" si="219"/>
        <v>0.55801149376300918</v>
      </c>
      <c r="E118" s="124">
        <f t="shared" si="219"/>
        <v>0.57610953803853293</v>
      </c>
      <c r="F118" s="124">
        <f t="shared" si="219"/>
        <v>0.57295169692427761</v>
      </c>
      <c r="G118" s="124">
        <f t="shared" si="219"/>
        <v>0.57686459235097265</v>
      </c>
      <c r="H118" s="124">
        <f t="shared" si="219"/>
        <v>0.58513200749102101</v>
      </c>
      <c r="I118" s="124">
        <f t="shared" si="219"/>
        <v>0.58249923468727305</v>
      </c>
      <c r="J118" s="124">
        <f t="shared" si="219"/>
        <v>0.57707952792429262</v>
      </c>
      <c r="K118" s="124">
        <f t="shared" ref="K118:V118" si="224">IF(K17=0,0,K17/K$15)</f>
        <v>0.59095524714437797</v>
      </c>
      <c r="L118" s="124">
        <f t="shared" si="224"/>
        <v>0.59480955812482428</v>
      </c>
      <c r="M118" s="124">
        <f t="shared" si="224"/>
        <v>0.58731412248828996</v>
      </c>
      <c r="N118" s="124">
        <f t="shared" si="224"/>
        <v>0.58506031837676642</v>
      </c>
      <c r="O118" s="124">
        <f t="shared" si="224"/>
        <v>0.58757325050084497</v>
      </c>
      <c r="P118" s="124">
        <f t="shared" si="224"/>
        <v>0.59046493352488394</v>
      </c>
      <c r="Q118" s="124">
        <f t="shared" si="224"/>
        <v>0.60157452390729904</v>
      </c>
      <c r="R118" s="124">
        <f t="shared" si="224"/>
        <v>0.60294991199069314</v>
      </c>
      <c r="S118" s="124">
        <f t="shared" si="224"/>
        <v>0.58463610575012792</v>
      </c>
      <c r="T118" s="124">
        <f t="shared" si="224"/>
        <v>0.57755579741311691</v>
      </c>
      <c r="U118" s="124">
        <f t="shared" si="224"/>
        <v>0.57275101912907134</v>
      </c>
      <c r="V118" s="124">
        <f t="shared" si="224"/>
        <v>0.58191250641764125</v>
      </c>
      <c r="W118" s="124">
        <f t="shared" ref="W118:Y118" si="225">IF(W17=0,0,W17/W$15)</f>
        <v>0.54467650183096039</v>
      </c>
      <c r="X118" s="124">
        <f t="shared" si="225"/>
        <v>0.56250948996756323</v>
      </c>
      <c r="Y118" s="124">
        <f t="shared" si="225"/>
        <v>0.60499455386348855</v>
      </c>
      <c r="DA118" s="176"/>
    </row>
    <row r="119" spans="1:105" ht="11.45" customHeight="1" x14ac:dyDescent="0.25">
      <c r="A119" s="111" t="s">
        <v>92</v>
      </c>
      <c r="B119" s="125">
        <f t="shared" si="219"/>
        <v>0.16967271815399956</v>
      </c>
      <c r="C119" s="125">
        <f t="shared" si="219"/>
        <v>0.1409182655491576</v>
      </c>
      <c r="D119" s="125">
        <f t="shared" si="219"/>
        <v>0.1441331167667538</v>
      </c>
      <c r="E119" s="125">
        <f t="shared" si="219"/>
        <v>0.13495675852814387</v>
      </c>
      <c r="F119" s="125">
        <f t="shared" si="219"/>
        <v>0.1376992157491044</v>
      </c>
      <c r="G119" s="125">
        <f t="shared" si="219"/>
        <v>0.12664335298765028</v>
      </c>
      <c r="H119" s="125">
        <f t="shared" si="219"/>
        <v>0.12136414746766226</v>
      </c>
      <c r="I119" s="125">
        <f t="shared" si="219"/>
        <v>0.11215160482992585</v>
      </c>
      <c r="J119" s="125">
        <f t="shared" si="219"/>
        <v>0.11134182352755642</v>
      </c>
      <c r="K119" s="125">
        <f t="shared" ref="K119:V119" si="226">IF(K18=0,0,K18/K$15)</f>
        <v>0.1110833416134817</v>
      </c>
      <c r="L119" s="125">
        <f t="shared" si="226"/>
        <v>0.10726071270109305</v>
      </c>
      <c r="M119" s="125">
        <f t="shared" si="226"/>
        <v>0.11116847946878954</v>
      </c>
      <c r="N119" s="125">
        <f t="shared" si="226"/>
        <v>0.10309612056573353</v>
      </c>
      <c r="O119" s="125">
        <f t="shared" si="226"/>
        <v>0.10061159374874619</v>
      </c>
      <c r="P119" s="125">
        <f t="shared" si="226"/>
        <v>9.6620174450356977E-2</v>
      </c>
      <c r="Q119" s="125">
        <f t="shared" si="226"/>
        <v>9.5792949371636002E-2</v>
      </c>
      <c r="R119" s="125">
        <f t="shared" si="226"/>
        <v>8.65040724799927E-2</v>
      </c>
      <c r="S119" s="125">
        <f t="shared" si="226"/>
        <v>9.363742650039214E-2</v>
      </c>
      <c r="T119" s="125">
        <f t="shared" si="226"/>
        <v>8.8032881955008566E-2</v>
      </c>
      <c r="U119" s="125">
        <f t="shared" si="226"/>
        <v>8.9099458498479125E-2</v>
      </c>
      <c r="V119" s="125">
        <f t="shared" si="226"/>
        <v>9.1081535876662512E-2</v>
      </c>
      <c r="W119" s="125">
        <f t="shared" ref="W119:Y119" si="227">IF(W18=0,0,W18/W$15)</f>
        <v>9.2200445051184465E-2</v>
      </c>
      <c r="X119" s="125">
        <f t="shared" si="227"/>
        <v>9.4090420549713616E-2</v>
      </c>
      <c r="Y119" s="125">
        <f t="shared" si="227"/>
        <v>8.2954461910752467E-2</v>
      </c>
      <c r="DA119" s="171"/>
    </row>
    <row r="120" spans="1:105" ht="11.45" customHeight="1" x14ac:dyDescent="0.25">
      <c r="A120" s="111" t="s">
        <v>93</v>
      </c>
      <c r="B120" s="125">
        <f t="shared" si="219"/>
        <v>0.44433379353345082</v>
      </c>
      <c r="C120" s="125">
        <f t="shared" si="219"/>
        <v>0.42521688667454705</v>
      </c>
      <c r="D120" s="125">
        <f t="shared" si="219"/>
        <v>0.4138783769962554</v>
      </c>
      <c r="E120" s="125">
        <f t="shared" si="219"/>
        <v>0.44115277951038911</v>
      </c>
      <c r="F120" s="125">
        <f t="shared" si="219"/>
        <v>0.43525248117517312</v>
      </c>
      <c r="G120" s="125">
        <f t="shared" si="219"/>
        <v>0.45022123936332237</v>
      </c>
      <c r="H120" s="125">
        <f t="shared" si="219"/>
        <v>0.46376786002335879</v>
      </c>
      <c r="I120" s="125">
        <f t="shared" si="219"/>
        <v>0.47034762985734724</v>
      </c>
      <c r="J120" s="125">
        <f t="shared" si="219"/>
        <v>0.46573770439673623</v>
      </c>
      <c r="K120" s="125">
        <f t="shared" ref="K120:V120" si="228">IF(K19=0,0,K19/K$15)</f>
        <v>0.47987190553089626</v>
      </c>
      <c r="L120" s="125">
        <f t="shared" si="228"/>
        <v>0.48754884542373123</v>
      </c>
      <c r="M120" s="125">
        <f t="shared" si="228"/>
        <v>0.47614564301950041</v>
      </c>
      <c r="N120" s="125">
        <f t="shared" si="228"/>
        <v>0.48196419781103295</v>
      </c>
      <c r="O120" s="125">
        <f t="shared" si="228"/>
        <v>0.48696165675209879</v>
      </c>
      <c r="P120" s="125">
        <f t="shared" si="228"/>
        <v>0.49384475907452696</v>
      </c>
      <c r="Q120" s="125">
        <f t="shared" si="228"/>
        <v>0.50578157453566308</v>
      </c>
      <c r="R120" s="125">
        <f t="shared" si="228"/>
        <v>0.51644583951070044</v>
      </c>
      <c r="S120" s="125">
        <f t="shared" si="228"/>
        <v>0.49099867924973578</v>
      </c>
      <c r="T120" s="125">
        <f t="shared" si="228"/>
        <v>0.48952291545810828</v>
      </c>
      <c r="U120" s="125">
        <f t="shared" si="228"/>
        <v>0.48365156063059228</v>
      </c>
      <c r="V120" s="125">
        <f t="shared" si="228"/>
        <v>0.49083097054097879</v>
      </c>
      <c r="W120" s="125">
        <f t="shared" ref="W120:Y120" si="229">IF(W19=0,0,W19/W$15)</f>
        <v>0.45247605677977587</v>
      </c>
      <c r="X120" s="125">
        <f t="shared" si="229"/>
        <v>0.46841906941784961</v>
      </c>
      <c r="Y120" s="125">
        <f t="shared" si="229"/>
        <v>0.52204009195273604</v>
      </c>
      <c r="DA120" s="171"/>
    </row>
    <row r="121" spans="1:105" ht="11.45" customHeight="1" x14ac:dyDescent="0.25">
      <c r="A121" s="112" t="s">
        <v>25</v>
      </c>
      <c r="B121" s="126">
        <f t="shared" si="219"/>
        <v>0.19965361570388721</v>
      </c>
      <c r="C121" s="126">
        <f t="shared" si="219"/>
        <v>0.23222675129753215</v>
      </c>
      <c r="D121" s="126">
        <f t="shared" si="219"/>
        <v>0.23992453922697321</v>
      </c>
      <c r="E121" s="126">
        <f t="shared" si="219"/>
        <v>0.2268575628511238</v>
      </c>
      <c r="F121" s="126">
        <f t="shared" si="219"/>
        <v>0.22366401247405163</v>
      </c>
      <c r="G121" s="126">
        <f t="shared" si="219"/>
        <v>0.22146882848457106</v>
      </c>
      <c r="H121" s="126">
        <f t="shared" si="219"/>
        <v>0.21737454020367022</v>
      </c>
      <c r="I121" s="126">
        <f t="shared" si="219"/>
        <v>0.22396122309511049</v>
      </c>
      <c r="J121" s="126">
        <f t="shared" si="219"/>
        <v>0.2280063876742229</v>
      </c>
      <c r="K121" s="126">
        <f t="shared" ref="K121:V121" si="230">IF(K20=0,0,K20/K$15)</f>
        <v>0.22994872567613803</v>
      </c>
      <c r="L121" s="126">
        <f t="shared" si="230"/>
        <v>0.22458235788747119</v>
      </c>
      <c r="M121" s="126">
        <f t="shared" si="230"/>
        <v>0.22966335804996735</v>
      </c>
      <c r="N121" s="126">
        <f t="shared" si="230"/>
        <v>0.2305053232011825</v>
      </c>
      <c r="O121" s="126">
        <f t="shared" si="230"/>
        <v>0.22447074729801245</v>
      </c>
      <c r="P121" s="126">
        <f t="shared" si="230"/>
        <v>0.21762464563030806</v>
      </c>
      <c r="Q121" s="126">
        <f t="shared" si="230"/>
        <v>0.2102346462957648</v>
      </c>
      <c r="R121" s="126">
        <f t="shared" si="230"/>
        <v>0.20711506341619709</v>
      </c>
      <c r="S121" s="126">
        <f t="shared" si="230"/>
        <v>0.2220598235538182</v>
      </c>
      <c r="T121" s="126">
        <f t="shared" si="230"/>
        <v>0.21548296790442312</v>
      </c>
      <c r="U121" s="126">
        <f t="shared" si="230"/>
        <v>0.22487474777450397</v>
      </c>
      <c r="V121" s="126">
        <f t="shared" si="230"/>
        <v>0.22745317903703316</v>
      </c>
      <c r="W121" s="126">
        <f t="shared" ref="W121:Y121" si="231">IF(W20=0,0,W20/W$15)</f>
        <v>0.24975115852572694</v>
      </c>
      <c r="X121" s="126">
        <f t="shared" si="231"/>
        <v>0.25496866930840684</v>
      </c>
      <c r="Y121" s="126">
        <f t="shared" si="231"/>
        <v>0.23468620841118354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0.15473361230402688</v>
      </c>
      <c r="C123" s="125">
        <f t="shared" si="232"/>
        <v>0.13510601961878538</v>
      </c>
      <c r="D123" s="125">
        <f t="shared" si="232"/>
        <v>0.13731541531433064</v>
      </c>
      <c r="E123" s="125">
        <f t="shared" si="232"/>
        <v>0.11560591552445731</v>
      </c>
      <c r="F123" s="125">
        <f t="shared" si="232"/>
        <v>9.6007322960829672E-2</v>
      </c>
      <c r="G123" s="125">
        <f t="shared" si="232"/>
        <v>9.0859936298523347E-2</v>
      </c>
      <c r="H123" s="125">
        <f t="shared" si="232"/>
        <v>8.5419607184034546E-2</v>
      </c>
      <c r="I123" s="125">
        <f t="shared" si="232"/>
        <v>8.5375494141781083E-2</v>
      </c>
      <c r="J123" s="125">
        <f t="shared" si="232"/>
        <v>8.9449420342467723E-2</v>
      </c>
      <c r="K123" s="125">
        <f t="shared" ref="K123:V123" si="235">IF(K22=0,0,K22/K$21)</f>
        <v>8.1684137561676057E-2</v>
      </c>
      <c r="L123" s="125">
        <f t="shared" si="235"/>
        <v>7.6999882617179688E-2</v>
      </c>
      <c r="M123" s="125">
        <f t="shared" si="235"/>
        <v>8.7758769109387083E-2</v>
      </c>
      <c r="N123" s="125">
        <f t="shared" si="235"/>
        <v>7.344327443712631E-2</v>
      </c>
      <c r="O123" s="125">
        <f t="shared" si="235"/>
        <v>6.7389179109822769E-2</v>
      </c>
      <c r="P123" s="125">
        <f t="shared" si="235"/>
        <v>6.3544611067666276E-2</v>
      </c>
      <c r="Q123" s="125">
        <f t="shared" si="235"/>
        <v>6.5949229738448217E-2</v>
      </c>
      <c r="R123" s="125">
        <f t="shared" si="235"/>
        <v>6.5542163257737929E-2</v>
      </c>
      <c r="S123" s="125">
        <f t="shared" si="235"/>
        <v>6.7997560837519774E-2</v>
      </c>
      <c r="T123" s="125">
        <f t="shared" si="235"/>
        <v>6.2520096665385966E-2</v>
      </c>
      <c r="U123" s="125">
        <f t="shared" si="235"/>
        <v>6.8130953239478126E-2</v>
      </c>
      <c r="V123" s="125">
        <f t="shared" si="235"/>
        <v>6.7953209319584554E-2</v>
      </c>
      <c r="W123" s="125">
        <f t="shared" ref="W123:Y123" si="236">IF(W22=0,0,W22/W$21)</f>
        <v>8.0700700291112856E-2</v>
      </c>
      <c r="X123" s="125">
        <f t="shared" si="236"/>
        <v>7.2655169833891739E-2</v>
      </c>
      <c r="Y123" s="125">
        <f t="shared" si="236"/>
        <v>6.1718005861835533E-2</v>
      </c>
      <c r="DA123" s="171"/>
    </row>
    <row r="124" spans="1:105" ht="11.45" customHeight="1" x14ac:dyDescent="0.25">
      <c r="A124" s="85" t="s">
        <v>93</v>
      </c>
      <c r="B124" s="127">
        <f t="shared" si="232"/>
        <v>0.84526638769597318</v>
      </c>
      <c r="C124" s="127">
        <f t="shared" si="232"/>
        <v>0.86489398038121468</v>
      </c>
      <c r="D124" s="127">
        <f t="shared" si="232"/>
        <v>0.86268458468566933</v>
      </c>
      <c r="E124" s="127">
        <f t="shared" si="232"/>
        <v>0.88439408447554257</v>
      </c>
      <c r="F124" s="127">
        <f t="shared" si="232"/>
        <v>0.90399267703917041</v>
      </c>
      <c r="G124" s="127">
        <f t="shared" si="232"/>
        <v>0.9091400637014766</v>
      </c>
      <c r="H124" s="127">
        <f t="shared" si="232"/>
        <v>0.91458039281596548</v>
      </c>
      <c r="I124" s="127">
        <f t="shared" si="232"/>
        <v>0.91462450585821886</v>
      </c>
      <c r="J124" s="127">
        <f t="shared" si="232"/>
        <v>0.91055057965753228</v>
      </c>
      <c r="K124" s="127">
        <f t="shared" ref="K124:V124" si="237">IF(K23=0,0,K23/K$21)</f>
        <v>0.91831586243832397</v>
      </c>
      <c r="L124" s="127">
        <f t="shared" si="237"/>
        <v>0.92300011738282028</v>
      </c>
      <c r="M124" s="127">
        <f t="shared" si="237"/>
        <v>0.91224123089061293</v>
      </c>
      <c r="N124" s="127">
        <f t="shared" si="237"/>
        <v>0.92655672556287372</v>
      </c>
      <c r="O124" s="127">
        <f t="shared" si="237"/>
        <v>0.93261082089017722</v>
      </c>
      <c r="P124" s="127">
        <f t="shared" si="237"/>
        <v>0.93645538893233371</v>
      </c>
      <c r="Q124" s="127">
        <f t="shared" si="237"/>
        <v>0.93405077026155181</v>
      </c>
      <c r="R124" s="127">
        <f t="shared" si="237"/>
        <v>0.93445783674226213</v>
      </c>
      <c r="S124" s="127">
        <f t="shared" si="237"/>
        <v>0.93200243916248016</v>
      </c>
      <c r="T124" s="127">
        <f t="shared" si="237"/>
        <v>0.93747990333461406</v>
      </c>
      <c r="U124" s="127">
        <f t="shared" si="237"/>
        <v>0.93186904676052185</v>
      </c>
      <c r="V124" s="127">
        <f t="shared" si="237"/>
        <v>0.9320467906804154</v>
      </c>
      <c r="W124" s="127">
        <f t="shared" ref="W124:Y124" si="238">IF(W23=0,0,W23/W$21)</f>
        <v>0.91929929970888713</v>
      </c>
      <c r="X124" s="127">
        <f t="shared" si="238"/>
        <v>0.92734483016610825</v>
      </c>
      <c r="Y124" s="127">
        <f t="shared" si="238"/>
        <v>0.93828199413816449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1181.2791917454856</v>
      </c>
      <c r="C4" s="146">
        <f t="shared" ref="C4:V4" si="0">SUM(C5,C8)</f>
        <v>1068.4102321582116</v>
      </c>
      <c r="D4" s="146">
        <f t="shared" si="0"/>
        <v>1086.0036113499568</v>
      </c>
      <c r="E4" s="146">
        <f t="shared" si="0"/>
        <v>1080.6447979363713</v>
      </c>
      <c r="F4" s="146">
        <f t="shared" si="0"/>
        <v>1100.0055889939811</v>
      </c>
      <c r="G4" s="146">
        <f t="shared" si="0"/>
        <v>1063.6049871023215</v>
      </c>
      <c r="H4" s="146">
        <f t="shared" si="0"/>
        <v>1066.8865004299225</v>
      </c>
      <c r="I4" s="146">
        <f t="shared" si="0"/>
        <v>1056.596732588134</v>
      </c>
      <c r="J4" s="146">
        <f t="shared" si="0"/>
        <v>1097.4251934651761</v>
      </c>
      <c r="K4" s="146">
        <f t="shared" si="0"/>
        <v>1050.8068787618229</v>
      </c>
      <c r="L4" s="146">
        <f t="shared" si="0"/>
        <v>1037.0204643164229</v>
      </c>
      <c r="M4" s="146">
        <f t="shared" si="0"/>
        <v>1018.1877901977643</v>
      </c>
      <c r="N4" s="146">
        <f t="shared" si="0"/>
        <v>1019.2185726569218</v>
      </c>
      <c r="O4" s="146">
        <f t="shared" si="0"/>
        <v>1024.5395528804816</v>
      </c>
      <c r="P4" s="146">
        <f t="shared" si="0"/>
        <v>988.17317282889076</v>
      </c>
      <c r="Q4" s="146">
        <f t="shared" si="0"/>
        <v>1000.9177987962166</v>
      </c>
      <c r="R4" s="146">
        <f t="shared" si="0"/>
        <v>963.77962166809948</v>
      </c>
      <c r="S4" s="146">
        <f t="shared" si="0"/>
        <v>966.11969045571789</v>
      </c>
      <c r="T4" s="146">
        <f t="shared" si="0"/>
        <v>906.59286328460871</v>
      </c>
      <c r="U4" s="146">
        <f t="shared" si="0"/>
        <v>902.11169389509882</v>
      </c>
      <c r="V4" s="146">
        <f t="shared" si="0"/>
        <v>736.82975064488392</v>
      </c>
      <c r="W4" s="146">
        <f t="shared" ref="W4:Y4" si="1">SUM(W5,W8)</f>
        <v>822.19879621668099</v>
      </c>
      <c r="X4" s="146">
        <f t="shared" si="1"/>
        <v>888.80103181427341</v>
      </c>
      <c r="Y4" s="146">
        <f t="shared" si="1"/>
        <v>962.77858985382613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374.74436801375737</v>
      </c>
      <c r="C5" s="101">
        <f t="shared" ref="C5:V5" si="2">SUM(C6:C7)</f>
        <v>247.51599312123821</v>
      </c>
      <c r="D5" s="101">
        <f t="shared" si="2"/>
        <v>254.70524505588989</v>
      </c>
      <c r="E5" s="101">
        <f t="shared" si="2"/>
        <v>239.11427343078239</v>
      </c>
      <c r="F5" s="101">
        <f t="shared" si="2"/>
        <v>238.0967325881341</v>
      </c>
      <c r="G5" s="101">
        <f t="shared" si="2"/>
        <v>215.71160791057611</v>
      </c>
      <c r="H5" s="101">
        <f t="shared" si="2"/>
        <v>208.58899398108341</v>
      </c>
      <c r="I5" s="101">
        <f t="shared" si="2"/>
        <v>194.3439380911436</v>
      </c>
      <c r="J5" s="101">
        <f t="shared" si="2"/>
        <v>201.4664660361135</v>
      </c>
      <c r="K5" s="101">
        <f t="shared" si="2"/>
        <v>184.16887360275149</v>
      </c>
      <c r="L5" s="101">
        <f t="shared" si="2"/>
        <v>173.99380911435941</v>
      </c>
      <c r="M5" s="101">
        <f t="shared" si="2"/>
        <v>175.80902837489251</v>
      </c>
      <c r="N5" s="101">
        <f t="shared" si="2"/>
        <v>161.35331040412731</v>
      </c>
      <c r="O5" s="101">
        <f t="shared" si="2"/>
        <v>159.4647463456578</v>
      </c>
      <c r="P5" s="101">
        <f t="shared" si="2"/>
        <v>148.63852106620811</v>
      </c>
      <c r="Q5" s="101">
        <f t="shared" si="2"/>
        <v>151.0387790197764</v>
      </c>
      <c r="R5" s="101">
        <f t="shared" si="2"/>
        <v>132.7306964746345</v>
      </c>
      <c r="S5" s="101">
        <f t="shared" si="2"/>
        <v>140.54290627687018</v>
      </c>
      <c r="T5" s="101">
        <f t="shared" si="2"/>
        <v>125.14617368873603</v>
      </c>
      <c r="U5" s="101">
        <f t="shared" si="2"/>
        <v>125.43955288048151</v>
      </c>
      <c r="V5" s="101">
        <f t="shared" si="2"/>
        <v>104.44496990541703</v>
      </c>
      <c r="W5" s="101">
        <f t="shared" ref="W5:Y5" si="3">SUM(W6:W7)</f>
        <v>119.74823731728289</v>
      </c>
      <c r="X5" s="101">
        <f t="shared" si="3"/>
        <v>125.94754944110059</v>
      </c>
      <c r="Y5" s="101">
        <f t="shared" si="3"/>
        <v>119.75339638864999</v>
      </c>
      <c r="DA5" s="175"/>
    </row>
    <row r="6" spans="1:105" ht="11.45" customHeight="1" x14ac:dyDescent="0.25">
      <c r="A6" s="164" t="s">
        <v>175</v>
      </c>
      <c r="B6" s="165">
        <v>374.74436801375737</v>
      </c>
      <c r="C6" s="165">
        <v>247.51599312123821</v>
      </c>
      <c r="D6" s="165">
        <v>254.70524505588989</v>
      </c>
      <c r="E6" s="165">
        <v>239.11427343078239</v>
      </c>
      <c r="F6" s="165">
        <v>238.0967325881341</v>
      </c>
      <c r="G6" s="165">
        <v>215.71160791057611</v>
      </c>
      <c r="H6" s="165">
        <v>208.58899398108341</v>
      </c>
      <c r="I6" s="165">
        <v>194.3439380911436</v>
      </c>
      <c r="J6" s="165">
        <v>201.4664660361135</v>
      </c>
      <c r="K6" s="165">
        <v>184.16887360275149</v>
      </c>
      <c r="L6" s="165">
        <v>173.99380911435941</v>
      </c>
      <c r="M6" s="165">
        <v>175.80902837489251</v>
      </c>
      <c r="N6" s="165">
        <v>161.35331040412731</v>
      </c>
      <c r="O6" s="165">
        <v>159.4647463456578</v>
      </c>
      <c r="P6" s="165">
        <v>148.63852106620811</v>
      </c>
      <c r="Q6" s="165">
        <v>151.0387790197764</v>
      </c>
      <c r="R6" s="165">
        <v>128.61496130696469</v>
      </c>
      <c r="S6" s="165">
        <v>133.7483233018057</v>
      </c>
      <c r="T6" s="165">
        <v>117.19750644883921</v>
      </c>
      <c r="U6" s="165">
        <v>117.6238177128117</v>
      </c>
      <c r="V6" s="165">
        <v>97.963542562338773</v>
      </c>
      <c r="W6" s="165">
        <v>112.71332760103181</v>
      </c>
      <c r="X6" s="165">
        <v>115.5633705932932</v>
      </c>
      <c r="Y6" s="165">
        <v>108.992347377472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4.1157351676698193</v>
      </c>
      <c r="S7" s="167">
        <v>6.7945829750644879</v>
      </c>
      <c r="T7" s="167">
        <v>7.9486672398968166</v>
      </c>
      <c r="U7" s="167">
        <v>7.8157351676698186</v>
      </c>
      <c r="V7" s="167">
        <v>6.4814273430782459</v>
      </c>
      <c r="W7" s="167">
        <v>7.0349097162510743</v>
      </c>
      <c r="X7" s="167">
        <v>10.384178847807393</v>
      </c>
      <c r="Y7" s="167">
        <v>10.761049011177986</v>
      </c>
      <c r="DA7" s="177" t="s">
        <v>1105</v>
      </c>
    </row>
    <row r="8" spans="1:105" ht="11.45" customHeight="1" x14ac:dyDescent="0.25">
      <c r="A8" s="85" t="s">
        <v>91</v>
      </c>
      <c r="B8" s="88">
        <v>806.53482373172824</v>
      </c>
      <c r="C8" s="88">
        <v>820.89423903697332</v>
      </c>
      <c r="D8" s="88">
        <v>831.29836629406702</v>
      </c>
      <c r="E8" s="88">
        <v>841.53052450558891</v>
      </c>
      <c r="F8" s="88">
        <v>861.9088564058469</v>
      </c>
      <c r="G8" s="88">
        <v>847.89337919174545</v>
      </c>
      <c r="H8" s="88">
        <v>858.29750644883916</v>
      </c>
      <c r="I8" s="88">
        <v>862.25279449699053</v>
      </c>
      <c r="J8" s="88">
        <v>895.95872742906272</v>
      </c>
      <c r="K8" s="88">
        <v>866.63800515907133</v>
      </c>
      <c r="L8" s="88">
        <v>863.02665520206358</v>
      </c>
      <c r="M8" s="88">
        <v>842.37876182287187</v>
      </c>
      <c r="N8" s="88">
        <v>857.86526225279442</v>
      </c>
      <c r="O8" s="88">
        <v>865.07480653482367</v>
      </c>
      <c r="P8" s="88">
        <v>839.53465176268264</v>
      </c>
      <c r="Q8" s="88">
        <v>849.87901977644026</v>
      </c>
      <c r="R8" s="88">
        <v>831.04892519346504</v>
      </c>
      <c r="S8" s="88">
        <v>825.57678417884767</v>
      </c>
      <c r="T8" s="88">
        <v>781.44668959587273</v>
      </c>
      <c r="U8" s="88">
        <v>776.6721410146173</v>
      </c>
      <c r="V8" s="88">
        <v>632.38478073946692</v>
      </c>
      <c r="W8" s="88">
        <v>702.45055889939806</v>
      </c>
      <c r="X8" s="88">
        <v>762.85348237317282</v>
      </c>
      <c r="Y8" s="88">
        <v>843.02519346517613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1181.2791917454856</v>
      </c>
      <c r="C10" s="62">
        <f t="shared" ref="C10:V10" si="5">SUM(C11,C17)</f>
        <v>1068.4102321582118</v>
      </c>
      <c r="D10" s="62">
        <f t="shared" si="5"/>
        <v>1086.0036113499568</v>
      </c>
      <c r="E10" s="62">
        <f t="shared" si="5"/>
        <v>1080.6447979363716</v>
      </c>
      <c r="F10" s="62">
        <f t="shared" si="5"/>
        <v>1100.0055889939808</v>
      </c>
      <c r="G10" s="62">
        <f t="shared" si="5"/>
        <v>1063.6049871023217</v>
      </c>
      <c r="H10" s="62">
        <f t="shared" si="5"/>
        <v>1066.8865004299225</v>
      </c>
      <c r="I10" s="62">
        <f t="shared" si="5"/>
        <v>1056.5967325881343</v>
      </c>
      <c r="J10" s="62">
        <f t="shared" si="5"/>
        <v>1097.4251934651761</v>
      </c>
      <c r="K10" s="62">
        <f t="shared" si="5"/>
        <v>1050.8068787618229</v>
      </c>
      <c r="L10" s="62">
        <f t="shared" si="5"/>
        <v>1037.0204643164229</v>
      </c>
      <c r="M10" s="62">
        <f t="shared" si="5"/>
        <v>1018.1877901977642</v>
      </c>
      <c r="N10" s="62">
        <f t="shared" si="5"/>
        <v>1019.2185726569218</v>
      </c>
      <c r="O10" s="62">
        <f t="shared" si="5"/>
        <v>1024.5395528804816</v>
      </c>
      <c r="P10" s="62">
        <f t="shared" si="5"/>
        <v>988.17317282889076</v>
      </c>
      <c r="Q10" s="62">
        <f t="shared" si="5"/>
        <v>1000.9177987962166</v>
      </c>
      <c r="R10" s="62">
        <f t="shared" si="5"/>
        <v>963.77962166809959</v>
      </c>
      <c r="S10" s="62">
        <f t="shared" si="5"/>
        <v>966.11969045571777</v>
      </c>
      <c r="T10" s="62">
        <f t="shared" si="5"/>
        <v>906.59286328460871</v>
      </c>
      <c r="U10" s="62">
        <f t="shared" si="5"/>
        <v>902.11169389509882</v>
      </c>
      <c r="V10" s="62">
        <f t="shared" si="5"/>
        <v>736.82975064488392</v>
      </c>
      <c r="W10" s="62">
        <f t="shared" ref="W10:Y10" si="6">SUM(W11,W17)</f>
        <v>822.19879621668088</v>
      </c>
      <c r="X10" s="62">
        <f t="shared" si="6"/>
        <v>888.8010318142733</v>
      </c>
      <c r="Y10" s="62">
        <f t="shared" si="6"/>
        <v>962.77858985382613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862.92153771595008</v>
      </c>
      <c r="C11" s="29">
        <f t="shared" ref="C11:V11" si="8">SUM(C12,C13,C16)</f>
        <v>781.6157198200915</v>
      </c>
      <c r="D11" s="29">
        <f t="shared" si="8"/>
        <v>798.77220172579246</v>
      </c>
      <c r="E11" s="29">
        <f t="shared" si="8"/>
        <v>802.21046389195146</v>
      </c>
      <c r="F11" s="29">
        <f t="shared" si="8"/>
        <v>852.43636542520221</v>
      </c>
      <c r="G11" s="29">
        <f t="shared" si="8"/>
        <v>862.64991301694772</v>
      </c>
      <c r="H11" s="29">
        <f t="shared" si="8"/>
        <v>879.00713388366876</v>
      </c>
      <c r="I11" s="29">
        <f t="shared" si="8"/>
        <v>878.42121068815527</v>
      </c>
      <c r="J11" s="29">
        <f t="shared" si="8"/>
        <v>928.22657468838042</v>
      </c>
      <c r="K11" s="29">
        <f t="shared" si="8"/>
        <v>916.24319544259117</v>
      </c>
      <c r="L11" s="29">
        <f t="shared" si="8"/>
        <v>908.24762905037676</v>
      </c>
      <c r="M11" s="29">
        <f t="shared" si="8"/>
        <v>903.22811017009155</v>
      </c>
      <c r="N11" s="29">
        <f t="shared" si="8"/>
        <v>908.29936042386862</v>
      </c>
      <c r="O11" s="29">
        <f t="shared" si="8"/>
        <v>901.85887919859613</v>
      </c>
      <c r="P11" s="29">
        <f t="shared" si="8"/>
        <v>874.45603151842784</v>
      </c>
      <c r="Q11" s="29">
        <f t="shared" si="8"/>
        <v>885.08328277033593</v>
      </c>
      <c r="R11" s="29">
        <f t="shared" si="8"/>
        <v>857.29962280577161</v>
      </c>
      <c r="S11" s="29">
        <f t="shared" si="8"/>
        <v>853.68940649555486</v>
      </c>
      <c r="T11" s="29">
        <f t="shared" si="8"/>
        <v>800.46857746249566</v>
      </c>
      <c r="U11" s="29">
        <f t="shared" si="8"/>
        <v>798.44027997708076</v>
      </c>
      <c r="V11" s="29">
        <f t="shared" si="8"/>
        <v>625.88919665784692</v>
      </c>
      <c r="W11" s="29">
        <f t="shared" ref="W11:Y11" si="9">SUM(W12,W13,W16)</f>
        <v>701.79213240500246</v>
      </c>
      <c r="X11" s="29">
        <f t="shared" si="9"/>
        <v>776.08247357827759</v>
      </c>
      <c r="Y11" s="29">
        <f t="shared" si="9"/>
        <v>865.60199183355121</v>
      </c>
      <c r="DA11" s="173" t="s">
        <v>395</v>
      </c>
    </row>
    <row r="12" spans="1:105" ht="11.45" customHeight="1" x14ac:dyDescent="0.25">
      <c r="A12" s="107" t="s">
        <v>23</v>
      </c>
      <c r="B12" s="115">
        <v>38.346859528036482</v>
      </c>
      <c r="C12" s="115">
        <v>40.070158084522468</v>
      </c>
      <c r="D12" s="115">
        <v>40.518375227317641</v>
      </c>
      <c r="E12" s="115">
        <v>41.489601957683426</v>
      </c>
      <c r="F12" s="115">
        <v>45.725551815046785</v>
      </c>
      <c r="G12" s="115">
        <v>44.773139213976897</v>
      </c>
      <c r="H12" s="115">
        <v>44.504875151104493</v>
      </c>
      <c r="I12" s="115">
        <v>43.300067404943036</v>
      </c>
      <c r="J12" s="115">
        <v>46.645271426868327</v>
      </c>
      <c r="K12" s="115">
        <v>41.686951786463311</v>
      </c>
      <c r="L12" s="115">
        <v>42.056443013276613</v>
      </c>
      <c r="M12" s="115">
        <v>42.465686199928342</v>
      </c>
      <c r="N12" s="115">
        <v>43.166241621599539</v>
      </c>
      <c r="O12" s="115">
        <v>44.226835556043582</v>
      </c>
      <c r="P12" s="115">
        <v>44.100128077497331</v>
      </c>
      <c r="Q12" s="115">
        <v>43.932002384172804</v>
      </c>
      <c r="R12" s="115">
        <v>43.444845418721627</v>
      </c>
      <c r="S12" s="115">
        <v>43.260522964460336</v>
      </c>
      <c r="T12" s="115">
        <v>44.143348989168963</v>
      </c>
      <c r="U12" s="115">
        <v>42.499688051833743</v>
      </c>
      <c r="V12" s="115">
        <v>31.02733196689341</v>
      </c>
      <c r="W12" s="115">
        <v>37.054467626372819</v>
      </c>
      <c r="X12" s="115">
        <v>35.675577796915881</v>
      </c>
      <c r="Y12" s="115">
        <v>35.347528201077125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596.46138524073058</v>
      </c>
      <c r="C13" s="116">
        <f t="shared" ref="C13:V13" si="11">SUM(C14:C15)</f>
        <v>481.86912016420229</v>
      </c>
      <c r="D13" s="116">
        <f t="shared" si="11"/>
        <v>483.16291830420028</v>
      </c>
      <c r="E13" s="116">
        <f t="shared" si="11"/>
        <v>491.18374931573351</v>
      </c>
      <c r="F13" s="116">
        <f t="shared" si="11"/>
        <v>518.20055411955764</v>
      </c>
      <c r="G13" s="116">
        <f t="shared" si="11"/>
        <v>524.59855928853176</v>
      </c>
      <c r="H13" s="116">
        <f t="shared" si="11"/>
        <v>535.79134007032212</v>
      </c>
      <c r="I13" s="116">
        <f t="shared" si="11"/>
        <v>525.47450042451192</v>
      </c>
      <c r="J13" s="116">
        <f t="shared" si="11"/>
        <v>540.08686840034295</v>
      </c>
      <c r="K13" s="116">
        <f t="shared" si="11"/>
        <v>535.59377551279101</v>
      </c>
      <c r="L13" s="116">
        <f t="shared" si="11"/>
        <v>535.26613077300851</v>
      </c>
      <c r="M13" s="116">
        <f t="shared" si="11"/>
        <v>525.90283141080045</v>
      </c>
      <c r="N13" s="116">
        <f t="shared" si="11"/>
        <v>523.12375570387212</v>
      </c>
      <c r="O13" s="116">
        <f t="shared" si="11"/>
        <v>520.41336309440067</v>
      </c>
      <c r="P13" s="116">
        <f t="shared" si="11"/>
        <v>506.6424978473662</v>
      </c>
      <c r="Q13" s="116">
        <f t="shared" si="11"/>
        <v>519.86209168020878</v>
      </c>
      <c r="R13" s="116">
        <f t="shared" si="11"/>
        <v>501.08293913010095</v>
      </c>
      <c r="S13" s="116">
        <f t="shared" si="11"/>
        <v>480.24291025931143</v>
      </c>
      <c r="T13" s="116">
        <f t="shared" si="11"/>
        <v>449.49834115143176</v>
      </c>
      <c r="U13" s="116">
        <f t="shared" si="11"/>
        <v>439.54883728413108</v>
      </c>
      <c r="V13" s="116">
        <f t="shared" si="11"/>
        <v>346.17570358173464</v>
      </c>
      <c r="W13" s="116">
        <f t="shared" ref="W13:Y13" si="12">SUM(W14:W15)</f>
        <v>361.71759369515763</v>
      </c>
      <c r="X13" s="116">
        <f t="shared" si="12"/>
        <v>404.44905786557808</v>
      </c>
      <c r="Y13" s="116">
        <f t="shared" si="12"/>
        <v>481.03928392893619</v>
      </c>
      <c r="DA13" s="176" t="s">
        <v>397</v>
      </c>
    </row>
    <row r="14" spans="1:105" ht="11.45" customHeight="1" x14ac:dyDescent="0.25">
      <c r="A14" s="111" t="s">
        <v>95</v>
      </c>
      <c r="B14" s="87">
        <v>262.49392068935975</v>
      </c>
      <c r="C14" s="87">
        <v>168.7484575124752</v>
      </c>
      <c r="D14" s="87">
        <v>174.22240537830413</v>
      </c>
      <c r="E14" s="87">
        <v>167.97473746229804</v>
      </c>
      <c r="F14" s="87">
        <v>182.83522407209531</v>
      </c>
      <c r="G14" s="87">
        <v>171.60420273871745</v>
      </c>
      <c r="H14" s="87">
        <v>168.36994058199397</v>
      </c>
      <c r="I14" s="87">
        <v>155.4569185849673</v>
      </c>
      <c r="J14" s="87">
        <v>162.22869507193121</v>
      </c>
      <c r="K14" s="87">
        <v>154.9004044994895</v>
      </c>
      <c r="L14" s="87">
        <v>147.2729946670849</v>
      </c>
      <c r="M14" s="87">
        <v>149.33075227487618</v>
      </c>
      <c r="N14" s="87">
        <v>139.47284125363029</v>
      </c>
      <c r="O14" s="87">
        <v>137.15846581354691</v>
      </c>
      <c r="P14" s="87">
        <v>128.72423802765314</v>
      </c>
      <c r="Q14" s="87">
        <v>130.07728949623157</v>
      </c>
      <c r="R14" s="87">
        <v>113.64936288787315</v>
      </c>
      <c r="S14" s="87">
        <v>119.82500179793348</v>
      </c>
      <c r="T14" s="87">
        <v>107.00544283083562</v>
      </c>
      <c r="U14" s="87">
        <v>106.36368346704313</v>
      </c>
      <c r="V14" s="87">
        <v>84.108290105683608</v>
      </c>
      <c r="W14" s="87">
        <v>94.157954323479601</v>
      </c>
      <c r="X14" s="87">
        <v>104.08470809120537</v>
      </c>
      <c r="Y14" s="87">
        <v>103.43117027106486</v>
      </c>
      <c r="DA14" s="171" t="s">
        <v>1108</v>
      </c>
    </row>
    <row r="15" spans="1:105" ht="11.45" customHeight="1" x14ac:dyDescent="0.25">
      <c r="A15" s="111" t="s">
        <v>93</v>
      </c>
      <c r="B15" s="87">
        <v>333.96746455137082</v>
      </c>
      <c r="C15" s="87">
        <v>313.12066265172712</v>
      </c>
      <c r="D15" s="87">
        <v>308.94051292589614</v>
      </c>
      <c r="E15" s="87">
        <v>323.20901185343547</v>
      </c>
      <c r="F15" s="87">
        <v>335.36533004746229</v>
      </c>
      <c r="G15" s="87">
        <v>352.99435654981426</v>
      </c>
      <c r="H15" s="87">
        <v>367.42139948832818</v>
      </c>
      <c r="I15" s="87">
        <v>370.01758183954462</v>
      </c>
      <c r="J15" s="87">
        <v>377.85817332841174</v>
      </c>
      <c r="K15" s="87">
        <v>380.69337101330149</v>
      </c>
      <c r="L15" s="87">
        <v>387.99313610592361</v>
      </c>
      <c r="M15" s="87">
        <v>376.57207913592424</v>
      </c>
      <c r="N15" s="87">
        <v>383.65091445024183</v>
      </c>
      <c r="O15" s="87">
        <v>383.2548972808537</v>
      </c>
      <c r="P15" s="87">
        <v>377.91825981971306</v>
      </c>
      <c r="Q15" s="87">
        <v>389.78480218397715</v>
      </c>
      <c r="R15" s="87">
        <v>387.43357624222779</v>
      </c>
      <c r="S15" s="87">
        <v>360.41790846137798</v>
      </c>
      <c r="T15" s="87">
        <v>342.49289832059617</v>
      </c>
      <c r="U15" s="87">
        <v>333.18515381708795</v>
      </c>
      <c r="V15" s="87">
        <v>262.06741347605106</v>
      </c>
      <c r="W15" s="87">
        <v>267.55963937167803</v>
      </c>
      <c r="X15" s="87">
        <v>300.36434977437273</v>
      </c>
      <c r="Y15" s="87">
        <v>377.60811365787134</v>
      </c>
      <c r="DA15" s="171" t="s">
        <v>1109</v>
      </c>
    </row>
    <row r="16" spans="1:105" ht="11.45" customHeight="1" x14ac:dyDescent="0.25">
      <c r="A16" s="112" t="s">
        <v>25</v>
      </c>
      <c r="B16" s="117">
        <v>228.11329294718306</v>
      </c>
      <c r="C16" s="117">
        <v>259.67644157136664</v>
      </c>
      <c r="D16" s="117">
        <v>275.09090819427462</v>
      </c>
      <c r="E16" s="117">
        <v>269.53711261853448</v>
      </c>
      <c r="F16" s="117">
        <v>288.51025949059783</v>
      </c>
      <c r="G16" s="117">
        <v>293.27821451443901</v>
      </c>
      <c r="H16" s="117">
        <v>298.71091866224219</v>
      </c>
      <c r="I16" s="117">
        <v>309.6466428587002</v>
      </c>
      <c r="J16" s="117">
        <v>341.49443486116911</v>
      </c>
      <c r="K16" s="117">
        <v>338.96246814333688</v>
      </c>
      <c r="L16" s="117">
        <v>330.92505526409161</v>
      </c>
      <c r="M16" s="117">
        <v>334.8595925593628</v>
      </c>
      <c r="N16" s="117">
        <v>342.00936309839693</v>
      </c>
      <c r="O16" s="117">
        <v>337.21868054815184</v>
      </c>
      <c r="P16" s="117">
        <v>323.71340559356429</v>
      </c>
      <c r="Q16" s="117">
        <v>321.28918870595436</v>
      </c>
      <c r="R16" s="117">
        <v>312.77183825694897</v>
      </c>
      <c r="S16" s="117">
        <v>330.18597327178315</v>
      </c>
      <c r="T16" s="117">
        <v>306.82688732189496</v>
      </c>
      <c r="U16" s="117">
        <v>316.39175464111588</v>
      </c>
      <c r="V16" s="117">
        <v>248.68616110921886</v>
      </c>
      <c r="W16" s="117">
        <v>303.02007108347203</v>
      </c>
      <c r="X16" s="117">
        <v>335.95783791578367</v>
      </c>
      <c r="Y16" s="117">
        <v>349.2151797035379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318.35765402953547</v>
      </c>
      <c r="C17" s="29">
        <f t="shared" si="13"/>
        <v>286.79451233812017</v>
      </c>
      <c r="D17" s="29">
        <f t="shared" si="13"/>
        <v>287.23140962416437</v>
      </c>
      <c r="E17" s="29">
        <f t="shared" si="13"/>
        <v>278.43433404441998</v>
      </c>
      <c r="F17" s="29">
        <f t="shared" si="13"/>
        <v>247.56922356877874</v>
      </c>
      <c r="G17" s="29">
        <f t="shared" si="13"/>
        <v>200.95507408537401</v>
      </c>
      <c r="H17" s="29">
        <f t="shared" si="13"/>
        <v>187.87936654625383</v>
      </c>
      <c r="I17" s="29">
        <f t="shared" si="13"/>
        <v>178.17552189997892</v>
      </c>
      <c r="J17" s="29">
        <f t="shared" si="13"/>
        <v>169.19861877679574</v>
      </c>
      <c r="K17" s="29">
        <f t="shared" si="13"/>
        <v>134.56368331923176</v>
      </c>
      <c r="L17" s="29">
        <f t="shared" si="13"/>
        <v>128.77283526604617</v>
      </c>
      <c r="M17" s="29">
        <f t="shared" si="13"/>
        <v>114.95968002767272</v>
      </c>
      <c r="N17" s="29">
        <f t="shared" si="13"/>
        <v>110.91921223305316</v>
      </c>
      <c r="O17" s="29">
        <f t="shared" si="13"/>
        <v>122.68067368188547</v>
      </c>
      <c r="P17" s="29">
        <f t="shared" si="13"/>
        <v>113.71714131046292</v>
      </c>
      <c r="Q17" s="29">
        <f t="shared" si="13"/>
        <v>115.83451602588076</v>
      </c>
      <c r="R17" s="29">
        <f t="shared" si="13"/>
        <v>106.47999886232799</v>
      </c>
      <c r="S17" s="29">
        <f t="shared" si="13"/>
        <v>112.43028396016295</v>
      </c>
      <c r="T17" s="29">
        <f t="shared" si="13"/>
        <v>106.12428582211302</v>
      </c>
      <c r="U17" s="29">
        <f t="shared" si="13"/>
        <v>103.67141391801805</v>
      </c>
      <c r="V17" s="29">
        <f t="shared" si="13"/>
        <v>110.94055398703699</v>
      </c>
      <c r="W17" s="29">
        <f t="shared" si="13"/>
        <v>120.40666381167847</v>
      </c>
      <c r="X17" s="29">
        <f t="shared" ref="X17:Y17" si="14">SUM(X18:X19)</f>
        <v>112.71855823599576</v>
      </c>
      <c r="Y17" s="29">
        <f t="shared" si="14"/>
        <v>97.176598020274938</v>
      </c>
      <c r="DA17" s="173" t="s">
        <v>402</v>
      </c>
    </row>
    <row r="18" spans="1:105" ht="11.45" customHeight="1" x14ac:dyDescent="0.25">
      <c r="A18" s="83" t="s">
        <v>95</v>
      </c>
      <c r="B18" s="87">
        <v>112.25044732439763</v>
      </c>
      <c r="C18" s="87">
        <v>78.767535608763012</v>
      </c>
      <c r="D18" s="87">
        <v>80.482839677585758</v>
      </c>
      <c r="E18" s="87">
        <v>71.139535968484367</v>
      </c>
      <c r="F18" s="87">
        <v>55.261508516038802</v>
      </c>
      <c r="G18" s="87">
        <v>44.107405171858659</v>
      </c>
      <c r="H18" s="87">
        <v>40.219053399089432</v>
      </c>
      <c r="I18" s="87">
        <v>38.887019506176308</v>
      </c>
      <c r="J18" s="87">
        <v>39.237770964182282</v>
      </c>
      <c r="K18" s="87">
        <v>29.268469103261985</v>
      </c>
      <c r="L18" s="87">
        <v>26.720814447274506</v>
      </c>
      <c r="M18" s="87">
        <v>26.478276100016327</v>
      </c>
      <c r="N18" s="87">
        <v>21.880469150497021</v>
      </c>
      <c r="O18" s="87">
        <v>22.306280532110893</v>
      </c>
      <c r="P18" s="87">
        <v>19.91428303855497</v>
      </c>
      <c r="Q18" s="87">
        <v>20.961489523544834</v>
      </c>
      <c r="R18" s="87">
        <v>19.081333586761335</v>
      </c>
      <c r="S18" s="87">
        <v>20.717904478936688</v>
      </c>
      <c r="T18" s="87">
        <v>18.140730857900405</v>
      </c>
      <c r="U18" s="87">
        <v>19.075869413438379</v>
      </c>
      <c r="V18" s="87">
        <v>20.336679799733417</v>
      </c>
      <c r="W18" s="87">
        <v>25.590282993803282</v>
      </c>
      <c r="X18" s="87">
        <v>21.862841349895216</v>
      </c>
      <c r="Y18" s="87">
        <v>16.322226117585128</v>
      </c>
      <c r="DA18" s="171" t="s">
        <v>1110</v>
      </c>
    </row>
    <row r="19" spans="1:105" ht="11.45" customHeight="1" x14ac:dyDescent="0.25">
      <c r="A19" s="85" t="s">
        <v>93</v>
      </c>
      <c r="B19" s="88">
        <v>206.10720670513783</v>
      </c>
      <c r="C19" s="88">
        <v>208.02697672935716</v>
      </c>
      <c r="D19" s="88">
        <v>206.74856994657864</v>
      </c>
      <c r="E19" s="88">
        <v>207.2947980759356</v>
      </c>
      <c r="F19" s="88">
        <v>192.30771505273992</v>
      </c>
      <c r="G19" s="88">
        <v>156.84766891351535</v>
      </c>
      <c r="H19" s="88">
        <v>147.6603131471644</v>
      </c>
      <c r="I19" s="88">
        <v>139.28850239380262</v>
      </c>
      <c r="J19" s="88">
        <v>129.96084781261345</v>
      </c>
      <c r="K19" s="88">
        <v>105.29521421596978</v>
      </c>
      <c r="L19" s="88">
        <v>102.05202081877167</v>
      </c>
      <c r="M19" s="88">
        <v>88.481403927656388</v>
      </c>
      <c r="N19" s="88">
        <v>89.038743082556138</v>
      </c>
      <c r="O19" s="88">
        <v>100.37439314977458</v>
      </c>
      <c r="P19" s="88">
        <v>93.802858271907951</v>
      </c>
      <c r="Q19" s="88">
        <v>94.873026502335932</v>
      </c>
      <c r="R19" s="88">
        <v>87.398665275566657</v>
      </c>
      <c r="S19" s="88">
        <v>91.712379481226264</v>
      </c>
      <c r="T19" s="88">
        <v>87.983554964212615</v>
      </c>
      <c r="U19" s="88">
        <v>84.595544504579664</v>
      </c>
      <c r="V19" s="88">
        <v>90.603874187303575</v>
      </c>
      <c r="W19" s="88">
        <v>94.816380817875185</v>
      </c>
      <c r="X19" s="88">
        <v>90.855716886100538</v>
      </c>
      <c r="Y19" s="88">
        <v>80.854371902689806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212.44374981089749</v>
      </c>
      <c r="C23" s="62">
        <f>IF(C10=0,0,C10/TrRail_act!C14*100)</f>
        <v>197.26620654121123</v>
      </c>
      <c r="D23" s="62">
        <f>IF(D10=0,0,D10/TrRail_act!D14*100)</f>
        <v>195.42556057055748</v>
      </c>
      <c r="E23" s="62">
        <f>IF(E10=0,0,E10/TrRail_act!E14*100)</f>
        <v>185.00516865035772</v>
      </c>
      <c r="F23" s="62">
        <f>IF(F10=0,0,F10/TrRail_act!F14*100)</f>
        <v>179.23262688004007</v>
      </c>
      <c r="G23" s="62">
        <f>IF(G10=0,0,G10/TrRail_act!G14*100)</f>
        <v>173.29308356321852</v>
      </c>
      <c r="H23" s="62">
        <f>IF(H10=0,0,H10/TrRail_act!H14*100)</f>
        <v>169.11012110328099</v>
      </c>
      <c r="I23" s="62">
        <f>IF(I10=0,0,I10/TrRail_act!I14*100)</f>
        <v>166.19346836652454</v>
      </c>
      <c r="J23" s="62">
        <f>IF(J10=0,0,J10/TrRail_act!J14*100)</f>
        <v>162.01398609976243</v>
      </c>
      <c r="K23" s="62">
        <f>IF(K10=0,0,K10/TrRail_act!K14*100)</f>
        <v>159.93394402108171</v>
      </c>
      <c r="L23" s="62">
        <f>IF(L10=0,0,L10/TrRail_act!L14*100)</f>
        <v>157.25626687844186</v>
      </c>
      <c r="M23" s="62">
        <f>IF(M10=0,0,M10/TrRail_act!M14*100)</f>
        <v>155.84009355820328</v>
      </c>
      <c r="N23" s="62">
        <f>IF(N10=0,0,N10/TrRail_act!N14*100)</f>
        <v>152.24014612645288</v>
      </c>
      <c r="O23" s="62">
        <f>IF(O10=0,0,O10/TrRail_act!O14*100)</f>
        <v>148.24754797558694</v>
      </c>
      <c r="P23" s="62">
        <f>IF(P10=0,0,P10/TrRail_act!P14*100)</f>
        <v>144.36792557262615</v>
      </c>
      <c r="Q23" s="62">
        <f>IF(Q10=0,0,Q10/TrRail_act!Q14*100)</f>
        <v>141.48875073797879</v>
      </c>
      <c r="R23" s="62">
        <f>IF(R10=0,0,R10/TrRail_act!R14*100)</f>
        <v>138.03992977184558</v>
      </c>
      <c r="S23" s="62">
        <f>IF(S10=0,0,S10/TrRail_act!S14*100)</f>
        <v>139.2353452332566</v>
      </c>
      <c r="T23" s="62">
        <f>IF(T10=0,0,T10/TrRail_act!T14*100)</f>
        <v>136.17627142816167</v>
      </c>
      <c r="U23" s="62">
        <f>IF(U10=0,0,U10/TrRail_act!U14*100)</f>
        <v>137.17431432420514</v>
      </c>
      <c r="V23" s="62">
        <f>IF(V10=0,0,V10/TrRail_act!V14*100)</f>
        <v>139.02122111388283</v>
      </c>
      <c r="W23" s="62">
        <f>IF(W10=0,0,W10/TrRail_act!W14*100)</f>
        <v>140.43002587932341</v>
      </c>
      <c r="X23" s="62">
        <f>IF(X10=0,0,X10/TrRail_act!X14*100)</f>
        <v>141.83125788066855</v>
      </c>
      <c r="Y23" s="62">
        <f>IF(Y10=0,0,Y10/TrRail_act!Y14*100)</f>
        <v>139.28516225199431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191.95671784489875</v>
      </c>
      <c r="C24" s="29">
        <f>IF(C11=0,0,C11/TrRail_act!C15*100)</f>
        <v>178.40443692337391</v>
      </c>
      <c r="D24" s="29">
        <f>IF(D11=0,0,D11/TrRail_act!D15*100)</f>
        <v>177.12137716429103</v>
      </c>
      <c r="E24" s="29">
        <f>IF(E11=0,0,E11/TrRail_act!E15*100)</f>
        <v>169.51008511460907</v>
      </c>
      <c r="F24" s="29">
        <f>IF(F11=0,0,F11/TrRail_act!F15*100)</f>
        <v>167.30295460959488</v>
      </c>
      <c r="G24" s="29">
        <f>IF(G11=0,0,G11/TrRail_act!G15*100)</f>
        <v>164.29313641695666</v>
      </c>
      <c r="H24" s="29">
        <f>IF(H11=0,0,H11/TrRail_act!H15*100)</f>
        <v>161.4369738100427</v>
      </c>
      <c r="I24" s="29">
        <f>IF(I11=0,0,I11/TrRail_act!I15*100)</f>
        <v>159.28052358642569</v>
      </c>
      <c r="J24" s="29">
        <f>IF(J11=0,0,J11/TrRail_act!J15*100)</f>
        <v>155.89272038400651</v>
      </c>
      <c r="K24" s="29">
        <f>IF(K11=0,0,K11/TrRail_act!K15*100)</f>
        <v>155.37610810846638</v>
      </c>
      <c r="L24" s="29">
        <f>IF(L11=0,0,L11/TrRail_act!L15*100)</f>
        <v>152.96852074779878</v>
      </c>
      <c r="M24" s="29">
        <f>IF(M11=0,0,M11/TrRail_act!M15*100)</f>
        <v>151.91212175345319</v>
      </c>
      <c r="N24" s="29">
        <f>IF(N11=0,0,N11/TrRail_act!N15*100)</f>
        <v>148.89019695309364</v>
      </c>
      <c r="O24" s="29">
        <f>IF(O11=0,0,O11/TrRail_act!O15*100)</f>
        <v>144.54656726080381</v>
      </c>
      <c r="P24" s="29">
        <f>IF(P11=0,0,P11/TrRail_act!P15*100)</f>
        <v>141.11222629808657</v>
      </c>
      <c r="Q24" s="29">
        <f>IF(Q11=0,0,Q11/TrRail_act!Q15*100)</f>
        <v>138.30060864513908</v>
      </c>
      <c r="R24" s="29">
        <f>IF(R11=0,0,R11/TrRail_act!R15*100)</f>
        <v>135.04012464268732</v>
      </c>
      <c r="S24" s="29">
        <f>IF(S11=0,0,S11/TrRail_act!S15*100)</f>
        <v>136.17368796593945</v>
      </c>
      <c r="T24" s="29">
        <f>IF(T11=0,0,T11/TrRail_act!T15*100)</f>
        <v>133.04470550164308</v>
      </c>
      <c r="U24" s="29">
        <f>IF(U11=0,0,U11/TrRail_act!U15*100)</f>
        <v>134.08513152502306</v>
      </c>
      <c r="V24" s="29">
        <f>IF(V11=0,0,V11/TrRail_act!V15*100)</f>
        <v>135.09123078939203</v>
      </c>
      <c r="W24" s="29">
        <f>IF(W11=0,0,W11/TrRail_act!W15*100)</f>
        <v>136.37473349446037</v>
      </c>
      <c r="X24" s="29">
        <f>IF(X11=0,0,X11/TrRail_act!X15*100)</f>
        <v>138.77115884165474</v>
      </c>
      <c r="Y24" s="29">
        <f>IF(Y11=0,0,Y11/TrRail_act!Y15*100)</f>
        <v>136.98625668436145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45.777915712718077</v>
      </c>
      <c r="C25" s="115">
        <f>IF(C12=0,0,C12/TrRail_act!C16*100)</f>
        <v>45.358724405658727</v>
      </c>
      <c r="D25" s="115">
        <f>IF(D12=0,0,D12/TrRail_act!D16*100)</f>
        <v>44.464271864035851</v>
      </c>
      <c r="E25" s="115">
        <f>IF(E12=0,0,E12/TrRail_act!E16*100)</f>
        <v>44.494644394312736</v>
      </c>
      <c r="F25" s="115">
        <f>IF(F12=0,0,F12/TrRail_act!F16*100)</f>
        <v>44.124844950112077</v>
      </c>
      <c r="G25" s="115">
        <f>IF(G12=0,0,G12/TrRail_act!G16*100)</f>
        <v>42.283258834539865</v>
      </c>
      <c r="H25" s="115">
        <f>IF(H12=0,0,H12/TrRail_act!H16*100)</f>
        <v>41.387147388984999</v>
      </c>
      <c r="I25" s="115">
        <f>IF(I12=0,0,I12/TrRail_act!I16*100)</f>
        <v>40.567544731841657</v>
      </c>
      <c r="J25" s="115">
        <f>IF(J12=0,0,J12/TrRail_act!J16*100)</f>
        <v>40.191687426204368</v>
      </c>
      <c r="K25" s="115">
        <f>IF(K12=0,0,K12/TrRail_act!K16*100)</f>
        <v>39.471866606333052</v>
      </c>
      <c r="L25" s="115">
        <f>IF(L12=0,0,L12/TrRail_act!L16*100)</f>
        <v>39.218695822802992</v>
      </c>
      <c r="M25" s="115">
        <f>IF(M12=0,0,M12/TrRail_act!M16*100)</f>
        <v>39.023714089435671</v>
      </c>
      <c r="N25" s="115">
        <f>IF(N12=0,0,N12/TrRail_act!N16*100)</f>
        <v>38.365379992659818</v>
      </c>
      <c r="O25" s="115">
        <f>IF(O12=0,0,O12/TrRail_act!O16*100)</f>
        <v>37.71367588800058</v>
      </c>
      <c r="P25" s="115">
        <f>IF(P12=0,0,P12/TrRail_act!P16*100)</f>
        <v>37.082410654463509</v>
      </c>
      <c r="Q25" s="115">
        <f>IF(Q12=0,0,Q12/TrRail_act!Q16*100)</f>
        <v>36.477284019471263</v>
      </c>
      <c r="R25" s="115">
        <f>IF(R12=0,0,R12/TrRail_act!R16*100)</f>
        <v>36.029928182031448</v>
      </c>
      <c r="S25" s="115">
        <f>IF(S12=0,0,S12/TrRail_act!S16*100)</f>
        <v>35.69801541622963</v>
      </c>
      <c r="T25" s="115">
        <f>IF(T12=0,0,T12/TrRail_act!T16*100)</f>
        <v>35.451088954828911</v>
      </c>
      <c r="U25" s="115">
        <f>IF(U12=0,0,U12/TrRail_act!U16*100)</f>
        <v>35.267015639708113</v>
      </c>
      <c r="V25" s="115">
        <f>IF(V12=0,0,V12/TrRail_act!V16*100)</f>
        <v>35.129588147829374</v>
      </c>
      <c r="W25" s="115">
        <f>IF(W12=0,0,W12/TrRail_act!W16*100)</f>
        <v>35.026869077239567</v>
      </c>
      <c r="X25" s="115">
        <f>IF(X12=0,0,X12/TrRail_act!X16*100)</f>
        <v>34.950026940772752</v>
      </c>
      <c r="Y25" s="115">
        <f>IF(Y12=0,0,Y12/TrRail_act!Y16*100)</f>
        <v>34.892505971618604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216.09333033685704</v>
      </c>
      <c r="C26" s="116">
        <f>IF(C13=0,0,C13/TrRail_act!C17*100)</f>
        <v>194.27697834884495</v>
      </c>
      <c r="D26" s="116">
        <f>IF(D13=0,0,D13/TrRail_act!D17*100)</f>
        <v>191.99878882056501</v>
      </c>
      <c r="E26" s="116">
        <f>IF(E13=0,0,E13/TrRail_act!E17*100)</f>
        <v>180.15492692096998</v>
      </c>
      <c r="F26" s="116">
        <f>IF(F13=0,0,F13/TrRail_act!F17*100)</f>
        <v>177.50946092853653</v>
      </c>
      <c r="G26" s="116">
        <f>IF(G13=0,0,G13/TrRail_act!G17*100)</f>
        <v>173.19607598858323</v>
      </c>
      <c r="H26" s="116">
        <f>IF(H13=0,0,H13/TrRail_act!H17*100)</f>
        <v>168.17151742006308</v>
      </c>
      <c r="I26" s="116">
        <f>IF(I13=0,0,I13/TrRail_act!I17*100)</f>
        <v>163.57470571222905</v>
      </c>
      <c r="J26" s="116">
        <f>IF(J13=0,0,J13/TrRail_act!J17*100)</f>
        <v>157.18090608703858</v>
      </c>
      <c r="K26" s="116">
        <f>IF(K13=0,0,K13/TrRail_act!K17*100)</f>
        <v>153.6931120999005</v>
      </c>
      <c r="L26" s="116">
        <f>IF(L13=0,0,L13/TrRail_act!L17*100)</f>
        <v>151.56175289963133</v>
      </c>
      <c r="M26" s="116">
        <f>IF(M13=0,0,M13/TrRail_act!M17*100)</f>
        <v>150.6017607516402</v>
      </c>
      <c r="N26" s="116">
        <f>IF(N13=0,0,N13/TrRail_act!N17*100)</f>
        <v>146.56858502921904</v>
      </c>
      <c r="O26" s="116">
        <f>IF(O13=0,0,O13/TrRail_act!O17*100)</f>
        <v>141.95661030249727</v>
      </c>
      <c r="P26" s="116">
        <f>IF(P13=0,0,P13/TrRail_act!P17*100)</f>
        <v>138.46313849004846</v>
      </c>
      <c r="Q26" s="116">
        <f>IF(Q13=0,0,Q13/TrRail_act!Q17*100)</f>
        <v>135.03261160717378</v>
      </c>
      <c r="R26" s="116">
        <f>IF(R13=0,0,R13/TrRail_act!R17*100)</f>
        <v>130.90570607867505</v>
      </c>
      <c r="S26" s="116">
        <f>IF(S13=0,0,S13/TrRail_act!S17*100)</f>
        <v>131.02936507913356</v>
      </c>
      <c r="T26" s="116">
        <f>IF(T13=0,0,T13/TrRail_act!T17*100)</f>
        <v>129.35626101542044</v>
      </c>
      <c r="U26" s="116">
        <f>IF(U13=0,0,U13/TrRail_act!U17*100)</f>
        <v>128.87819620686159</v>
      </c>
      <c r="V26" s="116">
        <f>IF(V13=0,0,V13/TrRail_act!V17*100)</f>
        <v>128.4010560212682</v>
      </c>
      <c r="W26" s="116">
        <f>IF(W13=0,0,W13/TrRail_act!W17*100)</f>
        <v>129.04952585998913</v>
      </c>
      <c r="X26" s="116">
        <f>IF(X13=0,0,X13/TrRail_act!X17*100)</f>
        <v>128.56575766785454</v>
      </c>
      <c r="Y26" s="116">
        <f>IF(Y13=0,0,Y13/TrRail_act!Y17*100)</f>
        <v>125.83105280383545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344.14323692998482</v>
      </c>
      <c r="C27" s="87">
        <f>IF(C14=0,0,C14/TrRail_act!C18*100)</f>
        <v>273.32848135151539</v>
      </c>
      <c r="D27" s="87">
        <f>IF(D14=0,0,D14/TrRail_act!D18*100)</f>
        <v>268.03299876103796</v>
      </c>
      <c r="E27" s="87">
        <f>IF(E14=0,0,E14/TrRail_act!E18*100)</f>
        <v>263.00048647919607</v>
      </c>
      <c r="F27" s="87">
        <f>IF(F14=0,0,F14/TrRail_act!F18*100)</f>
        <v>260.59737913937585</v>
      </c>
      <c r="G27" s="87">
        <f>IF(G14=0,0,G14/TrRail_act!G18*100)</f>
        <v>258.06574265282183</v>
      </c>
      <c r="H27" s="87">
        <f>IF(H14=0,0,H14/TrRail_act!H18*100)</f>
        <v>254.79139543911757</v>
      </c>
      <c r="I27" s="87">
        <f>IF(I14=0,0,I14/TrRail_act!I18*100)</f>
        <v>251.34162771493158</v>
      </c>
      <c r="J27" s="87">
        <f>IF(J14=0,0,J14/TrRail_act!J18*100)</f>
        <v>244.70406442567628</v>
      </c>
      <c r="K27" s="87">
        <f>IF(K14=0,0,K14/TrRail_act!K18*100)</f>
        <v>236.47056701601716</v>
      </c>
      <c r="L27" s="87">
        <f>IF(L14=0,0,L14/TrRail_act!L18*100)</f>
        <v>231.24919718245366</v>
      </c>
      <c r="M27" s="87">
        <f>IF(M14=0,0,M14/TrRail_act!M18*100)</f>
        <v>225.92410565050386</v>
      </c>
      <c r="N27" s="87">
        <f>IF(N14=0,0,N14/TrRail_act!N18*100)</f>
        <v>221.76061676246655</v>
      </c>
      <c r="O27" s="87">
        <f>IF(O14=0,0,O14/TrRail_act!O18*100)</f>
        <v>218.49614905336736</v>
      </c>
      <c r="P27" s="87">
        <f>IF(P14=0,0,P14/TrRail_act!P18*100)</f>
        <v>214.99045484547958</v>
      </c>
      <c r="Q27" s="87">
        <f>IF(Q14=0,0,Q14/TrRail_act!Q18*100)</f>
        <v>212.18168165888639</v>
      </c>
      <c r="R27" s="87">
        <f>IF(R14=0,0,R14/TrRail_act!R18*100)</f>
        <v>206.94772144765093</v>
      </c>
      <c r="S27" s="87">
        <f>IF(S14=0,0,S14/TrRail_act!S18*100)</f>
        <v>204.12268966705068</v>
      </c>
      <c r="T27" s="87">
        <f>IF(T14=0,0,T14/TrRail_act!T18*100)</f>
        <v>202.0292526001727</v>
      </c>
      <c r="U27" s="87">
        <f>IF(U14=0,0,U14/TrRail_act!U18*100)</f>
        <v>200.47327645412318</v>
      </c>
      <c r="V27" s="87">
        <f>IF(V14=0,0,V14/TrRail_act!V18*100)</f>
        <v>199.31416371969354</v>
      </c>
      <c r="W27" s="87">
        <f>IF(W14=0,0,W14/TrRail_act!W18*100)</f>
        <v>198.44922938252353</v>
      </c>
      <c r="X27" s="87">
        <f>IF(X14=0,0,X14/TrRail_act!X18*100)</f>
        <v>197.80299270888955</v>
      </c>
      <c r="Y27" s="87">
        <f>IF(Y14=0,0,Y14/TrRail_act!Y18*100)</f>
        <v>197.31969660877581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167.19636137519714</v>
      </c>
      <c r="C28" s="87">
        <f>IF(C15=0,0,C15/TrRail_act!C19*100)</f>
        <v>168.07905196988503</v>
      </c>
      <c r="D28" s="87">
        <f>IF(D15=0,0,D15/TrRail_act!D19*100)</f>
        <v>165.51988035679369</v>
      </c>
      <c r="E28" s="87">
        <f>IF(E15=0,0,E15/TrRail_act!E19*100)</f>
        <v>154.81094475488874</v>
      </c>
      <c r="F28" s="87">
        <f>IF(F15=0,0,F15/TrRail_act!F19*100)</f>
        <v>151.22324391498282</v>
      </c>
      <c r="G28" s="87">
        <f>IF(G15=0,0,G15/TrRail_act!G19*100)</f>
        <v>149.32297047160927</v>
      </c>
      <c r="H28" s="87">
        <f>IF(H15=0,0,H15/TrRail_act!H19*100)</f>
        <v>145.50382404216072</v>
      </c>
      <c r="I28" s="87">
        <f>IF(I15=0,0,I15/TrRail_act!I19*100)</f>
        <v>142.64720331028991</v>
      </c>
      <c r="J28" s="87">
        <f>IF(J15=0,0,J15/TrRail_act!J19*100)</f>
        <v>136.25713728258344</v>
      </c>
      <c r="K28" s="87">
        <f>IF(K15=0,0,K15/TrRail_act!K19*100)</f>
        <v>134.53133955943755</v>
      </c>
      <c r="L28" s="87">
        <f>IF(L15=0,0,L15/TrRail_act!L19*100)</f>
        <v>134.03052059884385</v>
      </c>
      <c r="M28" s="87">
        <f>IF(M15=0,0,M15/TrRail_act!M19*100)</f>
        <v>133.01581688091684</v>
      </c>
      <c r="N28" s="87">
        <f>IF(N15=0,0,N15/TrRail_act!N19*100)</f>
        <v>130.48438872509286</v>
      </c>
      <c r="O28" s="87">
        <f>IF(O15=0,0,O15/TrRail_act!O19*100)</f>
        <v>126.14270612391989</v>
      </c>
      <c r="P28" s="87">
        <f>IF(P15=0,0,P15/TrRail_act!P19*100)</f>
        <v>123.49065468696823</v>
      </c>
      <c r="Q28" s="87">
        <f>IF(Q15=0,0,Q15/TrRail_act!Q19*100)</f>
        <v>120.42089513980885</v>
      </c>
      <c r="R28" s="87">
        <f>IF(R15=0,0,R15/TrRail_act!R19*100)</f>
        <v>118.1687576791395</v>
      </c>
      <c r="S28" s="87">
        <f>IF(S15=0,0,S15/TrRail_act!S19*100)</f>
        <v>117.08987583401236</v>
      </c>
      <c r="T28" s="87">
        <f>IF(T15=0,0,T15/TrRail_act!T19*100)</f>
        <v>116.28718357803271</v>
      </c>
      <c r="U28" s="87">
        <f>IF(U15=0,0,U15/TrRail_act!U19*100)</f>
        <v>115.68877762446515</v>
      </c>
      <c r="V28" s="87">
        <f>IF(V15=0,0,V15/TrRail_act!V19*100)</f>
        <v>115.24199485640123</v>
      </c>
      <c r="W28" s="87">
        <f>IF(W15=0,0,W15/TrRail_act!W19*100)</f>
        <v>114.90804045911143</v>
      </c>
      <c r="X28" s="87">
        <f>IF(X15=0,0,X15/TrRail_act!X19*100)</f>
        <v>114.65820994396141</v>
      </c>
      <c r="Y28" s="87">
        <f>IF(Y15=0,0,Y15/TrRail_act!Y19*100)</f>
        <v>114.47119353060324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254.1589578768411</v>
      </c>
      <c r="C29" s="117">
        <f>IF(C16=0,0,C16/TrRail_act!C20*100)</f>
        <v>255.23055820768917</v>
      </c>
      <c r="D29" s="117">
        <f>IF(D16=0,0,D16/TrRail_act!D20*100)</f>
        <v>254.24335187770689</v>
      </c>
      <c r="E29" s="117">
        <f>IF(E16=0,0,E16/TrRail_act!E20*100)</f>
        <v>251.0571122034163</v>
      </c>
      <c r="F29" s="117">
        <f>IF(F16=0,0,F16/TrRail_act!F20*100)</f>
        <v>253.16682302191168</v>
      </c>
      <c r="G29" s="117">
        <f>IF(G16=0,0,G16/TrRail_act!G20*100)</f>
        <v>252.2040363970174</v>
      </c>
      <c r="H29" s="117">
        <f>IF(H16=0,0,H16/TrRail_act!H20*100)</f>
        <v>252.37889197561327</v>
      </c>
      <c r="I29" s="117">
        <f>IF(I16=0,0,I16/TrRail_act!I20*100)</f>
        <v>250.6994643207448</v>
      </c>
      <c r="J29" s="117">
        <f>IF(J16=0,0,J16/TrRail_act!J20*100)</f>
        <v>251.54080958162751</v>
      </c>
      <c r="K29" s="117">
        <f>IF(K16=0,0,K16/TrRail_act!K20*100)</f>
        <v>249.97356432183597</v>
      </c>
      <c r="L29" s="117">
        <f>IF(L16=0,0,L16/TrRail_act!L20*100)</f>
        <v>248.17144361721714</v>
      </c>
      <c r="M29" s="117">
        <f>IF(M16=0,0,M16/TrRail_act!M20*100)</f>
        <v>245.22571993724728</v>
      </c>
      <c r="N29" s="117">
        <f>IF(N16=0,0,N16/TrRail_act!N20*100)</f>
        <v>243.21711493999265</v>
      </c>
      <c r="O29" s="117">
        <f>IF(O16=0,0,O16/TrRail_act!O20*100)</f>
        <v>240.78036544917811</v>
      </c>
      <c r="P29" s="117">
        <f>IF(P16=0,0,P16/TrRail_act!P20*100)</f>
        <v>240.03759890327498</v>
      </c>
      <c r="Q29" s="117">
        <f>IF(Q16=0,0,Q16/TrRail_act!Q20*100)</f>
        <v>238.79860023929297</v>
      </c>
      <c r="R29" s="117">
        <f>IF(R16=0,0,R16/TrRail_act!R20*100)</f>
        <v>237.87354997509874</v>
      </c>
      <c r="S29" s="117">
        <f>IF(S16=0,0,S16/TrRail_act!S20*100)</f>
        <v>237.18211465961389</v>
      </c>
      <c r="T29" s="117">
        <f>IF(T16=0,0,T16/TrRail_act!T20*100)</f>
        <v>236.6648574387244</v>
      </c>
      <c r="U29" s="117">
        <f>IF(U16=0,0,U16/TrRail_act!U20*100)</f>
        <v>236.27765494425716</v>
      </c>
      <c r="V29" s="117">
        <f>IF(V16=0,0,V16/TrRail_act!V20*100)</f>
        <v>235.9876688635926</v>
      </c>
      <c r="W29" s="117">
        <f>IF(W16=0,0,W16/TrRail_act!W20*100)</f>
        <v>235.77041286654787</v>
      </c>
      <c r="X29" s="117">
        <f>IF(X16=0,0,X16/TrRail_act!X20*100)</f>
        <v>235.60760222413558</v>
      </c>
      <c r="Y29" s="117">
        <f>IF(Y16=0,0,Y16/TrRail_act!Y20*100)</f>
        <v>235.48556792313852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298.91716100459212</v>
      </c>
      <c r="C30" s="29">
        <f>IF(C17=0,0,C17/TrRail_act!C21*100)</f>
        <v>277.1126521030564</v>
      </c>
      <c r="D30" s="29">
        <f>IF(D17=0,0,D17/TrRail_act!D21*100)</f>
        <v>274.23882869764043</v>
      </c>
      <c r="E30" s="29">
        <f>IF(E17=0,0,E17/TrRail_act!E21*100)</f>
        <v>251.15024479464219</v>
      </c>
      <c r="F30" s="29">
        <f>IF(F17=0,0,F17/TrRail_act!F21*100)</f>
        <v>237.55841845373959</v>
      </c>
      <c r="G30" s="29">
        <f>IF(G17=0,0,G17/TrRail_act!G21*100)</f>
        <v>226.57312267983687</v>
      </c>
      <c r="H30" s="29">
        <f>IF(H17=0,0,H17/TrRail_act!H21*100)</f>
        <v>217.46971208392384</v>
      </c>
      <c r="I30" s="29">
        <f>IF(I17=0,0,I17/TrRail_act!I21*100)</f>
        <v>211.43430662948529</v>
      </c>
      <c r="J30" s="29">
        <f>IF(J17=0,0,J17/TrRail_act!J21*100)</f>
        <v>206.4959716395355</v>
      </c>
      <c r="K30" s="29">
        <f>IF(K17=0,0,K17/TrRail_act!K21*100)</f>
        <v>199.85159330492334</v>
      </c>
      <c r="L30" s="29">
        <f>IF(L17=0,0,L17/TrRail_act!L21*100)</f>
        <v>196.00685208063388</v>
      </c>
      <c r="M30" s="29">
        <f>IF(M17=0,0,M17/TrRail_act!M21*100)</f>
        <v>195.57143788358744</v>
      </c>
      <c r="N30" s="29">
        <f>IF(N17=0,0,N17/TrRail_act!N21*100)</f>
        <v>186.62470718204042</v>
      </c>
      <c r="O30" s="29">
        <f>IF(O17=0,0,O17/TrRail_act!O21*100)</f>
        <v>182.62090643084014</v>
      </c>
      <c r="P30" s="29">
        <f>IF(P17=0,0,P17/TrRail_act!P21*100)</f>
        <v>175.50529390198167</v>
      </c>
      <c r="Q30" s="29">
        <f>IF(Q17=0,0,Q17/TrRail_act!Q21*100)</f>
        <v>171.73897460275424</v>
      </c>
      <c r="R30" s="29">
        <f>IF(R17=0,0,R17/TrRail_act!R21*100)</f>
        <v>168.10611423348743</v>
      </c>
      <c r="S30" s="29">
        <f>IF(S17=0,0,S17/TrRail_act!S21*100)</f>
        <v>167.89872167481082</v>
      </c>
      <c r="T30" s="29">
        <f>IF(T17=0,0,T17/TrRail_act!T21*100)</f>
        <v>165.57168203172336</v>
      </c>
      <c r="U30" s="29">
        <f>IF(U17=0,0,U17/TrRail_act!U21*100)</f>
        <v>166.76469196931529</v>
      </c>
      <c r="V30" s="29">
        <f>IF(V17=0,0,V17/TrRail_act!V21*100)</f>
        <v>166.31794735611024</v>
      </c>
      <c r="W30" s="29">
        <f>IF(W17=0,0,W17/TrRail_act!W21*100)</f>
        <v>169.87209041180981</v>
      </c>
      <c r="X30" s="29">
        <f>IF(X17=0,0,X17/TrRail_act!X21*100)</f>
        <v>167.21970727187312</v>
      </c>
      <c r="Y30" s="29">
        <f>IF(Y17=0,0,Y17/TrRail_act!Y21*100)</f>
        <v>163.76587777364588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681.14405283353801</v>
      </c>
      <c r="C31" s="87">
        <f>IF(C18=0,0,C18/TrRail_act!C22*100)</f>
        <v>563.32376896113453</v>
      </c>
      <c r="D31" s="87">
        <f>IF(D18=0,0,D18/TrRail_act!D22*100)</f>
        <v>559.60426034127192</v>
      </c>
      <c r="E31" s="87">
        <f>IF(E18=0,0,E18/TrRail_act!E22*100)</f>
        <v>555.0623740611079</v>
      </c>
      <c r="F31" s="87">
        <f>IF(F18=0,0,F18/TrRail_act!F22*100)</f>
        <v>552.32175104597263</v>
      </c>
      <c r="G31" s="87">
        <f>IF(G18=0,0,G18/TrRail_act!G22*100)</f>
        <v>547.32904427345761</v>
      </c>
      <c r="H31" s="87">
        <f>IF(H18=0,0,H18/TrRail_act!H22*100)</f>
        <v>544.99681858667282</v>
      </c>
      <c r="I31" s="87">
        <f>IF(I18=0,0,I18/TrRail_act!I22*100)</f>
        <v>540.50391487754268</v>
      </c>
      <c r="J31" s="87">
        <f>IF(J18=0,0,J18/TrRail_act!J22*100)</f>
        <v>535.35463567206773</v>
      </c>
      <c r="K31" s="87">
        <f>IF(K18=0,0,K18/TrRail_act!K22*100)</f>
        <v>532.15975527021214</v>
      </c>
      <c r="L31" s="87">
        <f>IF(L18=0,0,L18/TrRail_act!L22*100)</f>
        <v>528.21000623187217</v>
      </c>
      <c r="M31" s="87">
        <f>IF(M18=0,0,M18/TrRail_act!M22*100)</f>
        <v>513.28558242489282</v>
      </c>
      <c r="N31" s="87">
        <f>IF(N18=0,0,N18/TrRail_act!N22*100)</f>
        <v>501.26451441501587</v>
      </c>
      <c r="O31" s="87">
        <f>IF(O18=0,0,O18/TrRail_act!O22*100)</f>
        <v>492.73264384102794</v>
      </c>
      <c r="P31" s="87">
        <f>IF(P18=0,0,P18/TrRail_act!P22*100)</f>
        <v>483.6712095633863</v>
      </c>
      <c r="Q31" s="87">
        <f>IF(Q18=0,0,Q18/TrRail_act!Q22*100)</f>
        <v>471.2412398239274</v>
      </c>
      <c r="R31" s="87">
        <f>IF(R18=0,0,R18/TrRail_act!R22*100)</f>
        <v>459.62476879259304</v>
      </c>
      <c r="S31" s="87">
        <f>IF(S18=0,0,S18/TrRail_act!S22*100)</f>
        <v>455.00542438261721</v>
      </c>
      <c r="T31" s="87">
        <f>IF(T18=0,0,T18/TrRail_act!T22*100)</f>
        <v>452.69575217762934</v>
      </c>
      <c r="U31" s="87">
        <f>IF(U18=0,0,U18/TrRail_act!U22*100)</f>
        <v>450.38607997264143</v>
      </c>
      <c r="V31" s="87">
        <f>IF(V18=0,0,V18/TrRail_act!V22*100)</f>
        <v>448.66156238958501</v>
      </c>
      <c r="W31" s="87">
        <f>IF(W18=0,0,W18/TrRail_act!W22*100)</f>
        <v>447.3725088951461</v>
      </c>
      <c r="X31" s="87">
        <f>IF(X18=0,0,X18/TrRail_act!X22*100)</f>
        <v>446.40814983833491</v>
      </c>
      <c r="Y31" s="87">
        <f>IF(Y18=0,0,Y18/TrRail_act!Y22*100)</f>
        <v>445.68624498939346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228.947091741994</v>
      </c>
      <c r="C32" s="88">
        <f>IF(C19=0,0,C19/TrRail_act!C23*100)</f>
        <v>232.40330547042274</v>
      </c>
      <c r="D32" s="88">
        <f>IF(D19=0,0,D19/TrRail_act!D23*100)</f>
        <v>228.81658114840894</v>
      </c>
      <c r="E32" s="88">
        <f>IF(E19=0,0,E19/TrRail_act!E23*100)</f>
        <v>211.42356575011655</v>
      </c>
      <c r="F32" s="88">
        <f>IF(F19=0,0,F19/TrRail_act!F23*100)</f>
        <v>204.12940326814405</v>
      </c>
      <c r="G32" s="88">
        <f>IF(G19=0,0,G19/TrRail_act!G23*100)</f>
        <v>194.51660711422198</v>
      </c>
      <c r="H32" s="88">
        <f>IF(H19=0,0,H19/TrRail_act!H23*100)</f>
        <v>186.87946873369501</v>
      </c>
      <c r="I32" s="88">
        <f>IF(I19=0,0,I19/TrRail_act!I23*100)</f>
        <v>180.71735094846699</v>
      </c>
      <c r="J32" s="88">
        <f>IF(J19=0,0,J19/TrRail_act!J23*100)</f>
        <v>174.19000475588135</v>
      </c>
      <c r="K32" s="88">
        <f>IF(K19=0,0,K19/TrRail_act!K23*100)</f>
        <v>170.29280343194165</v>
      </c>
      <c r="L32" s="88">
        <f>IF(L19=0,0,L19/TrRail_act!L23*100)</f>
        <v>168.2933086119358</v>
      </c>
      <c r="M32" s="88">
        <f>IF(M19=0,0,M19/TrRail_act!M23*100)</f>
        <v>165.00693223592478</v>
      </c>
      <c r="N32" s="88">
        <f>IF(N19=0,0,N19/TrRail_act!N23*100)</f>
        <v>161.68486585994765</v>
      </c>
      <c r="O32" s="88">
        <f>IF(O19=0,0,O19/TrRail_act!O23*100)</f>
        <v>160.21265751469937</v>
      </c>
      <c r="P32" s="88">
        <f>IF(P19=0,0,P19/TrRail_act!P23*100)</f>
        <v>154.59422490024178</v>
      </c>
      <c r="Q32" s="88">
        <f>IF(Q19=0,0,Q19/TrRail_act!Q23*100)</f>
        <v>150.59243276035966</v>
      </c>
      <c r="R32" s="88">
        <f>IF(R19=0,0,R19/TrRail_act!R23*100)</f>
        <v>147.65921711461939</v>
      </c>
      <c r="S32" s="88">
        <f>IF(S19=0,0,S19/TrRail_act!S23*100)</f>
        <v>146.95182855103616</v>
      </c>
      <c r="T32" s="88">
        <f>IF(T19=0,0,T19/TrRail_act!T23*100)</f>
        <v>146.42351196788584</v>
      </c>
      <c r="U32" s="88">
        <f>IF(U19=0,0,U19/TrRail_act!U23*100)</f>
        <v>146.02852137652133</v>
      </c>
      <c r="V32" s="88">
        <f>IF(V19=0,0,V19/TrRail_act!V23*100)</f>
        <v>145.73297784142358</v>
      </c>
      <c r="W32" s="88">
        <f>IF(W19=0,0,W19/TrRail_act!W23*100)</f>
        <v>145.51171277443561</v>
      </c>
      <c r="X32" s="88">
        <f>IF(X19=0,0,X19/TrRail_act!X23*100)</f>
        <v>145.34598452011892</v>
      </c>
      <c r="Y32" s="88">
        <f>IF(Y19=0,0,Y19/TrRail_act!Y23*100)</f>
        <v>145.2218121461537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10.448693073857324</v>
      </c>
      <c r="C35" s="29">
        <f>IF(C11=0,0,C11/TrRail_act!C4*1000)</f>
        <v>9.246690739533868</v>
      </c>
      <c r="D35" s="29">
        <f>IF(D11=0,0,D11/TrRail_act!D4*1000)</f>
        <v>9.2300082829916228</v>
      </c>
      <c r="E35" s="29">
        <f>IF(E11=0,0,E11/TrRail_act!E4*1000)</f>
        <v>9.463786782855717</v>
      </c>
      <c r="F35" s="29">
        <f>IF(F11=0,0,F11/TrRail_act!F4*1000)</f>
        <v>9.544516651627303</v>
      </c>
      <c r="G35" s="29">
        <f>IF(G11=0,0,G11/TrRail_act!G4*1000)</f>
        <v>9.405971204366848</v>
      </c>
      <c r="H35" s="29">
        <f>IF(H11=0,0,H11/TrRail_act!H4*1000)</f>
        <v>9.2039858168640318</v>
      </c>
      <c r="I35" s="29">
        <f>IF(I11=0,0,I11/TrRail_act!I4*1000)</f>
        <v>8.9957766176094545</v>
      </c>
      <c r="J35" s="29">
        <f>IF(J11=0,0,J11/TrRail_act!J4*1000)</f>
        <v>8.9550532578138871</v>
      </c>
      <c r="K35" s="29">
        <f>IF(K11=0,0,K11/TrRail_act!K4*1000)</f>
        <v>8.9985337744224179</v>
      </c>
      <c r="L35" s="29">
        <f>IF(L11=0,0,L11/TrRail_act!L4*1000)</f>
        <v>8.8898479143227025</v>
      </c>
      <c r="M35" s="29">
        <f>IF(M11=0,0,M11/TrRail_act!M4*1000)</f>
        <v>8.5536534545679697</v>
      </c>
      <c r="N35" s="29">
        <f>IF(N11=0,0,N11/TrRail_act!N4*1000)</f>
        <v>8.5437647816732767</v>
      </c>
      <c r="O35" s="29">
        <f>IF(O11=0,0,O11/TrRail_act!O4*1000)</f>
        <v>8.5217872476272571</v>
      </c>
      <c r="P35" s="29">
        <f>IF(P11=0,0,P11/TrRail_act!P4*1000)</f>
        <v>8.3018004963715537</v>
      </c>
      <c r="Q35" s="29">
        <f>IF(Q11=0,0,Q11/TrRail_act!Q4*1000)</f>
        <v>8.3733045533472108</v>
      </c>
      <c r="R35" s="29">
        <f>IF(R11=0,0,R11/TrRail_act!R4*1000)</f>
        <v>8.155416269974225</v>
      </c>
      <c r="S35" s="29">
        <f>IF(S11=0,0,S11/TrRail_act!S4*1000)</f>
        <v>7.6559429887969097</v>
      </c>
      <c r="T35" s="29">
        <f>IF(T11=0,0,T11/TrRail_act!T4*1000)</f>
        <v>7.5330867871980454</v>
      </c>
      <c r="U35" s="29">
        <f>IF(U11=0,0,U11/TrRail_act!U4*1000)</f>
        <v>7.235252947984633</v>
      </c>
      <c r="V35" s="29">
        <f>IF(V11=0,0,V11/TrRail_act!V4*1000)</f>
        <v>9.9620503418665756</v>
      </c>
      <c r="W35" s="29">
        <f>IF(W11=0,0,W11/TrRail_act!W4*1000)</f>
        <v>8.5530651025753599</v>
      </c>
      <c r="X35" s="29">
        <f>IF(X11=0,0,X11/TrRail_act!X4*1000)</f>
        <v>6.9566555713117664</v>
      </c>
      <c r="Y35" s="29">
        <f>IF(Y11=0,0,Y11/TrRail_act!Y4*1000)</f>
        <v>7.3785761017127864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4.9646096983506318</v>
      </c>
      <c r="C36" s="115">
        <f>IF(C12=0,0,C12/TrRail_act!C5*1000)</f>
        <v>5.1573079578973022</v>
      </c>
      <c r="D36" s="115">
        <f>IF(D12=0,0,D12/TrRail_act!D5*1000)</f>
        <v>5.0792159789985361</v>
      </c>
      <c r="E36" s="115">
        <f>IF(E12=0,0,E12/TrRail_act!E5*1000)</f>
        <v>5.0873421483237813</v>
      </c>
      <c r="F36" s="115">
        <f>IF(F12=0,0,F12/TrRail_act!F5*1000)</f>
        <v>5.0281517377859348</v>
      </c>
      <c r="G36" s="115">
        <f>IF(G12=0,0,G12/TrRail_act!G5*1000)</f>
        <v>4.7753785025767099</v>
      </c>
      <c r="H36" s="115">
        <f>IF(H12=0,0,H12/TrRail_act!H5*1000)</f>
        <v>4.5799482307668997</v>
      </c>
      <c r="I36" s="115">
        <f>IF(I12=0,0,I12/TrRail_act!I5*1000)</f>
        <v>4.4194920348488331</v>
      </c>
      <c r="J36" s="115">
        <f>IF(J12=0,0,J12/TrRail_act!J5*1000)</f>
        <v>4.4627515464324992</v>
      </c>
      <c r="K36" s="115">
        <f>IF(K12=0,0,K12/TrRail_act!K5*1000)</f>
        <v>4.3567063924637903</v>
      </c>
      <c r="L36" s="115">
        <f>IF(L12=0,0,L12/TrRail_act!L5*1000)</f>
        <v>4.2886970608671522</v>
      </c>
      <c r="M36" s="115">
        <f>IF(M12=0,0,M12/TrRail_act!M5*1000)</f>
        <v>4.2763756660033083</v>
      </c>
      <c r="N36" s="115">
        <f>IF(N12=0,0,N12/TrRail_act!N5*1000)</f>
        <v>4.1246785447711201</v>
      </c>
      <c r="O36" s="115">
        <f>IF(O12=0,0,O12/TrRail_act!O5*1000)</f>
        <v>4.1314721408564887</v>
      </c>
      <c r="P36" s="115">
        <f>IF(P12=0,0,P12/TrRail_act!P5*1000)</f>
        <v>4.0278708910149632</v>
      </c>
      <c r="Q36" s="115">
        <f>IF(Q12=0,0,Q12/TrRail_act!Q5*1000)</f>
        <v>3.9784095235039567</v>
      </c>
      <c r="R36" s="115">
        <f>IF(R12=0,0,R12/TrRail_act!R5*1000)</f>
        <v>3.9021440113180357</v>
      </c>
      <c r="S36" s="115">
        <f>IF(S12=0,0,S12/TrRail_act!S5*1000)</f>
        <v>3.8263275462651021</v>
      </c>
      <c r="T36" s="115">
        <f>IF(T12=0,0,T12/TrRail_act!T5*1000)</f>
        <v>3.7853506055997364</v>
      </c>
      <c r="U36" s="115">
        <f>IF(U12=0,0,U12/TrRail_act!U5*1000)</f>
        <v>3.7265519498796289</v>
      </c>
      <c r="V36" s="115">
        <f>IF(V12=0,0,V12/TrRail_act!V5*1000)</f>
        <v>5.0425740330017801</v>
      </c>
      <c r="W36" s="115">
        <f>IF(W12=0,0,W12/TrRail_act!W5*1000)</f>
        <v>4.6840910552694472</v>
      </c>
      <c r="X36" s="115">
        <f>IF(X12=0,0,X12/TrRail_act!X5*1000)</f>
        <v>3.5421530899715528</v>
      </c>
      <c r="Y36" s="115">
        <f>IF(Y12=0,0,Y12/TrRail_act!Y5*1000)</f>
        <v>3.4118365213968365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15.035013597849488</v>
      </c>
      <c r="C37" s="116">
        <f>IF(C13=0,0,C13/TrRail_act!C6*1000)</f>
        <v>12.429819097888783</v>
      </c>
      <c r="D37" s="116">
        <f>IF(D13=0,0,D13/TrRail_act!D6*1000)</f>
        <v>12.661676337173262</v>
      </c>
      <c r="E37" s="116">
        <f>IF(E13=0,0,E13/TrRail_act!E6*1000)</f>
        <v>13.449650054642332</v>
      </c>
      <c r="F37" s="116">
        <f>IF(F13=0,0,F13/TrRail_act!F6*1000)</f>
        <v>13.60529037760565</v>
      </c>
      <c r="G37" s="116">
        <f>IF(G13=0,0,G13/TrRail_act!G6*1000)</f>
        <v>13.481078885421061</v>
      </c>
      <c r="H37" s="116">
        <f>IF(H13=0,0,H13/TrRail_act!H6*1000)</f>
        <v>13.3904219587735</v>
      </c>
      <c r="I37" s="116">
        <f>IF(I13=0,0,I13/TrRail_act!I6*1000)</f>
        <v>13.520431621316039</v>
      </c>
      <c r="J37" s="116">
        <f>IF(J13=0,0,J13/TrRail_act!J6*1000)</f>
        <v>13.547994628342137</v>
      </c>
      <c r="K37" s="116">
        <f>IF(K13=0,0,K13/TrRail_act!K6*1000)</f>
        <v>13.633809818797957</v>
      </c>
      <c r="L37" s="116">
        <f>IF(L13=0,0,L13/TrRail_act!L6*1000)</f>
        <v>13.919743050233835</v>
      </c>
      <c r="M37" s="116">
        <f>IF(M13=0,0,M13/TrRail_act!M6*1000)</f>
        <v>12.992771724665809</v>
      </c>
      <c r="N37" s="116">
        <f>IF(N13=0,0,N13/TrRail_act!N6*1000)</f>
        <v>12.865812919378941</v>
      </c>
      <c r="O37" s="116">
        <f>IF(O13=0,0,O13/TrRail_act!O6*1000)</f>
        <v>12.941820589676629</v>
      </c>
      <c r="P37" s="116">
        <f>IF(P13=0,0,P13/TrRail_act!P6*1000)</f>
        <v>12.820642017079296</v>
      </c>
      <c r="Q37" s="116">
        <f>IF(Q13=0,0,Q13/TrRail_act!Q6*1000)</f>
        <v>13.17507783851749</v>
      </c>
      <c r="R37" s="116">
        <f>IF(R13=0,0,R13/TrRail_act!R6*1000)</f>
        <v>12.775095971991446</v>
      </c>
      <c r="S37" s="116">
        <f>IF(S13=0,0,S13/TrRail_act!S6*1000)</f>
        <v>11.841969834597938</v>
      </c>
      <c r="T37" s="116">
        <f>IF(T13=0,0,T13/TrRail_act!T6*1000)</f>
        <v>11.664521653379465</v>
      </c>
      <c r="U37" s="116">
        <f>IF(U13=0,0,U13/TrRail_act!U6*1000)</f>
        <v>10.982139415572032</v>
      </c>
      <c r="V37" s="116">
        <f>IF(V13=0,0,V13/TrRail_act!V6*1000)</f>
        <v>14.661739521628112</v>
      </c>
      <c r="W37" s="116">
        <f>IF(W13=0,0,W13/TrRail_act!W6*1000)</f>
        <v>11.813376817627963</v>
      </c>
      <c r="X37" s="116">
        <f>IF(X13=0,0,X13/TrRail_act!X6*1000)</f>
        <v>10.083028712864529</v>
      </c>
      <c r="Y37" s="116">
        <f>IF(Y13=0,0,Y13/TrRail_act!Y6*1000)</f>
        <v>11.350233164827419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35.698221265849668</v>
      </c>
      <c r="C38" s="87">
        <f>IF(C14=0,0,C14/TrRail_act!C7*1000)</f>
        <v>23.446424429268756</v>
      </c>
      <c r="D38" s="87">
        <f>IF(D14=0,0,D14/TrRail_act!D7*1000)</f>
        <v>24.139107305844203</v>
      </c>
      <c r="E38" s="87">
        <f>IF(E14=0,0,E14/TrRail_act!E7*1000)</f>
        <v>23.898674007921944</v>
      </c>
      <c r="F38" s="87">
        <f>IF(F14=0,0,F14/TrRail_act!F7*1000)</f>
        <v>24.513543344631998</v>
      </c>
      <c r="G38" s="87">
        <f>IF(G14=0,0,G14/TrRail_act!G7*1000)</f>
        <v>22.560625158507268</v>
      </c>
      <c r="H38" s="87">
        <f>IF(H14=0,0,H14/TrRail_act!H7*1000)</f>
        <v>21.523599739528137</v>
      </c>
      <c r="I38" s="87">
        <f>IF(I14=0,0,I14/TrRail_act!I7*1000)</f>
        <v>21.406639485424499</v>
      </c>
      <c r="J38" s="87">
        <f>IF(J14=0,0,J14/TrRail_act!J7*1000)</f>
        <v>22.36530696864553</v>
      </c>
      <c r="K38" s="87">
        <f>IF(K14=0,0,K14/TrRail_act!K7*1000)</f>
        <v>22.468233922448604</v>
      </c>
      <c r="L38" s="87">
        <f>IF(L14=0,0,L14/TrRail_act!L7*1000)</f>
        <v>22.372415176788042</v>
      </c>
      <c r="M38" s="87">
        <f>IF(M14=0,0,M14/TrRail_act!M7*1000)</f>
        <v>21.564022371959837</v>
      </c>
      <c r="N38" s="87">
        <f>IF(N14=0,0,N14/TrRail_act!N7*1000)</f>
        <v>20.766938669563963</v>
      </c>
      <c r="O38" s="87">
        <f>IF(O14=0,0,O14/TrRail_act!O7*1000)</f>
        <v>21.038033881830458</v>
      </c>
      <c r="P38" s="87">
        <f>IF(P14=0,0,P14/TrRail_act!P7*1000)</f>
        <v>21.006123774615595</v>
      </c>
      <c r="Q38" s="87">
        <f>IF(Q14=0,0,Q14/TrRail_act!Q7*1000)</f>
        <v>20.77915803821988</v>
      </c>
      <c r="R38" s="87">
        <f>IF(R14=0,0,R14/TrRail_act!R7*1000)</f>
        <v>20.053972431639064</v>
      </c>
      <c r="S38" s="87">
        <f>IF(S14=0,0,S14/TrRail_act!S7*1000)</f>
        <v>19.441051351769428</v>
      </c>
      <c r="T38" s="87">
        <f>IF(T14=0,0,T14/TrRail_act!T7*1000)</f>
        <v>18.795363483315711</v>
      </c>
      <c r="U38" s="87">
        <f>IF(U14=0,0,U14/TrRail_act!U7*1000)</f>
        <v>17.549167599717904</v>
      </c>
      <c r="V38" s="87">
        <f>IF(V14=0,0,V14/TrRail_act!V7*1000)</f>
        <v>25.428185685566227</v>
      </c>
      <c r="W38" s="87">
        <f>IF(W14=0,0,W14/TrRail_act!W7*1000)</f>
        <v>20.614768214556822</v>
      </c>
      <c r="X38" s="87">
        <f>IF(X14=0,0,X14/TrRail_act!X7*1000)</f>
        <v>18.912538426429428</v>
      </c>
      <c r="Y38" s="87">
        <f>IF(Y14=0,0,Y14/TrRail_act!Y7*1000)</f>
        <v>20.139073612741097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10.333678561658033</v>
      </c>
      <c r="C39" s="87">
        <f>IF(C15=0,0,C15/TrRail_act!C8*1000)</f>
        <v>9.9182999606975972</v>
      </c>
      <c r="D39" s="87">
        <f>IF(D15=0,0,D15/TrRail_act!D8*1000)</f>
        <v>9.9844904244853474</v>
      </c>
      <c r="E39" s="87">
        <f>IF(E15=0,0,E15/TrRail_act!E8*1000)</f>
        <v>10.959370802564846</v>
      </c>
      <c r="F39" s="87">
        <f>IF(F15=0,0,F15/TrRail_act!F8*1000)</f>
        <v>10.949050594488057</v>
      </c>
      <c r="G39" s="87">
        <f>IF(G15=0,0,G15/TrRail_act!G8*1000)</f>
        <v>11.275133029071061</v>
      </c>
      <c r="H39" s="87">
        <f>IF(H15=0,0,H15/TrRail_act!H8*1000)</f>
        <v>11.41398577211265</v>
      </c>
      <c r="I39" s="87">
        <f>IF(I15=0,0,I15/TrRail_act!I8*1000)</f>
        <v>11.708258365483877</v>
      </c>
      <c r="J39" s="87">
        <f>IF(J15=0,0,J15/TrRail_act!J8*1000)</f>
        <v>11.586788291281614</v>
      </c>
      <c r="K39" s="87">
        <f>IF(K15=0,0,K15/TrRail_act!K8*1000)</f>
        <v>11.753409141212224</v>
      </c>
      <c r="L39" s="87">
        <f>IF(L15=0,0,L15/TrRail_act!L8*1000)</f>
        <v>12.173883265005442</v>
      </c>
      <c r="M39" s="87">
        <f>IF(M15=0,0,M15/TrRail_act!M8*1000)</f>
        <v>11.223678299520792</v>
      </c>
      <c r="N39" s="87">
        <f>IF(N15=0,0,N15/TrRail_act!N8*1000)</f>
        <v>11.302504734667259</v>
      </c>
      <c r="O39" s="87">
        <f>IF(O15=0,0,O15/TrRail_act!O8*1000)</f>
        <v>11.375178098635091</v>
      </c>
      <c r="P39" s="87">
        <f>IF(P15=0,0,P15/TrRail_act!P8*1000)</f>
        <v>11.318381947286417</v>
      </c>
      <c r="Q39" s="87">
        <f>IF(Q15=0,0,Q15/TrRail_act!Q8*1000)</f>
        <v>11.741212790895791</v>
      </c>
      <c r="R39" s="87">
        <f>IF(R15=0,0,R15/TrRail_act!R8*1000)</f>
        <v>11.545796785511296</v>
      </c>
      <c r="S39" s="87">
        <f>IF(S15=0,0,S15/TrRail_act!S8*1000)</f>
        <v>10.480065963912882</v>
      </c>
      <c r="T39" s="87">
        <f>IF(T15=0,0,T15/TrRail_act!T8*1000)</f>
        <v>10.428397864436057</v>
      </c>
      <c r="U39" s="87">
        <f>IF(U15=0,0,U15/TrRail_act!U8*1000)</f>
        <v>9.810217389118371</v>
      </c>
      <c r="V39" s="87">
        <f>IF(V15=0,0,V15/TrRail_act!V8*1000)</f>
        <v>12.907727488371671</v>
      </c>
      <c r="W39" s="87">
        <f>IF(W15=0,0,W15/TrRail_act!W8*1000)</f>
        <v>10.270284944673612</v>
      </c>
      <c r="X39" s="87">
        <f>IF(X15=0,0,X15/TrRail_act!X8*1000)</f>
        <v>8.678947105661047</v>
      </c>
      <c r="Y39" s="87">
        <f>IF(Y15=0,0,Y15/TrRail_act!Y8*1000)</f>
        <v>10.138328215718262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6.4821450265632015</v>
      </c>
      <c r="C40" s="117">
        <f>IF(C16=0,0,C16/TrRail_act!C9*1000)</f>
        <v>6.8349462573702375</v>
      </c>
      <c r="D40" s="117">
        <f>IF(D16=0,0,D16/TrRail_act!D9*1000)</f>
        <v>6.8085025332879718</v>
      </c>
      <c r="E40" s="117">
        <f>IF(E16=0,0,E16/TrRail_act!E9*1000)</f>
        <v>6.7231857533844837</v>
      </c>
      <c r="F40" s="117">
        <f>IF(F16=0,0,F16/TrRail_act!F9*1000)</f>
        <v>6.8481671705443521</v>
      </c>
      <c r="G40" s="117">
        <f>IF(G16=0,0,G16/TrRail_act!G9*1000)</f>
        <v>6.7539078039193159</v>
      </c>
      <c r="H40" s="117">
        <f>IF(H16=0,0,H16/TrRail_act!H9*1000)</f>
        <v>6.5259883958484899</v>
      </c>
      <c r="I40" s="117">
        <f>IF(I16=0,0,I16/TrRail_act!I9*1000)</f>
        <v>6.3211972953781119</v>
      </c>
      <c r="J40" s="117">
        <f>IF(J16=0,0,J16/TrRail_act!J9*1000)</f>
        <v>6.4025684325821226</v>
      </c>
      <c r="K40" s="117">
        <f>IF(K16=0,0,K16/TrRail_act!K9*1000)</f>
        <v>6.3992977194848617</v>
      </c>
      <c r="L40" s="117">
        <f>IF(L16=0,0,L16/TrRail_act!L9*1000)</f>
        <v>6.1388421817053231</v>
      </c>
      <c r="M40" s="117">
        <f>IF(M16=0,0,M16/TrRail_act!M9*1000)</f>
        <v>6.0675363022628419</v>
      </c>
      <c r="N40" s="117">
        <f>IF(N16=0,0,N16/TrRail_act!N9*1000)</f>
        <v>6.1973903520235014</v>
      </c>
      <c r="O40" s="117">
        <f>IF(O16=0,0,O16/TrRail_act!O9*1000)</f>
        <v>6.1409445556533777</v>
      </c>
      <c r="P40" s="117">
        <f>IF(P16=0,0,P16/TrRail_act!P9*1000)</f>
        <v>5.8999829030958049</v>
      </c>
      <c r="Q40" s="117">
        <f>IF(Q16=0,0,Q16/TrRail_act!Q9*1000)</f>
        <v>5.8202043048869809</v>
      </c>
      <c r="R40" s="117">
        <f>IF(R16=0,0,R16/TrRail_act!R9*1000)</f>
        <v>5.7113427723714221</v>
      </c>
      <c r="S40" s="117">
        <f>IF(S16=0,0,S16/TrRail_act!S9*1000)</f>
        <v>5.5357201706725938</v>
      </c>
      <c r="T40" s="117">
        <f>IF(T16=0,0,T16/TrRail_act!T9*1000)</f>
        <v>5.4728724372245008</v>
      </c>
      <c r="U40" s="117">
        <f>IF(U16=0,0,U16/TrRail_act!U9*1000)</f>
        <v>5.3693402011951301</v>
      </c>
      <c r="V40" s="117">
        <f>IF(V16=0,0,V16/TrRail_act!V9*1000)</f>
        <v>7.5214819695941042</v>
      </c>
      <c r="W40" s="117">
        <f>IF(W16=0,0,W16/TrRail_act!W9*1000)</f>
        <v>6.9625361330873892</v>
      </c>
      <c r="X40" s="117">
        <f>IF(X16=0,0,X16/TrRail_act!X9*1000)</f>
        <v>5.4737543565115088</v>
      </c>
      <c r="Y40" s="117">
        <f>IF(Y16=0,0,Y16/TrRail_act!Y9*1000)</f>
        <v>5.4082215337047117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5.515002029902786</v>
      </c>
      <c r="C41" s="29">
        <f>IF(C17=0,0,C17/TrRail_act!C10*1000)</f>
        <v>5.5453195454729833</v>
      </c>
      <c r="D41" s="29">
        <f>IF(D17=0,0,D17/TrRail_act!D10*1000)</f>
        <v>5.6003418199456458</v>
      </c>
      <c r="E41" s="29">
        <f>IF(E17=0,0,E17/TrRail_act!E10*1000)</f>
        <v>5.7938027120534068</v>
      </c>
      <c r="F41" s="29">
        <f>IF(F17=0,0,F17/TrRail_act!F10*1000)</f>
        <v>5.4867849464501832</v>
      </c>
      <c r="G41" s="29">
        <f>IF(G17=0,0,G17/TrRail_act!G10*1000)</f>
        <v>4.9373497969429252</v>
      </c>
      <c r="H41" s="29">
        <f>IF(H17=0,0,H17/TrRail_act!H10*1000)</f>
        <v>4.5625043479990737</v>
      </c>
      <c r="I41" s="29">
        <f>IF(I17=0,0,I17/TrRail_act!I10*1000)</f>
        <v>4.1813461442781117</v>
      </c>
      <c r="J41" s="29">
        <f>IF(J17=0,0,J17/TrRail_act!J10*1000)</f>
        <v>4.184355989138286</v>
      </c>
      <c r="K41" s="29">
        <f>IF(K17=0,0,K17/TrRail_act!K10*1000)</f>
        <v>4.1882312963127317</v>
      </c>
      <c r="L41" s="29">
        <f>IF(L17=0,0,L17/TrRail_act!L10*1000)</f>
        <v>4.297441523979515</v>
      </c>
      <c r="M41" s="29">
        <f>IF(M17=0,0,M17/TrRail_act!M10*1000)</f>
        <v>3.3611975915932613</v>
      </c>
      <c r="N41" s="29">
        <f>IF(N17=0,0,N17/TrRail_act!N10*1000)</f>
        <v>3.408808268018475</v>
      </c>
      <c r="O41" s="29">
        <f>IF(O17=0,0,O17/TrRail_act!O10*1000)</f>
        <v>3.8064124629812435</v>
      </c>
      <c r="P41" s="29">
        <f>IF(P17=0,0,P17/TrRail_act!P10*1000)</f>
        <v>3.4886839277967518</v>
      </c>
      <c r="Q41" s="29">
        <f>IF(Q17=0,0,Q17/TrRail_act!Q10*1000)</f>
        <v>3.1885739932250812</v>
      </c>
      <c r="R41" s="29">
        <f>IF(R17=0,0,R17/TrRail_act!R10*1000)</f>
        <v>3.0673503157898252</v>
      </c>
      <c r="S41" s="29">
        <f>IF(S17=0,0,S17/TrRail_act!S10*1000)</f>
        <v>3.1687462010699514</v>
      </c>
      <c r="T41" s="29">
        <f>IF(T17=0,0,T17/TrRail_act!T10*1000)</f>
        <v>3.1351339976990555</v>
      </c>
      <c r="U41" s="29">
        <f>IF(U17=0,0,U17/TrRail_act!U10*1000)</f>
        <v>3.0573421191429428</v>
      </c>
      <c r="V41" s="29">
        <f>IF(V17=0,0,V17/TrRail_act!V10*1000)</f>
        <v>3.5447663989212064</v>
      </c>
      <c r="W41" s="29">
        <f>IF(W17=0,0,W17/TrRail_act!W10*1000)</f>
        <v>3.3661354154788503</v>
      </c>
      <c r="X41" s="29">
        <f>IF(X17=0,0,X17/TrRail_act!X10*1000)</f>
        <v>3.1947893610338349</v>
      </c>
      <c r="Y41" s="29">
        <f>IF(Y17=0,0,Y17/TrRail_act!Y10*1000)</f>
        <v>3.3054388931689833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14.458483772403916</v>
      </c>
      <c r="C42" s="87">
        <f>IF(C18=0,0,C18/TrRail_act!C11*1000)</f>
        <v>10.530938570911728</v>
      </c>
      <c r="D42" s="87">
        <f>IF(D18=0,0,D18/TrRail_act!D11*1000)</f>
        <v>11.019358907597773</v>
      </c>
      <c r="E42" s="87">
        <f>IF(E18=0,0,E18/TrRail_act!E11*1000)</f>
        <v>10.070256558984353</v>
      </c>
      <c r="F42" s="87">
        <f>IF(F18=0,0,F18/TrRail_act!F11*1000)</f>
        <v>8.866201493107436</v>
      </c>
      <c r="G42" s="87">
        <f>IF(G18=0,0,G18/TrRail_act!G11*1000)</f>
        <v>8.9347818478972361</v>
      </c>
      <c r="H42" s="87">
        <f>IF(H18=0,0,H18/TrRail_act!H11*1000)</f>
        <v>8.3498977997550057</v>
      </c>
      <c r="I42" s="87">
        <f>IF(I18=0,0,I18/TrRail_act!I11*1000)</f>
        <v>8.2877323574424366</v>
      </c>
      <c r="J42" s="87">
        <f>IF(J18=0,0,J18/TrRail_act!J11*1000)</f>
        <v>8.829267431636671</v>
      </c>
      <c r="K42" s="87">
        <f>IF(K18=0,0,K18/TrRail_act!K11*1000)</f>
        <v>8.6781914452683129</v>
      </c>
      <c r="L42" s="87">
        <f>IF(L18=0,0,L18/TrRail_act!L11*1000)</f>
        <v>8.8701657669575003</v>
      </c>
      <c r="M42" s="87">
        <f>IF(M18=0,0,M18/TrRail_act!M11*1000)</f>
        <v>7.4848531493706805</v>
      </c>
      <c r="N42" s="87">
        <f>IF(N18=0,0,N18/TrRail_act!N11*1000)</f>
        <v>7.0853376343417693</v>
      </c>
      <c r="O42" s="87">
        <f>IF(O18=0,0,O18/TrRail_act!O11*1000)</f>
        <v>7.4162861255798607</v>
      </c>
      <c r="P42" s="87">
        <f>IF(P18=0,0,P18/TrRail_act!P11*1000)</f>
        <v>6.7722636861642647</v>
      </c>
      <c r="Q42" s="87">
        <f>IF(Q18=0,0,Q18/TrRail_act!Q11*1000)</f>
        <v>6.3757875718955503</v>
      </c>
      <c r="R42" s="87">
        <f>IF(R18=0,0,R18/TrRail_act!R11*1000)</f>
        <v>6.6503032541107316</v>
      </c>
      <c r="S42" s="87">
        <f>IF(S18=0,0,S18/TrRail_act!S11*1000)</f>
        <v>6.6909326389452479</v>
      </c>
      <c r="T42" s="87">
        <f>IF(T18=0,0,T18/TrRail_act!T11*1000)</f>
        <v>6.4688853813097742</v>
      </c>
      <c r="U42" s="87">
        <f>IF(U18=0,0,U18/TrRail_act!U11*1000)</f>
        <v>6.7415188836056386</v>
      </c>
      <c r="V42" s="87">
        <f>IF(V18=0,0,V18/TrRail_act!V11*1000)</f>
        <v>7.6398260277536991</v>
      </c>
      <c r="W42" s="87">
        <f>IF(W18=0,0,W18/TrRail_act!W11*1000)</f>
        <v>8.1880901884484931</v>
      </c>
      <c r="X42" s="87">
        <f>IF(X18=0,0,X18/TrRail_act!X11*1000)</f>
        <v>7.2877538419434336</v>
      </c>
      <c r="Y42" s="87">
        <f>IF(Y18=0,0,Y18/TrRail_act!Y11*1000)</f>
        <v>7.431907998455487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4.1252697913494014</v>
      </c>
      <c r="C43" s="88">
        <f>IF(C19=0,0,C19/TrRail_act!C12*1000)</f>
        <v>4.7023785139529242</v>
      </c>
      <c r="D43" s="88">
        <f>IF(D19=0,0,D19/TrRail_act!D12*1000)</f>
        <v>4.7004950387853537</v>
      </c>
      <c r="E43" s="88">
        <f>IF(E19=0,0,E19/TrRail_act!E12*1000)</f>
        <v>5.0568406273779463</v>
      </c>
      <c r="F43" s="88">
        <f>IF(F19=0,0,F19/TrRail_act!F12*1000)</f>
        <v>4.9451466843824763</v>
      </c>
      <c r="G43" s="88">
        <f>IF(G19=0,0,G19/TrRail_act!G12*1000)</f>
        <v>4.3855803486274203</v>
      </c>
      <c r="H43" s="88">
        <f>IF(H19=0,0,H19/TrRail_act!H12*1000)</f>
        <v>4.0608091926141094</v>
      </c>
      <c r="I43" s="88">
        <f>IF(I19=0,0,I19/TrRail_act!I12*1000)</f>
        <v>3.6732314458268966</v>
      </c>
      <c r="J43" s="88">
        <f>IF(J19=0,0,J19/TrRail_act!J12*1000)</f>
        <v>3.6108317112375787</v>
      </c>
      <c r="K43" s="88">
        <f>IF(K19=0,0,K19/TrRail_act!K12*1000)</f>
        <v>3.6616330019714236</v>
      </c>
      <c r="L43" s="88">
        <f>IF(L19=0,0,L19/TrRail_act!L12*1000)</f>
        <v>3.7863568057324826</v>
      </c>
      <c r="M43" s="88">
        <f>IF(M19=0,0,M19/TrRail_act!M12*1000)</f>
        <v>2.8854746807959124</v>
      </c>
      <c r="N43" s="88">
        <f>IF(N19=0,0,N19/TrRail_act!N12*1000)</f>
        <v>3.0232979174638208</v>
      </c>
      <c r="O43" s="88">
        <f>IF(O19=0,0,O19/TrRail_act!O12*1000)</f>
        <v>3.4348610428989166</v>
      </c>
      <c r="P43" s="88">
        <f>IF(P19=0,0,P19/TrRail_act!P12*1000)</f>
        <v>3.163091654516113</v>
      </c>
      <c r="Q43" s="88">
        <f>IF(Q19=0,0,Q19/TrRail_act!Q12*1000)</f>
        <v>2.871431014837547</v>
      </c>
      <c r="R43" s="88">
        <f>IF(R19=0,0,R19/TrRail_act!R12*1000)</f>
        <v>2.744522881898328</v>
      </c>
      <c r="S43" s="88">
        <f>IF(S19=0,0,S19/TrRail_act!S12*1000)</f>
        <v>2.8319763740896233</v>
      </c>
      <c r="T43" s="88">
        <f>IF(T19=0,0,T19/TrRail_act!T12*1000)</f>
        <v>2.834001828049395</v>
      </c>
      <c r="U43" s="88">
        <f>IF(U19=0,0,U19/TrRail_act!U12*1000)</f>
        <v>2.7219177908987113</v>
      </c>
      <c r="V43" s="88">
        <f>IF(V19=0,0,V19/TrRail_act!V12*1000)</f>
        <v>3.1640877160571321</v>
      </c>
      <c r="W43" s="88">
        <f>IF(W19=0,0,W19/TrRail_act!W12*1000)</f>
        <v>2.9044958809187014</v>
      </c>
      <c r="X43" s="88">
        <f>IF(X19=0,0,X19/TrRail_act!X12*1000)</f>
        <v>2.8144338832701443</v>
      </c>
      <c r="Y43" s="88">
        <f>IF(Y19=0,0,Y19/TrRail_act!Y12*1000)</f>
        <v>2.972285198357878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354353.03876502108</v>
      </c>
      <c r="C45" s="54">
        <f>IF(C10=0,0,1000000*C10/TrRail_act!C25)</f>
        <v>328690.08595399145</v>
      </c>
      <c r="D45" s="54">
        <f>IF(D10=0,0,1000000*D10/TrRail_act!D25)</f>
        <v>332090.12079872109</v>
      </c>
      <c r="E45" s="54">
        <f>IF(E10=0,0,1000000*E10/TrRail_act!E25)</f>
        <v>312485.29424847435</v>
      </c>
      <c r="F45" s="54">
        <f>IF(F10=0,0,1000000*F10/TrRail_act!F25)</f>
        <v>299860.49865186767</v>
      </c>
      <c r="G45" s="54">
        <f>IF(G10=0,0,1000000*G10/TrRail_act!G25)</f>
        <v>286380.522100284</v>
      </c>
      <c r="H45" s="54">
        <f>IF(H10=0,0,1000000*H10/TrRail_act!H25)</f>
        <v>280832.73821210687</v>
      </c>
      <c r="I45" s="54">
        <f>IF(I10=0,0,1000000*I10/TrRail_act!I25)</f>
        <v>277483.8790685836</v>
      </c>
      <c r="J45" s="54">
        <f>IF(J10=0,0,1000000*J10/TrRail_act!J25)</f>
        <v>270490.46160495555</v>
      </c>
      <c r="K45" s="54">
        <f>IF(K10=0,0,1000000*K10/TrRail_act!K25)</f>
        <v>265362.03318250319</v>
      </c>
      <c r="L45" s="54">
        <f>IF(L10=0,0,1000000*L10/TrRail_act!L25)</f>
        <v>262262.58287481341</v>
      </c>
      <c r="M45" s="54">
        <f>IF(M10=0,0,1000000*M10/TrRail_act!M25)</f>
        <v>260097.67552665298</v>
      </c>
      <c r="N45" s="54">
        <f>IF(N10=0,0,1000000*N10/TrRail_act!N25)</f>
        <v>254046.62525846151</v>
      </c>
      <c r="O45" s="54">
        <f>IF(O10=0,0,1000000*O10/TrRail_act!O25)</f>
        <v>246448.85768331532</v>
      </c>
      <c r="P45" s="54">
        <f>IF(P10=0,0,1000000*P10/TrRail_act!P25)</f>
        <v>238449.96205878453</v>
      </c>
      <c r="Q45" s="54">
        <f>IF(Q10=0,0,1000000*Q10/TrRail_act!Q25)</f>
        <v>232895.87547766836</v>
      </c>
      <c r="R45" s="54">
        <f>IF(R10=0,0,1000000*R10/TrRail_act!R25)</f>
        <v>226401.16804427269</v>
      </c>
      <c r="S45" s="54">
        <f>IF(S10=0,0,1000000*S10/TrRail_act!S25)</f>
        <v>230588.23634185988</v>
      </c>
      <c r="T45" s="54">
        <f>IF(T10=0,0,1000000*T10/TrRail_act!T25)</f>
        <v>223382.60610948308</v>
      </c>
      <c r="U45" s="54">
        <f>IF(U10=0,0,1000000*U10/TrRail_act!U25)</f>
        <v>226795.18197932534</v>
      </c>
      <c r="V45" s="54">
        <f>IF(V10=0,0,1000000*V10/TrRail_act!V25)</f>
        <v>198060.43070337601</v>
      </c>
      <c r="W45" s="54">
        <f>IF(W10=0,0,1000000*W10/TrRail_act!W25)</f>
        <v>230196.86334293752</v>
      </c>
      <c r="X45" s="54">
        <f>IF(X10=0,0,1000000*X10/TrRail_act!X25)</f>
        <v>241580.59322415761</v>
      </c>
      <c r="Y45" s="54">
        <f>IF(Y10=0,0,1000000*Y10/TrRail_act!Y25)</f>
        <v>235065.72638040027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308064.78659317084</v>
      </c>
      <c r="C46" s="28">
        <f>IF(C11=0,0,1000000*C11/TrRail_act!C26)</f>
        <v>286432.568192426</v>
      </c>
      <c r="D46" s="28">
        <f>IF(D11=0,0,1000000*D11/TrRail_act!D26)</f>
        <v>290830.7490931254</v>
      </c>
      <c r="E46" s="28">
        <f>IF(E11=0,0,1000000*E11/TrRail_act!E26)</f>
        <v>276252.04074338806</v>
      </c>
      <c r="F46" s="28">
        <f>IF(F11=0,0,1000000*F11/TrRail_act!F26)</f>
        <v>271346.50642601913</v>
      </c>
      <c r="G46" s="28">
        <f>IF(G11=0,0,1000000*G11/TrRail_act!G26)</f>
        <v>266223.45762567036</v>
      </c>
      <c r="H46" s="28">
        <f>IF(H11=0,0,1000000*H11/TrRail_act!H26)</f>
        <v>261253.21685695089</v>
      </c>
      <c r="I46" s="28">
        <f>IF(I11=0,0,1000000*I11/TrRail_act!I26)</f>
        <v>259394.66809958458</v>
      </c>
      <c r="J46" s="28">
        <f>IF(J11=0,0,1000000*J11/TrRail_act!J26)</f>
        <v>254484.49380703463</v>
      </c>
      <c r="K46" s="28">
        <f>IF(K11=0,0,1000000*K11/TrRail_act!K26)</f>
        <v>254267.54528035171</v>
      </c>
      <c r="L46" s="28">
        <f>IF(L11=0,0,1000000*L11/TrRail_act!L26)</f>
        <v>250506.85648650944</v>
      </c>
      <c r="M46" s="28">
        <f>IF(M11=0,0,1000000*M11/TrRail_act!M26)</f>
        <v>249460.28258024191</v>
      </c>
      <c r="N46" s="28">
        <f>IF(N11=0,0,1000000*N11/TrRail_act!N26)</f>
        <v>244510.69836326645</v>
      </c>
      <c r="O46" s="28">
        <f>IF(O11=0,0,1000000*O11/TrRail_act!O26)</f>
        <v>236007.11799320616</v>
      </c>
      <c r="P46" s="28">
        <f>IF(P11=0,0,1000000*P11/TrRail_act!P26)</f>
        <v>228904.25502692218</v>
      </c>
      <c r="Q46" s="28">
        <f>IF(Q11=0,0,1000000*Q11/TrRail_act!Q26)</f>
        <v>223479.63231255172</v>
      </c>
      <c r="R46" s="28">
        <f>IF(R11=0,0,1000000*R11/TrRail_act!R26)</f>
        <v>217574.90660931749</v>
      </c>
      <c r="S46" s="28">
        <f>IF(S11=0,0,1000000*S11/TrRail_act!S26)</f>
        <v>221450.54411022112</v>
      </c>
      <c r="T46" s="28">
        <f>IF(T11=0,0,1000000*T11/TrRail_act!T26)</f>
        <v>214143.70369994317</v>
      </c>
      <c r="U46" s="28">
        <f>IF(U11=0,0,1000000*U11/TrRail_act!U26)</f>
        <v>217747.46127615968</v>
      </c>
      <c r="V46" s="28">
        <f>IF(V11=0,0,1000000*V11/TrRail_act!V26)</f>
        <v>184807.57654111274</v>
      </c>
      <c r="W46" s="28">
        <f>IF(W11=0,0,1000000*W11/TrRail_act!W26)</f>
        <v>218129.66432685981</v>
      </c>
      <c r="X46" s="28">
        <f>IF(X11=0,0,1000000*X11/TrRail_act!X26)</f>
        <v>232216.07295441846</v>
      </c>
      <c r="Y46" s="28">
        <f>IF(Y11=0,0,1000000*Y11/TrRail_act!Y26)</f>
        <v>227844.50281289738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50355.707282807918</v>
      </c>
      <c r="C47" s="108">
        <f>IF(C12=0,0,1000000*C12/TrRail_act!C27)</f>
        <v>49894.596784542475</v>
      </c>
      <c r="D47" s="108">
        <f>IF(D12=0,0,1000000*D12/TrRail_act!D27)</f>
        <v>48910.699032578363</v>
      </c>
      <c r="E47" s="108">
        <f>IF(E12=0,0,1000000*E12/TrRail_act!E27)</f>
        <v>48944.108793592844</v>
      </c>
      <c r="F47" s="108">
        <f>IF(F12=0,0,1000000*F12/TrRail_act!F27)</f>
        <v>48537.329403134907</v>
      </c>
      <c r="G47" s="108">
        <f>IF(G12=0,0,1000000*G12/TrRail_act!G27)</f>
        <v>46511.584715920573</v>
      </c>
      <c r="H47" s="108">
        <f>IF(H12=0,0,1000000*H12/TrRail_act!H27)</f>
        <v>45525.862127300679</v>
      </c>
      <c r="I47" s="108">
        <f>IF(I12=0,0,1000000*I12/TrRail_act!I27)</f>
        <v>44624.299195479172</v>
      </c>
      <c r="J47" s="108">
        <f>IF(J12=0,0,1000000*J12/TrRail_act!J27)</f>
        <v>44210.856161187854</v>
      </c>
      <c r="K47" s="108">
        <f>IF(K12=0,0,1000000*K12/TrRail_act!K27)</f>
        <v>42584.993411043972</v>
      </c>
      <c r="L47" s="108">
        <f>IF(L12=0,0,1000000*L12/TrRail_act!L27)</f>
        <v>43140.565378087384</v>
      </c>
      <c r="M47" s="108">
        <f>IF(M12=0,0,1000000*M12/TrRail_act!M27)</f>
        <v>42926.085465273245</v>
      </c>
      <c r="N47" s="108">
        <f>IF(N12=0,0,1000000*N12/TrRail_act!N27)</f>
        <v>42201.917963095912</v>
      </c>
      <c r="O47" s="108">
        <f>IF(O12=0,0,1000000*O12/TrRail_act!O27)</f>
        <v>41485.043442843315</v>
      </c>
      <c r="P47" s="108">
        <f>IF(P12=0,0,1000000*P12/TrRail_act!P27)</f>
        <v>40790.651690247571</v>
      </c>
      <c r="Q47" s="108">
        <f>IF(Q12=0,0,1000000*Q12/TrRail_act!Q27)</f>
        <v>40125.012390348515</v>
      </c>
      <c r="R47" s="108">
        <f>IF(R12=0,0,1000000*R12/TrRail_act!R27)</f>
        <v>39632.920995944631</v>
      </c>
      <c r="S47" s="108">
        <f>IF(S12=0,0,1000000*S12/TrRail_act!S27)</f>
        <v>39267.816929049979</v>
      </c>
      <c r="T47" s="108">
        <f>IF(T12=0,0,1000000*T12/TrRail_act!T27)</f>
        <v>38996.197825389587</v>
      </c>
      <c r="U47" s="108">
        <f>IF(U12=0,0,1000000*U12/TrRail_act!U27)</f>
        <v>38793.717188372029</v>
      </c>
      <c r="V47" s="108">
        <f>IF(V12=0,0,1000000*V12/TrRail_act!V27)</f>
        <v>30437.507255053388</v>
      </c>
      <c r="W47" s="108">
        <f>IF(W12=0,0,1000000*W12/TrRail_act!W27)</f>
        <v>38529.555956093012</v>
      </c>
      <c r="X47" s="108">
        <f>IF(X12=0,0,1000000*X12/TrRail_act!X27)</f>
        <v>38445.029632825921</v>
      </c>
      <c r="Y47" s="108">
        <f>IF(Y12=0,0,1000000*Y12/TrRail_act!Y27)</f>
        <v>38381.756551326958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324139.99529035157</v>
      </c>
      <c r="C48" s="110">
        <f>IF(C13=0,0,1000000*C13/TrRail_act!C28)</f>
        <v>283518.20168332139</v>
      </c>
      <c r="D48" s="110">
        <f>IF(D13=0,0,1000000*D13/TrRail_act!D28)</f>
        <v>287998.18304989353</v>
      </c>
      <c r="E48" s="110">
        <f>IF(E13=0,0,1000000*E13/TrRail_act!E28)</f>
        <v>270232.39025045169</v>
      </c>
      <c r="F48" s="110">
        <f>IF(F13=0,0,1000000*F13/TrRail_act!F28)</f>
        <v>266264.19127766305</v>
      </c>
      <c r="G48" s="110">
        <f>IF(G13=0,0,1000000*G13/TrRail_act!G28)</f>
        <v>259794.11384163759</v>
      </c>
      <c r="H48" s="110">
        <f>IF(H13=0,0,1000000*H13/TrRail_act!H28)</f>
        <v>252257.27598229478</v>
      </c>
      <c r="I48" s="110">
        <f>IF(I13=0,0,1000000*I13/TrRail_act!I28)</f>
        <v>245362.05847688267</v>
      </c>
      <c r="J48" s="110">
        <f>IF(J13=0,0,1000000*J13/TrRail_act!J28)</f>
        <v>235771.35908703977</v>
      </c>
      <c r="K48" s="110">
        <f>IF(K13=0,0,1000000*K13/TrRail_act!K28)</f>
        <v>230539.66811976413</v>
      </c>
      <c r="L48" s="110">
        <f>IF(L13=0,0,1000000*L13/TrRail_act!L28)</f>
        <v>227342.62927444922</v>
      </c>
      <c r="M48" s="110">
        <f>IF(M13=0,0,1000000*M13/TrRail_act!M28)</f>
        <v>225902.64104809362</v>
      </c>
      <c r="N48" s="110">
        <f>IF(N13=0,0,1000000*N13/TrRail_act!N28)</f>
        <v>219852.87746402933</v>
      </c>
      <c r="O48" s="110">
        <f>IF(O13=0,0,1000000*O13/TrRail_act!O28)</f>
        <v>212934.91537594373</v>
      </c>
      <c r="P48" s="110">
        <f>IF(P13=0,0,1000000*P13/TrRail_act!P28)</f>
        <v>207694.70763028989</v>
      </c>
      <c r="Q48" s="110">
        <f>IF(Q13=0,0,1000000*Q13/TrRail_act!Q28)</f>
        <v>202548.91731100497</v>
      </c>
      <c r="R48" s="110">
        <f>IF(R13=0,0,1000000*R13/TrRail_act!R28)</f>
        <v>196358.55906438158</v>
      </c>
      <c r="S48" s="110">
        <f>IF(S13=0,0,1000000*S13/TrRail_act!S28)</f>
        <v>196502.74543830869</v>
      </c>
      <c r="T48" s="110">
        <f>IF(T13=0,0,1000000*T13/TrRail_act!T28)</f>
        <v>194034.39141934973</v>
      </c>
      <c r="U48" s="110">
        <f>IF(U13=0,0,1000000*U13/TrRail_act!U28)</f>
        <v>193317.29425387428</v>
      </c>
      <c r="V48" s="110">
        <f>IF(V13=0,0,1000000*V13/TrRail_act!V28)</f>
        <v>165657.80217329782</v>
      </c>
      <c r="W48" s="110">
        <f>IF(W13=0,0,1000000*W13/TrRail_act!W28)</f>
        <v>183613.602494972</v>
      </c>
      <c r="X48" s="110">
        <f>IF(X13=0,0,1000000*X13/TrRail_act!X28)</f>
        <v>192848.63639538435</v>
      </c>
      <c r="Y48" s="110">
        <f>IF(Y13=0,0,1000000*Y13/TrRail_act!Y28)</f>
        <v>188746.57912753982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516214.85458429559</v>
      </c>
      <c r="C49" s="84">
        <f>IF(C14=0,0,1000000*C14/TrRail_act!C29)</f>
        <v>368730.06461797294</v>
      </c>
      <c r="D49" s="84">
        <f>IF(D14=0,0,1000000*D14/TrRail_act!D29)</f>
        <v>402049.49777668942</v>
      </c>
      <c r="E49" s="84">
        <f>IF(E14=0,0,1000000*E14/TrRail_act!E29)</f>
        <v>394500.72958804894</v>
      </c>
      <c r="F49" s="84">
        <f>IF(F14=0,0,1000000*F14/TrRail_act!F29)</f>
        <v>390896.06828498852</v>
      </c>
      <c r="G49" s="84">
        <f>IF(G14=0,0,1000000*G14/TrRail_act!G29)</f>
        <v>387098.61321622645</v>
      </c>
      <c r="H49" s="84">
        <f>IF(H14=0,0,1000000*H14/TrRail_act!H29)</f>
        <v>382187.09291693335</v>
      </c>
      <c r="I49" s="84">
        <f>IF(I14=0,0,1000000*I14/TrRail_act!I29)</f>
        <v>377012.44100470742</v>
      </c>
      <c r="J49" s="84">
        <f>IF(J14=0,0,1000000*J14/TrRail_act!J29)</f>
        <v>367056.09642629948</v>
      </c>
      <c r="K49" s="84">
        <f>IF(K14=0,0,1000000*K14/TrRail_act!K29)</f>
        <v>354705.85030400113</v>
      </c>
      <c r="L49" s="84">
        <f>IF(L14=0,0,1000000*L14/TrRail_act!L29)</f>
        <v>346873.79528362723</v>
      </c>
      <c r="M49" s="84">
        <f>IF(M14=0,0,1000000*M14/TrRail_act!M29)</f>
        <v>338886.15830527514</v>
      </c>
      <c r="N49" s="84">
        <f>IF(N14=0,0,1000000*N14/TrRail_act!N29)</f>
        <v>332640.92448898911</v>
      </c>
      <c r="O49" s="84">
        <f>IF(O14=0,0,1000000*O14/TrRail_act!O29)</f>
        <v>327744.22299911629</v>
      </c>
      <c r="P49" s="84">
        <f>IF(P14=0,0,1000000*P14/TrRail_act!P29)</f>
        <v>322485.68175803992</v>
      </c>
      <c r="Q49" s="84">
        <f>IF(Q14=0,0,1000000*Q14/TrRail_act!Q29)</f>
        <v>318272.52221515111</v>
      </c>
      <c r="R49" s="84">
        <f>IF(R14=0,0,1000000*R14/TrRail_act!R29)</f>
        <v>310421.58171499718</v>
      </c>
      <c r="S49" s="84">
        <f>IF(S14=0,0,1000000*S14/TrRail_act!S29)</f>
        <v>306184.03429685684</v>
      </c>
      <c r="T49" s="84">
        <f>IF(T14=0,0,1000000*T14/TrRail_act!T29)</f>
        <v>303043.87824356992</v>
      </c>
      <c r="U49" s="84">
        <f>IF(U14=0,0,1000000*U14/TrRail_act!U29)</f>
        <v>300709.91450483055</v>
      </c>
      <c r="V49" s="84">
        <f>IF(V14=0,0,1000000*V14/TrRail_act!V29)</f>
        <v>277714.47673008189</v>
      </c>
      <c r="W49" s="84">
        <f>IF(W14=0,0,1000000*W14/TrRail_act!W29)</f>
        <v>297673.8434234875</v>
      </c>
      <c r="X49" s="84">
        <f>IF(X14=0,0,1000000*X14/TrRail_act!X29)</f>
        <v>296704.48854790116</v>
      </c>
      <c r="Y49" s="84">
        <f>IF(Y14=0,0,1000000*Y14/TrRail_act!Y29)</f>
        <v>295979.54432498745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250794.54198339098</v>
      </c>
      <c r="C50" s="84">
        <f>IF(C15=0,0,1000000*C15/TrRail_act!C30)</f>
        <v>252118.57795365219</v>
      </c>
      <c r="D50" s="84">
        <f>IF(D15=0,0,1000000*D15/TrRail_act!D30)</f>
        <v>248279.82040333314</v>
      </c>
      <c r="E50" s="84">
        <f>IF(E15=0,0,1000000*E15/TrRail_act!E30)</f>
        <v>232216.41700886458</v>
      </c>
      <c r="F50" s="84">
        <f>IF(F15=0,0,1000000*F15/TrRail_act!F30)</f>
        <v>226834.86582120438</v>
      </c>
      <c r="G50" s="84">
        <f>IF(G15=0,0,1000000*G15/TrRail_act!G30)</f>
        <v>223984.45567558025</v>
      </c>
      <c r="H50" s="84">
        <f>IF(H15=0,0,1000000*H15/TrRail_act!H30)</f>
        <v>218255.73593802555</v>
      </c>
      <c r="I50" s="84">
        <f>IF(I15=0,0,1000000*I15/TrRail_act!I30)</f>
        <v>213970.80494348108</v>
      </c>
      <c r="J50" s="84">
        <f>IF(J15=0,0,1000000*J15/TrRail_act!J30)</f>
        <v>204385.70590538092</v>
      </c>
      <c r="K50" s="84">
        <f>IF(K15=0,0,1000000*K15/TrRail_act!K30)</f>
        <v>201797.00933570063</v>
      </c>
      <c r="L50" s="84">
        <f>IF(L15=0,0,1000000*L15/TrRail_act!L30)</f>
        <v>201045.78087983895</v>
      </c>
      <c r="M50" s="84">
        <f>IF(M15=0,0,1000000*M15/TrRail_act!M30)</f>
        <v>199523.72525834449</v>
      </c>
      <c r="N50" s="84">
        <f>IF(N15=0,0,1000000*N15/TrRail_act!N30)</f>
        <v>195726.58308380513</v>
      </c>
      <c r="O50" s="84">
        <f>IF(O15=0,0,1000000*O15/TrRail_act!O30)</f>
        <v>189214.0591717553</v>
      </c>
      <c r="P50" s="84">
        <f>IF(P15=0,0,1000000*P15/TrRail_act!P30)</f>
        <v>185235.98197605062</v>
      </c>
      <c r="Q50" s="84">
        <f>IF(Q15=0,0,1000000*Q15/TrRail_act!Q30)</f>
        <v>180631.34263326682</v>
      </c>
      <c r="R50" s="84">
        <f>IF(R15=0,0,1000000*R15/TrRail_act!R30)</f>
        <v>177253.13650584652</v>
      </c>
      <c r="S50" s="84">
        <f>IF(S15=0,0,1000000*S15/TrRail_act!S30)</f>
        <v>175590.86855838672</v>
      </c>
      <c r="T50" s="84">
        <f>IF(T15=0,0,1000000*T15/TrRail_act!T30)</f>
        <v>174430.77532495058</v>
      </c>
      <c r="U50" s="84">
        <f>IF(U15=0,0,1000000*U15/TrRail_act!U30)</f>
        <v>173533.16639547198</v>
      </c>
      <c r="V50" s="84">
        <f>IF(V15=0,0,1000000*V15/TrRail_act!V30)</f>
        <v>146664.90575039823</v>
      </c>
      <c r="W50" s="84">
        <f>IF(W15=0,0,1000000*W15/TrRail_act!W30)</f>
        <v>161796.40823540161</v>
      </c>
      <c r="X50" s="84">
        <f>IF(X15=0,0,1000000*X15/TrRail_act!X30)</f>
        <v>171987.31486200861</v>
      </c>
      <c r="Y50" s="84">
        <f>IF(Y15=0,0,1000000*Y15/TrRail_act!Y30)</f>
        <v>171706.79026766733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1143715.3074088139</v>
      </c>
      <c r="C51" s="113">
        <f>IF(C16=0,0,1000000*C16/TrRail_act!C31)</f>
        <v>1148537.5094007903</v>
      </c>
      <c r="D51" s="113">
        <f>IF(D16=0,0,1000000*D16/TrRail_act!D31)</f>
        <v>1144095.0791745768</v>
      </c>
      <c r="E51" s="113">
        <f>IF(E16=0,0,1000000*E16/TrRail_act!E31)</f>
        <v>1129757.0021008637</v>
      </c>
      <c r="F51" s="113">
        <f>IF(F16=0,0,1000000*F16/TrRail_act!F31)</f>
        <v>1139250.702051993</v>
      </c>
      <c r="G51" s="113">
        <f>IF(G16=0,0,1000000*G16/TrRail_act!G31)</f>
        <v>1134918.1633014656</v>
      </c>
      <c r="H51" s="113">
        <f>IF(H16=0,0,1000000*H16/TrRail_act!H31)</f>
        <v>1135705.011601056</v>
      </c>
      <c r="I51" s="113">
        <f>IF(I16=0,0,1000000*I16/TrRail_act!I31)</f>
        <v>1128147.5876953721</v>
      </c>
      <c r="J51" s="113">
        <f>IF(J16=0,0,1000000*J16/TrRail_act!J31)</f>
        <v>1131933.6427913646</v>
      </c>
      <c r="K51" s="113">
        <f>IF(K16=0,0,1000000*K16/TrRail_act!K31)</f>
        <v>1124881.0369420671</v>
      </c>
      <c r="L51" s="113">
        <f>IF(L16=0,0,1000000*L16/TrRail_act!L31)</f>
        <v>1116771.4954055694</v>
      </c>
      <c r="M51" s="113">
        <f>IF(M16=0,0,1000000*M16/TrRail_act!M31)</f>
        <v>1103515.7368678874</v>
      </c>
      <c r="N51" s="113">
        <f>IF(N16=0,0,1000000*N16/TrRail_act!N31)</f>
        <v>1094477.0156707279</v>
      </c>
      <c r="O51" s="113">
        <f>IF(O16=0,0,1000000*O16/TrRail_act!O31)</f>
        <v>1083511.6429990919</v>
      </c>
      <c r="P51" s="113">
        <f>IF(P16=0,0,1000000*P16/TrRail_act!P31)</f>
        <v>1080169.1918484909</v>
      </c>
      <c r="Q51" s="113">
        <f>IF(Q16=0,0,1000000*Q16/TrRail_act!Q31)</f>
        <v>1074593.6998787788</v>
      </c>
      <c r="R51" s="113">
        <f>IF(R16=0,0,1000000*R16/TrRail_act!R31)</f>
        <v>1070430.9743843782</v>
      </c>
      <c r="S51" s="113">
        <f>IF(S16=0,0,1000000*S16/TrRail_act!S31)</f>
        <v>1067319.5136191722</v>
      </c>
      <c r="T51" s="113">
        <f>IF(T16=0,0,1000000*T16/TrRail_act!T31)</f>
        <v>1060162.0890079108</v>
      </c>
      <c r="U51" s="113">
        <f>IF(U16=0,0,1000000*U16/TrRail_act!U31)</f>
        <v>1063249.4470424997</v>
      </c>
      <c r="V51" s="113">
        <f>IF(V16=0,0,1000000*V16/TrRail_act!V31)</f>
        <v>895760.77168584196</v>
      </c>
      <c r="W51" s="113">
        <f>IF(W16=0,0,1000000*W16/TrRail_act!W31)</f>
        <v>1060966.8557087691</v>
      </c>
      <c r="X51" s="113">
        <f>IF(X16=0,0,1000000*X16/TrRail_act!X31)</f>
        <v>1060234.2096798057</v>
      </c>
      <c r="Y51" s="113">
        <f>IF(Y16=0,0,1000000*Y16/TrRail_act!Y31)</f>
        <v>1059685.0544251248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597834.32081921853</v>
      </c>
      <c r="C52" s="28">
        <f>IF(C17=0,0,1000000*C17/TrRail_act!C32)</f>
        <v>549715.33303207695</v>
      </c>
      <c r="D52" s="28">
        <f>IF(D17=0,0,1000000*D17/TrRail_act!D32)</f>
        <v>548477.65691984538</v>
      </c>
      <c r="E52" s="28">
        <f>IF(E17=0,0,1000000*E17/TrRail_act!E32)</f>
        <v>502300.48805810319</v>
      </c>
      <c r="F52" s="28">
        <f>IF(F17=0,0,1000000*F17/TrRail_act!F32)</f>
        <v>469872.22684393625</v>
      </c>
      <c r="G52" s="28">
        <f>IF(G17=0,0,1000000*G17/TrRail_act!G32)</f>
        <v>424283.06246291863</v>
      </c>
      <c r="H52" s="28">
        <f>IF(H17=0,0,1000000*H17/TrRail_act!H32)</f>
        <v>432472.0375057502</v>
      </c>
      <c r="I52" s="28">
        <f>IF(I17=0,0,1000000*I17/TrRail_act!I32)</f>
        <v>422868.61226727895</v>
      </c>
      <c r="J52" s="28">
        <f>IF(J17=0,0,1000000*J17/TrRail_act!J32)</f>
        <v>412991.9420752782</v>
      </c>
      <c r="K52" s="28">
        <f>IF(K17=0,0,1000000*K17/TrRail_act!K32)</f>
        <v>377523.32991384744</v>
      </c>
      <c r="L52" s="28">
        <f>IF(L17=0,0,1000000*L17/TrRail_act!L32)</f>
        <v>392013.70282555552</v>
      </c>
      <c r="M52" s="28">
        <f>IF(M17=0,0,1000000*M17/TrRail_act!M32)</f>
        <v>391142.87440570036</v>
      </c>
      <c r="N52" s="28">
        <f>IF(N17=0,0,1000000*N17/TrRail_act!N32)</f>
        <v>373249.41301907698</v>
      </c>
      <c r="O52" s="28">
        <f>IF(O17=0,0,1000000*O17/TrRail_act!O32)</f>
        <v>365241.81178570999</v>
      </c>
      <c r="P52" s="28">
        <f>IF(P17=0,0,1000000*P17/TrRail_act!P32)</f>
        <v>351010.58682958048</v>
      </c>
      <c r="Q52" s="28">
        <f>IF(Q17=0,0,1000000*Q17/TrRail_act!Q32)</f>
        <v>343477.94839638431</v>
      </c>
      <c r="R52" s="28">
        <f>IF(R17=0,0,1000000*R17/TrRail_act!R32)</f>
        <v>336212.22695556987</v>
      </c>
      <c r="S52" s="28">
        <f>IF(S17=0,0,1000000*S17/TrRail_act!S32)</f>
        <v>335797.44245319971</v>
      </c>
      <c r="T52" s="28">
        <f>IF(T17=0,0,1000000*T17/TrRail_act!T32)</f>
        <v>331143.3628416991</v>
      </c>
      <c r="U52" s="28">
        <f>IF(U17=0,0,1000000*U17/TrRail_act!U32)</f>
        <v>333529.38252932212</v>
      </c>
      <c r="V52" s="28">
        <f>IF(V17=0,0,1000000*V17/TrRail_act!V32)</f>
        <v>332635.89379559521</v>
      </c>
      <c r="W52" s="28">
        <f>IF(W17=0,0,1000000*W17/TrRail_act!W32)</f>
        <v>339744.1792061475</v>
      </c>
      <c r="X52" s="28">
        <f>IF(X17=0,0,1000000*X17/TrRail_act!X32)</f>
        <v>334439.41337720811</v>
      </c>
      <c r="Y52" s="28">
        <f>IF(Y17=0,0,1000000*Y17/TrRail_act!Y32)</f>
        <v>327531.75471457373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1362288.1043558971</v>
      </c>
      <c r="C53" s="84">
        <f>IF(C18=0,0,1000000*C18/TrRail_act!C33)</f>
        <v>1062149.4538741675</v>
      </c>
      <c r="D53" s="84">
        <f>IF(D18=0,0,1000000*D18/TrRail_act!D33)</f>
        <v>1119208.5182889821</v>
      </c>
      <c r="E53" s="84">
        <f>IF(E18=0,0,1000000*E18/TrRail_act!E33)</f>
        <v>1110124.7323700169</v>
      </c>
      <c r="F53" s="84">
        <f>IF(F18=0,0,1000000*F18/TrRail_act!F33)</f>
        <v>989593.67536964477</v>
      </c>
      <c r="G53" s="84">
        <f>IF(G18=0,0,1000000*G18/TrRail_act!G33)</f>
        <v>926572.06361541757</v>
      </c>
      <c r="H53" s="84">
        <f>IF(H18=0,0,1000000*H18/TrRail_act!H33)</f>
        <v>1021749.4056931539</v>
      </c>
      <c r="I53" s="84">
        <f>IF(I18=0,0,1000000*I18/TrRail_act!I33)</f>
        <v>1081007.8140748751</v>
      </c>
      <c r="J53" s="84">
        <f>IF(J18=0,0,1000000*J18/TrRail_act!J33)</f>
        <v>1070709.2447537871</v>
      </c>
      <c r="K53" s="84">
        <f>IF(K18=0,0,1000000*K18/TrRail_act!K33)</f>
        <v>1030337.6598136411</v>
      </c>
      <c r="L53" s="84">
        <f>IF(L18=0,0,1000000*L18/TrRail_act!L33)</f>
        <v>1056419.9811666659</v>
      </c>
      <c r="M53" s="84">
        <f>IF(M18=0,0,1000000*M18/TrRail_act!M33)</f>
        <v>1026571.1632280106</v>
      </c>
      <c r="N53" s="84">
        <f>IF(N18=0,0,1000000*N18/TrRail_act!N33)</f>
        <v>1002529.0016073119</v>
      </c>
      <c r="O53" s="84">
        <f>IF(O18=0,0,1000000*O18/TrRail_act!O33)</f>
        <v>985465.27823121473</v>
      </c>
      <c r="P53" s="84">
        <f>IF(P18=0,0,1000000*P18/TrRail_act!P33)</f>
        <v>967342.38666385238</v>
      </c>
      <c r="Q53" s="84">
        <f>IF(Q18=0,0,1000000*Q18/TrRail_act!Q33)</f>
        <v>942482.46374498529</v>
      </c>
      <c r="R53" s="84">
        <f>IF(R18=0,0,1000000*R18/TrRail_act!R33)</f>
        <v>919249.50675744913</v>
      </c>
      <c r="S53" s="84">
        <f>IF(S18=0,0,1000000*S18/TrRail_act!S33)</f>
        <v>910010.83202231606</v>
      </c>
      <c r="T53" s="84">
        <f>IF(T18=0,0,1000000*T18/TrRail_act!T33)</f>
        <v>905391.49182395055</v>
      </c>
      <c r="U53" s="84">
        <f>IF(U18=0,0,1000000*U18/TrRail_act!U33)</f>
        <v>900772.13139644812</v>
      </c>
      <c r="V53" s="84">
        <f>IF(V18=0,0,1000000*V18/TrRail_act!V33)</f>
        <v>897323.11375773337</v>
      </c>
      <c r="W53" s="84">
        <f>IF(W18=0,0,1000000*W18/TrRail_act!W33)</f>
        <v>894744.99223875091</v>
      </c>
      <c r="X53" s="84">
        <f>IF(X18=0,0,1000000*X18/TrRail_act!X33)</f>
        <v>892816.28061036754</v>
      </c>
      <c r="Y53" s="84">
        <f>IF(Y18=0,0,1000000*Y18/TrRail_act!Y33)</f>
        <v>891372.4683633307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457894.18248640082</v>
      </c>
      <c r="C54" s="86">
        <f>IF(C19=0,0,1000000*C19/TrRail_act!C34)</f>
        <v>464806.6106138879</v>
      </c>
      <c r="D54" s="86">
        <f>IF(D19=0,0,1000000*D19/TrRail_act!D34)</f>
        <v>457633.16199276946</v>
      </c>
      <c r="E54" s="86">
        <f>IF(E19=0,0,1000000*E19/TrRail_act!E34)</f>
        <v>422847.13082706864</v>
      </c>
      <c r="F54" s="86">
        <f>IF(F19=0,0,1000000*F19/TrRail_act!F34)</f>
        <v>408258.80641594547</v>
      </c>
      <c r="G54" s="86">
        <f>IF(G19=0,0,1000000*G19/TrRail_act!G34)</f>
        <v>368159.64710246777</v>
      </c>
      <c r="H54" s="86">
        <f>IF(H19=0,0,1000000*H19/TrRail_act!H34)</f>
        <v>373758.93716235721</v>
      </c>
      <c r="I54" s="86">
        <f>IF(I19=0,0,1000000*I19/TrRail_act!I34)</f>
        <v>361434.70145956997</v>
      </c>
      <c r="J54" s="86">
        <f>IF(J19=0,0,1000000*J19/TrRail_act!J34)</f>
        <v>348380.00924646802</v>
      </c>
      <c r="K54" s="86">
        <f>IF(K19=0,0,1000000*K19/TrRail_act!K34)</f>
        <v>320991.28215415223</v>
      </c>
      <c r="L54" s="86">
        <f>IF(L19=0,0,1000000*L19/TrRail_act!L34)</f>
        <v>336586.61681320606</v>
      </c>
      <c r="M54" s="86">
        <f>IF(M19=0,0,1000000*M19/TrRail_act!M34)</f>
        <v>330013.86326279922</v>
      </c>
      <c r="N54" s="86">
        <f>IF(N19=0,0,1000000*N19/TrRail_act!N34)</f>
        <v>323369.73115827609</v>
      </c>
      <c r="O54" s="86">
        <f>IF(O19=0,0,1000000*O19/TrRail_act!O34)</f>
        <v>320425.31423929316</v>
      </c>
      <c r="P54" s="86">
        <f>IF(P19=0,0,1000000*P19/TrRail_act!P34)</f>
        <v>309188.44958803628</v>
      </c>
      <c r="Q54" s="86">
        <f>IF(Q19=0,0,1000000*Q19/TrRail_act!Q34)</f>
        <v>301184.86511994817</v>
      </c>
      <c r="R54" s="86">
        <f>IF(R19=0,0,1000000*R19/TrRail_act!R34)</f>
        <v>295318.43350319262</v>
      </c>
      <c r="S54" s="86">
        <f>IF(S19=0,0,1000000*S19/TrRail_act!S34)</f>
        <v>293903.65665476216</v>
      </c>
      <c r="T54" s="86">
        <f>IF(T19=0,0,1000000*T19/TrRail_act!T34)</f>
        <v>292847.02305357059</v>
      </c>
      <c r="U54" s="86">
        <f>IF(U19=0,0,1000000*U19/TrRail_act!U34)</f>
        <v>292057.04210550134</v>
      </c>
      <c r="V54" s="86">
        <f>IF(V19=0,0,1000000*V19/TrRail_act!V34)</f>
        <v>291465.95508211933</v>
      </c>
      <c r="W54" s="86">
        <f>IF(W19=0,0,1000000*W19/TrRail_act!W34)</f>
        <v>291023.42477129225</v>
      </c>
      <c r="X54" s="86">
        <f>IF(X19=0,0,1000000*X19/TrRail_act!X34)</f>
        <v>290691.9684332179</v>
      </c>
      <c r="Y54" s="86">
        <f>IF(Y19=0,0,1000000*Y19/TrRail_act!Y34)</f>
        <v>290443.62396859267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0.73049753499922165</v>
      </c>
      <c r="C57" s="31">
        <f t="shared" ref="C57:V57" si="18">IF(C11=0,0,C11/C$10)</f>
        <v>0.73156892015271213</v>
      </c>
      <c r="D57" s="31">
        <f t="shared" si="18"/>
        <v>0.73551523528810248</v>
      </c>
      <c r="E57" s="31">
        <f t="shared" si="18"/>
        <v>0.74234426096703954</v>
      </c>
      <c r="F57" s="31">
        <f t="shared" si="18"/>
        <v>0.77493821300017662</v>
      </c>
      <c r="G57" s="31">
        <f t="shared" si="18"/>
        <v>0.81106230553426173</v>
      </c>
      <c r="H57" s="31">
        <f t="shared" si="18"/>
        <v>0.82389938716954036</v>
      </c>
      <c r="I57" s="31">
        <f t="shared" si="18"/>
        <v>0.83136847161779692</v>
      </c>
      <c r="J57" s="31">
        <f t="shared" si="18"/>
        <v>0.84582218470623738</v>
      </c>
      <c r="K57" s="31">
        <f t="shared" si="18"/>
        <v>0.87194251766053388</v>
      </c>
      <c r="L57" s="31">
        <f t="shared" si="18"/>
        <v>0.8758242101317355</v>
      </c>
      <c r="M57" s="31">
        <f t="shared" si="18"/>
        <v>0.88709383363815053</v>
      </c>
      <c r="N57" s="31">
        <f t="shared" si="18"/>
        <v>0.89117230081089827</v>
      </c>
      <c r="O57" s="31">
        <f t="shared" si="18"/>
        <v>0.880257747651645</v>
      </c>
      <c r="P57" s="31">
        <f t="shared" si="18"/>
        <v>0.88492184928991813</v>
      </c>
      <c r="Q57" s="31">
        <f t="shared" si="18"/>
        <v>0.88427169926921823</v>
      </c>
      <c r="R57" s="31">
        <f t="shared" si="18"/>
        <v>0.88951831262209768</v>
      </c>
      <c r="S57" s="31">
        <f t="shared" si="18"/>
        <v>0.88362696147189623</v>
      </c>
      <c r="T57" s="31">
        <f t="shared" si="18"/>
        <v>0.88294162669930787</v>
      </c>
      <c r="U57" s="31">
        <f t="shared" si="18"/>
        <v>0.88507918185785828</v>
      </c>
      <c r="V57" s="31">
        <f t="shared" si="18"/>
        <v>0.84943529507333237</v>
      </c>
      <c r="W57" s="31">
        <f t="shared" ref="W57:Y57" si="19">IF(W11=0,0,W11/W$10)</f>
        <v>0.85355529056266499</v>
      </c>
      <c r="X57" s="31">
        <f t="shared" si="19"/>
        <v>0.87317908710579695</v>
      </c>
      <c r="Y57" s="31">
        <f t="shared" si="19"/>
        <v>0.89906651535008819</v>
      </c>
      <c r="DA57" s="173"/>
    </row>
    <row r="58" spans="1:105" ht="11.45" customHeight="1" x14ac:dyDescent="0.25">
      <c r="A58" s="107" t="s">
        <v>23</v>
      </c>
      <c r="B58" s="123">
        <f t="shared" si="15"/>
        <v>3.2462147641299149E-2</v>
      </c>
      <c r="C58" s="123">
        <f t="shared" ref="C58:V58" si="20">IF(C12=0,0,C12/C$10)</f>
        <v>3.7504468675463622E-2</v>
      </c>
      <c r="D58" s="123">
        <f t="shared" si="20"/>
        <v>3.7309613710171066E-2</v>
      </c>
      <c r="E58" s="123">
        <f t="shared" si="20"/>
        <v>3.8393375914928835E-2</v>
      </c>
      <c r="F58" s="123">
        <f t="shared" si="20"/>
        <v>4.1568472262823196E-2</v>
      </c>
      <c r="G58" s="123">
        <f t="shared" si="20"/>
        <v>4.2095646181536377E-2</v>
      </c>
      <c r="H58" s="123">
        <f t="shared" si="20"/>
        <v>4.1714723293593457E-2</v>
      </c>
      <c r="I58" s="123">
        <f t="shared" si="20"/>
        <v>4.0980694023991064E-2</v>
      </c>
      <c r="J58" s="123">
        <f t="shared" si="20"/>
        <v>4.2504283394099507E-2</v>
      </c>
      <c r="K58" s="123">
        <f t="shared" si="20"/>
        <v>3.9671373140974769E-2</v>
      </c>
      <c r="L58" s="123">
        <f t="shared" si="20"/>
        <v>4.0555075295451506E-2</v>
      </c>
      <c r="M58" s="123">
        <f t="shared" si="20"/>
        <v>4.1707125747088528E-2</v>
      </c>
      <c r="N58" s="123">
        <f t="shared" si="20"/>
        <v>4.2352291039077922E-2</v>
      </c>
      <c r="O58" s="123">
        <f t="shared" si="20"/>
        <v>4.3167523822482332E-2</v>
      </c>
      <c r="P58" s="123">
        <f t="shared" si="20"/>
        <v>4.4627934951168305E-2</v>
      </c>
      <c r="Q58" s="123">
        <f t="shared" si="20"/>
        <v>4.3891718617661633E-2</v>
      </c>
      <c r="R58" s="123">
        <f t="shared" si="20"/>
        <v>4.5077572135762474E-2</v>
      </c>
      <c r="S58" s="123">
        <f t="shared" si="20"/>
        <v>4.4777601980200185E-2</v>
      </c>
      <c r="T58" s="123">
        <f t="shared" si="20"/>
        <v>4.8691480792421533E-2</v>
      </c>
      <c r="U58" s="123">
        <f t="shared" si="20"/>
        <v>4.7111337032258643E-2</v>
      </c>
      <c r="V58" s="123">
        <f t="shared" si="20"/>
        <v>4.2109227999735141E-2</v>
      </c>
      <c r="W58" s="123">
        <f t="shared" ref="W58:Y58" si="21">IF(W12=0,0,W12/W$10)</f>
        <v>4.5067528433363882E-2</v>
      </c>
      <c r="X58" s="123">
        <f t="shared" si="21"/>
        <v>4.0138992327779795E-2</v>
      </c>
      <c r="Y58" s="123">
        <f t="shared" si="21"/>
        <v>3.6714077954770226E-2</v>
      </c>
      <c r="DA58" s="203"/>
    </row>
    <row r="59" spans="1:105" ht="11.45" customHeight="1" x14ac:dyDescent="0.25">
      <c r="A59" s="109" t="s">
        <v>24</v>
      </c>
      <c r="B59" s="124">
        <f t="shared" si="15"/>
        <v>0.50492837714290506</v>
      </c>
      <c r="C59" s="124">
        <f t="shared" ref="C59:V59" si="22">IF(C13=0,0,C13/C$10)</f>
        <v>0.4510150742293213</v>
      </c>
      <c r="D59" s="124">
        <f t="shared" si="22"/>
        <v>0.4448999186140869</v>
      </c>
      <c r="E59" s="124">
        <f t="shared" si="22"/>
        <v>0.45452839846516752</v>
      </c>
      <c r="F59" s="124">
        <f t="shared" si="22"/>
        <v>0.47108901927805857</v>
      </c>
      <c r="G59" s="124">
        <f t="shared" si="22"/>
        <v>0.49322687054875941</v>
      </c>
      <c r="H59" s="124">
        <f t="shared" si="22"/>
        <v>0.50220088065076707</v>
      </c>
      <c r="I59" s="124">
        <f t="shared" si="22"/>
        <v>0.49732739484946337</v>
      </c>
      <c r="J59" s="124">
        <f t="shared" si="22"/>
        <v>0.49214003069766521</v>
      </c>
      <c r="K59" s="124">
        <f t="shared" si="22"/>
        <v>0.50969762982888633</v>
      </c>
      <c r="L59" s="124">
        <f t="shared" si="22"/>
        <v>0.51615773187835989</v>
      </c>
      <c r="M59" s="124">
        <f t="shared" si="22"/>
        <v>0.51650867990535765</v>
      </c>
      <c r="N59" s="124">
        <f t="shared" si="22"/>
        <v>0.51325963805798924</v>
      </c>
      <c r="O59" s="124">
        <f t="shared" si="22"/>
        <v>0.50794853320329536</v>
      </c>
      <c r="P59" s="124">
        <f t="shared" si="22"/>
        <v>0.51270618529035394</v>
      </c>
      <c r="Q59" s="124">
        <f t="shared" si="22"/>
        <v>0.51938540038496295</v>
      </c>
      <c r="R59" s="124">
        <f t="shared" si="22"/>
        <v>0.5199144367286288</v>
      </c>
      <c r="S59" s="124">
        <f t="shared" si="22"/>
        <v>0.49708427951901207</v>
      </c>
      <c r="T59" s="124">
        <f t="shared" si="22"/>
        <v>0.49581058858426041</v>
      </c>
      <c r="U59" s="124">
        <f t="shared" si="22"/>
        <v>0.48724436259801285</v>
      </c>
      <c r="V59" s="124">
        <f t="shared" si="22"/>
        <v>0.4698177608582671</v>
      </c>
      <c r="W59" s="124">
        <f t="shared" ref="W59:Y59" si="23">IF(W13=0,0,W13/W$10)</f>
        <v>0.43993933749305952</v>
      </c>
      <c r="X59" s="124">
        <f t="shared" si="23"/>
        <v>0.45505016689730066</v>
      </c>
      <c r="Y59" s="124">
        <f t="shared" si="23"/>
        <v>0.49963645743510976</v>
      </c>
      <c r="DA59" s="176"/>
    </row>
    <row r="60" spans="1:105" ht="11.45" customHeight="1" x14ac:dyDescent="0.25">
      <c r="A60" s="111" t="s">
        <v>92</v>
      </c>
      <c r="B60" s="125">
        <f t="shared" si="15"/>
        <v>0.22221158429235738</v>
      </c>
      <c r="C60" s="125">
        <f t="shared" ref="C60:V60" si="24">IF(C14=0,0,C14/C$10)</f>
        <v>0.15794350562480075</v>
      </c>
      <c r="D60" s="125">
        <f t="shared" si="24"/>
        <v>0.16042525416811179</v>
      </c>
      <c r="E60" s="125">
        <f t="shared" si="24"/>
        <v>0.15543936155808746</v>
      </c>
      <c r="F60" s="125">
        <f t="shared" si="24"/>
        <v>0.16621299555333058</v>
      </c>
      <c r="G60" s="125">
        <f t="shared" si="24"/>
        <v>0.16134204410439518</v>
      </c>
      <c r="H60" s="125">
        <f t="shared" si="24"/>
        <v>0.1578142946922152</v>
      </c>
      <c r="I60" s="125">
        <f t="shared" si="24"/>
        <v>0.14712984981902744</v>
      </c>
      <c r="J60" s="125">
        <f t="shared" si="24"/>
        <v>0.14782665464393599</v>
      </c>
      <c r="K60" s="125">
        <f t="shared" si="24"/>
        <v>0.14741091596394032</v>
      </c>
      <c r="L60" s="125">
        <f t="shared" si="24"/>
        <v>0.14201551438443738</v>
      </c>
      <c r="M60" s="125">
        <f t="shared" si="24"/>
        <v>0.14666327146377528</v>
      </c>
      <c r="N60" s="125">
        <f t="shared" si="24"/>
        <v>0.13684291573499233</v>
      </c>
      <c r="O60" s="125">
        <f t="shared" si="24"/>
        <v>0.13387327549036776</v>
      </c>
      <c r="P60" s="125">
        <f t="shared" si="24"/>
        <v>0.1302648579895648</v>
      </c>
      <c r="Q60" s="125">
        <f t="shared" si="24"/>
        <v>0.12995801418725181</v>
      </c>
      <c r="R60" s="125">
        <f t="shared" si="24"/>
        <v>0.11792048756039274</v>
      </c>
      <c r="S60" s="125">
        <f t="shared" si="24"/>
        <v>0.12402707757815405</v>
      </c>
      <c r="T60" s="125">
        <f t="shared" si="24"/>
        <v>0.11803031676551282</v>
      </c>
      <c r="U60" s="125">
        <f t="shared" si="24"/>
        <v>0.11790522635594117</v>
      </c>
      <c r="V60" s="125">
        <f t="shared" si="24"/>
        <v>0.11414887907562206</v>
      </c>
      <c r="W60" s="125">
        <f t="shared" ref="W60:Y60" si="25">IF(W14=0,0,W14/W$10)</f>
        <v>0.11451969372461276</v>
      </c>
      <c r="X60" s="125">
        <f t="shared" si="25"/>
        <v>0.11710687135313232</v>
      </c>
      <c r="Y60" s="125">
        <f t="shared" si="25"/>
        <v>0.10742986119661042</v>
      </c>
      <c r="DA60" s="171"/>
    </row>
    <row r="61" spans="1:105" ht="11.45" customHeight="1" x14ac:dyDescent="0.25">
      <c r="A61" s="111" t="s">
        <v>93</v>
      </c>
      <c r="B61" s="125">
        <f t="shared" si="15"/>
        <v>0.28271679285054768</v>
      </c>
      <c r="C61" s="125">
        <f t="shared" ref="C61:V61" si="26">IF(C15=0,0,C15/C$10)</f>
        <v>0.29307156860452055</v>
      </c>
      <c r="D61" s="125">
        <f t="shared" si="26"/>
        <v>0.28447466444597513</v>
      </c>
      <c r="E61" s="125">
        <f t="shared" si="26"/>
        <v>0.29908903690708005</v>
      </c>
      <c r="F61" s="125">
        <f t="shared" si="26"/>
        <v>0.304876023724728</v>
      </c>
      <c r="G61" s="125">
        <f t="shared" si="26"/>
        <v>0.33188482644436418</v>
      </c>
      <c r="H61" s="125">
        <f t="shared" si="26"/>
        <v>0.34438658595855193</v>
      </c>
      <c r="I61" s="125">
        <f t="shared" si="26"/>
        <v>0.35019754503043593</v>
      </c>
      <c r="J61" s="125">
        <f t="shared" si="26"/>
        <v>0.34431337605372925</v>
      </c>
      <c r="K61" s="125">
        <f t="shared" si="26"/>
        <v>0.36228671386494599</v>
      </c>
      <c r="L61" s="125">
        <f t="shared" si="26"/>
        <v>0.37414221749392251</v>
      </c>
      <c r="M61" s="125">
        <f t="shared" si="26"/>
        <v>0.36984540844158231</v>
      </c>
      <c r="N61" s="125">
        <f t="shared" si="26"/>
        <v>0.37641672232299694</v>
      </c>
      <c r="O61" s="125">
        <f t="shared" si="26"/>
        <v>0.37407525771292754</v>
      </c>
      <c r="P61" s="125">
        <f t="shared" si="26"/>
        <v>0.38244132730078911</v>
      </c>
      <c r="Q61" s="125">
        <f t="shared" si="26"/>
        <v>0.38942738619771111</v>
      </c>
      <c r="R61" s="125">
        <f t="shared" si="26"/>
        <v>0.40199394916823605</v>
      </c>
      <c r="S61" s="125">
        <f t="shared" si="26"/>
        <v>0.37305720194085806</v>
      </c>
      <c r="T61" s="125">
        <f t="shared" si="26"/>
        <v>0.37778027181874763</v>
      </c>
      <c r="U61" s="125">
        <f t="shared" si="26"/>
        <v>0.36933913624207165</v>
      </c>
      <c r="V61" s="125">
        <f t="shared" si="26"/>
        <v>0.35566888178264505</v>
      </c>
      <c r="W61" s="125">
        <f t="shared" ref="W61:Y61" si="27">IF(W15=0,0,W15/W$10)</f>
        <v>0.32541964376844673</v>
      </c>
      <c r="X61" s="125">
        <f t="shared" si="27"/>
        <v>0.33794329554416835</v>
      </c>
      <c r="Y61" s="125">
        <f t="shared" si="27"/>
        <v>0.39220659623849935</v>
      </c>
      <c r="DA61" s="171"/>
    </row>
    <row r="62" spans="1:105" ht="11.45" customHeight="1" x14ac:dyDescent="0.25">
      <c r="A62" s="112" t="s">
        <v>25</v>
      </c>
      <c r="B62" s="126">
        <f t="shared" si="15"/>
        <v>0.19310701021501747</v>
      </c>
      <c r="C62" s="126">
        <f t="shared" ref="C62:V62" si="28">IF(C16=0,0,C16/C$10)</f>
        <v>0.24304937724792713</v>
      </c>
      <c r="D62" s="126">
        <f t="shared" si="28"/>
        <v>0.25330570296384453</v>
      </c>
      <c r="E62" s="126">
        <f t="shared" si="28"/>
        <v>0.2494224865869431</v>
      </c>
      <c r="F62" s="126">
        <f t="shared" si="28"/>
        <v>0.26228072145929482</v>
      </c>
      <c r="G62" s="126">
        <f t="shared" si="28"/>
        <v>0.27573978880396582</v>
      </c>
      <c r="H62" s="126">
        <f t="shared" si="28"/>
        <v>0.27998378322517986</v>
      </c>
      <c r="I62" s="126">
        <f t="shared" si="28"/>
        <v>0.29306038274434237</v>
      </c>
      <c r="J62" s="126">
        <f t="shared" si="28"/>
        <v>0.31117787061447261</v>
      </c>
      <c r="K62" s="126">
        <f t="shared" si="28"/>
        <v>0.3225735146906728</v>
      </c>
      <c r="L62" s="126">
        <f t="shared" si="28"/>
        <v>0.31911140295792412</v>
      </c>
      <c r="M62" s="126">
        <f t="shared" si="28"/>
        <v>0.32887802798570437</v>
      </c>
      <c r="N62" s="126">
        <f t="shared" si="28"/>
        <v>0.33556037171383102</v>
      </c>
      <c r="O62" s="126">
        <f t="shared" si="28"/>
        <v>0.32914169062586729</v>
      </c>
      <c r="P62" s="126">
        <f t="shared" si="28"/>
        <v>0.32758772904839584</v>
      </c>
      <c r="Q62" s="126">
        <f t="shared" si="28"/>
        <v>0.32099458026659361</v>
      </c>
      <c r="R62" s="126">
        <f t="shared" si="28"/>
        <v>0.3245263037577063</v>
      </c>
      <c r="S62" s="126">
        <f t="shared" si="28"/>
        <v>0.34176507997268407</v>
      </c>
      <c r="T62" s="126">
        <f t="shared" si="28"/>
        <v>0.33843955732262598</v>
      </c>
      <c r="U62" s="126">
        <f t="shared" si="28"/>
        <v>0.35072348222758676</v>
      </c>
      <c r="V62" s="126">
        <f t="shared" si="28"/>
        <v>0.33750830621533018</v>
      </c>
      <c r="W62" s="126">
        <f t="shared" ref="W62:Y62" si="29">IF(W16=0,0,W16/W$10)</f>
        <v>0.36854842463624166</v>
      </c>
      <c r="X62" s="126">
        <f t="shared" si="29"/>
        <v>0.37798992788071661</v>
      </c>
      <c r="Y62" s="126">
        <f t="shared" si="29"/>
        <v>0.36271597996020821</v>
      </c>
      <c r="DA62" s="204"/>
    </row>
    <row r="63" spans="1:105" ht="11.45" customHeight="1" x14ac:dyDescent="0.25">
      <c r="A63" s="27" t="s">
        <v>34</v>
      </c>
      <c r="B63" s="31">
        <f t="shared" si="15"/>
        <v>0.26950246500077835</v>
      </c>
      <c r="C63" s="31">
        <f t="shared" ref="C63:V63" si="30">IF(C17=0,0,C17/C$10)</f>
        <v>0.26843107984728776</v>
      </c>
      <c r="D63" s="31">
        <f t="shared" si="30"/>
        <v>0.26448476471189758</v>
      </c>
      <c r="E63" s="31">
        <f t="shared" si="30"/>
        <v>0.25765573903296041</v>
      </c>
      <c r="F63" s="31">
        <f t="shared" si="30"/>
        <v>0.22506178699982352</v>
      </c>
      <c r="G63" s="31">
        <f t="shared" si="30"/>
        <v>0.18893769446573833</v>
      </c>
      <c r="H63" s="31">
        <f t="shared" si="30"/>
        <v>0.17610061283045966</v>
      </c>
      <c r="I63" s="31">
        <f t="shared" si="30"/>
        <v>0.16863152838220299</v>
      </c>
      <c r="J63" s="31">
        <f t="shared" si="30"/>
        <v>0.15417781529376273</v>
      </c>
      <c r="K63" s="31">
        <f t="shared" si="30"/>
        <v>0.12805748233946623</v>
      </c>
      <c r="L63" s="31">
        <f t="shared" si="30"/>
        <v>0.12417578986826446</v>
      </c>
      <c r="M63" s="31">
        <f t="shared" si="30"/>
        <v>0.11290616636184954</v>
      </c>
      <c r="N63" s="31">
        <f t="shared" si="30"/>
        <v>0.10882769918910178</v>
      </c>
      <c r="O63" s="31">
        <f t="shared" si="30"/>
        <v>0.11974225234835505</v>
      </c>
      <c r="P63" s="31">
        <f t="shared" si="30"/>
        <v>0.11507815071008193</v>
      </c>
      <c r="Q63" s="31">
        <f t="shared" si="30"/>
        <v>0.11572830073078186</v>
      </c>
      <c r="R63" s="31">
        <f t="shared" si="30"/>
        <v>0.11048168737790236</v>
      </c>
      <c r="S63" s="31">
        <f t="shared" si="30"/>
        <v>0.11637303852810379</v>
      </c>
      <c r="T63" s="31">
        <f t="shared" si="30"/>
        <v>0.11705837330069208</v>
      </c>
      <c r="U63" s="31">
        <f t="shared" si="30"/>
        <v>0.1149208181421417</v>
      </c>
      <c r="V63" s="31">
        <f t="shared" si="30"/>
        <v>0.15056470492666757</v>
      </c>
      <c r="W63" s="31">
        <f t="shared" ref="W63:Y63" si="31">IF(W17=0,0,W17/W$10)</f>
        <v>0.14644470943733504</v>
      </c>
      <c r="X63" s="31">
        <f t="shared" si="31"/>
        <v>0.12682091289420305</v>
      </c>
      <c r="Y63" s="31">
        <f t="shared" si="31"/>
        <v>0.10093348464991185</v>
      </c>
      <c r="DA63" s="173"/>
    </row>
    <row r="64" spans="1:105" ht="11.45" customHeight="1" x14ac:dyDescent="0.25">
      <c r="A64" s="83" t="s">
        <v>92</v>
      </c>
      <c r="B64" s="125">
        <f t="shared" si="15"/>
        <v>9.5024485412744594E-2</v>
      </c>
      <c r="C64" s="125">
        <f t="shared" ref="C64:V64" si="32">IF(C18=0,0,C18/C$10)</f>
        <v>7.3724055833545216E-2</v>
      </c>
      <c r="D64" s="125">
        <f t="shared" si="32"/>
        <v>7.4109182360398929E-2</v>
      </c>
      <c r="E64" s="125">
        <f t="shared" si="32"/>
        <v>6.5830637508582229E-2</v>
      </c>
      <c r="F64" s="125">
        <f t="shared" si="32"/>
        <v>5.0237479762787994E-2</v>
      </c>
      <c r="G64" s="125">
        <f t="shared" si="32"/>
        <v>4.1469723916982164E-2</v>
      </c>
      <c r="H64" s="125">
        <f t="shared" si="32"/>
        <v>3.7697593308081402E-2</v>
      </c>
      <c r="I64" s="125">
        <f t="shared" si="32"/>
        <v>3.6804031573070016E-2</v>
      </c>
      <c r="J64" s="125">
        <f t="shared" si="32"/>
        <v>3.5754392370278117E-2</v>
      </c>
      <c r="K64" s="125">
        <f t="shared" si="32"/>
        <v>2.7853328422963255E-2</v>
      </c>
      <c r="L64" s="125">
        <f t="shared" si="32"/>
        <v>2.5766911422416505E-2</v>
      </c>
      <c r="M64" s="125">
        <f t="shared" si="32"/>
        <v>2.6005297210324442E-2</v>
      </c>
      <c r="N64" s="125">
        <f t="shared" si="32"/>
        <v>2.1467887004314026E-2</v>
      </c>
      <c r="O64" s="125">
        <f t="shared" si="32"/>
        <v>2.1772005257773636E-2</v>
      </c>
      <c r="P64" s="125">
        <f t="shared" si="32"/>
        <v>2.0152624647302858E-2</v>
      </c>
      <c r="Q64" s="125">
        <f t="shared" si="32"/>
        <v>2.0942268734510255E-2</v>
      </c>
      <c r="R64" s="125">
        <f t="shared" si="32"/>
        <v>1.9798440595512452E-2</v>
      </c>
      <c r="S64" s="125">
        <f t="shared" si="32"/>
        <v>2.1444449050783833E-2</v>
      </c>
      <c r="T64" s="125">
        <f t="shared" si="32"/>
        <v>2.0009787846968132E-2</v>
      </c>
      <c r="U64" s="125">
        <f t="shared" si="32"/>
        <v>2.1145795517929066E-2</v>
      </c>
      <c r="V64" s="125">
        <f t="shared" si="32"/>
        <v>2.7600242500977281E-2</v>
      </c>
      <c r="W64" s="125">
        <f t="shared" ref="W64:Y64" si="33">IF(W18=0,0,W18/W$10)</f>
        <v>3.112420391705276E-2</v>
      </c>
      <c r="X64" s="125">
        <f t="shared" si="33"/>
        <v>2.4598127778123174E-2</v>
      </c>
      <c r="Y64" s="125">
        <f t="shared" si="33"/>
        <v>1.6953249988726122E-2</v>
      </c>
      <c r="DA64" s="171"/>
    </row>
    <row r="65" spans="1:105" ht="11.45" customHeight="1" x14ac:dyDescent="0.25">
      <c r="A65" s="85" t="s">
        <v>93</v>
      </c>
      <c r="B65" s="127">
        <f t="shared" si="15"/>
        <v>0.17447797958803374</v>
      </c>
      <c r="C65" s="127">
        <f t="shared" ref="C65:V65" si="34">IF(C19=0,0,C19/C$10)</f>
        <v>0.19470702401374251</v>
      </c>
      <c r="D65" s="127">
        <f t="shared" si="34"/>
        <v>0.19037558235149865</v>
      </c>
      <c r="E65" s="127">
        <f t="shared" si="34"/>
        <v>0.19182510152437818</v>
      </c>
      <c r="F65" s="127">
        <f t="shared" si="34"/>
        <v>0.17482430723703551</v>
      </c>
      <c r="G65" s="127">
        <f t="shared" si="34"/>
        <v>0.14746797054875616</v>
      </c>
      <c r="H65" s="127">
        <f t="shared" si="34"/>
        <v>0.13840301952237827</v>
      </c>
      <c r="I65" s="127">
        <f t="shared" si="34"/>
        <v>0.131827496809133</v>
      </c>
      <c r="J65" s="127">
        <f t="shared" si="34"/>
        <v>0.11842342292348459</v>
      </c>
      <c r="K65" s="127">
        <f t="shared" si="34"/>
        <v>0.10020415391650297</v>
      </c>
      <c r="L65" s="127">
        <f t="shared" si="34"/>
        <v>9.8408878445847947E-2</v>
      </c>
      <c r="M65" s="127">
        <f t="shared" si="34"/>
        <v>8.690086915152509E-2</v>
      </c>
      <c r="N65" s="127">
        <f t="shared" si="34"/>
        <v>8.735981218478775E-2</v>
      </c>
      <c r="O65" s="127">
        <f t="shared" si="34"/>
        <v>9.7970247090581414E-2</v>
      </c>
      <c r="P65" s="127">
        <f t="shared" si="34"/>
        <v>9.492552606277907E-2</v>
      </c>
      <c r="Q65" s="127">
        <f t="shared" si="34"/>
        <v>9.47860319962716E-2</v>
      </c>
      <c r="R65" s="127">
        <f t="shared" si="34"/>
        <v>9.0683246782389912E-2</v>
      </c>
      <c r="S65" s="127">
        <f t="shared" si="34"/>
        <v>9.4928589477319955E-2</v>
      </c>
      <c r="T65" s="127">
        <f t="shared" si="34"/>
        <v>9.704858545372394E-2</v>
      </c>
      <c r="U65" s="127">
        <f t="shared" si="34"/>
        <v>9.3775022624212626E-2</v>
      </c>
      <c r="V65" s="127">
        <f t="shared" si="34"/>
        <v>0.12296446242569029</v>
      </c>
      <c r="W65" s="127">
        <f t="shared" ref="W65:Y65" si="35">IF(W19=0,0,W19/W$10)</f>
        <v>0.11532050552028227</v>
      </c>
      <c r="X65" s="127">
        <f t="shared" si="35"/>
        <v>0.10222278511607988</v>
      </c>
      <c r="Y65" s="127">
        <f t="shared" si="35"/>
        <v>8.3980234661185732E-2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1162.8806072399998</v>
      </c>
      <c r="C4" s="26">
        <f t="shared" ref="C4:W4" si="0">SUM(C5:C6)</f>
        <v>767.89827036000008</v>
      </c>
      <c r="D4" s="26">
        <f t="shared" si="0"/>
        <v>790.20234071999982</v>
      </c>
      <c r="E4" s="26">
        <f t="shared" si="0"/>
        <v>741.83261723999976</v>
      </c>
      <c r="F4" s="26">
        <f t="shared" si="0"/>
        <v>738.6757793999999</v>
      </c>
      <c r="G4" s="26">
        <f t="shared" si="0"/>
        <v>669.22774776000006</v>
      </c>
      <c r="H4" s="26">
        <f t="shared" si="0"/>
        <v>647.13041640000006</v>
      </c>
      <c r="I4" s="26">
        <f t="shared" si="0"/>
        <v>602.93628720000004</v>
      </c>
      <c r="J4" s="26">
        <f t="shared" si="0"/>
        <v>625.03335179999999</v>
      </c>
      <c r="K4" s="26">
        <f t="shared" si="0"/>
        <v>571.36897583999996</v>
      </c>
      <c r="L4" s="26">
        <f t="shared" si="0"/>
        <v>539.80166448</v>
      </c>
      <c r="M4" s="26">
        <f t="shared" si="0"/>
        <v>545.43323483999995</v>
      </c>
      <c r="N4" s="26">
        <f t="shared" si="0"/>
        <v>500.5855436400002</v>
      </c>
      <c r="O4" s="26">
        <f t="shared" si="0"/>
        <v>494.72642700000006</v>
      </c>
      <c r="P4" s="26">
        <f t="shared" si="0"/>
        <v>461.13894216000011</v>
      </c>
      <c r="Q4" s="26">
        <f t="shared" si="0"/>
        <v>468.5855475599999</v>
      </c>
      <c r="R4" s="26">
        <f t="shared" si="0"/>
        <v>399.01747391999982</v>
      </c>
      <c r="S4" s="26">
        <f t="shared" si="0"/>
        <v>414.94331268000008</v>
      </c>
      <c r="T4" s="26">
        <f t="shared" si="0"/>
        <v>363.59574731999999</v>
      </c>
      <c r="U4" s="26">
        <f t="shared" si="0"/>
        <v>364.91834340000003</v>
      </c>
      <c r="V4" s="26">
        <f t="shared" si="0"/>
        <v>303.92393615999998</v>
      </c>
      <c r="W4" s="26">
        <f t="shared" si="0"/>
        <v>349.68394655999998</v>
      </c>
      <c r="X4" s="26">
        <f t="shared" ref="X4:Y4" si="1">SUM(X5:X6)</f>
        <v>358.52597351999998</v>
      </c>
      <c r="Y4" s="26">
        <f t="shared" si="1"/>
        <v>338.13990755999987</v>
      </c>
      <c r="DA4" s="202" t="s">
        <v>1137</v>
      </c>
    </row>
    <row r="5" spans="1:105" ht="11.45" customHeight="1" x14ac:dyDescent="0.25">
      <c r="A5" s="107" t="s">
        <v>92</v>
      </c>
      <c r="B5" s="129">
        <v>1162.8806072399998</v>
      </c>
      <c r="C5" s="129">
        <v>767.89827036000008</v>
      </c>
      <c r="D5" s="129">
        <v>790.20234071999982</v>
      </c>
      <c r="E5" s="129">
        <v>741.83261723999976</v>
      </c>
      <c r="F5" s="129">
        <v>738.6757793999999</v>
      </c>
      <c r="G5" s="129">
        <v>669.22774776000006</v>
      </c>
      <c r="H5" s="129">
        <v>647.13041640000006</v>
      </c>
      <c r="I5" s="129">
        <v>602.93628720000004</v>
      </c>
      <c r="J5" s="129">
        <v>625.03335179999999</v>
      </c>
      <c r="K5" s="129">
        <v>571.36897583999996</v>
      </c>
      <c r="L5" s="129">
        <v>539.80166448</v>
      </c>
      <c r="M5" s="129">
        <v>545.43323483999995</v>
      </c>
      <c r="N5" s="129">
        <v>500.5855436400002</v>
      </c>
      <c r="O5" s="129">
        <v>494.72642700000006</v>
      </c>
      <c r="P5" s="129">
        <v>461.13894216000011</v>
      </c>
      <c r="Q5" s="129">
        <v>468.5855475599999</v>
      </c>
      <c r="R5" s="129">
        <v>399.01747391999982</v>
      </c>
      <c r="S5" s="129">
        <v>414.94331268000008</v>
      </c>
      <c r="T5" s="129">
        <v>363.59574731999999</v>
      </c>
      <c r="U5" s="129">
        <v>364.91834340000003</v>
      </c>
      <c r="V5" s="129">
        <v>303.92393615999998</v>
      </c>
      <c r="W5" s="129">
        <v>349.68394655999998</v>
      </c>
      <c r="X5" s="129">
        <v>358.52597351999998</v>
      </c>
      <c r="Y5" s="129">
        <v>338.13990755999987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1162.8806072399998</v>
      </c>
      <c r="C8" s="79">
        <f t="shared" si="2"/>
        <v>767.89827035999997</v>
      </c>
      <c r="D8" s="79">
        <f t="shared" si="2"/>
        <v>790.20234071999982</v>
      </c>
      <c r="E8" s="79">
        <f t="shared" si="2"/>
        <v>741.83261723999976</v>
      </c>
      <c r="F8" s="79">
        <f t="shared" si="2"/>
        <v>738.6757793999999</v>
      </c>
      <c r="G8" s="79">
        <f t="shared" si="2"/>
        <v>669.22774776000006</v>
      </c>
      <c r="H8" s="79">
        <f t="shared" si="2"/>
        <v>647.13041640000006</v>
      </c>
      <c r="I8" s="79">
        <f t="shared" si="2"/>
        <v>602.93628720000004</v>
      </c>
      <c r="J8" s="79">
        <f t="shared" si="2"/>
        <v>625.03335179999988</v>
      </c>
      <c r="K8" s="79">
        <f t="shared" si="2"/>
        <v>571.36897583999996</v>
      </c>
      <c r="L8" s="79">
        <f t="shared" si="2"/>
        <v>539.80166448</v>
      </c>
      <c r="M8" s="79">
        <f t="shared" si="2"/>
        <v>545.43323483999995</v>
      </c>
      <c r="N8" s="79">
        <f t="shared" si="2"/>
        <v>500.5855436400002</v>
      </c>
      <c r="O8" s="79">
        <f t="shared" si="2"/>
        <v>494.72642700000006</v>
      </c>
      <c r="P8" s="79">
        <f t="shared" si="2"/>
        <v>461.13894216000011</v>
      </c>
      <c r="Q8" s="79">
        <f t="shared" si="2"/>
        <v>468.5855475599999</v>
      </c>
      <c r="R8" s="79">
        <f t="shared" si="2"/>
        <v>399.01747391999982</v>
      </c>
      <c r="S8" s="79">
        <f t="shared" si="2"/>
        <v>414.94331268000002</v>
      </c>
      <c r="T8" s="79">
        <f t="shared" si="2"/>
        <v>363.59574732000004</v>
      </c>
      <c r="U8" s="79">
        <f t="shared" si="2"/>
        <v>364.91834340000003</v>
      </c>
      <c r="V8" s="79">
        <f t="shared" si="2"/>
        <v>303.92393616000004</v>
      </c>
      <c r="W8" s="79">
        <f t="shared" si="2"/>
        <v>349.68394655999998</v>
      </c>
      <c r="X8" s="79">
        <f t="shared" ref="X8:Y8" si="3">SUM(X9,X15)</f>
        <v>358.52597351999998</v>
      </c>
      <c r="Y8" s="79">
        <f t="shared" si="3"/>
        <v>338.13990755999987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814.55284173035227</v>
      </c>
      <c r="C9" s="32">
        <f t="shared" si="4"/>
        <v>523.52838705770421</v>
      </c>
      <c r="D9" s="32">
        <f t="shared" si="4"/>
        <v>540.51086582687185</v>
      </c>
      <c r="E9" s="32">
        <f t="shared" si="4"/>
        <v>521.12798342809765</v>
      </c>
      <c r="F9" s="32">
        <f t="shared" si="4"/>
        <v>567.23143646348103</v>
      </c>
      <c r="G9" s="32">
        <f t="shared" si="4"/>
        <v>532.38810473560852</v>
      </c>
      <c r="H9" s="32">
        <f t="shared" si="4"/>
        <v>522.35406901646104</v>
      </c>
      <c r="I9" s="32">
        <f t="shared" si="4"/>
        <v>482.29246680807194</v>
      </c>
      <c r="J9" s="32">
        <f t="shared" si="4"/>
        <v>503.3013534906267</v>
      </c>
      <c r="K9" s="32">
        <f t="shared" si="4"/>
        <v>480.56592704682083</v>
      </c>
      <c r="L9" s="32">
        <f t="shared" si="4"/>
        <v>456.90250738746397</v>
      </c>
      <c r="M9" s="32">
        <f t="shared" si="4"/>
        <v>463.28653327571863</v>
      </c>
      <c r="N9" s="32">
        <f t="shared" si="4"/>
        <v>432.70316479467823</v>
      </c>
      <c r="O9" s="32">
        <f t="shared" si="4"/>
        <v>425.52300291910524</v>
      </c>
      <c r="P9" s="32">
        <f t="shared" si="4"/>
        <v>399.35649607266606</v>
      </c>
      <c r="Q9" s="32">
        <f t="shared" si="4"/>
        <v>403.55422838615135</v>
      </c>
      <c r="R9" s="32">
        <f t="shared" si="4"/>
        <v>341.65481607943474</v>
      </c>
      <c r="S9" s="32">
        <f t="shared" si="4"/>
        <v>353.7751175429068</v>
      </c>
      <c r="T9" s="32">
        <f t="shared" si="4"/>
        <v>310.89023984188401</v>
      </c>
      <c r="U9" s="32">
        <f t="shared" si="4"/>
        <v>309.42440623729971</v>
      </c>
      <c r="V9" s="32">
        <f t="shared" si="4"/>
        <v>244.74632541668004</v>
      </c>
      <c r="W9" s="32">
        <f t="shared" si="4"/>
        <v>274.95623990365431</v>
      </c>
      <c r="X9" s="32">
        <f t="shared" ref="X9:Y9" si="5">SUM(X10,X11,X14)</f>
        <v>296.29057065850861</v>
      </c>
      <c r="Y9" s="32">
        <f t="shared" si="5"/>
        <v>292.05189505251701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814.55284173035227</v>
      </c>
      <c r="C11" s="130">
        <f t="shared" si="6"/>
        <v>523.52838705770421</v>
      </c>
      <c r="D11" s="130">
        <f t="shared" si="6"/>
        <v>540.51086582687185</v>
      </c>
      <c r="E11" s="130">
        <f t="shared" si="6"/>
        <v>521.12798342809765</v>
      </c>
      <c r="F11" s="130">
        <f t="shared" si="6"/>
        <v>567.23143646348103</v>
      </c>
      <c r="G11" s="130">
        <f t="shared" si="6"/>
        <v>532.38810473560852</v>
      </c>
      <c r="H11" s="130">
        <f t="shared" si="6"/>
        <v>522.35406901646104</v>
      </c>
      <c r="I11" s="130">
        <f t="shared" si="6"/>
        <v>482.29246680807194</v>
      </c>
      <c r="J11" s="130">
        <f t="shared" si="6"/>
        <v>503.3013534906267</v>
      </c>
      <c r="K11" s="130">
        <f t="shared" si="6"/>
        <v>480.56592704682083</v>
      </c>
      <c r="L11" s="130">
        <f t="shared" si="6"/>
        <v>456.90250738746397</v>
      </c>
      <c r="M11" s="130">
        <f t="shared" si="6"/>
        <v>463.28653327571863</v>
      </c>
      <c r="N11" s="130">
        <f t="shared" si="6"/>
        <v>432.70316479467823</v>
      </c>
      <c r="O11" s="130">
        <f t="shared" si="6"/>
        <v>425.52300291910524</v>
      </c>
      <c r="P11" s="130">
        <f t="shared" si="6"/>
        <v>399.35649607266606</v>
      </c>
      <c r="Q11" s="130">
        <f t="shared" si="6"/>
        <v>403.55422838615135</v>
      </c>
      <c r="R11" s="130">
        <f t="shared" si="6"/>
        <v>341.65481607943474</v>
      </c>
      <c r="S11" s="130">
        <f t="shared" si="6"/>
        <v>353.7751175429068</v>
      </c>
      <c r="T11" s="130">
        <f t="shared" si="6"/>
        <v>310.89023984188401</v>
      </c>
      <c r="U11" s="130">
        <f t="shared" si="6"/>
        <v>309.42440623729971</v>
      </c>
      <c r="V11" s="130">
        <f t="shared" si="6"/>
        <v>244.74632541668004</v>
      </c>
      <c r="W11" s="130">
        <f t="shared" si="6"/>
        <v>274.95623990365431</v>
      </c>
      <c r="X11" s="130">
        <f t="shared" ref="X11:Y11" si="7">SUM(X12:X13)</f>
        <v>296.29057065850861</v>
      </c>
      <c r="Y11" s="130">
        <f t="shared" si="7"/>
        <v>292.05189505251701</v>
      </c>
      <c r="DA11" s="176" t="s">
        <v>409</v>
      </c>
    </row>
    <row r="12" spans="1:105" ht="11.45" customHeight="1" x14ac:dyDescent="0.25">
      <c r="A12" s="111" t="s">
        <v>92</v>
      </c>
      <c r="B12" s="96">
        <v>814.55284173035227</v>
      </c>
      <c r="C12" s="96">
        <v>523.52838705770421</v>
      </c>
      <c r="D12" s="96">
        <v>540.51086582687185</v>
      </c>
      <c r="E12" s="96">
        <v>521.12798342809765</v>
      </c>
      <c r="F12" s="96">
        <v>567.23143646348103</v>
      </c>
      <c r="G12" s="96">
        <v>532.38810473560852</v>
      </c>
      <c r="H12" s="96">
        <v>522.35406901646104</v>
      </c>
      <c r="I12" s="96">
        <v>482.29246680807194</v>
      </c>
      <c r="J12" s="96">
        <v>503.3013534906267</v>
      </c>
      <c r="K12" s="96">
        <v>480.56592704682083</v>
      </c>
      <c r="L12" s="96">
        <v>456.90250738746397</v>
      </c>
      <c r="M12" s="96">
        <v>463.28653327571863</v>
      </c>
      <c r="N12" s="96">
        <v>432.70316479467823</v>
      </c>
      <c r="O12" s="96">
        <v>425.52300291910524</v>
      </c>
      <c r="P12" s="96">
        <v>399.35649607266606</v>
      </c>
      <c r="Q12" s="96">
        <v>403.55422838615135</v>
      </c>
      <c r="R12" s="96">
        <v>341.65481607943474</v>
      </c>
      <c r="S12" s="96">
        <v>353.7751175429068</v>
      </c>
      <c r="T12" s="96">
        <v>310.89023984188401</v>
      </c>
      <c r="U12" s="96">
        <v>309.42440623729971</v>
      </c>
      <c r="V12" s="96">
        <v>244.74632541668004</v>
      </c>
      <c r="W12" s="96">
        <v>274.95623990365431</v>
      </c>
      <c r="X12" s="96">
        <v>296.29057065850861</v>
      </c>
      <c r="Y12" s="96">
        <v>292.05189505251701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348.32776550964746</v>
      </c>
      <c r="C15" s="32">
        <f t="shared" si="8"/>
        <v>244.36988330229579</v>
      </c>
      <c r="D15" s="32">
        <f t="shared" si="8"/>
        <v>249.691474893128</v>
      </c>
      <c r="E15" s="32">
        <f t="shared" si="8"/>
        <v>220.70463381190208</v>
      </c>
      <c r="F15" s="32">
        <f t="shared" si="8"/>
        <v>171.44434293651889</v>
      </c>
      <c r="G15" s="32">
        <f t="shared" si="8"/>
        <v>136.83964302439153</v>
      </c>
      <c r="H15" s="32">
        <f t="shared" si="8"/>
        <v>124.77634738353896</v>
      </c>
      <c r="I15" s="32">
        <f t="shared" si="8"/>
        <v>120.6438203919281</v>
      </c>
      <c r="J15" s="32">
        <f t="shared" si="8"/>
        <v>121.73199830937322</v>
      </c>
      <c r="K15" s="32">
        <f t="shared" si="8"/>
        <v>90.80304879317913</v>
      </c>
      <c r="L15" s="32">
        <f t="shared" si="8"/>
        <v>82.899157092536043</v>
      </c>
      <c r="M15" s="32">
        <f t="shared" si="8"/>
        <v>82.146701564281344</v>
      </c>
      <c r="N15" s="32">
        <f t="shared" si="8"/>
        <v>67.882378845321995</v>
      </c>
      <c r="O15" s="32">
        <f t="shared" si="8"/>
        <v>69.203424080894848</v>
      </c>
      <c r="P15" s="32">
        <f t="shared" si="8"/>
        <v>61.782446087334066</v>
      </c>
      <c r="Q15" s="32">
        <f t="shared" si="8"/>
        <v>65.031319173848544</v>
      </c>
      <c r="R15" s="32">
        <f t="shared" si="8"/>
        <v>57.362657840565085</v>
      </c>
      <c r="S15" s="32">
        <f t="shared" si="8"/>
        <v>61.168195137093235</v>
      </c>
      <c r="T15" s="32">
        <f t="shared" si="8"/>
        <v>52.705507478116012</v>
      </c>
      <c r="U15" s="32">
        <f t="shared" si="8"/>
        <v>55.493937162700313</v>
      </c>
      <c r="V15" s="32">
        <f t="shared" si="8"/>
        <v>59.177610743320002</v>
      </c>
      <c r="W15" s="32">
        <f t="shared" si="8"/>
        <v>74.727706656345688</v>
      </c>
      <c r="X15" s="32">
        <f t="shared" ref="X15:Y15" si="9">SUM(X16:X17)</f>
        <v>62.235402861491337</v>
      </c>
      <c r="Y15" s="32">
        <f t="shared" si="9"/>
        <v>46.088012507482837</v>
      </c>
      <c r="DA15" s="173" t="s">
        <v>414</v>
      </c>
    </row>
    <row r="16" spans="1:105" ht="11.45" customHeight="1" x14ac:dyDescent="0.25">
      <c r="A16" s="83" t="s">
        <v>92</v>
      </c>
      <c r="B16" s="96">
        <v>348.32776550964746</v>
      </c>
      <c r="C16" s="96">
        <v>244.36988330229579</v>
      </c>
      <c r="D16" s="96">
        <v>249.691474893128</v>
      </c>
      <c r="E16" s="96">
        <v>220.70463381190208</v>
      </c>
      <c r="F16" s="96">
        <v>171.44434293651889</v>
      </c>
      <c r="G16" s="96">
        <v>136.83964302439153</v>
      </c>
      <c r="H16" s="96">
        <v>124.77634738353896</v>
      </c>
      <c r="I16" s="96">
        <v>120.6438203919281</v>
      </c>
      <c r="J16" s="96">
        <v>121.73199830937322</v>
      </c>
      <c r="K16" s="96">
        <v>90.80304879317913</v>
      </c>
      <c r="L16" s="96">
        <v>82.899157092536043</v>
      </c>
      <c r="M16" s="96">
        <v>82.146701564281344</v>
      </c>
      <c r="N16" s="96">
        <v>67.882378845321995</v>
      </c>
      <c r="O16" s="96">
        <v>69.203424080894848</v>
      </c>
      <c r="P16" s="96">
        <v>61.782446087334066</v>
      </c>
      <c r="Q16" s="96">
        <v>65.031319173848544</v>
      </c>
      <c r="R16" s="96">
        <v>57.362657840565085</v>
      </c>
      <c r="S16" s="96">
        <v>61.168195137093235</v>
      </c>
      <c r="T16" s="96">
        <v>52.705507478116012</v>
      </c>
      <c r="U16" s="96">
        <v>55.493937162700313</v>
      </c>
      <c r="V16" s="96">
        <v>59.177610743320002</v>
      </c>
      <c r="W16" s="96">
        <v>74.727706656345688</v>
      </c>
      <c r="X16" s="96">
        <v>62.235402861491337</v>
      </c>
      <c r="Y16" s="96">
        <v>46.088012507482837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0.98442486362745485</v>
      </c>
      <c r="C22" s="134">
        <f>IF(C4=0,0,C4/TrRail_ene!C4)</f>
        <v>0.7187297980185281</v>
      </c>
      <c r="D22" s="134">
        <f>IF(D4=0,0,D4/TrRail_ene!D4)</f>
        <v>0.72762404513345846</v>
      </c>
      <c r="E22" s="134">
        <f>IF(E4=0,0,E4/TrRail_ene!E4)</f>
        <v>0.68647220498041861</v>
      </c>
      <c r="F22" s="134">
        <f>IF(F4=0,0,F4/TrRail_ene!F4)</f>
        <v>0.67152002388966203</v>
      </c>
      <c r="G22" s="134">
        <f>IF(G4=0,0,G4/TrRail_ene!G4)</f>
        <v>0.62920704197076005</v>
      </c>
      <c r="H22" s="134">
        <f>IF(H4=0,0,H4/TrRail_ene!H4)</f>
        <v>0.60655975695561459</v>
      </c>
      <c r="I22" s="134">
        <f>IF(I4=0,0,I4/TrRail_ene!I4)</f>
        <v>0.57063993158781345</v>
      </c>
      <c r="J22" s="134">
        <f>IF(J4=0,0,J4/TrRail_ene!J4)</f>
        <v>0.56954529158058165</v>
      </c>
      <c r="K22" s="134">
        <f>IF(K4=0,0,K4/TrRail_ene!K4)</f>
        <v>0.54374308675372418</v>
      </c>
      <c r="L22" s="134">
        <f>IF(L4=0,0,L4/TrRail_ene!L4)</f>
        <v>0.52053135213278867</v>
      </c>
      <c r="M22" s="134">
        <f>IF(M4=0,0,M4/TrRail_ene!M4)</f>
        <v>0.53569021362361802</v>
      </c>
      <c r="N22" s="134">
        <f>IF(N4=0,0,N4/TrRail_ene!N4)</f>
        <v>0.49114641066151554</v>
      </c>
      <c r="O22" s="134">
        <f>IF(O4=0,0,O4/TrRail_ene!O4)</f>
        <v>0.48287684512431189</v>
      </c>
      <c r="P22" s="134">
        <f>IF(P4=0,0,P4/TrRail_ene!P4)</f>
        <v>0.46665802598129186</v>
      </c>
      <c r="Q22" s="134">
        <f>IF(Q4=0,0,Q4/TrRail_ene!Q4)</f>
        <v>0.46815587466179354</v>
      </c>
      <c r="R22" s="134">
        <f>IF(R4=0,0,R4/TrRail_ene!R4)</f>
        <v>0.41401318823216521</v>
      </c>
      <c r="S22" s="134">
        <f>IF(S4=0,0,S4/TrRail_ene!S4)</f>
        <v>0.42949472697763941</v>
      </c>
      <c r="T22" s="134">
        <f>IF(T4=0,0,T4/TrRail_ene!T4)</f>
        <v>0.401057367695002</v>
      </c>
      <c r="U22" s="134">
        <f>IF(U4=0,0,U4/TrRail_ene!U4)</f>
        <v>0.40451570007298254</v>
      </c>
      <c r="V22" s="134">
        <f>IF(V4=0,0,V4/TrRail_ene!V4)</f>
        <v>0.41247511503709156</v>
      </c>
      <c r="W22" s="134">
        <f>IF(W4=0,0,W4/TrRail_ene!W4)</f>
        <v>0.42530340371338227</v>
      </c>
      <c r="X22" s="134">
        <f>IF(X4=0,0,X4/TrRail_ene!X4)</f>
        <v>0.4033815901272701</v>
      </c>
      <c r="Y22" s="134">
        <f>IF(Y4=0,0,Y4/TrRail_ene!Y4)</f>
        <v>0.35121253331083935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1.5515651554732757</v>
      </c>
      <c r="C23" s="129">
        <f>IF(C5=0,0,C5/SUM(TrRail_ene!C5:C7))</f>
        <v>1.5512093999999998</v>
      </c>
      <c r="D23" s="129">
        <f>IF(D5=0,0,D5/SUM(TrRail_ene!D5:D7))</f>
        <v>1.5512094000000001</v>
      </c>
      <c r="E23" s="129">
        <f>IF(E5=0,0,E5/SUM(TrRail_ene!E5:E7))</f>
        <v>1.5512093999999998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1.5512093999999998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1.5031092449524441</v>
      </c>
      <c r="S23" s="129">
        <f>IF(S5=0,0,S5/SUM(TrRail_ene!S5:S7))</f>
        <v>1.4762157823268569</v>
      </c>
      <c r="T23" s="129">
        <f>IF(T5=0,0,T5/SUM(TrRail_ene!T5:T7))</f>
        <v>1.4526842355737399</v>
      </c>
      <c r="U23" s="129">
        <f>IF(U5=0,0,U5/SUM(TrRail_ene!U5:U7))</f>
        <v>1.4545585304648418</v>
      </c>
      <c r="V23" s="129">
        <f>IF(V5=0,0,V5/SUM(TrRail_ene!V5:V7))</f>
        <v>1.4549476936765195</v>
      </c>
      <c r="W23" s="129">
        <f>IF(W5=0,0,W5/SUM(TrRail_ene!W5:W7))</f>
        <v>1.460079723902254</v>
      </c>
      <c r="X23" s="129">
        <f>IF(X5=0,0,X5/SUM(TrRail_ene!X5:X7))</f>
        <v>1.4233146064015512</v>
      </c>
      <c r="Y23" s="129">
        <f>IF(Y5=0,0,Y5/SUM(TrRail_ene!Y5:Y7))</f>
        <v>1.4118176091749168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2091.3490943609786</v>
      </c>
      <c r="C26" s="54">
        <f>IF(C8=0,0,C8/TrRail_act!C14*1000)</f>
        <v>1417.8110078324596</v>
      </c>
      <c r="D26" s="54">
        <f>IF(D8=0,0,D8/TrRail_act!D14*1000)</f>
        <v>1421.9633690482272</v>
      </c>
      <c r="E26" s="54">
        <f>IF(E8=0,0,E8/TrRail_act!E14*1000)</f>
        <v>1270.0090605618525</v>
      </c>
      <c r="F26" s="54">
        <f>IF(F8=0,0,F8/TrRail_act!F14*1000)</f>
        <v>1203.5829788429139</v>
      </c>
      <c r="G26" s="54">
        <f>IF(G8=0,0,G8/TrRail_act!G14*1000)</f>
        <v>1090.3722850280442</v>
      </c>
      <c r="H26" s="54">
        <f>IF(H8=0,0,H8/TrRail_act!H14*1000)</f>
        <v>1025.7539395514068</v>
      </c>
      <c r="I26" s="54">
        <f>IF(I8=0,0,I8/TrRail_act!I14*1000)</f>
        <v>948.36629419014992</v>
      </c>
      <c r="J26" s="54">
        <f>IF(J8=0,0,J8/TrRail_act!J14*1000)</f>
        <v>922.74302953321489</v>
      </c>
      <c r="K26" s="54">
        <f>IF(K8=0,0,K8/TrRail_act!K14*1000)</f>
        <v>869.62976398720309</v>
      </c>
      <c r="L26" s="54">
        <f>IF(L8=0,0,L8/TrRail_act!L14*1000)</f>
        <v>818.56817229590013</v>
      </c>
      <c r="M26" s="54">
        <f>IF(M8=0,0,M8/TrRail_act!M14*1000)</f>
        <v>834.8201300931853</v>
      </c>
      <c r="N26" s="54">
        <f>IF(N8=0,0,N8/TrRail_act!N14*1000)</f>
        <v>747.72201328591962</v>
      </c>
      <c r="O26" s="54">
        <f>IF(O8=0,0,O8/TrRail_act!O14*1000)</f>
        <v>715.853082638665</v>
      </c>
      <c r="P26" s="54">
        <f>IF(P8=0,0,P8/TrRail_act!P14*1000)</f>
        <v>673.70451162735776</v>
      </c>
      <c r="Q26" s="54">
        <f>IF(Q8=0,0,Q8/TrRail_act!Q14*1000)</f>
        <v>662.38789856542962</v>
      </c>
      <c r="R26" s="54">
        <f>IF(R8=0,0,R8/TrRail_act!R14*1000)</f>
        <v>571.50351428185968</v>
      </c>
      <c r="S26" s="54">
        <f>IF(S8=0,0,S8/TrRail_act!S14*1000)</f>
        <v>598.00846586594912</v>
      </c>
      <c r="T26" s="54">
        <f>IF(T8=0,0,T8/TrRail_act!T14*1000)</f>
        <v>546.14496961498639</v>
      </c>
      <c r="U26" s="54">
        <f>IF(U8=0,0,U8/TrRail_act!U14*1000)</f>
        <v>554.89163790887199</v>
      </c>
      <c r="V26" s="54">
        <f>IF(V8=0,0,V8/TrRail_act!V14*1000)</f>
        <v>573.42794171545779</v>
      </c>
      <c r="W26" s="54">
        <f>IF(W8=0,0,W8/TrRail_act!W14*1000)</f>
        <v>597.25367990034601</v>
      </c>
      <c r="X26" s="54">
        <f>IF(X8=0,0,X8/TrRail_act!X14*1000)</f>
        <v>572.12118333654996</v>
      </c>
      <c r="Y26" s="54">
        <f>IF(Y8=0,0,Y8/TrRail_act!Y14*1000)</f>
        <v>489.18694687134212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1811.9711141253576</v>
      </c>
      <c r="C27" s="28">
        <f>IF(C9=0,0,C9/TrRail_act!C15*1000)</f>
        <v>1194.9578896382761</v>
      </c>
      <c r="D27" s="28">
        <f>IF(D9=0,0,D9/TrRail_act!D15*1000)</f>
        <v>1198.5398179941135</v>
      </c>
      <c r="E27" s="28">
        <f>IF(E9=0,0,E9/TrRail_act!E15*1000)</f>
        <v>1101.1630089931027</v>
      </c>
      <c r="F27" s="28">
        <f>IF(F9=0,0,F9/TrRail_act!F15*1000)</f>
        <v>1113.2736602625866</v>
      </c>
      <c r="G27" s="28">
        <f>IF(G9=0,0,G9/TrRail_act!G15*1000)</f>
        <v>1013.9421589018805</v>
      </c>
      <c r="H27" s="28">
        <f>IF(H9=0,0,H9/TrRail_act!H15*1000)</f>
        <v>959.34670958586162</v>
      </c>
      <c r="I27" s="28">
        <f>IF(I9=0,0,I9/TrRail_act!I15*1000)</f>
        <v>874.52119439144576</v>
      </c>
      <c r="J27" s="28">
        <f>IF(J9=0,0,J9/TrRail_act!J15*1000)</f>
        <v>845.2787208225194</v>
      </c>
      <c r="K27" s="28">
        <f>IF(K9=0,0,K9/TrRail_act!K15*1000)</f>
        <v>814.94153305011559</v>
      </c>
      <c r="L27" s="28">
        <f>IF(L9=0,0,L9/TrRail_act!L15*1000)</f>
        <v>769.52252277384116</v>
      </c>
      <c r="M27" s="28">
        <f>IF(M9=0,0,M9/TrRail_act!M15*1000)</f>
        <v>779.19231539929388</v>
      </c>
      <c r="N27" s="28">
        <f>IF(N9=0,0,N9/TrRail_act!N15*1000)</f>
        <v>709.29543975943966</v>
      </c>
      <c r="O27" s="28">
        <f>IF(O9=0,0,O9/TrRail_act!O15*1000)</f>
        <v>682.0123500599384</v>
      </c>
      <c r="P27" s="28">
        <f>IF(P9=0,0,P9/TrRail_act!P15*1000)</f>
        <v>644.44731600241016</v>
      </c>
      <c r="Q27" s="28">
        <f>IF(Q9=0,0,Q9/TrRail_act!Q15*1000)</f>
        <v>630.58241516472538</v>
      </c>
      <c r="R27" s="28">
        <f>IF(R9=0,0,R9/TrRail_act!R15*1000)</f>
        <v>538.16784378305999</v>
      </c>
      <c r="S27" s="28">
        <f>IF(S9=0,0,S9/TrRail_act!S15*1000)</f>
        <v>564.31369652532032</v>
      </c>
      <c r="T27" s="28">
        <f>IF(T9=0,0,T9/TrRail_act!T15*1000)</f>
        <v>516.72609728439443</v>
      </c>
      <c r="U27" s="28">
        <f>IF(U9=0,0,U9/TrRail_act!U15*1000)</f>
        <v>519.62824581659936</v>
      </c>
      <c r="V27" s="28">
        <f>IF(V9=0,0,V9/TrRail_act!V15*1000)</f>
        <v>528.2577572559519</v>
      </c>
      <c r="W27" s="28">
        <f>IF(W9=0,0,W9/TrRail_act!W15*1000)</f>
        <v>534.30470659452033</v>
      </c>
      <c r="X27" s="28">
        <f>IF(X9=0,0,X9/TrRail_act!X15*1000)</f>
        <v>529.79660337593373</v>
      </c>
      <c r="Y27" s="28">
        <f>IF(Y9=0,0,Y9/TrRail_act!Y15*1000)</f>
        <v>462.1881215415612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2951.061722693441</v>
      </c>
      <c r="C29" s="110">
        <f>IF(C11=0,0,C11/TrRail_act!C17*1000)</f>
        <v>2110.7290104573763</v>
      </c>
      <c r="D29" s="110">
        <f>IF(D11=0,0,D11/TrRail_act!D17*1000)</f>
        <v>2147.8765785120922</v>
      </c>
      <c r="E29" s="110">
        <f>IF(E11=0,0,E11/TrRail_act!E17*1000)</f>
        <v>1911.3778479387922</v>
      </c>
      <c r="F29" s="110">
        <f>IF(F11=0,0,F11/TrRail_act!F17*1000)</f>
        <v>1943.0497653447374</v>
      </c>
      <c r="G29" s="110">
        <f>IF(G11=0,0,G11/TrRail_act!G17*1000)</f>
        <v>1757.6779236347784</v>
      </c>
      <c r="H29" s="110">
        <f>IF(H11=0,0,H11/TrRail_act!H17*1000)</f>
        <v>1639.5389370330813</v>
      </c>
      <c r="I29" s="110">
        <f>IF(I11=0,0,I11/TrRail_act!I17*1000)</f>
        <v>1501.3259113738591</v>
      </c>
      <c r="J29" s="110">
        <f>IF(J11=0,0,J11/TrRail_act!J17*1000)</f>
        <v>1464.7525686154854</v>
      </c>
      <c r="K29" s="110">
        <f>IF(K11=0,0,K11/TrRail_act!K17*1000)</f>
        <v>1379.024108827339</v>
      </c>
      <c r="L29" s="110">
        <f>IF(L11=0,0,L11/TrRail_act!L17*1000)</f>
        <v>1293.7292487360337</v>
      </c>
      <c r="M29" s="110">
        <f>IF(M11=0,0,M11/TrRail_act!M17*1000)</f>
        <v>1326.7045445767051</v>
      </c>
      <c r="N29" s="110">
        <f>IF(N11=0,0,N11/TrRail_act!N17*1000)</f>
        <v>1212.3458342335712</v>
      </c>
      <c r="O29" s="110">
        <f>IF(O11=0,0,O11/TrRail_act!O17*1000)</f>
        <v>1160.7273637433188</v>
      </c>
      <c r="P29" s="110">
        <f>IF(P11=0,0,P11/TrRail_act!P17*1000)</f>
        <v>1091.4235196919635</v>
      </c>
      <c r="Q29" s="110">
        <f>IF(Q11=0,0,Q11/TrRail_act!Q17*1000)</f>
        <v>1048.2199463318636</v>
      </c>
      <c r="R29" s="110">
        <f>IF(R11=0,0,R11/TrRail_act!R17*1000)</f>
        <v>892.5581264391443</v>
      </c>
      <c r="S29" s="110">
        <f>IF(S11=0,0,S11/TrRail_act!S17*1000)</f>
        <v>965.23921628355038</v>
      </c>
      <c r="T29" s="110">
        <f>IF(T11=0,0,T11/TrRail_act!T17*1000)</f>
        <v>894.67736208141309</v>
      </c>
      <c r="U29" s="110">
        <f>IF(U11=0,0,U11/TrRail_act!U17*1000)</f>
        <v>907.24979696544096</v>
      </c>
      <c r="V29" s="110">
        <f>IF(V11=0,0,V11/TrRail_act!V17*1000)</f>
        <v>907.7958480528323</v>
      </c>
      <c r="W29" s="110">
        <f>IF(W11=0,0,W11/TrRail_act!W17*1000)</f>
        <v>980.95788013330014</v>
      </c>
      <c r="X29" s="110">
        <f>IF(X11=0,0,X11/TrRail_act!X17*1000)</f>
        <v>941.84473831096454</v>
      </c>
      <c r="Y29" s="110">
        <f>IF(Y11=0,0,Y11/TrRail_act!Y17*1000)</f>
        <v>763.95418535593922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10679.213098246964</v>
      </c>
      <c r="C30" s="84">
        <f>IF(C12=0,0,C12/TrRail_act!C18*1000)</f>
        <v>8479.7941912039059</v>
      </c>
      <c r="D30" s="84">
        <f>IF(D12=0,0,D12/TrRail_act!D18*1000)</f>
        <v>8315.506143766208</v>
      </c>
      <c r="E30" s="84">
        <f>IF(E12=0,0,E12/TrRail_act!E18*1000)</f>
        <v>8159.3765366220359</v>
      </c>
      <c r="F30" s="84">
        <f>IF(F12=0,0,F12/TrRail_act!F18*1000)</f>
        <v>8084.8220827272744</v>
      </c>
      <c r="G30" s="84">
        <f>IF(G12=0,0,G12/TrRail_act!G18*1000)</f>
        <v>8006.2801164207631</v>
      </c>
      <c r="H30" s="84">
        <f>IF(H12=0,0,H12/TrRail_act!H18*1000)</f>
        <v>7904.6961528855272</v>
      </c>
      <c r="I30" s="84">
        <f>IF(I12=0,0,I12/TrRail_act!I18*1000)</f>
        <v>7797.6699104540485</v>
      </c>
      <c r="J30" s="84">
        <f>IF(J12=0,0,J12/TrRail_act!J18*1000)</f>
        <v>7591.744899106292</v>
      </c>
      <c r="K30" s="84">
        <f>IF(K12=0,0,K12/TrRail_act!K18*1000)</f>
        <v>7336.3073275715151</v>
      </c>
      <c r="L30" s="84">
        <f>IF(L12=0,0,L12/TrRail_act!L18*1000)</f>
        <v>7174.3185682375124</v>
      </c>
      <c r="M30" s="84">
        <f>IF(M12=0,0,M12/TrRail_act!M18*1000)</f>
        <v>7009.1119274330949</v>
      </c>
      <c r="N30" s="84">
        <f>IF(N12=0,0,N12/TrRail_act!N18*1000)</f>
        <v>6879.9430654347152</v>
      </c>
      <c r="O30" s="84">
        <f>IF(O12=0,0,O12/TrRail_act!O18*1000)</f>
        <v>6778.665605507691</v>
      </c>
      <c r="P30" s="84">
        <f>IF(P12=0,0,P12/TrRail_act!P18*1000)</f>
        <v>6669.9042893316691</v>
      </c>
      <c r="Q30" s="84">
        <f>IF(Q12=0,0,Q12/TrRail_act!Q18*1000)</f>
        <v>6582.7643819414434</v>
      </c>
      <c r="R30" s="84">
        <f>IF(R12=0,0,R12/TrRail_act!R18*1000)</f>
        <v>6221.3006665961475</v>
      </c>
      <c r="S30" s="84">
        <f>IF(S12=0,0,S12/TrRail_act!S18*1000)</f>
        <v>6026.5827203501476</v>
      </c>
      <c r="T30" s="84">
        <f>IF(T12=0,0,T12/TrRail_act!T18*1000)</f>
        <v>5869.6942075403194</v>
      </c>
      <c r="U30" s="84">
        <f>IF(U12=0,0,U12/TrRail_act!U18*1000)</f>
        <v>5832.0022879316284</v>
      </c>
      <c r="V30" s="84">
        <f>IF(V12=0,0,V12/TrRail_act!V18*1000)</f>
        <v>5799.8336564206484</v>
      </c>
      <c r="W30" s="84">
        <f>IF(W12=0,0,W12/TrRail_act!W18*1000)</f>
        <v>5795.0339209090007</v>
      </c>
      <c r="X30" s="84">
        <f>IF(X12=0,0,X12/TrRail_act!X18*1000)</f>
        <v>5630.7177742500398</v>
      </c>
      <c r="Y30" s="84">
        <f>IF(Y12=0,0,Y12/TrRail_act!Y18*1000)</f>
        <v>5571.5884461864352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3270.5714923869023</v>
      </c>
      <c r="C33" s="28">
        <f>IF(C15=0,0,C15/TrRail_act!C21*1000)</f>
        <v>2361.2023083683198</v>
      </c>
      <c r="D33" s="28">
        <f>IF(D15=0,0,D15/TrRail_act!D21*1000)</f>
        <v>2383.969695378225</v>
      </c>
      <c r="E33" s="28">
        <f>IF(E15=0,0,E15/TrRail_act!E21*1000)</f>
        <v>1990.7754192530026</v>
      </c>
      <c r="F33" s="28">
        <f>IF(F15=0,0,F15/TrRail_act!F21*1000)</f>
        <v>1645.1175301087083</v>
      </c>
      <c r="G33" s="28">
        <f>IF(G15=0,0,G15/TrRail_act!G21*1000)</f>
        <v>1542.8416210709213</v>
      </c>
      <c r="H33" s="28">
        <f>IF(H15=0,0,H15/TrRail_act!H21*1000)</f>
        <v>1444.2818729485934</v>
      </c>
      <c r="I33" s="28">
        <f>IF(I15=0,0,I15/TrRail_act!I21*1000)</f>
        <v>1431.6356277052946</v>
      </c>
      <c r="J33" s="28">
        <f>IF(J15=0,0,J15/TrRail_act!J21*1000)</f>
        <v>1485.6603116646531</v>
      </c>
      <c r="K33" s="28">
        <f>IF(K15=0,0,K15/TrRail_act!K21*1000)</f>
        <v>1348.590758712382</v>
      </c>
      <c r="L33" s="28">
        <f>IF(L15=0,0,L15/TrRail_act!L21*1000)</f>
        <v>1261.8191397491348</v>
      </c>
      <c r="M33" s="28">
        <f>IF(M15=0,0,M15/TrRail_act!M21*1000)</f>
        <v>1397.4941943517238</v>
      </c>
      <c r="N33" s="28">
        <f>IF(N15=0,0,N15/TrRail_act!N21*1000)</f>
        <v>1142.1401955335398</v>
      </c>
      <c r="O33" s="28">
        <f>IF(O15=0,0,O15/TrRail_act!O21*1000)</f>
        <v>1030.1534589336807</v>
      </c>
      <c r="P33" s="28">
        <f>IF(P15=0,0,P15/TrRail_act!P21*1000)</f>
        <v>953.51907668323031</v>
      </c>
      <c r="Q33" s="28">
        <f>IF(Q15=0,0,Q15/TrRail_act!Q21*1000)</f>
        <v>964.16961499505351</v>
      </c>
      <c r="R33" s="28">
        <f>IF(R15=0,0,R15/TrRail_act!R21*1000)</f>
        <v>905.61735675357249</v>
      </c>
      <c r="S33" s="28">
        <f>IF(S15=0,0,S15/TrRail_act!S21*1000)</f>
        <v>913.46044934941995</v>
      </c>
      <c r="T33" s="28">
        <f>IF(T15=0,0,T15/TrRail_act!T21*1000)</f>
        <v>822.29429935715052</v>
      </c>
      <c r="U33" s="28">
        <f>IF(U15=0,0,U15/TrRail_act!U21*1000)</f>
        <v>892.66934706037034</v>
      </c>
      <c r="V33" s="28">
        <f>IF(V15=0,0,V15/TrRail_act!V21*1000)</f>
        <v>887.168703828351</v>
      </c>
      <c r="W33" s="28">
        <f>IF(W15=0,0,W15/TrRail_act!W21*1000)</f>
        <v>1054.2731888368064</v>
      </c>
      <c r="X33" s="28">
        <f>IF(X15=0,0,X15/TrRail_act!X21*1000)</f>
        <v>923.27173194114619</v>
      </c>
      <c r="Y33" s="28">
        <f>IF(Y15=0,0,Y15/TrRail_act!Y21*1000)</f>
        <v>776.69356376891835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21136.787564687307</v>
      </c>
      <c r="C34" s="84">
        <f>IF(C16=0,0,C16/TrRail_act!C22*1000)</f>
        <v>17476.662513118801</v>
      </c>
      <c r="D34" s="84">
        <f>IF(D16=0,0,D16/TrRail_act!D22*1000)</f>
        <v>17361.267778428566</v>
      </c>
      <c r="E34" s="84">
        <f>IF(E16=0,0,E16/TrRail_act!E22*1000)</f>
        <v>17220.359444598136</v>
      </c>
      <c r="F34" s="84">
        <f>IF(F16=0,0,F16/TrRail_act!F22*1000)</f>
        <v>17135.333840939456</v>
      </c>
      <c r="G34" s="84">
        <f>IF(G16=0,0,G16/TrRail_act!G22*1000)</f>
        <v>16980.439167400073</v>
      </c>
      <c r="H34" s="84">
        <f>IF(H16=0,0,H16/TrRail_act!H22*1000)</f>
        <v>16908.083759234833</v>
      </c>
      <c r="I34" s="84">
        <f>IF(I16=0,0,I16/TrRail_act!I22*1000)</f>
        <v>16768.695069896883</v>
      </c>
      <c r="J34" s="84">
        <f>IF(J16=0,0,J16/TrRail_act!J22*1000)</f>
        <v>16608.942863761738</v>
      </c>
      <c r="K34" s="84">
        <f>IF(K16=0,0,K16/TrRail_act!K22*1000)</f>
        <v>16509.824293537054</v>
      </c>
      <c r="L34" s="84">
        <f>IF(L16=0,0,L16/TrRail_act!L22*1000)</f>
        <v>16387.286536818774</v>
      </c>
      <c r="M34" s="84">
        <f>IF(M16=0,0,M16/TrRail_act!M22*1000)</f>
        <v>15924.268406839372</v>
      </c>
      <c r="N34" s="84">
        <f>IF(N16=0,0,N16/TrRail_act!N22*1000)</f>
        <v>15551.324532940163</v>
      </c>
      <c r="O34" s="84">
        <f>IF(O16=0,0,O16/TrRail_act!O22*1000)</f>
        <v>15286.630176261096</v>
      </c>
      <c r="P34" s="84">
        <f>IF(P16=0,0,P16/TrRail_act!P22*1000)</f>
        <v>15005.506535681894</v>
      </c>
      <c r="Q34" s="84">
        <f>IF(Q16=0,0,Q16/TrRail_act!Q22*1000)</f>
        <v>14619.876817650613</v>
      </c>
      <c r="R34" s="84">
        <f>IF(R16=0,0,R16/TrRail_act!R22*1000)</f>
        <v>13817.324783625525</v>
      </c>
      <c r="S34" s="84">
        <f>IF(S16=0,0,S16/TrRail_act!S22*1000)</f>
        <v>13433.723770358976</v>
      </c>
      <c r="T34" s="84">
        <f>IF(T16=0,0,T16/TrRail_act!T22*1000)</f>
        <v>13152.479653992776</v>
      </c>
      <c r="U34" s="84">
        <f>IF(U16=0,0,U16/TrRail_act!U22*1000)</f>
        <v>13102.258292536522</v>
      </c>
      <c r="V34" s="84">
        <f>IF(V16=0,0,V16/TrRail_act!V22*1000)</f>
        <v>13055.582108800612</v>
      </c>
      <c r="W34" s="84">
        <f>IF(W16=0,0,W16/TrRail_act!W22*1000)</f>
        <v>13063.990585381674</v>
      </c>
      <c r="X34" s="84">
        <f>IF(X16=0,0,X16/TrRail_act!X22*1000)</f>
        <v>12707.584801631887</v>
      </c>
      <c r="Y34" s="84">
        <f>IF(Y16=0,0,Y16/TrRail_act!Y22*1000)</f>
        <v>12584.553776861434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9.8630202905890663</v>
      </c>
      <c r="C38" s="29">
        <f>IF(C9=0,0,C9/TrRail_act!C4*1000)</f>
        <v>6.1934592226520628</v>
      </c>
      <c r="D38" s="29">
        <f>IF(D9=0,0,D9/TrRail_act!D4*1000)</f>
        <v>6.2457353396251882</v>
      </c>
      <c r="E38" s="29">
        <f>IF(E9=0,0,E9/TrRail_act!E4*1000)</f>
        <v>6.1478182393882941</v>
      </c>
      <c r="F38" s="29">
        <f>IF(F9=0,0,F9/TrRail_act!F4*1000)</f>
        <v>6.3511484378680247</v>
      </c>
      <c r="G38" s="29">
        <f>IF(G9=0,0,G9/TrRail_act!G4*1000)</f>
        <v>5.8049355910526756</v>
      </c>
      <c r="H38" s="29">
        <f>IF(H9=0,0,H9/TrRail_act!H4*1000)</f>
        <v>5.4695112898196321</v>
      </c>
      <c r="I38" s="29">
        <f>IF(I9=0,0,I9/TrRail_act!I4*1000)</f>
        <v>4.9390830309782494</v>
      </c>
      <c r="J38" s="29">
        <f>IF(J9=0,0,J9/TrRail_act!J4*1000)</f>
        <v>4.8555929641978555</v>
      </c>
      <c r="K38" s="29">
        <f>IF(K9=0,0,K9/TrRail_act!K4*1000)</f>
        <v>4.7196953242076107</v>
      </c>
      <c r="L38" s="29">
        <f>IF(L9=0,0,L9/TrRail_act!L4*1000)</f>
        <v>4.4721215585160294</v>
      </c>
      <c r="M38" s="29">
        <f>IF(M9=0,0,M9/TrRail_act!M4*1000)</f>
        <v>4.3873661716113057</v>
      </c>
      <c r="N38" s="29">
        <f>IF(N9=0,0,N9/TrRail_act!N4*1000)</f>
        <v>4.0701493597508769</v>
      </c>
      <c r="O38" s="29">
        <f>IF(O9=0,0,O9/TrRail_act!O4*1000)</f>
        <v>4.0208247470717273</v>
      </c>
      <c r="P38" s="29">
        <f>IF(P9=0,0,P9/TrRail_act!P4*1000)</f>
        <v>3.7913603861458371</v>
      </c>
      <c r="Q38" s="29">
        <f>IF(Q9=0,0,Q9/TrRail_act!Q4*1000)</f>
        <v>3.8178129943790795</v>
      </c>
      <c r="R38" s="29">
        <f>IF(R9=0,0,R9/TrRail_act!R4*1000)</f>
        <v>3.2501323593846276</v>
      </c>
      <c r="S38" s="29">
        <f>IF(S9=0,0,S9/TrRail_act!S4*1000)</f>
        <v>3.1726786231094257</v>
      </c>
      <c r="T38" s="29">
        <f>IF(T9=0,0,T9/TrRail_act!T4*1000)</f>
        <v>2.9257402775831705</v>
      </c>
      <c r="U38" s="29">
        <f>IF(U9=0,0,U9/TrRail_act!U4*1000)</f>
        <v>2.8039214748422774</v>
      </c>
      <c r="V38" s="29">
        <f>IF(V9=0,0,V9/TrRail_act!V4*1000)</f>
        <v>3.895538104519634</v>
      </c>
      <c r="W38" s="29">
        <f>IF(W9=0,0,W9/TrRail_act!W4*1000)</f>
        <v>3.3510187869961952</v>
      </c>
      <c r="X38" s="29">
        <f>IF(X9=0,0,X9/TrRail_act!X4*1000)</f>
        <v>2.6558922785553145</v>
      </c>
      <c r="Y38" s="29">
        <f>IF(Y9=0,0,Y9/TrRail_act!Y4*1000)</f>
        <v>2.4895126786039201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20.53244913187465</v>
      </c>
      <c r="C40" s="116">
        <f>IF(C11=0,0,C11/TrRail_act!C6*1000)</f>
        <v>13.504420332058851</v>
      </c>
      <c r="D40" s="116">
        <f>IF(D11=0,0,D11/TrRail_act!D6*1000)</f>
        <v>14.164525837051681</v>
      </c>
      <c r="E40" s="116">
        <f>IF(E11=0,0,E11/TrRail_act!E6*1000)</f>
        <v>14.269586525518324</v>
      </c>
      <c r="F40" s="116">
        <f>IF(F11=0,0,F11/TrRail_act!F6*1000)</f>
        <v>14.892590027241667</v>
      </c>
      <c r="G40" s="116">
        <f>IF(G11=0,0,G11/TrRail_act!G6*1000)</f>
        <v>13.681253809263843</v>
      </c>
      <c r="H40" s="116">
        <f>IF(H11=0,0,H11/TrRail_act!H6*1000)</f>
        <v>13.054599566866239</v>
      </c>
      <c r="I40" s="116">
        <f>IF(I11=0,0,I11/TrRail_act!I6*1000)</f>
        <v>12.409360137716391</v>
      </c>
      <c r="J40" s="116">
        <f>IF(J11=0,0,J11/TrRail_act!J6*1000)</f>
        <v>12.625235739806792</v>
      </c>
      <c r="K40" s="116">
        <f>IF(K11=0,0,K11/TrRail_act!K6*1000)</f>
        <v>12.23304816878742</v>
      </c>
      <c r="L40" s="116">
        <f>IF(L11=0,0,L11/TrRail_act!L6*1000)</f>
        <v>11.881875456338465</v>
      </c>
      <c r="M40" s="116">
        <f>IF(M11=0,0,M11/TrRail_act!M6*1000)</f>
        <v>11.445795326515869</v>
      </c>
      <c r="N40" s="116">
        <f>IF(N11=0,0,N11/TrRail_act!N6*1000)</f>
        <v>10.641990364939412</v>
      </c>
      <c r="O40" s="116">
        <f>IF(O11=0,0,O11/TrRail_act!O6*1000)</f>
        <v>10.582054096025491</v>
      </c>
      <c r="P40" s="116">
        <f>IF(P11=0,0,P11/TrRail_act!P6*1000)</f>
        <v>10.105758389982645</v>
      </c>
      <c r="Q40" s="116">
        <f>IF(Q11=0,0,Q11/TrRail_act!Q6*1000)</f>
        <v>10.227440038695981</v>
      </c>
      <c r="R40" s="116">
        <f>IF(R11=0,0,R11/TrRail_act!R6*1000)</f>
        <v>8.7104802895207403</v>
      </c>
      <c r="S40" s="116">
        <f>IF(S11=0,0,S11/TrRail_act!S6*1000)</f>
        <v>8.7234900936118791</v>
      </c>
      <c r="T40" s="116">
        <f>IF(T11=0,0,T11/TrRail_act!T6*1000)</f>
        <v>8.0676291822805553</v>
      </c>
      <c r="U40" s="116">
        <f>IF(U11=0,0,U11/TrRail_act!U6*1000)</f>
        <v>7.7309770374435338</v>
      </c>
      <c r="V40" s="116">
        <f>IF(V11=0,0,V11/TrRail_act!V6*1000)</f>
        <v>10.365854203536683</v>
      </c>
      <c r="W40" s="116">
        <f>IF(W11=0,0,W11/TrRail_act!W6*1000)</f>
        <v>8.979827708014156</v>
      </c>
      <c r="X40" s="116">
        <f>IF(X11=0,0,X11/TrRail_act!X6*1000)</f>
        <v>7.3866072208621159</v>
      </c>
      <c r="Y40" s="116">
        <f>IF(Y11=0,0,Y11/TrRail_act!Y6*1000)</f>
        <v>6.8910320130226168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110.77623245693486</v>
      </c>
      <c r="C41" s="87">
        <f>IF(C12=0,0,C12/TrRail_act!C7*1000)</f>
        <v>72.740627942142638</v>
      </c>
      <c r="D41" s="87">
        <f>IF(D12=0,0,D12/TrRail_act!D7*1000)</f>
        <v>74.889620320868403</v>
      </c>
      <c r="E41" s="87">
        <f>IF(E12=0,0,E12/TrRail_act!E7*1000)</f>
        <v>74.143695537248377</v>
      </c>
      <c r="F41" s="87">
        <f>IF(F12=0,0,F12/TrRail_act!F7*1000)</f>
        <v>76.051277727001192</v>
      </c>
      <c r="G41" s="87">
        <f>IF(G12=0,0,G12/TrRail_act!G7*1000)</f>
        <v>69.99250763150593</v>
      </c>
      <c r="H41" s="87">
        <f>IF(H12=0,0,H12/TrRail_act!H7*1000)</f>
        <v>66.77522047558719</v>
      </c>
      <c r="I41" s="87">
        <f>IF(I12=0,0,I12/TrRail_act!I7*1000)</f>
        <v>66.412360784403276</v>
      </c>
      <c r="J41" s="87">
        <f>IF(J12=0,0,J12/TrRail_act!J7*1000)</f>
        <v>69.386548807296904</v>
      </c>
      <c r="K41" s="87">
        <f>IF(K12=0,0,K12/TrRail_act!K7*1000)</f>
        <v>69.705871323802299</v>
      </c>
      <c r="L41" s="87">
        <f>IF(L12=0,0,L12/TrRail_act!L7*1000)</f>
        <v>69.408601445872549</v>
      </c>
      <c r="M41" s="87">
        <f>IF(M12=0,0,M12/TrRail_act!M7*1000)</f>
        <v>66.900628410388791</v>
      </c>
      <c r="N41" s="87">
        <f>IF(N12=0,0,N12/TrRail_act!N7*1000)</f>
        <v>64.427740946902233</v>
      </c>
      <c r="O41" s="87">
        <f>IF(O12=0,0,O12/TrRail_act!O7*1000)</f>
        <v>65.268791830027794</v>
      </c>
      <c r="P41" s="87">
        <f>IF(P12=0,0,P12/TrRail_act!P7*1000)</f>
        <v>65.169793313494381</v>
      </c>
      <c r="Q41" s="87">
        <f>IF(Q12=0,0,Q12/TrRail_act!Q7*1000)</f>
        <v>64.46565054594447</v>
      </c>
      <c r="R41" s="87">
        <f>IF(R12=0,0,R12/TrRail_act!R7*1000)</f>
        <v>60.286622720036263</v>
      </c>
      <c r="S41" s="87">
        <f>IF(S12=0,0,S12/TrRail_act!S7*1000)</f>
        <v>57.3983736610178</v>
      </c>
      <c r="T41" s="87">
        <f>IF(T12=0,0,T12/TrRail_act!T7*1000)</f>
        <v>54.607456468182143</v>
      </c>
      <c r="U41" s="87">
        <f>IF(U12=0,0,U12/TrRail_act!U7*1000)</f>
        <v>51.052582869453786</v>
      </c>
      <c r="V41" s="87">
        <f>IF(V12=0,0,V12/TrRail_act!V7*1000)</f>
        <v>73.993360235185747</v>
      </c>
      <c r="W41" s="87">
        <f>IF(W12=0,0,W12/TrRail_act!W7*1000)</f>
        <v>60.198410166038187</v>
      </c>
      <c r="X41" s="87">
        <f>IF(X12=0,0,X12/TrRail_act!X7*1000)</f>
        <v>53.836984372935227</v>
      </c>
      <c r="Y41" s="87">
        <f>IF(Y12=0,0,Y12/TrRail_act!Y7*1000)</f>
        <v>56.865397517875572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6.0341829685646093</v>
      </c>
      <c r="C44" s="29">
        <f>IF(C15=0,0,C15/TrRail_act!C10*1000)</f>
        <v>4.7250175017419762</v>
      </c>
      <c r="D44" s="29">
        <f>IF(D15=0,0,D15/TrRail_act!D10*1000)</f>
        <v>4.8684007461357082</v>
      </c>
      <c r="E44" s="29">
        <f>IF(E15=0,0,E15/TrRail_act!E10*1000)</f>
        <v>4.5925338566117784</v>
      </c>
      <c r="F44" s="29">
        <f>IF(F15=0,0,F15/TrRail_act!F10*1000)</f>
        <v>3.7996574308308526</v>
      </c>
      <c r="G44" s="29">
        <f>IF(G15=0,0,G15/TrRail_act!G10*1000)</f>
        <v>3.3620707851008955</v>
      </c>
      <c r="H44" s="29">
        <f>IF(H15=0,0,H15/TrRail_act!H10*1000)</f>
        <v>3.0300965876669896</v>
      </c>
      <c r="I44" s="29">
        <f>IF(I15=0,0,I15/TrRail_act!I10*1000)</f>
        <v>2.8312170372648104</v>
      </c>
      <c r="J44" s="29">
        <f>IF(J15=0,0,J15/TrRail_act!J10*1000)</f>
        <v>3.0104856639967656</v>
      </c>
      <c r="K44" s="29">
        <f>IF(K15=0,0,K15/TrRail_act!K10*1000)</f>
        <v>2.8262021473802217</v>
      </c>
      <c r="L44" s="29">
        <f>IF(L15=0,0,L15/TrRail_act!L10*1000)</f>
        <v>2.7665328580856348</v>
      </c>
      <c r="M44" s="29">
        <f>IF(M15=0,0,M15/TrRail_act!M10*1000)</f>
        <v>2.4018098814186697</v>
      </c>
      <c r="N44" s="29">
        <f>IF(N15=0,0,N15/TrRail_act!N10*1000)</f>
        <v>2.0861851576668613</v>
      </c>
      <c r="O44" s="29">
        <f>IF(O15=0,0,O15/TrRail_act!O10*1000)</f>
        <v>2.1471741880513453</v>
      </c>
      <c r="P44" s="29">
        <f>IF(P15=0,0,P15/TrRail_act!P10*1000)</f>
        <v>1.8953996222645133</v>
      </c>
      <c r="Q44" s="29">
        <f>IF(Q15=0,0,Q15/TrRail_act!Q10*1000)</f>
        <v>1.7901155905595834</v>
      </c>
      <c r="R44" s="29">
        <f>IF(R15=0,0,R15/TrRail_act!R10*1000)</f>
        <v>1.6524358426158059</v>
      </c>
      <c r="S44" s="29">
        <f>IF(S15=0,0,S15/TrRail_act!S10*1000)</f>
        <v>1.7239704387444896</v>
      </c>
      <c r="T44" s="29">
        <f>IF(T15=0,0,T15/TrRail_act!T10*1000)</f>
        <v>1.5570312401215956</v>
      </c>
      <c r="U44" s="29">
        <f>IF(U15=0,0,U15/TrRail_act!U10*1000)</f>
        <v>1.636554813256077</v>
      </c>
      <c r="V44" s="29">
        <f>IF(V15=0,0,V15/TrRail_act!V10*1000)</f>
        <v>1.8908397208460874</v>
      </c>
      <c r="W44" s="29">
        <f>IF(W15=0,0,W15/TrRail_act!W10*1000)</f>
        <v>2.0891167642254875</v>
      </c>
      <c r="X44" s="29">
        <f>IF(X15=0,0,X15/TrRail_act!X10*1000)</f>
        <v>1.7639420345074355</v>
      </c>
      <c r="Y44" s="29">
        <f>IF(Y15=0,0,Y15/TrRail_act!Y10*1000)</f>
        <v>1.567672795247554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44.866559244475425</v>
      </c>
      <c r="C45" s="87">
        <f>IF(C16=0,0,C16/TrRail_act!C11*1000)</f>
        <v>32.671381804041673</v>
      </c>
      <c r="D45" s="87">
        <f>IF(D16=0,0,D16/TrRail_act!D11*1000)</f>
        <v>34.186666238878786</v>
      </c>
      <c r="E45" s="87">
        <f>IF(E16=0,0,E16/TrRail_act!E11*1000)</f>
        <v>31.242153269416367</v>
      </c>
      <c r="F45" s="87">
        <f>IF(F16=0,0,F16/TrRail_act!F11*1000)</f>
        <v>27.506670196804581</v>
      </c>
      <c r="G45" s="87">
        <f>IF(G16=0,0,G16/TrRail_act!G11*1000)</f>
        <v>27.719435178815125</v>
      </c>
      <c r="H45" s="87">
        <f>IF(H16=0,0,H16/TrRail_act!H11*1000)</f>
        <v>25.904879912038567</v>
      </c>
      <c r="I45" s="87">
        <f>IF(I16=0,0,I16/TrRail_act!I11*1000)</f>
        <v>25.712016675097736</v>
      </c>
      <c r="J45" s="87">
        <f>IF(J16=0,0,J16/TrRail_act!J11*1000)</f>
        <v>27.392085270137319</v>
      </c>
      <c r="K45" s="87">
        <f>IF(K16=0,0,K16/TrRail_act!K11*1000)</f>
        <v>26.923384289799593</v>
      </c>
      <c r="L45" s="87">
        <f>IF(L16=0,0,L16/TrRail_act!L11*1000)</f>
        <v>27.518969034525369</v>
      </c>
      <c r="M45" s="87">
        <f>IF(M16=0,0,M16/TrRail_act!M11*1000)</f>
        <v>23.221149125846811</v>
      </c>
      <c r="N45" s="87">
        <f>IF(N16=0,0,N16/TrRail_act!N11*1000)</f>
        <v>21.981684681129433</v>
      </c>
      <c r="O45" s="87">
        <f>IF(O16=0,0,O16/TrRail_act!O11*1000)</f>
        <v>23.008425502178124</v>
      </c>
      <c r="P45" s="87">
        <f>IF(P16=0,0,P16/TrRail_act!P11*1000)</f>
        <v>21.010398178513316</v>
      </c>
      <c r="Q45" s="87">
        <f>IF(Q16=0,0,Q16/TrRail_act!Q11*1000)</f>
        <v>19.780363227855108</v>
      </c>
      <c r="R45" s="87">
        <f>IF(R16=0,0,R16/TrRail_act!R11*1000)</f>
        <v>19.992264605982324</v>
      </c>
      <c r="S45" s="87">
        <f>IF(S16=0,0,S16/TrRail_act!S11*1000)</f>
        <v>19.754520720193717</v>
      </c>
      <c r="T45" s="87">
        <f>IF(T16=0,0,T16/TrRail_act!T11*1000)</f>
        <v>18.794495630324263</v>
      </c>
      <c r="U45" s="87">
        <f>IF(U16=0,0,U16/TrRail_act!U11*1000)</f>
        <v>19.611867600876799</v>
      </c>
      <c r="V45" s="87">
        <f>IF(V16=0,0,V16/TrRail_act!V11*1000)</f>
        <v>22.231094518340182</v>
      </c>
      <c r="W45" s="87">
        <f>IF(W16=0,0,W16/TrRail_act!W11*1000)</f>
        <v>23.910528923273265</v>
      </c>
      <c r="X45" s="87">
        <f>IF(X16=0,0,X16/TrRail_act!X11*1000)</f>
        <v>20.745532982194224</v>
      </c>
      <c r="Y45" s="87">
        <f>IF(Y16=0,0,Y16/TrRail_act!Y11*1000)</f>
        <v>20.984997163974736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348.83394186223012</v>
      </c>
      <c r="C48" s="62">
        <f>IF(C8=0,0,1000000*C8/TrRail_act!C25/1000)</f>
        <v>236.23935908840483</v>
      </c>
      <c r="D48" s="62">
        <f>IF(D8=0,0,1000000*D8/TrRail_act!D25/1000)</f>
        <v>241.63675704442434</v>
      </c>
      <c r="E48" s="62">
        <f>IF(E8=0,0,1000000*E8/TrRail_act!E25/1000)</f>
        <v>214.51246896670509</v>
      </c>
      <c r="F48" s="62">
        <f>IF(F8=0,0,1000000*F8/TrRail_act!F25/1000)</f>
        <v>201.3623292182682</v>
      </c>
      <c r="G48" s="62">
        <f>IF(G8=0,0,1000000*G8/TrRail_act!G25/1000)</f>
        <v>180.19264118876151</v>
      </c>
      <c r="H48" s="62">
        <f>IF(H8=0,0,1000000*H8/TrRail_act!H25/1000)</f>
        <v>170.34183743511531</v>
      </c>
      <c r="I48" s="62">
        <f>IF(I8=0,0,1000000*I8/TrRail_act!I25/1000)</f>
        <v>158.34338176841763</v>
      </c>
      <c r="J48" s="62">
        <f>IF(J8=0,0,1000000*J8/TrRail_act!J25/1000)</f>
        <v>154.05656882456049</v>
      </c>
      <c r="K48" s="62">
        <f>IF(K8=0,0,1000000*K8/TrRail_act!K25/1000)</f>
        <v>144.28877102989847</v>
      </c>
      <c r="L48" s="62">
        <f>IF(L8=0,0,1000000*L8/TrRail_act!L25/1000)</f>
        <v>136.51589687766418</v>
      </c>
      <c r="M48" s="62">
        <f>IF(M8=0,0,1000000*M8/TrRail_act!M25/1000)</f>
        <v>139.33177936587921</v>
      </c>
      <c r="N48" s="62">
        <f>IF(N8=0,0,1000000*N8/TrRail_act!N25/1000)</f>
        <v>124.77408813636448</v>
      </c>
      <c r="O48" s="62">
        <f>IF(O8=0,0,1000000*O8/TrRail_act!O25/1000)</f>
        <v>119.00444688260983</v>
      </c>
      <c r="P48" s="62">
        <f>IF(P8=0,0,1000000*P8/TrRail_act!P25/1000)</f>
        <v>111.27458858966632</v>
      </c>
      <c r="Q48" s="62">
        <f>IF(Q8=0,0,1000000*Q8/TrRail_act!Q25/1000)</f>
        <v>109.03157228937199</v>
      </c>
      <c r="R48" s="62">
        <f>IF(R8=0,0,1000000*R8/TrRail_act!R25/1000)</f>
        <v>93.733069401495527</v>
      </c>
      <c r="S48" s="62">
        <f>IF(S8=0,0,1000000*S8/TrRail_act!S25/1000)</f>
        <v>99.036431611902486</v>
      </c>
      <c r="T48" s="62">
        <f>IF(T8=0,0,1000000*T8/TrRail_act!T25/1000)</f>
        <v>89.589239995118774</v>
      </c>
      <c r="U48" s="62">
        <f>IF(U8=0,0,1000000*U8/TrRail_act!U25/1000)</f>
        <v>91.742211811546269</v>
      </c>
      <c r="V48" s="62">
        <f>IF(V8=0,0,1000000*V8/TrRail_act!V25/1000)</f>
        <v>81.694998938670935</v>
      </c>
      <c r="W48" s="62">
        <f>IF(W8=0,0,1000000*W8/TrRail_act!W25/1000)</f>
        <v>97.903509503895663</v>
      </c>
      <c r="X48" s="62">
        <f>IF(X8=0,0,1000000*X8/TrRail_act!X25/1000)</f>
        <v>97.449163838649909</v>
      </c>
      <c r="Y48" s="62">
        <f>IF(Y8=0,0,1000000*Y8/TrRail_act!Y25/1000)</f>
        <v>82.558029256612983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290.79706136518138</v>
      </c>
      <c r="C49" s="29">
        <f>IF(C9=0,0,1000000*C9/TrRail_act!C26/1000)</f>
        <v>191.85333230131644</v>
      </c>
      <c r="D49" s="29">
        <f>IF(D9=0,0,1000000*D9/TrRail_act!D26/1000)</f>
        <v>196.79851109211057</v>
      </c>
      <c r="E49" s="29">
        <f>IF(E9=0,0,1000000*E9/TrRail_act!E26/1000)</f>
        <v>179.45748078634961</v>
      </c>
      <c r="F49" s="29">
        <f>IF(F9=0,0,1000000*F9/TrRail_act!F26/1000)</f>
        <v>180.56042053368211</v>
      </c>
      <c r="G49" s="29">
        <f>IF(G9=0,0,1000000*G9/TrRail_act!G26/1000)</f>
        <v>164.30095210443343</v>
      </c>
      <c r="H49" s="29">
        <f>IF(H9=0,0,1000000*H9/TrRail_act!H26/1000)</f>
        <v>155.25093666296536</v>
      </c>
      <c r="I49" s="29">
        <f>IF(I9=0,0,1000000*I9/TrRail_act!I26/1000)</f>
        <v>142.41925494558947</v>
      </c>
      <c r="J49" s="29">
        <f>IF(J9=0,0,1000000*J9/TrRail_act!J26/1000)</f>
        <v>137.98612716777333</v>
      </c>
      <c r="K49" s="29">
        <f>IF(K9=0,0,1000000*K9/TrRail_act!K26/1000)</f>
        <v>133.36232042252354</v>
      </c>
      <c r="L49" s="29">
        <f>IF(L9=0,0,1000000*L9/TrRail_act!L26/1000)</f>
        <v>126.01982893818189</v>
      </c>
      <c r="M49" s="29">
        <f>IF(M9=0,0,1000000*M9/TrRail_act!M26/1000)</f>
        <v>127.95393345853412</v>
      </c>
      <c r="N49" s="29">
        <f>IF(N9=0,0,1000000*N9/TrRail_act!N26/1000)</f>
        <v>116.48202962354752</v>
      </c>
      <c r="O49" s="29">
        <f>IF(O9=0,0,1000000*O9/TrRail_act!O26/1000)</f>
        <v>111.35495793753562</v>
      </c>
      <c r="P49" s="29">
        <f>IF(P9=0,0,1000000*P9/TrRail_act!P26/1000)</f>
        <v>104.53859076818453</v>
      </c>
      <c r="Q49" s="29">
        <f>IF(Q9=0,0,1000000*Q9/TrRail_act!Q26/1000)</f>
        <v>101.89566601645373</v>
      </c>
      <c r="R49" s="29">
        <f>IF(R9=0,0,1000000*R9/TrRail_act!R26/1000)</f>
        <v>86.70890867515044</v>
      </c>
      <c r="S49" s="29">
        <f>IF(S9=0,0,1000000*S9/TrRail_act!S26/1000)</f>
        <v>91.770720916099464</v>
      </c>
      <c r="T49" s="29">
        <f>IF(T9=0,0,1000000*T9/TrRail_act!T26/1000)</f>
        <v>83.170269612518197</v>
      </c>
      <c r="U49" s="29">
        <f>IF(U9=0,0,1000000*U9/TrRail_act!U26/1000)</f>
        <v>84.384994851448553</v>
      </c>
      <c r="V49" s="29">
        <f>IF(V9=0,0,1000000*V9/TrRail_act!V26/1000)</f>
        <v>72.266745470485361</v>
      </c>
      <c r="W49" s="29">
        <f>IF(W9=0,0,1000000*W9/TrRail_act!W26/1000)</f>
        <v>85.461363194860638</v>
      </c>
      <c r="X49" s="29">
        <f>IF(X9=0,0,1000000*X9/TrRail_act!X26/1000)</f>
        <v>88.654795223645564</v>
      </c>
      <c r="Y49" s="29">
        <f>IF(Y9=0,0,1000000*Y9/TrRail_act!Y26/1000)</f>
        <v>76.874151690492923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442.65925811049317</v>
      </c>
      <c r="C51" s="116">
        <f>IF(C11=0,0,1000000*C11/TrRail_act!C28/1000)</f>
        <v>308.02933953973024</v>
      </c>
      <c r="D51" s="116">
        <f>IF(D11=0,0,1000000*D11/TrRail_act!D28/1000)</f>
        <v>322.18148657438189</v>
      </c>
      <c r="E51" s="116">
        <f>IF(E11=0,0,1000000*E11/TrRail_act!E28/1000)</f>
        <v>286.70667705182916</v>
      </c>
      <c r="F51" s="116">
        <f>IF(F11=0,0,1000000*F11/TrRail_act!F28/1000)</f>
        <v>291.45746467567443</v>
      </c>
      <c r="G51" s="116">
        <f>IF(G11=0,0,1000000*G11/TrRail_act!G28/1000)</f>
        <v>263.65168840188232</v>
      </c>
      <c r="H51" s="116">
        <f>IF(H11=0,0,1000000*H11/TrRail_act!H28/1000)</f>
        <v>245.93084041086908</v>
      </c>
      <c r="I51" s="116">
        <f>IF(I11=0,0,1000000*I11/TrRail_act!I28/1000)</f>
        <v>225.19888662213395</v>
      </c>
      <c r="J51" s="116">
        <f>IF(J11=0,0,1000000*J11/TrRail_act!J28/1000)</f>
        <v>219.71288525176874</v>
      </c>
      <c r="K51" s="116">
        <f>IF(K11=0,0,1000000*K11/TrRail_act!K28/1000)</f>
        <v>206.85361629710536</v>
      </c>
      <c r="L51" s="116">
        <f>IF(L11=0,0,1000000*L11/TrRail_act!L28/1000)</f>
        <v>194.05938724638708</v>
      </c>
      <c r="M51" s="116">
        <f>IF(M11=0,0,1000000*M11/TrRail_act!M28/1000)</f>
        <v>199.00568161658882</v>
      </c>
      <c r="N51" s="116">
        <f>IF(N11=0,0,1000000*N11/TrRail_act!N28/1000)</f>
        <v>181.85187506902955</v>
      </c>
      <c r="O51" s="116">
        <f>IF(O11=0,0,1000000*O11/TrRail_act!O28/1000)</f>
        <v>174.10910449788184</v>
      </c>
      <c r="P51" s="116">
        <f>IF(P11=0,0,1000000*P11/TrRail_act!P28/1000)</f>
        <v>163.71352787120043</v>
      </c>
      <c r="Q51" s="116">
        <f>IF(Q11=0,0,1000000*Q11/TrRail_act!Q28/1000)</f>
        <v>157.23299187234201</v>
      </c>
      <c r="R51" s="116">
        <f>IF(R11=0,0,1000000*R11/TrRail_act!R28/1000)</f>
        <v>133.88371892930428</v>
      </c>
      <c r="S51" s="116">
        <f>IF(S11=0,0,1000000*S11/TrRail_act!S28/1000)</f>
        <v>144.7554568320536</v>
      </c>
      <c r="T51" s="116">
        <f>IF(T11=0,0,1000000*T11/TrRail_act!T28/1000)</f>
        <v>134.20160424043314</v>
      </c>
      <c r="U51" s="116">
        <f>IF(U11=0,0,1000000*U11/TrRail_act!U28/1000)</f>
        <v>136.08746950510007</v>
      </c>
      <c r="V51" s="116">
        <f>IF(V11=0,0,1000000*V11/TrRail_act!V28/1000)</f>
        <v>117.1201154183404</v>
      </c>
      <c r="W51" s="116">
        <f>IF(W11=0,0,1000000*W11/TrRail_act!W28/1000)</f>
        <v>139.57215965483073</v>
      </c>
      <c r="X51" s="116">
        <f>IF(X11=0,0,1000000*X11/TrRail_act!X28/1000)</f>
        <v>141.27671066870022</v>
      </c>
      <c r="Y51" s="116">
        <f>IF(Y11=0,0,1000000*Y11/TrRail_act!Y28/1000)</f>
        <v>114.59312775590544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1601.8819622213939</v>
      </c>
      <c r="C52" s="87">
        <f>IF(C12=0,0,1000000*C12/TrRail_act!C29/1000)</f>
        <v>1143.9550845960139</v>
      </c>
      <c r="D52" s="87">
        <f>IF(D12=0,0,1000000*D12/TrRail_act!D29/1000)</f>
        <v>1247.3259204329595</v>
      </c>
      <c r="E52" s="87">
        <f>IF(E12=0,0,1000000*E12/TrRail_act!E29/1000)</f>
        <v>1223.906480087679</v>
      </c>
      <c r="F52" s="87">
        <f>IF(F12=0,0,1000000*F12/TrRail_act!F29/1000)</f>
        <v>1212.7233110934324</v>
      </c>
      <c r="G52" s="87">
        <f>IF(G12=0,0,1000000*G12/TrRail_act!G29/1000)</f>
        <v>1200.9420150959497</v>
      </c>
      <c r="H52" s="87">
        <f>IF(H12=0,0,1000000*H12/TrRail_act!H29/1000)</f>
        <v>1185.7044221828407</v>
      </c>
      <c r="I52" s="87">
        <f>IF(I12=0,0,1000000*I12/TrRail_act!I29/1000)</f>
        <v>1169.6504848068953</v>
      </c>
      <c r="J52" s="87">
        <f>IF(J12=0,0,1000000*J12/TrRail_act!J29/1000)</f>
        <v>1138.7617342075644</v>
      </c>
      <c r="K52" s="87">
        <f>IF(K12=0,0,1000000*K12/TrRail_act!K29/1000)</f>
        <v>1100.446098453119</v>
      </c>
      <c r="L52" s="87">
        <f>IF(L12=0,0,1000000*L12/TrRail_act!L29/1000)</f>
        <v>1076.1477837152765</v>
      </c>
      <c r="M52" s="87">
        <f>IF(M12=0,0,1000000*M12/TrRail_act!M29/1000)</f>
        <v>1051.3667885860616</v>
      </c>
      <c r="N52" s="87">
        <f>IF(N12=0,0,1000000*N12/TrRail_act!N29/1000)</f>
        <v>1031.9914577840204</v>
      </c>
      <c r="O52" s="87">
        <f>IF(O12=0,0,1000000*O12/TrRail_act!O29/1000)</f>
        <v>1016.7998390238507</v>
      </c>
      <c r="P52" s="87">
        <f>IF(P12=0,0,1000000*P12/TrRail_act!P29/1000)</f>
        <v>1000.4856418169602</v>
      </c>
      <c r="Q52" s="87">
        <f>IF(Q12=0,0,1000000*Q12/TrRail_act!Q29/1000)</f>
        <v>987.41465644370237</v>
      </c>
      <c r="R52" s="87">
        <f>IF(R12=0,0,1000000*R12/TrRail_act!R29/1000)</f>
        <v>933.19509861714585</v>
      </c>
      <c r="S52" s="87">
        <f>IF(S12=0,0,1000000*S12/TrRail_act!S29/1000)</f>
        <v>903.98740745105545</v>
      </c>
      <c r="T52" s="87">
        <f>IF(T12=0,0,1000000*T12/TrRail_act!T29/1000)</f>
        <v>880.45412922312403</v>
      </c>
      <c r="U52" s="87">
        <f>IF(U12=0,0,1000000*U12/TrRail_act!U29/1000)</f>
        <v>874.80034267670908</v>
      </c>
      <c r="V52" s="87">
        <f>IF(V12=0,0,1000000*V12/TrRail_act!V29/1000)</f>
        <v>808.12007483802836</v>
      </c>
      <c r="W52" s="87">
        <f>IF(W12=0,0,1000000*W12/TrRail_act!W29/1000)</f>
        <v>869.25508623737676</v>
      </c>
      <c r="X52" s="87">
        <f>IF(X12=0,0,1000000*X12/TrRail_act!X29/1000)</f>
        <v>844.60766467025871</v>
      </c>
      <c r="Y52" s="87">
        <f>IF(Y12=0,0,1000000*Y12/TrRail_act!Y29/1000)</f>
        <v>835.73826526717005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654.1142971753917</v>
      </c>
      <c r="C55" s="29">
        <f>IF(C15=0,0,1000000*C15/TrRail_act!C32/1000)</f>
        <v>468.39763664709398</v>
      </c>
      <c r="D55" s="29">
        <f>IF(D15=0,0,1000000*D15/TrRail_act!D32/1000)</f>
        <v>476.79393866234687</v>
      </c>
      <c r="E55" s="29">
        <f>IF(E15=0,0,1000000*E15/TrRail_act!E32/1000)</f>
        <v>398.15508263688952</v>
      </c>
      <c r="F55" s="29">
        <f>IF(F15=0,0,1000000*F15/TrRail_act!F32/1000)</f>
        <v>325.39155729507542</v>
      </c>
      <c r="G55" s="29">
        <f>IF(G15=0,0,1000000*G15/TrRail_act!G32/1000)</f>
        <v>288.9140424692917</v>
      </c>
      <c r="H55" s="29">
        <f>IF(H15=0,0,1000000*H15/TrRail_act!H32/1000)</f>
        <v>287.21770877484545</v>
      </c>
      <c r="I55" s="29">
        <f>IF(I15=0,0,1000000*I15/TrRail_act!I32/1000)</f>
        <v>286.32712486957797</v>
      </c>
      <c r="J55" s="29">
        <f>IF(J15=0,0,1000000*J15/TrRail_act!J32/1000)</f>
        <v>297.13206146684723</v>
      </c>
      <c r="K55" s="29">
        <f>IF(K15=0,0,1000000*K15/TrRail_act!K32/1000)</f>
        <v>254.75127093099744</v>
      </c>
      <c r="L55" s="29">
        <f>IF(L15=0,0,1000000*L15/TrRail_act!L32/1000)</f>
        <v>252.36382708994518</v>
      </c>
      <c r="M55" s="29">
        <f>IF(M15=0,0,1000000*M15/TrRail_act!M32/1000)</f>
        <v>279.49883789747634</v>
      </c>
      <c r="N55" s="29">
        <f>IF(N15=0,0,1000000*N15/TrRail_act!N32/1000)</f>
        <v>228.42803828356773</v>
      </c>
      <c r="O55" s="29">
        <f>IF(O15=0,0,1000000*O15/TrRail_act!O32/1000)</f>
        <v>206.03069117978777</v>
      </c>
      <c r="P55" s="29">
        <f>IF(P15=0,0,1000000*P15/TrRail_act!P32/1000)</f>
        <v>190.70381480726451</v>
      </c>
      <c r="Q55" s="29">
        <f>IF(Q15=0,0,1000000*Q15/TrRail_act!Q32/1000)</f>
        <v>192.83392254475569</v>
      </c>
      <c r="R55" s="29">
        <f>IF(R15=0,0,1000000*R15/TrRail_act!R32/1000)</f>
        <v>181.1234705364939</v>
      </c>
      <c r="S55" s="29">
        <f>IF(S15=0,0,1000000*S15/TrRail_act!S32/1000)</f>
        <v>182.69208938218171</v>
      </c>
      <c r="T55" s="29">
        <f>IF(T15=0,0,1000000*T15/TrRail_act!T32/1000)</f>
        <v>164.4588592646621</v>
      </c>
      <c r="U55" s="29">
        <f>IF(U15=0,0,1000000*U15/TrRail_act!U32/1000)</f>
        <v>178.53386865768985</v>
      </c>
      <c r="V55" s="29">
        <f>IF(V15=0,0,1000000*V15/TrRail_act!V32/1000)</f>
        <v>177.43374027672644</v>
      </c>
      <c r="W55" s="29">
        <f>IF(W15=0,0,1000000*W15/TrRail_act!W32/1000)</f>
        <v>210.85463676351335</v>
      </c>
      <c r="X55" s="29">
        <f>IF(X15=0,0,1000000*X15/TrRail_act!X32/1000)</f>
        <v>184.65434574414746</v>
      </c>
      <c r="Y55" s="29">
        <f>IF(Y15=0,0,1000000*Y15/TrRail_act!Y32/1000)</f>
        <v>155.33871235884993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4227.357508868703</v>
      </c>
      <c r="C56" s="87">
        <f>IF(C16=0,0,1000000*C16/TrRail_act!C33/1000)</f>
        <v>3295.2324341089497</v>
      </c>
      <c r="D56" s="87">
        <f>IF(D16=0,0,1000000*D16/TrRail_act!D33/1000)</f>
        <v>3472.2535482598819</v>
      </c>
      <c r="E56" s="87">
        <f>IF(E16=0,0,1000000*E16/TrRail_act!E33/1000)</f>
        <v>3444.071840049708</v>
      </c>
      <c r="F56" s="87">
        <f>IF(F16=0,0,1000000*F16/TrRail_act!F33/1000)</f>
        <v>3070.1340228278832</v>
      </c>
      <c r="G56" s="87">
        <f>IF(G16=0,0,1000000*G16/TrRail_act!G33/1000)</f>
        <v>2874.6145897152669</v>
      </c>
      <c r="H56" s="87">
        <f>IF(H16=0,0,1000000*H16/TrRail_act!H33/1000)</f>
        <v>3169.8945651112676</v>
      </c>
      <c r="I56" s="87">
        <f>IF(I16=0,0,1000000*I16/TrRail_act!I33/1000)</f>
        <v>3353.7389653327978</v>
      </c>
      <c r="J56" s="87">
        <f>IF(J16=0,0,1000000*J16/TrRail_act!J33/1000)</f>
        <v>3321.7884902579499</v>
      </c>
      <c r="K56" s="87">
        <f>IF(K16=0,0,1000000*K16/TrRail_act!K33/1000)</f>
        <v>3196.5389261538448</v>
      </c>
      <c r="L56" s="87">
        <f>IF(L16=0,0,1000000*L16/TrRail_act!L33/1000)</f>
        <v>3277.4572102671104</v>
      </c>
      <c r="M56" s="87">
        <f>IF(M16=0,0,1000000*M16/TrRail_act!M33/1000)</f>
        <v>3184.8536763364496</v>
      </c>
      <c r="N56" s="87">
        <f>IF(N16=0,0,1000000*N16/TrRail_act!N33/1000)</f>
        <v>3110.2648221317554</v>
      </c>
      <c r="O56" s="87">
        <f>IF(O16=0,0,1000000*O16/TrRail_act!O33/1000)</f>
        <v>3057.3260059317513</v>
      </c>
      <c r="P56" s="87">
        <f>IF(P16=0,0,1000000*P16/TrRail_act!P33/1000)</f>
        <v>3001.1012064228053</v>
      </c>
      <c r="Q56" s="87">
        <f>IF(Q16=0,0,1000000*Q16/TrRail_act!Q33/1000)</f>
        <v>2923.9753141927613</v>
      </c>
      <c r="R56" s="87">
        <f>IF(R16=0,0,1000000*R16/TrRail_act!R33/1000)</f>
        <v>2763.4648640501919</v>
      </c>
      <c r="S56" s="87">
        <f>IF(S16=0,0,1000000*S16/TrRail_act!S33/1000)</f>
        <v>2686.744704639475</v>
      </c>
      <c r="T56" s="87">
        <f>IF(T16=0,0,1000000*T16/TrRail_act!T33/1000)</f>
        <v>2630.4958943904876</v>
      </c>
      <c r="U56" s="87">
        <f>IF(U16=0,0,1000000*U16/TrRail_act!U33/1000)</f>
        <v>2620.4515754554022</v>
      </c>
      <c r="V56" s="87">
        <f>IF(V16=0,0,1000000*V16/TrRail_act!V33/1000)</f>
        <v>2611.1163896888947</v>
      </c>
      <c r="W56" s="87">
        <f>IF(W16=0,0,1000000*W16/TrRail_act!W33/1000)</f>
        <v>2612.7980424617604</v>
      </c>
      <c r="X56" s="87">
        <f>IF(X16=0,0,1000000*X16/TrRail_act!X33/1000)</f>
        <v>2541.5169060516841</v>
      </c>
      <c r="Y56" s="87">
        <f>IF(Y16=0,0,1000000*Y16/TrRail_act!Y33/1000)</f>
        <v>2516.910694338123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0.70046128266222063</v>
      </c>
      <c r="C60" s="31">
        <f t="shared" ref="C60:V60" si="13">IF(C9=0,0,C9/C$8)</f>
        <v>0.68176789460961773</v>
      </c>
      <c r="D60" s="31">
        <f t="shared" si="13"/>
        <v>0.68401577415523807</v>
      </c>
      <c r="E60" s="31">
        <f t="shared" si="13"/>
        <v>0.70248728799087146</v>
      </c>
      <c r="F60" s="31">
        <f t="shared" si="13"/>
        <v>0.76790312107461134</v>
      </c>
      <c r="G60" s="31">
        <f t="shared" si="13"/>
        <v>0.79552604702597407</v>
      </c>
      <c r="H60" s="31">
        <f t="shared" si="13"/>
        <v>0.80718516048484878</v>
      </c>
      <c r="I60" s="31">
        <f t="shared" si="13"/>
        <v>0.79990618751412235</v>
      </c>
      <c r="J60" s="31">
        <f t="shared" si="13"/>
        <v>0.8052391957024313</v>
      </c>
      <c r="K60" s="31">
        <f t="shared" si="13"/>
        <v>0.84107809028363023</v>
      </c>
      <c r="L60" s="31">
        <f t="shared" si="13"/>
        <v>0.84642663676779473</v>
      </c>
      <c r="M60" s="31">
        <f t="shared" si="13"/>
        <v>0.84939182961892923</v>
      </c>
      <c r="N60" s="31">
        <f t="shared" si="13"/>
        <v>0.8643940487139995</v>
      </c>
      <c r="O60" s="31">
        <f t="shared" si="13"/>
        <v>0.86011779378647424</v>
      </c>
      <c r="P60" s="31">
        <f t="shared" si="13"/>
        <v>0.86602205877920069</v>
      </c>
      <c r="Q60" s="31">
        <f t="shared" si="13"/>
        <v>0.86121782988724882</v>
      </c>
      <c r="R60" s="31">
        <f t="shared" si="13"/>
        <v>0.85624023610538447</v>
      </c>
      <c r="S60" s="31">
        <f t="shared" si="13"/>
        <v>0.85258662263520923</v>
      </c>
      <c r="T60" s="31">
        <f t="shared" si="13"/>
        <v>0.85504366355602612</v>
      </c>
      <c r="U60" s="31">
        <f t="shared" si="13"/>
        <v>0.84792779489884007</v>
      </c>
      <c r="V60" s="31">
        <f t="shared" si="13"/>
        <v>0.80528808789786765</v>
      </c>
      <c r="W60" s="31">
        <f t="shared" ref="W60:Y60" si="14">IF(W9=0,0,W9/W$8)</f>
        <v>0.78629929285723266</v>
      </c>
      <c r="X60" s="31">
        <f t="shared" si="14"/>
        <v>0.82641312636162567</v>
      </c>
      <c r="Y60" s="31">
        <f t="shared" si="14"/>
        <v>0.86370135119497848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0.70046128266222063</v>
      </c>
      <c r="C62" s="124">
        <f t="shared" ref="C62:V62" si="17">IF(C11=0,0,C11/C$8)</f>
        <v>0.68176789460961773</v>
      </c>
      <c r="D62" s="124">
        <f t="shared" si="17"/>
        <v>0.68401577415523807</v>
      </c>
      <c r="E62" s="124">
        <f t="shared" si="17"/>
        <v>0.70248728799087146</v>
      </c>
      <c r="F62" s="124">
        <f t="shared" si="17"/>
        <v>0.76790312107461134</v>
      </c>
      <c r="G62" s="124">
        <f t="shared" si="17"/>
        <v>0.79552604702597407</v>
      </c>
      <c r="H62" s="124">
        <f t="shared" si="17"/>
        <v>0.80718516048484878</v>
      </c>
      <c r="I62" s="124">
        <f t="shared" si="17"/>
        <v>0.79990618751412235</v>
      </c>
      <c r="J62" s="124">
        <f t="shared" si="17"/>
        <v>0.8052391957024313</v>
      </c>
      <c r="K62" s="124">
        <f t="shared" si="17"/>
        <v>0.84107809028363023</v>
      </c>
      <c r="L62" s="124">
        <f t="shared" si="17"/>
        <v>0.84642663676779473</v>
      </c>
      <c r="M62" s="124">
        <f t="shared" si="17"/>
        <v>0.84939182961892923</v>
      </c>
      <c r="N62" s="124">
        <f t="shared" si="17"/>
        <v>0.8643940487139995</v>
      </c>
      <c r="O62" s="124">
        <f t="shared" si="17"/>
        <v>0.86011779378647424</v>
      </c>
      <c r="P62" s="124">
        <f t="shared" si="17"/>
        <v>0.86602205877920069</v>
      </c>
      <c r="Q62" s="124">
        <f t="shared" si="17"/>
        <v>0.86121782988724882</v>
      </c>
      <c r="R62" s="124">
        <f t="shared" si="17"/>
        <v>0.85624023610538447</v>
      </c>
      <c r="S62" s="124">
        <f t="shared" si="17"/>
        <v>0.85258662263520923</v>
      </c>
      <c r="T62" s="124">
        <f t="shared" si="17"/>
        <v>0.85504366355602612</v>
      </c>
      <c r="U62" s="124">
        <f t="shared" si="17"/>
        <v>0.84792779489884007</v>
      </c>
      <c r="V62" s="124">
        <f t="shared" si="17"/>
        <v>0.80528808789786765</v>
      </c>
      <c r="W62" s="124">
        <f t="shared" ref="W62:Y62" si="18">IF(W11=0,0,W11/W$8)</f>
        <v>0.78629929285723266</v>
      </c>
      <c r="X62" s="124">
        <f t="shared" si="18"/>
        <v>0.82641312636162567</v>
      </c>
      <c r="Y62" s="124">
        <f t="shared" si="18"/>
        <v>0.86370135119497848</v>
      </c>
      <c r="DA62" s="176"/>
    </row>
    <row r="63" spans="1:105" ht="11.45" customHeight="1" x14ac:dyDescent="0.25">
      <c r="A63" s="111" t="s">
        <v>92</v>
      </c>
      <c r="B63" s="125">
        <f t="shared" si="10"/>
        <v>0.70046128266222063</v>
      </c>
      <c r="C63" s="125">
        <f t="shared" ref="C63:V63" si="19">IF(C12=0,0,C12/C$8)</f>
        <v>0.68176789460961773</v>
      </c>
      <c r="D63" s="125">
        <f t="shared" si="19"/>
        <v>0.68401577415523807</v>
      </c>
      <c r="E63" s="125">
        <f t="shared" si="19"/>
        <v>0.70248728799087146</v>
      </c>
      <c r="F63" s="125">
        <f t="shared" si="19"/>
        <v>0.76790312107461134</v>
      </c>
      <c r="G63" s="125">
        <f t="shared" si="19"/>
        <v>0.79552604702597407</v>
      </c>
      <c r="H63" s="125">
        <f t="shared" si="19"/>
        <v>0.80718516048484878</v>
      </c>
      <c r="I63" s="125">
        <f t="shared" si="19"/>
        <v>0.79990618751412235</v>
      </c>
      <c r="J63" s="125">
        <f t="shared" si="19"/>
        <v>0.8052391957024313</v>
      </c>
      <c r="K63" s="125">
        <f t="shared" si="19"/>
        <v>0.84107809028363023</v>
      </c>
      <c r="L63" s="125">
        <f t="shared" si="19"/>
        <v>0.84642663676779473</v>
      </c>
      <c r="M63" s="125">
        <f t="shared" si="19"/>
        <v>0.84939182961892923</v>
      </c>
      <c r="N63" s="125">
        <f t="shared" si="19"/>
        <v>0.8643940487139995</v>
      </c>
      <c r="O63" s="125">
        <f t="shared" si="19"/>
        <v>0.86011779378647424</v>
      </c>
      <c r="P63" s="125">
        <f t="shared" si="19"/>
        <v>0.86602205877920069</v>
      </c>
      <c r="Q63" s="125">
        <f t="shared" si="19"/>
        <v>0.86121782988724882</v>
      </c>
      <c r="R63" s="125">
        <f t="shared" si="19"/>
        <v>0.85624023610538447</v>
      </c>
      <c r="S63" s="125">
        <f t="shared" si="19"/>
        <v>0.85258662263520923</v>
      </c>
      <c r="T63" s="125">
        <f t="shared" si="19"/>
        <v>0.85504366355602612</v>
      </c>
      <c r="U63" s="125">
        <f t="shared" si="19"/>
        <v>0.84792779489884007</v>
      </c>
      <c r="V63" s="125">
        <f t="shared" si="19"/>
        <v>0.80528808789786765</v>
      </c>
      <c r="W63" s="125">
        <f t="shared" ref="W63:Y63" si="20">IF(W12=0,0,W12/W$8)</f>
        <v>0.78629929285723266</v>
      </c>
      <c r="X63" s="125">
        <f t="shared" si="20"/>
        <v>0.82641312636162567</v>
      </c>
      <c r="Y63" s="125">
        <f t="shared" si="20"/>
        <v>0.86370135119497848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0.29953871733777931</v>
      </c>
      <c r="C66" s="31">
        <f t="shared" ref="C66:V66" si="25">IF(C15=0,0,C15/C$8)</f>
        <v>0.31823210539038232</v>
      </c>
      <c r="D66" s="31">
        <f t="shared" si="25"/>
        <v>0.31598422584476199</v>
      </c>
      <c r="E66" s="31">
        <f t="shared" si="25"/>
        <v>0.29751271200912849</v>
      </c>
      <c r="F66" s="31">
        <f t="shared" si="25"/>
        <v>0.23209687892538869</v>
      </c>
      <c r="G66" s="31">
        <f t="shared" si="25"/>
        <v>0.20447395297402593</v>
      </c>
      <c r="H66" s="31">
        <f t="shared" si="25"/>
        <v>0.19281483951515116</v>
      </c>
      <c r="I66" s="31">
        <f t="shared" si="25"/>
        <v>0.20009381248587768</v>
      </c>
      <c r="J66" s="31">
        <f t="shared" si="25"/>
        <v>0.19476080429756876</v>
      </c>
      <c r="K66" s="31">
        <f t="shared" si="25"/>
        <v>0.15892190971636977</v>
      </c>
      <c r="L66" s="31">
        <f t="shared" si="25"/>
        <v>0.15357336323220527</v>
      </c>
      <c r="M66" s="31">
        <f t="shared" si="25"/>
        <v>0.15060817038107085</v>
      </c>
      <c r="N66" s="31">
        <f t="shared" si="25"/>
        <v>0.13560595128600061</v>
      </c>
      <c r="O66" s="31">
        <f t="shared" si="25"/>
        <v>0.13988220621352584</v>
      </c>
      <c r="P66" s="31">
        <f t="shared" si="25"/>
        <v>0.13397794122079931</v>
      </c>
      <c r="Q66" s="31">
        <f t="shared" si="25"/>
        <v>0.13878217011275112</v>
      </c>
      <c r="R66" s="31">
        <f t="shared" si="25"/>
        <v>0.14375976389461553</v>
      </c>
      <c r="S66" s="31">
        <f t="shared" si="25"/>
        <v>0.14741337736479082</v>
      </c>
      <c r="T66" s="31">
        <f t="shared" si="25"/>
        <v>0.14495633644397379</v>
      </c>
      <c r="U66" s="31">
        <f t="shared" si="25"/>
        <v>0.15207220510115993</v>
      </c>
      <c r="V66" s="31">
        <f t="shared" si="25"/>
        <v>0.19471191210213232</v>
      </c>
      <c r="W66" s="31">
        <f t="shared" ref="W66:Y66" si="26">IF(W15=0,0,W15/W$8)</f>
        <v>0.21370070714276743</v>
      </c>
      <c r="X66" s="31">
        <f t="shared" si="26"/>
        <v>0.17358687363837422</v>
      </c>
      <c r="Y66" s="31">
        <f t="shared" si="26"/>
        <v>0.13629864880502143</v>
      </c>
      <c r="DA66" s="173"/>
    </row>
    <row r="67" spans="1:105" ht="11.45" customHeight="1" x14ac:dyDescent="0.25">
      <c r="A67" s="83" t="s">
        <v>92</v>
      </c>
      <c r="B67" s="125">
        <f t="shared" si="10"/>
        <v>0.29953871733777931</v>
      </c>
      <c r="C67" s="125">
        <f t="shared" ref="C67:V67" si="27">IF(C16=0,0,C16/C$8)</f>
        <v>0.31823210539038232</v>
      </c>
      <c r="D67" s="125">
        <f t="shared" si="27"/>
        <v>0.31598422584476199</v>
      </c>
      <c r="E67" s="125">
        <f t="shared" si="27"/>
        <v>0.29751271200912849</v>
      </c>
      <c r="F67" s="125">
        <f t="shared" si="27"/>
        <v>0.23209687892538869</v>
      </c>
      <c r="G67" s="125">
        <f t="shared" si="27"/>
        <v>0.20447395297402593</v>
      </c>
      <c r="H67" s="125">
        <f t="shared" si="27"/>
        <v>0.19281483951515116</v>
      </c>
      <c r="I67" s="125">
        <f t="shared" si="27"/>
        <v>0.20009381248587768</v>
      </c>
      <c r="J67" s="125">
        <f t="shared" si="27"/>
        <v>0.19476080429756876</v>
      </c>
      <c r="K67" s="125">
        <f t="shared" si="27"/>
        <v>0.15892190971636977</v>
      </c>
      <c r="L67" s="125">
        <f t="shared" si="27"/>
        <v>0.15357336323220527</v>
      </c>
      <c r="M67" s="125">
        <f t="shared" si="27"/>
        <v>0.15060817038107085</v>
      </c>
      <c r="N67" s="125">
        <f t="shared" si="27"/>
        <v>0.13560595128600061</v>
      </c>
      <c r="O67" s="125">
        <f t="shared" si="27"/>
        <v>0.13988220621352584</v>
      </c>
      <c r="P67" s="125">
        <f t="shared" si="27"/>
        <v>0.13397794122079931</v>
      </c>
      <c r="Q67" s="125">
        <f t="shared" si="27"/>
        <v>0.13878217011275112</v>
      </c>
      <c r="R67" s="125">
        <f t="shared" si="27"/>
        <v>0.14375976389461553</v>
      </c>
      <c r="S67" s="125">
        <f t="shared" si="27"/>
        <v>0.14741337736479082</v>
      </c>
      <c r="T67" s="125">
        <f t="shared" si="27"/>
        <v>0.14495633644397379</v>
      </c>
      <c r="U67" s="125">
        <f t="shared" si="27"/>
        <v>0.15207220510115993</v>
      </c>
      <c r="V67" s="125">
        <f t="shared" si="27"/>
        <v>0.19471191210213232</v>
      </c>
      <c r="W67" s="125">
        <f t="shared" ref="W67:Y67" si="28">IF(W16=0,0,W16/W$8)</f>
        <v>0.21370070714276743</v>
      </c>
      <c r="X67" s="125">
        <f t="shared" si="28"/>
        <v>0.17358687363837422</v>
      </c>
      <c r="Y67" s="125">
        <f t="shared" si="28"/>
        <v>0.13629864880502143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118093.54727985642</v>
      </c>
      <c r="C4" s="11">
        <f t="shared" si="0"/>
        <v>119610.5987669676</v>
      </c>
      <c r="D4" s="11">
        <f t="shared" ref="D4:V4" si="1">SUM(D5:D7)</f>
        <v>122704.074298155</v>
      </c>
      <c r="E4" s="11">
        <f t="shared" si="1"/>
        <v>121246.79151806806</v>
      </c>
      <c r="F4" s="11">
        <f t="shared" si="1"/>
        <v>131586.45392747314</v>
      </c>
      <c r="G4" s="11">
        <f t="shared" si="1"/>
        <v>140205.26866570278</v>
      </c>
      <c r="H4" s="11">
        <f t="shared" si="1"/>
        <v>143900.62179239548</v>
      </c>
      <c r="I4" s="11">
        <f t="shared" si="1"/>
        <v>150664.26896068372</v>
      </c>
      <c r="J4" s="11">
        <f t="shared" si="1"/>
        <v>151831.35421396542</v>
      </c>
      <c r="K4" s="11">
        <f t="shared" si="1"/>
        <v>147527.17730590946</v>
      </c>
      <c r="L4" s="11">
        <f t="shared" si="1"/>
        <v>150240.62162451405</v>
      </c>
      <c r="M4" s="11">
        <f t="shared" si="1"/>
        <v>162969.28468304442</v>
      </c>
      <c r="N4" s="11">
        <f t="shared" si="1"/>
        <v>162056.88440478483</v>
      </c>
      <c r="O4" s="11">
        <f t="shared" si="1"/>
        <v>167251.34777984489</v>
      </c>
      <c r="P4" s="11">
        <f t="shared" si="1"/>
        <v>175441.59390125197</v>
      </c>
      <c r="Q4" s="11">
        <f t="shared" si="1"/>
        <v>177829.92769300871</v>
      </c>
      <c r="R4" s="11">
        <f t="shared" si="1"/>
        <v>179662.95331264351</v>
      </c>
      <c r="S4" s="11">
        <f t="shared" si="1"/>
        <v>189560.45306311914</v>
      </c>
      <c r="T4" s="11">
        <f t="shared" si="1"/>
        <v>203566.97438445711</v>
      </c>
      <c r="U4" s="11">
        <f t="shared" si="1"/>
        <v>213910.99442396068</v>
      </c>
      <c r="V4" s="11">
        <f t="shared" si="1"/>
        <v>67199.104244305418</v>
      </c>
      <c r="W4" s="11">
        <f t="shared" ref="W4:Y4" si="2">SUM(W5:W7)</f>
        <v>80678.954621721408</v>
      </c>
      <c r="X4" s="11">
        <f t="shared" si="2"/>
        <v>169539.73781718832</v>
      </c>
      <c r="Y4" s="11">
        <f t="shared" si="2"/>
        <v>206413.91334399287</v>
      </c>
      <c r="DA4" s="189" t="s">
        <v>190</v>
      </c>
    </row>
    <row r="5" spans="1:105" ht="11.45" customHeight="1" x14ac:dyDescent="0.25">
      <c r="A5" s="83" t="s">
        <v>27</v>
      </c>
      <c r="B5" s="84">
        <v>20787.74207320877</v>
      </c>
      <c r="C5" s="84">
        <v>21513.94526882541</v>
      </c>
      <c r="D5" s="84">
        <v>22615.484213964002</v>
      </c>
      <c r="E5" s="84">
        <v>21657.32458217999</v>
      </c>
      <c r="F5" s="84">
        <v>21398.064324103038</v>
      </c>
      <c r="G5" s="84">
        <v>21387.762558745126</v>
      </c>
      <c r="H5" s="84">
        <v>21733.998101190686</v>
      </c>
      <c r="I5" s="84">
        <v>22516.875963797589</v>
      </c>
      <c r="J5" s="84">
        <v>22171.45771792133</v>
      </c>
      <c r="K5" s="84">
        <v>22782.440731202754</v>
      </c>
      <c r="L5" s="84">
        <v>23498.15113405259</v>
      </c>
      <c r="M5" s="84">
        <v>25170.664728076048</v>
      </c>
      <c r="N5" s="84">
        <v>24971.179573544185</v>
      </c>
      <c r="O5" s="84">
        <v>25807.125891834774</v>
      </c>
      <c r="P5" s="84">
        <v>25928.865397446214</v>
      </c>
      <c r="Q5" s="84">
        <v>26249.115138845969</v>
      </c>
      <c r="R5" s="84">
        <v>27300.511456454467</v>
      </c>
      <c r="S5" s="84">
        <v>29168.98262054897</v>
      </c>
      <c r="T5" s="84">
        <v>31211.334694070109</v>
      </c>
      <c r="U5" s="84">
        <v>32166.957837528429</v>
      </c>
      <c r="V5" s="84">
        <v>16745.276634884198</v>
      </c>
      <c r="W5" s="84">
        <v>22181.40709183006</v>
      </c>
      <c r="X5" s="84">
        <v>31344.363167967083</v>
      </c>
      <c r="Y5" s="84">
        <v>30685.995059212102</v>
      </c>
      <c r="DA5" s="171" t="s">
        <v>191</v>
      </c>
    </row>
    <row r="6" spans="1:105" ht="11.45" customHeight="1" x14ac:dyDescent="0.25">
      <c r="A6" s="83" t="s">
        <v>181</v>
      </c>
      <c r="B6" s="84">
        <v>22953.259274812557</v>
      </c>
      <c r="C6" s="84">
        <v>23237.153634095859</v>
      </c>
      <c r="D6" s="84">
        <v>23609.870505806968</v>
      </c>
      <c r="E6" s="84">
        <v>23867.988458774889</v>
      </c>
      <c r="F6" s="84">
        <v>25051.455333455728</v>
      </c>
      <c r="G6" s="84">
        <v>26377.644922862637</v>
      </c>
      <c r="H6" s="84">
        <v>27349.449939971841</v>
      </c>
      <c r="I6" s="84">
        <v>28554.979189636801</v>
      </c>
      <c r="J6" s="84">
        <v>28398.755244341541</v>
      </c>
      <c r="K6" s="84">
        <v>26899.634561361734</v>
      </c>
      <c r="L6" s="84">
        <v>27052.802149615713</v>
      </c>
      <c r="M6" s="84">
        <v>29809.810119938466</v>
      </c>
      <c r="N6" s="84">
        <v>30800.342336291902</v>
      </c>
      <c r="O6" s="84">
        <v>31262.376880202526</v>
      </c>
      <c r="P6" s="84">
        <v>33235.926051459886</v>
      </c>
      <c r="Q6" s="84">
        <v>34922.539932306499</v>
      </c>
      <c r="R6" s="84">
        <v>37165.398614353544</v>
      </c>
      <c r="S6" s="84">
        <v>39494.406787434375</v>
      </c>
      <c r="T6" s="84">
        <v>41625.104307962567</v>
      </c>
      <c r="U6" s="84">
        <v>43308.648625805698</v>
      </c>
      <c r="V6" s="84">
        <v>12340.269851748099</v>
      </c>
      <c r="W6" s="84">
        <v>17642.482240653295</v>
      </c>
      <c r="X6" s="84">
        <v>37989.810451164733</v>
      </c>
      <c r="Y6" s="84">
        <v>44189.881740858029</v>
      </c>
      <c r="DA6" s="171" t="s">
        <v>192</v>
      </c>
    </row>
    <row r="7" spans="1:105" ht="11.45" customHeight="1" x14ac:dyDescent="0.25">
      <c r="A7" s="83" t="s">
        <v>182</v>
      </c>
      <c r="B7" s="84">
        <v>74352.545931835091</v>
      </c>
      <c r="C7" s="84">
        <v>74859.499864046331</v>
      </c>
      <c r="D7" s="84">
        <v>76478.719578384029</v>
      </c>
      <c r="E7" s="84">
        <v>75721.478477113182</v>
      </c>
      <c r="F7" s="84">
        <v>85136.934269914374</v>
      </c>
      <c r="G7" s="84">
        <v>92439.861184095033</v>
      </c>
      <c r="H7" s="84">
        <v>94817.173751232942</v>
      </c>
      <c r="I7" s="84">
        <v>99592.413807249322</v>
      </c>
      <c r="J7" s="84">
        <v>101261.14125170256</v>
      </c>
      <c r="K7" s="84">
        <v>97845.102013344978</v>
      </c>
      <c r="L7" s="84">
        <v>99689.668340845761</v>
      </c>
      <c r="M7" s="84">
        <v>107988.8098350299</v>
      </c>
      <c r="N7" s="84">
        <v>106285.36249494873</v>
      </c>
      <c r="O7" s="84">
        <v>110181.84500780757</v>
      </c>
      <c r="P7" s="84">
        <v>116276.80245234587</v>
      </c>
      <c r="Q7" s="84">
        <v>116658.27262185625</v>
      </c>
      <c r="R7" s="84">
        <v>115197.04324183549</v>
      </c>
      <c r="S7" s="84">
        <v>120897.0636551358</v>
      </c>
      <c r="T7" s="84">
        <v>130730.53538242444</v>
      </c>
      <c r="U7" s="84">
        <v>138435.38796062654</v>
      </c>
      <c r="V7" s="84">
        <v>38113.557757673123</v>
      </c>
      <c r="W7" s="84">
        <v>40855.065289238046</v>
      </c>
      <c r="X7" s="84">
        <v>100205.5641980565</v>
      </c>
      <c r="Y7" s="84">
        <v>131538.03654392273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5239.5297941737545</v>
      </c>
      <c r="C8" s="13">
        <f t="shared" si="3"/>
        <v>5363.4810964424378</v>
      </c>
      <c r="D8" s="13">
        <f t="shared" ref="D8:V8" si="4">SUM(D9:D11)</f>
        <v>5125.5749566965278</v>
      </c>
      <c r="E8" s="13">
        <f t="shared" si="4"/>
        <v>4908.6404501345478</v>
      </c>
      <c r="F8" s="13">
        <f t="shared" si="4"/>
        <v>5073.4782352000657</v>
      </c>
      <c r="G8" s="13">
        <f t="shared" si="4"/>
        <v>5083.3913441317436</v>
      </c>
      <c r="H8" s="13">
        <f t="shared" si="4"/>
        <v>5038.3176456781957</v>
      </c>
      <c r="I8" s="13">
        <f t="shared" si="4"/>
        <v>5288.9040957345187</v>
      </c>
      <c r="J8" s="13">
        <f t="shared" si="4"/>
        <v>5114.1778522538798</v>
      </c>
      <c r="K8" s="13">
        <f t="shared" si="4"/>
        <v>4388.286001582871</v>
      </c>
      <c r="L8" s="13">
        <f t="shared" si="4"/>
        <v>4613.4917996675786</v>
      </c>
      <c r="M8" s="13">
        <f t="shared" si="4"/>
        <v>5809.2496952828833</v>
      </c>
      <c r="N8" s="13">
        <f t="shared" si="4"/>
        <v>5638.7507318108483</v>
      </c>
      <c r="O8" s="13">
        <f t="shared" si="4"/>
        <v>5398.3040219076311</v>
      </c>
      <c r="P8" s="13">
        <f t="shared" si="4"/>
        <v>7790.5184176251778</v>
      </c>
      <c r="Q8" s="13">
        <f t="shared" si="4"/>
        <v>7637.5171982340553</v>
      </c>
      <c r="R8" s="13">
        <f t="shared" si="4"/>
        <v>7207.3458498226737</v>
      </c>
      <c r="S8" s="13">
        <f t="shared" si="4"/>
        <v>7185.669174296163</v>
      </c>
      <c r="T8" s="13">
        <f t="shared" si="4"/>
        <v>7274.6969384564072</v>
      </c>
      <c r="U8" s="13">
        <f t="shared" si="4"/>
        <v>7089.3536242219052</v>
      </c>
      <c r="V8" s="13">
        <f t="shared" si="4"/>
        <v>5338.3777301830023</v>
      </c>
      <c r="W8" s="13">
        <f t="shared" ref="W8:Y8" si="5">SUM(W9:W11)</f>
        <v>5668.8712326736313</v>
      </c>
      <c r="X8" s="13">
        <f t="shared" si="5"/>
        <v>5505.4692635984047</v>
      </c>
      <c r="Y8" s="13">
        <f t="shared" si="5"/>
        <v>5248.4860828457686</v>
      </c>
      <c r="DA8" s="193" t="s">
        <v>194</v>
      </c>
    </row>
    <row r="9" spans="1:105" ht="11.45" customHeight="1" x14ac:dyDescent="0.25">
      <c r="A9" s="92" t="s">
        <v>27</v>
      </c>
      <c r="B9" s="102">
        <v>177.13696091988226</v>
      </c>
      <c r="C9" s="102">
        <v>204.8762182144992</v>
      </c>
      <c r="D9" s="102">
        <v>184.94111146795103</v>
      </c>
      <c r="E9" s="102">
        <v>165.73994117559172</v>
      </c>
      <c r="F9" s="102">
        <v>156.85022563510236</v>
      </c>
      <c r="G9" s="102">
        <v>150.9723183805614</v>
      </c>
      <c r="H9" s="102">
        <v>133.21166408595218</v>
      </c>
      <c r="I9" s="102">
        <v>118.35051582311127</v>
      </c>
      <c r="J9" s="102">
        <v>95.731962074634794</v>
      </c>
      <c r="K9" s="102">
        <v>96.370711721685893</v>
      </c>
      <c r="L9" s="102">
        <v>74.095435592742191</v>
      </c>
      <c r="M9" s="102">
        <v>83.604695341170441</v>
      </c>
      <c r="N9" s="102">
        <v>84.169538074062871</v>
      </c>
      <c r="O9" s="102">
        <v>81.198298946692901</v>
      </c>
      <c r="P9" s="102">
        <v>109.58986154542107</v>
      </c>
      <c r="Q9" s="102">
        <v>107.73876014397564</v>
      </c>
      <c r="R9" s="102">
        <v>106.87736672874705</v>
      </c>
      <c r="S9" s="102">
        <v>104.44932197707782</v>
      </c>
      <c r="T9" s="102">
        <v>106.49046071476084</v>
      </c>
      <c r="U9" s="102">
        <v>115.74634586419356</v>
      </c>
      <c r="V9" s="102">
        <v>108.37277812730196</v>
      </c>
      <c r="W9" s="102">
        <v>132.49909539175903</v>
      </c>
      <c r="X9" s="102">
        <v>78.250596051638453</v>
      </c>
      <c r="Y9" s="102">
        <v>82.121777407140314</v>
      </c>
      <c r="DA9" s="175" t="s">
        <v>195</v>
      </c>
    </row>
    <row r="10" spans="1:105" ht="11.45" customHeight="1" x14ac:dyDescent="0.25">
      <c r="A10" s="92" t="s">
        <v>181</v>
      </c>
      <c r="B10" s="102">
        <v>138.4943090642773</v>
      </c>
      <c r="C10" s="102">
        <v>164.56889402053594</v>
      </c>
      <c r="D10" s="102">
        <v>139.54472700132575</v>
      </c>
      <c r="E10" s="102">
        <v>137.97886172625326</v>
      </c>
      <c r="F10" s="102">
        <v>136.94931108788413</v>
      </c>
      <c r="G10" s="102">
        <v>127.96095771547836</v>
      </c>
      <c r="H10" s="102">
        <v>140.20078672626099</v>
      </c>
      <c r="I10" s="102">
        <v>165.00805620388559</v>
      </c>
      <c r="J10" s="102">
        <v>162.36279994212609</v>
      </c>
      <c r="K10" s="102">
        <v>151.34048389103714</v>
      </c>
      <c r="L10" s="102">
        <v>155.99574166536746</v>
      </c>
      <c r="M10" s="102">
        <v>201.16400242967256</v>
      </c>
      <c r="N10" s="102">
        <v>212.3495643391405</v>
      </c>
      <c r="O10" s="102">
        <v>222.44632994152386</v>
      </c>
      <c r="P10" s="102">
        <v>317.61249470429874</v>
      </c>
      <c r="Q10" s="102">
        <v>312.5488525146036</v>
      </c>
      <c r="R10" s="102">
        <v>301.66008485099235</v>
      </c>
      <c r="S10" s="102">
        <v>290.41836225005693</v>
      </c>
      <c r="T10" s="102">
        <v>254.60465293424699</v>
      </c>
      <c r="U10" s="102">
        <v>272.55928629096252</v>
      </c>
      <c r="V10" s="102">
        <v>227.06004106339486</v>
      </c>
      <c r="W10" s="102">
        <v>263.46466910787581</v>
      </c>
      <c r="X10" s="102">
        <v>303.93155838842193</v>
      </c>
      <c r="Y10" s="102">
        <v>300.11060969548731</v>
      </c>
      <c r="DA10" s="175" t="s">
        <v>196</v>
      </c>
    </row>
    <row r="11" spans="1:105" ht="11.45" customHeight="1" x14ac:dyDescent="0.25">
      <c r="A11" s="85" t="s">
        <v>182</v>
      </c>
      <c r="B11" s="86">
        <v>4923.8985241895953</v>
      </c>
      <c r="C11" s="86">
        <v>4994.0359842074022</v>
      </c>
      <c r="D11" s="86">
        <v>4801.0891182272508</v>
      </c>
      <c r="E11" s="86">
        <v>4604.9216472327025</v>
      </c>
      <c r="F11" s="86">
        <v>4779.6786984770788</v>
      </c>
      <c r="G11" s="86">
        <v>4804.4580680357039</v>
      </c>
      <c r="H11" s="86">
        <v>4764.9051948659826</v>
      </c>
      <c r="I11" s="86">
        <v>5005.5455237075221</v>
      </c>
      <c r="J11" s="86">
        <v>4856.083090237119</v>
      </c>
      <c r="K11" s="86">
        <v>4140.5748059701482</v>
      </c>
      <c r="L11" s="86">
        <v>4383.4006224094692</v>
      </c>
      <c r="M11" s="86">
        <v>5524.4809975120406</v>
      </c>
      <c r="N11" s="86">
        <v>5342.2316293976446</v>
      </c>
      <c r="O11" s="86">
        <v>5094.659393019414</v>
      </c>
      <c r="P11" s="86">
        <v>7363.316061375458</v>
      </c>
      <c r="Q11" s="86">
        <v>7217.2295855754764</v>
      </c>
      <c r="R11" s="86">
        <v>6798.8083982429343</v>
      </c>
      <c r="S11" s="86">
        <v>6790.8014900690287</v>
      </c>
      <c r="T11" s="86">
        <v>6913.6018248073997</v>
      </c>
      <c r="U11" s="86">
        <v>6701.0479920667494</v>
      </c>
      <c r="V11" s="86">
        <v>5002.9449109923053</v>
      </c>
      <c r="W11" s="86">
        <v>5272.9074681739967</v>
      </c>
      <c r="X11" s="86">
        <v>5123.2871091583447</v>
      </c>
      <c r="Y11" s="86">
        <v>4866.2536957431412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1294.0574492257358</v>
      </c>
      <c r="C13" s="54">
        <f t="shared" si="6"/>
        <v>1292.5396252139499</v>
      </c>
      <c r="D13" s="54">
        <f t="shared" ref="D13:V13" si="7">SUM(D14,D18)</f>
        <v>1306.5807971010327</v>
      </c>
      <c r="E13" s="54">
        <f t="shared" si="7"/>
        <v>1306.5846792183479</v>
      </c>
      <c r="F13" s="54">
        <f t="shared" si="7"/>
        <v>1323.3026787851561</v>
      </c>
      <c r="G13" s="54">
        <f t="shared" si="7"/>
        <v>1354.8790800285128</v>
      </c>
      <c r="H13" s="54">
        <f t="shared" si="7"/>
        <v>1394.5065079130602</v>
      </c>
      <c r="I13" s="54">
        <f t="shared" si="7"/>
        <v>1454.3508609108028</v>
      </c>
      <c r="J13" s="54">
        <f t="shared" si="7"/>
        <v>1444.9533324778956</v>
      </c>
      <c r="K13" s="54">
        <f t="shared" si="7"/>
        <v>1332.2296935928246</v>
      </c>
      <c r="L13" s="54">
        <f t="shared" si="7"/>
        <v>1200.5886554506776</v>
      </c>
      <c r="M13" s="54">
        <f t="shared" si="7"/>
        <v>1283.0989741946337</v>
      </c>
      <c r="N13" s="54">
        <f t="shared" si="7"/>
        <v>1204.1258011987798</v>
      </c>
      <c r="O13" s="54">
        <f t="shared" si="7"/>
        <v>1192.1512931133818</v>
      </c>
      <c r="P13" s="54">
        <f t="shared" si="7"/>
        <v>1245.1876876322372</v>
      </c>
      <c r="Q13" s="54">
        <f t="shared" si="7"/>
        <v>1244.4412327610798</v>
      </c>
      <c r="R13" s="54">
        <f t="shared" si="7"/>
        <v>1245.4761858981619</v>
      </c>
      <c r="S13" s="54">
        <f t="shared" si="7"/>
        <v>1271.1812333597177</v>
      </c>
      <c r="T13" s="54">
        <f t="shared" si="7"/>
        <v>1310.7290545735768</v>
      </c>
      <c r="U13" s="54">
        <f t="shared" si="7"/>
        <v>1346.4824867407333</v>
      </c>
      <c r="V13" s="54">
        <f t="shared" si="7"/>
        <v>586.66074792460586</v>
      </c>
      <c r="W13" s="54">
        <f t="shared" ref="W13:Y13" si="8">SUM(W14,W18)</f>
        <v>723.96273579567401</v>
      </c>
      <c r="X13" s="54">
        <f t="shared" si="8"/>
        <v>1118.8536949619008</v>
      </c>
      <c r="Y13" s="54">
        <f t="shared" si="8"/>
        <v>1256.0774744953321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1209.643168268266</v>
      </c>
      <c r="C14" s="11">
        <f t="shared" si="9"/>
        <v>1206.6544063638273</v>
      </c>
      <c r="D14" s="11">
        <f t="shared" ref="D14:V14" si="10">SUM(D15:D17)</f>
        <v>1222.5278230512472</v>
      </c>
      <c r="E14" s="11">
        <f t="shared" si="10"/>
        <v>1221.9195168493475</v>
      </c>
      <c r="F14" s="11">
        <f t="shared" si="10"/>
        <v>1233.5856085781654</v>
      </c>
      <c r="G14" s="11">
        <f t="shared" si="10"/>
        <v>1260.866677359998</v>
      </c>
      <c r="H14" s="11">
        <f t="shared" si="10"/>
        <v>1297.9713788613828</v>
      </c>
      <c r="I14" s="11">
        <f t="shared" si="10"/>
        <v>1352.3324715855711</v>
      </c>
      <c r="J14" s="11">
        <f t="shared" si="10"/>
        <v>1345.4396397575301</v>
      </c>
      <c r="K14" s="11">
        <f t="shared" si="10"/>
        <v>1253.2591898680603</v>
      </c>
      <c r="L14" s="11">
        <f t="shared" si="10"/>
        <v>1121.5723327480496</v>
      </c>
      <c r="M14" s="11">
        <f t="shared" si="10"/>
        <v>1189.7231769297073</v>
      </c>
      <c r="N14" s="11">
        <f t="shared" si="10"/>
        <v>1120.433910035428</v>
      </c>
      <c r="O14" s="11">
        <f t="shared" si="10"/>
        <v>1112.6337803198307</v>
      </c>
      <c r="P14" s="11">
        <f t="shared" si="10"/>
        <v>1145.3681950758582</v>
      </c>
      <c r="Q14" s="11">
        <f t="shared" si="10"/>
        <v>1146.5351154669988</v>
      </c>
      <c r="R14" s="11">
        <f t="shared" si="10"/>
        <v>1160.494129273216</v>
      </c>
      <c r="S14" s="11">
        <f t="shared" si="10"/>
        <v>1184.3223048552263</v>
      </c>
      <c r="T14" s="11">
        <f t="shared" si="10"/>
        <v>1225.537322453767</v>
      </c>
      <c r="U14" s="11">
        <f t="shared" si="10"/>
        <v>1266.0682074625747</v>
      </c>
      <c r="V14" s="11">
        <f t="shared" si="10"/>
        <v>498.26682613411413</v>
      </c>
      <c r="W14" s="11">
        <f t="shared" ref="W14:Y14" si="11">SUM(W15:W17)</f>
        <v>625.31202166089224</v>
      </c>
      <c r="X14" s="11">
        <f t="shared" si="11"/>
        <v>1034.0741673675957</v>
      </c>
      <c r="Y14" s="11">
        <f t="shared" si="11"/>
        <v>1178.635623401422</v>
      </c>
      <c r="DA14" s="189" t="s">
        <v>199</v>
      </c>
    </row>
    <row r="15" spans="1:105" ht="11.45" customHeight="1" x14ac:dyDescent="0.25">
      <c r="A15" s="83" t="s">
        <v>27</v>
      </c>
      <c r="B15" s="84">
        <v>297.5400144492329</v>
      </c>
      <c r="C15" s="84">
        <v>303.78089438181729</v>
      </c>
      <c r="D15" s="84">
        <v>315.0619362813739</v>
      </c>
      <c r="E15" s="84">
        <v>305.31051445433252</v>
      </c>
      <c r="F15" s="84">
        <v>282.9707023986972</v>
      </c>
      <c r="G15" s="84">
        <v>279.32548707243319</v>
      </c>
      <c r="H15" s="84">
        <v>285.52828790842267</v>
      </c>
      <c r="I15" s="84">
        <v>288.96547773600753</v>
      </c>
      <c r="J15" s="84">
        <v>288.56554906310083</v>
      </c>
      <c r="K15" s="84">
        <v>284.23566123403566</v>
      </c>
      <c r="L15" s="84">
        <v>252.88374910978186</v>
      </c>
      <c r="M15" s="84">
        <v>267.24016306415268</v>
      </c>
      <c r="N15" s="84">
        <v>263.14611155404708</v>
      </c>
      <c r="O15" s="84">
        <v>263.40315747738407</v>
      </c>
      <c r="P15" s="84">
        <v>255.43218362511689</v>
      </c>
      <c r="Q15" s="84">
        <v>254.30099653554342</v>
      </c>
      <c r="R15" s="84">
        <v>257.40932796126407</v>
      </c>
      <c r="S15" s="84">
        <v>266.80422513795855</v>
      </c>
      <c r="T15" s="84">
        <v>274.40178052455536</v>
      </c>
      <c r="U15" s="84">
        <v>279.5569435690366</v>
      </c>
      <c r="V15" s="84">
        <v>160.24069958343674</v>
      </c>
      <c r="W15" s="84">
        <v>200.51799465920865</v>
      </c>
      <c r="X15" s="84">
        <v>247.5864132136156</v>
      </c>
      <c r="Y15" s="84">
        <v>235.78533708549574</v>
      </c>
      <c r="DA15" s="171" t="s">
        <v>200</v>
      </c>
    </row>
    <row r="16" spans="1:105" ht="11.45" customHeight="1" x14ac:dyDescent="0.25">
      <c r="A16" s="83" t="s">
        <v>181</v>
      </c>
      <c r="B16" s="84">
        <v>301.14566556101198</v>
      </c>
      <c r="C16" s="84">
        <v>298.10014694124271</v>
      </c>
      <c r="D16" s="84">
        <v>299.61606533407701</v>
      </c>
      <c r="E16" s="84">
        <v>298.62470938544919</v>
      </c>
      <c r="F16" s="84">
        <v>302.34758152492134</v>
      </c>
      <c r="G16" s="84">
        <v>302.54027871018621</v>
      </c>
      <c r="H16" s="84">
        <v>320.73720961247977</v>
      </c>
      <c r="I16" s="84">
        <v>338.70082664167654</v>
      </c>
      <c r="J16" s="84">
        <v>343.86500514542968</v>
      </c>
      <c r="K16" s="84">
        <v>312.90533789445163</v>
      </c>
      <c r="L16" s="84">
        <v>281.89155731659616</v>
      </c>
      <c r="M16" s="84">
        <v>298.39079885076382</v>
      </c>
      <c r="N16" s="84">
        <v>294.44500218641593</v>
      </c>
      <c r="O16" s="84">
        <v>283.20982256882655</v>
      </c>
      <c r="P16" s="84">
        <v>289.90678595375402</v>
      </c>
      <c r="Q16" s="84">
        <v>299.36626629687544</v>
      </c>
      <c r="R16" s="84">
        <v>314.22248338325562</v>
      </c>
      <c r="S16" s="84">
        <v>320.62793182031436</v>
      </c>
      <c r="T16" s="84">
        <v>327.5802080015556</v>
      </c>
      <c r="U16" s="84">
        <v>336.9232277389566</v>
      </c>
      <c r="V16" s="84">
        <v>116.89004711036762</v>
      </c>
      <c r="W16" s="84">
        <v>160.39164708437715</v>
      </c>
      <c r="X16" s="84">
        <v>299.04346438176958</v>
      </c>
      <c r="Y16" s="84">
        <v>333.36511248705568</v>
      </c>
      <c r="DA16" s="171" t="s">
        <v>201</v>
      </c>
    </row>
    <row r="17" spans="1:105" ht="11.45" customHeight="1" x14ac:dyDescent="0.25">
      <c r="A17" s="83" t="s">
        <v>182</v>
      </c>
      <c r="B17" s="84">
        <v>610.95748825802127</v>
      </c>
      <c r="C17" s="84">
        <v>604.77336504076732</v>
      </c>
      <c r="D17" s="84">
        <v>607.84982143579623</v>
      </c>
      <c r="E17" s="84">
        <v>617.9842930095657</v>
      </c>
      <c r="F17" s="84">
        <v>648.26732465454688</v>
      </c>
      <c r="G17" s="84">
        <v>679.00091157737859</v>
      </c>
      <c r="H17" s="84">
        <v>691.70588134048035</v>
      </c>
      <c r="I17" s="84">
        <v>724.66616720788704</v>
      </c>
      <c r="J17" s="84">
        <v>713.00908554899968</v>
      </c>
      <c r="K17" s="84">
        <v>656.11819073957292</v>
      </c>
      <c r="L17" s="84">
        <v>586.79702632167141</v>
      </c>
      <c r="M17" s="84">
        <v>624.09221501479078</v>
      </c>
      <c r="N17" s="84">
        <v>562.84279629496496</v>
      </c>
      <c r="O17" s="84">
        <v>566.02080027362001</v>
      </c>
      <c r="P17" s="84">
        <v>600.02922549698724</v>
      </c>
      <c r="Q17" s="84">
        <v>592.86785263458012</v>
      </c>
      <c r="R17" s="84">
        <v>588.86231792869637</v>
      </c>
      <c r="S17" s="84">
        <v>596.89014789695329</v>
      </c>
      <c r="T17" s="84">
        <v>623.55533392765597</v>
      </c>
      <c r="U17" s="84">
        <v>649.58803615458135</v>
      </c>
      <c r="V17" s="84">
        <v>221.13607944030983</v>
      </c>
      <c r="W17" s="84">
        <v>264.40237991730646</v>
      </c>
      <c r="X17" s="84">
        <v>487.44428977221054</v>
      </c>
      <c r="Y17" s="84">
        <v>609.48517382887053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84.414280957469913</v>
      </c>
      <c r="C18" s="13">
        <f t="shared" si="12"/>
        <v>85.885218850122499</v>
      </c>
      <c r="D18" s="13">
        <f t="shared" ref="D18:V18" si="13">SUM(D19:D21)</f>
        <v>84.052974049785348</v>
      </c>
      <c r="E18" s="13">
        <f t="shared" si="13"/>
        <v>84.665162369000427</v>
      </c>
      <c r="F18" s="13">
        <f t="shared" si="13"/>
        <v>89.717070206990769</v>
      </c>
      <c r="G18" s="13">
        <f t="shared" si="13"/>
        <v>94.012402668514923</v>
      </c>
      <c r="H18" s="13">
        <f t="shared" si="13"/>
        <v>96.53512905167733</v>
      </c>
      <c r="I18" s="13">
        <f t="shared" si="13"/>
        <v>102.01838932523165</v>
      </c>
      <c r="J18" s="13">
        <f t="shared" si="13"/>
        <v>99.513692720365569</v>
      </c>
      <c r="K18" s="13">
        <f t="shared" si="13"/>
        <v>78.9705037247642</v>
      </c>
      <c r="L18" s="13">
        <f t="shared" si="13"/>
        <v>79.016322702628116</v>
      </c>
      <c r="M18" s="13">
        <f t="shared" si="13"/>
        <v>93.375797264926348</v>
      </c>
      <c r="N18" s="13">
        <f t="shared" si="13"/>
        <v>83.691891163351812</v>
      </c>
      <c r="O18" s="13">
        <f t="shared" si="13"/>
        <v>79.517512793551006</v>
      </c>
      <c r="P18" s="13">
        <f t="shared" si="13"/>
        <v>99.819492556379018</v>
      </c>
      <c r="Q18" s="13">
        <f t="shared" si="13"/>
        <v>97.906117294081014</v>
      </c>
      <c r="R18" s="13">
        <f t="shared" si="13"/>
        <v>84.982056624945827</v>
      </c>
      <c r="S18" s="13">
        <f t="shared" si="13"/>
        <v>86.858928504491345</v>
      </c>
      <c r="T18" s="13">
        <f t="shared" si="13"/>
        <v>85.191732119809885</v>
      </c>
      <c r="U18" s="13">
        <f t="shared" si="13"/>
        <v>80.414279278158602</v>
      </c>
      <c r="V18" s="13">
        <f t="shared" si="13"/>
        <v>88.393921790491788</v>
      </c>
      <c r="W18" s="13">
        <f t="shared" ref="W18:Y18" si="14">SUM(W19:W21)</f>
        <v>98.650714134781794</v>
      </c>
      <c r="X18" s="13">
        <f t="shared" si="14"/>
        <v>84.779527594305208</v>
      </c>
      <c r="Y18" s="13">
        <f t="shared" si="14"/>
        <v>77.441851093910145</v>
      </c>
      <c r="DA18" s="193" t="s">
        <v>203</v>
      </c>
    </row>
    <row r="19" spans="1:105" ht="11.45" customHeight="1" x14ac:dyDescent="0.25">
      <c r="A19" s="92" t="s">
        <v>27</v>
      </c>
      <c r="B19" s="102">
        <v>16.371142807682894</v>
      </c>
      <c r="C19" s="102">
        <v>19.080339215237029</v>
      </c>
      <c r="D19" s="102">
        <v>16.749287467546218</v>
      </c>
      <c r="E19" s="102">
        <v>14.111518384632936</v>
      </c>
      <c r="F19" s="102">
        <v>14.182105387807423</v>
      </c>
      <c r="G19" s="102">
        <v>13.948668320671885</v>
      </c>
      <c r="H19" s="102">
        <v>12.795333537917207</v>
      </c>
      <c r="I19" s="102">
        <v>11.41024675080242</v>
      </c>
      <c r="J19" s="102">
        <v>9.5932320241864257</v>
      </c>
      <c r="K19" s="102">
        <v>9.5745422342886872</v>
      </c>
      <c r="L19" s="102">
        <v>6.8827003541633625</v>
      </c>
      <c r="M19" s="102">
        <v>7.0923475782703127</v>
      </c>
      <c r="N19" s="102">
        <v>7.0517162774070536</v>
      </c>
      <c r="O19" s="102">
        <v>6.6473762372929466</v>
      </c>
      <c r="P19" s="102">
        <v>8.0184043384854338</v>
      </c>
      <c r="Q19" s="102">
        <v>7.6867248353022406</v>
      </c>
      <c r="R19" s="102">
        <v>6.650864165022969</v>
      </c>
      <c r="S19" s="102">
        <v>7.0651569284631544</v>
      </c>
      <c r="T19" s="102">
        <v>7.0601282751251171</v>
      </c>
      <c r="U19" s="102">
        <v>6.9636436497934717</v>
      </c>
      <c r="V19" s="102">
        <v>7.0592494914129587</v>
      </c>
      <c r="W19" s="102">
        <v>8.4866829065155809</v>
      </c>
      <c r="X19" s="102">
        <v>4.9735702392903507</v>
      </c>
      <c r="Y19" s="102">
        <v>5.2787456284306833</v>
      </c>
      <c r="DA19" s="175" t="s">
        <v>204</v>
      </c>
    </row>
    <row r="20" spans="1:105" ht="11.45" customHeight="1" x14ac:dyDescent="0.25">
      <c r="A20" s="92" t="s">
        <v>181</v>
      </c>
      <c r="B20" s="102">
        <v>5.5068986149281187</v>
      </c>
      <c r="C20" s="102">
        <v>6.278322756649664</v>
      </c>
      <c r="D20" s="102">
        <v>5.6754361994689804</v>
      </c>
      <c r="E20" s="102">
        <v>5.4992478677157983</v>
      </c>
      <c r="F20" s="102">
        <v>5.9648359861436315</v>
      </c>
      <c r="G20" s="102">
        <v>5.7027994507208346</v>
      </c>
      <c r="H20" s="102">
        <v>7.451294904980017</v>
      </c>
      <c r="I20" s="102">
        <v>9.1072712004155942</v>
      </c>
      <c r="J20" s="102">
        <v>9.2273422478607419</v>
      </c>
      <c r="K20" s="102">
        <v>8.3891398443998249</v>
      </c>
      <c r="L20" s="102">
        <v>8.6027414137423328</v>
      </c>
      <c r="M20" s="102">
        <v>10.527496342860649</v>
      </c>
      <c r="N20" s="102">
        <v>10.180467102259751</v>
      </c>
      <c r="O20" s="102">
        <v>10.659926835037204</v>
      </c>
      <c r="P20" s="102">
        <v>13.179671635697989</v>
      </c>
      <c r="Q20" s="102">
        <v>13.01876452886841</v>
      </c>
      <c r="R20" s="102">
        <v>11.410578199118619</v>
      </c>
      <c r="S20" s="102">
        <v>12.049964202716492</v>
      </c>
      <c r="T20" s="102">
        <v>10.419476495509006</v>
      </c>
      <c r="U20" s="102">
        <v>10.649642049856178</v>
      </c>
      <c r="V20" s="102">
        <v>10.288660738439901</v>
      </c>
      <c r="W20" s="102">
        <v>12.238386940545588</v>
      </c>
      <c r="X20" s="102">
        <v>14.26928806815379</v>
      </c>
      <c r="Y20" s="102">
        <v>14.125741281436083</v>
      </c>
      <c r="DA20" s="175" t="s">
        <v>205</v>
      </c>
    </row>
    <row r="21" spans="1:105" ht="11.45" customHeight="1" x14ac:dyDescent="0.25">
      <c r="A21" s="85" t="s">
        <v>182</v>
      </c>
      <c r="B21" s="86">
        <v>62.536239534858893</v>
      </c>
      <c r="C21" s="86">
        <v>60.526556878235802</v>
      </c>
      <c r="D21" s="86">
        <v>61.628250382770148</v>
      </c>
      <c r="E21" s="86">
        <v>65.054396116651688</v>
      </c>
      <c r="F21" s="86">
        <v>69.570128833039718</v>
      </c>
      <c r="G21" s="86">
        <v>74.360934897122206</v>
      </c>
      <c r="H21" s="86">
        <v>76.288500608780097</v>
      </c>
      <c r="I21" s="86">
        <v>81.500871374013641</v>
      </c>
      <c r="J21" s="86">
        <v>80.693118448318401</v>
      </c>
      <c r="K21" s="86">
        <v>61.006821646075693</v>
      </c>
      <c r="L21" s="86">
        <v>63.530880934722425</v>
      </c>
      <c r="M21" s="86">
        <v>75.755953343795383</v>
      </c>
      <c r="N21" s="86">
        <v>66.459707783685005</v>
      </c>
      <c r="O21" s="86">
        <v>62.210209721220856</v>
      </c>
      <c r="P21" s="86">
        <v>78.621416582195593</v>
      </c>
      <c r="Q21" s="86">
        <v>77.200627929910368</v>
      </c>
      <c r="R21" s="86">
        <v>66.920614260804243</v>
      </c>
      <c r="S21" s="86">
        <v>67.743807373311697</v>
      </c>
      <c r="T21" s="86">
        <v>67.712127349175759</v>
      </c>
      <c r="U21" s="86">
        <v>62.800993578508958</v>
      </c>
      <c r="V21" s="86">
        <v>71.046011560638931</v>
      </c>
      <c r="W21" s="86">
        <v>77.92564428772063</v>
      </c>
      <c r="X21" s="86">
        <v>65.53666928686107</v>
      </c>
      <c r="Y21" s="86">
        <v>58.037364184043376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892438</v>
      </c>
      <c r="C23" s="54">
        <f t="shared" si="15"/>
        <v>899929</v>
      </c>
      <c r="D23" s="54">
        <f t="shared" ref="D23:V23" si="16">SUM(D24,D28)</f>
        <v>913940</v>
      </c>
      <c r="E23" s="54">
        <f t="shared" si="16"/>
        <v>898022</v>
      </c>
      <c r="F23" s="54">
        <f t="shared" si="16"/>
        <v>878803</v>
      </c>
      <c r="G23" s="54">
        <f t="shared" si="16"/>
        <v>882585</v>
      </c>
      <c r="H23" s="54">
        <f t="shared" si="16"/>
        <v>916719</v>
      </c>
      <c r="I23" s="54">
        <f t="shared" si="16"/>
        <v>936473</v>
      </c>
      <c r="J23" s="54">
        <f t="shared" si="16"/>
        <v>939926</v>
      </c>
      <c r="K23" s="54">
        <f t="shared" si="16"/>
        <v>863928</v>
      </c>
      <c r="L23" s="54">
        <f t="shared" si="16"/>
        <v>770809</v>
      </c>
      <c r="M23" s="54">
        <f t="shared" si="16"/>
        <v>807911</v>
      </c>
      <c r="N23" s="54">
        <f t="shared" si="16"/>
        <v>795437</v>
      </c>
      <c r="O23" s="54">
        <f t="shared" si="16"/>
        <v>778405</v>
      </c>
      <c r="P23" s="54">
        <f t="shared" si="16"/>
        <v>772329</v>
      </c>
      <c r="Q23" s="54">
        <f t="shared" si="16"/>
        <v>776089</v>
      </c>
      <c r="R23" s="54">
        <f t="shared" si="16"/>
        <v>782233</v>
      </c>
      <c r="S23" s="54">
        <f t="shared" si="16"/>
        <v>793860</v>
      </c>
      <c r="T23" s="54">
        <f t="shared" si="16"/>
        <v>796418</v>
      </c>
      <c r="U23" s="54">
        <f t="shared" si="16"/>
        <v>811220</v>
      </c>
      <c r="V23" s="54">
        <f t="shared" si="16"/>
        <v>342862</v>
      </c>
      <c r="W23" s="54">
        <f t="shared" ref="W23:Y23" si="17">SUM(W24,W28)</f>
        <v>428913</v>
      </c>
      <c r="X23" s="54">
        <f t="shared" si="17"/>
        <v>651466</v>
      </c>
      <c r="Y23" s="54">
        <f t="shared" si="17"/>
        <v>705337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855823</v>
      </c>
      <c r="C24" s="11">
        <f t="shared" si="18"/>
        <v>859485</v>
      </c>
      <c r="D24" s="11">
        <f t="shared" ref="D24:V24" si="19">SUM(D25:D27)</f>
        <v>876822</v>
      </c>
      <c r="E24" s="11">
        <f t="shared" si="19"/>
        <v>863706</v>
      </c>
      <c r="F24" s="11">
        <f t="shared" si="19"/>
        <v>843135</v>
      </c>
      <c r="G24" s="11">
        <f t="shared" si="19"/>
        <v>846572</v>
      </c>
      <c r="H24" s="11">
        <f t="shared" si="19"/>
        <v>877948</v>
      </c>
      <c r="I24" s="11">
        <f t="shared" si="19"/>
        <v>895553</v>
      </c>
      <c r="J24" s="11">
        <f t="shared" si="19"/>
        <v>899834</v>
      </c>
      <c r="K24" s="11">
        <f t="shared" si="19"/>
        <v>827512</v>
      </c>
      <c r="L24" s="11">
        <f t="shared" si="19"/>
        <v>736560</v>
      </c>
      <c r="M24" s="11">
        <f t="shared" si="19"/>
        <v>769781</v>
      </c>
      <c r="N24" s="11">
        <f t="shared" si="19"/>
        <v>758855</v>
      </c>
      <c r="O24" s="11">
        <f t="shared" si="19"/>
        <v>742575</v>
      </c>
      <c r="P24" s="11">
        <f t="shared" si="19"/>
        <v>728723</v>
      </c>
      <c r="Q24" s="11">
        <f t="shared" si="19"/>
        <v>732677</v>
      </c>
      <c r="R24" s="11">
        <f t="shared" si="19"/>
        <v>744469</v>
      </c>
      <c r="S24" s="11">
        <f t="shared" si="19"/>
        <v>754406</v>
      </c>
      <c r="T24" s="11">
        <f t="shared" si="19"/>
        <v>759290</v>
      </c>
      <c r="U24" s="11">
        <f t="shared" si="19"/>
        <v>774584</v>
      </c>
      <c r="V24" s="11">
        <f t="shared" si="19"/>
        <v>306387</v>
      </c>
      <c r="W24" s="11">
        <f t="shared" ref="W24:Y24" si="20">SUM(W25:W27)</f>
        <v>387219</v>
      </c>
      <c r="X24" s="11">
        <f t="shared" si="20"/>
        <v>613371</v>
      </c>
      <c r="Y24" s="11">
        <f t="shared" si="20"/>
        <v>668855</v>
      </c>
      <c r="DA24" s="189" t="s">
        <v>208</v>
      </c>
    </row>
    <row r="25" spans="1:105" ht="11.45" customHeight="1" x14ac:dyDescent="0.25">
      <c r="A25" s="83" t="s">
        <v>27</v>
      </c>
      <c r="B25" s="84">
        <v>396235</v>
      </c>
      <c r="C25" s="84">
        <v>404546</v>
      </c>
      <c r="D25" s="84">
        <v>419569</v>
      </c>
      <c r="E25" s="84">
        <v>406583</v>
      </c>
      <c r="F25" s="84">
        <v>376833</v>
      </c>
      <c r="G25" s="84">
        <v>375111</v>
      </c>
      <c r="H25" s="84">
        <v>382729</v>
      </c>
      <c r="I25" s="84">
        <v>376328</v>
      </c>
      <c r="J25" s="84">
        <v>376034</v>
      </c>
      <c r="K25" s="84">
        <v>349367</v>
      </c>
      <c r="L25" s="84">
        <v>305173</v>
      </c>
      <c r="M25" s="84">
        <v>318635</v>
      </c>
      <c r="N25" s="84">
        <v>317391</v>
      </c>
      <c r="O25" s="84">
        <v>312283</v>
      </c>
      <c r="P25" s="84">
        <v>293741</v>
      </c>
      <c r="Q25" s="84">
        <v>290275</v>
      </c>
      <c r="R25" s="84">
        <v>288571</v>
      </c>
      <c r="S25" s="84">
        <v>290237</v>
      </c>
      <c r="T25" s="84">
        <v>287815</v>
      </c>
      <c r="U25" s="84">
        <v>289491</v>
      </c>
      <c r="V25" s="84">
        <v>144201</v>
      </c>
      <c r="W25" s="84">
        <v>180218</v>
      </c>
      <c r="X25" s="84">
        <v>219785</v>
      </c>
      <c r="Y25" s="84">
        <v>210744</v>
      </c>
      <c r="DA25" s="171" t="s">
        <v>209</v>
      </c>
    </row>
    <row r="26" spans="1:105" ht="11.45" customHeight="1" x14ac:dyDescent="0.25">
      <c r="A26" s="83" t="s">
        <v>181</v>
      </c>
      <c r="B26" s="84">
        <v>322560</v>
      </c>
      <c r="C26" s="84">
        <v>319298</v>
      </c>
      <c r="D26" s="84">
        <v>320922</v>
      </c>
      <c r="E26" s="84">
        <v>318519</v>
      </c>
      <c r="F26" s="84">
        <v>320906</v>
      </c>
      <c r="G26" s="84">
        <v>318556</v>
      </c>
      <c r="H26" s="84">
        <v>337336</v>
      </c>
      <c r="I26" s="84">
        <v>351851</v>
      </c>
      <c r="J26" s="84">
        <v>354806</v>
      </c>
      <c r="K26" s="84">
        <v>321068</v>
      </c>
      <c r="L26" s="84">
        <v>287245</v>
      </c>
      <c r="M26" s="84">
        <v>305882</v>
      </c>
      <c r="N26" s="84">
        <v>302882</v>
      </c>
      <c r="O26" s="84">
        <v>289687</v>
      </c>
      <c r="P26" s="84">
        <v>290522</v>
      </c>
      <c r="Q26" s="84">
        <v>297124</v>
      </c>
      <c r="R26" s="84">
        <v>310278</v>
      </c>
      <c r="S26" s="84">
        <v>314298</v>
      </c>
      <c r="T26" s="84">
        <v>317206</v>
      </c>
      <c r="U26" s="84">
        <v>324779</v>
      </c>
      <c r="V26" s="84">
        <v>110037</v>
      </c>
      <c r="W26" s="84">
        <v>142333</v>
      </c>
      <c r="X26" s="84">
        <v>271480</v>
      </c>
      <c r="Y26" s="84">
        <v>304605</v>
      </c>
      <c r="DA26" s="171" t="s">
        <v>210</v>
      </c>
    </row>
    <row r="27" spans="1:105" ht="11.45" customHeight="1" x14ac:dyDescent="0.25">
      <c r="A27" s="83" t="s">
        <v>182</v>
      </c>
      <c r="B27" s="84">
        <v>137028</v>
      </c>
      <c r="C27" s="84">
        <v>135641</v>
      </c>
      <c r="D27" s="84">
        <v>136331</v>
      </c>
      <c r="E27" s="84">
        <v>138604</v>
      </c>
      <c r="F27" s="84">
        <v>145396</v>
      </c>
      <c r="G27" s="84">
        <v>152905</v>
      </c>
      <c r="H27" s="84">
        <v>157883</v>
      </c>
      <c r="I27" s="84">
        <v>167374</v>
      </c>
      <c r="J27" s="84">
        <v>168994</v>
      </c>
      <c r="K27" s="84">
        <v>157077</v>
      </c>
      <c r="L27" s="84">
        <v>144142</v>
      </c>
      <c r="M27" s="84">
        <v>145264</v>
      </c>
      <c r="N27" s="84">
        <v>138582</v>
      </c>
      <c r="O27" s="84">
        <v>140605</v>
      </c>
      <c r="P27" s="84">
        <v>144460</v>
      </c>
      <c r="Q27" s="84">
        <v>145278</v>
      </c>
      <c r="R27" s="84">
        <v>145620</v>
      </c>
      <c r="S27" s="84">
        <v>149871</v>
      </c>
      <c r="T27" s="84">
        <v>154269</v>
      </c>
      <c r="U27" s="84">
        <v>160314</v>
      </c>
      <c r="V27" s="84">
        <v>52149</v>
      </c>
      <c r="W27" s="84">
        <v>64668</v>
      </c>
      <c r="X27" s="84">
        <v>122106</v>
      </c>
      <c r="Y27" s="84">
        <v>153506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36615</v>
      </c>
      <c r="C28" s="13">
        <f t="shared" si="21"/>
        <v>40444</v>
      </c>
      <c r="D28" s="13">
        <f t="shared" ref="D28:V28" si="22">SUM(D29:D31)</f>
        <v>37118</v>
      </c>
      <c r="E28" s="13">
        <f t="shared" si="22"/>
        <v>34316</v>
      </c>
      <c r="F28" s="13">
        <f t="shared" si="22"/>
        <v>35668</v>
      </c>
      <c r="G28" s="13">
        <f t="shared" si="22"/>
        <v>36013</v>
      </c>
      <c r="H28" s="13">
        <f t="shared" si="22"/>
        <v>38771</v>
      </c>
      <c r="I28" s="13">
        <f t="shared" si="22"/>
        <v>40920</v>
      </c>
      <c r="J28" s="13">
        <f t="shared" si="22"/>
        <v>40092</v>
      </c>
      <c r="K28" s="13">
        <f t="shared" si="22"/>
        <v>36416</v>
      </c>
      <c r="L28" s="13">
        <f t="shared" si="22"/>
        <v>34249</v>
      </c>
      <c r="M28" s="13">
        <f t="shared" si="22"/>
        <v>38130</v>
      </c>
      <c r="N28" s="13">
        <f t="shared" si="22"/>
        <v>36582</v>
      </c>
      <c r="O28" s="13">
        <f t="shared" si="22"/>
        <v>35830</v>
      </c>
      <c r="P28" s="13">
        <f t="shared" si="22"/>
        <v>43606</v>
      </c>
      <c r="Q28" s="13">
        <f t="shared" si="22"/>
        <v>43412</v>
      </c>
      <c r="R28" s="13">
        <f t="shared" si="22"/>
        <v>37764</v>
      </c>
      <c r="S28" s="13">
        <f t="shared" si="22"/>
        <v>39454</v>
      </c>
      <c r="T28" s="13">
        <f t="shared" si="22"/>
        <v>37128</v>
      </c>
      <c r="U28" s="13">
        <f t="shared" si="22"/>
        <v>36636</v>
      </c>
      <c r="V28" s="13">
        <f t="shared" si="22"/>
        <v>36475</v>
      </c>
      <c r="W28" s="13">
        <f t="shared" ref="W28:Y28" si="23">SUM(W29:W31)</f>
        <v>41694</v>
      </c>
      <c r="X28" s="13">
        <f t="shared" si="23"/>
        <v>38095</v>
      </c>
      <c r="Y28" s="13">
        <f t="shared" si="23"/>
        <v>36482</v>
      </c>
      <c r="DA28" s="193" t="s">
        <v>212</v>
      </c>
    </row>
    <row r="29" spans="1:105" ht="11.45" customHeight="1" x14ac:dyDescent="0.25">
      <c r="A29" s="92" t="s">
        <v>27</v>
      </c>
      <c r="B29" s="102">
        <v>19482</v>
      </c>
      <c r="C29" s="102">
        <v>22706</v>
      </c>
      <c r="D29" s="102">
        <v>19932</v>
      </c>
      <c r="E29" s="102">
        <v>16793</v>
      </c>
      <c r="F29" s="102">
        <v>16877</v>
      </c>
      <c r="G29" s="102">
        <v>16724</v>
      </c>
      <c r="H29" s="102">
        <v>16926</v>
      </c>
      <c r="I29" s="102">
        <v>16340</v>
      </c>
      <c r="J29" s="102">
        <v>15514</v>
      </c>
      <c r="K29" s="102">
        <v>16365</v>
      </c>
      <c r="L29" s="102">
        <v>13219</v>
      </c>
      <c r="M29" s="102">
        <v>13516</v>
      </c>
      <c r="N29" s="102">
        <v>13850</v>
      </c>
      <c r="O29" s="102">
        <v>13041</v>
      </c>
      <c r="P29" s="102">
        <v>15360</v>
      </c>
      <c r="Q29" s="102">
        <v>14934</v>
      </c>
      <c r="R29" s="102">
        <v>12868</v>
      </c>
      <c r="S29" s="102">
        <v>13323</v>
      </c>
      <c r="T29" s="102">
        <v>12822</v>
      </c>
      <c r="U29" s="102">
        <v>12621</v>
      </c>
      <c r="V29" s="102">
        <v>10348</v>
      </c>
      <c r="W29" s="102">
        <v>11622</v>
      </c>
      <c r="X29" s="102">
        <v>9141</v>
      </c>
      <c r="Y29" s="102">
        <v>9109</v>
      </c>
      <c r="DA29" s="175" t="s">
        <v>213</v>
      </c>
    </row>
    <row r="30" spans="1:105" ht="11.45" customHeight="1" x14ac:dyDescent="0.25">
      <c r="A30" s="92" t="s">
        <v>181</v>
      </c>
      <c r="B30" s="102">
        <v>6802</v>
      </c>
      <c r="C30" s="102">
        <v>7739</v>
      </c>
      <c r="D30" s="102">
        <v>7005</v>
      </c>
      <c r="E30" s="102">
        <v>6776</v>
      </c>
      <c r="F30" s="102">
        <v>7298</v>
      </c>
      <c r="G30" s="102">
        <v>6968</v>
      </c>
      <c r="H30" s="102">
        <v>9048</v>
      </c>
      <c r="I30" s="102">
        <v>10756</v>
      </c>
      <c r="J30" s="102">
        <v>10595</v>
      </c>
      <c r="K30" s="102">
        <v>9375</v>
      </c>
      <c r="L30" s="102">
        <v>9673</v>
      </c>
      <c r="M30" s="102">
        <v>11917</v>
      </c>
      <c r="N30" s="102">
        <v>11427</v>
      </c>
      <c r="O30" s="102">
        <v>12028</v>
      </c>
      <c r="P30" s="102">
        <v>14800</v>
      </c>
      <c r="Q30" s="102">
        <v>14964</v>
      </c>
      <c r="R30" s="102">
        <v>12975</v>
      </c>
      <c r="S30" s="102">
        <v>13793</v>
      </c>
      <c r="T30" s="102">
        <v>11968</v>
      </c>
      <c r="U30" s="102">
        <v>12286</v>
      </c>
      <c r="V30" s="102">
        <v>13154</v>
      </c>
      <c r="W30" s="102">
        <v>15825</v>
      </c>
      <c r="X30" s="102">
        <v>16371</v>
      </c>
      <c r="Y30" s="102">
        <v>15772</v>
      </c>
      <c r="DA30" s="175" t="s">
        <v>214</v>
      </c>
    </row>
    <row r="31" spans="1:105" ht="11.45" customHeight="1" x14ac:dyDescent="0.25">
      <c r="A31" s="85" t="s">
        <v>182</v>
      </c>
      <c r="B31" s="86">
        <v>10331</v>
      </c>
      <c r="C31" s="86">
        <v>9999</v>
      </c>
      <c r="D31" s="86">
        <v>10181</v>
      </c>
      <c r="E31" s="86">
        <v>10747</v>
      </c>
      <c r="F31" s="86">
        <v>11493</v>
      </c>
      <c r="G31" s="86">
        <v>12321</v>
      </c>
      <c r="H31" s="86">
        <v>12797</v>
      </c>
      <c r="I31" s="86">
        <v>13824</v>
      </c>
      <c r="J31" s="86">
        <v>13983</v>
      </c>
      <c r="K31" s="86">
        <v>10676</v>
      </c>
      <c r="L31" s="86">
        <v>11357</v>
      </c>
      <c r="M31" s="86">
        <v>12697</v>
      </c>
      <c r="N31" s="86">
        <v>11305</v>
      </c>
      <c r="O31" s="86">
        <v>10761</v>
      </c>
      <c r="P31" s="86">
        <v>13446</v>
      </c>
      <c r="Q31" s="86">
        <v>13514</v>
      </c>
      <c r="R31" s="86">
        <v>11921</v>
      </c>
      <c r="S31" s="86">
        <v>12338</v>
      </c>
      <c r="T31" s="86">
        <v>12338</v>
      </c>
      <c r="U31" s="86">
        <v>11729</v>
      </c>
      <c r="V31" s="86">
        <v>12973</v>
      </c>
      <c r="W31" s="86">
        <v>14247</v>
      </c>
      <c r="X31" s="86">
        <v>12583</v>
      </c>
      <c r="Y31" s="86">
        <v>11601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58792001</v>
      </c>
      <c r="C34" s="11">
        <f t="shared" si="24"/>
        <v>59975273</v>
      </c>
      <c r="D34" s="11">
        <f t="shared" ref="D34:V34" si="25">SUM(D35:D37)</f>
        <v>62142631</v>
      </c>
      <c r="E34" s="11">
        <f t="shared" si="25"/>
        <v>61498526</v>
      </c>
      <c r="F34" s="11">
        <f t="shared" si="25"/>
        <v>64383525</v>
      </c>
      <c r="G34" s="11">
        <f t="shared" si="25"/>
        <v>67217470</v>
      </c>
      <c r="H34" s="11">
        <f t="shared" si="25"/>
        <v>70110354</v>
      </c>
      <c r="I34" s="11">
        <f t="shared" si="25"/>
        <v>73518196</v>
      </c>
      <c r="J34" s="11">
        <f t="shared" si="25"/>
        <v>74592960</v>
      </c>
      <c r="K34" s="11">
        <f t="shared" si="25"/>
        <v>71622497</v>
      </c>
      <c r="L34" s="11">
        <f t="shared" si="25"/>
        <v>72853515</v>
      </c>
      <c r="M34" s="11">
        <f t="shared" si="25"/>
        <v>77199413</v>
      </c>
      <c r="N34" s="11">
        <f t="shared" si="25"/>
        <v>79387716</v>
      </c>
      <c r="O34" s="11">
        <f t="shared" si="25"/>
        <v>80958805</v>
      </c>
      <c r="P34" s="11">
        <f t="shared" si="25"/>
        <v>82476782</v>
      </c>
      <c r="Q34" s="11">
        <f t="shared" si="25"/>
        <v>84825164</v>
      </c>
      <c r="R34" s="11">
        <f t="shared" si="25"/>
        <v>87293421</v>
      </c>
      <c r="S34" s="11">
        <f t="shared" si="25"/>
        <v>92317501</v>
      </c>
      <c r="T34" s="11">
        <f t="shared" si="25"/>
        <v>96575669</v>
      </c>
      <c r="U34" s="11">
        <f t="shared" si="25"/>
        <v>100284207</v>
      </c>
      <c r="V34" s="11">
        <f t="shared" si="25"/>
        <v>32362690</v>
      </c>
      <c r="W34" s="11">
        <f t="shared" ref="W34:Y34" si="26">SUM(W35:W37)</f>
        <v>42280978</v>
      </c>
      <c r="X34" s="11">
        <f t="shared" si="26"/>
        <v>81412165</v>
      </c>
      <c r="Y34" s="11">
        <f t="shared" si="26"/>
        <v>93167071</v>
      </c>
      <c r="DA34" s="189" t="s">
        <v>216</v>
      </c>
    </row>
    <row r="35" spans="1:105" ht="11.45" customHeight="1" x14ac:dyDescent="0.25">
      <c r="A35" s="83" t="s">
        <v>27</v>
      </c>
      <c r="B35" s="84">
        <v>25644524</v>
      </c>
      <c r="C35" s="84">
        <v>26540395</v>
      </c>
      <c r="D35" s="84">
        <v>27899294</v>
      </c>
      <c r="E35" s="84">
        <v>26717273</v>
      </c>
      <c r="F35" s="84">
        <v>26397440</v>
      </c>
      <c r="G35" s="84">
        <v>26606911</v>
      </c>
      <c r="H35" s="84">
        <v>26987442</v>
      </c>
      <c r="I35" s="84">
        <v>27164929</v>
      </c>
      <c r="J35" s="84">
        <v>26764353</v>
      </c>
      <c r="K35" s="84">
        <v>25940804</v>
      </c>
      <c r="L35" s="84">
        <v>26268710</v>
      </c>
      <c r="M35" s="84">
        <v>27738977</v>
      </c>
      <c r="N35" s="84">
        <v>28239587</v>
      </c>
      <c r="O35" s="84">
        <v>28736405</v>
      </c>
      <c r="P35" s="84">
        <v>28071823</v>
      </c>
      <c r="Q35" s="84">
        <v>28303711</v>
      </c>
      <c r="R35" s="84">
        <v>29065709</v>
      </c>
      <c r="S35" s="84">
        <v>30128981</v>
      </c>
      <c r="T35" s="84">
        <v>31010245</v>
      </c>
      <c r="U35" s="84">
        <v>31670491</v>
      </c>
      <c r="V35" s="84">
        <v>14297265</v>
      </c>
      <c r="W35" s="84">
        <v>18813791</v>
      </c>
      <c r="X35" s="84">
        <v>26356570</v>
      </c>
      <c r="Y35" s="84">
        <v>26077062</v>
      </c>
      <c r="DA35" s="171" t="s">
        <v>217</v>
      </c>
    </row>
    <row r="36" spans="1:105" ht="11.45" customHeight="1" x14ac:dyDescent="0.25">
      <c r="A36" s="83" t="s">
        <v>181</v>
      </c>
      <c r="B36" s="84">
        <v>19359913</v>
      </c>
      <c r="C36" s="84">
        <v>19553307</v>
      </c>
      <c r="D36" s="84">
        <v>20061506</v>
      </c>
      <c r="E36" s="84">
        <v>20739841</v>
      </c>
      <c r="F36" s="84">
        <v>22198718</v>
      </c>
      <c r="G36" s="84">
        <v>23399643</v>
      </c>
      <c r="H36" s="84">
        <v>25229454</v>
      </c>
      <c r="I36" s="84">
        <v>27335057</v>
      </c>
      <c r="J36" s="84">
        <v>27985375</v>
      </c>
      <c r="K36" s="84">
        <v>26314665</v>
      </c>
      <c r="L36" s="84">
        <v>26338482</v>
      </c>
      <c r="M36" s="84">
        <v>28956096</v>
      </c>
      <c r="N36" s="84">
        <v>30030446</v>
      </c>
      <c r="O36" s="84">
        <v>30343776</v>
      </c>
      <c r="P36" s="84">
        <v>31926484</v>
      </c>
      <c r="Q36" s="84">
        <v>33575418</v>
      </c>
      <c r="R36" s="84">
        <v>35326646</v>
      </c>
      <c r="S36" s="84">
        <v>37583457</v>
      </c>
      <c r="T36" s="84">
        <v>39361175</v>
      </c>
      <c r="U36" s="84">
        <v>40993204</v>
      </c>
      <c r="V36" s="84">
        <v>10854131</v>
      </c>
      <c r="W36" s="84">
        <v>14819348</v>
      </c>
      <c r="X36" s="84">
        <v>34071205</v>
      </c>
      <c r="Y36" s="84">
        <v>40306669</v>
      </c>
      <c r="DA36" s="171" t="s">
        <v>218</v>
      </c>
    </row>
    <row r="37" spans="1:105" ht="11.45" customHeight="1" x14ac:dyDescent="0.25">
      <c r="A37" s="83" t="s">
        <v>182</v>
      </c>
      <c r="B37" s="84">
        <v>13787564</v>
      </c>
      <c r="C37" s="84">
        <v>13881571</v>
      </c>
      <c r="D37" s="84">
        <v>14181831</v>
      </c>
      <c r="E37" s="84">
        <v>14041412</v>
      </c>
      <c r="F37" s="84">
        <v>15787367</v>
      </c>
      <c r="G37" s="84">
        <v>17210916</v>
      </c>
      <c r="H37" s="84">
        <v>17893458</v>
      </c>
      <c r="I37" s="84">
        <v>19018210</v>
      </c>
      <c r="J37" s="84">
        <v>19843232</v>
      </c>
      <c r="K37" s="84">
        <v>19367028</v>
      </c>
      <c r="L37" s="84">
        <v>20246323</v>
      </c>
      <c r="M37" s="84">
        <v>20504340</v>
      </c>
      <c r="N37" s="84">
        <v>21117683</v>
      </c>
      <c r="O37" s="84">
        <v>21878624</v>
      </c>
      <c r="P37" s="84">
        <v>22478475</v>
      </c>
      <c r="Q37" s="84">
        <v>22946035</v>
      </c>
      <c r="R37" s="84">
        <v>22901066</v>
      </c>
      <c r="S37" s="84">
        <v>24605063</v>
      </c>
      <c r="T37" s="84">
        <v>26204249</v>
      </c>
      <c r="U37" s="84">
        <v>27620512</v>
      </c>
      <c r="V37" s="84">
        <v>7211294</v>
      </c>
      <c r="W37" s="84">
        <v>8647839</v>
      </c>
      <c r="X37" s="84">
        <v>20984390</v>
      </c>
      <c r="Y37" s="84">
        <v>26783340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843888.07063915161</v>
      </c>
      <c r="C38" s="13">
        <f t="shared" si="27"/>
        <v>890986.55072489788</v>
      </c>
      <c r="D38" s="13">
        <f t="shared" ref="D38:V38" si="28">SUM(D39:D41)</f>
        <v>857122.02513571386</v>
      </c>
      <c r="E38" s="13">
        <f t="shared" si="28"/>
        <v>823068.73478613258</v>
      </c>
      <c r="F38" s="13">
        <f t="shared" si="28"/>
        <v>842508.4944207482</v>
      </c>
      <c r="G38" s="13">
        <f t="shared" si="28"/>
        <v>818391.82522589713</v>
      </c>
      <c r="H38" s="13">
        <f t="shared" si="28"/>
        <v>868038.23959822196</v>
      </c>
      <c r="I38" s="13">
        <f t="shared" si="28"/>
        <v>929942.76699554932</v>
      </c>
      <c r="J38" s="13">
        <f t="shared" si="28"/>
        <v>916651.10793371976</v>
      </c>
      <c r="K38" s="13">
        <f t="shared" si="28"/>
        <v>813747.71700416598</v>
      </c>
      <c r="L38" s="13">
        <f t="shared" si="28"/>
        <v>868693.36662626837</v>
      </c>
      <c r="M38" s="13">
        <f t="shared" si="28"/>
        <v>1032274.5726255068</v>
      </c>
      <c r="N38" s="13">
        <f t="shared" si="28"/>
        <v>1013390.928731177</v>
      </c>
      <c r="O38" s="13">
        <f t="shared" si="28"/>
        <v>993219.27807082329</v>
      </c>
      <c r="P38" s="13">
        <f t="shared" si="28"/>
        <v>1364335.3879177112</v>
      </c>
      <c r="Q38" s="13">
        <f t="shared" si="28"/>
        <v>1369727.0200501904</v>
      </c>
      <c r="R38" s="13">
        <f t="shared" si="28"/>
        <v>1342389.0588083786</v>
      </c>
      <c r="S38" s="13">
        <f t="shared" si="28"/>
        <v>1358989.917796073</v>
      </c>
      <c r="T38" s="13">
        <f t="shared" si="28"/>
        <v>1321275.351529038</v>
      </c>
      <c r="U38" s="13">
        <f t="shared" si="28"/>
        <v>1325905.4136227584</v>
      </c>
      <c r="V38" s="13">
        <f t="shared" si="28"/>
        <v>1038270.3204275419</v>
      </c>
      <c r="W38" s="13">
        <f t="shared" ref="W38:Y38" si="29">SUM(W39:W41)</f>
        <v>1215876.2630582368</v>
      </c>
      <c r="X38" s="13">
        <f t="shared" si="29"/>
        <v>1190407.0621070433</v>
      </c>
      <c r="Y38" s="13">
        <f t="shared" si="29"/>
        <v>1149803.1583452502</v>
      </c>
      <c r="DA38" s="193" t="s">
        <v>220</v>
      </c>
    </row>
    <row r="39" spans="1:105" ht="11.45" customHeight="1" x14ac:dyDescent="0.25">
      <c r="A39" s="92" t="s">
        <v>27</v>
      </c>
      <c r="B39" s="102">
        <v>195273.62982555776</v>
      </c>
      <c r="C39" s="102">
        <v>225853.04945913091</v>
      </c>
      <c r="D39" s="102">
        <v>203876.83040725777</v>
      </c>
      <c r="E39" s="102">
        <v>182709.6939699135</v>
      </c>
      <c r="F39" s="102">
        <v>172909.77975272664</v>
      </c>
      <c r="G39" s="102">
        <v>167681.28883174161</v>
      </c>
      <c r="H39" s="102">
        <v>163239.34618568356</v>
      </c>
      <c r="I39" s="102">
        <v>157002.67022827826</v>
      </c>
      <c r="J39" s="102">
        <v>143415.35966166592</v>
      </c>
      <c r="K39" s="102">
        <v>152588.8937817087</v>
      </c>
      <c r="L39" s="102">
        <v>131829.03206594603</v>
      </c>
      <c r="M39" s="102">
        <v>147262.72945471745</v>
      </c>
      <c r="N39" s="102">
        <v>154999.93614425726</v>
      </c>
      <c r="O39" s="102">
        <v>149614.26211736756</v>
      </c>
      <c r="P39" s="102">
        <v>197638.61068442167</v>
      </c>
      <c r="Q39" s="102">
        <v>197730.61960109658</v>
      </c>
      <c r="R39" s="102">
        <v>196381.44592736138</v>
      </c>
      <c r="S39" s="102">
        <v>187020.37722884395</v>
      </c>
      <c r="T39" s="102">
        <v>183197.79584778179</v>
      </c>
      <c r="U39" s="102">
        <v>199454.82226095346</v>
      </c>
      <c r="V39" s="102">
        <v>150724.30709462569</v>
      </c>
      <c r="W39" s="102">
        <v>171237.23965442253</v>
      </c>
      <c r="X39" s="102">
        <v>136229.54540669653</v>
      </c>
      <c r="Y39" s="102">
        <v>134734.35001581139</v>
      </c>
      <c r="DA39" s="175" t="s">
        <v>221</v>
      </c>
    </row>
    <row r="40" spans="1:105" ht="11.45" customHeight="1" x14ac:dyDescent="0.25">
      <c r="A40" s="92" t="s">
        <v>181</v>
      </c>
      <c r="B40" s="102">
        <v>109973.4284204656</v>
      </c>
      <c r="C40" s="102">
        <v>126513.54844731797</v>
      </c>
      <c r="D40" s="102">
        <v>114637.83326520985</v>
      </c>
      <c r="E40" s="102">
        <v>116694.21668544375</v>
      </c>
      <c r="F40" s="102">
        <v>117249.28285767557</v>
      </c>
      <c r="G40" s="102">
        <v>105930.85202969395</v>
      </c>
      <c r="H40" s="102">
        <v>126833.48727682428</v>
      </c>
      <c r="I40" s="102">
        <v>148291.29150737004</v>
      </c>
      <c r="J40" s="102">
        <v>145215.59461832518</v>
      </c>
      <c r="K40" s="102">
        <v>128427.13363409451</v>
      </c>
      <c r="L40" s="102">
        <v>140304.68314434681</v>
      </c>
      <c r="M40" s="102">
        <v>185833.59047252196</v>
      </c>
      <c r="N40" s="102">
        <v>190468.34922558081</v>
      </c>
      <c r="O40" s="102">
        <v>201553.27520499245</v>
      </c>
      <c r="P40" s="102">
        <v>273051.30764423474</v>
      </c>
      <c r="Q40" s="102">
        <v>276498.90454129811</v>
      </c>
      <c r="R40" s="102">
        <v>270501.75425422413</v>
      </c>
      <c r="S40" s="102">
        <v>267274.20487776672</v>
      </c>
      <c r="T40" s="102">
        <v>230090.31959741865</v>
      </c>
      <c r="U40" s="102">
        <v>242066.12661622625</v>
      </c>
      <c r="V40" s="102">
        <v>232043.21742998486</v>
      </c>
      <c r="W40" s="102">
        <v>281184.86283030955</v>
      </c>
      <c r="X40" s="102">
        <v>292884.95198453875</v>
      </c>
      <c r="Y40" s="102">
        <v>283423.42740200105</v>
      </c>
      <c r="DA40" s="175" t="s">
        <v>222</v>
      </c>
    </row>
    <row r="41" spans="1:105" ht="11.45" customHeight="1" x14ac:dyDescent="0.25">
      <c r="A41" s="85" t="s">
        <v>182</v>
      </c>
      <c r="B41" s="86">
        <v>538641.01239312824</v>
      </c>
      <c r="C41" s="86">
        <v>538619.952818449</v>
      </c>
      <c r="D41" s="86">
        <v>538607.36146324628</v>
      </c>
      <c r="E41" s="86">
        <v>523664.82413077541</v>
      </c>
      <c r="F41" s="86">
        <v>552349.43181034597</v>
      </c>
      <c r="G41" s="86">
        <v>544779.68436446157</v>
      </c>
      <c r="H41" s="86">
        <v>577965.40613571415</v>
      </c>
      <c r="I41" s="86">
        <v>624648.80525990098</v>
      </c>
      <c r="J41" s="86">
        <v>628020.15365372866</v>
      </c>
      <c r="K41" s="86">
        <v>532731.6895883627</v>
      </c>
      <c r="L41" s="86">
        <v>596559.65141597553</v>
      </c>
      <c r="M41" s="86">
        <v>699178.25269826734</v>
      </c>
      <c r="N41" s="86">
        <v>667922.64336133888</v>
      </c>
      <c r="O41" s="86">
        <v>642051.74074846331</v>
      </c>
      <c r="P41" s="86">
        <v>893645.46958905482</v>
      </c>
      <c r="Q41" s="86">
        <v>895497.49590779585</v>
      </c>
      <c r="R41" s="86">
        <v>875505.85862679314</v>
      </c>
      <c r="S41" s="86">
        <v>904695.33568946249</v>
      </c>
      <c r="T41" s="86">
        <v>907987.23608383769</v>
      </c>
      <c r="U41" s="86">
        <v>884384.46474557871</v>
      </c>
      <c r="V41" s="86">
        <v>655502.79590293125</v>
      </c>
      <c r="W41" s="86">
        <v>763454.16057350463</v>
      </c>
      <c r="X41" s="86">
        <v>761292.56471580814</v>
      </c>
      <c r="Y41" s="86">
        <v>731645.38092743768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844.66086820294072</v>
      </c>
      <c r="C43" s="54">
        <f t="shared" si="30"/>
        <v>846.1787678819735</v>
      </c>
      <c r="D43" s="54">
        <f t="shared" ref="D43:V43" si="31">SUM(D44,D48)</f>
        <v>855.78166537732318</v>
      </c>
      <c r="E43" s="54">
        <f t="shared" si="31"/>
        <v>853.59208270798058</v>
      </c>
      <c r="F43" s="54">
        <f t="shared" si="31"/>
        <v>856.69756382625928</v>
      </c>
      <c r="G43" s="54">
        <f t="shared" si="31"/>
        <v>872.73766189223454</v>
      </c>
      <c r="H43" s="54">
        <f t="shared" si="31"/>
        <v>901.46492151131099</v>
      </c>
      <c r="I43" s="54">
        <f t="shared" si="31"/>
        <v>935.10817808383206</v>
      </c>
      <c r="J43" s="54">
        <f t="shared" si="31"/>
        <v>931.31173365486268</v>
      </c>
      <c r="K43" s="54">
        <f t="shared" si="31"/>
        <v>865.76527027875022</v>
      </c>
      <c r="L43" s="54">
        <f t="shared" si="31"/>
        <v>783.09160152523316</v>
      </c>
      <c r="M43" s="54">
        <f t="shared" si="31"/>
        <v>817.34890911189848</v>
      </c>
      <c r="N43" s="54">
        <f t="shared" si="31"/>
        <v>778.71774443398294</v>
      </c>
      <c r="O43" s="54">
        <f t="shared" si="31"/>
        <v>767.42476791031152</v>
      </c>
      <c r="P43" s="54">
        <f t="shared" si="31"/>
        <v>791.74271030544844</v>
      </c>
      <c r="Q43" s="54">
        <f t="shared" si="31"/>
        <v>792.18046601891274</v>
      </c>
      <c r="R43" s="54">
        <f t="shared" si="31"/>
        <v>794.67729254738913</v>
      </c>
      <c r="S43" s="54">
        <f t="shared" si="31"/>
        <v>806.46352194256622</v>
      </c>
      <c r="T43" s="54">
        <f t="shared" si="31"/>
        <v>824.89899945787329</v>
      </c>
      <c r="U43" s="54">
        <f t="shared" si="31"/>
        <v>844.89829703759904</v>
      </c>
      <c r="V43" s="54">
        <f t="shared" si="31"/>
        <v>809.42103081293612</v>
      </c>
      <c r="W43" s="54">
        <f t="shared" ref="W43:Y43" si="32">SUM(W44,W48)</f>
        <v>776.8709968525136</v>
      </c>
      <c r="X43" s="54">
        <f t="shared" si="32"/>
        <v>741.42128923057453</v>
      </c>
      <c r="Y43" s="54">
        <f t="shared" si="32"/>
        <v>782.08202093373779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787.63252890505782</v>
      </c>
      <c r="C44" s="11">
        <f t="shared" si="33"/>
        <v>786.58830535150241</v>
      </c>
      <c r="D44" s="11">
        <f t="shared" ref="D44:V44" si="34">SUM(D45:D47)</f>
        <v>797.87724043444496</v>
      </c>
      <c r="E44" s="11">
        <f t="shared" si="34"/>
        <v>795.79496281622824</v>
      </c>
      <c r="F44" s="11">
        <f t="shared" si="34"/>
        <v>797.62179555213595</v>
      </c>
      <c r="G44" s="11">
        <f t="shared" si="34"/>
        <v>811.57765011742435</v>
      </c>
      <c r="H44" s="11">
        <f t="shared" si="34"/>
        <v>837.6333504568322</v>
      </c>
      <c r="I44" s="11">
        <f t="shared" si="34"/>
        <v>867.62194770850635</v>
      </c>
      <c r="J44" s="11">
        <f t="shared" si="34"/>
        <v>865.19957851057552</v>
      </c>
      <c r="K44" s="11">
        <f t="shared" si="34"/>
        <v>803.15724453762061</v>
      </c>
      <c r="L44" s="11">
        <f t="shared" si="34"/>
        <v>725.74663778720833</v>
      </c>
      <c r="M44" s="11">
        <f t="shared" si="34"/>
        <v>755.05373575318959</v>
      </c>
      <c r="N44" s="11">
        <f t="shared" si="34"/>
        <v>720.03565806983966</v>
      </c>
      <c r="O44" s="11">
        <f t="shared" si="34"/>
        <v>712.24486032160439</v>
      </c>
      <c r="P44" s="11">
        <f t="shared" si="34"/>
        <v>723.72985186922551</v>
      </c>
      <c r="Q44" s="11">
        <f t="shared" si="34"/>
        <v>725.08341555415313</v>
      </c>
      <c r="R44" s="11">
        <f t="shared" si="34"/>
        <v>733.11693044015556</v>
      </c>
      <c r="S44" s="11">
        <f t="shared" si="34"/>
        <v>746.20518457921844</v>
      </c>
      <c r="T44" s="11">
        <f t="shared" si="34"/>
        <v>765.52533137333296</v>
      </c>
      <c r="U44" s="11">
        <f t="shared" si="34"/>
        <v>788.8579843690386</v>
      </c>
      <c r="V44" s="11">
        <f t="shared" si="34"/>
        <v>749.47635792378571</v>
      </c>
      <c r="W44" s="11">
        <f t="shared" ref="W44:Y44" si="35">SUM(W45:W47)</f>
        <v>710.09473147853282</v>
      </c>
      <c r="X44" s="11">
        <f t="shared" si="35"/>
        <v>675.93486631852613</v>
      </c>
      <c r="Y44" s="11">
        <f t="shared" si="35"/>
        <v>719.07255156060614</v>
      </c>
      <c r="DA44" s="189" t="s">
        <v>225</v>
      </c>
    </row>
    <row r="45" spans="1:105" ht="11.45" customHeight="1" x14ac:dyDescent="0.25">
      <c r="A45" s="83" t="s">
        <v>27</v>
      </c>
      <c r="B45" s="84">
        <v>222.7290612703766</v>
      </c>
      <c r="C45" s="84">
        <v>227.40078695896571</v>
      </c>
      <c r="D45" s="84">
        <v>235.84541877459247</v>
      </c>
      <c r="E45" s="84">
        <v>228.54581225407532</v>
      </c>
      <c r="F45" s="84">
        <v>211.822934232715</v>
      </c>
      <c r="G45" s="84">
        <v>210.02855543113102</v>
      </c>
      <c r="H45" s="84">
        <v>214.41400560224091</v>
      </c>
      <c r="I45" s="84">
        <v>213.70130607609312</v>
      </c>
      <c r="J45" s="84">
        <v>213.41316685584562</v>
      </c>
      <c r="K45" s="84">
        <v>203.8313885647608</v>
      </c>
      <c r="L45" s="84">
        <v>181.55848243772314</v>
      </c>
      <c r="M45" s="84">
        <v>188.54142011834318</v>
      </c>
      <c r="N45" s="84">
        <v>186.81047675103002</v>
      </c>
      <c r="O45" s="84">
        <v>185.33115727002968</v>
      </c>
      <c r="P45" s="84">
        <v>176.95240963855423</v>
      </c>
      <c r="Q45" s="84">
        <v>175.4987908101572</v>
      </c>
      <c r="R45" s="84">
        <v>176.06528370957901</v>
      </c>
      <c r="S45" s="84">
        <v>179.71331269349847</v>
      </c>
      <c r="T45" s="84">
        <v>181.58675078864354</v>
      </c>
      <c r="U45" s="84">
        <v>183.80380952380952</v>
      </c>
      <c r="V45" s="84">
        <v>172.66735646029068</v>
      </c>
      <c r="W45" s="84">
        <v>161.53090339677183</v>
      </c>
      <c r="X45" s="84">
        <v>151.57586206896551</v>
      </c>
      <c r="Y45" s="84">
        <v>144.84123711340206</v>
      </c>
      <c r="DA45" s="171" t="s">
        <v>226</v>
      </c>
    </row>
    <row r="46" spans="1:105" ht="11.45" customHeight="1" x14ac:dyDescent="0.25">
      <c r="A46" s="83" t="s">
        <v>181</v>
      </c>
      <c r="B46" s="84">
        <v>222.33346763468126</v>
      </c>
      <c r="C46" s="84">
        <v>220.08501839253677</v>
      </c>
      <c r="D46" s="84">
        <v>221.20432165985244</v>
      </c>
      <c r="E46" s="84">
        <v>220.73915056215293</v>
      </c>
      <c r="F46" s="84">
        <v>222.30886131942097</v>
      </c>
      <c r="G46" s="84">
        <v>221.18839816888035</v>
      </c>
      <c r="H46" s="84">
        <v>234.34496061813806</v>
      </c>
      <c r="I46" s="84">
        <v>245.69137333973032</v>
      </c>
      <c r="J46" s="84">
        <v>248.45944268098282</v>
      </c>
      <c r="K46" s="84">
        <v>227.10547682594037</v>
      </c>
      <c r="L46" s="84">
        <v>206.22477620256578</v>
      </c>
      <c r="M46" s="84">
        <v>214.78350207552432</v>
      </c>
      <c r="N46" s="84">
        <v>212.433514652143</v>
      </c>
      <c r="O46" s="84">
        <v>203.68381799410338</v>
      </c>
      <c r="P46" s="84">
        <v>206.06989506085986</v>
      </c>
      <c r="Q46" s="84">
        <v>211.72881079050757</v>
      </c>
      <c r="R46" s="84">
        <v>221.52169281352587</v>
      </c>
      <c r="S46" s="84">
        <v>225.10007234130074</v>
      </c>
      <c r="T46" s="84">
        <v>228.48005523906735</v>
      </c>
      <c r="U46" s="84">
        <v>234.81399008772334</v>
      </c>
      <c r="V46" s="84">
        <v>223.69731670598924</v>
      </c>
      <c r="W46" s="84">
        <v>212.58064332425516</v>
      </c>
      <c r="X46" s="84">
        <v>205.50431949205472</v>
      </c>
      <c r="Y46" s="84">
        <v>225.3540417199313</v>
      </c>
      <c r="DA46" s="171" t="s">
        <v>227</v>
      </c>
    </row>
    <row r="47" spans="1:105" ht="11.45" customHeight="1" x14ac:dyDescent="0.25">
      <c r="A47" s="83" t="s">
        <v>182</v>
      </c>
      <c r="B47" s="84">
        <v>342.57</v>
      </c>
      <c r="C47" s="84">
        <v>339.10250000000002</v>
      </c>
      <c r="D47" s="84">
        <v>340.82749999999999</v>
      </c>
      <c r="E47" s="84">
        <v>346.51</v>
      </c>
      <c r="F47" s="84">
        <v>363.49</v>
      </c>
      <c r="G47" s="84">
        <v>380.36069651741292</v>
      </c>
      <c r="H47" s="84">
        <v>388.87438423645318</v>
      </c>
      <c r="I47" s="84">
        <v>408.22926829268295</v>
      </c>
      <c r="J47" s="84">
        <v>403.326968973747</v>
      </c>
      <c r="K47" s="84">
        <v>372.22037914691941</v>
      </c>
      <c r="L47" s="84">
        <v>337.96337914691941</v>
      </c>
      <c r="M47" s="84">
        <v>351.72881355932202</v>
      </c>
      <c r="N47" s="84">
        <v>320.79166666666669</v>
      </c>
      <c r="O47" s="84">
        <v>323.22988505747128</v>
      </c>
      <c r="P47" s="84">
        <v>340.70754716981133</v>
      </c>
      <c r="Q47" s="84">
        <v>337.85581395348839</v>
      </c>
      <c r="R47" s="84">
        <v>335.5299539170507</v>
      </c>
      <c r="S47" s="84">
        <v>341.39179954441914</v>
      </c>
      <c r="T47" s="84">
        <v>355.45852534562209</v>
      </c>
      <c r="U47" s="84">
        <v>370.2401847575058</v>
      </c>
      <c r="V47" s="84">
        <v>353.11168475750583</v>
      </c>
      <c r="W47" s="84">
        <v>335.98318475750585</v>
      </c>
      <c r="X47" s="84">
        <v>318.85468475750588</v>
      </c>
      <c r="Y47" s="84">
        <v>348.87727272727273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57.028339297882916</v>
      </c>
      <c r="C48" s="13">
        <f t="shared" si="36"/>
        <v>59.590462530471143</v>
      </c>
      <c r="D48" s="13">
        <f t="shared" ref="D48:V48" si="37">SUM(D49:D51)</f>
        <v>57.904424942878201</v>
      </c>
      <c r="E48" s="13">
        <f t="shared" si="37"/>
        <v>57.797119891752359</v>
      </c>
      <c r="F48" s="13">
        <f t="shared" si="37"/>
        <v>59.075768274123313</v>
      </c>
      <c r="G48" s="13">
        <f t="shared" si="37"/>
        <v>61.160011774810165</v>
      </c>
      <c r="H48" s="13">
        <f t="shared" si="37"/>
        <v>63.831571054478786</v>
      </c>
      <c r="I48" s="13">
        <f t="shared" si="37"/>
        <v>67.486230375325732</v>
      </c>
      <c r="J48" s="13">
        <f t="shared" si="37"/>
        <v>66.112155144287158</v>
      </c>
      <c r="K48" s="13">
        <f t="shared" si="37"/>
        <v>62.60802574112963</v>
      </c>
      <c r="L48" s="13">
        <f t="shared" si="37"/>
        <v>57.344963738024866</v>
      </c>
      <c r="M48" s="13">
        <f t="shared" si="37"/>
        <v>62.29517335870888</v>
      </c>
      <c r="N48" s="13">
        <f t="shared" si="37"/>
        <v>58.682086364143323</v>
      </c>
      <c r="O48" s="13">
        <f t="shared" si="37"/>
        <v>55.179907588707167</v>
      </c>
      <c r="P48" s="13">
        <f t="shared" si="37"/>
        <v>68.012858436222928</v>
      </c>
      <c r="Q48" s="13">
        <f t="shared" si="37"/>
        <v>67.097050464759604</v>
      </c>
      <c r="R48" s="13">
        <f t="shared" si="37"/>
        <v>61.560362107233615</v>
      </c>
      <c r="S48" s="13">
        <f t="shared" si="37"/>
        <v>60.258337363347735</v>
      </c>
      <c r="T48" s="13">
        <f t="shared" si="37"/>
        <v>59.37366808454027</v>
      </c>
      <c r="U48" s="13">
        <f t="shared" si="37"/>
        <v>56.040312668560482</v>
      </c>
      <c r="V48" s="13">
        <f t="shared" si="37"/>
        <v>59.944672889150418</v>
      </c>
      <c r="W48" s="13">
        <f t="shared" ref="W48:Y48" si="38">SUM(W49:W51)</f>
        <v>66.776265373980834</v>
      </c>
      <c r="X48" s="13">
        <f t="shared" si="38"/>
        <v>65.486422912048397</v>
      </c>
      <c r="Y48" s="13">
        <f t="shared" si="38"/>
        <v>63.009469373131601</v>
      </c>
      <c r="DA48" s="193" t="s">
        <v>229</v>
      </c>
    </row>
    <row r="49" spans="1:105" ht="11.45" customHeight="1" x14ac:dyDescent="0.25">
      <c r="A49" s="92" t="s">
        <v>27</v>
      </c>
      <c r="B49" s="102">
        <v>17.134564643799472</v>
      </c>
      <c r="C49" s="102">
        <v>19.970096745822339</v>
      </c>
      <c r="D49" s="102">
        <v>18.25664028144239</v>
      </c>
      <c r="E49" s="102">
        <v>16.543183817062442</v>
      </c>
      <c r="F49" s="102">
        <v>14.843447669305188</v>
      </c>
      <c r="G49" s="102">
        <v>14.670175438596491</v>
      </c>
      <c r="H49" s="102">
        <v>14.380628717077315</v>
      </c>
      <c r="I49" s="102">
        <v>13.548922056384743</v>
      </c>
      <c r="J49" s="102">
        <v>12.431089743589743</v>
      </c>
      <c r="K49" s="102">
        <v>12.916337805840568</v>
      </c>
      <c r="L49" s="102">
        <v>11.202881341460621</v>
      </c>
      <c r="M49" s="102">
        <v>10.380952380952381</v>
      </c>
      <c r="N49" s="102">
        <v>10.564454614797864</v>
      </c>
      <c r="O49" s="102">
        <v>9.9473684210526319</v>
      </c>
      <c r="P49" s="102">
        <v>11.779141104294478</v>
      </c>
      <c r="Q49" s="102">
        <v>11.417431192660551</v>
      </c>
      <c r="R49" s="102">
        <v>9.8454475899005356</v>
      </c>
      <c r="S49" s="102">
        <v>10.25635103926097</v>
      </c>
      <c r="T49" s="102">
        <v>9.9627039627039622</v>
      </c>
      <c r="U49" s="102">
        <v>9.8141524105754279</v>
      </c>
      <c r="V49" s="102">
        <v>8.9574241783854536</v>
      </c>
      <c r="W49" s="102">
        <v>9.7663865546218496</v>
      </c>
      <c r="X49" s="102">
        <v>8.9096583224318753</v>
      </c>
      <c r="Y49" s="102">
        <v>8.052930090241901</v>
      </c>
      <c r="DA49" s="175" t="s">
        <v>230</v>
      </c>
    </row>
    <row r="50" spans="1:105" ht="11.45" customHeight="1" x14ac:dyDescent="0.25">
      <c r="A50" s="92" t="s">
        <v>181</v>
      </c>
      <c r="B50" s="102">
        <v>5.9102220225045006</v>
      </c>
      <c r="C50" s="102">
        <v>6.7289184162277493</v>
      </c>
      <c r="D50" s="102">
        <v>6.1576530824884426</v>
      </c>
      <c r="E50" s="102">
        <v>5.9019623904793939</v>
      </c>
      <c r="F50" s="102">
        <v>6.42639955218654</v>
      </c>
      <c r="G50" s="102">
        <v>6.0931150247382657</v>
      </c>
      <c r="H50" s="102">
        <v>7.9022410387001747</v>
      </c>
      <c r="I50" s="102">
        <v>9.4871475472368108</v>
      </c>
      <c r="J50" s="102">
        <v>9.4310654006974062</v>
      </c>
      <c r="K50" s="102">
        <v>8.8400431984469563</v>
      </c>
      <c r="L50" s="102">
        <v>8.6887929228800385</v>
      </c>
      <c r="M50" s="102">
        <v>10.690195003730524</v>
      </c>
      <c r="N50" s="102">
        <v>10.29196103847738</v>
      </c>
      <c r="O50" s="102">
        <v>10.805223719944346</v>
      </c>
      <c r="P50" s="102">
        <v>13.275250878254321</v>
      </c>
      <c r="Q50" s="102">
        <v>13.315982908462679</v>
      </c>
      <c r="R50" s="102">
        <v>12.749633416854609</v>
      </c>
      <c r="S50" s="102">
        <v>12.500466567247859</v>
      </c>
      <c r="T50" s="102">
        <v>11.909444364997407</v>
      </c>
      <c r="U50" s="102">
        <v>11.318422162746957</v>
      </c>
      <c r="V50" s="102">
        <v>11.675127498643752</v>
      </c>
      <c r="W50" s="102">
        <v>13.837151546631713</v>
      </c>
      <c r="X50" s="102">
        <v>15.103214948468196</v>
      </c>
      <c r="Y50" s="102">
        <v>15.182167273320324</v>
      </c>
      <c r="DA50" s="175" t="s">
        <v>231</v>
      </c>
    </row>
    <row r="51" spans="1:105" ht="11.45" customHeight="1" x14ac:dyDescent="0.25">
      <c r="A51" s="85" t="s">
        <v>182</v>
      </c>
      <c r="B51" s="86">
        <v>33.983552631578945</v>
      </c>
      <c r="C51" s="86">
        <v>32.891447368421055</v>
      </c>
      <c r="D51" s="86">
        <v>33.49013157894737</v>
      </c>
      <c r="E51" s="86">
        <v>35.351973684210527</v>
      </c>
      <c r="F51" s="86">
        <v>37.805921052631582</v>
      </c>
      <c r="G51" s="86">
        <v>40.39672131147541</v>
      </c>
      <c r="H51" s="86">
        <v>41.548701298701296</v>
      </c>
      <c r="I51" s="86">
        <v>44.450160771704184</v>
      </c>
      <c r="J51" s="86">
        <v>44.25</v>
      </c>
      <c r="K51" s="86">
        <v>40.851644736842104</v>
      </c>
      <c r="L51" s="86">
        <v>37.453289473684208</v>
      </c>
      <c r="M51" s="86">
        <v>41.224025974025977</v>
      </c>
      <c r="N51" s="86">
        <v>37.825670710868081</v>
      </c>
      <c r="O51" s="86">
        <v>34.427315447710185</v>
      </c>
      <c r="P51" s="86">
        <v>42.95846645367412</v>
      </c>
      <c r="Q51" s="86">
        <v>42.363636363636367</v>
      </c>
      <c r="R51" s="86">
        <v>38.965281100478471</v>
      </c>
      <c r="S51" s="86">
        <v>37.501519756838903</v>
      </c>
      <c r="T51" s="86">
        <v>37.501519756838903</v>
      </c>
      <c r="U51" s="86">
        <v>34.907738095238095</v>
      </c>
      <c r="V51" s="86">
        <v>39.312121212121212</v>
      </c>
      <c r="W51" s="86">
        <v>43.172727272727272</v>
      </c>
      <c r="X51" s="86">
        <v>41.473549641148324</v>
      </c>
      <c r="Y51" s="86">
        <v>39.774372009569376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65.7825528016471</v>
      </c>
      <c r="C53" s="54">
        <f t="shared" si="39"/>
        <v>29.723858608430824</v>
      </c>
      <c r="D53" s="54">
        <f t="shared" ref="D53:V53" si="40">SUM(D54,D58)</f>
        <v>39.209703510668426</v>
      </c>
      <c r="E53" s="54">
        <f t="shared" si="40"/>
        <v>28.222863381019046</v>
      </c>
      <c r="F53" s="54">
        <f t="shared" si="40"/>
        <v>42.426002310727583</v>
      </c>
      <c r="G53" s="54">
        <f t="shared" si="40"/>
        <v>45.248428101170965</v>
      </c>
      <c r="H53" s="54">
        <f t="shared" si="40"/>
        <v>56.934573038793381</v>
      </c>
      <c r="I53" s="54">
        <f t="shared" si="40"/>
        <v>62.017763327348497</v>
      </c>
      <c r="J53" s="54">
        <f t="shared" si="40"/>
        <v>25.056750667790531</v>
      </c>
      <c r="K53" s="54">
        <f t="shared" si="40"/>
        <v>1.1509179537778245</v>
      </c>
      <c r="L53" s="54">
        <f t="shared" si="40"/>
        <v>0.49176294312918556</v>
      </c>
      <c r="M53" s="54">
        <f t="shared" si="40"/>
        <v>62.82311010383777</v>
      </c>
      <c r="N53" s="54">
        <f t="shared" si="40"/>
        <v>11.729289573675882</v>
      </c>
      <c r="O53" s="54">
        <f t="shared" si="40"/>
        <v>22.196762119971886</v>
      </c>
      <c r="P53" s="54">
        <f t="shared" si="40"/>
        <v>53.322622724044273</v>
      </c>
      <c r="Q53" s="54">
        <f t="shared" si="40"/>
        <v>28.703416114776111</v>
      </c>
      <c r="R53" s="54">
        <f t="shared" si="40"/>
        <v>34.274355289722067</v>
      </c>
      <c r="S53" s="54">
        <f t="shared" si="40"/>
        <v>40.529945762850993</v>
      </c>
      <c r="T53" s="54">
        <f t="shared" si="40"/>
        <v>47.008161366415635</v>
      </c>
      <c r="U53" s="54">
        <f t="shared" si="40"/>
        <v>50.259967933241562</v>
      </c>
      <c r="V53" s="54">
        <f t="shared" si="40"/>
        <v>6.0852170391756308</v>
      </c>
      <c r="W53" s="54">
        <f t="shared" ref="W53:Y53" si="41">SUM(W54,W58)</f>
        <v>8.8213909627531368</v>
      </c>
      <c r="X53" s="54">
        <f t="shared" si="41"/>
        <v>2.5540731460008415</v>
      </c>
      <c r="Y53" s="54">
        <f t="shared" si="41"/>
        <v>69.669988331121289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61.401125939926594</v>
      </c>
      <c r="C54" s="11">
        <f t="shared" si="42"/>
        <v>25.175386624828597</v>
      </c>
      <c r="D54" s="11">
        <f t="shared" ref="D54:V54" si="43">SUM(D55:D57)</f>
        <v>37.508545261326397</v>
      </c>
      <c r="E54" s="11">
        <f t="shared" si="43"/>
        <v>25.159574435825334</v>
      </c>
      <c r="F54" s="11">
        <f t="shared" si="43"/>
        <v>38.077616826257312</v>
      </c>
      <c r="G54" s="11">
        <f t="shared" si="43"/>
        <v>41.029020247857034</v>
      </c>
      <c r="H54" s="11">
        <f t="shared" si="43"/>
        <v>52.275310517791851</v>
      </c>
      <c r="I54" s="11">
        <f t="shared" si="43"/>
        <v>56.208207430058231</v>
      </c>
      <c r="J54" s="11">
        <f t="shared" si="43"/>
        <v>23.967412488347026</v>
      </c>
      <c r="K54" s="11">
        <f t="shared" si="43"/>
        <v>0</v>
      </c>
      <c r="L54" s="11">
        <f t="shared" si="43"/>
        <v>0.27373759776889006</v>
      </c>
      <c r="M54" s="11">
        <f t="shared" si="43"/>
        <v>55.726850177851816</v>
      </c>
      <c r="N54" s="11">
        <f t="shared" si="43"/>
        <v>10.835262721022541</v>
      </c>
      <c r="O54" s="11">
        <f t="shared" si="43"/>
        <v>21.396954051540725</v>
      </c>
      <c r="P54" s="11">
        <f t="shared" si="43"/>
        <v>38.503323125514513</v>
      </c>
      <c r="Q54" s="11">
        <f t="shared" si="43"/>
        <v>27.62999092044106</v>
      </c>
      <c r="R54" s="11">
        <f t="shared" si="43"/>
        <v>34.253125064386381</v>
      </c>
      <c r="S54" s="11">
        <f t="shared" si="43"/>
        <v>39.318907192211803</v>
      </c>
      <c r="T54" s="11">
        <f t="shared" si="43"/>
        <v>45.539756972498644</v>
      </c>
      <c r="U54" s="11">
        <f t="shared" si="43"/>
        <v>49.742849593843097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1.0542691583591761</v>
      </c>
      <c r="Y54" s="11">
        <f t="shared" si="44"/>
        <v>69.35729542046397</v>
      </c>
      <c r="DA54" s="189" t="s">
        <v>234</v>
      </c>
    </row>
    <row r="55" spans="1:105" ht="11.45" customHeight="1" x14ac:dyDescent="0.25">
      <c r="A55" s="83" t="s">
        <v>27</v>
      </c>
      <c r="B55" s="84">
        <v>21.568783961027265</v>
      </c>
      <c r="C55" s="84">
        <v>12.251751920555108</v>
      </c>
      <c r="D55" s="84">
        <v>16.024658047592766</v>
      </c>
      <c r="E55" s="84">
        <v>0.28041971144884315</v>
      </c>
      <c r="F55" s="84">
        <v>0</v>
      </c>
      <c r="G55" s="84">
        <v>5.7856474303820278</v>
      </c>
      <c r="H55" s="84">
        <v>11.965476403075883</v>
      </c>
      <c r="I55" s="84">
        <v>6.8673267058182148</v>
      </c>
      <c r="J55" s="84">
        <v>7.2918870117185008</v>
      </c>
      <c r="K55" s="84">
        <v>0</v>
      </c>
      <c r="L55" s="84">
        <v>0</v>
      </c>
      <c r="M55" s="84">
        <v>14.562963912586042</v>
      </c>
      <c r="N55" s="84">
        <v>5.8490828646528428</v>
      </c>
      <c r="O55" s="84">
        <v>6.1007067509656565</v>
      </c>
      <c r="P55" s="84">
        <v>0</v>
      </c>
      <c r="Q55" s="84">
        <v>6.126407403568976</v>
      </c>
      <c r="R55" s="84">
        <v>8.1465191313878051</v>
      </c>
      <c r="S55" s="84">
        <v>11.228055215885462</v>
      </c>
      <c r="T55" s="84">
        <v>9.4534643271110781</v>
      </c>
      <c r="U55" s="84">
        <v>9.7970849671319797</v>
      </c>
      <c r="V55" s="84">
        <v>0</v>
      </c>
      <c r="W55" s="84">
        <v>0</v>
      </c>
      <c r="X55" s="84">
        <v>0</v>
      </c>
      <c r="Y55" s="84">
        <v>0.84540127640255491</v>
      </c>
      <c r="DA55" s="171" t="s">
        <v>235</v>
      </c>
    </row>
    <row r="56" spans="1:105" ht="11.45" customHeight="1" x14ac:dyDescent="0.25">
      <c r="A56" s="83" t="s">
        <v>181</v>
      </c>
      <c r="B56" s="84">
        <v>15.676425312232332</v>
      </c>
      <c r="C56" s="84">
        <v>5.0877180376064848</v>
      </c>
      <c r="D56" s="84">
        <v>8.4554705470666889</v>
      </c>
      <c r="E56" s="84">
        <v>7.8932380577095103</v>
      </c>
      <c r="F56" s="84">
        <v>9.7942001595903143</v>
      </c>
      <c r="G56" s="84">
        <v>7.0692596333951236</v>
      </c>
      <c r="H56" s="84">
        <v>20.49272972900873</v>
      </c>
      <c r="I56" s="84">
        <v>18.682580001343275</v>
      </c>
      <c r="J56" s="84">
        <v>10.274408128897495</v>
      </c>
      <c r="K56" s="84">
        <v>0</v>
      </c>
      <c r="L56" s="84">
        <v>0.27373759776889006</v>
      </c>
      <c r="M56" s="84">
        <v>16.095035186196188</v>
      </c>
      <c r="N56" s="84">
        <v>4.9861798563696986</v>
      </c>
      <c r="O56" s="84">
        <v>1.5546122431034979</v>
      </c>
      <c r="P56" s="84">
        <v>9.7222443465074804</v>
      </c>
      <c r="Q56" s="84">
        <v>13.051900066528049</v>
      </c>
      <c r="R56" s="84">
        <v>17.129049302769289</v>
      </c>
      <c r="S56" s="84">
        <v>10.925589682290926</v>
      </c>
      <c r="T56" s="84">
        <v>10.716150177517642</v>
      </c>
      <c r="U56" s="84">
        <v>13.86068854816043</v>
      </c>
      <c r="V56" s="84">
        <v>0</v>
      </c>
      <c r="W56" s="84">
        <v>0</v>
      </c>
      <c r="X56" s="84">
        <v>1.0542691583591761</v>
      </c>
      <c r="Y56" s="84">
        <v>27.1858895076276</v>
      </c>
      <c r="DA56" s="171" t="s">
        <v>236</v>
      </c>
    </row>
    <row r="57" spans="1:105" ht="11.45" customHeight="1" x14ac:dyDescent="0.25">
      <c r="A57" s="83" t="s">
        <v>182</v>
      </c>
      <c r="B57" s="84">
        <v>24.155916666666997</v>
      </c>
      <c r="C57" s="84">
        <v>7.8359166666670035</v>
      </c>
      <c r="D57" s="84">
        <v>13.028416666666942</v>
      </c>
      <c r="E57" s="84">
        <v>16.985916666666981</v>
      </c>
      <c r="F57" s="84">
        <v>28.283416666666994</v>
      </c>
      <c r="G57" s="84">
        <v>28.174113184079886</v>
      </c>
      <c r="H57" s="84">
        <v>19.817104385707239</v>
      </c>
      <c r="I57" s="84">
        <v>30.65830072289674</v>
      </c>
      <c r="J57" s="84">
        <v>6.4011173477310308</v>
      </c>
      <c r="K57" s="84">
        <v>0</v>
      </c>
      <c r="L57" s="84">
        <v>0</v>
      </c>
      <c r="M57" s="84">
        <v>25.068851079069589</v>
      </c>
      <c r="N57" s="84">
        <v>0</v>
      </c>
      <c r="O57" s="84">
        <v>13.741635057471569</v>
      </c>
      <c r="P57" s="84">
        <v>28.781078779007032</v>
      </c>
      <c r="Q57" s="84">
        <v>8.451683450344035</v>
      </c>
      <c r="R57" s="84">
        <v>8.9775566302292873</v>
      </c>
      <c r="S57" s="84">
        <v>17.165262294035415</v>
      </c>
      <c r="T57" s="84">
        <v>25.370142467869925</v>
      </c>
      <c r="U57" s="84">
        <v>26.085076078550685</v>
      </c>
      <c r="V57" s="84">
        <v>0</v>
      </c>
      <c r="W57" s="84">
        <v>0</v>
      </c>
      <c r="X57" s="84">
        <v>0</v>
      </c>
      <c r="Y57" s="84">
        <v>41.326004636433822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4.381426861720505</v>
      </c>
      <c r="C58" s="13">
        <f t="shared" si="45"/>
        <v>4.5484719836022274</v>
      </c>
      <c r="D58" s="13">
        <f t="shared" ref="D58:V58" si="46">SUM(D59:D61)</f>
        <v>1.7011582493420305</v>
      </c>
      <c r="E58" s="13">
        <f t="shared" si="46"/>
        <v>3.06328894519371</v>
      </c>
      <c r="F58" s="13">
        <f t="shared" si="46"/>
        <v>4.3483854844702732</v>
      </c>
      <c r="G58" s="13">
        <f t="shared" si="46"/>
        <v>4.2194078533139345</v>
      </c>
      <c r="H58" s="13">
        <f t="shared" si="46"/>
        <v>4.6592625210015299</v>
      </c>
      <c r="I58" s="13">
        <f t="shared" si="46"/>
        <v>5.8095558972902674</v>
      </c>
      <c r="J58" s="13">
        <f t="shared" si="46"/>
        <v>1.0893381794435044</v>
      </c>
      <c r="K58" s="13">
        <f t="shared" si="46"/>
        <v>1.1509179537778245</v>
      </c>
      <c r="L58" s="13">
        <f t="shared" si="46"/>
        <v>0.2180253453602955</v>
      </c>
      <c r="M58" s="13">
        <f t="shared" si="46"/>
        <v>7.0962599259859553</v>
      </c>
      <c r="N58" s="13">
        <f t="shared" si="46"/>
        <v>0.89402685265333925</v>
      </c>
      <c r="O58" s="13">
        <f t="shared" si="46"/>
        <v>0.7998080684311617</v>
      </c>
      <c r="P58" s="13">
        <f t="shared" si="46"/>
        <v>14.81929959852976</v>
      </c>
      <c r="Q58" s="13">
        <f t="shared" si="46"/>
        <v>1.0734251943350519</v>
      </c>
      <c r="R58" s="13">
        <f t="shared" si="46"/>
        <v>2.1230225335683882E-2</v>
      </c>
      <c r="S58" s="13">
        <f t="shared" si="46"/>
        <v>1.2110385706391897</v>
      </c>
      <c r="T58" s="13">
        <f t="shared" si="46"/>
        <v>1.4684043939169946</v>
      </c>
      <c r="U58" s="13">
        <f t="shared" si="46"/>
        <v>0.51711833939846485</v>
      </c>
      <c r="V58" s="13">
        <f t="shared" si="46"/>
        <v>6.0852170391756308</v>
      </c>
      <c r="W58" s="13">
        <f t="shared" ref="W58:Y58" si="47">SUM(W59:W61)</f>
        <v>8.8213909627531368</v>
      </c>
      <c r="X58" s="13">
        <f t="shared" si="47"/>
        <v>1.4998039876416653</v>
      </c>
      <c r="Y58" s="13">
        <f t="shared" si="47"/>
        <v>0.3126929106573143</v>
      </c>
      <c r="DA58" s="193" t="s">
        <v>238</v>
      </c>
    </row>
    <row r="59" spans="1:105" ht="11.45" customHeight="1" x14ac:dyDescent="0.25">
      <c r="A59" s="92" t="s">
        <v>27</v>
      </c>
      <c r="B59" s="102">
        <v>2.5311052477275258</v>
      </c>
      <c r="C59" s="102">
        <v>3.5012019935498664</v>
      </c>
      <c r="D59" s="102">
        <v>0</v>
      </c>
      <c r="E59" s="102">
        <v>0</v>
      </c>
      <c r="F59" s="102">
        <v>0</v>
      </c>
      <c r="G59" s="102">
        <v>0.49239766081830183</v>
      </c>
      <c r="H59" s="102">
        <v>0.37612317000782269</v>
      </c>
      <c r="I59" s="102">
        <v>0</v>
      </c>
      <c r="J59" s="102">
        <v>0</v>
      </c>
      <c r="K59" s="102">
        <v>1.1509179537778245</v>
      </c>
      <c r="L59" s="102">
        <v>0</v>
      </c>
      <c r="M59" s="102">
        <v>0</v>
      </c>
      <c r="N59" s="102">
        <v>0.84917212537248155</v>
      </c>
      <c r="O59" s="102">
        <v>4.8583697781767299E-2</v>
      </c>
      <c r="P59" s="102">
        <v>2.4974425747688453</v>
      </c>
      <c r="Q59" s="102">
        <v>0.30395997989307233</v>
      </c>
      <c r="R59" s="102">
        <v>0</v>
      </c>
      <c r="S59" s="102">
        <v>1.0765733408874336</v>
      </c>
      <c r="T59" s="102">
        <v>0.37202281496999134</v>
      </c>
      <c r="U59" s="102">
        <v>0.51711833939846485</v>
      </c>
      <c r="V59" s="102">
        <v>0</v>
      </c>
      <c r="W59" s="102">
        <v>1.4746322677633952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0.79341371925650317</v>
      </c>
      <c r="C60" s="102">
        <v>1.0429936742632477</v>
      </c>
      <c r="D60" s="102">
        <v>6.09245986871218E-3</v>
      </c>
      <c r="E60" s="102">
        <v>0.10506526098354918</v>
      </c>
      <c r="F60" s="102">
        <v>0.79805653710221502</v>
      </c>
      <c r="G60" s="102">
        <v>3.9828354704801616E-2</v>
      </c>
      <c r="H60" s="102">
        <v>2.0347777848208177</v>
      </c>
      <c r="I60" s="102">
        <v>1.8117148453403769</v>
      </c>
      <c r="J60" s="102">
        <v>0.1931173722006847</v>
      </c>
      <c r="K60" s="102">
        <v>0</v>
      </c>
      <c r="L60" s="102">
        <v>0.2180253453602955</v>
      </c>
      <c r="M60" s="102">
        <v>2.2291418466971828</v>
      </c>
      <c r="N60" s="102">
        <v>4.4854727280857709E-2</v>
      </c>
      <c r="O60" s="102">
        <v>0.7512243706493944</v>
      </c>
      <c r="P60" s="102">
        <v>2.6943244388499759</v>
      </c>
      <c r="Q60" s="102">
        <v>0.26791372553272952</v>
      </c>
      <c r="R60" s="102">
        <v>2.1230225335683882E-2</v>
      </c>
      <c r="S60" s="102">
        <v>0.13446522975175618</v>
      </c>
      <c r="T60" s="102">
        <v>0</v>
      </c>
      <c r="U60" s="102">
        <v>0</v>
      </c>
      <c r="V60" s="102">
        <v>0.58445234334550977</v>
      </c>
      <c r="W60" s="102">
        <v>2.3897710554366789</v>
      </c>
      <c r="X60" s="102">
        <v>1.4998039876416653</v>
      </c>
      <c r="Y60" s="102">
        <v>0.3126929106573143</v>
      </c>
      <c r="DA60" s="175" t="s">
        <v>240</v>
      </c>
    </row>
    <row r="61" spans="1:105" ht="11.45" customHeight="1" x14ac:dyDescent="0.25">
      <c r="A61" s="85" t="s">
        <v>182</v>
      </c>
      <c r="B61" s="86">
        <v>1.0569078947364758</v>
      </c>
      <c r="C61" s="86">
        <v>4.2763157891130277E-3</v>
      </c>
      <c r="D61" s="86">
        <v>1.6950657894733183</v>
      </c>
      <c r="E61" s="86">
        <v>2.9582236842101608</v>
      </c>
      <c r="F61" s="86">
        <v>3.5503289473680582</v>
      </c>
      <c r="G61" s="86">
        <v>3.6871818377908312</v>
      </c>
      <c r="H61" s="86">
        <v>2.2483615661728891</v>
      </c>
      <c r="I61" s="86">
        <v>3.9978410519498908</v>
      </c>
      <c r="J61" s="86">
        <v>0.89622080724281972</v>
      </c>
      <c r="K61" s="86">
        <v>0</v>
      </c>
      <c r="L61" s="86">
        <v>0</v>
      </c>
      <c r="M61" s="86">
        <v>4.8671180792887725</v>
      </c>
      <c r="N61" s="86">
        <v>0</v>
      </c>
      <c r="O61" s="86">
        <v>0</v>
      </c>
      <c r="P61" s="86">
        <v>9.6275325849109379</v>
      </c>
      <c r="Q61" s="86">
        <v>0.50155148890925005</v>
      </c>
      <c r="R61" s="86">
        <v>0</v>
      </c>
      <c r="S61" s="86">
        <v>0</v>
      </c>
      <c r="T61" s="86">
        <v>1.0963815789470033</v>
      </c>
      <c r="U61" s="86">
        <v>0</v>
      </c>
      <c r="V61" s="86">
        <v>5.5007646958301208</v>
      </c>
      <c r="W61" s="86">
        <v>4.9569876395530628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68.696448915254678</v>
      </c>
      <c r="C66" s="14">
        <f t="shared" si="48"/>
        <v>69.780476680803034</v>
      </c>
      <c r="D66" s="14">
        <f t="shared" ref="D66:V66" si="49">IF(D34=0,0,D34/D24)</f>
        <v>70.872572768475237</v>
      </c>
      <c r="E66" s="14">
        <f t="shared" si="49"/>
        <v>71.203078362313107</v>
      </c>
      <c r="F66" s="14">
        <f t="shared" si="49"/>
        <v>76.362059456670636</v>
      </c>
      <c r="G66" s="14">
        <f t="shared" si="49"/>
        <v>79.39959034789716</v>
      </c>
      <c r="H66" s="14">
        <f t="shared" si="49"/>
        <v>79.857068983584455</v>
      </c>
      <c r="I66" s="14">
        <f t="shared" si="49"/>
        <v>82.092512670941872</v>
      </c>
      <c r="J66" s="14">
        <f t="shared" si="49"/>
        <v>82.896356439076541</v>
      </c>
      <c r="K66" s="14">
        <f t="shared" si="49"/>
        <v>86.551611336149804</v>
      </c>
      <c r="L66" s="14">
        <f t="shared" si="49"/>
        <v>98.91049608993157</v>
      </c>
      <c r="M66" s="14">
        <f t="shared" si="49"/>
        <v>100.28750125035562</v>
      </c>
      <c r="N66" s="14">
        <f t="shared" si="49"/>
        <v>104.61513200809114</v>
      </c>
      <c r="O66" s="14">
        <f t="shared" si="49"/>
        <v>109.02441504225162</v>
      </c>
      <c r="P66" s="14">
        <f t="shared" si="49"/>
        <v>113.17988042095556</v>
      </c>
      <c r="Q66" s="14">
        <f t="shared" si="49"/>
        <v>115.7742961768965</v>
      </c>
      <c r="R66" s="14">
        <f t="shared" si="49"/>
        <v>117.25595155741878</v>
      </c>
      <c r="S66" s="14">
        <f t="shared" si="49"/>
        <v>122.37111184163435</v>
      </c>
      <c r="T66" s="14">
        <f t="shared" si="49"/>
        <v>127.19207285753797</v>
      </c>
      <c r="U66" s="14">
        <f t="shared" si="49"/>
        <v>129.46847210889973</v>
      </c>
      <c r="V66" s="14">
        <f t="shared" si="49"/>
        <v>105.62683795330742</v>
      </c>
      <c r="W66" s="14">
        <f t="shared" ref="W66:Y66" si="50">IF(W34=0,0,W34/W24)</f>
        <v>109.19138265426025</v>
      </c>
      <c r="X66" s="14">
        <f t="shared" si="50"/>
        <v>132.72907424707068</v>
      </c>
      <c r="Y66" s="14">
        <f t="shared" si="50"/>
        <v>139.29337599330199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64.720491627443309</v>
      </c>
      <c r="C67" s="87">
        <f t="shared" si="48"/>
        <v>65.60538232982158</v>
      </c>
      <c r="D67" s="87">
        <f t="shared" ref="D67:V67" si="51">IF(D35=0,0,D35/D25)</f>
        <v>66.495127142377058</v>
      </c>
      <c r="E67" s="87">
        <f t="shared" si="51"/>
        <v>65.71173167594317</v>
      </c>
      <c r="F67" s="87">
        <f t="shared" si="51"/>
        <v>70.050765193069608</v>
      </c>
      <c r="G67" s="87">
        <f t="shared" si="51"/>
        <v>70.930767159587433</v>
      </c>
      <c r="H67" s="87">
        <f t="shared" si="51"/>
        <v>70.513188182761169</v>
      </c>
      <c r="I67" s="87">
        <f t="shared" si="51"/>
        <v>72.184182415339805</v>
      </c>
      <c r="J67" s="87">
        <f t="shared" si="51"/>
        <v>71.175353824388225</v>
      </c>
      <c r="K67" s="87">
        <f t="shared" si="51"/>
        <v>74.250870860728114</v>
      </c>
      <c r="L67" s="87">
        <f t="shared" si="51"/>
        <v>86.078093409312089</v>
      </c>
      <c r="M67" s="87">
        <f t="shared" si="51"/>
        <v>87.055649881525881</v>
      </c>
      <c r="N67" s="87">
        <f t="shared" si="51"/>
        <v>88.974126550532304</v>
      </c>
      <c r="O67" s="87">
        <f t="shared" si="51"/>
        <v>92.02039496226179</v>
      </c>
      <c r="P67" s="87">
        <f t="shared" si="51"/>
        <v>95.566580763325518</v>
      </c>
      <c r="Q67" s="87">
        <f t="shared" si="51"/>
        <v>97.506540349668413</v>
      </c>
      <c r="R67" s="87">
        <f t="shared" si="51"/>
        <v>100.72290354886665</v>
      </c>
      <c r="S67" s="87">
        <f t="shared" si="51"/>
        <v>103.80820157319708</v>
      </c>
      <c r="T67" s="87">
        <f t="shared" si="51"/>
        <v>107.74367215051335</v>
      </c>
      <c r="U67" s="87">
        <f t="shared" si="51"/>
        <v>109.40060658189719</v>
      </c>
      <c r="V67" s="87">
        <f t="shared" si="51"/>
        <v>99.148168181912752</v>
      </c>
      <c r="W67" s="87">
        <f t="shared" ref="W67:Y67" si="52">IF(W35=0,0,W35/W25)</f>
        <v>104.39462761766305</v>
      </c>
      <c r="X67" s="87">
        <f t="shared" si="52"/>
        <v>119.91978524467093</v>
      </c>
      <c r="Y67" s="87">
        <f t="shared" si="52"/>
        <v>123.7380993053183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60.019571552579364</v>
      </c>
      <c r="C68" s="87">
        <f t="shared" si="48"/>
        <v>61.238426172415735</v>
      </c>
      <c r="D68" s="87">
        <f t="shared" ref="D68:V68" si="53">IF(D36=0,0,D36/D26)</f>
        <v>62.512093281233447</v>
      </c>
      <c r="E68" s="87">
        <f t="shared" si="53"/>
        <v>65.113355875159726</v>
      </c>
      <c r="F68" s="87">
        <f t="shared" si="53"/>
        <v>69.175141630259333</v>
      </c>
      <c r="G68" s="87">
        <f t="shared" si="53"/>
        <v>73.455351649317549</v>
      </c>
      <c r="H68" s="87">
        <f t="shared" si="53"/>
        <v>74.790280313989612</v>
      </c>
      <c r="I68" s="87">
        <f t="shared" si="53"/>
        <v>77.689297458299109</v>
      </c>
      <c r="J68" s="87">
        <f t="shared" si="53"/>
        <v>78.875145854354216</v>
      </c>
      <c r="K68" s="87">
        <f t="shared" si="53"/>
        <v>81.959787334770198</v>
      </c>
      <c r="L68" s="87">
        <f t="shared" si="53"/>
        <v>91.693439398422953</v>
      </c>
      <c r="M68" s="87">
        <f t="shared" si="53"/>
        <v>94.664269228002951</v>
      </c>
      <c r="N68" s="87">
        <f t="shared" si="53"/>
        <v>99.148995318308778</v>
      </c>
      <c r="O68" s="87">
        <f t="shared" si="53"/>
        <v>104.74676461145995</v>
      </c>
      <c r="P68" s="87">
        <f t="shared" si="53"/>
        <v>109.89351580947398</v>
      </c>
      <c r="Q68" s="87">
        <f t="shared" si="53"/>
        <v>113.00136643286977</v>
      </c>
      <c r="R68" s="87">
        <f t="shared" si="53"/>
        <v>113.85482051579551</v>
      </c>
      <c r="S68" s="87">
        <f t="shared" si="53"/>
        <v>119.57905236431667</v>
      </c>
      <c r="T68" s="87">
        <f t="shared" si="53"/>
        <v>124.08710743176358</v>
      </c>
      <c r="U68" s="87">
        <f t="shared" si="53"/>
        <v>126.21876414423346</v>
      </c>
      <c r="V68" s="87">
        <f t="shared" si="53"/>
        <v>98.640739024146427</v>
      </c>
      <c r="W68" s="87">
        <f t="shared" ref="W68:Y68" si="54">IF(W36=0,0,W36/W26)</f>
        <v>104.11744289799273</v>
      </c>
      <c r="X68" s="87">
        <f t="shared" si="54"/>
        <v>125.50171283335789</v>
      </c>
      <c r="Y68" s="87">
        <f t="shared" si="54"/>
        <v>132.32438403834473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100.61858890153837</v>
      </c>
      <c r="C69" s="87">
        <f t="shared" si="48"/>
        <v>102.34052388289676</v>
      </c>
      <c r="D69" s="87">
        <f t="shared" ref="D69:V69" si="55">IF(D37=0,0,D37/D27)</f>
        <v>104.0249906477617</v>
      </c>
      <c r="E69" s="87">
        <f t="shared" si="55"/>
        <v>101.30596519580965</v>
      </c>
      <c r="F69" s="87">
        <f t="shared" si="55"/>
        <v>108.58185232055902</v>
      </c>
      <c r="G69" s="87">
        <f t="shared" si="55"/>
        <v>112.55953696739806</v>
      </c>
      <c r="H69" s="87">
        <f t="shared" si="55"/>
        <v>113.33365846861284</v>
      </c>
      <c r="I69" s="87">
        <f t="shared" si="55"/>
        <v>113.62702689784554</v>
      </c>
      <c r="J69" s="87">
        <f t="shared" si="55"/>
        <v>117.41974271275903</v>
      </c>
      <c r="K69" s="87">
        <f t="shared" si="55"/>
        <v>123.2963960350656</v>
      </c>
      <c r="L69" s="87">
        <f t="shared" si="55"/>
        <v>140.46095516920815</v>
      </c>
      <c r="M69" s="87">
        <f t="shared" si="55"/>
        <v>141.15224694349598</v>
      </c>
      <c r="N69" s="87">
        <f t="shared" si="55"/>
        <v>152.38402534239657</v>
      </c>
      <c r="O69" s="87">
        <f t="shared" si="55"/>
        <v>155.60345649158992</v>
      </c>
      <c r="P69" s="87">
        <f t="shared" si="55"/>
        <v>155.60345424338917</v>
      </c>
      <c r="Q69" s="87">
        <f t="shared" si="55"/>
        <v>157.94569721499471</v>
      </c>
      <c r="R69" s="87">
        <f t="shared" si="55"/>
        <v>157.26593874467792</v>
      </c>
      <c r="S69" s="87">
        <f t="shared" si="55"/>
        <v>164.17494378498841</v>
      </c>
      <c r="T69" s="87">
        <f t="shared" si="55"/>
        <v>169.86075621155254</v>
      </c>
      <c r="U69" s="87">
        <f t="shared" si="55"/>
        <v>172.29008071659368</v>
      </c>
      <c r="V69" s="87">
        <f t="shared" si="55"/>
        <v>138.28249822623636</v>
      </c>
      <c r="W69" s="87">
        <f t="shared" ref="W69:Y69" si="56">IF(W37=0,0,W37/W27)</f>
        <v>133.72671182037485</v>
      </c>
      <c r="X69" s="87">
        <f t="shared" si="56"/>
        <v>171.85388105416607</v>
      </c>
      <c r="Y69" s="87">
        <f t="shared" si="56"/>
        <v>174.47747970763359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23.047605370453411</v>
      </c>
      <c r="C70" s="15">
        <f t="shared" si="48"/>
        <v>22.030129332531349</v>
      </c>
      <c r="D70" s="15">
        <f t="shared" ref="D70:V70" si="57">IF(D38=0,0,D38/D28)</f>
        <v>23.091815968956137</v>
      </c>
      <c r="E70" s="15">
        <f t="shared" si="57"/>
        <v>23.984984694781811</v>
      </c>
      <c r="F70" s="15">
        <f t="shared" si="57"/>
        <v>23.620850465984866</v>
      </c>
      <c r="G70" s="15">
        <f t="shared" si="57"/>
        <v>22.724900042370731</v>
      </c>
      <c r="H70" s="15">
        <f t="shared" si="57"/>
        <v>22.388853514178688</v>
      </c>
      <c r="I70" s="15">
        <f t="shared" si="57"/>
        <v>22.725874071249983</v>
      </c>
      <c r="J70" s="15">
        <f t="shared" si="57"/>
        <v>22.863691208563299</v>
      </c>
      <c r="K70" s="15">
        <f t="shared" si="57"/>
        <v>22.345884144446561</v>
      </c>
      <c r="L70" s="15">
        <f t="shared" si="57"/>
        <v>25.364050530709463</v>
      </c>
      <c r="M70" s="15">
        <f t="shared" si="57"/>
        <v>27.072503871636684</v>
      </c>
      <c r="N70" s="15">
        <f t="shared" si="57"/>
        <v>27.701900626843173</v>
      </c>
      <c r="O70" s="15">
        <f t="shared" si="57"/>
        <v>27.720325929969949</v>
      </c>
      <c r="P70" s="15">
        <f t="shared" si="57"/>
        <v>31.287790393929992</v>
      </c>
      <c r="Q70" s="15">
        <f t="shared" si="57"/>
        <v>31.551806414129512</v>
      </c>
      <c r="R70" s="15">
        <f t="shared" si="57"/>
        <v>35.546792151477035</v>
      </c>
      <c r="S70" s="15">
        <f t="shared" si="57"/>
        <v>34.444921118164771</v>
      </c>
      <c r="T70" s="15">
        <f t="shared" si="57"/>
        <v>35.587032738877348</v>
      </c>
      <c r="U70" s="15">
        <f t="shared" si="57"/>
        <v>36.191325844053893</v>
      </c>
      <c r="V70" s="15">
        <f t="shared" si="57"/>
        <v>28.465258956204025</v>
      </c>
      <c r="W70" s="15">
        <f t="shared" ref="W70:Y70" si="58">IF(W38=0,0,W38/W28)</f>
        <v>29.16190010692754</v>
      </c>
      <c r="X70" s="15">
        <f t="shared" si="58"/>
        <v>31.248380682689156</v>
      </c>
      <c r="Y70" s="15">
        <f t="shared" si="58"/>
        <v>31.51699902267557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11.472606557577452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15.261225204177912</v>
      </c>
      <c r="S71" s="41">
        <f t="shared" si="59"/>
        <v>14.037407282807472</v>
      </c>
      <c r="T71" s="41">
        <f t="shared" si="59"/>
        <v>14.287770694726392</v>
      </c>
      <c r="U71" s="41">
        <f t="shared" si="59"/>
        <v>15.803408783848623</v>
      </c>
      <c r="V71" s="41">
        <f t="shared" si="59"/>
        <v>14.565549583941408</v>
      </c>
      <c r="W71" s="41">
        <f t="shared" ref="W71:Y71" si="60">IF(W39=0,0,W39/W29)</f>
        <v>14.733887425092284</v>
      </c>
      <c r="X71" s="41">
        <f t="shared" si="60"/>
        <v>14.903133727895913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16.167807765431579</v>
      </c>
      <c r="C72" s="41">
        <f t="shared" si="48"/>
        <v>16.347531780245248</v>
      </c>
      <c r="D72" s="41">
        <f t="shared" ref="D72:V72" si="61">IF(D40=0,0,D40/D30)</f>
        <v>16.365143935076354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15.202475894043335</v>
      </c>
      <c r="H72" s="41">
        <f t="shared" si="61"/>
        <v>14.017847842266168</v>
      </c>
      <c r="I72" s="41">
        <f t="shared" si="61"/>
        <v>13.786843762306624</v>
      </c>
      <c r="J72" s="41">
        <f t="shared" si="61"/>
        <v>13.706049515651268</v>
      </c>
      <c r="K72" s="41">
        <f t="shared" si="61"/>
        <v>13.698894254303415</v>
      </c>
      <c r="L72" s="41">
        <f t="shared" si="61"/>
        <v>14.504774438576121</v>
      </c>
      <c r="M72" s="41">
        <f t="shared" si="61"/>
        <v>15.593990976967522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20.847919403023056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17.970037243342698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52.138322756086367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48.059639068158525</v>
      </c>
      <c r="G73" s="40">
        <f t="shared" si="63"/>
        <v>44.215541300581251</v>
      </c>
      <c r="H73" s="40">
        <f t="shared" si="63"/>
        <v>45.164132697953754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55.066413538494714</v>
      </c>
      <c r="N73" s="40">
        <f t="shared" si="63"/>
        <v>59.082056024886235</v>
      </c>
      <c r="O73" s="40">
        <f t="shared" si="63"/>
        <v>59.664691083399617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1450.0250428889581</v>
      </c>
      <c r="C75" s="62">
        <f t="shared" si="65"/>
        <v>1436.2684447483634</v>
      </c>
      <c r="D75" s="62">
        <f t="shared" ref="D75:V75" si="66">IF(D13=0,0,D13*1000000/D23)</f>
        <v>1429.6133193656397</v>
      </c>
      <c r="E75" s="62">
        <f t="shared" si="66"/>
        <v>1454.95842999208</v>
      </c>
      <c r="F75" s="62">
        <f t="shared" si="66"/>
        <v>1505.8012760370141</v>
      </c>
      <c r="G75" s="62">
        <f t="shared" si="66"/>
        <v>1535.1258859243162</v>
      </c>
      <c r="H75" s="62">
        <f t="shared" si="66"/>
        <v>1521.1929805240866</v>
      </c>
      <c r="I75" s="62">
        <f t="shared" si="66"/>
        <v>1553.0088544045614</v>
      </c>
      <c r="J75" s="62">
        <f t="shared" si="66"/>
        <v>1537.305418168979</v>
      </c>
      <c r="K75" s="62">
        <f t="shared" si="66"/>
        <v>1542.0610208175037</v>
      </c>
      <c r="L75" s="62">
        <f t="shared" si="66"/>
        <v>1557.5695865651253</v>
      </c>
      <c r="M75" s="62">
        <f t="shared" si="66"/>
        <v>1588.1687143690749</v>
      </c>
      <c r="N75" s="62">
        <f t="shared" si="66"/>
        <v>1513.7915399947196</v>
      </c>
      <c r="O75" s="62">
        <f t="shared" si="66"/>
        <v>1531.530878030565</v>
      </c>
      <c r="P75" s="62">
        <f t="shared" si="66"/>
        <v>1612.2503332546585</v>
      </c>
      <c r="Q75" s="62">
        <f t="shared" si="66"/>
        <v>1603.4774784349215</v>
      </c>
      <c r="R75" s="62">
        <f t="shared" si="66"/>
        <v>1592.2061404954302</v>
      </c>
      <c r="S75" s="62">
        <f t="shared" si="66"/>
        <v>1601.266260247043</v>
      </c>
      <c r="T75" s="62">
        <f t="shared" si="66"/>
        <v>1645.7802995080183</v>
      </c>
      <c r="U75" s="62">
        <f t="shared" si="66"/>
        <v>1659.8240757633359</v>
      </c>
      <c r="V75" s="62">
        <f t="shared" si="66"/>
        <v>1711.0696079606544</v>
      </c>
      <c r="W75" s="62">
        <f t="shared" ref="W75:Y75" si="67">IF(W13=0,0,W13*1000000/W23)</f>
        <v>1687.9011263255577</v>
      </c>
      <c r="X75" s="62">
        <f t="shared" si="67"/>
        <v>1717.4398893601519</v>
      </c>
      <c r="Y75" s="62">
        <f t="shared" si="67"/>
        <v>1780.8189198855755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1413.4268046877287</v>
      </c>
      <c r="C76" s="14">
        <f t="shared" si="65"/>
        <v>1403.9272428999077</v>
      </c>
      <c r="D76" s="14">
        <f t="shared" ref="D76:V76" si="68">IF(D14=0,0,D14*1000000/D24)</f>
        <v>1394.271383531945</v>
      </c>
      <c r="E76" s="14">
        <f t="shared" si="68"/>
        <v>1414.7401046760676</v>
      </c>
      <c r="F76" s="14">
        <f t="shared" si="68"/>
        <v>1463.0938207738566</v>
      </c>
      <c r="G76" s="14">
        <f t="shared" si="68"/>
        <v>1489.3791400613272</v>
      </c>
      <c r="H76" s="14">
        <f t="shared" si="68"/>
        <v>1478.4148706545068</v>
      </c>
      <c r="I76" s="14">
        <f t="shared" si="68"/>
        <v>1510.0529746263717</v>
      </c>
      <c r="J76" s="14">
        <f t="shared" si="68"/>
        <v>1495.2087160048745</v>
      </c>
      <c r="K76" s="14">
        <f t="shared" si="68"/>
        <v>1514.490653752526</v>
      </c>
      <c r="L76" s="14">
        <f t="shared" si="68"/>
        <v>1522.7168631856869</v>
      </c>
      <c r="M76" s="14">
        <f t="shared" si="68"/>
        <v>1545.5346091027284</v>
      </c>
      <c r="N76" s="14">
        <f t="shared" si="68"/>
        <v>1476.4795778316386</v>
      </c>
      <c r="O76" s="14">
        <f t="shared" si="68"/>
        <v>1498.3453258187128</v>
      </c>
      <c r="P76" s="14">
        <f t="shared" si="68"/>
        <v>1571.7470082265256</v>
      </c>
      <c r="Q76" s="14">
        <f t="shared" si="68"/>
        <v>1564.8575231200089</v>
      </c>
      <c r="R76" s="14">
        <f t="shared" si="68"/>
        <v>1558.8212931273376</v>
      </c>
      <c r="S76" s="14">
        <f t="shared" si="68"/>
        <v>1569.8739204821095</v>
      </c>
      <c r="T76" s="14">
        <f t="shared" si="68"/>
        <v>1614.0569775102622</v>
      </c>
      <c r="U76" s="14">
        <f t="shared" si="68"/>
        <v>1634.513761532093</v>
      </c>
      <c r="V76" s="14">
        <f t="shared" si="68"/>
        <v>1626.2662127770243</v>
      </c>
      <c r="W76" s="14">
        <f t="shared" ref="W76:Y76" si="69">IF(W14=0,0,W14*1000000/W24)</f>
        <v>1614.8794910913261</v>
      </c>
      <c r="X76" s="14">
        <f t="shared" si="69"/>
        <v>1685.8869548243977</v>
      </c>
      <c r="Y76" s="14">
        <f t="shared" si="69"/>
        <v>1762.1691149822041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750.91805229026431</v>
      </c>
      <c r="C77" s="39">
        <f t="shared" si="65"/>
        <v>750.91805229026431</v>
      </c>
      <c r="D77" s="39">
        <f t="shared" ref="D77:V77" si="70">IF(D15=0,0,D15*1000000/D25)</f>
        <v>750.91805229026431</v>
      </c>
      <c r="E77" s="39">
        <f t="shared" si="70"/>
        <v>750.91805229026431</v>
      </c>
      <c r="F77" s="39">
        <f t="shared" si="70"/>
        <v>750.91805229026443</v>
      </c>
      <c r="G77" s="39">
        <f t="shared" si="70"/>
        <v>744.64754985173238</v>
      </c>
      <c r="H77" s="39">
        <f t="shared" si="70"/>
        <v>746.03253975638802</v>
      </c>
      <c r="I77" s="39">
        <f t="shared" si="70"/>
        <v>767.85537545972534</v>
      </c>
      <c r="J77" s="39">
        <f t="shared" si="70"/>
        <v>767.39217481158835</v>
      </c>
      <c r="K77" s="39">
        <f t="shared" si="70"/>
        <v>813.5732946558652</v>
      </c>
      <c r="L77" s="39">
        <f t="shared" si="70"/>
        <v>828.65702113156101</v>
      </c>
      <c r="M77" s="39">
        <f t="shared" si="70"/>
        <v>838.7031024970662</v>
      </c>
      <c r="N77" s="39">
        <f t="shared" si="70"/>
        <v>829.0912834769955</v>
      </c>
      <c r="O77" s="39">
        <f t="shared" si="70"/>
        <v>843.475813532546</v>
      </c>
      <c r="P77" s="39">
        <f t="shared" si="70"/>
        <v>869.58301233098848</v>
      </c>
      <c r="Q77" s="39">
        <f t="shared" si="70"/>
        <v>876.06923274668304</v>
      </c>
      <c r="R77" s="39">
        <f t="shared" si="70"/>
        <v>892.0138474110845</v>
      </c>
      <c r="S77" s="39">
        <f t="shared" si="70"/>
        <v>919.26330942629147</v>
      </c>
      <c r="T77" s="39">
        <f t="shared" si="70"/>
        <v>953.39638491585004</v>
      </c>
      <c r="U77" s="39">
        <f t="shared" si="70"/>
        <v>965.68440320782543</v>
      </c>
      <c r="V77" s="39">
        <f t="shared" si="70"/>
        <v>1111.231541968757</v>
      </c>
      <c r="W77" s="39">
        <f t="shared" ref="W77:Y77" si="71">IF(W15=0,0,W15*1000000/W25)</f>
        <v>1112.6413269440825</v>
      </c>
      <c r="X77" s="39">
        <f t="shared" si="71"/>
        <v>1126.4936788844352</v>
      </c>
      <c r="Y77" s="39">
        <f t="shared" si="71"/>
        <v>1118.8234876698541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933.61131436325638</v>
      </c>
      <c r="C78" s="39">
        <f t="shared" si="65"/>
        <v>933.61106847284577</v>
      </c>
      <c r="D78" s="39">
        <f t="shared" ref="D78:V78" si="72">IF(D16=0,0,D16*1000000/D26)</f>
        <v>933.61023966595315</v>
      </c>
      <c r="E78" s="39">
        <f t="shared" si="72"/>
        <v>937.54127504308747</v>
      </c>
      <c r="F78" s="39">
        <f t="shared" si="72"/>
        <v>942.16867719806226</v>
      </c>
      <c r="G78" s="39">
        <f t="shared" si="72"/>
        <v>949.72400052168609</v>
      </c>
      <c r="H78" s="39">
        <f t="shared" si="72"/>
        <v>950.79448861811295</v>
      </c>
      <c r="I78" s="39">
        <f t="shared" si="72"/>
        <v>962.6257326018017</v>
      </c>
      <c r="J78" s="39">
        <f t="shared" si="72"/>
        <v>969.16344465829116</v>
      </c>
      <c r="K78" s="39">
        <f t="shared" si="72"/>
        <v>974.57653174546078</v>
      </c>
      <c r="L78" s="39">
        <f t="shared" si="72"/>
        <v>981.36279941024611</v>
      </c>
      <c r="M78" s="39">
        <f t="shared" si="72"/>
        <v>975.5095064461583</v>
      </c>
      <c r="N78" s="39">
        <f t="shared" si="72"/>
        <v>972.14427462317303</v>
      </c>
      <c r="O78" s="39">
        <f t="shared" si="72"/>
        <v>977.64077286459712</v>
      </c>
      <c r="P78" s="39">
        <f t="shared" si="72"/>
        <v>997.88238396319048</v>
      </c>
      <c r="Q78" s="39">
        <f t="shared" si="72"/>
        <v>1007.5465674158783</v>
      </c>
      <c r="R78" s="39">
        <f t="shared" si="72"/>
        <v>1012.7127394892825</v>
      </c>
      <c r="S78" s="39">
        <f t="shared" si="72"/>
        <v>1020.1399048683553</v>
      </c>
      <c r="T78" s="39">
        <f t="shared" si="72"/>
        <v>1032.7049551444663</v>
      </c>
      <c r="U78" s="39">
        <f t="shared" si="72"/>
        <v>1037.392281332711</v>
      </c>
      <c r="V78" s="39">
        <f t="shared" si="72"/>
        <v>1062.2794797237984</v>
      </c>
      <c r="W78" s="39">
        <f t="shared" ref="W78:Y78" si="73">IF(W16=0,0,W16*1000000/W26)</f>
        <v>1126.8760377732301</v>
      </c>
      <c r="X78" s="39">
        <f t="shared" si="73"/>
        <v>1101.5303682841079</v>
      </c>
      <c r="Y78" s="39">
        <f t="shared" si="73"/>
        <v>1094.4177294760614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4458.6324565637769</v>
      </c>
      <c r="C79" s="39">
        <f t="shared" si="65"/>
        <v>4458.6324565637769</v>
      </c>
      <c r="D79" s="39">
        <f t="shared" ref="D79:V79" si="74">IF(D17=0,0,D17*1000000/D27)</f>
        <v>4458.6324565637769</v>
      </c>
      <c r="E79" s="39">
        <f t="shared" si="74"/>
        <v>4458.6324565637769</v>
      </c>
      <c r="F79" s="39">
        <f t="shared" si="74"/>
        <v>4458.6324565637769</v>
      </c>
      <c r="G79" s="39">
        <f t="shared" si="74"/>
        <v>4440.6717345893112</v>
      </c>
      <c r="H79" s="39">
        <f t="shared" si="74"/>
        <v>4381.1295791217572</v>
      </c>
      <c r="I79" s="39">
        <f t="shared" si="74"/>
        <v>4329.6220871096293</v>
      </c>
      <c r="J79" s="39">
        <f t="shared" si="74"/>
        <v>4219.1384637856945</v>
      </c>
      <c r="K79" s="39">
        <f t="shared" si="74"/>
        <v>4177.0481403360955</v>
      </c>
      <c r="L79" s="39">
        <f t="shared" si="74"/>
        <v>4070.9649257098649</v>
      </c>
      <c r="M79" s="39">
        <f t="shared" si="74"/>
        <v>4296.262081553522</v>
      </c>
      <c r="N79" s="39">
        <f t="shared" si="74"/>
        <v>4061.4422962214785</v>
      </c>
      <c r="O79" s="39">
        <f t="shared" si="74"/>
        <v>4025.6093330508875</v>
      </c>
      <c r="P79" s="39">
        <f t="shared" si="74"/>
        <v>4153.6011733143241</v>
      </c>
      <c r="Q79" s="39">
        <f t="shared" si="74"/>
        <v>4080.9197031524395</v>
      </c>
      <c r="R79" s="39">
        <f t="shared" si="74"/>
        <v>4043.8285807491857</v>
      </c>
      <c r="S79" s="39">
        <f t="shared" si="74"/>
        <v>3982.6927684272032</v>
      </c>
      <c r="T79" s="39">
        <f t="shared" si="74"/>
        <v>4042.0002328896662</v>
      </c>
      <c r="U79" s="39">
        <f t="shared" si="74"/>
        <v>4051.9732285051919</v>
      </c>
      <c r="V79" s="39">
        <f t="shared" si="74"/>
        <v>4240.4663452858122</v>
      </c>
      <c r="W79" s="39">
        <f t="shared" ref="W79:Y79" si="75">IF(W17=0,0,W17*1000000/W27)</f>
        <v>4088.6122953749373</v>
      </c>
      <c r="X79" s="39">
        <f t="shared" si="75"/>
        <v>3991.9765594828309</v>
      </c>
      <c r="Y79" s="39">
        <f t="shared" si="75"/>
        <v>3970.4322556048005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2305.4562599336314</v>
      </c>
      <c r="C80" s="15">
        <f t="shared" si="65"/>
        <v>2123.5589667224431</v>
      </c>
      <c r="D80" s="15">
        <f t="shared" ref="D80:V80" si="76">IF(D18=0,0,D18*1000000/D28)</f>
        <v>2264.4801457456047</v>
      </c>
      <c r="E80" s="15">
        <f t="shared" si="76"/>
        <v>2467.2211903776788</v>
      </c>
      <c r="F80" s="15">
        <f t="shared" si="76"/>
        <v>2515.3378436411003</v>
      </c>
      <c r="G80" s="15">
        <f t="shared" si="76"/>
        <v>2610.5129444510294</v>
      </c>
      <c r="H80" s="15">
        <f t="shared" si="76"/>
        <v>2489.8797826127088</v>
      </c>
      <c r="I80" s="15">
        <f t="shared" si="76"/>
        <v>2493.1180187006757</v>
      </c>
      <c r="J80" s="15">
        <f t="shared" si="76"/>
        <v>2482.1334111634633</v>
      </c>
      <c r="K80" s="15">
        <f t="shared" si="76"/>
        <v>2168.5661172222153</v>
      </c>
      <c r="L80" s="15">
        <f t="shared" si="76"/>
        <v>2307.1132792965668</v>
      </c>
      <c r="M80" s="15">
        <f t="shared" si="76"/>
        <v>2448.8800751357553</v>
      </c>
      <c r="N80" s="15">
        <f t="shared" si="76"/>
        <v>2287.788835037773</v>
      </c>
      <c r="O80" s="15">
        <f t="shared" si="76"/>
        <v>2219.2998267806588</v>
      </c>
      <c r="P80" s="15">
        <f t="shared" si="76"/>
        <v>2289.1228857583592</v>
      </c>
      <c r="Q80" s="15">
        <f t="shared" si="76"/>
        <v>2255.27774104121</v>
      </c>
      <c r="R80" s="15">
        <f t="shared" si="76"/>
        <v>2250.3457426370569</v>
      </c>
      <c r="S80" s="15">
        <f t="shared" si="76"/>
        <v>2201.524015422805</v>
      </c>
      <c r="T80" s="15">
        <f t="shared" si="76"/>
        <v>2294.5413736212531</v>
      </c>
      <c r="U80" s="15">
        <f t="shared" si="76"/>
        <v>2194.9524860290044</v>
      </c>
      <c r="V80" s="15">
        <f t="shared" si="76"/>
        <v>2423.4111525837366</v>
      </c>
      <c r="W80" s="15">
        <f t="shared" ref="W80:Y80" si="77">IF(W18=0,0,W18*1000000/W28)</f>
        <v>2366.065000594373</v>
      </c>
      <c r="X80" s="15">
        <f t="shared" si="77"/>
        <v>2225.4765085786903</v>
      </c>
      <c r="Y80" s="15">
        <f t="shared" si="77"/>
        <v>2122.7413818844948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840.32146636294499</v>
      </c>
      <c r="C81" s="41">
        <f t="shared" si="65"/>
        <v>840.32146636294499</v>
      </c>
      <c r="D81" s="41">
        <f t="shared" ref="D81:V81" si="78">IF(D19=0,0,D19*1000000/D29)</f>
        <v>840.32146636294488</v>
      </c>
      <c r="E81" s="41">
        <f t="shared" si="78"/>
        <v>840.32146636294499</v>
      </c>
      <c r="F81" s="41">
        <f t="shared" si="78"/>
        <v>840.32146636294499</v>
      </c>
      <c r="G81" s="41">
        <f t="shared" si="78"/>
        <v>834.05096392441305</v>
      </c>
      <c r="H81" s="41">
        <f t="shared" si="78"/>
        <v>755.95731643136048</v>
      </c>
      <c r="I81" s="41">
        <f t="shared" si="78"/>
        <v>698.30151473699016</v>
      </c>
      <c r="J81" s="41">
        <f t="shared" si="78"/>
        <v>618.35967669114507</v>
      </c>
      <c r="K81" s="41">
        <f t="shared" si="78"/>
        <v>585.06215913771382</v>
      </c>
      <c r="L81" s="41">
        <f t="shared" si="78"/>
        <v>520.66724821570187</v>
      </c>
      <c r="M81" s="41">
        <f t="shared" si="78"/>
        <v>524.73716915287901</v>
      </c>
      <c r="N81" s="41">
        <f t="shared" si="78"/>
        <v>509.14918970448042</v>
      </c>
      <c r="O81" s="41">
        <f t="shared" si="78"/>
        <v>509.72902670753365</v>
      </c>
      <c r="P81" s="41">
        <f t="shared" si="78"/>
        <v>522.0315324534788</v>
      </c>
      <c r="Q81" s="41">
        <f t="shared" si="78"/>
        <v>514.71305981667604</v>
      </c>
      <c r="R81" s="41">
        <f t="shared" si="78"/>
        <v>516.85298142858016</v>
      </c>
      <c r="S81" s="41">
        <f t="shared" si="78"/>
        <v>530.29775039128981</v>
      </c>
      <c r="T81" s="41">
        <f t="shared" si="78"/>
        <v>550.62613282835105</v>
      </c>
      <c r="U81" s="41">
        <f t="shared" si="78"/>
        <v>551.75054669150404</v>
      </c>
      <c r="V81" s="41">
        <f t="shared" si="78"/>
        <v>682.18491412958633</v>
      </c>
      <c r="W81" s="41">
        <f t="shared" ref="W81:Y81" si="79">IF(W19=0,0,W19*1000000/W29)</f>
        <v>730.2256846081209</v>
      </c>
      <c r="X81" s="41">
        <f t="shared" si="79"/>
        <v>544.09476417135443</v>
      </c>
      <c r="Y81" s="41">
        <f t="shared" si="79"/>
        <v>579.50879662209718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809.59991398531588</v>
      </c>
      <c r="C82" s="41">
        <f t="shared" si="65"/>
        <v>811.25762458323607</v>
      </c>
      <c r="D82" s="41">
        <f t="shared" ref="D82:V82" si="80">IF(D20=0,0,D20*1000000/D30)</f>
        <v>810.19788714760602</v>
      </c>
      <c r="E82" s="41">
        <f t="shared" si="80"/>
        <v>811.57731223668804</v>
      </c>
      <c r="F82" s="41">
        <f t="shared" si="80"/>
        <v>817.32474460723927</v>
      </c>
      <c r="G82" s="41">
        <f t="shared" si="80"/>
        <v>818.42701646395449</v>
      </c>
      <c r="H82" s="41">
        <f t="shared" si="80"/>
        <v>823.52949878205311</v>
      </c>
      <c r="I82" s="41">
        <f t="shared" si="80"/>
        <v>846.7154332851984</v>
      </c>
      <c r="J82" s="41">
        <f t="shared" si="80"/>
        <v>870.91479451257601</v>
      </c>
      <c r="K82" s="41">
        <f t="shared" si="80"/>
        <v>894.84158340264798</v>
      </c>
      <c r="L82" s="41">
        <f t="shared" si="80"/>
        <v>889.35608536569146</v>
      </c>
      <c r="M82" s="41">
        <f t="shared" si="80"/>
        <v>883.40155600072592</v>
      </c>
      <c r="N82" s="41">
        <f t="shared" si="80"/>
        <v>890.91337203638329</v>
      </c>
      <c r="O82" s="41">
        <f t="shared" si="80"/>
        <v>886.25929789135375</v>
      </c>
      <c r="P82" s="41">
        <f t="shared" si="80"/>
        <v>890.5183537633776</v>
      </c>
      <c r="Q82" s="41">
        <f t="shared" si="80"/>
        <v>870.00564881504999</v>
      </c>
      <c r="R82" s="41">
        <f t="shared" si="80"/>
        <v>879.42799222494182</v>
      </c>
      <c r="S82" s="41">
        <f t="shared" si="80"/>
        <v>873.62895691412257</v>
      </c>
      <c r="T82" s="41">
        <f t="shared" si="80"/>
        <v>870.61133819426857</v>
      </c>
      <c r="U82" s="41">
        <f t="shared" si="80"/>
        <v>866.81117124012519</v>
      </c>
      <c r="V82" s="41">
        <f t="shared" si="80"/>
        <v>782.16973836398824</v>
      </c>
      <c r="W82" s="41">
        <f t="shared" ref="W82:Y82" si="81">IF(W20=0,0,W20*1000000/W30)</f>
        <v>773.35778455264381</v>
      </c>
      <c r="X82" s="41">
        <f t="shared" si="81"/>
        <v>871.6198196905375</v>
      </c>
      <c r="Y82" s="41">
        <f t="shared" si="81"/>
        <v>895.62143554628983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6053.2610139249728</v>
      </c>
      <c r="C83" s="40">
        <f t="shared" si="65"/>
        <v>6053.2610139249728</v>
      </c>
      <c r="D83" s="40">
        <f t="shared" ref="D83:V83" si="82">IF(D21=0,0,D21*1000000/D31)</f>
        <v>6053.2610139249728</v>
      </c>
      <c r="E83" s="40">
        <f t="shared" si="82"/>
        <v>6053.2610139249737</v>
      </c>
      <c r="F83" s="40">
        <f t="shared" si="82"/>
        <v>6053.2610139249728</v>
      </c>
      <c r="G83" s="40">
        <f t="shared" si="82"/>
        <v>6035.3002919505079</v>
      </c>
      <c r="H83" s="40">
        <f t="shared" si="82"/>
        <v>5961.4363216988431</v>
      </c>
      <c r="I83" s="40">
        <f t="shared" si="82"/>
        <v>5895.6070149026073</v>
      </c>
      <c r="J83" s="40">
        <f t="shared" si="82"/>
        <v>5770.8015767945653</v>
      </c>
      <c r="K83" s="40">
        <f t="shared" si="82"/>
        <v>5714.3894385608555</v>
      </c>
      <c r="L83" s="40">
        <f t="shared" si="82"/>
        <v>5593.9844091505174</v>
      </c>
      <c r="M83" s="40">
        <f t="shared" si="82"/>
        <v>5966.4450928404658</v>
      </c>
      <c r="N83" s="40">
        <f t="shared" si="82"/>
        <v>5878.7888353547105</v>
      </c>
      <c r="O83" s="40">
        <f t="shared" si="82"/>
        <v>5781.0807286702775</v>
      </c>
      <c r="P83" s="40">
        <f t="shared" si="82"/>
        <v>5847.1974254198713</v>
      </c>
      <c r="Q83" s="40">
        <f t="shared" si="82"/>
        <v>5712.6408117441442</v>
      </c>
      <c r="R83" s="40">
        <f t="shared" si="82"/>
        <v>5613.674545827048</v>
      </c>
      <c r="S83" s="40">
        <f t="shared" si="82"/>
        <v>5490.6635899912217</v>
      </c>
      <c r="T83" s="40">
        <f t="shared" si="82"/>
        <v>5488.0959109398418</v>
      </c>
      <c r="U83" s="40">
        <f t="shared" si="82"/>
        <v>5354.3348604748026</v>
      </c>
      <c r="V83" s="40">
        <f t="shared" si="82"/>
        <v>5476.4519818576227</v>
      </c>
      <c r="W83" s="40">
        <f t="shared" ref="W83:Y83" si="83">IF(W21=0,0,W21*1000000/W31)</f>
        <v>5469.6177642816474</v>
      </c>
      <c r="X83" s="40">
        <f t="shared" si="83"/>
        <v>5208.3500982961987</v>
      </c>
      <c r="Y83" s="40">
        <f t="shared" si="83"/>
        <v>5002.7897753679317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137988.28411932889</v>
      </c>
      <c r="C86" s="11">
        <f t="shared" si="84"/>
        <v>139165.42902664689</v>
      </c>
      <c r="D86" s="11">
        <f t="shared" ref="D86:V86" si="85">IF(D4=0,0,D4*1000000/D24)</f>
        <v>139941.82889817431</v>
      </c>
      <c r="E86" s="11">
        <f t="shared" si="85"/>
        <v>140379.70272068048</v>
      </c>
      <c r="F86" s="11">
        <f t="shared" si="85"/>
        <v>156068.07204952129</v>
      </c>
      <c r="G86" s="11">
        <f t="shared" si="85"/>
        <v>165615.2916298942</v>
      </c>
      <c r="H86" s="11">
        <f t="shared" si="85"/>
        <v>163905.63198776633</v>
      </c>
      <c r="I86" s="11">
        <f t="shared" si="85"/>
        <v>168236.0161382785</v>
      </c>
      <c r="J86" s="11">
        <f t="shared" si="85"/>
        <v>168732.62647773413</v>
      </c>
      <c r="K86" s="11">
        <f t="shared" si="85"/>
        <v>178277.9915045455</v>
      </c>
      <c r="L86" s="11">
        <f t="shared" si="85"/>
        <v>203976.08018968452</v>
      </c>
      <c r="M86" s="11">
        <f t="shared" si="85"/>
        <v>211708.63490141273</v>
      </c>
      <c r="N86" s="11">
        <f t="shared" si="85"/>
        <v>213554.47932053532</v>
      </c>
      <c r="O86" s="11">
        <f t="shared" si="85"/>
        <v>225231.58977860134</v>
      </c>
      <c r="P86" s="11">
        <f t="shared" si="85"/>
        <v>240752.10182916137</v>
      </c>
      <c r="Q86" s="11">
        <f t="shared" si="85"/>
        <v>242712.58370743002</v>
      </c>
      <c r="R86" s="11">
        <f t="shared" si="85"/>
        <v>241330.33519547962</v>
      </c>
      <c r="S86" s="11">
        <f t="shared" si="85"/>
        <v>251271.13658046085</v>
      </c>
      <c r="T86" s="11">
        <f t="shared" si="85"/>
        <v>268101.74555763556</v>
      </c>
      <c r="U86" s="11">
        <f t="shared" si="85"/>
        <v>276162.42321550753</v>
      </c>
      <c r="V86" s="11">
        <f t="shared" si="85"/>
        <v>219327.53101243009</v>
      </c>
      <c r="W86" s="11">
        <f t="shared" ref="W86:Y86" si="86">IF(W4=0,0,W4*1000000/W24)</f>
        <v>208354.84473055662</v>
      </c>
      <c r="X86" s="11">
        <f t="shared" si="86"/>
        <v>276406.51060644916</v>
      </c>
      <c r="Y86" s="11">
        <f t="shared" si="86"/>
        <v>308607.86470011115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52463.164720957946</v>
      </c>
      <c r="C87" s="36">
        <f t="shared" si="84"/>
        <v>53180.467162758767</v>
      </c>
      <c r="D87" s="36">
        <f t="shared" ref="D87:V87" si="87">IF(D5=0,0,D5*1000000/D25)</f>
        <v>53901.704401335657</v>
      </c>
      <c r="E87" s="36">
        <f t="shared" si="87"/>
        <v>53266.675149182302</v>
      </c>
      <c r="F87" s="36">
        <f t="shared" si="87"/>
        <v>56783.944941401198</v>
      </c>
      <c r="G87" s="36">
        <f t="shared" si="87"/>
        <v>57017.156411689139</v>
      </c>
      <c r="H87" s="36">
        <f t="shared" si="87"/>
        <v>56786.912152438636</v>
      </c>
      <c r="I87" s="36">
        <f t="shared" si="87"/>
        <v>59833.113570602211</v>
      </c>
      <c r="J87" s="36">
        <f t="shared" si="87"/>
        <v>58961.311258879061</v>
      </c>
      <c r="K87" s="36">
        <f t="shared" si="87"/>
        <v>65210.625878239087</v>
      </c>
      <c r="L87" s="36">
        <f t="shared" si="87"/>
        <v>76999.443378190699</v>
      </c>
      <c r="M87" s="36">
        <f t="shared" si="87"/>
        <v>78995.291565823121</v>
      </c>
      <c r="N87" s="36">
        <f t="shared" si="87"/>
        <v>78676.394647435445</v>
      </c>
      <c r="O87" s="36">
        <f t="shared" si="87"/>
        <v>82640.18820055775</v>
      </c>
      <c r="P87" s="36">
        <f t="shared" si="87"/>
        <v>88271.182427533829</v>
      </c>
      <c r="Q87" s="36">
        <f t="shared" si="87"/>
        <v>90428.439027976812</v>
      </c>
      <c r="R87" s="36">
        <f t="shared" si="87"/>
        <v>94605.873273663907</v>
      </c>
      <c r="S87" s="36">
        <f t="shared" si="87"/>
        <v>100500.56547080135</v>
      </c>
      <c r="T87" s="36">
        <f t="shared" si="87"/>
        <v>108442.34905779792</v>
      </c>
      <c r="U87" s="36">
        <f t="shared" si="87"/>
        <v>111115.5712527451</v>
      </c>
      <c r="V87" s="36">
        <f t="shared" si="87"/>
        <v>116124.55277622344</v>
      </c>
      <c r="W87" s="36">
        <f t="shared" ref="W87:Y87" si="88">IF(W5=0,0,W5*1000000/W25)</f>
        <v>123080.97466307505</v>
      </c>
      <c r="X87" s="36">
        <f t="shared" si="88"/>
        <v>142613.75056517543</v>
      </c>
      <c r="Y87" s="36">
        <f t="shared" si="88"/>
        <v>145607.91794410328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71159.657970029002</v>
      </c>
      <c r="C88" s="36">
        <f t="shared" si="84"/>
        <v>72775.756923300054</v>
      </c>
      <c r="D88" s="36">
        <f t="shared" ref="D88:V88" si="89">IF(D6=0,0,D6*1000000/D26)</f>
        <v>73568.875009525582</v>
      </c>
      <c r="E88" s="36">
        <f t="shared" si="89"/>
        <v>74934.269097839977</v>
      </c>
      <c r="F88" s="36">
        <f t="shared" si="89"/>
        <v>78064.777017119428</v>
      </c>
      <c r="G88" s="36">
        <f t="shared" si="89"/>
        <v>82803.792497591116</v>
      </c>
      <c r="H88" s="36">
        <f t="shared" si="89"/>
        <v>81074.803578544364</v>
      </c>
      <c r="I88" s="36">
        <f t="shared" si="89"/>
        <v>81156.453128275316</v>
      </c>
      <c r="J88" s="36">
        <f t="shared" si="89"/>
        <v>80040.233942891442</v>
      </c>
      <c r="K88" s="36">
        <f t="shared" si="89"/>
        <v>83781.736458824089</v>
      </c>
      <c r="L88" s="36">
        <f t="shared" si="89"/>
        <v>94180.236904439458</v>
      </c>
      <c r="M88" s="36">
        <f t="shared" si="89"/>
        <v>97455.260917407577</v>
      </c>
      <c r="N88" s="36">
        <f t="shared" si="89"/>
        <v>101690.89723487002</v>
      </c>
      <c r="O88" s="36">
        <f t="shared" si="89"/>
        <v>107917.77635932066</v>
      </c>
      <c r="P88" s="36">
        <f t="shared" si="89"/>
        <v>114400.7202602897</v>
      </c>
      <c r="Q88" s="36">
        <f t="shared" si="89"/>
        <v>117535.23758533978</v>
      </c>
      <c r="R88" s="36">
        <f t="shared" si="89"/>
        <v>119780.96614762743</v>
      </c>
      <c r="S88" s="36">
        <f t="shared" si="89"/>
        <v>125659.10946755746</v>
      </c>
      <c r="T88" s="36">
        <f t="shared" si="89"/>
        <v>131224.20227852743</v>
      </c>
      <c r="U88" s="36">
        <f t="shared" si="89"/>
        <v>133348.05706589925</v>
      </c>
      <c r="V88" s="36">
        <f t="shared" si="89"/>
        <v>112146.54935838035</v>
      </c>
      <c r="W88" s="36">
        <f t="shared" ref="W88:Y88" si="90">IF(W6=0,0,W6*1000000/W26)</f>
        <v>123952.15614547078</v>
      </c>
      <c r="X88" s="36">
        <f t="shared" si="90"/>
        <v>139935.94537779849</v>
      </c>
      <c r="Y88" s="36">
        <f t="shared" si="90"/>
        <v>145072.73925529138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542608.4153007787</v>
      </c>
      <c r="C89" s="36">
        <f t="shared" si="84"/>
        <v>551894.33773008396</v>
      </c>
      <c r="D89" s="36">
        <f t="shared" ref="D89:V89" si="91">IF(D7=0,0,D7*1000000/D27)</f>
        <v>560978.20435839263</v>
      </c>
      <c r="E89" s="36">
        <f t="shared" si="91"/>
        <v>546315.24686959374</v>
      </c>
      <c r="F89" s="36">
        <f t="shared" si="91"/>
        <v>585552.1078290625</v>
      </c>
      <c r="G89" s="36">
        <f t="shared" si="91"/>
        <v>604557.47806870297</v>
      </c>
      <c r="H89" s="36">
        <f t="shared" si="91"/>
        <v>600553.40822782018</v>
      </c>
      <c r="I89" s="36">
        <f t="shared" si="91"/>
        <v>595029.17900778691</v>
      </c>
      <c r="J89" s="36">
        <f t="shared" si="91"/>
        <v>599199.62396122084</v>
      </c>
      <c r="K89" s="36">
        <f t="shared" si="91"/>
        <v>622911.70580890251</v>
      </c>
      <c r="L89" s="36">
        <f t="shared" si="91"/>
        <v>691607.36177412386</v>
      </c>
      <c r="M89" s="36">
        <f t="shared" si="91"/>
        <v>743396.9175778575</v>
      </c>
      <c r="N89" s="36">
        <f t="shared" si="91"/>
        <v>766949.26105084887</v>
      </c>
      <c r="O89" s="36">
        <f t="shared" si="91"/>
        <v>783626.79142141156</v>
      </c>
      <c r="P89" s="36">
        <f t="shared" si="91"/>
        <v>804906.56550149433</v>
      </c>
      <c r="Q89" s="36">
        <f t="shared" si="91"/>
        <v>803000.26584793464</v>
      </c>
      <c r="R89" s="36">
        <f t="shared" si="91"/>
        <v>791079.81899351394</v>
      </c>
      <c r="S89" s="36">
        <f t="shared" si="91"/>
        <v>806674.16414873989</v>
      </c>
      <c r="T89" s="36">
        <f t="shared" si="91"/>
        <v>847419.34790803364</v>
      </c>
      <c r="U89" s="36">
        <f t="shared" si="91"/>
        <v>863526.50398983574</v>
      </c>
      <c r="V89" s="36">
        <f t="shared" si="91"/>
        <v>730858.84211918013</v>
      </c>
      <c r="W89" s="36">
        <f t="shared" ref="W89:Y89" si="92">IF(W7=0,0,W7*1000000/W27)</f>
        <v>631766.3340328763</v>
      </c>
      <c r="X89" s="36">
        <f t="shared" si="92"/>
        <v>820644.06497679476</v>
      </c>
      <c r="Y89" s="36">
        <f t="shared" si="92"/>
        <v>856891.82536137174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143097.90507097513</v>
      </c>
      <c r="C90" s="13">
        <f t="shared" si="84"/>
        <v>132615.00090105919</v>
      </c>
      <c r="D90" s="13">
        <f t="shared" ref="D90:V90" si="93">IF(D8=0,0,D8*1000000/D28)</f>
        <v>138088.66201564006</v>
      </c>
      <c r="E90" s="13">
        <f t="shared" si="93"/>
        <v>143042.32574118627</v>
      </c>
      <c r="F90" s="13">
        <f t="shared" si="93"/>
        <v>142241.73587529623</v>
      </c>
      <c r="G90" s="13">
        <f t="shared" si="93"/>
        <v>141154.34271323532</v>
      </c>
      <c r="H90" s="13">
        <f t="shared" si="93"/>
        <v>129950.67565134239</v>
      </c>
      <c r="I90" s="13">
        <f t="shared" si="93"/>
        <v>129249.85571198727</v>
      </c>
      <c r="J90" s="13">
        <f t="shared" si="93"/>
        <v>127561.05587782798</v>
      </c>
      <c r="K90" s="13">
        <f t="shared" si="93"/>
        <v>120504.33879566321</v>
      </c>
      <c r="L90" s="13">
        <f t="shared" si="93"/>
        <v>134704.42347711112</v>
      </c>
      <c r="M90" s="13">
        <f t="shared" si="93"/>
        <v>152353.78167539689</v>
      </c>
      <c r="N90" s="13">
        <f t="shared" si="93"/>
        <v>154140.03421931138</v>
      </c>
      <c r="O90" s="13">
        <f t="shared" si="93"/>
        <v>150664.36008673266</v>
      </c>
      <c r="P90" s="13">
        <f t="shared" si="93"/>
        <v>178657.0292534325</v>
      </c>
      <c r="Q90" s="13">
        <f t="shared" si="93"/>
        <v>175931.01442536752</v>
      </c>
      <c r="R90" s="13">
        <f t="shared" si="93"/>
        <v>190852.28921254829</v>
      </c>
      <c r="S90" s="13">
        <f t="shared" si="93"/>
        <v>182127.77346520411</v>
      </c>
      <c r="T90" s="13">
        <f t="shared" si="93"/>
        <v>195935.59950593644</v>
      </c>
      <c r="U90" s="13">
        <f t="shared" si="93"/>
        <v>193507.85086313749</v>
      </c>
      <c r="V90" s="13">
        <f t="shared" si="93"/>
        <v>146357.16875073346</v>
      </c>
      <c r="W90" s="13">
        <f t="shared" ref="W90:Y90" si="94">IF(W8=0,0,W8*1000000/W28)</f>
        <v>135963.71738556222</v>
      </c>
      <c r="X90" s="13">
        <f t="shared" si="94"/>
        <v>144519.47141615447</v>
      </c>
      <c r="Y90" s="13">
        <f t="shared" si="94"/>
        <v>143865.08642195517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9092.339642741108</v>
      </c>
      <c r="C91" s="34">
        <f t="shared" si="84"/>
        <v>9022.9991286223558</v>
      </c>
      <c r="D91" s="34">
        <f t="shared" ref="D91:V91" si="95">IF(D9=0,0,D9*1000000/D29)</f>
        <v>9278.6028229957374</v>
      </c>
      <c r="E91" s="34">
        <f t="shared" si="95"/>
        <v>9869.5850161133658</v>
      </c>
      <c r="F91" s="34">
        <f t="shared" si="95"/>
        <v>9293.726707063006</v>
      </c>
      <c r="G91" s="34">
        <f t="shared" si="95"/>
        <v>9027.2852416025726</v>
      </c>
      <c r="H91" s="34">
        <f t="shared" si="95"/>
        <v>7870.2389274460702</v>
      </c>
      <c r="I91" s="34">
        <f t="shared" si="95"/>
        <v>7242.9936244254141</v>
      </c>
      <c r="J91" s="34">
        <f t="shared" si="95"/>
        <v>6170.6820984036867</v>
      </c>
      <c r="K91" s="34">
        <f t="shared" si="95"/>
        <v>5888.8305360028044</v>
      </c>
      <c r="L91" s="34">
        <f t="shared" si="95"/>
        <v>5605.2224519814044</v>
      </c>
      <c r="M91" s="34">
        <f t="shared" si="95"/>
        <v>6185.6093031348364</v>
      </c>
      <c r="N91" s="34">
        <f t="shared" si="95"/>
        <v>6077.2229656363079</v>
      </c>
      <c r="O91" s="34">
        <f t="shared" si="95"/>
        <v>6226.3859325736448</v>
      </c>
      <c r="P91" s="34">
        <f t="shared" si="95"/>
        <v>7134.7566110300186</v>
      </c>
      <c r="Q91" s="34">
        <f t="shared" si="95"/>
        <v>7214.3270486122701</v>
      </c>
      <c r="R91" s="34">
        <f t="shared" si="95"/>
        <v>8305.6704016744679</v>
      </c>
      <c r="S91" s="34">
        <f t="shared" si="95"/>
        <v>7839.7749738855973</v>
      </c>
      <c r="T91" s="34">
        <f t="shared" si="95"/>
        <v>8305.2925218188138</v>
      </c>
      <c r="U91" s="34">
        <f t="shared" si="95"/>
        <v>9170.9330373340908</v>
      </c>
      <c r="V91" s="34">
        <f t="shared" si="95"/>
        <v>10472.823553082912</v>
      </c>
      <c r="W91" s="34">
        <f t="shared" ref="W91:Y91" si="96">IF(W9=0,0,W9*1000000/W29)</f>
        <v>11400.713766284549</v>
      </c>
      <c r="X91" s="34">
        <f t="shared" si="96"/>
        <v>8560.3977739457878</v>
      </c>
      <c r="Y91" s="34">
        <f t="shared" si="96"/>
        <v>9015.4547598134068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20360.821679546792</v>
      </c>
      <c r="C92" s="34">
        <f t="shared" si="84"/>
        <v>21264.878410716625</v>
      </c>
      <c r="D92" s="34">
        <f t="shared" ref="D92:V92" si="97">IF(D10=0,0,D10*1000000/D30)</f>
        <v>19920.731905970842</v>
      </c>
      <c r="E92" s="34">
        <f t="shared" si="97"/>
        <v>20362.878058774095</v>
      </c>
      <c r="F92" s="34">
        <f t="shared" si="97"/>
        <v>18765.320784856689</v>
      </c>
      <c r="G92" s="34">
        <f t="shared" si="97"/>
        <v>18364.086928168537</v>
      </c>
      <c r="H92" s="34">
        <f t="shared" si="97"/>
        <v>15495.223997155283</v>
      </c>
      <c r="I92" s="34">
        <f t="shared" si="97"/>
        <v>15341.024191510374</v>
      </c>
      <c r="J92" s="34">
        <f t="shared" si="97"/>
        <v>15324.47380293781</v>
      </c>
      <c r="K92" s="34">
        <f t="shared" si="97"/>
        <v>16142.984948377294</v>
      </c>
      <c r="L92" s="34">
        <f t="shared" si="97"/>
        <v>16126.924600989089</v>
      </c>
      <c r="M92" s="34">
        <f t="shared" si="97"/>
        <v>16880.423129115763</v>
      </c>
      <c r="N92" s="34">
        <f t="shared" si="97"/>
        <v>18583.14206170828</v>
      </c>
      <c r="O92" s="34">
        <f t="shared" si="97"/>
        <v>18494.041398530415</v>
      </c>
      <c r="P92" s="34">
        <f t="shared" si="97"/>
        <v>21460.303696236402</v>
      </c>
      <c r="Q92" s="34">
        <f t="shared" si="97"/>
        <v>20886.718291539935</v>
      </c>
      <c r="R92" s="34">
        <f t="shared" si="97"/>
        <v>23249.332165779753</v>
      </c>
      <c r="S92" s="34">
        <f t="shared" si="97"/>
        <v>21055.489179297972</v>
      </c>
      <c r="T92" s="34">
        <f t="shared" si="97"/>
        <v>21273.78450319577</v>
      </c>
      <c r="U92" s="34">
        <f t="shared" si="97"/>
        <v>22184.542266886092</v>
      </c>
      <c r="V92" s="34">
        <f t="shared" si="97"/>
        <v>17261.672575900477</v>
      </c>
      <c r="W92" s="34">
        <f t="shared" ref="W92:Y92" si="98">IF(W10=0,0,W10*1000000/W30)</f>
        <v>16648.636278538754</v>
      </c>
      <c r="X92" s="34">
        <f t="shared" si="98"/>
        <v>18565.240876453605</v>
      </c>
      <c r="Y92" s="34">
        <f t="shared" si="98"/>
        <v>19028.063003771706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476613.93129315606</v>
      </c>
      <c r="C93" s="35">
        <f t="shared" si="84"/>
        <v>499453.54377511772</v>
      </c>
      <c r="D93" s="35">
        <f t="shared" ref="D93:V93" si="99">IF(D11=0,0,D11*1000000/D31)</f>
        <v>471573.43269101769</v>
      </c>
      <c r="E93" s="35">
        <f t="shared" si="99"/>
        <v>428484.381430418</v>
      </c>
      <c r="F93" s="35">
        <f t="shared" si="99"/>
        <v>415877.37740164262</v>
      </c>
      <c r="G93" s="35">
        <f t="shared" si="99"/>
        <v>389940.59475981689</v>
      </c>
      <c r="H93" s="35">
        <f t="shared" si="99"/>
        <v>372345.48682237894</v>
      </c>
      <c r="I93" s="35">
        <f t="shared" si="99"/>
        <v>362090.96670337982</v>
      </c>
      <c r="J93" s="35">
        <f t="shared" si="99"/>
        <v>347284.78082222119</v>
      </c>
      <c r="K93" s="35">
        <f t="shared" si="99"/>
        <v>387839.5284722881</v>
      </c>
      <c r="L93" s="35">
        <f t="shared" si="99"/>
        <v>385964.65813238261</v>
      </c>
      <c r="M93" s="35">
        <f t="shared" si="99"/>
        <v>435101.28357187059</v>
      </c>
      <c r="N93" s="35">
        <f t="shared" si="99"/>
        <v>472554.7659794467</v>
      </c>
      <c r="O93" s="35">
        <f t="shared" si="99"/>
        <v>473437.3564742509</v>
      </c>
      <c r="P93" s="35">
        <f t="shared" si="99"/>
        <v>547621.30457946286</v>
      </c>
      <c r="Q93" s="35">
        <f t="shared" si="99"/>
        <v>534055.76332510554</v>
      </c>
      <c r="R93" s="35">
        <f t="shared" si="99"/>
        <v>570321.9862631436</v>
      </c>
      <c r="S93" s="35">
        <f t="shared" si="99"/>
        <v>550397.26779616054</v>
      </c>
      <c r="T93" s="35">
        <f t="shared" si="99"/>
        <v>560350.28568709677</v>
      </c>
      <c r="U93" s="35">
        <f t="shared" si="99"/>
        <v>571323.04476654017</v>
      </c>
      <c r="V93" s="35">
        <f t="shared" si="99"/>
        <v>385642.86679968436</v>
      </c>
      <c r="W93" s="35">
        <f t="shared" ref="W93:Y93" si="100">IF(W11=0,0,W11*1000000/W31)</f>
        <v>370106.51141812291</v>
      </c>
      <c r="X93" s="35">
        <f t="shared" si="100"/>
        <v>407159.43011669267</v>
      </c>
      <c r="Y93" s="35">
        <f t="shared" si="100"/>
        <v>419468.46786855796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1056.5636856111348</v>
      </c>
      <c r="C95" s="62">
        <f t="shared" si="101"/>
        <v>1063.5211307092543</v>
      </c>
      <c r="D95" s="62">
        <f t="shared" ref="D95:V95" si="102">IF(D23=0,0,D23/D43)</f>
        <v>1067.9593136609608</v>
      </c>
      <c r="E95" s="62">
        <f t="shared" si="102"/>
        <v>1052.0505264658354</v>
      </c>
      <c r="F95" s="62">
        <f t="shared" si="102"/>
        <v>1025.8030804651894</v>
      </c>
      <c r="G95" s="62">
        <f t="shared" si="102"/>
        <v>1011.2832739295504</v>
      </c>
      <c r="H95" s="62">
        <f t="shared" si="102"/>
        <v>1016.9214332412574</v>
      </c>
      <c r="I95" s="62">
        <f t="shared" si="102"/>
        <v>1001.4595337182963</v>
      </c>
      <c r="J95" s="62">
        <f t="shared" si="102"/>
        <v>1009.2496057268937</v>
      </c>
      <c r="K95" s="62">
        <f t="shared" si="102"/>
        <v>997.87786558109599</v>
      </c>
      <c r="L95" s="62">
        <f t="shared" si="102"/>
        <v>984.31524294053179</v>
      </c>
      <c r="M95" s="62">
        <f t="shared" si="102"/>
        <v>988.45302292976282</v>
      </c>
      <c r="N95" s="62">
        <f t="shared" si="102"/>
        <v>1021.470238331566</v>
      </c>
      <c r="O95" s="62">
        <f t="shared" si="102"/>
        <v>1014.307893814253</v>
      </c>
      <c r="P95" s="62">
        <f t="shared" si="102"/>
        <v>975.47977385486911</v>
      </c>
      <c r="Q95" s="62">
        <f t="shared" si="102"/>
        <v>979.68712091604573</v>
      </c>
      <c r="R95" s="62">
        <f t="shared" si="102"/>
        <v>984.34044527999765</v>
      </c>
      <c r="S95" s="62">
        <f t="shared" si="102"/>
        <v>984.37186357517135</v>
      </c>
      <c r="T95" s="62">
        <f t="shared" si="102"/>
        <v>965.47334949297897</v>
      </c>
      <c r="U95" s="62">
        <f t="shared" si="102"/>
        <v>960.13922959049319</v>
      </c>
      <c r="V95" s="62">
        <f t="shared" si="102"/>
        <v>423.58919146893061</v>
      </c>
      <c r="W95" s="62">
        <f t="shared" ref="W95:Y95" si="103">IF(W23=0,0,W23/W43)</f>
        <v>552.10324717712137</v>
      </c>
      <c r="X95" s="62">
        <f t="shared" si="103"/>
        <v>878.67182863884648</v>
      </c>
      <c r="Y95" s="62">
        <f t="shared" si="103"/>
        <v>901.87087942245375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1086.5765043880785</v>
      </c>
      <c r="C96" s="11">
        <f t="shared" si="104"/>
        <v>1092.6745212871201</v>
      </c>
      <c r="D96" s="11">
        <f t="shared" ref="D96:V96" si="105">IF(D24=0,0,D24/D44)</f>
        <v>1098.943491009431</v>
      </c>
      <c r="E96" s="11">
        <f t="shared" si="105"/>
        <v>1085.3373549179582</v>
      </c>
      <c r="F96" s="11">
        <f t="shared" si="105"/>
        <v>1057.0611343642615</v>
      </c>
      <c r="G96" s="11">
        <f t="shared" si="105"/>
        <v>1043.1189176753603</v>
      </c>
      <c r="H96" s="11">
        <f t="shared" si="105"/>
        <v>1048.1292316276338</v>
      </c>
      <c r="I96" s="11">
        <f t="shared" si="105"/>
        <v>1032.1926529927728</v>
      </c>
      <c r="J96" s="11">
        <f t="shared" si="105"/>
        <v>1040.030557514888</v>
      </c>
      <c r="K96" s="11">
        <f t="shared" si="105"/>
        <v>1030.3237698819494</v>
      </c>
      <c r="L96" s="11">
        <f t="shared" si="105"/>
        <v>1014.8996380413989</v>
      </c>
      <c r="M96" s="11">
        <f t="shared" si="105"/>
        <v>1019.5049220332901</v>
      </c>
      <c r="N96" s="11">
        <f t="shared" si="105"/>
        <v>1053.9130826301314</v>
      </c>
      <c r="O96" s="11">
        <f t="shared" si="105"/>
        <v>1042.5838659821293</v>
      </c>
      <c r="P96" s="11">
        <f t="shared" si="105"/>
        <v>1006.8991877533839</v>
      </c>
      <c r="Q96" s="11">
        <f t="shared" si="105"/>
        <v>1010.4727046336363</v>
      </c>
      <c r="R96" s="11">
        <f t="shared" si="105"/>
        <v>1015.4846642990891</v>
      </c>
      <c r="S96" s="11">
        <f t="shared" si="105"/>
        <v>1010.990027394953</v>
      </c>
      <c r="T96" s="11">
        <f t="shared" si="105"/>
        <v>991.8548333833096</v>
      </c>
      <c r="U96" s="11">
        <f t="shared" si="105"/>
        <v>981.90550814991684</v>
      </c>
      <c r="V96" s="11">
        <f t="shared" si="105"/>
        <v>408.80142083301917</v>
      </c>
      <c r="W96" s="11">
        <f t="shared" ref="W96:Y96" si="106">IF(W24=0,0,W24/W44)</f>
        <v>545.3061159794089</v>
      </c>
      <c r="X96" s="11">
        <f t="shared" si="106"/>
        <v>907.44098368637242</v>
      </c>
      <c r="Y96" s="11">
        <f t="shared" si="106"/>
        <v>930.1634425460702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1779</v>
      </c>
      <c r="C97" s="36">
        <f t="shared" si="104"/>
        <v>1779</v>
      </c>
      <c r="D97" s="36">
        <f t="shared" ref="D97:V97" si="107">IF(D25=0,0,D25/D45)</f>
        <v>1779</v>
      </c>
      <c r="E97" s="36">
        <f t="shared" si="107"/>
        <v>1779</v>
      </c>
      <c r="F97" s="36">
        <f t="shared" si="107"/>
        <v>1779</v>
      </c>
      <c r="G97" s="36">
        <f t="shared" si="107"/>
        <v>1786</v>
      </c>
      <c r="H97" s="36">
        <f t="shared" si="107"/>
        <v>1785</v>
      </c>
      <c r="I97" s="36">
        <f t="shared" si="107"/>
        <v>1761</v>
      </c>
      <c r="J97" s="36">
        <f t="shared" si="107"/>
        <v>1762</v>
      </c>
      <c r="K97" s="36">
        <f t="shared" si="107"/>
        <v>1714</v>
      </c>
      <c r="L97" s="36">
        <f t="shared" si="107"/>
        <v>1680.8523397119613</v>
      </c>
      <c r="M97" s="36">
        <f t="shared" si="107"/>
        <v>1690</v>
      </c>
      <c r="N97" s="36">
        <f t="shared" si="107"/>
        <v>1699</v>
      </c>
      <c r="O97" s="36">
        <f t="shared" si="107"/>
        <v>1685</v>
      </c>
      <c r="P97" s="36">
        <f t="shared" si="107"/>
        <v>1659.9999999999998</v>
      </c>
      <c r="Q97" s="36">
        <f t="shared" si="107"/>
        <v>1654</v>
      </c>
      <c r="R97" s="36">
        <f t="shared" si="107"/>
        <v>1639</v>
      </c>
      <c r="S97" s="36">
        <f t="shared" si="107"/>
        <v>1614.9999999999998</v>
      </c>
      <c r="T97" s="36">
        <f t="shared" si="107"/>
        <v>1585</v>
      </c>
      <c r="U97" s="36">
        <f t="shared" si="107"/>
        <v>1575</v>
      </c>
      <c r="V97" s="36">
        <f t="shared" si="107"/>
        <v>835.13759031321445</v>
      </c>
      <c r="W97" s="36">
        <f t="shared" ref="W97:Y97" si="108">IF(W25=0,0,W25/W45)</f>
        <v>1115.6874394327299</v>
      </c>
      <c r="X97" s="36">
        <f t="shared" si="108"/>
        <v>1450</v>
      </c>
      <c r="Y97" s="36">
        <f t="shared" si="108"/>
        <v>1455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1450.793726340841</v>
      </c>
      <c r="C98" s="36">
        <f t="shared" si="104"/>
        <v>1450.7938901616196</v>
      </c>
      <c r="D98" s="36">
        <f t="shared" ref="D98:V98" si="109">IF(D26=0,0,D26/D46)</f>
        <v>1450.7944401442762</v>
      </c>
      <c r="E98" s="36">
        <f t="shared" si="109"/>
        <v>1442.9655962199395</v>
      </c>
      <c r="F98" s="36">
        <f t="shared" si="109"/>
        <v>1443.5142085448015</v>
      </c>
      <c r="G98" s="36">
        <f t="shared" si="109"/>
        <v>1440.2021201707794</v>
      </c>
      <c r="H98" s="36">
        <f t="shared" si="109"/>
        <v>1439.4847625918633</v>
      </c>
      <c r="I98" s="36">
        <f t="shared" si="109"/>
        <v>1432.0852833260744</v>
      </c>
      <c r="J98" s="36">
        <f t="shared" si="109"/>
        <v>1428.0238101297045</v>
      </c>
      <c r="K98" s="36">
        <f t="shared" si="109"/>
        <v>1413.7395737315264</v>
      </c>
      <c r="L98" s="36">
        <f t="shared" si="109"/>
        <v>1392.8733748162806</v>
      </c>
      <c r="M98" s="36">
        <f t="shared" si="109"/>
        <v>1424.14103990372</v>
      </c>
      <c r="N98" s="36">
        <f t="shared" si="109"/>
        <v>1425.7731436396236</v>
      </c>
      <c r="O98" s="36">
        <f t="shared" si="109"/>
        <v>1422.2386581951562</v>
      </c>
      <c r="P98" s="36">
        <f t="shared" si="109"/>
        <v>1409.8226231162896</v>
      </c>
      <c r="Q98" s="36">
        <f t="shared" si="109"/>
        <v>1403.3234253319717</v>
      </c>
      <c r="R98" s="36">
        <f t="shared" si="109"/>
        <v>1400.6664361362932</v>
      </c>
      <c r="S98" s="36">
        <f t="shared" si="109"/>
        <v>1396.2589915273584</v>
      </c>
      <c r="T98" s="36">
        <f t="shared" si="109"/>
        <v>1388.3312469795026</v>
      </c>
      <c r="U98" s="36">
        <f t="shared" si="109"/>
        <v>1383.133091340371</v>
      </c>
      <c r="V98" s="36">
        <f t="shared" si="109"/>
        <v>491.90129600268864</v>
      </c>
      <c r="W98" s="36">
        <f t="shared" ref="W98:Y98" si="110">IF(W26=0,0,W26/W46)</f>
        <v>669.54826071767752</v>
      </c>
      <c r="X98" s="36">
        <f t="shared" si="110"/>
        <v>1321.0427920494199</v>
      </c>
      <c r="Y98" s="36">
        <f t="shared" si="110"/>
        <v>1351.6731169994339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400</v>
      </c>
      <c r="C99" s="36">
        <f t="shared" si="104"/>
        <v>400</v>
      </c>
      <c r="D99" s="36">
        <f t="shared" ref="D99:V99" si="111">IF(D27=0,0,D27/D47)</f>
        <v>400</v>
      </c>
      <c r="E99" s="36">
        <f t="shared" si="111"/>
        <v>400</v>
      </c>
      <c r="F99" s="36">
        <f t="shared" si="111"/>
        <v>400</v>
      </c>
      <c r="G99" s="36">
        <f t="shared" si="111"/>
        <v>402</v>
      </c>
      <c r="H99" s="36">
        <f t="shared" si="111"/>
        <v>406</v>
      </c>
      <c r="I99" s="36">
        <f t="shared" si="111"/>
        <v>410</v>
      </c>
      <c r="J99" s="36">
        <f t="shared" si="111"/>
        <v>419</v>
      </c>
      <c r="K99" s="36">
        <f t="shared" si="111"/>
        <v>422</v>
      </c>
      <c r="L99" s="36">
        <f t="shared" si="111"/>
        <v>426.50183094937813</v>
      </c>
      <c r="M99" s="36">
        <f t="shared" si="111"/>
        <v>413</v>
      </c>
      <c r="N99" s="36">
        <f t="shared" si="111"/>
        <v>432</v>
      </c>
      <c r="O99" s="36">
        <f t="shared" si="111"/>
        <v>435</v>
      </c>
      <c r="P99" s="36">
        <f t="shared" si="111"/>
        <v>424</v>
      </c>
      <c r="Q99" s="36">
        <f t="shared" si="111"/>
        <v>430</v>
      </c>
      <c r="R99" s="36">
        <f t="shared" si="111"/>
        <v>434</v>
      </c>
      <c r="S99" s="36">
        <f t="shared" si="111"/>
        <v>439</v>
      </c>
      <c r="T99" s="36">
        <f t="shared" si="111"/>
        <v>434.00000000000006</v>
      </c>
      <c r="U99" s="36">
        <f t="shared" si="111"/>
        <v>432.99999999999994</v>
      </c>
      <c r="V99" s="36">
        <f t="shared" si="111"/>
        <v>147.6841527796299</v>
      </c>
      <c r="W99" s="36">
        <f t="shared" ref="W99:Y99" si="112">IF(W27=0,0,W27/W47)</f>
        <v>192.47391814168856</v>
      </c>
      <c r="X99" s="36">
        <f t="shared" si="112"/>
        <v>382.95187694313972</v>
      </c>
      <c r="Y99" s="36">
        <f t="shared" si="112"/>
        <v>440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642.04920660137952</v>
      </c>
      <c r="C100" s="13">
        <f t="shared" si="104"/>
        <v>678.69921263523099</v>
      </c>
      <c r="D100" s="13">
        <f t="shared" ref="D100:V100" si="113">IF(D28=0,0,D28/D48)</f>
        <v>641.02182236705255</v>
      </c>
      <c r="E100" s="13">
        <f t="shared" si="113"/>
        <v>593.73200713582423</v>
      </c>
      <c r="F100" s="13">
        <f t="shared" si="113"/>
        <v>603.76701043469109</v>
      </c>
      <c r="G100" s="13">
        <f t="shared" si="113"/>
        <v>588.83245694260302</v>
      </c>
      <c r="H100" s="13">
        <f t="shared" si="113"/>
        <v>607.39535874669036</v>
      </c>
      <c r="I100" s="13">
        <f t="shared" si="113"/>
        <v>606.34591341704493</v>
      </c>
      <c r="J100" s="13">
        <f t="shared" si="113"/>
        <v>606.42403673728074</v>
      </c>
      <c r="K100" s="13">
        <f t="shared" si="113"/>
        <v>581.65066808801998</v>
      </c>
      <c r="L100" s="13">
        <f t="shared" si="113"/>
        <v>597.24512437506053</v>
      </c>
      <c r="M100" s="13">
        <f t="shared" si="113"/>
        <v>612.08594412988202</v>
      </c>
      <c r="N100" s="13">
        <f t="shared" si="113"/>
        <v>623.39296822194785</v>
      </c>
      <c r="O100" s="13">
        <f t="shared" si="113"/>
        <v>649.33055464798895</v>
      </c>
      <c r="P100" s="13">
        <f t="shared" si="113"/>
        <v>641.14346908225082</v>
      </c>
      <c r="Q100" s="13">
        <f t="shared" si="113"/>
        <v>647.00310519313575</v>
      </c>
      <c r="R100" s="13">
        <f t="shared" si="113"/>
        <v>613.44668399152522</v>
      </c>
      <c r="S100" s="13">
        <f t="shared" si="113"/>
        <v>654.74757064900336</v>
      </c>
      <c r="T100" s="13">
        <f t="shared" si="113"/>
        <v>625.32771172457501</v>
      </c>
      <c r="U100" s="13">
        <f t="shared" si="113"/>
        <v>653.74367585485277</v>
      </c>
      <c r="V100" s="13">
        <f t="shared" si="113"/>
        <v>608.47775527025567</v>
      </c>
      <c r="W100" s="13">
        <f t="shared" ref="W100:Y100" si="114">IF(W28=0,0,W28/W48)</f>
        <v>624.38352559090458</v>
      </c>
      <c r="X100" s="13">
        <f t="shared" si="114"/>
        <v>581.72363531236886</v>
      </c>
      <c r="Y100" s="13">
        <f t="shared" si="114"/>
        <v>578.99233818268908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1137</v>
      </c>
      <c r="C101" s="34">
        <f t="shared" si="104"/>
        <v>1137</v>
      </c>
      <c r="D101" s="34">
        <f t="shared" ref="D101:V101" si="115">IF(D29=0,0,D29/D49)</f>
        <v>1091.7671429534923</v>
      </c>
      <c r="E101" s="34">
        <f t="shared" si="115"/>
        <v>1015.1008527560397</v>
      </c>
      <c r="F101" s="34">
        <f t="shared" si="115"/>
        <v>1137</v>
      </c>
      <c r="G101" s="34">
        <f t="shared" si="115"/>
        <v>1140</v>
      </c>
      <c r="H101" s="34">
        <f t="shared" si="115"/>
        <v>1177</v>
      </c>
      <c r="I101" s="34">
        <f t="shared" si="115"/>
        <v>1206</v>
      </c>
      <c r="J101" s="34">
        <f t="shared" si="115"/>
        <v>1248</v>
      </c>
      <c r="K101" s="34">
        <f t="shared" si="115"/>
        <v>1267</v>
      </c>
      <c r="L101" s="34">
        <f t="shared" si="115"/>
        <v>1179.9642964241662</v>
      </c>
      <c r="M101" s="34">
        <f t="shared" si="115"/>
        <v>1302</v>
      </c>
      <c r="N101" s="34">
        <f t="shared" si="115"/>
        <v>1311</v>
      </c>
      <c r="O101" s="34">
        <f t="shared" si="115"/>
        <v>1311</v>
      </c>
      <c r="P101" s="34">
        <f t="shared" si="115"/>
        <v>1304</v>
      </c>
      <c r="Q101" s="34">
        <f t="shared" si="115"/>
        <v>1308</v>
      </c>
      <c r="R101" s="34">
        <f t="shared" si="115"/>
        <v>1307</v>
      </c>
      <c r="S101" s="34">
        <f t="shared" si="115"/>
        <v>1299</v>
      </c>
      <c r="T101" s="34">
        <f t="shared" si="115"/>
        <v>1287</v>
      </c>
      <c r="U101" s="34">
        <f t="shared" si="115"/>
        <v>1286</v>
      </c>
      <c r="V101" s="34">
        <f t="shared" si="115"/>
        <v>1155.2428235976643</v>
      </c>
      <c r="W101" s="34">
        <f t="shared" ref="W101:Y101" si="116">IF(W29=0,0,W29/W49)</f>
        <v>1190</v>
      </c>
      <c r="X101" s="34">
        <f t="shared" si="116"/>
        <v>1025.9652692837474</v>
      </c>
      <c r="Y101" s="34">
        <f t="shared" si="116"/>
        <v>1131.1410751023143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1150.8873903721137</v>
      </c>
      <c r="C102" s="34">
        <f t="shared" si="104"/>
        <v>1150.1105409951613</v>
      </c>
      <c r="D102" s="34">
        <f t="shared" ref="D102:V102" si="117">IF(D30=0,0,D30/D50)</f>
        <v>1137.6087457608323</v>
      </c>
      <c r="E102" s="34">
        <f t="shared" si="117"/>
        <v>1148.0927108126848</v>
      </c>
      <c r="F102" s="34">
        <f t="shared" si="117"/>
        <v>1135.6281134927106</v>
      </c>
      <c r="G102" s="34">
        <f t="shared" si="117"/>
        <v>1143.5858295321309</v>
      </c>
      <c r="H102" s="34">
        <f t="shared" si="117"/>
        <v>1144.9916492914633</v>
      </c>
      <c r="I102" s="34">
        <f t="shared" si="117"/>
        <v>1133.7443574525992</v>
      </c>
      <c r="J102" s="34">
        <f t="shared" si="117"/>
        <v>1123.4149642538289</v>
      </c>
      <c r="K102" s="34">
        <f t="shared" si="117"/>
        <v>1060.5151795691481</v>
      </c>
      <c r="L102" s="34">
        <f t="shared" si="117"/>
        <v>1113.2731653125566</v>
      </c>
      <c r="M102" s="34">
        <f t="shared" si="117"/>
        <v>1114.7598332716439</v>
      </c>
      <c r="N102" s="34">
        <f t="shared" si="117"/>
        <v>1110.2840320983707</v>
      </c>
      <c r="O102" s="34">
        <f t="shared" si="117"/>
        <v>1113.1652903954821</v>
      </c>
      <c r="P102" s="34">
        <f t="shared" si="117"/>
        <v>1114.8565202819113</v>
      </c>
      <c r="Q102" s="34">
        <f t="shared" si="117"/>
        <v>1123.762331542943</v>
      </c>
      <c r="R102" s="34">
        <f t="shared" si="117"/>
        <v>1017.6763186655597</v>
      </c>
      <c r="S102" s="34">
        <f t="shared" si="117"/>
        <v>1103.3988152201193</v>
      </c>
      <c r="T102" s="34">
        <f t="shared" si="117"/>
        <v>1004.9167394555108</v>
      </c>
      <c r="U102" s="34">
        <f t="shared" si="117"/>
        <v>1085.4869895591714</v>
      </c>
      <c r="V102" s="34">
        <f t="shared" si="117"/>
        <v>1126.6686382249823</v>
      </c>
      <c r="W102" s="34">
        <f t="shared" ref="W102:Y102" si="118">IF(W30=0,0,W30/W50)</f>
        <v>1143.6602357551094</v>
      </c>
      <c r="X102" s="34">
        <f t="shared" si="118"/>
        <v>1083.9414029302673</v>
      </c>
      <c r="Y102" s="34">
        <f t="shared" si="118"/>
        <v>1038.8503641187112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304</v>
      </c>
      <c r="C103" s="35">
        <f t="shared" si="104"/>
        <v>304</v>
      </c>
      <c r="D103" s="35">
        <f t="shared" ref="D103:V103" si="119">IF(D31=0,0,D31/D51)</f>
        <v>304</v>
      </c>
      <c r="E103" s="35">
        <f t="shared" si="119"/>
        <v>304</v>
      </c>
      <c r="F103" s="35">
        <f t="shared" si="119"/>
        <v>304</v>
      </c>
      <c r="G103" s="35">
        <f t="shared" si="119"/>
        <v>305</v>
      </c>
      <c r="H103" s="35">
        <f t="shared" si="119"/>
        <v>308</v>
      </c>
      <c r="I103" s="35">
        <f t="shared" si="119"/>
        <v>311</v>
      </c>
      <c r="J103" s="35">
        <f t="shared" si="119"/>
        <v>316</v>
      </c>
      <c r="K103" s="35">
        <f t="shared" si="119"/>
        <v>261.33586710578231</v>
      </c>
      <c r="L103" s="35">
        <f t="shared" si="119"/>
        <v>303.23104217534126</v>
      </c>
      <c r="M103" s="35">
        <f t="shared" si="119"/>
        <v>308</v>
      </c>
      <c r="N103" s="35">
        <f t="shared" si="119"/>
        <v>298.87110492800446</v>
      </c>
      <c r="O103" s="35">
        <f t="shared" si="119"/>
        <v>312.5715688272096</v>
      </c>
      <c r="P103" s="35">
        <f t="shared" si="119"/>
        <v>313</v>
      </c>
      <c r="Q103" s="35">
        <f t="shared" si="119"/>
        <v>319</v>
      </c>
      <c r="R103" s="35">
        <f t="shared" si="119"/>
        <v>305.9390222095335</v>
      </c>
      <c r="S103" s="35">
        <f t="shared" si="119"/>
        <v>329</v>
      </c>
      <c r="T103" s="35">
        <f t="shared" si="119"/>
        <v>329</v>
      </c>
      <c r="U103" s="35">
        <f t="shared" si="119"/>
        <v>336</v>
      </c>
      <c r="V103" s="35">
        <f t="shared" si="119"/>
        <v>330</v>
      </c>
      <c r="W103" s="35">
        <f t="shared" ref="W103:Y103" si="120">IF(W31=0,0,W31/W51)</f>
        <v>330</v>
      </c>
      <c r="X103" s="35">
        <f t="shared" si="120"/>
        <v>303.39819255585667</v>
      </c>
      <c r="Y103" s="35">
        <f t="shared" si="120"/>
        <v>291.6702241636624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0.17602775555506242</v>
      </c>
      <c r="C107" s="43">
        <f t="shared" si="124"/>
        <v>0.17986654603025726</v>
      </c>
      <c r="D107" s="43">
        <f t="shared" ref="D107:V107" si="125">IF(D5=0,0,D5/D$4)</f>
        <v>0.18430915471487366</v>
      </c>
      <c r="E107" s="43">
        <f t="shared" si="125"/>
        <v>0.17862183659476583</v>
      </c>
      <c r="F107" s="43">
        <f t="shared" si="125"/>
        <v>0.162616011644307</v>
      </c>
      <c r="G107" s="43">
        <f t="shared" si="125"/>
        <v>0.15254606879104418</v>
      </c>
      <c r="H107" s="43">
        <f t="shared" si="125"/>
        <v>0.1510347754615417</v>
      </c>
      <c r="I107" s="43">
        <f t="shared" si="125"/>
        <v>0.14945067014975816</v>
      </c>
      <c r="J107" s="43">
        <f t="shared" si="125"/>
        <v>0.14602687193764097</v>
      </c>
      <c r="K107" s="43">
        <f t="shared" si="125"/>
        <v>0.15442877134401842</v>
      </c>
      <c r="L107" s="43">
        <f t="shared" si="125"/>
        <v>0.15640344721669142</v>
      </c>
      <c r="M107" s="43">
        <f t="shared" si="125"/>
        <v>0.154450360244447</v>
      </c>
      <c r="N107" s="43">
        <f t="shared" si="125"/>
        <v>0.15408897724561521</v>
      </c>
      <c r="O107" s="43">
        <f t="shared" si="125"/>
        <v>0.154301452480999</v>
      </c>
      <c r="P107" s="43">
        <f t="shared" si="125"/>
        <v>0.14779200770394496</v>
      </c>
      <c r="Q107" s="43">
        <f t="shared" si="125"/>
        <v>0.14760797285010616</v>
      </c>
      <c r="R107" s="43">
        <f t="shared" si="125"/>
        <v>0.15195403923338063</v>
      </c>
      <c r="S107" s="43">
        <f t="shared" si="125"/>
        <v>0.15387694083447032</v>
      </c>
      <c r="T107" s="43">
        <f t="shared" si="125"/>
        <v>0.1533221918164599</v>
      </c>
      <c r="U107" s="43">
        <f t="shared" si="125"/>
        <v>0.15037543032395595</v>
      </c>
      <c r="V107" s="43">
        <f t="shared" si="125"/>
        <v>0.24918898582347138</v>
      </c>
      <c r="W107" s="43">
        <f t="shared" ref="W107:Y107" si="126">IF(W5=0,0,W5/W$4)</f>
        <v>0.27493424023441798</v>
      </c>
      <c r="X107" s="43">
        <f t="shared" si="126"/>
        <v>0.18487915323878318</v>
      </c>
      <c r="Y107" s="43">
        <f t="shared" si="126"/>
        <v>0.14866243540508475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0.19436505891738731</v>
      </c>
      <c r="C108" s="43">
        <f t="shared" si="127"/>
        <v>0.19427336601974418</v>
      </c>
      <c r="D108" s="43">
        <f t="shared" ref="D108:V108" si="128">IF(D6=0,0,D6/D$4)</f>
        <v>0.1924130933781224</v>
      </c>
      <c r="E108" s="43">
        <f t="shared" si="128"/>
        <v>0.1968545984593589</v>
      </c>
      <c r="F108" s="43">
        <f t="shared" si="128"/>
        <v>0.19038019937267558</v>
      </c>
      <c r="G108" s="43">
        <f t="shared" si="128"/>
        <v>0.18813590369243502</v>
      </c>
      <c r="H108" s="43">
        <f t="shared" si="128"/>
        <v>0.19005789967626907</v>
      </c>
      <c r="I108" s="43">
        <f t="shared" si="128"/>
        <v>0.18952721429317992</v>
      </c>
      <c r="J108" s="43">
        <f t="shared" si="128"/>
        <v>0.18704144075749427</v>
      </c>
      <c r="K108" s="43">
        <f t="shared" si="128"/>
        <v>0.18233680771633812</v>
      </c>
      <c r="L108" s="43">
        <f t="shared" si="128"/>
        <v>0.1800631670522963</v>
      </c>
      <c r="M108" s="43">
        <f t="shared" si="128"/>
        <v>0.18291673905248432</v>
      </c>
      <c r="N108" s="43">
        <f t="shared" si="128"/>
        <v>0.19005883304135954</v>
      </c>
      <c r="O108" s="43">
        <f t="shared" si="128"/>
        <v>0.18691853485900511</v>
      </c>
      <c r="P108" s="43">
        <f t="shared" si="128"/>
        <v>0.18944154183965559</v>
      </c>
      <c r="Q108" s="43">
        <f t="shared" si="128"/>
        <v>0.19638167987445829</v>
      </c>
      <c r="R108" s="43">
        <f t="shared" si="128"/>
        <v>0.206861781625506</v>
      </c>
      <c r="S108" s="43">
        <f t="shared" si="128"/>
        <v>0.20834729053049728</v>
      </c>
      <c r="T108" s="43">
        <f t="shared" si="128"/>
        <v>0.20447867063814235</v>
      </c>
      <c r="U108" s="43">
        <f t="shared" si="128"/>
        <v>0.2024610691116239</v>
      </c>
      <c r="V108" s="43">
        <f t="shared" si="128"/>
        <v>0.1836374158632306</v>
      </c>
      <c r="W108" s="43">
        <f t="shared" ref="W108:Y108" si="129">IF(W6=0,0,W6/W$4)</f>
        <v>0.21867514673899063</v>
      </c>
      <c r="X108" s="43">
        <f t="shared" si="129"/>
        <v>0.224076142503703</v>
      </c>
      <c r="Y108" s="43">
        <f t="shared" si="129"/>
        <v>0.21408383294015029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0.62960718552755035</v>
      </c>
      <c r="C109" s="43">
        <f t="shared" si="130"/>
        <v>0.62586008794999859</v>
      </c>
      <c r="D109" s="43">
        <f t="shared" ref="D109:V109" si="131">IF(D7=0,0,D7/D$4)</f>
        <v>0.62327775190700396</v>
      </c>
      <c r="E109" s="43">
        <f t="shared" si="131"/>
        <v>0.62452356494587535</v>
      </c>
      <c r="F109" s="43">
        <f t="shared" si="131"/>
        <v>0.64700378898301747</v>
      </c>
      <c r="G109" s="43">
        <f t="shared" si="131"/>
        <v>0.65931802751652091</v>
      </c>
      <c r="H109" s="43">
        <f t="shared" si="131"/>
        <v>0.65890732486218917</v>
      </c>
      <c r="I109" s="43">
        <f t="shared" si="131"/>
        <v>0.66102211555706181</v>
      </c>
      <c r="J109" s="43">
        <f t="shared" si="131"/>
        <v>0.66693168730486485</v>
      </c>
      <c r="K109" s="43">
        <f t="shared" si="131"/>
        <v>0.66323442093964358</v>
      </c>
      <c r="L109" s="43">
        <f t="shared" si="131"/>
        <v>0.66353338573101239</v>
      </c>
      <c r="M109" s="43">
        <f t="shared" si="131"/>
        <v>0.66263290070306868</v>
      </c>
      <c r="N109" s="43">
        <f t="shared" si="131"/>
        <v>0.65585218971302517</v>
      </c>
      <c r="O109" s="43">
        <f t="shared" si="131"/>
        <v>0.65878001265999575</v>
      </c>
      <c r="P109" s="43">
        <f t="shared" si="131"/>
        <v>0.66276645045639948</v>
      </c>
      <c r="Q109" s="43">
        <f t="shared" si="131"/>
        <v>0.65601034727543561</v>
      </c>
      <c r="R109" s="43">
        <f t="shared" si="131"/>
        <v>0.64118417914111325</v>
      </c>
      <c r="S109" s="43">
        <f t="shared" si="131"/>
        <v>0.63777576863503249</v>
      </c>
      <c r="T109" s="43">
        <f t="shared" si="131"/>
        <v>0.64219913754539781</v>
      </c>
      <c r="U109" s="43">
        <f t="shared" si="131"/>
        <v>0.64716350056442007</v>
      </c>
      <c r="V109" s="43">
        <f t="shared" si="131"/>
        <v>0.56717359831329806</v>
      </c>
      <c r="W109" s="43">
        <f t="shared" ref="W109:Y109" si="132">IF(W7=0,0,W7/W$4)</f>
        <v>0.50639061302659127</v>
      </c>
      <c r="X109" s="43">
        <f t="shared" si="132"/>
        <v>0.59104470425751376</v>
      </c>
      <c r="Y109" s="43">
        <f t="shared" si="132"/>
        <v>0.63725373165476495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3.3807797241052963E-2</v>
      </c>
      <c r="C111" s="44">
        <f t="shared" si="136"/>
        <v>3.8198366793982412E-2</v>
      </c>
      <c r="D111" s="44">
        <f t="shared" ref="D111:V111" si="137">IF(D9=0,0,D9/D$8)</f>
        <v>3.6082022608278662E-2</v>
      </c>
      <c r="E111" s="44">
        <f t="shared" si="137"/>
        <v>3.3764938145153557E-2</v>
      </c>
      <c r="F111" s="44">
        <f t="shared" si="137"/>
        <v>3.0915718637929111E-2</v>
      </c>
      <c r="G111" s="44">
        <f t="shared" si="137"/>
        <v>2.9699133542972947E-2</v>
      </c>
      <c r="H111" s="44">
        <f t="shared" si="137"/>
        <v>2.643971131915818E-2</v>
      </c>
      <c r="I111" s="44">
        <f t="shared" si="137"/>
        <v>2.2377134030197393E-2</v>
      </c>
      <c r="J111" s="44">
        <f t="shared" si="137"/>
        <v>1.871893485918652E-2</v>
      </c>
      <c r="K111" s="44">
        <f t="shared" si="137"/>
        <v>2.1960900380450277E-2</v>
      </c>
      <c r="L111" s="44">
        <f t="shared" si="137"/>
        <v>1.6060597657956404E-2</v>
      </c>
      <c r="M111" s="44">
        <f t="shared" si="137"/>
        <v>1.4391651198786918E-2</v>
      </c>
      <c r="N111" s="44">
        <f t="shared" si="137"/>
        <v>1.4926983311963566E-2</v>
      </c>
      <c r="O111" s="44">
        <f t="shared" si="137"/>
        <v>1.5041446094397509E-2</v>
      </c>
      <c r="P111" s="44">
        <f t="shared" si="137"/>
        <v>1.4067082018250063E-2</v>
      </c>
      <c r="Q111" s="44">
        <f t="shared" si="137"/>
        <v>1.4106516207765393E-2</v>
      </c>
      <c r="R111" s="44">
        <f t="shared" si="137"/>
        <v>1.4828949374113441E-2</v>
      </c>
      <c r="S111" s="44">
        <f t="shared" si="137"/>
        <v>1.4535782185840561E-2</v>
      </c>
      <c r="T111" s="44">
        <f t="shared" si="137"/>
        <v>1.4638473824499511E-2</v>
      </c>
      <c r="U111" s="44">
        <f t="shared" si="137"/>
        <v>1.6326784076439317E-2</v>
      </c>
      <c r="V111" s="44">
        <f t="shared" si="137"/>
        <v>2.0300695006006418E-2</v>
      </c>
      <c r="W111" s="44">
        <f t="shared" ref="W111:Y111" si="138">IF(W9=0,0,W9/W$8)</f>
        <v>2.3373100208746139E-2</v>
      </c>
      <c r="X111" s="44">
        <f t="shared" si="138"/>
        <v>1.4213247282847136E-2</v>
      </c>
      <c r="Y111" s="44">
        <f t="shared" si="138"/>
        <v>1.564675529493131E-2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2.6432583553257016E-2</v>
      </c>
      <c r="C112" s="44">
        <f t="shared" si="139"/>
        <v>3.068322439500969E-2</v>
      </c>
      <c r="D112" s="44">
        <f t="shared" ref="D112:V112" si="140">IF(D10=0,0,D10/D$8)</f>
        <v>2.7225185111967105E-2</v>
      </c>
      <c r="E112" s="44">
        <f t="shared" si="140"/>
        <v>2.810938448801464E-2</v>
      </c>
      <c r="F112" s="44">
        <f t="shared" si="140"/>
        <v>2.6993179972217566E-2</v>
      </c>
      <c r="G112" s="44">
        <f t="shared" si="140"/>
        <v>2.5172360153462553E-2</v>
      </c>
      <c r="H112" s="44">
        <f t="shared" si="140"/>
        <v>2.7826905047664753E-2</v>
      </c>
      <c r="I112" s="44">
        <f t="shared" si="140"/>
        <v>3.1198912518940164E-2</v>
      </c>
      <c r="J112" s="44">
        <f t="shared" si="140"/>
        <v>3.1747585757224077E-2</v>
      </c>
      <c r="K112" s="44">
        <f t="shared" si="140"/>
        <v>3.448737931767621E-2</v>
      </c>
      <c r="L112" s="44">
        <f t="shared" si="140"/>
        <v>3.3812944389888716E-2</v>
      </c>
      <c r="M112" s="44">
        <f t="shared" si="140"/>
        <v>3.4628224466408793E-2</v>
      </c>
      <c r="N112" s="44">
        <f t="shared" si="140"/>
        <v>3.7658973492333436E-2</v>
      </c>
      <c r="O112" s="44">
        <f t="shared" si="140"/>
        <v>4.1206706595031055E-2</v>
      </c>
      <c r="P112" s="44">
        <f t="shared" si="140"/>
        <v>4.0769109021773949E-2</v>
      </c>
      <c r="Q112" s="44">
        <f t="shared" si="140"/>
        <v>4.0922834528853314E-2</v>
      </c>
      <c r="R112" s="44">
        <f t="shared" si="140"/>
        <v>4.185453163155952E-2</v>
      </c>
      <c r="S112" s="44">
        <f t="shared" si="140"/>
        <v>4.0416328000308116E-2</v>
      </c>
      <c r="T112" s="44">
        <f t="shared" si="140"/>
        <v>3.4998661124743799E-2</v>
      </c>
      <c r="U112" s="44">
        <f t="shared" si="140"/>
        <v>3.8446281669420511E-2</v>
      </c>
      <c r="V112" s="44">
        <f t="shared" si="140"/>
        <v>4.2533528449964352E-2</v>
      </c>
      <c r="W112" s="44">
        <f t="shared" ref="W112:Y112" si="141">IF(W10=0,0,W10/W$8)</f>
        <v>4.6475684187241094E-2</v>
      </c>
      <c r="X112" s="44">
        <f t="shared" si="141"/>
        <v>5.5205386468685981E-2</v>
      </c>
      <c r="Y112" s="44">
        <f t="shared" si="141"/>
        <v>5.7180414496357981E-2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0.93975961920569007</v>
      </c>
      <c r="C113" s="45">
        <f t="shared" si="142"/>
        <v>0.93111840881100782</v>
      </c>
      <c r="D113" s="45">
        <f t="shared" ref="D113:V113" si="143">IF(D11=0,0,D11/D$8)</f>
        <v>0.93669279227975422</v>
      </c>
      <c r="E113" s="45">
        <f t="shared" si="143"/>
        <v>0.93812567736683172</v>
      </c>
      <c r="F113" s="45">
        <f t="shared" si="143"/>
        <v>0.94209110138985319</v>
      </c>
      <c r="G113" s="45">
        <f t="shared" si="143"/>
        <v>0.94512850630356449</v>
      </c>
      <c r="H113" s="45">
        <f t="shared" si="143"/>
        <v>0.94573338363317705</v>
      </c>
      <c r="I113" s="45">
        <f t="shared" si="143"/>
        <v>0.9464239534508625</v>
      </c>
      <c r="J113" s="45">
        <f t="shared" si="143"/>
        <v>0.94953347938358945</v>
      </c>
      <c r="K113" s="45">
        <f t="shared" si="143"/>
        <v>0.94355172030187362</v>
      </c>
      <c r="L113" s="45">
        <f t="shared" si="143"/>
        <v>0.95012645795215489</v>
      </c>
      <c r="M113" s="45">
        <f t="shared" si="143"/>
        <v>0.95098012433480439</v>
      </c>
      <c r="N113" s="45">
        <f t="shared" si="143"/>
        <v>0.94741404319570299</v>
      </c>
      <c r="O113" s="45">
        <f t="shared" si="143"/>
        <v>0.94375184731057138</v>
      </c>
      <c r="P113" s="45">
        <f t="shared" si="143"/>
        <v>0.94516380895997598</v>
      </c>
      <c r="Q113" s="45">
        <f t="shared" si="143"/>
        <v>0.94497064926338137</v>
      </c>
      <c r="R113" s="45">
        <f t="shared" si="143"/>
        <v>0.943316518994327</v>
      </c>
      <c r="S113" s="45">
        <f t="shared" si="143"/>
        <v>0.94504788981385135</v>
      </c>
      <c r="T113" s="45">
        <f t="shared" si="143"/>
        <v>0.95036286505075673</v>
      </c>
      <c r="U113" s="45">
        <f t="shared" si="143"/>
        <v>0.94522693425414017</v>
      </c>
      <c r="V113" s="45">
        <f t="shared" si="143"/>
        <v>0.93716577654402922</v>
      </c>
      <c r="W113" s="45">
        <f t="shared" ref="W113:Y113" si="144">IF(W11=0,0,W11/W$8)</f>
        <v>0.93015121560401282</v>
      </c>
      <c r="X113" s="45">
        <f t="shared" si="144"/>
        <v>0.93058136624846699</v>
      </c>
      <c r="Y113" s="45">
        <f t="shared" si="144"/>
        <v>0.92717283020871077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0.24597337649184045</v>
      </c>
      <c r="C117" s="43">
        <f t="shared" si="148"/>
        <v>0.25175468036224291</v>
      </c>
      <c r="D117" s="43">
        <f t="shared" ref="D117:V117" si="149">IF(D15=0,0,D15/D$14)</f>
        <v>0.25771350994288728</v>
      </c>
      <c r="E117" s="43">
        <f t="shared" si="149"/>
        <v>0.24986139450621017</v>
      </c>
      <c r="F117" s="43">
        <f t="shared" si="149"/>
        <v>0.22938878374631017</v>
      </c>
      <c r="G117" s="43">
        <f t="shared" si="149"/>
        <v>0.22153451438441116</v>
      </c>
      <c r="H117" s="43">
        <f t="shared" si="149"/>
        <v>0.21998041910515481</v>
      </c>
      <c r="I117" s="43">
        <f t="shared" si="149"/>
        <v>0.21367931615012084</v>
      </c>
      <c r="J117" s="43">
        <f t="shared" si="149"/>
        <v>0.21447677066739684</v>
      </c>
      <c r="K117" s="43">
        <f t="shared" si="149"/>
        <v>0.22679718890707612</v>
      </c>
      <c r="L117" s="43">
        <f t="shared" si="149"/>
        <v>0.2254725279199534</v>
      </c>
      <c r="M117" s="43">
        <f t="shared" si="149"/>
        <v>0.22462381858762603</v>
      </c>
      <c r="N117" s="43">
        <f t="shared" si="149"/>
        <v>0.23486089558439591</v>
      </c>
      <c r="O117" s="43">
        <f t="shared" si="149"/>
        <v>0.2367384148642942</v>
      </c>
      <c r="P117" s="43">
        <f t="shared" si="149"/>
        <v>0.22301316268713006</v>
      </c>
      <c r="Q117" s="43">
        <f t="shared" si="149"/>
        <v>0.22179957081555524</v>
      </c>
      <c r="R117" s="43">
        <f t="shared" si="149"/>
        <v>0.22181010783955632</v>
      </c>
      <c r="S117" s="43">
        <f t="shared" si="149"/>
        <v>0.2252800813124711</v>
      </c>
      <c r="T117" s="43">
        <f t="shared" si="149"/>
        <v>0.22390324268146233</v>
      </c>
      <c r="U117" s="43">
        <f t="shared" si="149"/>
        <v>0.22080717446441397</v>
      </c>
      <c r="V117" s="43">
        <f t="shared" si="149"/>
        <v>0.32159616329806823</v>
      </c>
      <c r="W117" s="43">
        <f t="shared" ref="W117:Y117" si="150">IF(W15=0,0,W15/W$14)</f>
        <v>0.32066870252488111</v>
      </c>
      <c r="X117" s="43">
        <f t="shared" si="150"/>
        <v>0.23942810005967674</v>
      </c>
      <c r="Y117" s="43">
        <f t="shared" si="150"/>
        <v>0.20004938965364322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0.248954132475393</v>
      </c>
      <c r="C118" s="43">
        <f t="shared" si="151"/>
        <v>0.24704683078193668</v>
      </c>
      <c r="D118" s="43">
        <f t="shared" ref="D118:V118" si="152">IF(D16=0,0,D16/D$14)</f>
        <v>0.24507913822875618</v>
      </c>
      <c r="E118" s="43">
        <f t="shared" si="152"/>
        <v>0.24438983522862182</v>
      </c>
      <c r="F118" s="43">
        <f t="shared" si="152"/>
        <v>0.24509655383659032</v>
      </c>
      <c r="G118" s="43">
        <f t="shared" si="152"/>
        <v>0.23994628785308603</v>
      </c>
      <c r="H118" s="43">
        <f t="shared" si="152"/>
        <v>0.24710653473256053</v>
      </c>
      <c r="I118" s="43">
        <f t="shared" si="152"/>
        <v>0.25045677284119305</v>
      </c>
      <c r="J118" s="43">
        <f t="shared" si="152"/>
        <v>0.25557817309990932</v>
      </c>
      <c r="K118" s="43">
        <f t="shared" si="152"/>
        <v>0.24967328420499629</v>
      </c>
      <c r="L118" s="43">
        <f t="shared" si="152"/>
        <v>0.25133604769467899</v>
      </c>
      <c r="M118" s="43">
        <f t="shared" si="152"/>
        <v>0.25080691427800411</v>
      </c>
      <c r="N118" s="43">
        <f t="shared" si="152"/>
        <v>0.26279551122931083</v>
      </c>
      <c r="O118" s="43">
        <f t="shared" si="152"/>
        <v>0.25454001808880622</v>
      </c>
      <c r="P118" s="43">
        <f t="shared" si="152"/>
        <v>0.2531123067674787</v>
      </c>
      <c r="Q118" s="43">
        <f t="shared" si="152"/>
        <v>0.26110518749784617</v>
      </c>
      <c r="R118" s="43">
        <f t="shared" si="152"/>
        <v>0.27076611200096645</v>
      </c>
      <c r="S118" s="43">
        <f t="shared" si="152"/>
        <v>0.2707269216376943</v>
      </c>
      <c r="T118" s="43">
        <f t="shared" si="152"/>
        <v>0.26729517086079069</v>
      </c>
      <c r="U118" s="43">
        <f t="shared" si="152"/>
        <v>0.26611775396699244</v>
      </c>
      <c r="V118" s="43">
        <f t="shared" si="152"/>
        <v>0.23459327609120287</v>
      </c>
      <c r="W118" s="43">
        <f t="shared" ref="W118:Y118" si="153">IF(W16=0,0,W16/W$14)</f>
        <v>0.25649858235311174</v>
      </c>
      <c r="X118" s="43">
        <f t="shared" si="153"/>
        <v>0.28918957055375771</v>
      </c>
      <c r="Y118" s="43">
        <f t="shared" si="153"/>
        <v>0.28283984114191119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0.50507249103276675</v>
      </c>
      <c r="C119" s="43">
        <f t="shared" si="154"/>
        <v>0.50119848885582041</v>
      </c>
      <c r="D119" s="43">
        <f t="shared" ref="D119:V119" si="155">IF(D17=0,0,D17/D$14)</f>
        <v>0.49720735182835651</v>
      </c>
      <c r="E119" s="43">
        <f t="shared" si="155"/>
        <v>0.50574877026516796</v>
      </c>
      <c r="F119" s="43">
        <f t="shared" si="155"/>
        <v>0.52551466241709954</v>
      </c>
      <c r="G119" s="43">
        <f t="shared" si="155"/>
        <v>0.53851919776250279</v>
      </c>
      <c r="H119" s="43">
        <f t="shared" si="155"/>
        <v>0.53291304616228463</v>
      </c>
      <c r="I119" s="43">
        <f t="shared" si="155"/>
        <v>0.53586391100868613</v>
      </c>
      <c r="J119" s="43">
        <f t="shared" si="155"/>
        <v>0.52994505623269383</v>
      </c>
      <c r="K119" s="43">
        <f t="shared" si="155"/>
        <v>0.52352952688792753</v>
      </c>
      <c r="L119" s="43">
        <f t="shared" si="155"/>
        <v>0.52319142438536748</v>
      </c>
      <c r="M119" s="43">
        <f t="shared" si="155"/>
        <v>0.5245692671343698</v>
      </c>
      <c r="N119" s="43">
        <f t="shared" si="155"/>
        <v>0.50234359318629329</v>
      </c>
      <c r="O119" s="43">
        <f t="shared" si="155"/>
        <v>0.50872156704689953</v>
      </c>
      <c r="P119" s="43">
        <f t="shared" si="155"/>
        <v>0.52387453054539113</v>
      </c>
      <c r="Q119" s="43">
        <f t="shared" si="155"/>
        <v>0.51709524168659871</v>
      </c>
      <c r="R119" s="43">
        <f t="shared" si="155"/>
        <v>0.50742378015947731</v>
      </c>
      <c r="S119" s="43">
        <f t="shared" si="155"/>
        <v>0.50399299704983447</v>
      </c>
      <c r="T119" s="43">
        <f t="shared" si="155"/>
        <v>0.50880158645774687</v>
      </c>
      <c r="U119" s="43">
        <f t="shared" si="155"/>
        <v>0.51307507156859344</v>
      </c>
      <c r="V119" s="43">
        <f t="shared" si="155"/>
        <v>0.44381056061072899</v>
      </c>
      <c r="W119" s="43">
        <f t="shared" ref="W119:Y119" si="156">IF(W17=0,0,W17/W$14)</f>
        <v>0.42283271512200721</v>
      </c>
      <c r="X119" s="43">
        <f t="shared" si="156"/>
        <v>0.4713823293865656</v>
      </c>
      <c r="Y119" s="43">
        <f t="shared" si="156"/>
        <v>0.51711076920444554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0.19393807092820109</v>
      </c>
      <c r="C121" s="44">
        <f t="shared" si="160"/>
        <v>0.2221609197798512</v>
      </c>
      <c r="D121" s="44">
        <f t="shared" ref="D121:V121" si="161">IF(D19=0,0,D19/D$18)</f>
        <v>0.19927061067018831</v>
      </c>
      <c r="E121" s="44">
        <f t="shared" si="161"/>
        <v>0.16667443833781356</v>
      </c>
      <c r="F121" s="44">
        <f t="shared" si="161"/>
        <v>0.15807588628437347</v>
      </c>
      <c r="G121" s="44">
        <f t="shared" si="161"/>
        <v>0.14837051202546642</v>
      </c>
      <c r="H121" s="44">
        <f t="shared" si="161"/>
        <v>0.13254587903505666</v>
      </c>
      <c r="I121" s="44">
        <f t="shared" si="161"/>
        <v>0.11184499996786743</v>
      </c>
      <c r="J121" s="44">
        <f t="shared" si="161"/>
        <v>9.6401125934935397E-2</v>
      </c>
      <c r="K121" s="44">
        <f t="shared" si="161"/>
        <v>0.1212420053398523</v>
      </c>
      <c r="L121" s="44">
        <f t="shared" si="161"/>
        <v>8.710479200691075E-2</v>
      </c>
      <c r="M121" s="44">
        <f t="shared" si="161"/>
        <v>7.5954881093522164E-2</v>
      </c>
      <c r="N121" s="44">
        <f t="shared" si="161"/>
        <v>8.4258058688664914E-2</v>
      </c>
      <c r="O121" s="44">
        <f t="shared" si="161"/>
        <v>8.3596380265958961E-2</v>
      </c>
      <c r="P121" s="44">
        <f t="shared" si="161"/>
        <v>8.0329043287377569E-2</v>
      </c>
      <c r="Q121" s="44">
        <f t="shared" si="161"/>
        <v>7.8511180381238013E-2</v>
      </c>
      <c r="R121" s="44">
        <f t="shared" si="161"/>
        <v>7.8261981754283158E-2</v>
      </c>
      <c r="S121" s="44">
        <f t="shared" si="161"/>
        <v>8.1340595032758506E-2</v>
      </c>
      <c r="T121" s="44">
        <f t="shared" si="161"/>
        <v>8.2873397446551089E-2</v>
      </c>
      <c r="U121" s="44">
        <f t="shared" si="161"/>
        <v>8.659710330432413E-2</v>
      </c>
      <c r="V121" s="44">
        <f t="shared" si="161"/>
        <v>7.986125457974981E-2</v>
      </c>
      <c r="W121" s="44">
        <f t="shared" ref="W121:Y121" si="162">IF(W19=0,0,W19/W$18)</f>
        <v>8.6027587138605283E-2</v>
      </c>
      <c r="X121" s="44">
        <f t="shared" si="162"/>
        <v>5.8664755282552841E-2</v>
      </c>
      <c r="Y121" s="44">
        <f t="shared" si="162"/>
        <v>6.8163990837840291E-2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6.5236575523312648E-2</v>
      </c>
      <c r="C122" s="44">
        <f t="shared" si="163"/>
        <v>7.310131872174544E-2</v>
      </c>
      <c r="D122" s="44">
        <f t="shared" ref="D122:V122" si="164">IF(D20=0,0,D20/D$18)</f>
        <v>6.7522134268650238E-2</v>
      </c>
      <c r="E122" s="44">
        <f t="shared" si="164"/>
        <v>6.4952900506446212E-2</v>
      </c>
      <c r="F122" s="44">
        <f t="shared" si="164"/>
        <v>6.6484961806954443E-2</v>
      </c>
      <c r="G122" s="44">
        <f t="shared" si="164"/>
        <v>6.0660075573525596E-2</v>
      </c>
      <c r="H122" s="44">
        <f t="shared" si="164"/>
        <v>7.7187392591469769E-2</v>
      </c>
      <c r="I122" s="44">
        <f t="shared" si="164"/>
        <v>8.9270878129450559E-2</v>
      </c>
      <c r="J122" s="44">
        <f t="shared" si="164"/>
        <v>9.2724347731619833E-2</v>
      </c>
      <c r="K122" s="44">
        <f t="shared" si="164"/>
        <v>0.10623130724401207</v>
      </c>
      <c r="L122" s="44">
        <f t="shared" si="164"/>
        <v>0.10887296598347271</v>
      </c>
      <c r="M122" s="44">
        <f t="shared" si="164"/>
        <v>0.11274330877188632</v>
      </c>
      <c r="N122" s="44">
        <f t="shared" si="164"/>
        <v>0.12164221599903</v>
      </c>
      <c r="O122" s="44">
        <f t="shared" si="164"/>
        <v>0.1340575988928786</v>
      </c>
      <c r="P122" s="44">
        <f t="shared" si="164"/>
        <v>0.13203504944942476</v>
      </c>
      <c r="Q122" s="44">
        <f t="shared" si="164"/>
        <v>0.13297192135363609</v>
      </c>
      <c r="R122" s="44">
        <f t="shared" si="164"/>
        <v>0.13427044075289105</v>
      </c>
      <c r="S122" s="44">
        <f t="shared" si="164"/>
        <v>0.13873028841350957</v>
      </c>
      <c r="T122" s="44">
        <f t="shared" si="164"/>
        <v>0.12230619376133255</v>
      </c>
      <c r="U122" s="44">
        <f t="shared" si="164"/>
        <v>0.13243471365350826</v>
      </c>
      <c r="V122" s="44">
        <f t="shared" si="164"/>
        <v>0.11639556804398529</v>
      </c>
      <c r="W122" s="44">
        <f t="shared" ref="W122:Y122" si="165">IF(W20=0,0,W20/W$18)</f>
        <v>0.12405776326996336</v>
      </c>
      <c r="X122" s="44">
        <f t="shared" si="165"/>
        <v>0.16831053997418455</v>
      </c>
      <c r="Y122" s="44">
        <f t="shared" si="165"/>
        <v>0.18240448907021153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0.74082535354848622</v>
      </c>
      <c r="C123" s="45">
        <f t="shared" si="166"/>
        <v>0.70473776149840328</v>
      </c>
      <c r="D123" s="45">
        <f t="shared" ref="D123:V123" si="167">IF(D21=0,0,D21/D$18)</f>
        <v>0.73320725506116147</v>
      </c>
      <c r="E123" s="45">
        <f t="shared" si="167"/>
        <v>0.76837266115574021</v>
      </c>
      <c r="F123" s="45">
        <f t="shared" si="167"/>
        <v>0.77543915190867219</v>
      </c>
      <c r="G123" s="45">
        <f t="shared" si="167"/>
        <v>0.79096941240100804</v>
      </c>
      <c r="H123" s="45">
        <f t="shared" si="167"/>
        <v>0.79026672837347345</v>
      </c>
      <c r="I123" s="45">
        <f t="shared" si="167"/>
        <v>0.7988841219026821</v>
      </c>
      <c r="J123" s="45">
        <f t="shared" si="167"/>
        <v>0.81087452633344481</v>
      </c>
      <c r="K123" s="45">
        <f t="shared" si="167"/>
        <v>0.77252668741613573</v>
      </c>
      <c r="L123" s="45">
        <f t="shared" si="167"/>
        <v>0.80402224200961658</v>
      </c>
      <c r="M123" s="45">
        <f t="shared" si="167"/>
        <v>0.81130181013459146</v>
      </c>
      <c r="N123" s="45">
        <f t="shared" si="167"/>
        <v>0.7940997253123051</v>
      </c>
      <c r="O123" s="45">
        <f t="shared" si="167"/>
        <v>0.78234602084116245</v>
      </c>
      <c r="P123" s="45">
        <f t="shared" si="167"/>
        <v>0.78763590726319765</v>
      </c>
      <c r="Q123" s="45">
        <f t="shared" si="167"/>
        <v>0.78851689826512594</v>
      </c>
      <c r="R123" s="45">
        <f t="shared" si="167"/>
        <v>0.78746757749282581</v>
      </c>
      <c r="S123" s="45">
        <f t="shared" si="167"/>
        <v>0.77992911655373187</v>
      </c>
      <c r="T123" s="45">
        <f t="shared" si="167"/>
        <v>0.79482040879211635</v>
      </c>
      <c r="U123" s="45">
        <f t="shared" si="167"/>
        <v>0.78096818304216764</v>
      </c>
      <c r="V123" s="45">
        <f t="shared" si="167"/>
        <v>0.80374317737626488</v>
      </c>
      <c r="W123" s="45">
        <f t="shared" ref="W123:Y123" si="168">IF(W21=0,0,W21/W$18)</f>
        <v>0.78991464959143143</v>
      </c>
      <c r="X123" s="45">
        <f t="shared" si="168"/>
        <v>0.77302470474326268</v>
      </c>
      <c r="Y123" s="45">
        <f t="shared" si="168"/>
        <v>0.74943152009194813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6271.5343078245905</v>
      </c>
      <c r="C3" s="79">
        <f t="shared" si="0"/>
        <v>6234.6637145313844</v>
      </c>
      <c r="D3" s="79">
        <f t="shared" ref="D3" si="1">SUM(D4:D5)</f>
        <v>6183.0466895958707</v>
      </c>
      <c r="E3" s="79">
        <f t="shared" ref="E3" si="2">SUM(E4:E5)</f>
        <v>5950.8797936371438</v>
      </c>
      <c r="F3" s="79">
        <f t="shared" ref="F3" si="3">SUM(F4:F5)</f>
        <v>6255.8956147893377</v>
      </c>
      <c r="G3" s="79">
        <f t="shared" ref="G3" si="4">SUM(G4:G5)</f>
        <v>6313.4309544282014</v>
      </c>
      <c r="H3" s="79">
        <f t="shared" ref="H3" si="5">SUM(H4:H5)</f>
        <v>6565.0435081685291</v>
      </c>
      <c r="I3" s="79">
        <f t="shared" ref="I3" si="6">SUM(I4:I5)</f>
        <v>6773.5223559759233</v>
      </c>
      <c r="J3" s="79">
        <f t="shared" ref="J3" si="7">SUM(J4:J5)</f>
        <v>6809.4190885640573</v>
      </c>
      <c r="K3" s="79">
        <f t="shared" ref="K3" si="8">SUM(K4:K5)</f>
        <v>6237.5055030094591</v>
      </c>
      <c r="L3" s="79">
        <f t="shared" ref="L3" si="9">SUM(L4:L5)</f>
        <v>6315.4610490111772</v>
      </c>
      <c r="M3" s="79">
        <f t="shared" ref="M3" si="10">SUM(M4:M5)</f>
        <v>7015.9952708512465</v>
      </c>
      <c r="N3" s="79">
        <f t="shared" ref="N3" si="11">SUM(N4:N5)</f>
        <v>6910.0738607050735</v>
      </c>
      <c r="O3" s="79">
        <f t="shared" ref="O3" si="12">SUM(O4:O5)</f>
        <v>6837.8914015477203</v>
      </c>
      <c r="P3" s="79">
        <f t="shared" ref="P3" si="13">SUM(P4:P5)</f>
        <v>6825.0610490111785</v>
      </c>
      <c r="Q3" s="79">
        <f t="shared" ref="Q3" si="14">SUM(Q4:Q5)</f>
        <v>7141.8369733447962</v>
      </c>
      <c r="R3" s="79">
        <f t="shared" ref="R3" si="15">SUM(R4:R5)</f>
        <v>7093.0942390369728</v>
      </c>
      <c r="S3" s="79">
        <f t="shared" ref="S3" si="16">SUM(S4:S5)</f>
        <v>7228.6924333619954</v>
      </c>
      <c r="T3" s="79">
        <f t="shared" ref="T3" si="17">SUM(T4:T5)</f>
        <v>7506.1791917454866</v>
      </c>
      <c r="U3" s="79">
        <f t="shared" ref="U3" si="18">SUM(U4:U5)</f>
        <v>7830.0856405846926</v>
      </c>
      <c r="V3" s="79">
        <f t="shared" ref="V3:W3" si="19">SUM(V4:V5)</f>
        <v>3617.7304385210659</v>
      </c>
      <c r="W3" s="79">
        <f t="shared" si="19"/>
        <v>4072.3714531384348</v>
      </c>
      <c r="X3" s="79">
        <f t="shared" ref="X3:Y3" si="20">SUM(X4:X5)</f>
        <v>6497.9680997420473</v>
      </c>
      <c r="Y3" s="79">
        <f t="shared" si="20"/>
        <v>6832.3063628546879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1055.5411865864144</v>
      </c>
      <c r="C4" s="96">
        <f t="shared" si="21"/>
        <v>1076.6026655202061</v>
      </c>
      <c r="D4" s="96">
        <f t="shared" ref="D4:V4" si="22">SUM(D7,D11)</f>
        <v>1003.9194325021494</v>
      </c>
      <c r="E4" s="96">
        <f t="shared" si="22"/>
        <v>928.90068787618225</v>
      </c>
      <c r="F4" s="96">
        <f t="shared" si="22"/>
        <v>886.79406706792781</v>
      </c>
      <c r="G4" s="96">
        <f t="shared" si="22"/>
        <v>879.6290627687016</v>
      </c>
      <c r="H4" s="96">
        <f t="shared" si="22"/>
        <v>877.57515047291497</v>
      </c>
      <c r="I4" s="96">
        <f t="shared" si="22"/>
        <v>877.57515047291497</v>
      </c>
      <c r="J4" s="96">
        <f t="shared" si="22"/>
        <v>878.55425623387794</v>
      </c>
      <c r="K4" s="96">
        <f t="shared" si="22"/>
        <v>834.51332760103173</v>
      </c>
      <c r="L4" s="96">
        <f t="shared" si="22"/>
        <v>807.71590713671537</v>
      </c>
      <c r="M4" s="96">
        <f t="shared" si="22"/>
        <v>1503.1736887360271</v>
      </c>
      <c r="N4" s="96">
        <f t="shared" si="22"/>
        <v>1514.34660361135</v>
      </c>
      <c r="O4" s="96">
        <f t="shared" si="22"/>
        <v>1489.2443680137569</v>
      </c>
      <c r="P4" s="96">
        <f t="shared" si="22"/>
        <v>1424.9731728288909</v>
      </c>
      <c r="Q4" s="96">
        <f t="shared" si="22"/>
        <v>1424.9269131556314</v>
      </c>
      <c r="R4" s="96">
        <f t="shared" si="22"/>
        <v>1469.8620808254511</v>
      </c>
      <c r="S4" s="96">
        <f t="shared" si="22"/>
        <v>1517.2284608770419</v>
      </c>
      <c r="T4" s="96">
        <f t="shared" si="22"/>
        <v>1595.1342218400691</v>
      </c>
      <c r="U4" s="96">
        <f t="shared" si="22"/>
        <v>1621.6029234737746</v>
      </c>
      <c r="V4" s="96">
        <f t="shared" si="22"/>
        <v>981.6268271711092</v>
      </c>
      <c r="W4" s="96">
        <f t="shared" ref="W4:Y4" si="23">SUM(W7,W11)</f>
        <v>1206.0116938950989</v>
      </c>
      <c r="X4" s="96">
        <f t="shared" si="23"/>
        <v>1584.4536543422187</v>
      </c>
      <c r="Y4" s="96">
        <f t="shared" si="23"/>
        <v>1430.7208082545144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5215.9931212381762</v>
      </c>
      <c r="C5" s="96">
        <f t="shared" si="24"/>
        <v>5158.0610490111785</v>
      </c>
      <c r="D5" s="96">
        <f t="shared" ref="D5:V5" si="25">SUM(D8:D9,D12:D13)</f>
        <v>5179.1272570937217</v>
      </c>
      <c r="E5" s="96">
        <f t="shared" si="25"/>
        <v>5021.9791057609618</v>
      </c>
      <c r="F5" s="96">
        <f t="shared" si="25"/>
        <v>5369.1015477214096</v>
      </c>
      <c r="G5" s="96">
        <f t="shared" si="25"/>
        <v>5433.8018916595001</v>
      </c>
      <c r="H5" s="96">
        <f t="shared" si="25"/>
        <v>5687.468357695614</v>
      </c>
      <c r="I5" s="96">
        <f t="shared" si="25"/>
        <v>5895.9472055030083</v>
      </c>
      <c r="J5" s="96">
        <f t="shared" si="25"/>
        <v>5930.8648323301795</v>
      </c>
      <c r="K5" s="96">
        <f t="shared" si="25"/>
        <v>5402.9921754084271</v>
      </c>
      <c r="L5" s="96">
        <f t="shared" si="25"/>
        <v>5507.7451418744622</v>
      </c>
      <c r="M5" s="96">
        <f t="shared" si="25"/>
        <v>5512.8215821152198</v>
      </c>
      <c r="N5" s="96">
        <f t="shared" si="25"/>
        <v>5395.7272570937239</v>
      </c>
      <c r="O5" s="96">
        <f t="shared" si="25"/>
        <v>5348.6470335339636</v>
      </c>
      <c r="P5" s="96">
        <f t="shared" si="25"/>
        <v>5400.0878761822878</v>
      </c>
      <c r="Q5" s="96">
        <f t="shared" si="25"/>
        <v>5716.9100601891651</v>
      </c>
      <c r="R5" s="96">
        <f t="shared" si="25"/>
        <v>5623.2321582115219</v>
      </c>
      <c r="S5" s="96">
        <f t="shared" si="25"/>
        <v>5711.463972484953</v>
      </c>
      <c r="T5" s="96">
        <f t="shared" si="25"/>
        <v>5911.0449699054179</v>
      </c>
      <c r="U5" s="96">
        <f t="shared" si="25"/>
        <v>6208.4827171109182</v>
      </c>
      <c r="V5" s="96">
        <f t="shared" si="25"/>
        <v>2636.1036113499567</v>
      </c>
      <c r="W5" s="96">
        <f t="shared" ref="W5:Y5" si="26">SUM(W8:W9,W12:W13)</f>
        <v>2866.3597592433362</v>
      </c>
      <c r="X5" s="96">
        <f t="shared" si="26"/>
        <v>4913.5144453998291</v>
      </c>
      <c r="Y5" s="96">
        <f t="shared" si="26"/>
        <v>5401.5855546001731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5820.548137442056</v>
      </c>
      <c r="C6" s="21">
        <f t="shared" si="27"/>
        <v>5782.0099523021436</v>
      </c>
      <c r="D6" s="21">
        <f t="shared" ref="D6:V6" si="28">SUM(D7:D9)</f>
        <v>5742.1591188885277</v>
      </c>
      <c r="E6" s="21">
        <f t="shared" si="28"/>
        <v>5519.6673657798456</v>
      </c>
      <c r="F6" s="21">
        <f t="shared" si="28"/>
        <v>5785.4832103867739</v>
      </c>
      <c r="G6" s="21">
        <f t="shared" si="28"/>
        <v>5828.9783507260745</v>
      </c>
      <c r="H6" s="21">
        <f t="shared" si="28"/>
        <v>6062.9336789370827</v>
      </c>
      <c r="I6" s="21">
        <f t="shared" si="28"/>
        <v>6253.4941835854861</v>
      </c>
      <c r="J6" s="21">
        <f t="shared" si="28"/>
        <v>6283.0467412170938</v>
      </c>
      <c r="K6" s="21">
        <f t="shared" si="28"/>
        <v>5827.8134905883544</v>
      </c>
      <c r="L6" s="21">
        <f t="shared" si="28"/>
        <v>5840.008533912378</v>
      </c>
      <c r="M6" s="21">
        <f t="shared" si="28"/>
        <v>6505.8801752104719</v>
      </c>
      <c r="N6" s="21">
        <f t="shared" si="28"/>
        <v>6388.5475108183355</v>
      </c>
      <c r="O6" s="21">
        <f t="shared" si="28"/>
        <v>6349.6141886056585</v>
      </c>
      <c r="P6" s="21">
        <f t="shared" si="28"/>
        <v>6265.7233046684105</v>
      </c>
      <c r="Q6" s="21">
        <f t="shared" si="28"/>
        <v>6546.7012584078766</v>
      </c>
      <c r="R6" s="21">
        <f t="shared" si="28"/>
        <v>6576.6806700652105</v>
      </c>
      <c r="S6" s="21">
        <f t="shared" si="28"/>
        <v>6696.2307631548883</v>
      </c>
      <c r="T6" s="21">
        <f t="shared" si="28"/>
        <v>6990.7241407403053</v>
      </c>
      <c r="U6" s="21">
        <f t="shared" si="28"/>
        <v>7338.4451979260375</v>
      </c>
      <c r="V6" s="21">
        <f t="shared" si="28"/>
        <v>3017.7876379909039</v>
      </c>
      <c r="W6" s="21">
        <f t="shared" ref="W6:Y6" si="29">SUM(W7:W9)</f>
        <v>3449.5913554922499</v>
      </c>
      <c r="X6" s="21">
        <f t="shared" si="29"/>
        <v>5973.7638925536585</v>
      </c>
      <c r="Y6" s="21">
        <f t="shared" si="29"/>
        <v>6401.3946461217347</v>
      </c>
      <c r="DA6" s="189" t="s">
        <v>280</v>
      </c>
    </row>
    <row r="7" spans="1:105" ht="11.45" customHeight="1" x14ac:dyDescent="0.25">
      <c r="A7" s="83" t="s">
        <v>27</v>
      </c>
      <c r="B7" s="96">
        <v>991.91601876818868</v>
      </c>
      <c r="C7" s="96">
        <v>1003.1493110344252</v>
      </c>
      <c r="D7" s="96">
        <v>945.33190961141861</v>
      </c>
      <c r="E7" s="96">
        <v>881.40772572160085</v>
      </c>
      <c r="F7" s="96">
        <v>837.84085546052256</v>
      </c>
      <c r="G7" s="96">
        <v>831.2786360901805</v>
      </c>
      <c r="H7" s="96">
        <v>836.50280401207397</v>
      </c>
      <c r="I7" s="96">
        <v>843.26343998337165</v>
      </c>
      <c r="J7" s="96">
        <v>851.06056649281436</v>
      </c>
      <c r="K7" s="96">
        <v>810.00183490385416</v>
      </c>
      <c r="L7" s="96">
        <v>789.77701444016168</v>
      </c>
      <c r="M7" s="96">
        <v>1470.4890209336102</v>
      </c>
      <c r="N7" s="96">
        <v>1480.518564853679</v>
      </c>
      <c r="O7" s="96">
        <v>1458.0044276864453</v>
      </c>
      <c r="P7" s="96">
        <v>1388.4642720658469</v>
      </c>
      <c r="Q7" s="96">
        <v>1389.6869526698704</v>
      </c>
      <c r="R7" s="96">
        <v>1438.858826003586</v>
      </c>
      <c r="S7" s="96">
        <v>1484.9339520648057</v>
      </c>
      <c r="T7" s="96">
        <v>1562.7884418787003</v>
      </c>
      <c r="U7" s="96">
        <v>1590.2338739496727</v>
      </c>
      <c r="V7" s="96">
        <v>946.03455917181498</v>
      </c>
      <c r="W7" s="96">
        <v>1158.7494900808781</v>
      </c>
      <c r="X7" s="96">
        <v>1560.7035431658162</v>
      </c>
      <c r="Y7" s="96">
        <v>1406.3490622443458</v>
      </c>
      <c r="DA7" s="171" t="s">
        <v>281</v>
      </c>
    </row>
    <row r="8" spans="1:105" ht="11.45" customHeight="1" x14ac:dyDescent="0.25">
      <c r="A8" s="83" t="s">
        <v>181</v>
      </c>
      <c r="B8" s="96">
        <v>1286.6124786619243</v>
      </c>
      <c r="C8" s="96">
        <v>1273.3590739185177</v>
      </c>
      <c r="D8" s="96">
        <v>1278.1447592742843</v>
      </c>
      <c r="E8" s="96">
        <v>1217.451791156082</v>
      </c>
      <c r="F8" s="96">
        <v>1264.7372192594873</v>
      </c>
      <c r="G8" s="96">
        <v>1274.3203083412157</v>
      </c>
      <c r="H8" s="96">
        <v>1361.0371860040214</v>
      </c>
      <c r="I8" s="96">
        <v>1437.3229074108733</v>
      </c>
      <c r="J8" s="96">
        <v>1411.2941576621163</v>
      </c>
      <c r="K8" s="96">
        <v>1248.8848021757819</v>
      </c>
      <c r="L8" s="96">
        <v>1231.9347241885703</v>
      </c>
      <c r="M8" s="96">
        <v>1239.7824569774489</v>
      </c>
      <c r="N8" s="96">
        <v>1190.5940186292949</v>
      </c>
      <c r="O8" s="96">
        <v>1179.4756860658183</v>
      </c>
      <c r="P8" s="96">
        <v>1185.2224215986755</v>
      </c>
      <c r="Q8" s="96">
        <v>1256.1522605633588</v>
      </c>
      <c r="R8" s="96">
        <v>1317.2994870388982</v>
      </c>
      <c r="S8" s="96">
        <v>1375.5142508384936</v>
      </c>
      <c r="T8" s="96">
        <v>1410.9994970099319</v>
      </c>
      <c r="U8" s="96">
        <v>1439.4861009257759</v>
      </c>
      <c r="V8" s="96">
        <v>413.24281184340907</v>
      </c>
      <c r="W8" s="96">
        <v>514.28955126999426</v>
      </c>
      <c r="X8" s="96">
        <v>1182.8845076230552</v>
      </c>
      <c r="Y8" s="96">
        <v>1306.6977105235565</v>
      </c>
      <c r="DA8" s="171" t="s">
        <v>282</v>
      </c>
    </row>
    <row r="9" spans="1:105" ht="11.45" customHeight="1" x14ac:dyDescent="0.25">
      <c r="A9" s="83" t="s">
        <v>182</v>
      </c>
      <c r="B9" s="96">
        <v>3542.019640011943</v>
      </c>
      <c r="C9" s="96">
        <v>3505.5015673492003</v>
      </c>
      <c r="D9" s="96">
        <v>3518.6824500028247</v>
      </c>
      <c r="E9" s="96">
        <v>3420.8078489021623</v>
      </c>
      <c r="F9" s="96">
        <v>3682.9051356667637</v>
      </c>
      <c r="G9" s="96">
        <v>3723.3794062946781</v>
      </c>
      <c r="H9" s="96">
        <v>3865.3936889209867</v>
      </c>
      <c r="I9" s="96">
        <v>3972.9078361912407</v>
      </c>
      <c r="J9" s="96">
        <v>4020.6920170621634</v>
      </c>
      <c r="K9" s="96">
        <v>3768.9268535087185</v>
      </c>
      <c r="L9" s="96">
        <v>3818.2967952836457</v>
      </c>
      <c r="M9" s="96">
        <v>3795.6086972994126</v>
      </c>
      <c r="N9" s="96">
        <v>3717.4349273353619</v>
      </c>
      <c r="O9" s="96">
        <v>3712.1340748533948</v>
      </c>
      <c r="P9" s="96">
        <v>3692.0366110038885</v>
      </c>
      <c r="Q9" s="96">
        <v>3900.8620451746474</v>
      </c>
      <c r="R9" s="96">
        <v>3820.5223570227267</v>
      </c>
      <c r="S9" s="96">
        <v>3835.7825602515891</v>
      </c>
      <c r="T9" s="96">
        <v>4016.9362018516731</v>
      </c>
      <c r="U9" s="96">
        <v>4308.7252230505892</v>
      </c>
      <c r="V9" s="96">
        <v>1658.5102669756798</v>
      </c>
      <c r="W9" s="96">
        <v>1776.5523141413778</v>
      </c>
      <c r="X9" s="96">
        <v>3230.175841764787</v>
      </c>
      <c r="Y9" s="96">
        <v>3688.3478733538323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450.98617038253451</v>
      </c>
      <c r="C10" s="22">
        <f t="shared" si="30"/>
        <v>452.65376222924129</v>
      </c>
      <c r="D10" s="22">
        <f t="shared" ref="D10:V10" si="31">SUM(D11:D13)</f>
        <v>440.88757070734277</v>
      </c>
      <c r="E10" s="22">
        <f t="shared" si="31"/>
        <v>431.21242785729896</v>
      </c>
      <c r="F10" s="22">
        <f t="shared" si="31"/>
        <v>470.41240440256399</v>
      </c>
      <c r="G10" s="22">
        <f t="shared" si="31"/>
        <v>484.45260370212793</v>
      </c>
      <c r="H10" s="22">
        <f t="shared" si="31"/>
        <v>502.10982923144695</v>
      </c>
      <c r="I10" s="22">
        <f t="shared" si="31"/>
        <v>520.02817239043793</v>
      </c>
      <c r="J10" s="22">
        <f t="shared" si="31"/>
        <v>526.37234734696449</v>
      </c>
      <c r="K10" s="22">
        <f t="shared" si="31"/>
        <v>409.69201242110432</v>
      </c>
      <c r="L10" s="22">
        <f t="shared" si="31"/>
        <v>475.45251509879984</v>
      </c>
      <c r="M10" s="22">
        <f t="shared" si="31"/>
        <v>510.11509564077477</v>
      </c>
      <c r="N10" s="22">
        <f t="shared" si="31"/>
        <v>521.5263498867381</v>
      </c>
      <c r="O10" s="22">
        <f t="shared" si="31"/>
        <v>488.27721294206236</v>
      </c>
      <c r="P10" s="22">
        <f t="shared" si="31"/>
        <v>559.33774434276768</v>
      </c>
      <c r="Q10" s="22">
        <f t="shared" si="31"/>
        <v>595.13571493691984</v>
      </c>
      <c r="R10" s="22">
        <f t="shared" si="31"/>
        <v>516.41356897176252</v>
      </c>
      <c r="S10" s="22">
        <f t="shared" si="31"/>
        <v>532.46167020710618</v>
      </c>
      <c r="T10" s="22">
        <f t="shared" si="31"/>
        <v>515.45505100518153</v>
      </c>
      <c r="U10" s="22">
        <f t="shared" si="31"/>
        <v>491.64044265865505</v>
      </c>
      <c r="V10" s="22">
        <f t="shared" si="31"/>
        <v>599.94280053016257</v>
      </c>
      <c r="W10" s="22">
        <f t="shared" ref="W10:Y10" si="32">SUM(W11:W13)</f>
        <v>622.78009764618503</v>
      </c>
      <c r="X10" s="22">
        <f t="shared" si="32"/>
        <v>524.2042071883892</v>
      </c>
      <c r="Y10" s="22">
        <f t="shared" si="32"/>
        <v>430.91171673295258</v>
      </c>
      <c r="DA10" s="193" t="s">
        <v>284</v>
      </c>
    </row>
    <row r="11" spans="1:105" ht="11.45" customHeight="1" x14ac:dyDescent="0.25">
      <c r="A11" s="92" t="s">
        <v>27</v>
      </c>
      <c r="B11" s="97">
        <v>63.625167818225719</v>
      </c>
      <c r="C11" s="97">
        <v>73.453354485780835</v>
      </c>
      <c r="D11" s="97">
        <v>58.587522890730881</v>
      </c>
      <c r="E11" s="97">
        <v>47.492962154581349</v>
      </c>
      <c r="F11" s="97">
        <v>48.953211607405258</v>
      </c>
      <c r="G11" s="97">
        <v>48.350426678521139</v>
      </c>
      <c r="H11" s="97">
        <v>41.072346460841018</v>
      </c>
      <c r="I11" s="97">
        <v>34.311710489543358</v>
      </c>
      <c r="J11" s="97">
        <v>27.493689741063616</v>
      </c>
      <c r="K11" s="97">
        <v>24.511492697177609</v>
      </c>
      <c r="L11" s="97">
        <v>17.938892696553673</v>
      </c>
      <c r="M11" s="97">
        <v>32.684667802416968</v>
      </c>
      <c r="N11" s="97">
        <v>33.828038757671116</v>
      </c>
      <c r="O11" s="97">
        <v>31.239940327311697</v>
      </c>
      <c r="P11" s="97">
        <v>36.508900763043989</v>
      </c>
      <c r="Q11" s="97">
        <v>35.239960485760946</v>
      </c>
      <c r="R11" s="97">
        <v>31.003254821865141</v>
      </c>
      <c r="S11" s="97">
        <v>32.294508812236195</v>
      </c>
      <c r="T11" s="97">
        <v>32.345779961368926</v>
      </c>
      <c r="U11" s="97">
        <v>31.369049524102003</v>
      </c>
      <c r="V11" s="97">
        <v>35.592267999294272</v>
      </c>
      <c r="W11" s="97">
        <v>47.262203814220854</v>
      </c>
      <c r="X11" s="97">
        <v>23.750111176402452</v>
      </c>
      <c r="Y11" s="97">
        <v>24.371746010168678</v>
      </c>
      <c r="DA11" s="175" t="s">
        <v>285</v>
      </c>
    </row>
    <row r="12" spans="1:105" ht="11.45" customHeight="1" x14ac:dyDescent="0.25">
      <c r="A12" s="92" t="s">
        <v>181</v>
      </c>
      <c r="B12" s="97">
        <v>25.471279355902873</v>
      </c>
      <c r="C12" s="97">
        <v>29.006977774176168</v>
      </c>
      <c r="D12" s="97">
        <v>26.20319541029134</v>
      </c>
      <c r="E12" s="97">
        <v>24.274497907288055</v>
      </c>
      <c r="F12" s="97">
        <v>26.944008485778305</v>
      </c>
      <c r="G12" s="97">
        <v>25.876203548554248</v>
      </c>
      <c r="H12" s="97">
        <v>33.950232958433034</v>
      </c>
      <c r="I12" s="97">
        <v>41.075338019249223</v>
      </c>
      <c r="J12" s="97">
        <v>39.856713432090544</v>
      </c>
      <c r="K12" s="97">
        <v>34.999463400690694</v>
      </c>
      <c r="L12" s="97">
        <v>39.487810845211499</v>
      </c>
      <c r="M12" s="97">
        <v>45.600747280893259</v>
      </c>
      <c r="N12" s="97">
        <v>42.735157173183403</v>
      </c>
      <c r="O12" s="97">
        <v>46.251742284924141</v>
      </c>
      <c r="P12" s="97">
        <v>56.275531493568415</v>
      </c>
      <c r="Q12" s="97">
        <v>57.396661403625536</v>
      </c>
      <c r="R12" s="97">
        <v>50.255511806076264</v>
      </c>
      <c r="S12" s="97">
        <v>54.658853970488565</v>
      </c>
      <c r="T12" s="97">
        <v>47.560860524232787</v>
      </c>
      <c r="U12" s="97">
        <v>48.326398065976392</v>
      </c>
      <c r="V12" s="97">
        <v>39.484795869487861</v>
      </c>
      <c r="W12" s="97">
        <v>41.930658015907042</v>
      </c>
      <c r="X12" s="97">
        <v>60.130568226533796</v>
      </c>
      <c r="Y12" s="97">
        <v>58.390275349422069</v>
      </c>
      <c r="DA12" s="175" t="s">
        <v>286</v>
      </c>
    </row>
    <row r="13" spans="1:105" ht="11.45" customHeight="1" x14ac:dyDescent="0.25">
      <c r="A13" s="85" t="s">
        <v>182</v>
      </c>
      <c r="B13" s="98">
        <v>361.88972320840588</v>
      </c>
      <c r="C13" s="98">
        <v>350.1934299692843</v>
      </c>
      <c r="D13" s="98">
        <v>356.09685240632058</v>
      </c>
      <c r="E13" s="98">
        <v>359.44496779542959</v>
      </c>
      <c r="F13" s="98">
        <v>394.51518430938046</v>
      </c>
      <c r="G13" s="98">
        <v>410.22597347505251</v>
      </c>
      <c r="H13" s="98">
        <v>427.0872498121729</v>
      </c>
      <c r="I13" s="98">
        <v>444.6411238816454</v>
      </c>
      <c r="J13" s="98">
        <v>459.02194417381031</v>
      </c>
      <c r="K13" s="98">
        <v>350.18105632323602</v>
      </c>
      <c r="L13" s="98">
        <v>418.02581155703467</v>
      </c>
      <c r="M13" s="98">
        <v>431.82968055746454</v>
      </c>
      <c r="N13" s="98">
        <v>444.96315395588363</v>
      </c>
      <c r="O13" s="98">
        <v>410.78553032982654</v>
      </c>
      <c r="P13" s="98">
        <v>466.55331208615524</v>
      </c>
      <c r="Q13" s="98">
        <v>502.49909304753339</v>
      </c>
      <c r="R13" s="98">
        <v>435.15480234382107</v>
      </c>
      <c r="S13" s="98">
        <v>445.50830742438143</v>
      </c>
      <c r="T13" s="98">
        <v>435.54841051957976</v>
      </c>
      <c r="U13" s="98">
        <v>411.94499506857665</v>
      </c>
      <c r="V13" s="98">
        <v>524.86573666138042</v>
      </c>
      <c r="W13" s="98">
        <v>533.58723581605716</v>
      </c>
      <c r="X13" s="98">
        <v>440.323527785453</v>
      </c>
      <c r="Y13" s="98">
        <v>348.14969537336185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484.641103961574</v>
      </c>
      <c r="C17" s="62">
        <f>IF(C3=0,0,C3/TrAvia_act!C13*100)</f>
        <v>482.35764636611282</v>
      </c>
      <c r="D17" s="62">
        <f>IF(D3=0,0,D3/TrAvia_act!D13*100)</f>
        <v>473.22344728427544</v>
      </c>
      <c r="E17" s="62">
        <f>IF(E3=0,0,E3/TrAvia_act!E13*100)</f>
        <v>455.45305163054587</v>
      </c>
      <c r="F17" s="62">
        <f>IF(F3=0,0,F3/TrAvia_act!F13*100)</f>
        <v>472.74865494359125</v>
      </c>
      <c r="G17" s="62">
        <f>IF(G3=0,0,G3/TrAvia_act!G13*100)</f>
        <v>465.97744754427373</v>
      </c>
      <c r="H17" s="62">
        <f>IF(H3=0,0,H3/TrAvia_act!H13*100)</f>
        <v>470.77897958277754</v>
      </c>
      <c r="I17" s="62">
        <f>IF(I3=0,0,I3/TrAvia_act!I13*100)</f>
        <v>465.74197038903884</v>
      </c>
      <c r="J17" s="62">
        <f>IF(J3=0,0,J3/TrAvia_act!J13*100)</f>
        <v>471.25529492961846</v>
      </c>
      <c r="K17" s="62">
        <f>IF(K3=0,0,K3/TrAvia_act!K13*100)</f>
        <v>468.20045619819791</v>
      </c>
      <c r="L17" s="62">
        <f>IF(L3=0,0,L3/TrAvia_act!L13*100)</f>
        <v>526.03037854297202</v>
      </c>
      <c r="M17" s="62">
        <f>IF(M3=0,0,M3/TrAvia_act!M13*100)</f>
        <v>546.80078559450146</v>
      </c>
      <c r="N17" s="62">
        <f>IF(N3=0,0,N3/TrAvia_act!N13*100)</f>
        <v>573.8664393558945</v>
      </c>
      <c r="O17" s="62">
        <f>IF(O3=0,0,O3/TrAvia_act!O13*100)</f>
        <v>573.57580711841661</v>
      </c>
      <c r="P17" s="62">
        <f>IF(P3=0,0,P3/TrAvia_act!P13*100)</f>
        <v>548.11504456723651</v>
      </c>
      <c r="Q17" s="62">
        <f>IF(Q3=0,0,Q3/TrAvia_act!Q13*100)</f>
        <v>573.89909505802723</v>
      </c>
      <c r="R17" s="62">
        <f>IF(R3=0,0,R3/TrAvia_act!R13*100)</f>
        <v>569.50862002406438</v>
      </c>
      <c r="S17" s="62">
        <f>IF(S3=0,0,S3/TrAvia_act!S13*100)</f>
        <v>568.65946756125743</v>
      </c>
      <c r="T17" s="62">
        <f>IF(T3=0,0,T3/TrAvia_act!T13*100)</f>
        <v>572.67206868985545</v>
      </c>
      <c r="U17" s="62">
        <f>IF(U3=0,0,U3/TrAvia_act!U13*100)</f>
        <v>581.52153612766483</v>
      </c>
      <c r="V17" s="62">
        <f>IF(V3=0,0,V3/TrAvia_act!V13*100)</f>
        <v>616.66481886154679</v>
      </c>
      <c r="W17" s="62">
        <f>IF(W3=0,0,W3/TrAvia_act!W13*100)</f>
        <v>562.51119730115386</v>
      </c>
      <c r="X17" s="62">
        <f>IF(X3=0,0,X3/TrAvia_act!X13*100)</f>
        <v>580.77013366464462</v>
      </c>
      <c r="Y17" s="62">
        <f>IF(Y3=0,0,Y3/TrAvia_act!Y13*100)</f>
        <v>543.93988440878434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481.17893690705455</v>
      </c>
      <c r="C18" s="14">
        <f>IF(C6=0,0,C6/TrAvia_act!C14*100)</f>
        <v>479.17696415876401</v>
      </c>
      <c r="D18" s="14">
        <f>IF(D6=0,0,D6/TrAvia_act!D14*100)</f>
        <v>469.69557752534047</v>
      </c>
      <c r="E18" s="14">
        <f>IF(E6=0,0,E6/TrAvia_act!E14*100)</f>
        <v>451.72102496668566</v>
      </c>
      <c r="F18" s="14">
        <f>IF(F6=0,0,F6/TrAvia_act!F14*100)</f>
        <v>468.99730105113173</v>
      </c>
      <c r="G18" s="14">
        <f>IF(G6=0,0,G6/TrAvia_act!G14*100)</f>
        <v>462.29934182500455</v>
      </c>
      <c r="H18" s="14">
        <f>IF(H6=0,0,H6/TrAvia_act!H14*100)</f>
        <v>467.10842609300516</v>
      </c>
      <c r="I18" s="14">
        <f>IF(I6=0,0,I6/TrAvia_act!I14*100)</f>
        <v>462.42283720758718</v>
      </c>
      <c r="J18" s="14">
        <f>IF(J6=0,0,J6/TrAvia_act!J14*100)</f>
        <v>466.98837729720822</v>
      </c>
      <c r="K18" s="14">
        <f>IF(K6=0,0,K6/TrAvia_act!K14*100)</f>
        <v>465.01262769131506</v>
      </c>
      <c r="L18" s="14">
        <f>IF(L6=0,0,L6/TrAvia_act!L14*100)</f>
        <v>520.69834137253815</v>
      </c>
      <c r="M18" s="14">
        <f>IF(M6=0,0,M6/TrAvia_act!M14*100)</f>
        <v>546.83982806824486</v>
      </c>
      <c r="N18" s="14">
        <f>IF(N6=0,0,N6/TrAvia_act!N14*100)</f>
        <v>570.18512681540767</v>
      </c>
      <c r="O18" s="14">
        <f>IF(O6=0,0,O6/TrAvia_act!O14*100)</f>
        <v>570.68321139597595</v>
      </c>
      <c r="P18" s="14">
        <f>IF(P6=0,0,P6/TrAvia_act!P14*100)</f>
        <v>547.0488295035492</v>
      </c>
      <c r="Q18" s="14">
        <f>IF(Q6=0,0,Q6/TrAvia_act!Q14*100)</f>
        <v>570.99875704559815</v>
      </c>
      <c r="R18" s="14">
        <f>IF(R6=0,0,R6/TrAvia_act!R14*100)</f>
        <v>566.71382510000251</v>
      </c>
      <c r="S18" s="14">
        <f>IF(S6=0,0,S6/TrAvia_act!S14*100)</f>
        <v>565.40611754951681</v>
      </c>
      <c r="T18" s="14">
        <f>IF(T6=0,0,T6/TrAvia_act!T14*100)</f>
        <v>570.42115426917383</v>
      </c>
      <c r="U18" s="14">
        <f>IF(U6=0,0,U6/TrAvia_act!U14*100)</f>
        <v>579.62479072384122</v>
      </c>
      <c r="V18" s="14">
        <f>IF(V6=0,0,V6/TrAvia_act!V14*100)</f>
        <v>605.65694517632448</v>
      </c>
      <c r="W18" s="14">
        <f>IF(W6=0,0,W6/TrAvia_act!W14*100)</f>
        <v>551.65920948229734</v>
      </c>
      <c r="X18" s="14">
        <f>IF(X6=0,0,X6/TrAvia_act!X14*100)</f>
        <v>577.69201485429699</v>
      </c>
      <c r="Y18" s="14">
        <f>IF(Y6=0,0,Y6/TrAvia_act!Y14*100)</f>
        <v>543.1190538470205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333.3723098065629</v>
      </c>
      <c r="C19" s="87">
        <f>IF(C7=0,0,C7/TrAvia_act!C15*100)</f>
        <v>330.22133043481762</v>
      </c>
      <c r="D19" s="87">
        <f>IF(D7=0,0,D7/TrAvia_act!D15*100)</f>
        <v>300.04637207814477</v>
      </c>
      <c r="E19" s="87">
        <f>IF(E7=0,0,E7/TrAvia_act!E15*100)</f>
        <v>288.69222774620141</v>
      </c>
      <c r="F19" s="87">
        <f>IF(F7=0,0,F7/TrAvia_act!F15*100)</f>
        <v>296.08749187045873</v>
      </c>
      <c r="G19" s="87">
        <f>IF(G7=0,0,G7/TrAvia_act!G15*100)</f>
        <v>297.60214322104372</v>
      </c>
      <c r="H19" s="87">
        <f>IF(H7=0,0,H7/TrAvia_act!H15*100)</f>
        <v>292.9667004764043</v>
      </c>
      <c r="I19" s="87">
        <f>IF(I7=0,0,I7/TrAvia_act!I15*100)</f>
        <v>291.82151673971191</v>
      </c>
      <c r="J19" s="87">
        <f>IF(J7=0,0,J7/TrAvia_act!J15*100)</f>
        <v>294.92798750786164</v>
      </c>
      <c r="K19" s="87">
        <f>IF(K7=0,0,K7/TrAvia_act!K15*100)</f>
        <v>284.9754430486152</v>
      </c>
      <c r="L19" s="87">
        <f>IF(L7=0,0,L7/TrAvia_act!L15*100)</f>
        <v>312.30833029816552</v>
      </c>
      <c r="M19" s="87">
        <f>IF(M7=0,0,M7/TrAvia_act!M15*100)</f>
        <v>550.25000885836539</v>
      </c>
      <c r="N19" s="87">
        <f>IF(N7=0,0,N7/TrAvia_act!N15*100)</f>
        <v>562.62224667135092</v>
      </c>
      <c r="O19" s="87">
        <f>IF(O7=0,0,O7/TrAvia_act!O15*100)</f>
        <v>553.52579735557276</v>
      </c>
      <c r="P19" s="87">
        <f>IF(P7=0,0,P7/TrAvia_act!P15*100)</f>
        <v>543.57452234899893</v>
      </c>
      <c r="Q19" s="87">
        <f>IF(Q7=0,0,Q7/TrAvia_act!Q15*100)</f>
        <v>546.47326263058312</v>
      </c>
      <c r="R19" s="87">
        <f>IF(R7=0,0,R7/TrAvia_act!R15*100)</f>
        <v>558.97695604104558</v>
      </c>
      <c r="S19" s="87">
        <f>IF(S7=0,0,S7/TrAvia_act!S15*100)</f>
        <v>556.56313212318105</v>
      </c>
      <c r="T19" s="87">
        <f>IF(T7=0,0,T7/TrAvia_act!T15*100)</f>
        <v>569.52562002011177</v>
      </c>
      <c r="U19" s="87">
        <f>IF(U7=0,0,U7/TrAvia_act!U15*100)</f>
        <v>568.84077127455225</v>
      </c>
      <c r="V19" s="87">
        <f>IF(V7=0,0,V7/TrAvia_act!V15*100)</f>
        <v>590.3834429275056</v>
      </c>
      <c r="W19" s="87">
        <f>IF(W7=0,0,W7/TrAvia_act!W15*100)</f>
        <v>577.87805630623654</v>
      </c>
      <c r="X19" s="87">
        <f>IF(X7=0,0,X7/TrAvia_act!X15*100)</f>
        <v>630.36720105446727</v>
      </c>
      <c r="Y19" s="87">
        <f>IF(Y7=0,0,Y7/TrAvia_act!Y15*100)</f>
        <v>596.45314659002895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427.23924857595443</v>
      </c>
      <c r="C20" s="87">
        <f>IF(C8=0,0,C8/TrAvia_act!C16*100)</f>
        <v>427.15815036800507</v>
      </c>
      <c r="D20" s="87">
        <f>IF(D8=0,0,D8/TrAvia_act!D16*100)</f>
        <v>426.59420076461225</v>
      </c>
      <c r="E20" s="87">
        <f>IF(E8=0,0,E8/TrAvia_act!E16*100)</f>
        <v>407.68622049445298</v>
      </c>
      <c r="F20" s="87">
        <f>IF(F8=0,0,F8/TrAvia_act!F16*100)</f>
        <v>418.30571717513141</v>
      </c>
      <c r="G20" s="87">
        <f>IF(G8=0,0,G8/TrAvia_act!G16*100)</f>
        <v>421.20682699639184</v>
      </c>
      <c r="H20" s="87">
        <f>IF(H8=0,0,H8/TrAvia_act!H16*100)</f>
        <v>424.34651958481834</v>
      </c>
      <c r="I20" s="87">
        <f>IF(I8=0,0,I8/TrAvia_act!I16*100)</f>
        <v>424.36356641416398</v>
      </c>
      <c r="J20" s="87">
        <f>IF(J8=0,0,J8/TrAvia_act!J16*100)</f>
        <v>410.42098979081698</v>
      </c>
      <c r="K20" s="87">
        <f>IF(K8=0,0,K8/TrAvia_act!K16*100)</f>
        <v>399.12543856859747</v>
      </c>
      <c r="L20" s="87">
        <f>IF(L8=0,0,L8/TrAvia_act!L16*100)</f>
        <v>437.02434223844733</v>
      </c>
      <c r="M20" s="87">
        <f>IF(M8=0,0,M8/TrAvia_act!M16*100)</f>
        <v>415.4895062959061</v>
      </c>
      <c r="N20" s="87">
        <f>IF(N8=0,0,N8/TrAvia_act!N16*100)</f>
        <v>404.35191964152216</v>
      </c>
      <c r="O20" s="87">
        <f>IF(O8=0,0,O8/TrAvia_act!O16*100)</f>
        <v>416.46708273304273</v>
      </c>
      <c r="P20" s="87">
        <f>IF(P8=0,0,P8/TrAvia_act!P16*100)</f>
        <v>408.82879567632557</v>
      </c>
      <c r="Q20" s="87">
        <f>IF(Q8=0,0,Q8/TrAvia_act!Q16*100)</f>
        <v>419.60381044324419</v>
      </c>
      <c r="R20" s="87">
        <f>IF(R8=0,0,R8/TrAvia_act!R16*100)</f>
        <v>419.22508945109263</v>
      </c>
      <c r="S20" s="87">
        <f>IF(S8=0,0,S8/TrAvia_act!S16*100)</f>
        <v>429.00636979106253</v>
      </c>
      <c r="T20" s="87">
        <f>IF(T8=0,0,T8/TrAvia_act!T16*100)</f>
        <v>430.73405002637753</v>
      </c>
      <c r="U20" s="87">
        <f>IF(U8=0,0,U8/TrAvia_act!U16*100)</f>
        <v>427.24454190527626</v>
      </c>
      <c r="V20" s="87">
        <f>IF(V8=0,0,V8/TrAvia_act!V16*100)</f>
        <v>353.53122191252527</v>
      </c>
      <c r="W20" s="87">
        <f>IF(W8=0,0,W8/TrAvia_act!W16*100)</f>
        <v>320.64609387011421</v>
      </c>
      <c r="X20" s="87">
        <f>IF(X8=0,0,X8/TrAvia_act!X16*100)</f>
        <v>395.55604736873386</v>
      </c>
      <c r="Y20" s="87">
        <f>IF(Y8=0,0,Y8/TrAvia_act!Y16*100)</f>
        <v>391.97194354712047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579.74895276446262</v>
      </c>
      <c r="C21" s="87">
        <f>IF(C9=0,0,C9/TrAvia_act!C17*100)</f>
        <v>579.63888127131668</v>
      </c>
      <c r="D21" s="87">
        <f>IF(D9=0,0,D9/TrAvia_act!D17*100)</f>
        <v>578.87365035188759</v>
      </c>
      <c r="E21" s="87">
        <f>IF(E9=0,0,E9/TrAvia_act!E17*100)</f>
        <v>553.54284689711562</v>
      </c>
      <c r="F21" s="87">
        <f>IF(F9=0,0,F9/TrAvia_act!F17*100)</f>
        <v>568.11518884271015</v>
      </c>
      <c r="G21" s="87">
        <f>IF(G9=0,0,G9/TrAvia_act!G17*100)</f>
        <v>548.36147386679374</v>
      </c>
      <c r="H21" s="87">
        <f>IF(H9=0,0,H9/TrAvia_act!H17*100)</f>
        <v>558.82041676877293</v>
      </c>
      <c r="I21" s="87">
        <f>IF(I9=0,0,I9/TrAvia_act!I17*100)</f>
        <v>548.23972968114583</v>
      </c>
      <c r="J21" s="87">
        <f>IF(J9=0,0,J9/TrAvia_act!J17*100)</f>
        <v>563.90473817964437</v>
      </c>
      <c r="K21" s="87">
        <f>IF(K9=0,0,K9/TrAvia_act!K17*100)</f>
        <v>574.42803853074156</v>
      </c>
      <c r="L21" s="87">
        <f>IF(L9=0,0,L9/TrAvia_act!L17*100)</f>
        <v>650.70145621196878</v>
      </c>
      <c r="M21" s="87">
        <f>IF(M9=0,0,M9/TrAvia_act!M17*100)</f>
        <v>608.18074732905586</v>
      </c>
      <c r="N21" s="87">
        <f>IF(N9=0,0,N9/TrAvia_act!N17*100)</f>
        <v>660.47481673500761</v>
      </c>
      <c r="O21" s="87">
        <f>IF(O9=0,0,O9/TrAvia_act!O17*100)</f>
        <v>655.82997533993671</v>
      </c>
      <c r="P21" s="87">
        <f>IF(P9=0,0,P9/TrAvia_act!P17*100)</f>
        <v>615.30946395917283</v>
      </c>
      <c r="Q21" s="87">
        <f>IF(Q9=0,0,Q9/TrAvia_act!Q17*100)</f>
        <v>657.96484458383713</v>
      </c>
      <c r="R21" s="87">
        <f>IF(R9=0,0,R9/TrAvia_act!R17*100)</f>
        <v>648.79722147297298</v>
      </c>
      <c r="S21" s="87">
        <f>IF(S9=0,0,S9/TrAvia_act!S17*100)</f>
        <v>642.62788953149141</v>
      </c>
      <c r="T21" s="87">
        <f>IF(T9=0,0,T9/TrAvia_act!T17*100)</f>
        <v>644.19883581939064</v>
      </c>
      <c r="U21" s="87">
        <f>IF(U9=0,0,U9/TrAvia_act!U17*100)</f>
        <v>663.30119756473607</v>
      </c>
      <c r="V21" s="87">
        <f>IF(V9=0,0,V9/TrAvia_act!V17*100)</f>
        <v>749.99532919880369</v>
      </c>
      <c r="W21" s="87">
        <f>IF(W9=0,0,W9/TrAvia_act!W17*100)</f>
        <v>671.91237639275641</v>
      </c>
      <c r="X21" s="87">
        <f>IF(X9=0,0,X9/TrAvia_act!X17*100)</f>
        <v>662.67590154236768</v>
      </c>
      <c r="Y21" s="87">
        <f>IF(Y9=0,0,Y9/TrAvia_act!Y17*100)</f>
        <v>605.1579319285355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534.25340507224473</v>
      </c>
      <c r="C22" s="15">
        <f>IF(C10=0,0,C10/TrAvia_act!C18*100)</f>
        <v>527.04501227290712</v>
      </c>
      <c r="D22" s="15">
        <f>IF(D10=0,0,D10/TrAvia_act!D18*100)</f>
        <v>524.53536081447987</v>
      </c>
      <c r="E22" s="15">
        <f>IF(E10=0,0,E10/TrAvia_act!E18*100)</f>
        <v>509.31506630545886</v>
      </c>
      <c r="F22" s="15">
        <f>IF(F10=0,0,F10/TrAvia_act!F18*100)</f>
        <v>524.32876298484996</v>
      </c>
      <c r="G22" s="15">
        <f>IF(G10=0,0,G10/TrAvia_act!G18*100)</f>
        <v>515.30711900885478</v>
      </c>
      <c r="H22" s="15">
        <f>IF(H10=0,0,H10/TrAvia_act!H18*100)</f>
        <v>520.13172216577937</v>
      </c>
      <c r="I22" s="15">
        <f>IF(I10=0,0,I10/TrAvia_act!I18*100)</f>
        <v>509.73964187241114</v>
      </c>
      <c r="J22" s="15">
        <f>IF(J10=0,0,J10/TrAvia_act!J18*100)</f>
        <v>528.94464365429167</v>
      </c>
      <c r="K22" s="15">
        <f>IF(K10=0,0,K10/TrAvia_act!K18*100)</f>
        <v>518.79118543931725</v>
      </c>
      <c r="L22" s="15">
        <f>IF(L10=0,0,L10/TrAvia_act!L18*100)</f>
        <v>601.71430261077705</v>
      </c>
      <c r="M22" s="15">
        <f>IF(M10=0,0,M10/TrAvia_act!M18*100)</f>
        <v>546.30333617765348</v>
      </c>
      <c r="N22" s="15">
        <f>IF(N10=0,0,N10/TrAvia_act!N18*100)</f>
        <v>623.15039442568047</v>
      </c>
      <c r="O22" s="15">
        <f>IF(O10=0,0,O10/TrAvia_act!O18*100)</f>
        <v>614.04990647753561</v>
      </c>
      <c r="P22" s="15">
        <f>IF(P10=0,0,P10/TrAvia_act!P18*100)</f>
        <v>560.34921638862102</v>
      </c>
      <c r="Q22" s="15">
        <f>IF(Q10=0,0,Q10/TrAvia_act!Q18*100)</f>
        <v>607.86366713870211</v>
      </c>
      <c r="R22" s="15">
        <f>IF(R10=0,0,R10/TrAvia_act!R18*100)</f>
        <v>607.67365427606433</v>
      </c>
      <c r="S22" s="15">
        <f>IF(S10=0,0,S10/TrAvia_act!S18*100)</f>
        <v>613.01892548625369</v>
      </c>
      <c r="T22" s="15">
        <f>IF(T10=0,0,T10/TrAvia_act!T18*100)</f>
        <v>605.05290616731259</v>
      </c>
      <c r="U22" s="15">
        <f>IF(U10=0,0,U10/TrAvia_act!U18*100)</f>
        <v>611.38450418493017</v>
      </c>
      <c r="V22" s="15">
        <f>IF(V10=0,0,V10/TrAvia_act!V18*100)</f>
        <v>678.71499349483133</v>
      </c>
      <c r="W22" s="15">
        <f>IF(W10=0,0,W10/TrAvia_act!W18*100)</f>
        <v>631.29811386394033</v>
      </c>
      <c r="X22" s="15">
        <f>IF(X10=0,0,X10/TrAvia_act!X18*100)</f>
        <v>618.31461210406758</v>
      </c>
      <c r="Y22" s="15">
        <f>IF(Y10=0,0,Y10/TrAvia_act!Y18*100)</f>
        <v>556.4326144663122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388.64218928178155</v>
      </c>
      <c r="C23" s="101">
        <f>IF(C11=0,0,C11/TrAvia_act!C19*100)</f>
        <v>384.96880824384414</v>
      </c>
      <c r="D23" s="101">
        <f>IF(D11=0,0,D11/TrAvia_act!D19*100)</f>
        <v>349.79113591698354</v>
      </c>
      <c r="E23" s="101">
        <f>IF(E11=0,0,E11/TrAvia_act!E19*100)</f>
        <v>336.55458512742263</v>
      </c>
      <c r="F23" s="101">
        <f>IF(F11=0,0,F11/TrAvia_act!F19*100)</f>
        <v>345.17591195938439</v>
      </c>
      <c r="G23" s="101">
        <f>IF(G11=0,0,G11/TrAvia_act!G19*100)</f>
        <v>346.63113042028499</v>
      </c>
      <c r="H23" s="101">
        <f>IF(H11=0,0,H11/TrAvia_act!H19*100)</f>
        <v>320.99473092380737</v>
      </c>
      <c r="I23" s="101">
        <f>IF(I11=0,0,I11/TrAvia_act!I19*100)</f>
        <v>300.70962739811392</v>
      </c>
      <c r="J23" s="101">
        <f>IF(J11=0,0,J11/TrAvia_act!J19*100)</f>
        <v>286.59464997559337</v>
      </c>
      <c r="K23" s="101">
        <f>IF(K11=0,0,K11/TrAvia_act!K19*100)</f>
        <v>256.00694108796336</v>
      </c>
      <c r="L23" s="101">
        <f>IF(L11=0,0,L11/TrAvia_act!L19*100)</f>
        <v>260.63742097536459</v>
      </c>
      <c r="M23" s="101">
        <f>IF(M11=0,0,M11/TrAvia_act!M19*100)</f>
        <v>460.84413435343976</v>
      </c>
      <c r="N23" s="101">
        <f>IF(N11=0,0,N11/TrAvia_act!N19*100)</f>
        <v>479.71355379189805</v>
      </c>
      <c r="O23" s="101">
        <f>IF(O11=0,0,O11/TrAvia_act!O19*100)</f>
        <v>469.95896143278532</v>
      </c>
      <c r="P23" s="101">
        <f>IF(P11=0,0,P11/TrAvia_act!P19*100)</f>
        <v>455.31379089745451</v>
      </c>
      <c r="Q23" s="101">
        <f>IF(Q11=0,0,Q11/TrAvia_act!Q19*100)</f>
        <v>458.4522178277677</v>
      </c>
      <c r="R23" s="101">
        <f>IF(R11=0,0,R11/TrAvia_act!R19*100)</f>
        <v>466.15378171323806</v>
      </c>
      <c r="S23" s="101">
        <f>IF(S11=0,0,S11/TrAvia_act!S19*100)</f>
        <v>457.09542108162412</v>
      </c>
      <c r="T23" s="101">
        <f>IF(T11=0,0,T11/TrAvia_act!T19*100)</f>
        <v>458.14719932685222</v>
      </c>
      <c r="U23" s="101">
        <f>IF(U11=0,0,U11/TrAvia_act!U19*100)</f>
        <v>450.46890825656124</v>
      </c>
      <c r="V23" s="101">
        <f>IF(V11=0,0,V11/TrAvia_act!V19*100)</f>
        <v>504.19337130086654</v>
      </c>
      <c r="W23" s="101">
        <f>IF(W11=0,0,W11/TrAvia_act!W19*100)</f>
        <v>556.89842939619768</v>
      </c>
      <c r="X23" s="101">
        <f>IF(X11=0,0,X11/TrAvia_act!X19*100)</f>
        <v>477.52640525272272</v>
      </c>
      <c r="Y23" s="101">
        <f>IF(Y11=0,0,Y11/TrAvia_act!Y19*100)</f>
        <v>461.69578391702402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462.53401663969703</v>
      </c>
      <c r="C24" s="101">
        <f>IF(C12=0,0,C12/TrAvia_act!C20*100)</f>
        <v>462.0179448954504</v>
      </c>
      <c r="D24" s="101">
        <f>IF(D12=0,0,D12/TrAvia_act!D20*100)</f>
        <v>461.69482819211379</v>
      </c>
      <c r="E24" s="101">
        <f>IF(E12=0,0,E12/TrAvia_act!E20*100)</f>
        <v>441.41487147352132</v>
      </c>
      <c r="F24" s="101">
        <f>IF(F12=0,0,F12/TrAvia_act!F20*100)</f>
        <v>451.71415523192059</v>
      </c>
      <c r="G24" s="101">
        <f>IF(G12=0,0,G12/TrAvia_act!G20*100)</f>
        <v>453.74563444070424</v>
      </c>
      <c r="H24" s="101">
        <f>IF(H12=0,0,H12/TrAvia_act!H20*100)</f>
        <v>455.62863088055548</v>
      </c>
      <c r="I24" s="101">
        <f>IF(I12=0,0,I12/TrAvia_act!I20*100)</f>
        <v>451.01696342780286</v>
      </c>
      <c r="J24" s="101">
        <f>IF(J12=0,0,J12/TrAvia_act!J20*100)</f>
        <v>431.94142323409415</v>
      </c>
      <c r="K24" s="101">
        <f>IF(K12=0,0,K12/TrAvia_act!K20*100)</f>
        <v>417.19966587581212</v>
      </c>
      <c r="L24" s="101">
        <f>IF(L12=0,0,L12/TrAvia_act!L20*100)</f>
        <v>459.0142716847472</v>
      </c>
      <c r="M24" s="101">
        <f>IF(M12=0,0,M12/TrAvia_act!M20*100)</f>
        <v>433.15851932656295</v>
      </c>
      <c r="N24" s="101">
        <f>IF(N12=0,0,N12/TrAvia_act!N20*100)</f>
        <v>419.77599597269472</v>
      </c>
      <c r="O24" s="101">
        <f>IF(O12=0,0,O12/TrAvia_act!O20*100)</f>
        <v>433.88423767509579</v>
      </c>
      <c r="P24" s="101">
        <f>IF(P12=0,0,P12/TrAvia_act!P20*100)</f>
        <v>426.98735635524116</v>
      </c>
      <c r="Q24" s="101">
        <f>IF(Q12=0,0,Q12/TrAvia_act!Q20*100)</f>
        <v>440.87640786767076</v>
      </c>
      <c r="R24" s="101">
        <f>IF(R12=0,0,R12/TrAvia_act!R20*100)</f>
        <v>440.42914328353771</v>
      </c>
      <c r="S24" s="101">
        <f>IF(S12=0,0,S12/TrAvia_act!S20*100)</f>
        <v>453.60179541584455</v>
      </c>
      <c r="T24" s="101">
        <f>IF(T12=0,0,T12/TrAvia_act!T20*100)</f>
        <v>456.46113357741564</v>
      </c>
      <c r="U24" s="101">
        <f>IF(U12=0,0,U12/TrAvia_act!U20*100)</f>
        <v>453.78424776848749</v>
      </c>
      <c r="V24" s="101">
        <f>IF(V12=0,0,V12/TrAvia_act!V20*100)</f>
        <v>383.7700248193338</v>
      </c>
      <c r="W24" s="101">
        <f>IF(W12=0,0,W12/TrAvia_act!W20*100)</f>
        <v>342.61588736822347</v>
      </c>
      <c r="X24" s="101">
        <f>IF(X12=0,0,X12/TrAvia_act!X20*100)</f>
        <v>421.39851644549287</v>
      </c>
      <c r="Y24" s="101">
        <f>IF(Y12=0,0,Y12/TrAvia_act!Y20*100)</f>
        <v>413.36078713375571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578.6880149815878</v>
      </c>
      <c r="C25" s="88">
        <f>IF(C13=0,0,C13/TrAvia_act!C21*100)</f>
        <v>578.57814491874262</v>
      </c>
      <c r="D25" s="88">
        <f>IF(D13=0,0,D13/TrAvia_act!D21*100)</f>
        <v>577.81431436819946</v>
      </c>
      <c r="E25" s="88">
        <f>IF(E13=0,0,E13/TrAvia_act!E21*100)</f>
        <v>552.52986616138003</v>
      </c>
      <c r="F25" s="88">
        <f>IF(F13=0,0,F13/TrAvia_act!F21*100)</f>
        <v>567.07554079161093</v>
      </c>
      <c r="G25" s="88">
        <f>IF(G13=0,0,G13/TrAvia_act!G21*100)</f>
        <v>551.66866049034627</v>
      </c>
      <c r="H25" s="88">
        <f>IF(H13=0,0,H13/TrAvia_act!H21*100)</f>
        <v>559.83175236638363</v>
      </c>
      <c r="I25" s="88">
        <f>IF(I13=0,0,I13/TrAvia_act!I21*100)</f>
        <v>545.56609811096837</v>
      </c>
      <c r="J25" s="88">
        <f>IF(J13=0,0,J13/TrAvia_act!J21*100)</f>
        <v>568.84893408574919</v>
      </c>
      <c r="K25" s="88">
        <f>IF(K13=0,0,K13/TrAvia_act!K21*100)</f>
        <v>574.00311452835979</v>
      </c>
      <c r="L25" s="88">
        <f>IF(L13=0,0,L13/TrAvia_act!L21*100)</f>
        <v>657.9883757421112</v>
      </c>
      <c r="M25" s="88">
        <f>IF(M13=0,0,M13/TrAvia_act!M21*100)</f>
        <v>570.02738596363076</v>
      </c>
      <c r="N25" s="88">
        <f>IF(N13=0,0,N13/TrAvia_act!N21*100)</f>
        <v>669.52318749905237</v>
      </c>
      <c r="O25" s="88">
        <f>IF(O13=0,0,O13/TrAvia_act!O21*100)</f>
        <v>660.31851069246807</v>
      </c>
      <c r="P25" s="88">
        <f>IF(P13=0,0,P13/TrAvia_act!P21*100)</f>
        <v>593.41758565033251</v>
      </c>
      <c r="Q25" s="88">
        <f>IF(Q13=0,0,Q13/TrAvia_act!Q21*100)</f>
        <v>650.90026664517154</v>
      </c>
      <c r="R25" s="88">
        <f>IF(R13=0,0,R13/TrAvia_act!R21*100)</f>
        <v>650.25524220074817</v>
      </c>
      <c r="S25" s="88">
        <f>IF(S13=0,0,S13/TrAvia_act!S21*100)</f>
        <v>657.63694822959349</v>
      </c>
      <c r="T25" s="88">
        <f>IF(T13=0,0,T13/TrAvia_act!T21*100)</f>
        <v>643.23545511065902</v>
      </c>
      <c r="U25" s="88">
        <f>IF(U13=0,0,U13/TrAvia_act!U21*100)</f>
        <v>655.95298990547781</v>
      </c>
      <c r="V25" s="88">
        <f>IF(V13=0,0,V13/TrAvia_act!V21*100)</f>
        <v>738.76875722066245</v>
      </c>
      <c r="W25" s="88">
        <f>IF(W13=0,0,W13/TrAvia_act!W21*100)</f>
        <v>684.73894658595566</v>
      </c>
      <c r="X25" s="88">
        <f>IF(X13=0,0,X13/TrAvia_act!X21*100)</f>
        <v>671.87352146034368</v>
      </c>
      <c r="Y25" s="88">
        <f>IF(Y13=0,0,Y13/TrAvia_act!Y21*100)</f>
        <v>599.87165211248703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49.287605220703576</v>
      </c>
      <c r="C28" s="14">
        <f>IF(C6=0,0,C6/TrAvia_act!C4*1000)</f>
        <v>48.340280977666495</v>
      </c>
      <c r="D28" s="14">
        <f>IF(D6=0,0,D6/TrAvia_act!D4*1000)</f>
        <v>46.796808922056044</v>
      </c>
      <c r="E28" s="14">
        <f>IF(E6=0,0,E6/TrAvia_act!E4*1000)</f>
        <v>45.524234469802948</v>
      </c>
      <c r="F28" s="14">
        <f>IF(F6=0,0,F6/TrAvia_act!F4*1000)</f>
        <v>43.967164078876799</v>
      </c>
      <c r="G28" s="14">
        <f>IF(G6=0,0,G6/TrAvia_act!G4*1000)</f>
        <v>41.574602767777215</v>
      </c>
      <c r="H28" s="14">
        <f>IF(H6=0,0,H6/TrAvia_act!H4*1000)</f>
        <v>42.132783051375817</v>
      </c>
      <c r="I28" s="14">
        <f>IF(I6=0,0,I6/TrAvia_act!I4*1000)</f>
        <v>41.506152896924441</v>
      </c>
      <c r="J28" s="14">
        <f>IF(J6=0,0,J6/TrAvia_act!J4*1000)</f>
        <v>41.381747358736135</v>
      </c>
      <c r="K28" s="14">
        <f>IF(K6=0,0,K6/TrAvia_act!K4*1000)</f>
        <v>39.503321333830677</v>
      </c>
      <c r="L28" s="14">
        <f>IF(L6=0,0,L6/TrAvia_act!L4*1000)</f>
        <v>38.871035481388681</v>
      </c>
      <c r="M28" s="14">
        <f>IF(M6=0,0,M6/TrAvia_act!M4*1000)</f>
        <v>39.920897903329596</v>
      </c>
      <c r="N28" s="14">
        <f>IF(N6=0,0,N6/TrAvia_act!N4*1000)</f>
        <v>39.42163601554288</v>
      </c>
      <c r="O28" s="14">
        <f>IF(O6=0,0,O6/TrAvia_act!O4*1000)</f>
        <v>37.964502366604165</v>
      </c>
      <c r="P28" s="14">
        <f>IF(P6=0,0,P6/TrAvia_act!P4*1000)</f>
        <v>35.714012654234658</v>
      </c>
      <c r="Q28" s="14">
        <f>IF(Q6=0,0,Q6/TrAvia_act!Q4*1000)</f>
        <v>36.814395323320248</v>
      </c>
      <c r="R28" s="14">
        <f>IF(R6=0,0,R6/TrAvia_act!R4*1000)</f>
        <v>36.605658255103315</v>
      </c>
      <c r="S28" s="14">
        <f>IF(S6=0,0,S6/TrAvia_act!S4*1000)</f>
        <v>35.325040929951783</v>
      </c>
      <c r="T28" s="14">
        <f>IF(T6=0,0,T6/TrAvia_act!T4*1000)</f>
        <v>34.341150679665773</v>
      </c>
      <c r="U28" s="14">
        <f>IF(U6=0,0,U6/TrAvia_act!U4*1000)</f>
        <v>34.306068361225108</v>
      </c>
      <c r="V28" s="14">
        <f>IF(V6=0,0,V6/TrAvia_act!V4*1000)</f>
        <v>44.908152748875921</v>
      </c>
      <c r="W28" s="14">
        <f>IF(W6=0,0,W6/TrAvia_act!W4*1000)</f>
        <v>42.757016023153916</v>
      </c>
      <c r="X28" s="14">
        <f>IF(X6=0,0,X6/TrAvia_act!X4*1000)</f>
        <v>35.235184207935141</v>
      </c>
      <c r="Y28" s="14">
        <f>IF(Y6=0,0,Y6/TrAvia_act!Y4*1000)</f>
        <v>31.012418409284667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47.716390518745634</v>
      </c>
      <c r="C29" s="87">
        <f>IF(C7=0,0,C7/TrAvia_act!C5*1000)</f>
        <v>46.627863857589603</v>
      </c>
      <c r="D29" s="87">
        <f>IF(D7=0,0,D7/TrAvia_act!D5*1000)</f>
        <v>41.800206472153285</v>
      </c>
      <c r="E29" s="87">
        <f>IF(E7=0,0,E7/TrAvia_act!E5*1000)</f>
        <v>40.697904414603357</v>
      </c>
      <c r="F29" s="87">
        <f>IF(F7=0,0,F7/TrAvia_act!F5*1000)</f>
        <v>39.15498349618327</v>
      </c>
      <c r="G29" s="87">
        <f>IF(G7=0,0,G7/TrAvia_act!G5*1000)</f>
        <v>38.867021915309394</v>
      </c>
      <c r="H29" s="87">
        <f>IF(H7=0,0,H7/TrAvia_act!H5*1000)</f>
        <v>38.488215565190771</v>
      </c>
      <c r="I29" s="87">
        <f>IF(I7=0,0,I7/TrAvia_act!I5*1000)</f>
        <v>37.450285791828414</v>
      </c>
      <c r="J29" s="87">
        <f>IF(J7=0,0,J7/TrAvia_act!J5*1000)</f>
        <v>38.385413233560037</v>
      </c>
      <c r="K29" s="87">
        <f>IF(K7=0,0,K7/TrAvia_act!K5*1000)</f>
        <v>35.553777773883482</v>
      </c>
      <c r="L29" s="87">
        <f>IF(L7=0,0,L7/TrAvia_act!L5*1000)</f>
        <v>33.610176814960056</v>
      </c>
      <c r="M29" s="87">
        <f>IF(M7=0,0,M7/TrAvia_act!M5*1000)</f>
        <v>58.420746405373492</v>
      </c>
      <c r="N29" s="87">
        <f>IF(N7=0,0,N7/TrAvia_act!N5*1000)</f>
        <v>59.289092070853563</v>
      </c>
      <c r="O29" s="87">
        <f>IF(O7=0,0,O7/TrAvia_act!O5*1000)</f>
        <v>56.496195422821167</v>
      </c>
      <c r="P29" s="87">
        <f>IF(P7=0,0,P7/TrAvia_act!P5*1000)</f>
        <v>53.548979131288931</v>
      </c>
      <c r="Q29" s="87">
        <f>IF(Q7=0,0,Q7/TrAvia_act!Q5*1000)</f>
        <v>52.942239969578161</v>
      </c>
      <c r="R29" s="87">
        <f>IF(R7=0,0,R7/TrAvia_act!R5*1000)</f>
        <v>52.704464101290917</v>
      </c>
      <c r="S29" s="87">
        <f>IF(S7=0,0,S7/TrAvia_act!S5*1000)</f>
        <v>50.907978909716896</v>
      </c>
      <c r="T29" s="87">
        <f>IF(T7=0,0,T7/TrAvia_act!T5*1000)</f>
        <v>50.071182703238158</v>
      </c>
      <c r="U29" s="87">
        <f>IF(U7=0,0,U7/TrAvia_act!U5*1000)</f>
        <v>49.436875006388838</v>
      </c>
      <c r="V29" s="87">
        <f>IF(V7=0,0,V7/TrAvia_act!V5*1000)</f>
        <v>56.495606480517083</v>
      </c>
      <c r="W29" s="87">
        <f>IF(W7=0,0,W7/TrAvia_act!W5*1000)</f>
        <v>52.239674664628161</v>
      </c>
      <c r="X29" s="87">
        <f>IF(X7=0,0,X7/TrAvia_act!X5*1000)</f>
        <v>49.792159910934295</v>
      </c>
      <c r="Y29" s="87">
        <f>IF(Y7=0,0,Y7/TrAvia_act!Y5*1000)</f>
        <v>45.830322905632883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56.053585386619616</v>
      </c>
      <c r="C30" s="87">
        <f>IF(C8=0,0,C8/TrAvia_act!C6*1000)</f>
        <v>54.798410079370427</v>
      </c>
      <c r="D30" s="87">
        <f>IF(D8=0,0,D8/TrAvia_act!D6*1000)</f>
        <v>54.136034289553521</v>
      </c>
      <c r="E30" s="87">
        <f>IF(E8=0,0,E8/TrAvia_act!E6*1000)</f>
        <v>51.007724981050707</v>
      </c>
      <c r="F30" s="87">
        <f>IF(F8=0,0,F8/TrAvia_act!F6*1000)</f>
        <v>50.485578678954255</v>
      </c>
      <c r="G30" s="87">
        <f>IF(G8=0,0,G8/TrAvia_act!G6*1000)</f>
        <v>48.310617269576916</v>
      </c>
      <c r="H30" s="87">
        <f>IF(H8=0,0,H8/TrAvia_act!H6*1000)</f>
        <v>49.764700532965186</v>
      </c>
      <c r="I30" s="87">
        <f>IF(I8=0,0,I8/TrAvia_act!I6*1000)</f>
        <v>50.335281208417335</v>
      </c>
      <c r="J30" s="87">
        <f>IF(J8=0,0,J8/TrAvia_act!J6*1000)</f>
        <v>49.695634386768305</v>
      </c>
      <c r="K30" s="87">
        <f>IF(K8=0,0,K8/TrAvia_act!K6*1000)</f>
        <v>46.427575041099743</v>
      </c>
      <c r="L30" s="87">
        <f>IF(L8=0,0,L8/TrAvia_act!L6*1000)</f>
        <v>45.538155987514585</v>
      </c>
      <c r="M30" s="87">
        <f>IF(M8=0,0,M8/TrAvia_act!M6*1000)</f>
        <v>41.589746864848799</v>
      </c>
      <c r="N30" s="87">
        <f>IF(N8=0,0,N8/TrAvia_act!N6*1000)</f>
        <v>38.65522030988673</v>
      </c>
      <c r="O30" s="87">
        <f>IF(O8=0,0,O8/TrAvia_act!O6*1000)</f>
        <v>37.728279285531322</v>
      </c>
      <c r="P30" s="87">
        <f>IF(P8=0,0,P8/TrAvia_act!P6*1000)</f>
        <v>35.660881534143826</v>
      </c>
      <c r="Q30" s="87">
        <f>IF(Q8=0,0,Q8/TrAvia_act!Q6*1000)</f>
        <v>35.969670676825672</v>
      </c>
      <c r="R30" s="87">
        <f>IF(R8=0,0,R8/TrAvia_act!R6*1000)</f>
        <v>35.4442448124355</v>
      </c>
      <c r="S30" s="87">
        <f>IF(S8=0,0,S8/TrAvia_act!S6*1000)</f>
        <v>34.828077257667033</v>
      </c>
      <c r="T30" s="87">
        <f>IF(T8=0,0,T8/TrAvia_act!T6*1000)</f>
        <v>33.897800869654958</v>
      </c>
      <c r="U30" s="87">
        <f>IF(U8=0,0,U8/TrAvia_act!U6*1000)</f>
        <v>33.237843862624018</v>
      </c>
      <c r="V30" s="87">
        <f>IF(V8=0,0,V8/TrAvia_act!V6*1000)</f>
        <v>33.487339969706568</v>
      </c>
      <c r="W30" s="87">
        <f>IF(W8=0,0,W8/TrAvia_act!W6*1000)</f>
        <v>29.150634488661971</v>
      </c>
      <c r="X30" s="87">
        <f>IF(X8=0,0,X8/TrAvia_act!X6*1000)</f>
        <v>31.136888907188247</v>
      </c>
      <c r="Y30" s="87">
        <f>IF(Y8=0,0,Y8/TrAvia_act!Y6*1000)</f>
        <v>29.57006579439161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47.638175608125039</v>
      </c>
      <c r="C31" s="87">
        <f>IF(C9=0,0,C9/TrAvia_act!C7*1000)</f>
        <v>46.827744958430181</v>
      </c>
      <c r="D31" s="87">
        <f>IF(D9=0,0,D9/TrAvia_act!D7*1000)</f>
        <v>46.008647495679917</v>
      </c>
      <c r="E31" s="87">
        <f>IF(E9=0,0,E9/TrAvia_act!E7*1000)</f>
        <v>45.176189341523511</v>
      </c>
      <c r="F31" s="87">
        <f>IF(F9=0,0,F9/TrAvia_act!F7*1000)</f>
        <v>43.258606470261711</v>
      </c>
      <c r="G31" s="87">
        <f>IF(G9=0,0,G9/TrAvia_act!G7*1000)</f>
        <v>40.278937663910227</v>
      </c>
      <c r="H31" s="87">
        <f>IF(H9=0,0,H9/TrAvia_act!H7*1000)</f>
        <v>40.766809808763398</v>
      </c>
      <c r="I31" s="87">
        <f>IF(I9=0,0,I9/TrAvia_act!I7*1000)</f>
        <v>39.891671306214015</v>
      </c>
      <c r="J31" s="87">
        <f>IF(J9=0,0,J9/TrAvia_act!J7*1000)</f>
        <v>39.706169290231671</v>
      </c>
      <c r="K31" s="87">
        <f>IF(K9=0,0,K9/TrAvia_act!K7*1000)</f>
        <v>38.519320599151492</v>
      </c>
      <c r="L31" s="87">
        <f>IF(L9=0,0,L9/TrAvia_act!L7*1000)</f>
        <v>38.301830659408246</v>
      </c>
      <c r="M31" s="87">
        <f>IF(M9=0,0,M9/TrAvia_act!M7*1000)</f>
        <v>35.148166769295905</v>
      </c>
      <c r="N31" s="87">
        <f>IF(N9=0,0,N9/TrAvia_act!N7*1000)</f>
        <v>34.975982017392425</v>
      </c>
      <c r="O31" s="87">
        <f>IF(O9=0,0,O9/TrAvia_act!O7*1000)</f>
        <v>33.690977625128255</v>
      </c>
      <c r="P31" s="87">
        <f>IF(P9=0,0,P9/TrAvia_act!P7*1000)</f>
        <v>31.752133986630813</v>
      </c>
      <c r="Q31" s="87">
        <f>IF(Q9=0,0,Q9/TrAvia_act!Q7*1000)</f>
        <v>33.438366242736656</v>
      </c>
      <c r="R31" s="87">
        <f>IF(R9=0,0,R9/TrAvia_act!R7*1000)</f>
        <v>33.165107797100546</v>
      </c>
      <c r="S31" s="87">
        <f>IF(S9=0,0,S9/TrAvia_act!S7*1000)</f>
        <v>31.727673479261068</v>
      </c>
      <c r="T31" s="87">
        <f>IF(T9=0,0,T9/TrAvia_act!T7*1000)</f>
        <v>30.726839679046513</v>
      </c>
      <c r="U31" s="87">
        <f>IF(U9=0,0,U9/TrAvia_act!U7*1000)</f>
        <v>31.124449366054197</v>
      </c>
      <c r="V31" s="87">
        <f>IF(V9=0,0,V9/TrAvia_act!V7*1000)</f>
        <v>43.514968545327783</v>
      </c>
      <c r="W31" s="87">
        <f>IF(W9=0,0,W9/TrAvia_act!W7*1000)</f>
        <v>43.484260802524119</v>
      </c>
      <c r="X31" s="87">
        <f>IF(X9=0,0,X9/TrAvia_act!X7*1000)</f>
        <v>32.23549378336255</v>
      </c>
      <c r="Y31" s="87">
        <f>IF(Y9=0,0,Y9/TrAvia_act!Y7*1000)</f>
        <v>28.040162148248516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86.073786789803464</v>
      </c>
      <c r="C32" s="15">
        <f>IF(C10=0,0,C10/TrAvia_act!C8*1000)</f>
        <v>84.39551740556773</v>
      </c>
      <c r="D32" s="15">
        <f>IF(D10=0,0,D10/TrAvia_act!D8*1000)</f>
        <v>86.017193082178267</v>
      </c>
      <c r="E32" s="15">
        <f>IF(E10=0,0,E10/TrAvia_act!E8*1000)</f>
        <v>87.847629549945808</v>
      </c>
      <c r="F32" s="15">
        <f>IF(F10=0,0,F10/TrAvia_act!F8*1000)</f>
        <v>92.719901928191462</v>
      </c>
      <c r="G32" s="15">
        <f>IF(G10=0,0,G10/TrAvia_act!G8*1000)</f>
        <v>95.301063975996854</v>
      </c>
      <c r="H32" s="15">
        <f>IF(H10=0,0,H10/TrAvia_act!H8*1000)</f>
        <v>99.65823208112937</v>
      </c>
      <c r="I32" s="15">
        <f>IF(I10=0,0,I10/TrAvia_act!I8*1000)</f>
        <v>98.324371737018012</v>
      </c>
      <c r="J32" s="15">
        <f>IF(J10=0,0,J10/TrAvia_act!J8*1000)</f>
        <v>102.92413806355714</v>
      </c>
      <c r="K32" s="15">
        <f>IF(K10=0,0,K10/TrAvia_act!K8*1000)</f>
        <v>93.360371742709319</v>
      </c>
      <c r="L32" s="15">
        <f>IF(L10=0,0,L10/TrAvia_act!L8*1000)</f>
        <v>103.05697630871657</v>
      </c>
      <c r="M32" s="15">
        <f>IF(M10=0,0,M10/TrAvia_act!M8*1000)</f>
        <v>87.810840022075269</v>
      </c>
      <c r="N32" s="15">
        <f>IF(N10=0,0,N10/TrAvia_act!N8*1000)</f>
        <v>92.489697575131729</v>
      </c>
      <c r="O32" s="15">
        <f>IF(O10=0,0,O10/TrAvia_act!O8*1000)</f>
        <v>90.450113769160581</v>
      </c>
      <c r="P32" s="15">
        <f>IF(P10=0,0,P10/TrAvia_act!P8*1000)</f>
        <v>71.797243053469785</v>
      </c>
      <c r="Q32" s="15">
        <f>IF(Q10=0,0,Q10/TrAvia_act!Q8*1000)</f>
        <v>77.92266773219535</v>
      </c>
      <c r="R32" s="15">
        <f>IF(R10=0,0,R10/TrAvia_act!R8*1000)</f>
        <v>71.651004368614849</v>
      </c>
      <c r="S32" s="15">
        <f>IF(S10=0,0,S10/TrAvia_act!S8*1000)</f>
        <v>74.100498825046571</v>
      </c>
      <c r="T32" s="15">
        <f>IF(T10=0,0,T10/TrAvia_act!T8*1000)</f>
        <v>70.855879683498415</v>
      </c>
      <c r="U32" s="15">
        <f>IF(U10=0,0,U10/TrAvia_act!U8*1000)</f>
        <v>69.349121050879347</v>
      </c>
      <c r="V32" s="15">
        <f>IF(V10=0,0,V10/TrAvia_act!V8*1000)</f>
        <v>112.38298053322582</v>
      </c>
      <c r="W32" s="15">
        <f>IF(W10=0,0,W10/TrAvia_act!W8*1000)</f>
        <v>109.85963026584056</v>
      </c>
      <c r="X32" s="15">
        <f>IF(X10=0,0,X10/TrAvia_act!X8*1000)</f>
        <v>95.21517278361236</v>
      </c>
      <c r="Y32" s="15">
        <f>IF(Y10=0,0,Y10/TrAvia_act!Y8*1000)</f>
        <v>82.102097620369221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359.18629001997454</v>
      </c>
      <c r="C33" s="101">
        <f>IF(C11=0,0,C11/TrAvia_act!C9*1000)</f>
        <v>358.52552885800242</v>
      </c>
      <c r="D33" s="101">
        <f>IF(D11=0,0,D11/TrAvia_act!D9*1000)</f>
        <v>316.79015242040265</v>
      </c>
      <c r="E33" s="101">
        <f>IF(E11=0,0,E11/TrAvia_act!E9*1000)</f>
        <v>286.55109817050891</v>
      </c>
      <c r="F33" s="101">
        <f>IF(F11=0,0,F11/TrAvia_act!F9*1000)</f>
        <v>312.10163332050547</v>
      </c>
      <c r="G33" s="101">
        <f>IF(G11=0,0,G11/TrAvia_act!G9*1000)</f>
        <v>320.26021191939611</v>
      </c>
      <c r="H33" s="101">
        <f>IF(H11=0,0,H11/TrAvia_act!H9*1000)</f>
        <v>308.32395002842924</v>
      </c>
      <c r="I33" s="101">
        <f>IF(I11=0,0,I11/TrAvia_act!I9*1000)</f>
        <v>289.91601980701319</v>
      </c>
      <c r="J33" s="101">
        <f>IF(J11=0,0,J11/TrAvia_act!J9*1000)</f>
        <v>287.19446614526629</v>
      </c>
      <c r="K33" s="101">
        <f>IF(K11=0,0,K11/TrAvia_act!K9*1000)</f>
        <v>254.34587188652975</v>
      </c>
      <c r="L33" s="101">
        <f>IF(L11=0,0,L11/TrAvia_act!L9*1000)</f>
        <v>242.10523297484772</v>
      </c>
      <c r="M33" s="101">
        <f>IF(M11=0,0,M11/TrAvia_act!M9*1000)</f>
        <v>390.94296880143855</v>
      </c>
      <c r="N33" s="101">
        <f>IF(N11=0,0,N11/TrAvia_act!N9*1000)</f>
        <v>401.90358093571786</v>
      </c>
      <c r="O33" s="101">
        <f>IF(O11=0,0,O11/TrAvia_act!O9*1000)</f>
        <v>384.73638897067138</v>
      </c>
      <c r="P33" s="101">
        <f>IF(P11=0,0,P11/TrAvia_act!P9*1000)</f>
        <v>333.1412253670232</v>
      </c>
      <c r="Q33" s="101">
        <f>IF(Q11=0,0,Q11/TrAvia_act!Q9*1000)</f>
        <v>327.08711738160309</v>
      </c>
      <c r="R33" s="101">
        <f>IF(R11=0,0,R11/TrAvia_act!R9*1000)</f>
        <v>290.0825101777711</v>
      </c>
      <c r="S33" s="101">
        <f>IF(S11=0,0,S11/TrAvia_act!S9*1000)</f>
        <v>309.18830492095935</v>
      </c>
      <c r="T33" s="101">
        <f>IF(T11=0,0,T11/TrAvia_act!T9*1000)</f>
        <v>303.74345029841169</v>
      </c>
      <c r="U33" s="101">
        <f>IF(U11=0,0,U11/TrAvia_act!U9*1000)</f>
        <v>271.01546307913384</v>
      </c>
      <c r="V33" s="101">
        <f>IF(V11=0,0,V11/TrAvia_act!V9*1000)</f>
        <v>328.42443106409246</v>
      </c>
      <c r="W33" s="101">
        <f>IF(W11=0,0,W11/TrAvia_act!W9*1000)</f>
        <v>356.69831310531646</v>
      </c>
      <c r="X33" s="101">
        <f>IF(X11=0,0,X11/TrAvia_act!X9*1000)</f>
        <v>303.51348583631852</v>
      </c>
      <c r="Y33" s="101">
        <f>IF(Y11=0,0,Y11/TrAvia_act!Y9*1000)</f>
        <v>296.77567607115145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183.91571125194224</v>
      </c>
      <c r="C34" s="101">
        <f>IF(C12=0,0,C12/TrAvia_act!C10*1000)</f>
        <v>176.26039201889816</v>
      </c>
      <c r="D34" s="101">
        <f>IF(D12=0,0,D12/TrAvia_act!D10*1000)</f>
        <v>187.77632070642409</v>
      </c>
      <c r="E34" s="101">
        <f>IF(E12=0,0,E12/TrAvia_act!E10*1000)</f>
        <v>175.92910684716384</v>
      </c>
      <c r="F34" s="101">
        <f>IF(F12=0,0,F12/TrAvia_act!F10*1000)</f>
        <v>196.74438864820283</v>
      </c>
      <c r="G34" s="101">
        <f>IF(G12=0,0,G12/TrAvia_act!G10*1000)</f>
        <v>202.21952078609851</v>
      </c>
      <c r="H34" s="101">
        <f>IF(H12=0,0,H12/TrAvia_act!H10*1000)</f>
        <v>242.15436839680601</v>
      </c>
      <c r="I34" s="101">
        <f>IF(I12=0,0,I12/TrAvia_act!I10*1000)</f>
        <v>248.9292884493841</v>
      </c>
      <c r="J34" s="101">
        <f>IF(J12=0,0,J12/TrAvia_act!J10*1000)</f>
        <v>245.47934284391127</v>
      </c>
      <c r="K34" s="101">
        <f>IF(K12=0,0,K12/TrAvia_act!K10*1000)</f>
        <v>231.26305996146925</v>
      </c>
      <c r="L34" s="101">
        <f>IF(L12=0,0,L12/TrAvia_act!L10*1000)</f>
        <v>253.13390239791505</v>
      </c>
      <c r="M34" s="101">
        <f>IF(M12=0,0,M12/TrAvia_act!M10*1000)</f>
        <v>226.68443026647071</v>
      </c>
      <c r="N34" s="101">
        <f>IF(N12=0,0,N12/TrAvia_act!N10*1000)</f>
        <v>201.24909276918356</v>
      </c>
      <c r="O34" s="101">
        <f>IF(O12=0,0,O12/TrAvia_act!O10*1000)</f>
        <v>207.92315295596327</v>
      </c>
      <c r="P34" s="101">
        <f>IF(P12=0,0,P12/TrAvia_act!P10*1000)</f>
        <v>177.1829900645491</v>
      </c>
      <c r="Q34" s="101">
        <f>IF(Q12=0,0,Q12/TrAvia_act!Q10*1000)</f>
        <v>183.6406083140034</v>
      </c>
      <c r="R34" s="101">
        <f>IF(R12=0,0,R12/TrAvia_act!R10*1000)</f>
        <v>166.59649164688267</v>
      </c>
      <c r="S34" s="101">
        <f>IF(S12=0,0,S12/TrAvia_act!S10*1000)</f>
        <v>188.20729359883254</v>
      </c>
      <c r="T34" s="101">
        <f>IF(T12=0,0,T12/TrAvia_act!T10*1000)</f>
        <v>186.80279396353231</v>
      </c>
      <c r="U34" s="101">
        <f>IF(U12=0,0,U12/TrAvia_act!U10*1000)</f>
        <v>177.30600458935379</v>
      </c>
      <c r="V34" s="101">
        <f>IF(V12=0,0,V12/TrAvia_act!V10*1000)</f>
        <v>173.89583690977912</v>
      </c>
      <c r="W34" s="101">
        <f>IF(W12=0,0,W12/TrAvia_act!W10*1000)</f>
        <v>159.15097139168401</v>
      </c>
      <c r="X34" s="101">
        <f>IF(X12=0,0,X12/TrAvia_act!X10*1000)</f>
        <v>197.84246343279511</v>
      </c>
      <c r="Y34" s="101">
        <f>IF(Y12=0,0,Y12/TrAvia_act!Y10*1000)</f>
        <v>194.5625161625203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73.496584348875842</v>
      </c>
      <c r="C35" s="88">
        <f>IF(C13=0,0,C13/TrAvia_act!C11*1000)</f>
        <v>70.122328128331077</v>
      </c>
      <c r="D35" s="88">
        <f>IF(D13=0,0,D13/TrAvia_act!D11*1000)</f>
        <v>74.170015102282761</v>
      </c>
      <c r="E35" s="88">
        <f>IF(E13=0,0,E13/TrAvia_act!E11*1000)</f>
        <v>78.056695711953253</v>
      </c>
      <c r="F35" s="88">
        <f>IF(F13=0,0,F13/TrAvia_act!F11*1000)</f>
        <v>82.540105558786308</v>
      </c>
      <c r="G35" s="88">
        <f>IF(G13=0,0,G13/TrAvia_act!G11*1000)</f>
        <v>85.384442462783909</v>
      </c>
      <c r="H35" s="88">
        <f>IF(H13=0,0,H13/TrAvia_act!H11*1000)</f>
        <v>89.631846247926262</v>
      </c>
      <c r="I35" s="88">
        <f>IF(I13=0,0,I13/TrAvia_act!I11*1000)</f>
        <v>88.829703331178038</v>
      </c>
      <c r="J35" s="88">
        <f>IF(J13=0,0,J13/TrAvia_act!J11*1000)</f>
        <v>94.525142104064898</v>
      </c>
      <c r="K35" s="88">
        <f>IF(K13=0,0,K13/TrAvia_act!K11*1000)</f>
        <v>84.573053919548173</v>
      </c>
      <c r="L35" s="88">
        <f>IF(L13=0,0,L13/TrAvia_act!L11*1000)</f>
        <v>95.365641328775936</v>
      </c>
      <c r="M35" s="88">
        <f>IF(M13=0,0,M13/TrAvia_act!M11*1000)</f>
        <v>78.16656094064578</v>
      </c>
      <c r="N35" s="88">
        <f>IF(N13=0,0,N13/TrAvia_act!N11*1000)</f>
        <v>83.291625078049037</v>
      </c>
      <c r="O35" s="88">
        <f>IF(O13=0,0,O13/TrAvia_act!O11*1000)</f>
        <v>80.630617012920524</v>
      </c>
      <c r="P35" s="88">
        <f>IF(P13=0,0,P13/TrAvia_act!P11*1000)</f>
        <v>63.361847868174173</v>
      </c>
      <c r="Q35" s="88">
        <f>IF(Q13=0,0,Q13/TrAvia_act!Q11*1000)</f>
        <v>69.624928386903449</v>
      </c>
      <c r="R35" s="88">
        <f>IF(R13=0,0,R13/TrAvia_act!R11*1000)</f>
        <v>64.004569161896271</v>
      </c>
      <c r="S35" s="88">
        <f>IF(S13=0,0,S13/TrAvia_act!S11*1000)</f>
        <v>65.604672449327168</v>
      </c>
      <c r="T35" s="88">
        <f>IF(T13=0,0,T13/TrAvia_act!T11*1000)</f>
        <v>62.998769896863898</v>
      </c>
      <c r="U35" s="88">
        <f>IF(U13=0,0,U13/TrAvia_act!U11*1000)</f>
        <v>61.474711948977379</v>
      </c>
      <c r="V35" s="88">
        <f>IF(V13=0,0,V13/TrAvia_act!V11*1000)</f>
        <v>104.91135641093365</v>
      </c>
      <c r="W35" s="88">
        <f>IF(W13=0,0,W13/TrAvia_act!W11*1000)</f>
        <v>101.19412089756204</v>
      </c>
      <c r="X35" s="88">
        <f>IF(X13=0,0,X13/TrAvia_act!X11*1000)</f>
        <v>85.945510841727838</v>
      </c>
      <c r="Y35" s="88">
        <f>IF(Y13=0,0,Y13/TrAvia_act!Y11*1000)</f>
        <v>71.54367962317977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7027.4173755763313</v>
      </c>
      <c r="C37" s="62">
        <f>IF(C3=0,0,C3/TrAvia_act!C23*1000000)</f>
        <v>6927.9506655873793</v>
      </c>
      <c r="D37" s="62">
        <f>IF(D3=0,0,D3/TrAvia_act!D23*1000000)</f>
        <v>6765.2654327372375</v>
      </c>
      <c r="E37" s="62">
        <f>IF(E3=0,0,E3/TrAvia_act!E23*1000000)</f>
        <v>6626.6525693548083</v>
      </c>
      <c r="F37" s="62">
        <f>IF(F3=0,0,F3/TrAvia_act!F23*1000000)</f>
        <v>7118.6552785884187</v>
      </c>
      <c r="G37" s="62">
        <f>IF(G3=0,0,G3/TrAvia_act!G23*1000000)</f>
        <v>7153.3404198215485</v>
      </c>
      <c r="H37" s="62">
        <f>IF(H3=0,0,H3/TrAvia_act!H23*1000000)</f>
        <v>7161.4567911961349</v>
      </c>
      <c r="I37" s="62">
        <f>IF(I3=0,0,I3/TrAvia_act!I23*1000000)</f>
        <v>7233.0140388200443</v>
      </c>
      <c r="J37" s="62">
        <f>IF(J3=0,0,J3/TrAvia_act!J23*1000000)</f>
        <v>7244.6331823612254</v>
      </c>
      <c r="K37" s="62">
        <f>IF(K3=0,0,K3/TrAvia_act!K23*1000000)</f>
        <v>7219.936734322142</v>
      </c>
      <c r="L37" s="62">
        <f>IF(L3=0,0,L3/TrAvia_act!L23*1000000)</f>
        <v>8193.289192278733</v>
      </c>
      <c r="M37" s="62">
        <f>IF(M3=0,0,M3/TrAvia_act!M23*1000000)</f>
        <v>8684.1190067361949</v>
      </c>
      <c r="N37" s="62">
        <f>IF(N3=0,0,N3/TrAvia_act!N23*1000000)</f>
        <v>8687.141609838458</v>
      </c>
      <c r="O37" s="62">
        <f>IF(O3=0,0,O3/TrAvia_act!O23*1000000)</f>
        <v>8784.4905949315853</v>
      </c>
      <c r="P37" s="62">
        <f>IF(P3=0,0,P3/TrAvia_act!P23*1000000)</f>
        <v>8836.9866326541905</v>
      </c>
      <c r="Q37" s="62">
        <f>IF(Q3=0,0,Q3/TrAvia_act!Q23*1000000)</f>
        <v>9202.3427381972906</v>
      </c>
      <c r="R37" s="62">
        <f>IF(R3=0,0,R3/TrAvia_act!R23*1000000)</f>
        <v>9067.7512186739405</v>
      </c>
      <c r="S37" s="62">
        <f>IF(S3=0,0,S3/TrAvia_act!S23*1000000)</f>
        <v>9105.752189758894</v>
      </c>
      <c r="T37" s="62">
        <f>IF(T3=0,0,T3/TrAvia_act!T23*1000000)</f>
        <v>9424.9240872826667</v>
      </c>
      <c r="U37" s="62">
        <f>IF(U3=0,0,U3/TrAvia_act!U23*1000000)</f>
        <v>9652.2344623957651</v>
      </c>
      <c r="V37" s="62">
        <f>IF(V3=0,0,V3/TrAvia_act!V23*1000000)</f>
        <v>10551.564298525545</v>
      </c>
      <c r="W37" s="62">
        <f>IF(W3=0,0,W3/TrAvia_act!W23*1000000)</f>
        <v>9494.6328349535579</v>
      </c>
      <c r="X37" s="62">
        <f>IF(X3=0,0,X3/TrAvia_act!X23*1000000)</f>
        <v>9974.3779410468815</v>
      </c>
      <c r="Y37" s="62">
        <f>IF(Y3=0,0,Y3/TrAvia_act!Y23*1000000)</f>
        <v>9686.5843743553633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6801.1120727557636</v>
      </c>
      <c r="C38" s="14">
        <f>IF(C6=0,0,C6/TrAvia_act!C24*1000000)</f>
        <v>6727.2959415256155</v>
      </c>
      <c r="D38" s="14">
        <f>IF(D6=0,0,D6/TrAvia_act!D24*1000000)</f>
        <v>6548.8310271509245</v>
      </c>
      <c r="E38" s="14">
        <f>IF(E6=0,0,E6/TrAvia_act!E24*1000000)</f>
        <v>6390.6785014574934</v>
      </c>
      <c r="F38" s="14">
        <f>IF(F6=0,0,F6/TrAvia_act!F24*1000000)</f>
        <v>6861.8705312752681</v>
      </c>
      <c r="G38" s="14">
        <f>IF(G6=0,0,G6/TrAvia_act!G24*1000000)</f>
        <v>6885.3899617824291</v>
      </c>
      <c r="H38" s="14">
        <f>IF(H6=0,0,H6/TrAvia_act!H24*1000000)</f>
        <v>6905.8004334392044</v>
      </c>
      <c r="I38" s="14">
        <f>IF(I6=0,0,I6/TrAvia_act!I24*1000000)</f>
        <v>6982.8298086048353</v>
      </c>
      <c r="J38" s="14">
        <f>IF(J6=0,0,J6/TrAvia_act!J24*1000000)</f>
        <v>6982.4509200775856</v>
      </c>
      <c r="K38" s="14">
        <f>IF(K6=0,0,K6/TrAvia_act!K24*1000000)</f>
        <v>7042.5727851539968</v>
      </c>
      <c r="L38" s="14">
        <f>IF(L6=0,0,L6/TrAvia_act!L24*1000000)</f>
        <v>7928.761450407811</v>
      </c>
      <c r="M38" s="14">
        <f>IF(M6=0,0,M6/TrAvia_act!M24*1000000)</f>
        <v>8451.5987991525799</v>
      </c>
      <c r="N38" s="14">
        <f>IF(N6=0,0,N6/TrAvia_act!N24*1000000)</f>
        <v>8418.6669532629239</v>
      </c>
      <c r="O38" s="14">
        <f>IF(O6=0,0,O6/TrAvia_act!O24*1000000)</f>
        <v>8550.80522318373</v>
      </c>
      <c r="P38" s="14">
        <f>IF(P6=0,0,P6/TrAvia_act!P24*1000000)</f>
        <v>8598.2236112602604</v>
      </c>
      <c r="Q38" s="14">
        <f>IF(Q6=0,0,Q6/TrAvia_act!Q24*1000000)</f>
        <v>8935.3170065497852</v>
      </c>
      <c r="R38" s="14">
        <f>IF(R6=0,0,R6/TrAvia_act!R24*1000000)</f>
        <v>8834.0557767552582</v>
      </c>
      <c r="S38" s="14">
        <f>IF(S6=0,0,S6/TrAvia_act!S24*1000000)</f>
        <v>8876.1631842202842</v>
      </c>
      <c r="T38" s="14">
        <f>IF(T6=0,0,T6/TrAvia_act!T24*1000000)</f>
        <v>9206.9224416761772</v>
      </c>
      <c r="U38" s="14">
        <f>IF(U6=0,0,U6/TrAvia_act!U24*1000000)</f>
        <v>9474.04696963278</v>
      </c>
      <c r="V38" s="14">
        <f>IF(V6=0,0,V6/TrAvia_act!V24*1000000)</f>
        <v>9849.5942647400316</v>
      </c>
      <c r="W38" s="14">
        <f>IF(W6=0,0,W6/TrAvia_act!W24*1000000)</f>
        <v>8908.6314346461568</v>
      </c>
      <c r="X38" s="14">
        <f>IF(X6=0,0,X6/TrAvia_act!X24*1000000)</f>
        <v>9739.2343174908146</v>
      </c>
      <c r="Y38" s="14">
        <f>IF(Y6=0,0,Y6/TrAvia_act!Y24*1000000)</f>
        <v>9570.676224475761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2503.3528556745082</v>
      </c>
      <c r="C39" s="87">
        <f>IF(C7=0,0,C7/TrAvia_act!C25*1000000)</f>
        <v>2479.6915827481307</v>
      </c>
      <c r="D39" s="87">
        <f>IF(D7=0,0,D7/TrAvia_act!D25*1000000)</f>
        <v>2253.1023731768046</v>
      </c>
      <c r="E39" s="87">
        <f>IF(E7=0,0,E7/TrAvia_act!E25*1000000)</f>
        <v>2167.8420537051497</v>
      </c>
      <c r="F39" s="87">
        <f>IF(F7=0,0,F7/TrAvia_act!F25*1000000)</f>
        <v>2223.3744270287439</v>
      </c>
      <c r="G39" s="87">
        <f>IF(G7=0,0,G7/TrAvia_act!G25*1000000)</f>
        <v>2216.0870678017454</v>
      </c>
      <c r="H39" s="87">
        <f>IF(H7=0,0,H7/TrAvia_act!H25*1000000)</f>
        <v>2185.6269162046096</v>
      </c>
      <c r="I39" s="87">
        <f>IF(I7=0,0,I7/TrAvia_act!I25*1000000)</f>
        <v>2240.76720303398</v>
      </c>
      <c r="J39" s="87">
        <f>IF(J7=0,0,J7/TrAvia_act!J25*1000000)</f>
        <v>2263.254297464629</v>
      </c>
      <c r="K39" s="87">
        <f>IF(K7=0,0,K7/TrAvia_act!K25*1000000)</f>
        <v>2318.4841009707679</v>
      </c>
      <c r="L39" s="87">
        <f>IF(L7=0,0,L7/TrAvia_act!L25*1000000)</f>
        <v>2587.9649065944946</v>
      </c>
      <c r="M39" s="87">
        <f>IF(M7=0,0,M7/TrAvia_act!M25*1000000)</f>
        <v>4614.9638957854913</v>
      </c>
      <c r="N39" s="87">
        <f>IF(N7=0,0,N7/TrAvia_act!N25*1000000)</f>
        <v>4664.6520060546109</v>
      </c>
      <c r="O39" s="87">
        <f>IF(O7=0,0,O7/TrAvia_act!O25*1000000)</f>
        <v>4668.8562223574299</v>
      </c>
      <c r="P39" s="87">
        <f>IF(P7=0,0,P7/TrAvia_act!P25*1000000)</f>
        <v>4726.8317057062068</v>
      </c>
      <c r="Q39" s="87">
        <f>IF(Q7=0,0,Q7/TrAvia_act!Q25*1000000)</f>
        <v>4787.4841190935158</v>
      </c>
      <c r="R39" s="87">
        <f>IF(R7=0,0,R7/TrAvia_act!R25*1000000)</f>
        <v>4986.1518517230979</v>
      </c>
      <c r="S39" s="87">
        <f>IF(S7=0,0,S7/TrAvia_act!S25*1000000)</f>
        <v>5116.2806674021767</v>
      </c>
      <c r="T39" s="87">
        <f>IF(T7=0,0,T7/TrAvia_act!T25*1000000)</f>
        <v>5429.8366724413263</v>
      </c>
      <c r="U39" s="87">
        <f>IF(U7=0,0,U7/TrAvia_act!U25*1000000)</f>
        <v>5493.2066072854514</v>
      </c>
      <c r="V39" s="87">
        <f>IF(V7=0,0,V7/TrAvia_act!V25*1000000)</f>
        <v>6560.5270363715581</v>
      </c>
      <c r="W39" s="87">
        <f>IF(W7=0,0,W7/TrAvia_act!W25*1000000)</f>
        <v>6429.7100738043819</v>
      </c>
      <c r="X39" s="87">
        <f>IF(X7=0,0,X7/TrAvia_act!X25*1000000)</f>
        <v>7101.0466736393128</v>
      </c>
      <c r="Y39" s="87">
        <f>IF(Y7=0,0,Y7/TrAvia_act!Y25*1000000)</f>
        <v>6673.2578969951492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3988.7539641056678</v>
      </c>
      <c r="C40" s="87">
        <f>IF(C8=0,0,C8/TrAvia_act!C26*1000000)</f>
        <v>3987.9957717195775</v>
      </c>
      <c r="D40" s="87">
        <f>IF(D8=0,0,D8/TrAvia_act!D26*1000000)</f>
        <v>3982.7271401595535</v>
      </c>
      <c r="E40" s="87">
        <f>IF(E8=0,0,E8/TrAvia_act!E26*1000000)</f>
        <v>3822.2265897986681</v>
      </c>
      <c r="F40" s="87">
        <f>IF(F8=0,0,F8/TrAvia_act!F26*1000000)</f>
        <v>3941.1454421528033</v>
      </c>
      <c r="G40" s="87">
        <f>IF(G8=0,0,G8/TrAvia_act!G26*1000000)</f>
        <v>4000.3023278205892</v>
      </c>
      <c r="H40" s="87">
        <f>IF(H8=0,0,H8/TrAvia_act!H26*1000000)</f>
        <v>4034.6633208552348</v>
      </c>
      <c r="I40" s="87">
        <f>IF(I8=0,0,I8/TrAvia_act!I26*1000000)</f>
        <v>4085.0328900894792</v>
      </c>
      <c r="J40" s="87">
        <f>IF(J8=0,0,J8/TrAvia_act!J26*1000000)</f>
        <v>3977.6502022573359</v>
      </c>
      <c r="K40" s="87">
        <f>IF(K8=0,0,K8/TrAvia_act!K26*1000000)</f>
        <v>3889.7828565156974</v>
      </c>
      <c r="L40" s="87">
        <f>IF(L8=0,0,L8/TrAvia_act!L26*1000000)</f>
        <v>4288.794319095442</v>
      </c>
      <c r="M40" s="87">
        <f>IF(M8=0,0,M8/TrAvia_act!M26*1000000)</f>
        <v>4053.1396322027736</v>
      </c>
      <c r="N40" s="87">
        <f>IF(N8=0,0,N8/TrAvia_act!N26*1000000)</f>
        <v>3930.8840361239518</v>
      </c>
      <c r="O40" s="87">
        <f>IF(O8=0,0,O8/TrAvia_act!O26*1000000)</f>
        <v>4071.5520063579602</v>
      </c>
      <c r="P40" s="87">
        <f>IF(P8=0,0,P8/TrAvia_act!P26*1000000)</f>
        <v>4079.630532622919</v>
      </c>
      <c r="Q40" s="87">
        <f>IF(Q8=0,0,Q8/TrAvia_act!Q26*1000000)</f>
        <v>4227.7037888671357</v>
      </c>
      <c r="R40" s="87">
        <f>IF(R8=0,0,R8/TrAvia_act!R26*1000000)</f>
        <v>4245.5458880065562</v>
      </c>
      <c r="S40" s="87">
        <f>IF(S8=0,0,S8/TrAvia_act!S26*1000000)</f>
        <v>4376.4651726657303</v>
      </c>
      <c r="T40" s="87">
        <f>IF(T8=0,0,T8/TrAvia_act!T26*1000000)</f>
        <v>4448.2118781168456</v>
      </c>
      <c r="U40" s="87">
        <f>IF(U8=0,0,U8/TrAvia_act!U26*1000000)</f>
        <v>4432.201900140637</v>
      </c>
      <c r="V40" s="87">
        <f>IF(V8=0,0,V8/TrAvia_act!V26*1000000)</f>
        <v>3755.4896247935608</v>
      </c>
      <c r="W40" s="87">
        <f>IF(W8=0,0,W8/TrAvia_act!W26*1000000)</f>
        <v>3613.2839978781749</v>
      </c>
      <c r="X40" s="87">
        <f>IF(X8=0,0,X8/TrAvia_act!X26*1000000)</f>
        <v>4357.1699853508735</v>
      </c>
      <c r="Y40" s="87">
        <f>IF(Y8=0,0,Y8/TrAvia_act!Y26*1000000)</f>
        <v>4289.8104447515843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25848.874974544931</v>
      </c>
      <c r="C41" s="87">
        <f>IF(C9=0,0,C9/TrAvia_act!C27*1000000)</f>
        <v>25843.967291226105</v>
      </c>
      <c r="D41" s="87">
        <f>IF(D9=0,0,D9/TrAvia_act!D27*1000000)</f>
        <v>25809.848457084776</v>
      </c>
      <c r="E41" s="87">
        <f>IF(E9=0,0,E9/TrAvia_act!E27*1000000)</f>
        <v>24680.441032741928</v>
      </c>
      <c r="F41" s="87">
        <f>IF(F9=0,0,F9/TrAvia_act!F27*1000000)</f>
        <v>25330.168200409666</v>
      </c>
      <c r="G41" s="87">
        <f>IF(G9=0,0,G9/TrAvia_act!G27*1000000)</f>
        <v>24350.932973380059</v>
      </c>
      <c r="H41" s="87">
        <f>IF(H9=0,0,H9/TrAvia_act!H27*1000000)</f>
        <v>24482.64657322819</v>
      </c>
      <c r="I41" s="87">
        <f>IF(I9=0,0,I9/TrAvia_act!I27*1000000)</f>
        <v>23736.708426585017</v>
      </c>
      <c r="J41" s="87">
        <f>IF(J9=0,0,J9/TrAvia_act!J27*1000000)</f>
        <v>23791.921707647394</v>
      </c>
      <c r="K41" s="87">
        <f>IF(K9=0,0,K9/TrAvia_act!K27*1000000)</f>
        <v>23994.135701017451</v>
      </c>
      <c r="L41" s="87">
        <f>IF(L9=0,0,L9/TrAvia_act!L27*1000000)</f>
        <v>26489.828053472589</v>
      </c>
      <c r="M41" s="87">
        <f>IF(M9=0,0,M9/TrAvia_act!M27*1000000)</f>
        <v>26129.038834807059</v>
      </c>
      <c r="N41" s="87">
        <f>IF(N9=0,0,N9/TrAvia_act!N27*1000000)</f>
        <v>26824.803562766898</v>
      </c>
      <c r="O41" s="87">
        <f>IF(O9=0,0,O9/TrAvia_act!O27*1000000)</f>
        <v>26401.152696229827</v>
      </c>
      <c r="P41" s="87">
        <f>IF(P9=0,0,P9/TrAvia_act!P27*1000000)</f>
        <v>25557.501114522282</v>
      </c>
      <c r="Q41" s="87">
        <f>IF(Q9=0,0,Q9/TrAvia_act!Q27*1000000)</f>
        <v>26851.016982438137</v>
      </c>
      <c r="R41" s="87">
        <f>IF(R9=0,0,R9/TrAvia_act!R27*1000000)</f>
        <v>26236.247473030675</v>
      </c>
      <c r="S41" s="87">
        <f>IF(S9=0,0,S9/TrAvia_act!S27*1000000)</f>
        <v>25593.894484267064</v>
      </c>
      <c r="T41" s="87">
        <f>IF(T9=0,0,T9/TrAvia_act!T27*1000000)</f>
        <v>26038.518444092286</v>
      </c>
      <c r="U41" s="87">
        <f>IF(U9=0,0,U9/TrAvia_act!U27*1000000)</f>
        <v>26876.78694967744</v>
      </c>
      <c r="V41" s="87">
        <f>IF(V9=0,0,V9/TrAvia_act!V27*1000000)</f>
        <v>31803.299525890809</v>
      </c>
      <c r="W41" s="87">
        <f>IF(W9=0,0,W9/TrAvia_act!W27*1000000)</f>
        <v>27471.892035340166</v>
      </c>
      <c r="X41" s="87">
        <f>IF(X9=0,0,X9/TrAvia_act!X27*1000000)</f>
        <v>26453.866654912839</v>
      </c>
      <c r="Y41" s="87">
        <f>IF(Y9=0,0,Y9/TrAvia_act!Y27*1000000)</f>
        <v>24027.385726641514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12316.978571146648</v>
      </c>
      <c r="C42" s="15">
        <f>IF(C10=0,0,C10/TrAvia_act!C28*1000000)</f>
        <v>11192.111616784721</v>
      </c>
      <c r="D42" s="15">
        <f>IF(D10=0,0,D10/TrAvia_act!D28*1000000)</f>
        <v>11877.999103058968</v>
      </c>
      <c r="E42" s="15">
        <f>IF(E10=0,0,E10/TrAvia_act!E28*1000000)</f>
        <v>12565.929241674408</v>
      </c>
      <c r="F42" s="15">
        <f>IF(F10=0,0,F10/TrAvia_act!F28*1000000)</f>
        <v>13188.63980045318</v>
      </c>
      <c r="G42" s="15">
        <f>IF(G10=0,0,G10/TrAvia_act!G28*1000000)</f>
        <v>13452.159045403825</v>
      </c>
      <c r="H42" s="15">
        <f>IF(H10=0,0,H10/TrAvia_act!H28*1000000)</f>
        <v>12950.654593161047</v>
      </c>
      <c r="I42" s="15">
        <f>IF(I10=0,0,I10/TrAvia_act!I28*1000000)</f>
        <v>12708.410859981375</v>
      </c>
      <c r="J42" s="15">
        <f>IF(J10=0,0,J10/TrAvia_act!J28*1000000)</f>
        <v>13129.111726702697</v>
      </c>
      <c r="K42" s="15">
        <f>IF(K10=0,0,K10/TrAvia_act!K28*1000000)</f>
        <v>11250.329866572505</v>
      </c>
      <c r="L42" s="15">
        <f>IF(L10=0,0,L10/TrAvia_act!L28*1000000)</f>
        <v>13882.230578959965</v>
      </c>
      <c r="M42" s="15">
        <f>IF(M10=0,0,M10/TrAvia_act!M28*1000000)</f>
        <v>13378.313549456459</v>
      </c>
      <c r="N42" s="15">
        <f>IF(N10=0,0,N10/TrAvia_act!N28*1000000)</f>
        <v>14256.365149164565</v>
      </c>
      <c r="O42" s="15">
        <f>IF(O10=0,0,O10/TrAvia_act!O28*1000000)</f>
        <v>13627.608510802746</v>
      </c>
      <c r="P42" s="15">
        <f>IF(P10=0,0,P10/TrAvia_act!P28*1000000)</f>
        <v>12827.082152519555</v>
      </c>
      <c r="Q42" s="15">
        <f>IF(Q10=0,0,Q10/TrAvia_act!Q28*1000000)</f>
        <v>13709.01398085598</v>
      </c>
      <c r="R42" s="15">
        <f>IF(R10=0,0,R10/TrAvia_act!R28*1000000)</f>
        <v>13674.758208128444</v>
      </c>
      <c r="S42" s="15">
        <f>IF(S10=0,0,S10/TrAvia_act!S28*1000000)</f>
        <v>13495.758863666704</v>
      </c>
      <c r="T42" s="15">
        <f>IF(T10=0,0,T10/TrAvia_act!T28*1000000)</f>
        <v>13883.189264306764</v>
      </c>
      <c r="U42" s="15">
        <f>IF(U10=0,0,U10/TrAvia_act!U28*1000000)</f>
        <v>13419.599373803227</v>
      </c>
      <c r="V42" s="15">
        <f>IF(V10=0,0,V10/TrAvia_act!V28*1000000)</f>
        <v>16448.054846611722</v>
      </c>
      <c r="W42" s="15">
        <f>IF(W10=0,0,W10/TrAvia_act!W28*1000000)</f>
        <v>14936.923721547106</v>
      </c>
      <c r="X42" s="15">
        <f>IF(X10=0,0,X10/TrAvia_act!X28*1000000)</f>
        <v>13760.446441485476</v>
      </c>
      <c r="Y42" s="15">
        <f>IF(Y10=0,0,Y10/TrAvia_act!Y28*1000000)</f>
        <v>11811.62536957822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3265.8437438777191</v>
      </c>
      <c r="C43" s="101">
        <f>IF(C11=0,0,C11/TrAvia_act!C29*1000000)</f>
        <v>3234.975534474625</v>
      </c>
      <c r="D43" s="101">
        <f>IF(D11=0,0,D11/TrAvia_act!D29*1000000)</f>
        <v>2939.3700025451976</v>
      </c>
      <c r="E43" s="101">
        <f>IF(E11=0,0,E11/TrAvia_act!E29*1000000)</f>
        <v>2828.1404248544841</v>
      </c>
      <c r="F43" s="101">
        <f>IF(F11=0,0,F11/TrAvia_act!F29*1000000)</f>
        <v>2900.5872849087668</v>
      </c>
      <c r="G43" s="101">
        <f>IF(G11=0,0,G11/TrAvia_act!G29*1000000)</f>
        <v>2891.0802845324765</v>
      </c>
      <c r="H43" s="101">
        <f>IF(H11=0,0,H11/TrAvia_act!H29*1000000)</f>
        <v>2426.5831537776803</v>
      </c>
      <c r="I43" s="101">
        <f>IF(I11=0,0,I11/TrAvia_act!I29*1000000)</f>
        <v>2099.8598830809888</v>
      </c>
      <c r="J43" s="101">
        <f>IF(J11=0,0,J11/TrAvia_act!J29*1000000)</f>
        <v>1772.1857510031982</v>
      </c>
      <c r="K43" s="101">
        <f>IF(K11=0,0,K11/TrAvia_act!K29*1000000)</f>
        <v>1497.7997370716535</v>
      </c>
      <c r="L43" s="101">
        <f>IF(L11=0,0,L11/TrAvia_act!L29*1000000)</f>
        <v>1357.0536876128053</v>
      </c>
      <c r="M43" s="101">
        <f>IF(M11=0,0,M11/TrAvia_act!M29*1000000)</f>
        <v>2418.2204648133297</v>
      </c>
      <c r="N43" s="101">
        <f>IF(N11=0,0,N11/TrAvia_act!N29*1000000)</f>
        <v>2442.4576720340156</v>
      </c>
      <c r="O43" s="101">
        <f>IF(O11=0,0,O11/TrAvia_act!O29*1000000)</f>
        <v>2395.5172400361703</v>
      </c>
      <c r="P43" s="101">
        <f>IF(P11=0,0,P11/TrAvia_act!P29*1000000)</f>
        <v>2376.8815600940097</v>
      </c>
      <c r="Q43" s="101">
        <f>IF(Q11=0,0,Q11/TrAvia_act!Q29*1000000)</f>
        <v>2359.7134381787164</v>
      </c>
      <c r="R43" s="101">
        <f>IF(R11=0,0,R11/TrAvia_act!R29*1000000)</f>
        <v>2409.3297188269457</v>
      </c>
      <c r="S43" s="101">
        <f>IF(S11=0,0,S11/TrAvia_act!S29*1000000)</f>
        <v>2423.966735137446</v>
      </c>
      <c r="T43" s="101">
        <f>IF(T11=0,0,T11/TrAvia_act!T29*1000000)</f>
        <v>2522.6782063148435</v>
      </c>
      <c r="U43" s="101">
        <f>IF(U11=0,0,U11/TrAvia_act!U29*1000000)</f>
        <v>2485.4646639808257</v>
      </c>
      <c r="V43" s="101">
        <f>IF(V11=0,0,V11/TrAvia_act!V29*1000000)</f>
        <v>3439.5311170558825</v>
      </c>
      <c r="W43" s="101">
        <f>IF(W11=0,0,W11/TrAvia_act!W29*1000000)</f>
        <v>4066.6153686302573</v>
      </c>
      <c r="X43" s="101">
        <f>IF(X11=0,0,X11/TrAvia_act!X29*1000000)</f>
        <v>2598.196168515748</v>
      </c>
      <c r="Y43" s="101">
        <f>IF(Y11=0,0,Y11/TrAvia_act!Y29*1000000)</f>
        <v>2675.5676814325038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3744.6750008678141</v>
      </c>
      <c r="C44" s="101">
        <f>IF(C12=0,0,C12/TrAvia_act!C30*1000000)</f>
        <v>3748.1558049071159</v>
      </c>
      <c r="D44" s="101">
        <f>IF(D12=0,0,D12/TrAvia_act!D30*1000000)</f>
        <v>3740.6417430822753</v>
      </c>
      <c r="E44" s="101">
        <f>IF(E12=0,0,E12/TrAvia_act!E30*1000000)</f>
        <v>3582.4229497178358</v>
      </c>
      <c r="F44" s="101">
        <f>IF(F12=0,0,F12/TrAvia_act!F30*1000000)</f>
        <v>3691.971565604043</v>
      </c>
      <c r="G44" s="101">
        <f>IF(G12=0,0,G12/TrAvia_act!G30*1000000)</f>
        <v>3713.5768582884971</v>
      </c>
      <c r="H44" s="101">
        <f>IF(H12=0,0,H12/TrAvia_act!H30*1000000)</f>
        <v>3752.2361801981692</v>
      </c>
      <c r="I44" s="101">
        <f>IF(I12=0,0,I12/TrAvia_act!I30*1000000)</f>
        <v>3818.830236077466</v>
      </c>
      <c r="J44" s="101">
        <f>IF(J12=0,0,J12/TrAvia_act!J30*1000000)</f>
        <v>3761.8417585739071</v>
      </c>
      <c r="K44" s="101">
        <f>IF(K12=0,0,K12/TrAvia_act!K30*1000000)</f>
        <v>3733.2760960736741</v>
      </c>
      <c r="L44" s="101">
        <f>IF(L12=0,0,L12/TrAvia_act!L30*1000000)</f>
        <v>4082.2713579253077</v>
      </c>
      <c r="M44" s="101">
        <f>IF(M12=0,0,M12/TrAvia_act!M30*1000000)</f>
        <v>3826.529099680562</v>
      </c>
      <c r="N44" s="101">
        <f>IF(N12=0,0,N12/TrAvia_act!N30*1000000)</f>
        <v>3739.8404807196466</v>
      </c>
      <c r="O44" s="101">
        <f>IF(O12=0,0,O12/TrAvia_act!O30*1000000)</f>
        <v>3845.3393984805571</v>
      </c>
      <c r="P44" s="101">
        <f>IF(P12=0,0,P12/TrAvia_act!P30*1000000)</f>
        <v>3802.4007765924607</v>
      </c>
      <c r="Q44" s="101">
        <f>IF(Q12=0,0,Q12/TrAvia_act!Q30*1000000)</f>
        <v>3835.6496527416157</v>
      </c>
      <c r="R44" s="101">
        <f>IF(R12=0,0,R12/TrAvia_act!R30*1000000)</f>
        <v>3873.2571719519278</v>
      </c>
      <c r="S44" s="101">
        <f>IF(S12=0,0,S12/TrAvia_act!S30*1000000)</f>
        <v>3962.7966338351748</v>
      </c>
      <c r="T44" s="101">
        <f>IF(T12=0,0,T12/TrAvia_act!T30*1000000)</f>
        <v>3974.0023833750661</v>
      </c>
      <c r="U44" s="101">
        <f>IF(U12=0,0,U12/TrAvia_act!U30*1000000)</f>
        <v>3933.4525529852181</v>
      </c>
      <c r="V44" s="101">
        <f>IF(V12=0,0,V12/TrAvia_act!V30*1000000)</f>
        <v>3001.732999048796</v>
      </c>
      <c r="W44" s="101">
        <f>IF(W12=0,0,W12/TrAvia_act!W30*1000000)</f>
        <v>2649.6466360762743</v>
      </c>
      <c r="X44" s="101">
        <f>IF(X12=0,0,X12/TrAvia_act!X30*1000000)</f>
        <v>3672.9929892208052</v>
      </c>
      <c r="Y44" s="101">
        <f>IF(Y12=0,0,Y12/TrAvia_act!Y30*1000000)</f>
        <v>3702.1478157127867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35029.496003136759</v>
      </c>
      <c r="C45" s="88">
        <f>IF(C13=0,0,C13/TrAvia_act!C31*1000000)</f>
        <v>35022.845281456575</v>
      </c>
      <c r="D45" s="88">
        <f>IF(D13=0,0,D13/TrAvia_act!D31*1000000)</f>
        <v>34976.608624528104</v>
      </c>
      <c r="E45" s="88">
        <f>IF(E13=0,0,E13/TrAvia_act!E31*1000000)</f>
        <v>33446.074978638651</v>
      </c>
      <c r="F45" s="88">
        <f>IF(F13=0,0,F13/TrAvia_act!F31*1000000)</f>
        <v>34326.562630242792</v>
      </c>
      <c r="G45" s="88">
        <f>IF(G13=0,0,G13/TrAvia_act!G31*1000000)</f>
        <v>33294.86027717332</v>
      </c>
      <c r="H45" s="88">
        <f>IF(H13=0,0,H13/TrAvia_act!H31*1000000)</f>
        <v>33374.01342597272</v>
      </c>
      <c r="I45" s="88">
        <f>IF(I13=0,0,I13/TrAvia_act!I31*1000000)</f>
        <v>32164.433151160694</v>
      </c>
      <c r="J45" s="88">
        <f>IF(J13=0,0,J13/TrAvia_act!J31*1000000)</f>
        <v>32827.143257799493</v>
      </c>
      <c r="K45" s="88">
        <f>IF(K13=0,0,K13/TrAvia_act!K31*1000000)</f>
        <v>32800.773353618955</v>
      </c>
      <c r="L45" s="88">
        <f>IF(L13=0,0,L13/TrAvia_act!L31*1000000)</f>
        <v>36807.767153036424</v>
      </c>
      <c r="M45" s="88">
        <f>IF(M13=0,0,M13/TrAvia_act!M31*1000000)</f>
        <v>34010.370997673825</v>
      </c>
      <c r="N45" s="88">
        <f>IF(N13=0,0,N13/TrAvia_act!N31*1000000)</f>
        <v>39359.854396805276</v>
      </c>
      <c r="O45" s="88">
        <f>IF(O13=0,0,O13/TrAvia_act!O31*1000000)</f>
        <v>38173.546169484856</v>
      </c>
      <c r="P45" s="88">
        <f>IF(P13=0,0,P13/TrAvia_act!P31*1000000)</f>
        <v>34698.297790135002</v>
      </c>
      <c r="Q45" s="88">
        <f>IF(Q13=0,0,Q13/TrAvia_act!Q31*1000000)</f>
        <v>37183.594276123527</v>
      </c>
      <c r="R45" s="88">
        <f>IF(R13=0,0,R13/TrAvia_act!R31*1000000)</f>
        <v>36503.213014329427</v>
      </c>
      <c r="S45" s="88">
        <f>IF(S13=0,0,S13/TrAvia_act!S31*1000000)</f>
        <v>36108.632470771714</v>
      </c>
      <c r="T45" s="88">
        <f>IF(T13=0,0,T13/TrAvia_act!T31*1000000)</f>
        <v>35301.378709643359</v>
      </c>
      <c r="U45" s="88">
        <f>IF(U13=0,0,U13/TrAvia_act!U31*1000000)</f>
        <v>35121.919606835763</v>
      </c>
      <c r="V45" s="88">
        <f>IF(V13=0,0,V13/TrAvia_act!V31*1000000)</f>
        <v>40458.316246155897</v>
      </c>
      <c r="W45" s="88">
        <f>IF(W13=0,0,W13/TrAvia_act!W31*1000000)</f>
        <v>37452.60306142045</v>
      </c>
      <c r="X45" s="88">
        <f>IF(X13=0,0,X13/TrAvia_act!X31*1000000)</f>
        <v>34993.525215405949</v>
      </c>
      <c r="Y45" s="88">
        <f>IF(Y13=0,0,Y13/TrAvia_act!Y31*1000000)</f>
        <v>30010.317677214192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0.92808997794688486</v>
      </c>
      <c r="C48" s="16">
        <f t="shared" si="36"/>
        <v>0.92739724499106146</v>
      </c>
      <c r="D48" s="16">
        <f t="shared" ref="D48:V48" si="37">IF(D6=0,0,D6/D$3)</f>
        <v>0.92869412235731319</v>
      </c>
      <c r="E48" s="16">
        <f t="shared" si="37"/>
        <v>0.92753803759935405</v>
      </c>
      <c r="F48" s="16">
        <f t="shared" si="37"/>
        <v>0.92480494666655266</v>
      </c>
      <c r="G48" s="16">
        <f t="shared" si="37"/>
        <v>0.9232663495967538</v>
      </c>
      <c r="H48" s="16">
        <f t="shared" si="37"/>
        <v>0.92351766921168177</v>
      </c>
      <c r="I48" s="16">
        <f t="shared" si="37"/>
        <v>0.92322632966116314</v>
      </c>
      <c r="J48" s="16">
        <f t="shared" si="37"/>
        <v>0.92269937560004656</v>
      </c>
      <c r="K48" s="16">
        <f t="shared" si="37"/>
        <v>0.9343179717880109</v>
      </c>
      <c r="L48" s="16">
        <f t="shared" si="37"/>
        <v>0.92471610363692425</v>
      </c>
      <c r="M48" s="16">
        <f t="shared" si="37"/>
        <v>0.92729255423530488</v>
      </c>
      <c r="N48" s="16">
        <f t="shared" si="37"/>
        <v>0.92452666058282573</v>
      </c>
      <c r="O48" s="16">
        <f t="shared" si="37"/>
        <v>0.928592429410104</v>
      </c>
      <c r="P48" s="16">
        <f t="shared" si="37"/>
        <v>0.91804648481147211</v>
      </c>
      <c r="Q48" s="16">
        <f t="shared" si="37"/>
        <v>0.91666909827847909</v>
      </c>
      <c r="R48" s="16">
        <f t="shared" si="37"/>
        <v>0.927194881166294</v>
      </c>
      <c r="S48" s="16">
        <f t="shared" si="37"/>
        <v>0.92634052767971142</v>
      </c>
      <c r="T48" s="16">
        <f t="shared" si="37"/>
        <v>0.93132923717408389</v>
      </c>
      <c r="U48" s="16">
        <f t="shared" si="37"/>
        <v>0.93721135818612289</v>
      </c>
      <c r="V48" s="16">
        <f t="shared" si="37"/>
        <v>0.83416597484929822</v>
      </c>
      <c r="W48" s="16">
        <f t="shared" ref="W48:Y48" si="38">IF(W6=0,0,W6/W$3)</f>
        <v>0.84707188309989989</v>
      </c>
      <c r="X48" s="16">
        <f t="shared" si="38"/>
        <v>0.91932798081769618</v>
      </c>
      <c r="Y48" s="16">
        <f t="shared" si="38"/>
        <v>0.9369302701243466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0.15816161884511079</v>
      </c>
      <c r="C49" s="103">
        <f t="shared" si="39"/>
        <v>0.1608987039182794</v>
      </c>
      <c r="D49" s="103">
        <f t="shared" ref="D49:V49" si="40">IF(D7=0,0,D7/D$3)</f>
        <v>0.1528909544225367</v>
      </c>
      <c r="E49" s="103">
        <f t="shared" si="40"/>
        <v>0.14811385144496247</v>
      </c>
      <c r="F49" s="103">
        <f t="shared" si="40"/>
        <v>0.13392820261895247</v>
      </c>
      <c r="G49" s="103">
        <f t="shared" si="40"/>
        <v>0.13166828656091137</v>
      </c>
      <c r="H49" s="103">
        <f t="shared" si="40"/>
        <v>0.12741770910904987</v>
      </c>
      <c r="I49" s="103">
        <f t="shared" si="40"/>
        <v>0.12449408087350661</v>
      </c>
      <c r="J49" s="103">
        <f t="shared" si="40"/>
        <v>0.12498284441357281</v>
      </c>
      <c r="K49" s="103">
        <f t="shared" si="40"/>
        <v>0.12985989904346315</v>
      </c>
      <c r="L49" s="103">
        <f t="shared" si="40"/>
        <v>0.12505453019361404</v>
      </c>
      <c r="M49" s="103">
        <f t="shared" si="40"/>
        <v>0.20959093673322796</v>
      </c>
      <c r="N49" s="103">
        <f t="shared" si="40"/>
        <v>0.21425509982936902</v>
      </c>
      <c r="O49" s="103">
        <f t="shared" si="40"/>
        <v>0.21322427369297409</v>
      </c>
      <c r="P49" s="103">
        <f t="shared" si="40"/>
        <v>0.20343616886284246</v>
      </c>
      <c r="Q49" s="103">
        <f t="shared" si="40"/>
        <v>0.19458396458173796</v>
      </c>
      <c r="R49" s="103">
        <f t="shared" si="40"/>
        <v>0.20285347656665836</v>
      </c>
      <c r="S49" s="103">
        <f t="shared" si="40"/>
        <v>0.20542220681730916</v>
      </c>
      <c r="T49" s="103">
        <f t="shared" si="40"/>
        <v>0.20820025767534195</v>
      </c>
      <c r="U49" s="103">
        <f t="shared" si="40"/>
        <v>0.20309278173245188</v>
      </c>
      <c r="V49" s="103">
        <f t="shared" si="40"/>
        <v>0.26149946084942566</v>
      </c>
      <c r="W49" s="103">
        <f t="shared" ref="W49:Y49" si="41">IF(W7=0,0,W7/W$3)</f>
        <v>0.2845392428993358</v>
      </c>
      <c r="X49" s="103">
        <f t="shared" si="41"/>
        <v>0.24018331872509072</v>
      </c>
      <c r="Y49" s="103">
        <f t="shared" si="41"/>
        <v>0.20583811491391352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0.20515115050183183</v>
      </c>
      <c r="C50" s="103">
        <f t="shared" si="42"/>
        <v>0.20423861369630056</v>
      </c>
      <c r="D50" s="103">
        <f t="shared" ref="D50:V50" si="43">IF(D8=0,0,D8/D$3)</f>
        <v>0.206717630229932</v>
      </c>
      <c r="E50" s="103">
        <f t="shared" si="43"/>
        <v>0.20458349578121496</v>
      </c>
      <c r="F50" s="103">
        <f t="shared" si="43"/>
        <v>0.20216725104389011</v>
      </c>
      <c r="G50" s="103">
        <f t="shared" si="43"/>
        <v>0.20184275674186558</v>
      </c>
      <c r="H50" s="103">
        <f t="shared" si="43"/>
        <v>0.20731579071952169</v>
      </c>
      <c r="I50" s="103">
        <f t="shared" si="43"/>
        <v>0.21219726338435996</v>
      </c>
      <c r="J50" s="103">
        <f t="shared" si="43"/>
        <v>0.20725617549847769</v>
      </c>
      <c r="K50" s="103">
        <f t="shared" si="43"/>
        <v>0.20022183572795607</v>
      </c>
      <c r="L50" s="103">
        <f t="shared" si="43"/>
        <v>0.19506647489836967</v>
      </c>
      <c r="M50" s="103">
        <f t="shared" si="43"/>
        <v>0.17670799496234935</v>
      </c>
      <c r="N50" s="103">
        <f t="shared" si="43"/>
        <v>0.17229830572430552</v>
      </c>
      <c r="O50" s="103">
        <f t="shared" si="43"/>
        <v>0.17249114044116734</v>
      </c>
      <c r="P50" s="103">
        <f t="shared" si="43"/>
        <v>0.1736574095216909</v>
      </c>
      <c r="Q50" s="103">
        <f t="shared" si="43"/>
        <v>0.17588643723619674</v>
      </c>
      <c r="R50" s="103">
        <f t="shared" si="43"/>
        <v>0.18571577405374323</v>
      </c>
      <c r="S50" s="103">
        <f t="shared" si="43"/>
        <v>0.19028534738733588</v>
      </c>
      <c r="T50" s="103">
        <f t="shared" si="43"/>
        <v>0.18797839233062835</v>
      </c>
      <c r="U50" s="103">
        <f t="shared" si="43"/>
        <v>0.18384040315787475</v>
      </c>
      <c r="V50" s="103">
        <f t="shared" si="43"/>
        <v>0.11422708763573425</v>
      </c>
      <c r="W50" s="103">
        <f t="shared" ref="W50:Y50" si="44">IF(W8=0,0,W8/W$3)</f>
        <v>0.12628748560587449</v>
      </c>
      <c r="X50" s="103">
        <f t="shared" si="44"/>
        <v>0.18203913738357883</v>
      </c>
      <c r="Y50" s="103">
        <f t="shared" si="44"/>
        <v>0.19125279826848826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0.56477720859994218</v>
      </c>
      <c r="C51" s="103">
        <f t="shared" si="45"/>
        <v>0.56225992737648145</v>
      </c>
      <c r="D51" s="103">
        <f t="shared" ref="D51:V51" si="46">IF(D9=0,0,D9/D$3)</f>
        <v>0.56908553770484449</v>
      </c>
      <c r="E51" s="103">
        <f t="shared" si="46"/>
        <v>0.57484069037317653</v>
      </c>
      <c r="F51" s="103">
        <f t="shared" si="46"/>
        <v>0.58870949300371</v>
      </c>
      <c r="G51" s="103">
        <f t="shared" si="46"/>
        <v>0.58975530629397677</v>
      </c>
      <c r="H51" s="103">
        <f t="shared" si="46"/>
        <v>0.58878416938311007</v>
      </c>
      <c r="I51" s="103">
        <f t="shared" si="46"/>
        <v>0.58653498540329652</v>
      </c>
      <c r="J51" s="103">
        <f t="shared" si="46"/>
        <v>0.59046035568799604</v>
      </c>
      <c r="K51" s="103">
        <f t="shared" si="46"/>
        <v>0.60423623701659168</v>
      </c>
      <c r="L51" s="103">
        <f t="shared" si="46"/>
        <v>0.60459509854494042</v>
      </c>
      <c r="M51" s="103">
        <f t="shared" si="46"/>
        <v>0.54099362253972749</v>
      </c>
      <c r="N51" s="103">
        <f t="shared" si="46"/>
        <v>0.53797325502915117</v>
      </c>
      <c r="O51" s="103">
        <f t="shared" si="46"/>
        <v>0.54287701527596255</v>
      </c>
      <c r="P51" s="103">
        <f t="shared" si="46"/>
        <v>0.54095290642693872</v>
      </c>
      <c r="Q51" s="103">
        <f t="shared" si="46"/>
        <v>0.54619869646054442</v>
      </c>
      <c r="R51" s="103">
        <f t="shared" si="46"/>
        <v>0.53862563054589241</v>
      </c>
      <c r="S51" s="103">
        <f t="shared" si="46"/>
        <v>0.53063297347506644</v>
      </c>
      <c r="T51" s="103">
        <f t="shared" si="46"/>
        <v>0.53515058716811359</v>
      </c>
      <c r="U51" s="103">
        <f t="shared" si="46"/>
        <v>0.5502781732957962</v>
      </c>
      <c r="V51" s="103">
        <f t="shared" si="46"/>
        <v>0.45843942636413826</v>
      </c>
      <c r="W51" s="103">
        <f t="shared" ref="W51:Y51" si="47">IF(W9=0,0,W9/W$3)</f>
        <v>0.43624515459468971</v>
      </c>
      <c r="X51" s="103">
        <f t="shared" si="47"/>
        <v>0.49710552470902664</v>
      </c>
      <c r="Y51" s="103">
        <f t="shared" si="47"/>
        <v>0.53983935694194474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7.1910022053115141E-2</v>
      </c>
      <c r="C52" s="17">
        <f t="shared" si="48"/>
        <v>7.2602755008938619E-2</v>
      </c>
      <c r="D52" s="17">
        <f t="shared" ref="D52:V52" si="49">IF(D10=0,0,D10/D$3)</f>
        <v>7.1305877642686796E-2</v>
      </c>
      <c r="E52" s="17">
        <f t="shared" si="49"/>
        <v>7.2461962400646035E-2</v>
      </c>
      <c r="F52" s="17">
        <f t="shared" si="49"/>
        <v>7.5195053333447406E-2</v>
      </c>
      <c r="G52" s="17">
        <f t="shared" si="49"/>
        <v>7.6733650403246409E-2</v>
      </c>
      <c r="H52" s="17">
        <f t="shared" si="49"/>
        <v>7.6482330788318287E-2</v>
      </c>
      <c r="I52" s="17">
        <f t="shared" si="49"/>
        <v>7.6773670338836975E-2</v>
      </c>
      <c r="J52" s="17">
        <f t="shared" si="49"/>
        <v>7.7300624399953582E-2</v>
      </c>
      <c r="K52" s="17">
        <f t="shared" si="49"/>
        <v>6.5682028211989069E-2</v>
      </c>
      <c r="L52" s="17">
        <f t="shared" si="49"/>
        <v>7.5283896363075864E-2</v>
      </c>
      <c r="M52" s="17">
        <f t="shared" si="49"/>
        <v>7.2707445764695164E-2</v>
      </c>
      <c r="N52" s="17">
        <f t="shared" si="49"/>
        <v>7.5473339417174309E-2</v>
      </c>
      <c r="O52" s="17">
        <f t="shared" si="49"/>
        <v>7.1407570589896094E-2</v>
      </c>
      <c r="P52" s="17">
        <f t="shared" si="49"/>
        <v>8.1953515188527878E-2</v>
      </c>
      <c r="Q52" s="17">
        <f t="shared" si="49"/>
        <v>8.3330901721520953E-2</v>
      </c>
      <c r="R52" s="17">
        <f t="shared" si="49"/>
        <v>7.2805118833706037E-2</v>
      </c>
      <c r="S52" s="17">
        <f t="shared" si="49"/>
        <v>7.3659472320288411E-2</v>
      </c>
      <c r="T52" s="17">
        <f t="shared" si="49"/>
        <v>6.8670762825916179E-2</v>
      </c>
      <c r="U52" s="17">
        <f t="shared" si="49"/>
        <v>6.2788641813877152E-2</v>
      </c>
      <c r="V52" s="17">
        <f t="shared" si="49"/>
        <v>0.16583402515070197</v>
      </c>
      <c r="W52" s="17">
        <f t="shared" ref="W52:Y52" si="50">IF(W10=0,0,W10/W$3)</f>
        <v>0.15292811690010008</v>
      </c>
      <c r="X52" s="17">
        <f t="shared" si="50"/>
        <v>8.0672019182303892E-2</v>
      </c>
      <c r="Y52" s="17">
        <f t="shared" si="50"/>
        <v>6.3069729875653319E-2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1.0145072113987273E-2</v>
      </c>
      <c r="C53" s="104">
        <f t="shared" si="51"/>
        <v>1.1781446097017248E-2</v>
      </c>
      <c r="D53" s="104">
        <f t="shared" ref="D53:V53" si="52">IF(D11=0,0,D11/D$3)</f>
        <v>9.4755103482099395E-3</v>
      </c>
      <c r="E53" s="104">
        <f t="shared" si="52"/>
        <v>7.9808303648415523E-3</v>
      </c>
      <c r="F53" s="104">
        <f t="shared" si="52"/>
        <v>7.8251324225546114E-3</v>
      </c>
      <c r="G53" s="104">
        <f t="shared" si="52"/>
        <v>7.658344096502465E-3</v>
      </c>
      <c r="H53" s="104">
        <f t="shared" si="52"/>
        <v>6.2562184713226832E-3</v>
      </c>
      <c r="I53" s="104">
        <f t="shared" si="52"/>
        <v>5.0655639246945036E-3</v>
      </c>
      <c r="J53" s="104">
        <f t="shared" si="52"/>
        <v>4.0375969496777402E-3</v>
      </c>
      <c r="K53" s="104">
        <f t="shared" si="52"/>
        <v>3.9296947610469209E-3</v>
      </c>
      <c r="L53" s="104">
        <f t="shared" si="52"/>
        <v>2.8404723831464999E-3</v>
      </c>
      <c r="M53" s="104">
        <f t="shared" si="52"/>
        <v>4.658593191789788E-3</v>
      </c>
      <c r="N53" s="104">
        <f t="shared" si="52"/>
        <v>4.8954670296707152E-3</v>
      </c>
      <c r="O53" s="104">
        <f t="shared" si="52"/>
        <v>4.5686511371386658E-3</v>
      </c>
      <c r="P53" s="104">
        <f t="shared" si="52"/>
        <v>5.3492416406053147E-3</v>
      </c>
      <c r="Q53" s="104">
        <f t="shared" si="52"/>
        <v>4.9342992030321749E-3</v>
      </c>
      <c r="R53" s="104">
        <f t="shared" si="52"/>
        <v>4.3709069380804457E-3</v>
      </c>
      <c r="S53" s="104">
        <f t="shared" si="52"/>
        <v>4.4675450103797447E-3</v>
      </c>
      <c r="T53" s="104">
        <f t="shared" si="52"/>
        <v>4.3092203283581938E-3</v>
      </c>
      <c r="U53" s="104">
        <f t="shared" si="52"/>
        <v>4.0062204890213178E-3</v>
      </c>
      <c r="V53" s="104">
        <f t="shared" si="52"/>
        <v>9.8382863522149117E-3</v>
      </c>
      <c r="W53" s="104">
        <f t="shared" ref="W53:Y53" si="53">IF(W11=0,0,W11/W$3)</f>
        <v>1.1605572909562933E-2</v>
      </c>
      <c r="X53" s="104">
        <f t="shared" si="53"/>
        <v>3.6550058128702219E-3</v>
      </c>
      <c r="Y53" s="104">
        <f t="shared" si="53"/>
        <v>3.5671330756874356E-3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4.061411148484669E-3</v>
      </c>
      <c r="C54" s="104">
        <f t="shared" si="54"/>
        <v>4.6525328553917713E-3</v>
      </c>
      <c r="D54" s="104">
        <f t="shared" ref="D54:V54" si="55">IF(D12=0,0,D12/D$3)</f>
        <v>4.2379100022620084E-3</v>
      </c>
      <c r="E54" s="104">
        <f t="shared" si="55"/>
        <v>4.0791443868926852E-3</v>
      </c>
      <c r="F54" s="104">
        <f t="shared" si="55"/>
        <v>4.3069785918551685E-3</v>
      </c>
      <c r="G54" s="104">
        <f t="shared" si="55"/>
        <v>4.0985961096802427E-3</v>
      </c>
      <c r="H54" s="104">
        <f t="shared" si="55"/>
        <v>5.1713645029451199E-3</v>
      </c>
      <c r="I54" s="104">
        <f t="shared" si="55"/>
        <v>6.0641031151260037E-3</v>
      </c>
      <c r="J54" s="104">
        <f t="shared" si="55"/>
        <v>5.8531738043597729E-3</v>
      </c>
      <c r="K54" s="104">
        <f t="shared" si="55"/>
        <v>5.611131466546077E-3</v>
      </c>
      <c r="L54" s="104">
        <f t="shared" si="55"/>
        <v>6.2525618539590513E-3</v>
      </c>
      <c r="M54" s="104">
        <f t="shared" si="55"/>
        <v>6.4995407665604868E-3</v>
      </c>
      <c r="N54" s="104">
        <f t="shared" si="55"/>
        <v>6.1844718355619568E-3</v>
      </c>
      <c r="O54" s="104">
        <f t="shared" si="55"/>
        <v>6.7640358070698969E-3</v>
      </c>
      <c r="P54" s="104">
        <f t="shared" si="55"/>
        <v>8.2454253653484414E-3</v>
      </c>
      <c r="Q54" s="104">
        <f t="shared" si="55"/>
        <v>8.0366804251966115E-3</v>
      </c>
      <c r="R54" s="104">
        <f t="shared" si="55"/>
        <v>7.0851323995519671E-3</v>
      </c>
      <c r="S54" s="104">
        <f t="shared" si="55"/>
        <v>7.561374961566494E-3</v>
      </c>
      <c r="T54" s="104">
        <f t="shared" si="55"/>
        <v>6.3362277011099416E-3</v>
      </c>
      <c r="U54" s="104">
        <f t="shared" si="55"/>
        <v>6.17188627101245E-3</v>
      </c>
      <c r="V54" s="104">
        <f t="shared" si="55"/>
        <v>1.0914244867185105E-2</v>
      </c>
      <c r="W54" s="104">
        <f t="shared" ref="W54:Y54" si="56">IF(W12=0,0,W12/W$3)</f>
        <v>1.0296373623676334E-2</v>
      </c>
      <c r="X54" s="104">
        <f t="shared" si="56"/>
        <v>9.2537493726570965E-3</v>
      </c>
      <c r="Y54" s="104">
        <f t="shared" si="56"/>
        <v>8.5462027386349997E-3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5.7703538790643195E-2</v>
      </c>
      <c r="C55" s="105">
        <f t="shared" si="57"/>
        <v>5.6168776056529597E-2</v>
      </c>
      <c r="D55" s="105">
        <f t="shared" ref="D55:V55" si="58">IF(D13=0,0,D13/D$3)</f>
        <v>5.7592457292214849E-2</v>
      </c>
      <c r="E55" s="105">
        <f t="shared" si="58"/>
        <v>6.0401987648911803E-2</v>
      </c>
      <c r="F55" s="105">
        <f t="shared" si="58"/>
        <v>6.3062942319037626E-2</v>
      </c>
      <c r="G55" s="105">
        <f t="shared" si="58"/>
        <v>6.4976710197063692E-2</v>
      </c>
      <c r="H55" s="105">
        <f t="shared" si="58"/>
        <v>6.5054747814050476E-2</v>
      </c>
      <c r="I55" s="105">
        <f t="shared" si="58"/>
        <v>6.5644003299016485E-2</v>
      </c>
      <c r="J55" s="105">
        <f t="shared" si="58"/>
        <v>6.7409853645916076E-2</v>
      </c>
      <c r="K55" s="105">
        <f t="shared" si="58"/>
        <v>5.6141201984396066E-2</v>
      </c>
      <c r="L55" s="105">
        <f t="shared" si="58"/>
        <v>6.6190862125970307E-2</v>
      </c>
      <c r="M55" s="105">
        <f t="shared" si="58"/>
        <v>6.1549311806344889E-2</v>
      </c>
      <c r="N55" s="105">
        <f t="shared" si="58"/>
        <v>6.4393400551941649E-2</v>
      </c>
      <c r="O55" s="105">
        <f t="shared" si="58"/>
        <v>6.0074883645687534E-2</v>
      </c>
      <c r="P55" s="105">
        <f t="shared" si="58"/>
        <v>6.8358848182574122E-2</v>
      </c>
      <c r="Q55" s="105">
        <f t="shared" si="58"/>
        <v>7.0359922093292171E-2</v>
      </c>
      <c r="R55" s="105">
        <f t="shared" si="58"/>
        <v>6.134907949607362E-2</v>
      </c>
      <c r="S55" s="105">
        <f t="shared" si="58"/>
        <v>6.1630552348342173E-2</v>
      </c>
      <c r="T55" s="105">
        <f t="shared" si="58"/>
        <v>5.8025314796448041E-2</v>
      </c>
      <c r="U55" s="105">
        <f t="shared" si="58"/>
        <v>5.2610535053843374E-2</v>
      </c>
      <c r="V55" s="105">
        <f t="shared" si="58"/>
        <v>0.14508149393130196</v>
      </c>
      <c r="W55" s="105">
        <f t="shared" ref="W55:Y55" si="59">IF(W13=0,0,W13/W$3)</f>
        <v>0.13102617036686082</v>
      </c>
      <c r="X55" s="105">
        <f t="shared" si="59"/>
        <v>6.7763263996776582E-2</v>
      </c>
      <c r="Y55" s="105">
        <f t="shared" si="59"/>
        <v>5.0956394061330887E-2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596.57242230844281</v>
      </c>
      <c r="C57" s="62">
        <v>595.63507548543146</v>
      </c>
      <c r="D57" s="62">
        <v>595.32583354194003</v>
      </c>
      <c r="E57" s="62">
        <v>597.85929461263186</v>
      </c>
      <c r="F57" s="62">
        <v>602.31056229332512</v>
      </c>
      <c r="G57" s="62">
        <v>603.29549693971921</v>
      </c>
      <c r="H57" s="62">
        <v>602.0010934631531</v>
      </c>
      <c r="I57" s="62">
        <v>602.57779165299189</v>
      </c>
      <c r="J57" s="62">
        <v>593.69995613549497</v>
      </c>
      <c r="K57" s="62">
        <v>591.97446117076856</v>
      </c>
      <c r="L57" s="62">
        <v>586.10959875101594</v>
      </c>
      <c r="M57" s="62">
        <v>623.23099327436501</v>
      </c>
      <c r="N57" s="62">
        <v>584.13820126165376</v>
      </c>
      <c r="O57" s="62">
        <v>578.68303785083526</v>
      </c>
      <c r="P57" s="62">
        <v>598.18973647362191</v>
      </c>
      <c r="Q57" s="62">
        <v>583.84137279362972</v>
      </c>
      <c r="R57" s="62">
        <v>572.67888892592816</v>
      </c>
      <c r="S57" s="62">
        <v>561.98714532133113</v>
      </c>
      <c r="T57" s="62">
        <v>568.07953105436093</v>
      </c>
      <c r="U57" s="62">
        <v>567.5570668294049</v>
      </c>
      <c r="V57" s="62">
        <v>595.20254713691895</v>
      </c>
      <c r="W57" s="62">
        <v>577.1581310170302</v>
      </c>
      <c r="X57" s="62">
        <v>564.83733463497765</v>
      </c>
      <c r="Y57" s="62">
        <v>570.3668134987887</v>
      </c>
      <c r="DA57" s="172" t="s">
        <v>314</v>
      </c>
    </row>
    <row r="58" spans="1:105" ht="11.45" customHeight="1" x14ac:dyDescent="0.25">
      <c r="A58" s="10" t="s">
        <v>33</v>
      </c>
      <c r="B58" s="14">
        <v>586.10905309755549</v>
      </c>
      <c r="C58" s="14">
        <v>585.61249636520347</v>
      </c>
      <c r="D58" s="14">
        <v>585.10143749912879</v>
      </c>
      <c r="E58" s="14">
        <v>587.11486865742847</v>
      </c>
      <c r="F58" s="14">
        <v>591.222494458754</v>
      </c>
      <c r="G58" s="14">
        <v>591.6992638147974</v>
      </c>
      <c r="H58" s="14">
        <v>590.9439132580768</v>
      </c>
      <c r="I58" s="14">
        <v>591.7723088689504</v>
      </c>
      <c r="J58" s="14">
        <v>582.89095022284732</v>
      </c>
      <c r="K58" s="14">
        <v>583.58389855439282</v>
      </c>
      <c r="L58" s="14">
        <v>576.38542070174844</v>
      </c>
      <c r="M58" s="14">
        <v>613.98633350419573</v>
      </c>
      <c r="N58" s="14">
        <v>573.70470571756198</v>
      </c>
      <c r="O58" s="14">
        <v>569.89127772358802</v>
      </c>
      <c r="P58" s="14">
        <v>588.75960341755808</v>
      </c>
      <c r="Q58" s="14">
        <v>573.96328294205841</v>
      </c>
      <c r="R58" s="14">
        <v>563.82637148192418</v>
      </c>
      <c r="S58" s="14">
        <v>552.97494201295922</v>
      </c>
      <c r="T58" s="14">
        <v>559.77128901682875</v>
      </c>
      <c r="U58" s="14">
        <v>560.59755285049789</v>
      </c>
      <c r="V58" s="14">
        <v>577.15046049767329</v>
      </c>
      <c r="W58" s="14">
        <v>558.15253532834583</v>
      </c>
      <c r="X58" s="14">
        <v>555.4976084389242</v>
      </c>
      <c r="Y58" s="14">
        <v>564.21784511419344</v>
      </c>
      <c r="DA58" s="189" t="s">
        <v>315</v>
      </c>
    </row>
    <row r="59" spans="1:105" ht="11.45" customHeight="1" x14ac:dyDescent="0.25">
      <c r="A59" s="83" t="s">
        <v>27</v>
      </c>
      <c r="B59" s="87">
        <v>521.42296554263919</v>
      </c>
      <c r="C59" s="87">
        <v>521.42296554263919</v>
      </c>
      <c r="D59" s="87">
        <v>521.42296554263908</v>
      </c>
      <c r="E59" s="87">
        <v>521.42296554263908</v>
      </c>
      <c r="F59" s="87">
        <v>521.42296554263908</v>
      </c>
      <c r="G59" s="87">
        <v>523.68171968951708</v>
      </c>
      <c r="H59" s="87">
        <v>534.29690443945913</v>
      </c>
      <c r="I59" s="87">
        <v>537.46027728272691</v>
      </c>
      <c r="J59" s="87">
        <v>548.58257344749165</v>
      </c>
      <c r="K59" s="87">
        <v>543.811801619775</v>
      </c>
      <c r="L59" s="87">
        <v>549.71677061955779</v>
      </c>
      <c r="M59" s="87">
        <v>547.56645048118139</v>
      </c>
      <c r="N59" s="87">
        <v>551.36745910722539</v>
      </c>
      <c r="O59" s="87">
        <v>553.98549499928413</v>
      </c>
      <c r="P59" s="87">
        <v>553.37305698614261</v>
      </c>
      <c r="Q59" s="87">
        <v>558.41967219392848</v>
      </c>
      <c r="R59" s="87">
        <v>560.91136141694221</v>
      </c>
      <c r="S59" s="87">
        <v>560.6739399718648</v>
      </c>
      <c r="T59" s="87">
        <v>559.28915414588096</v>
      </c>
      <c r="U59" s="87">
        <v>560.81303152054397</v>
      </c>
      <c r="V59" s="87">
        <v>596.00696730010043</v>
      </c>
      <c r="W59" s="87">
        <v>586.96219230220038</v>
      </c>
      <c r="X59" s="87">
        <v>591.95214095763731</v>
      </c>
      <c r="Y59" s="87">
        <v>592.4588332587324</v>
      </c>
      <c r="DA59" s="171" t="s">
        <v>316</v>
      </c>
    </row>
    <row r="60" spans="1:105" ht="11.45" customHeight="1" x14ac:dyDescent="0.25">
      <c r="A60" s="83" t="s">
        <v>181</v>
      </c>
      <c r="B60" s="87">
        <v>340.60656427701929</v>
      </c>
      <c r="C60" s="87">
        <v>340.60656425565276</v>
      </c>
      <c r="D60" s="87">
        <v>340.60664479222498</v>
      </c>
      <c r="E60" s="87">
        <v>340.74416738738421</v>
      </c>
      <c r="F60" s="87">
        <v>340.50829791309218</v>
      </c>
      <c r="G60" s="87">
        <v>339.78599324162542</v>
      </c>
      <c r="H60" s="87">
        <v>340.26168474727126</v>
      </c>
      <c r="I60" s="87">
        <v>339.35694819385628</v>
      </c>
      <c r="J60" s="87">
        <v>339.02604710488549</v>
      </c>
      <c r="K60" s="87">
        <v>338.73642738607776</v>
      </c>
      <c r="L60" s="87">
        <v>338.54463064258215</v>
      </c>
      <c r="M60" s="87">
        <v>340.01619325053485</v>
      </c>
      <c r="N60" s="87">
        <v>341.02428405449342</v>
      </c>
      <c r="O60" s="87">
        <v>340.79969713728224</v>
      </c>
      <c r="P60" s="87">
        <v>339.0206988973838</v>
      </c>
      <c r="Q60" s="87">
        <v>338.57460200289177</v>
      </c>
      <c r="R60" s="87">
        <v>338.71493330142442</v>
      </c>
      <c r="S60" s="87">
        <v>338.21739049565502</v>
      </c>
      <c r="T60" s="87">
        <v>337.24415045055139</v>
      </c>
      <c r="U60" s="87">
        <v>336.65110500138934</v>
      </c>
      <c r="V60" s="87">
        <v>338.43851072026825</v>
      </c>
      <c r="W60" s="87">
        <v>331.95078228915861</v>
      </c>
      <c r="X60" s="87">
        <v>333.54082986819799</v>
      </c>
      <c r="Y60" s="87">
        <v>332.74435299706136</v>
      </c>
      <c r="DA60" s="171" t="s">
        <v>317</v>
      </c>
    </row>
    <row r="61" spans="1:105" ht="11.45" customHeight="1" x14ac:dyDescent="0.25">
      <c r="A61" s="83" t="s">
        <v>182</v>
      </c>
      <c r="B61" s="87">
        <v>738.62164457781205</v>
      </c>
      <c r="C61" s="87">
        <v>738.62164457781216</v>
      </c>
      <c r="D61" s="87">
        <v>738.62164457781216</v>
      </c>
      <c r="E61" s="87">
        <v>738.62164457781205</v>
      </c>
      <c r="F61" s="87">
        <v>738.62164457781205</v>
      </c>
      <c r="G61" s="87">
        <v>731.92432553242986</v>
      </c>
      <c r="H61" s="87">
        <v>730.56603375811687</v>
      </c>
      <c r="I61" s="87">
        <v>731.40569876723941</v>
      </c>
      <c r="J61" s="87">
        <v>714.38551831085601</v>
      </c>
      <c r="K61" s="87">
        <v>717.58220893548025</v>
      </c>
      <c r="L61" s="87">
        <v>702.13482911681308</v>
      </c>
      <c r="M61" s="87">
        <v>773.41826838093493</v>
      </c>
      <c r="N61" s="87">
        <v>705.87224404858011</v>
      </c>
      <c r="O61" s="87">
        <v>691.91968948549004</v>
      </c>
      <c r="P61" s="87">
        <v>724.48610223189326</v>
      </c>
      <c r="Q61" s="87">
        <v>699.48904034922327</v>
      </c>
      <c r="R61" s="87">
        <v>685.22219483215633</v>
      </c>
      <c r="S61" s="87">
        <v>664.89360013856844</v>
      </c>
      <c r="T61" s="87">
        <v>676.88645270981669</v>
      </c>
      <c r="U61" s="87">
        <v>676.6596064835976</v>
      </c>
      <c r="V61" s="87">
        <v>689.66702168724566</v>
      </c>
      <c r="W61" s="87">
        <v>673.52221206745855</v>
      </c>
      <c r="X61" s="87">
        <v>673.15018588920066</v>
      </c>
      <c r="Y61" s="87">
        <v>679.89970064675856</v>
      </c>
      <c r="DA61" s="171" t="s">
        <v>318</v>
      </c>
    </row>
    <row r="62" spans="1:105" ht="11.45" customHeight="1" x14ac:dyDescent="0.25">
      <c r="A62" s="12" t="s">
        <v>34</v>
      </c>
      <c r="B62" s="15">
        <v>782.5859341361288</v>
      </c>
      <c r="C62" s="15">
        <v>776.66660079691451</v>
      </c>
      <c r="D62" s="15">
        <v>781.045357552832</v>
      </c>
      <c r="E62" s="15">
        <v>783.94215342166251</v>
      </c>
      <c r="F62" s="15">
        <v>783.39333555479641</v>
      </c>
      <c r="G62" s="15">
        <v>785.91630583915037</v>
      </c>
      <c r="H62" s="15">
        <v>773.38798722197146</v>
      </c>
      <c r="I62" s="15">
        <v>763.85033101682188</v>
      </c>
      <c r="J62" s="15">
        <v>755.430277673624</v>
      </c>
      <c r="K62" s="15">
        <v>743.5041681059422</v>
      </c>
      <c r="L62" s="15">
        <v>737.30634589463671</v>
      </c>
      <c r="M62" s="15">
        <v>750.70139497182038</v>
      </c>
      <c r="N62" s="15">
        <v>736.66971916594832</v>
      </c>
      <c r="O62" s="15">
        <v>712.92196985135627</v>
      </c>
      <c r="P62" s="15">
        <v>715.84601579911941</v>
      </c>
      <c r="Q62" s="15">
        <v>709.37510318024204</v>
      </c>
      <c r="R62" s="15">
        <v>703.83091406982624</v>
      </c>
      <c r="S62" s="15">
        <v>695.74888114585451</v>
      </c>
      <c r="T62" s="15">
        <v>698.39889223393709</v>
      </c>
      <c r="U62" s="15">
        <v>687.51817149114299</v>
      </c>
      <c r="V62" s="15">
        <v>705.79198778481486</v>
      </c>
      <c r="W62" s="15">
        <v>708.96709409315179</v>
      </c>
      <c r="X62" s="15">
        <v>685.8554880375109</v>
      </c>
      <c r="Y62" s="15">
        <v>670.79754106386065</v>
      </c>
      <c r="DA62" s="193" t="s">
        <v>319</v>
      </c>
    </row>
    <row r="63" spans="1:105" ht="11.45" customHeight="1" x14ac:dyDescent="0.25">
      <c r="A63" s="92" t="s">
        <v>27</v>
      </c>
      <c r="B63" s="101">
        <v>607.86981074665346</v>
      </c>
      <c r="C63" s="101">
        <v>607.86981074665346</v>
      </c>
      <c r="D63" s="101">
        <v>607.86981074665357</v>
      </c>
      <c r="E63" s="101">
        <v>607.86981074665357</v>
      </c>
      <c r="F63" s="101">
        <v>607.86981074665357</v>
      </c>
      <c r="G63" s="101">
        <v>609.95658334889436</v>
      </c>
      <c r="H63" s="101">
        <v>585.41291824317977</v>
      </c>
      <c r="I63" s="101">
        <v>553.82989413741927</v>
      </c>
      <c r="J63" s="101">
        <v>533.08209895035213</v>
      </c>
      <c r="K63" s="101">
        <v>488.53190426117828</v>
      </c>
      <c r="L63" s="101">
        <v>458.7670179159137</v>
      </c>
      <c r="M63" s="101">
        <v>458.59660665255683</v>
      </c>
      <c r="N63" s="101">
        <v>470.11728529824694</v>
      </c>
      <c r="O63" s="101">
        <v>470.34925765428727</v>
      </c>
      <c r="P63" s="101">
        <v>463.52132779892372</v>
      </c>
      <c r="Q63" s="101">
        <v>468.47440616508965</v>
      </c>
      <c r="R63" s="101">
        <v>467.76696159765964</v>
      </c>
      <c r="S63" s="101">
        <v>460.47155459843026</v>
      </c>
      <c r="T63" s="101">
        <v>449.91261249453714</v>
      </c>
      <c r="U63" s="101">
        <v>444.11168608584143</v>
      </c>
      <c r="V63" s="101">
        <v>508.99591741894818</v>
      </c>
      <c r="W63" s="101">
        <v>565.65276954351225</v>
      </c>
      <c r="X63" s="101">
        <v>448.42558032889951</v>
      </c>
      <c r="Y63" s="101">
        <v>458.60391050626845</v>
      </c>
      <c r="DA63" s="175" t="s">
        <v>320</v>
      </c>
    </row>
    <row r="64" spans="1:105" ht="11.45" customHeight="1" x14ac:dyDescent="0.25">
      <c r="A64" s="92" t="s">
        <v>181</v>
      </c>
      <c r="B64" s="101">
        <v>366.92382395524754</v>
      </c>
      <c r="C64" s="101">
        <v>366.72818140166027</v>
      </c>
      <c r="D64" s="101">
        <v>366.85391930926352</v>
      </c>
      <c r="E64" s="101">
        <v>366.98459552393592</v>
      </c>
      <c r="F64" s="101">
        <v>365.89669602472173</v>
      </c>
      <c r="G64" s="101">
        <v>365.55715852627787</v>
      </c>
      <c r="H64" s="101">
        <v>365.68798950388151</v>
      </c>
      <c r="I64" s="101">
        <v>362.40351427799021</v>
      </c>
      <c r="J64" s="101">
        <v>359.36094087294106</v>
      </c>
      <c r="K64" s="101">
        <v>356.48493323617231</v>
      </c>
      <c r="L64" s="101">
        <v>356.39009069681617</v>
      </c>
      <c r="M64" s="101">
        <v>356.77822658369075</v>
      </c>
      <c r="N64" s="101">
        <v>355.57173292714992</v>
      </c>
      <c r="O64" s="101">
        <v>356.11892651899757</v>
      </c>
      <c r="P64" s="101">
        <v>354.95231074840314</v>
      </c>
      <c r="Q64" s="101">
        <v>356.60219793904378</v>
      </c>
      <c r="R64" s="101">
        <v>356.41232033737282</v>
      </c>
      <c r="S64" s="101">
        <v>356.88080530085068</v>
      </c>
      <c r="T64" s="101">
        <v>356.75111637321118</v>
      </c>
      <c r="U64" s="101">
        <v>357.30516946017673</v>
      </c>
      <c r="V64" s="101">
        <v>367.19801311961049</v>
      </c>
      <c r="W64" s="101">
        <v>367.19002795481646</v>
      </c>
      <c r="X64" s="101">
        <v>353.01055500277988</v>
      </c>
      <c r="Y64" s="101">
        <v>350.12974507254205</v>
      </c>
      <c r="DA64" s="175" t="s">
        <v>321</v>
      </c>
    </row>
    <row r="65" spans="1:105" ht="11.45" customHeight="1" x14ac:dyDescent="0.25">
      <c r="A65" s="85" t="s">
        <v>182</v>
      </c>
      <c r="B65" s="88">
        <v>819.18885615156671</v>
      </c>
      <c r="C65" s="88">
        <v>819.1888561515666</v>
      </c>
      <c r="D65" s="88">
        <v>819.18885615156671</v>
      </c>
      <c r="E65" s="88">
        <v>819.18885615156671</v>
      </c>
      <c r="F65" s="88">
        <v>819.1888561515666</v>
      </c>
      <c r="G65" s="88">
        <v>818.15398436911869</v>
      </c>
      <c r="H65" s="88">
        <v>813.20909907388705</v>
      </c>
      <c r="I65" s="88">
        <v>808.70979044279579</v>
      </c>
      <c r="J65" s="88">
        <v>800.72121938984776</v>
      </c>
      <c r="K65" s="88">
        <v>796.72376545901898</v>
      </c>
      <c r="L65" s="88">
        <v>788.88636486407233</v>
      </c>
      <c r="M65" s="88">
        <v>805.44329354913873</v>
      </c>
      <c r="N65" s="88">
        <v>795.04727815656975</v>
      </c>
      <c r="O65" s="88">
        <v>774.06136085302546</v>
      </c>
      <c r="P65" s="88">
        <v>776.34429648051855</v>
      </c>
      <c r="Q65" s="88">
        <v>768.86512947471203</v>
      </c>
      <c r="R65" s="88">
        <v>763.06896912058301</v>
      </c>
      <c r="S65" s="88">
        <v>756.02521254355497</v>
      </c>
      <c r="T65" s="88">
        <v>750.97132068485166</v>
      </c>
      <c r="U65" s="88">
        <v>743.51490134290839</v>
      </c>
      <c r="V65" s="88">
        <v>754.82610605388663</v>
      </c>
      <c r="W65" s="88">
        <v>762.64390383965156</v>
      </c>
      <c r="X65" s="88">
        <v>758.32575976751048</v>
      </c>
      <c r="Y65" s="88">
        <v>748.84502628558039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0.81237597622473146</v>
      </c>
      <c r="C67" s="59">
        <f t="shared" ref="C67:W67" si="61">IF(C3=0,0,C17/C57)</f>
        <v>0.80982075471797954</v>
      </c>
      <c r="D67" s="59">
        <f t="shared" si="61"/>
        <v>0.79489822316090941</v>
      </c>
      <c r="E67" s="59">
        <f t="shared" si="61"/>
        <v>0.76180642457962522</v>
      </c>
      <c r="F67" s="59">
        <f t="shared" si="61"/>
        <v>0.78489185569580422</v>
      </c>
      <c r="G67" s="59">
        <f t="shared" si="61"/>
        <v>0.77238674896132009</v>
      </c>
      <c r="H67" s="59">
        <f t="shared" si="61"/>
        <v>0.78202346257298394</v>
      </c>
      <c r="I67" s="59">
        <f t="shared" si="61"/>
        <v>0.77291592362110639</v>
      </c>
      <c r="J67" s="59">
        <f t="shared" si="61"/>
        <v>0.79376002989305927</v>
      </c>
      <c r="K67" s="59">
        <f t="shared" si="61"/>
        <v>0.79091326891403646</v>
      </c>
      <c r="L67" s="59">
        <f t="shared" si="61"/>
        <v>0.89749490481631566</v>
      </c>
      <c r="M67" s="59">
        <f t="shared" si="61"/>
        <v>0.87736455904044441</v>
      </c>
      <c r="N67" s="59">
        <f t="shared" si="61"/>
        <v>0.98241552789464248</v>
      </c>
      <c r="O67" s="59">
        <f t="shared" si="61"/>
        <v>0.99117439012661168</v>
      </c>
      <c r="P67" s="59">
        <f t="shared" si="61"/>
        <v>0.91628961706768852</v>
      </c>
      <c r="Q67" s="59">
        <f t="shared" si="61"/>
        <v>0.98297092635277017</v>
      </c>
      <c r="R67" s="59">
        <f t="shared" si="61"/>
        <v>0.99446414218654067</v>
      </c>
      <c r="S67" s="59">
        <f t="shared" si="61"/>
        <v>1.0118727310677387</v>
      </c>
      <c r="T67" s="59">
        <f t="shared" si="61"/>
        <v>1.0080843216212538</v>
      </c>
      <c r="U67" s="59">
        <f t="shared" si="61"/>
        <v>1.0246045201697001</v>
      </c>
      <c r="V67" s="59">
        <f t="shared" si="61"/>
        <v>1.0360587699563233</v>
      </c>
      <c r="W67" s="59">
        <f t="shared" si="61"/>
        <v>0.97462232111316449</v>
      </c>
      <c r="X67" s="59">
        <f t="shared" ref="X67:Y67" si="62">IF(X3=0,0,X17/X57)</f>
        <v>1.0282077654090684</v>
      </c>
      <c r="Y67" s="59">
        <f t="shared" si="62"/>
        <v>0.95366678343732125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0.82097168498600936</v>
      </c>
      <c r="C68" s="23">
        <f t="shared" ref="C68:W68" si="64">IF(C6=0,0,C18/C58)</f>
        <v>0.81824921280357477</v>
      </c>
      <c r="D68" s="23">
        <f t="shared" si="64"/>
        <v>0.80275922672987765</v>
      </c>
      <c r="E68" s="23">
        <f t="shared" si="64"/>
        <v>0.76939121981299574</v>
      </c>
      <c r="F68" s="23">
        <f t="shared" si="64"/>
        <v>0.7932670110606741</v>
      </c>
      <c r="G68" s="23">
        <f t="shared" si="64"/>
        <v>0.78130795506567474</v>
      </c>
      <c r="H68" s="23">
        <f t="shared" si="64"/>
        <v>0.79044460161654928</v>
      </c>
      <c r="I68" s="23">
        <f t="shared" si="64"/>
        <v>0.78142020212370567</v>
      </c>
      <c r="J68" s="23">
        <f t="shared" si="64"/>
        <v>0.80115907978786094</v>
      </c>
      <c r="K68" s="23">
        <f t="shared" si="64"/>
        <v>0.79682223728791524</v>
      </c>
      <c r="L68" s="23">
        <f t="shared" si="64"/>
        <v>0.90338569066960206</v>
      </c>
      <c r="M68" s="23">
        <f t="shared" si="64"/>
        <v>0.89063843644087881</v>
      </c>
      <c r="N68" s="23">
        <f t="shared" si="64"/>
        <v>0.99386517337738722</v>
      </c>
      <c r="O68" s="23">
        <f t="shared" si="64"/>
        <v>1.0013896223777126</v>
      </c>
      <c r="P68" s="23">
        <f t="shared" si="64"/>
        <v>0.92915483047428626</v>
      </c>
      <c r="Q68" s="23">
        <f t="shared" si="64"/>
        <v>0.99483499034770217</v>
      </c>
      <c r="R68" s="23">
        <f t="shared" si="64"/>
        <v>1.0051211751775446</v>
      </c>
      <c r="S68" s="23">
        <f t="shared" si="64"/>
        <v>1.0224805404225104</v>
      </c>
      <c r="T68" s="23">
        <f t="shared" si="64"/>
        <v>1.0190253867272299</v>
      </c>
      <c r="U68" s="23">
        <f t="shared" si="64"/>
        <v>1.0339409934570614</v>
      </c>
      <c r="V68" s="23">
        <f t="shared" si="64"/>
        <v>1.0493917732545344</v>
      </c>
      <c r="W68" s="23">
        <f t="shared" si="64"/>
        <v>0.98836639550113548</v>
      </c>
      <c r="X68" s="23">
        <f t="shared" ref="X68:Y68" si="65">IF(X6=0,0,X18/X58)</f>
        <v>1.0399540989523683</v>
      </c>
      <c r="Y68" s="23">
        <f t="shared" si="65"/>
        <v>0.96260523935944864</v>
      </c>
      <c r="DA68" s="189"/>
    </row>
    <row r="69" spans="1:105" ht="11.45" customHeight="1" x14ac:dyDescent="0.25">
      <c r="A69" s="83" t="s">
        <v>27</v>
      </c>
      <c r="B69" s="91">
        <f t="shared" si="63"/>
        <v>0.63935102946535161</v>
      </c>
      <c r="C69" s="91">
        <f t="shared" ref="C69:W69" si="66">IF(C7=0,0,C19/C59)</f>
        <v>0.63330799035895913</v>
      </c>
      <c r="D69" s="91">
        <f t="shared" si="66"/>
        <v>0.57543758504363118</v>
      </c>
      <c r="E69" s="91">
        <f t="shared" si="66"/>
        <v>0.55366227961547998</v>
      </c>
      <c r="F69" s="91">
        <f t="shared" si="66"/>
        <v>0.5678451304160026</v>
      </c>
      <c r="G69" s="91">
        <f t="shared" si="66"/>
        <v>0.56828820260804125</v>
      </c>
      <c r="H69" s="91">
        <f t="shared" si="66"/>
        <v>0.54832191248377371</v>
      </c>
      <c r="I69" s="91">
        <f t="shared" si="66"/>
        <v>0.54296387858669859</v>
      </c>
      <c r="J69" s="91">
        <f t="shared" si="66"/>
        <v>0.53761822154580541</v>
      </c>
      <c r="K69" s="91">
        <f t="shared" si="66"/>
        <v>0.5240332081793726</v>
      </c>
      <c r="L69" s="91">
        <f t="shared" si="66"/>
        <v>0.56812589134979219</v>
      </c>
      <c r="M69" s="91">
        <f t="shared" si="66"/>
        <v>1.0049008816643639</v>
      </c>
      <c r="N69" s="91">
        <f t="shared" si="66"/>
        <v>1.0204124987396777</v>
      </c>
      <c r="O69" s="91">
        <f t="shared" si="66"/>
        <v>0.99917019913362182</v>
      </c>
      <c r="P69" s="91">
        <f t="shared" si="66"/>
        <v>0.98229307604799221</v>
      </c>
      <c r="Q69" s="91">
        <f t="shared" si="66"/>
        <v>0.97860675374058703</v>
      </c>
      <c r="R69" s="91">
        <f t="shared" si="66"/>
        <v>0.99655131717958068</v>
      </c>
      <c r="S69" s="91">
        <f t="shared" si="66"/>
        <v>0.99266809538376255</v>
      </c>
      <c r="T69" s="91">
        <f t="shared" si="66"/>
        <v>1.0183026361200647</v>
      </c>
      <c r="U69" s="91">
        <f t="shared" si="66"/>
        <v>1.0143144672160034</v>
      </c>
      <c r="V69" s="91">
        <f t="shared" si="66"/>
        <v>0.9905646667218182</v>
      </c>
      <c r="W69" s="91">
        <f t="shared" si="66"/>
        <v>0.98452347337682211</v>
      </c>
      <c r="X69" s="91">
        <f t="shared" ref="X69:Y69" si="67">IF(X7=0,0,X19/X59)</f>
        <v>1.0648955505671178</v>
      </c>
      <c r="Y69" s="91">
        <f t="shared" si="67"/>
        <v>1.0067419255264141</v>
      </c>
      <c r="DA69" s="171"/>
    </row>
    <row r="70" spans="1:105" ht="11.45" customHeight="1" x14ac:dyDescent="0.25">
      <c r="A70" s="83" t="s">
        <v>181</v>
      </c>
      <c r="B70" s="91">
        <f t="shared" si="63"/>
        <v>1.2543482521625031</v>
      </c>
      <c r="C70" s="91">
        <f t="shared" ref="C70:W70" si="68">IF(C8=0,0,C20/C60)</f>
        <v>1.2541101528724161</v>
      </c>
      <c r="D70" s="91">
        <f t="shared" si="68"/>
        <v>1.2524541352528249</v>
      </c>
      <c r="E70" s="91">
        <f t="shared" si="68"/>
        <v>1.1964583975724048</v>
      </c>
      <c r="F70" s="91">
        <f t="shared" si="68"/>
        <v>1.2284743712233863</v>
      </c>
      <c r="G70" s="91">
        <f t="shared" si="68"/>
        <v>1.2396238672995188</v>
      </c>
      <c r="H70" s="91">
        <f t="shared" si="68"/>
        <v>1.2471181405570273</v>
      </c>
      <c r="I70" s="91">
        <f t="shared" si="68"/>
        <v>1.2504932304251746</v>
      </c>
      <c r="J70" s="91">
        <f t="shared" si="68"/>
        <v>1.2105883701137683</v>
      </c>
      <c r="K70" s="91">
        <f t="shared" si="68"/>
        <v>1.1782772867049542</v>
      </c>
      <c r="L70" s="91">
        <f t="shared" si="68"/>
        <v>1.2908913705378922</v>
      </c>
      <c r="M70" s="91">
        <f t="shared" si="68"/>
        <v>1.2219697606865449</v>
      </c>
      <c r="N70" s="91">
        <f t="shared" si="68"/>
        <v>1.1856983169471573</v>
      </c>
      <c r="O70" s="91">
        <f t="shared" si="68"/>
        <v>1.2220289109156099</v>
      </c>
      <c r="P70" s="91">
        <f t="shared" si="68"/>
        <v>1.2059110166605833</v>
      </c>
      <c r="Q70" s="91">
        <f t="shared" si="68"/>
        <v>1.239324532794283</v>
      </c>
      <c r="R70" s="91">
        <f t="shared" si="68"/>
        <v>1.237692963120766</v>
      </c>
      <c r="S70" s="91">
        <f t="shared" si="68"/>
        <v>1.2684337998183859</v>
      </c>
      <c r="T70" s="91">
        <f t="shared" si="68"/>
        <v>1.2772172607024481</v>
      </c>
      <c r="U70" s="91">
        <f t="shared" si="68"/>
        <v>1.2691018551788595</v>
      </c>
      <c r="V70" s="91">
        <f t="shared" si="68"/>
        <v>1.0445951353471463</v>
      </c>
      <c r="W70" s="91">
        <f t="shared" si="68"/>
        <v>0.9659446851093817</v>
      </c>
      <c r="X70" s="91">
        <f t="shared" ref="X70:Y70" si="69">IF(X8=0,0,X20/X60)</f>
        <v>1.1859299130635426</v>
      </c>
      <c r="Y70" s="91">
        <f t="shared" si="69"/>
        <v>1.1779972823478155</v>
      </c>
      <c r="DA70" s="171"/>
    </row>
    <row r="71" spans="1:105" ht="11.45" customHeight="1" x14ac:dyDescent="0.25">
      <c r="A71" s="83" t="s">
        <v>182</v>
      </c>
      <c r="B71" s="91">
        <f t="shared" si="63"/>
        <v>0.78490653099644903</v>
      </c>
      <c r="C71" s="91">
        <f t="shared" ref="C71:W71" si="70">IF(C9=0,0,C21/C61)</f>
        <v>0.78475750815917633</v>
      </c>
      <c r="D71" s="91">
        <f t="shared" si="70"/>
        <v>0.78372148257686824</v>
      </c>
      <c r="E71" s="91">
        <f t="shared" si="70"/>
        <v>0.74942678834373255</v>
      </c>
      <c r="F71" s="91">
        <f t="shared" si="70"/>
        <v>0.76915589058785094</v>
      </c>
      <c r="G71" s="91">
        <f t="shared" si="70"/>
        <v>0.74920514968250929</v>
      </c>
      <c r="H71" s="91">
        <f t="shared" si="70"/>
        <v>0.76491431430795587</v>
      </c>
      <c r="I71" s="91">
        <f t="shared" si="70"/>
        <v>0.74956994538760924</v>
      </c>
      <c r="J71" s="91">
        <f t="shared" si="70"/>
        <v>0.78935634013547884</v>
      </c>
      <c r="K71" s="91">
        <f t="shared" si="70"/>
        <v>0.80050485000581995</v>
      </c>
      <c r="L71" s="91">
        <f t="shared" si="70"/>
        <v>0.92674715628401416</v>
      </c>
      <c r="M71" s="91">
        <f t="shared" si="70"/>
        <v>0.78635425641317547</v>
      </c>
      <c r="N71" s="91">
        <f t="shared" si="70"/>
        <v>0.93568605693688656</v>
      </c>
      <c r="O71" s="91">
        <f t="shared" si="70"/>
        <v>0.94784118056766165</v>
      </c>
      <c r="P71" s="91">
        <f t="shared" si="70"/>
        <v>0.8493047169070812</v>
      </c>
      <c r="Q71" s="91">
        <f t="shared" si="70"/>
        <v>0.94063638832045893</v>
      </c>
      <c r="R71" s="91">
        <f t="shared" si="70"/>
        <v>0.94684209934544583</v>
      </c>
      <c r="S71" s="91">
        <f t="shared" si="70"/>
        <v>0.96651237039665183</v>
      </c>
      <c r="T71" s="91">
        <f t="shared" si="70"/>
        <v>0.95170886230686713</v>
      </c>
      <c r="U71" s="91">
        <f t="shared" si="70"/>
        <v>0.98025830300661621</v>
      </c>
      <c r="V71" s="91">
        <f t="shared" si="70"/>
        <v>1.0874745429525787</v>
      </c>
      <c r="W71" s="91">
        <f t="shared" si="70"/>
        <v>0.99760982541353682</v>
      </c>
      <c r="X71" s="91">
        <f t="shared" ref="X71:Y71" si="71">IF(X9=0,0,X21/X61)</f>
        <v>0.98443989979294599</v>
      </c>
      <c r="Y71" s="91">
        <f t="shared" si="71"/>
        <v>0.89006941958185226</v>
      </c>
      <c r="DA71" s="171"/>
    </row>
    <row r="72" spans="1:105" ht="11.45" customHeight="1" x14ac:dyDescent="0.25">
      <c r="A72" s="12" t="s">
        <v>34</v>
      </c>
      <c r="B72" s="24">
        <f t="shared" si="63"/>
        <v>0.68267698378963293</v>
      </c>
      <c r="C72" s="24">
        <f t="shared" ref="C72:W72" si="72">IF(C10=0,0,C22/C62)</f>
        <v>0.67859878580091104</v>
      </c>
      <c r="D72" s="24">
        <f t="shared" si="72"/>
        <v>0.67158117738251699</v>
      </c>
      <c r="E72" s="24">
        <f t="shared" si="72"/>
        <v>0.64968450042194792</v>
      </c>
      <c r="F72" s="24">
        <f t="shared" si="72"/>
        <v>0.66930459985790169</v>
      </c>
      <c r="G72" s="24">
        <f t="shared" si="72"/>
        <v>0.65567683884436434</v>
      </c>
      <c r="H72" s="24">
        <f t="shared" si="72"/>
        <v>0.67253659322289872</v>
      </c>
      <c r="I72" s="24">
        <f t="shared" si="72"/>
        <v>0.66732921512759735</v>
      </c>
      <c r="J72" s="24">
        <f t="shared" si="72"/>
        <v>0.70018989083042393</v>
      </c>
      <c r="K72" s="24">
        <f t="shared" si="72"/>
        <v>0.69776499943628356</v>
      </c>
      <c r="L72" s="24">
        <f t="shared" si="72"/>
        <v>0.81609809268719335</v>
      </c>
      <c r="M72" s="24">
        <f t="shared" si="72"/>
        <v>0.72772388573776459</v>
      </c>
      <c r="N72" s="24">
        <f t="shared" si="72"/>
        <v>0.84590200766118973</v>
      </c>
      <c r="O72" s="24">
        <f t="shared" si="72"/>
        <v>0.86131432673559571</v>
      </c>
      <c r="P72" s="24">
        <f t="shared" si="72"/>
        <v>0.78277898321901973</v>
      </c>
      <c r="Q72" s="24">
        <f t="shared" si="72"/>
        <v>0.85690019908163129</v>
      </c>
      <c r="R72" s="24">
        <f t="shared" si="72"/>
        <v>0.86338017005001533</v>
      </c>
      <c r="S72" s="24">
        <f t="shared" si="72"/>
        <v>0.88109221890037426</v>
      </c>
      <c r="T72" s="24">
        <f t="shared" si="72"/>
        <v>0.86634287782438646</v>
      </c>
      <c r="U72" s="24">
        <f t="shared" si="72"/>
        <v>0.88926304719904614</v>
      </c>
      <c r="V72" s="24">
        <f t="shared" si="72"/>
        <v>0.96163601350170202</v>
      </c>
      <c r="W72" s="24">
        <f t="shared" si="72"/>
        <v>0.8904476937275082</v>
      </c>
      <c r="X72" s="24">
        <f t="shared" ref="X72:Y72" si="73">IF(X10=0,0,X22/X62)</f>
        <v>0.90152316761843954</v>
      </c>
      <c r="Y72" s="24">
        <f t="shared" si="73"/>
        <v>0.82950902530714443</v>
      </c>
      <c r="DA72" s="193"/>
    </row>
    <row r="73" spans="1:105" ht="11.45" customHeight="1" x14ac:dyDescent="0.25">
      <c r="A73" s="92" t="s">
        <v>27</v>
      </c>
      <c r="B73" s="93">
        <f t="shared" si="63"/>
        <v>0.63935102946535194</v>
      </c>
      <c r="C73" s="93">
        <f t="shared" ref="C73:W73" si="74">IF(C11=0,0,C23/C63)</f>
        <v>0.63330799035895946</v>
      </c>
      <c r="D73" s="93">
        <f t="shared" si="74"/>
        <v>0.57543758504363129</v>
      </c>
      <c r="E73" s="93">
        <f t="shared" si="74"/>
        <v>0.55366227961547998</v>
      </c>
      <c r="F73" s="93">
        <f t="shared" si="74"/>
        <v>0.56784513041600271</v>
      </c>
      <c r="G73" s="93">
        <f t="shared" si="74"/>
        <v>0.56828820260804114</v>
      </c>
      <c r="H73" s="93">
        <f t="shared" si="74"/>
        <v>0.54832191248377371</v>
      </c>
      <c r="I73" s="93">
        <f t="shared" si="74"/>
        <v>0.5429638785866987</v>
      </c>
      <c r="J73" s="93">
        <f t="shared" si="74"/>
        <v>0.53761822154580541</v>
      </c>
      <c r="K73" s="93">
        <f t="shared" si="74"/>
        <v>0.5240332081793726</v>
      </c>
      <c r="L73" s="93">
        <f t="shared" si="74"/>
        <v>0.5681258913497923</v>
      </c>
      <c r="M73" s="93">
        <f t="shared" si="74"/>
        <v>1.0049008816643636</v>
      </c>
      <c r="N73" s="93">
        <f t="shared" si="74"/>
        <v>1.0204124987396777</v>
      </c>
      <c r="O73" s="93">
        <f t="shared" si="74"/>
        <v>0.99917019913362159</v>
      </c>
      <c r="P73" s="93">
        <f t="shared" si="74"/>
        <v>0.98229307604799221</v>
      </c>
      <c r="Q73" s="93">
        <f t="shared" si="74"/>
        <v>0.97860675374058714</v>
      </c>
      <c r="R73" s="93">
        <f t="shared" si="74"/>
        <v>0.99655131717958068</v>
      </c>
      <c r="S73" s="93">
        <f t="shared" si="74"/>
        <v>0.99266809538376288</v>
      </c>
      <c r="T73" s="93">
        <f t="shared" si="74"/>
        <v>1.0183026361200644</v>
      </c>
      <c r="U73" s="93">
        <f t="shared" si="74"/>
        <v>1.0143144672160034</v>
      </c>
      <c r="V73" s="93">
        <f t="shared" si="74"/>
        <v>0.99056466672181831</v>
      </c>
      <c r="W73" s="93">
        <f t="shared" si="74"/>
        <v>0.984523473376822</v>
      </c>
      <c r="X73" s="93">
        <f t="shared" ref="X73:Y73" si="75">IF(X11=0,0,X23/X63)</f>
        <v>1.0648955505671178</v>
      </c>
      <c r="Y73" s="93">
        <f t="shared" si="75"/>
        <v>1.0067419255264141</v>
      </c>
      <c r="DA73" s="175"/>
    </row>
    <row r="74" spans="1:105" ht="11.45" customHeight="1" x14ac:dyDescent="0.25">
      <c r="A74" s="92" t="s">
        <v>181</v>
      </c>
      <c r="B74" s="93">
        <f t="shared" si="63"/>
        <v>1.26057232167108</v>
      </c>
      <c r="C74" s="93">
        <f t="shared" ref="C74:W74" si="76">IF(C12=0,0,C24/C64)</f>
        <v>1.2598375808741671</v>
      </c>
      <c r="D74" s="93">
        <f t="shared" si="76"/>
        <v>1.2585249983465432</v>
      </c>
      <c r="E74" s="93">
        <f t="shared" si="76"/>
        <v>1.2028158044163213</v>
      </c>
      <c r="F74" s="93">
        <f t="shared" si="76"/>
        <v>1.2345401315167945</v>
      </c>
      <c r="G74" s="93">
        <f t="shared" si="76"/>
        <v>1.2412440130291882</v>
      </c>
      <c r="H74" s="93">
        <f t="shared" si="76"/>
        <v>1.2459491259165878</v>
      </c>
      <c r="I74" s="93">
        <f t="shared" si="76"/>
        <v>1.2445159764147309</v>
      </c>
      <c r="J74" s="93">
        <f t="shared" si="76"/>
        <v>1.2019709826695253</v>
      </c>
      <c r="K74" s="93">
        <f t="shared" si="76"/>
        <v>1.1703150034658438</v>
      </c>
      <c r="L74" s="93">
        <f t="shared" si="76"/>
        <v>1.2879546420252022</v>
      </c>
      <c r="M74" s="93">
        <f t="shared" si="76"/>
        <v>1.2140833914508944</v>
      </c>
      <c r="N74" s="93">
        <f t="shared" si="76"/>
        <v>1.1805662742563934</v>
      </c>
      <c r="O74" s="93">
        <f t="shared" si="76"/>
        <v>1.2183689362321768</v>
      </c>
      <c r="P74" s="93">
        <f t="shared" si="76"/>
        <v>1.2029428839467333</v>
      </c>
      <c r="Q74" s="93">
        <f t="shared" si="76"/>
        <v>1.2363255482318494</v>
      </c>
      <c r="R74" s="93">
        <f t="shared" si="76"/>
        <v>1.2357292892306198</v>
      </c>
      <c r="S74" s="93">
        <f t="shared" si="76"/>
        <v>1.2710176301957681</v>
      </c>
      <c r="T74" s="93">
        <f t="shared" si="76"/>
        <v>1.2794946185953737</v>
      </c>
      <c r="U74" s="93">
        <f t="shared" si="76"/>
        <v>1.2700187026514986</v>
      </c>
      <c r="V74" s="93">
        <f t="shared" si="76"/>
        <v>1.0451309950152838</v>
      </c>
      <c r="W74" s="93">
        <f t="shared" si="76"/>
        <v>0.93307514170941241</v>
      </c>
      <c r="X74" s="93">
        <f t="shared" ref="X74:Y74" si="77">IF(X12=0,0,X24/X64)</f>
        <v>1.193727809193055</v>
      </c>
      <c r="Y74" s="93">
        <f t="shared" si="77"/>
        <v>1.1805931742477722</v>
      </c>
      <c r="DA74" s="175"/>
    </row>
    <row r="75" spans="1:105" ht="11.45" customHeight="1" x14ac:dyDescent="0.25">
      <c r="A75" s="85" t="s">
        <v>182</v>
      </c>
      <c r="B75" s="94">
        <f t="shared" si="63"/>
        <v>0.70641587789680416</v>
      </c>
      <c r="C75" s="94">
        <f t="shared" ref="C75:W75" si="78">IF(C13=0,0,C25/C65)</f>
        <v>0.70628175734325893</v>
      </c>
      <c r="D75" s="94">
        <f t="shared" si="78"/>
        <v>0.70534933431918168</v>
      </c>
      <c r="E75" s="94">
        <f t="shared" si="78"/>
        <v>0.67448410950935922</v>
      </c>
      <c r="F75" s="94">
        <f t="shared" si="78"/>
        <v>0.69224030152906579</v>
      </c>
      <c r="G75" s="94">
        <f t="shared" si="78"/>
        <v>0.67428463471425837</v>
      </c>
      <c r="H75" s="94">
        <f t="shared" si="78"/>
        <v>0.68842288287716036</v>
      </c>
      <c r="I75" s="94">
        <f t="shared" si="78"/>
        <v>0.67461295084884854</v>
      </c>
      <c r="J75" s="94">
        <f t="shared" si="78"/>
        <v>0.71042070612193087</v>
      </c>
      <c r="K75" s="94">
        <f t="shared" si="78"/>
        <v>0.72045436500523807</v>
      </c>
      <c r="L75" s="94">
        <f t="shared" si="78"/>
        <v>0.83407244065561292</v>
      </c>
      <c r="M75" s="94">
        <f t="shared" si="78"/>
        <v>0.70771883077185793</v>
      </c>
      <c r="N75" s="94">
        <f t="shared" si="78"/>
        <v>0.84211745124319792</v>
      </c>
      <c r="O75" s="94">
        <f t="shared" si="78"/>
        <v>0.8530570625108953</v>
      </c>
      <c r="P75" s="94">
        <f t="shared" si="78"/>
        <v>0.76437424521637309</v>
      </c>
      <c r="Q75" s="94">
        <f t="shared" si="78"/>
        <v>0.84657274948841288</v>
      </c>
      <c r="R75" s="94">
        <f t="shared" si="78"/>
        <v>0.8521578894109012</v>
      </c>
      <c r="S75" s="94">
        <f t="shared" si="78"/>
        <v>0.86986113335698667</v>
      </c>
      <c r="T75" s="94">
        <f t="shared" si="78"/>
        <v>0.85653797607618032</v>
      </c>
      <c r="U75" s="94">
        <f t="shared" si="78"/>
        <v>0.8822324727059544</v>
      </c>
      <c r="V75" s="94">
        <f t="shared" si="78"/>
        <v>0.97872708865732072</v>
      </c>
      <c r="W75" s="94">
        <f t="shared" si="78"/>
        <v>0.89784884287218314</v>
      </c>
      <c r="X75" s="94">
        <f t="shared" ref="X75:Y75" si="79">IF(X13=0,0,X25/X65)</f>
        <v>0.88599590981365117</v>
      </c>
      <c r="Y75" s="94">
        <f t="shared" si="79"/>
        <v>0.801062477623667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18877.069007999999</v>
      </c>
      <c r="C3" s="79">
        <f t="shared" si="0"/>
        <v>18766.161288000003</v>
      </c>
      <c r="D3" s="79">
        <f t="shared" ref="D3" si="1">SUM(D4:D5)</f>
        <v>18610.862255999997</v>
      </c>
      <c r="E3" s="79">
        <f t="shared" ref="E3" si="2">SUM(E4:E5)</f>
        <v>17912.232629640002</v>
      </c>
      <c r="F3" s="79">
        <f t="shared" ref="F3" si="3">SUM(F4:F5)</f>
        <v>18830.424562200002</v>
      </c>
      <c r="G3" s="79">
        <f t="shared" ref="G3" si="4">SUM(G4:G5)</f>
        <v>19003.540125960008</v>
      </c>
      <c r="H3" s="79">
        <f t="shared" ref="H3" si="5">SUM(H4:H5)</f>
        <v>19760.971711320002</v>
      </c>
      <c r="I3" s="79">
        <f t="shared" ref="I3" si="6">SUM(I4:I5)</f>
        <v>20388.557504879998</v>
      </c>
      <c r="J3" s="79">
        <f t="shared" ref="J3" si="7">SUM(J4:J5)</f>
        <v>20496.784966200001</v>
      </c>
      <c r="K3" s="79">
        <f t="shared" ref="K3" si="8">SUM(K4:K5)</f>
        <v>18774.730245600003</v>
      </c>
      <c r="L3" s="79">
        <f t="shared" ref="L3" si="9">SUM(L4:L5)</f>
        <v>19009.734936839999</v>
      </c>
      <c r="M3" s="79">
        <f t="shared" ref="M3" si="10">SUM(M4:M5)</f>
        <v>21118.240121759998</v>
      </c>
      <c r="N3" s="79">
        <f t="shared" ref="N3" si="11">SUM(N4:N5)</f>
        <v>20799.573278039999</v>
      </c>
      <c r="O3" s="79">
        <f t="shared" ref="O3" si="12">SUM(O4:O5)</f>
        <v>20582.377058880003</v>
      </c>
      <c r="P3" s="79">
        <f t="shared" ref="P3" si="13">SUM(P4:P5)</f>
        <v>20544.0161472</v>
      </c>
      <c r="Q3" s="79">
        <f t="shared" ref="Q3" si="14">SUM(Q4:Q5)</f>
        <v>21497.613634799996</v>
      </c>
      <c r="R3" s="79">
        <f t="shared" ref="R3" si="15">SUM(R4:R5)</f>
        <v>21350.971798560004</v>
      </c>
      <c r="S3" s="79">
        <f t="shared" ref="S3" si="16">SUM(S4:S5)</f>
        <v>21759.21971496</v>
      </c>
      <c r="T3" s="79">
        <f t="shared" ref="T3" si="17">SUM(T4:T5)</f>
        <v>22594.524692040002</v>
      </c>
      <c r="U3" s="79">
        <f t="shared" ref="U3" si="18">SUM(U4:U5)</f>
        <v>23569.593870600002</v>
      </c>
      <c r="V3" s="79">
        <f t="shared" ref="V3:W3" si="19">SUM(V4:V5)</f>
        <v>10889.40136536</v>
      </c>
      <c r="W3" s="79">
        <f t="shared" si="19"/>
        <v>12257.476615800002</v>
      </c>
      <c r="X3" s="79">
        <f t="shared" ref="X3:Y3" si="20">SUM(X4:X5)</f>
        <v>19458.254563920003</v>
      </c>
      <c r="Y3" s="79">
        <f t="shared" si="20"/>
        <v>20400.563455920004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3175.3169280000002</v>
      </c>
      <c r="C4" s="96">
        <f t="shared" si="21"/>
        <v>3238.8026579999996</v>
      </c>
      <c r="D4" s="96">
        <f t="shared" ref="D4:V4" si="22">SUM(D7,D11)</f>
        <v>3020.0878260000004</v>
      </c>
      <c r="E4" s="96">
        <f t="shared" si="22"/>
        <v>2794.5227253600001</v>
      </c>
      <c r="F4" s="96">
        <f t="shared" si="22"/>
        <v>2667.7687773600001</v>
      </c>
      <c r="G4" s="96">
        <f t="shared" si="22"/>
        <v>2646.1163005200001</v>
      </c>
      <c r="H4" s="96">
        <f t="shared" si="22"/>
        <v>2639.9333894400006</v>
      </c>
      <c r="I4" s="96">
        <f t="shared" si="22"/>
        <v>2639.9333894400006</v>
      </c>
      <c r="J4" s="96">
        <f t="shared" si="22"/>
        <v>2643.0479974800005</v>
      </c>
      <c r="K4" s="96">
        <f t="shared" si="22"/>
        <v>2510.0531924400002</v>
      </c>
      <c r="L4" s="96">
        <f t="shared" si="22"/>
        <v>2429.7190649999998</v>
      </c>
      <c r="M4" s="96">
        <f t="shared" si="22"/>
        <v>4522.9425951599987</v>
      </c>
      <c r="N4" s="96">
        <f t="shared" si="22"/>
        <v>4556.7658753200012</v>
      </c>
      <c r="O4" s="96">
        <f t="shared" si="22"/>
        <v>4481.2956862800002</v>
      </c>
      <c r="P4" s="96">
        <f t="shared" si="22"/>
        <v>4288.0819327200015</v>
      </c>
      <c r="Q4" s="96">
        <f t="shared" si="22"/>
        <v>4287.9466850399986</v>
      </c>
      <c r="R4" s="96">
        <f t="shared" si="22"/>
        <v>4423.304298959999</v>
      </c>
      <c r="S4" s="96">
        <f t="shared" si="22"/>
        <v>4565.9471731199992</v>
      </c>
      <c r="T4" s="96">
        <f t="shared" si="22"/>
        <v>4800.4516375200019</v>
      </c>
      <c r="U4" s="96">
        <f t="shared" si="22"/>
        <v>4880.1412292400009</v>
      </c>
      <c r="V4" s="96">
        <f t="shared" si="22"/>
        <v>2953.9144119600001</v>
      </c>
      <c r="W4" s="96">
        <f t="shared" ref="W4:Y4" si="23">SUM(W7,W11)</f>
        <v>3628.8474620400007</v>
      </c>
      <c r="X4" s="96">
        <f t="shared" si="23"/>
        <v>4749.3226476000018</v>
      </c>
      <c r="Y4" s="96">
        <f t="shared" si="23"/>
        <v>4278.7624590000014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15701.75208</v>
      </c>
      <c r="C5" s="96">
        <f t="shared" si="24"/>
        <v>15527.358630000002</v>
      </c>
      <c r="D5" s="96">
        <f t="shared" ref="D5:V5" si="25">SUM(D8:D9,D12:D13)</f>
        <v>15590.774429999998</v>
      </c>
      <c r="E5" s="96">
        <f t="shared" si="25"/>
        <v>15117.709904280004</v>
      </c>
      <c r="F5" s="96">
        <f t="shared" si="25"/>
        <v>16162.655784840001</v>
      </c>
      <c r="G5" s="96">
        <f t="shared" si="25"/>
        <v>16357.423825440006</v>
      </c>
      <c r="H5" s="96">
        <f t="shared" si="25"/>
        <v>17121.038321880002</v>
      </c>
      <c r="I5" s="96">
        <f t="shared" si="25"/>
        <v>17748.624115439998</v>
      </c>
      <c r="J5" s="96">
        <f t="shared" si="25"/>
        <v>17853.736968720001</v>
      </c>
      <c r="K5" s="96">
        <f t="shared" si="25"/>
        <v>16264.677053160001</v>
      </c>
      <c r="L5" s="96">
        <f t="shared" si="25"/>
        <v>16580.015871839998</v>
      </c>
      <c r="M5" s="96">
        <f t="shared" si="25"/>
        <v>16595.297526599999</v>
      </c>
      <c r="N5" s="96">
        <f t="shared" si="25"/>
        <v>16242.80740272</v>
      </c>
      <c r="O5" s="96">
        <f t="shared" si="25"/>
        <v>16101.081372600003</v>
      </c>
      <c r="P5" s="96">
        <f t="shared" si="25"/>
        <v>16255.934214479999</v>
      </c>
      <c r="Q5" s="96">
        <f t="shared" si="25"/>
        <v>17209.666949759998</v>
      </c>
      <c r="R5" s="96">
        <f t="shared" si="25"/>
        <v>16927.667499600004</v>
      </c>
      <c r="S5" s="96">
        <f t="shared" si="25"/>
        <v>17193.27254184</v>
      </c>
      <c r="T5" s="96">
        <f t="shared" si="25"/>
        <v>17794.073054519999</v>
      </c>
      <c r="U5" s="96">
        <f t="shared" si="25"/>
        <v>18689.45264136</v>
      </c>
      <c r="V5" s="96">
        <f t="shared" si="25"/>
        <v>7935.4869533999999</v>
      </c>
      <c r="W5" s="96">
        <f t="shared" ref="W5:Y5" si="26">SUM(W8:W9,W12:W13)</f>
        <v>8628.6291537600009</v>
      </c>
      <c r="X5" s="96">
        <f t="shared" si="26"/>
        <v>14708.931916320003</v>
      </c>
      <c r="Y5" s="96">
        <f t="shared" si="26"/>
        <v>16121.800996920003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17519.593102080053</v>
      </c>
      <c r="C6" s="21">
        <f t="shared" si="27"/>
        <v>17403.677069832866</v>
      </c>
      <c r="D6" s="21">
        <f t="shared" ref="D6:V6" si="28">SUM(D7:D9)</f>
        <v>17283.772235024579</v>
      </c>
      <c r="E6" s="21">
        <f t="shared" si="28"/>
        <v>16614.239649483425</v>
      </c>
      <c r="F6" s="21">
        <f t="shared" si="28"/>
        <v>17414.434684727203</v>
      </c>
      <c r="G6" s="21">
        <f t="shared" si="28"/>
        <v>17545.289088862752</v>
      </c>
      <c r="H6" s="21">
        <f t="shared" si="28"/>
        <v>18249.551949483008</v>
      </c>
      <c r="I6" s="21">
        <f t="shared" si="28"/>
        <v>18823.183821321665</v>
      </c>
      <c r="J6" s="21">
        <f t="shared" si="28"/>
        <v>18912.293769163516</v>
      </c>
      <c r="K6" s="21">
        <f t="shared" si="28"/>
        <v>17541.49199802403</v>
      </c>
      <c r="L6" s="21">
        <f t="shared" si="28"/>
        <v>17578.514846452024</v>
      </c>
      <c r="M6" s="21">
        <f t="shared" si="28"/>
        <v>19582.681074389169</v>
      </c>
      <c r="N6" s="21">
        <f t="shared" si="28"/>
        <v>19229.659831007146</v>
      </c>
      <c r="O6" s="21">
        <f t="shared" si="28"/>
        <v>19112.549228557829</v>
      </c>
      <c r="P6" s="21">
        <f t="shared" si="28"/>
        <v>18860.275735954307</v>
      </c>
      <c r="Q6" s="21">
        <f t="shared" si="28"/>
        <v>19706.108804818217</v>
      </c>
      <c r="R6" s="21">
        <f t="shared" si="28"/>
        <v>19796.437549764887</v>
      </c>
      <c r="S6" s="21">
        <f t="shared" si="28"/>
        <v>20156.374815998293</v>
      </c>
      <c r="T6" s="21">
        <f t="shared" si="28"/>
        <v>21042.87390919208</v>
      </c>
      <c r="U6" s="21">
        <f t="shared" si="28"/>
        <v>22089.630914484325</v>
      </c>
      <c r="V6" s="21">
        <f t="shared" si="28"/>
        <v>9083.4274049370761</v>
      </c>
      <c r="W6" s="21">
        <f t="shared" ref="W6:Y6" si="29">SUM(W7:W9)</f>
        <v>10382.779469106234</v>
      </c>
      <c r="X6" s="21">
        <f t="shared" si="29"/>
        <v>17888.922179036679</v>
      </c>
      <c r="Y6" s="21">
        <f t="shared" si="29"/>
        <v>19114.300067747674</v>
      </c>
      <c r="DA6" s="189" t="s">
        <v>327</v>
      </c>
    </row>
    <row r="7" spans="1:105" ht="11.45" customHeight="1" x14ac:dyDescent="0.25">
      <c r="A7" s="83" t="s">
        <v>27</v>
      </c>
      <c r="B7" s="96">
        <v>2983.9174118206161</v>
      </c>
      <c r="C7" s="96">
        <v>3017.8289159067535</v>
      </c>
      <c r="D7" s="96">
        <v>2843.839156127367</v>
      </c>
      <c r="E7" s="96">
        <v>2651.6439830273957</v>
      </c>
      <c r="F7" s="96">
        <v>2520.5013853830424</v>
      </c>
      <c r="G7" s="96">
        <v>2500.6676590569405</v>
      </c>
      <c r="H7" s="96">
        <v>2516.3790035322054</v>
      </c>
      <c r="I7" s="96">
        <v>2536.7164397333786</v>
      </c>
      <c r="J7" s="96">
        <v>2560.3358131182072</v>
      </c>
      <c r="K7" s="96">
        <v>2436.3274070497464</v>
      </c>
      <c r="L7" s="96">
        <v>2375.7564412548318</v>
      </c>
      <c r="M7" s="96">
        <v>4424.5967570709136</v>
      </c>
      <c r="N7" s="96">
        <v>4454.9751411034376</v>
      </c>
      <c r="O7" s="96">
        <v>4387.2913624529156</v>
      </c>
      <c r="P7" s="96">
        <v>4178.2179993277095</v>
      </c>
      <c r="Q7" s="96">
        <v>4181.9011957234843</v>
      </c>
      <c r="R7" s="96">
        <v>4330.0051846252072</v>
      </c>
      <c r="S7" s="96">
        <v>4468.760081643155</v>
      </c>
      <c r="T7" s="96">
        <v>4703.1091379005666</v>
      </c>
      <c r="U7" s="96">
        <v>4785.7374823740884</v>
      </c>
      <c r="V7" s="96">
        <v>2846.8100516396485</v>
      </c>
      <c r="W7" s="96">
        <v>3486.6371259132179</v>
      </c>
      <c r="X7" s="96">
        <v>4678.1328462549236</v>
      </c>
      <c r="Y7" s="96">
        <v>4205.8754839263556</v>
      </c>
      <c r="DA7" s="171" t="s">
        <v>328</v>
      </c>
    </row>
    <row r="8" spans="1:105" ht="11.45" customHeight="1" x14ac:dyDescent="0.25">
      <c r="A8" s="83" t="s">
        <v>181</v>
      </c>
      <c r="B8" s="96">
        <v>3873.1013813507957</v>
      </c>
      <c r="C8" s="96">
        <v>3833.2045351203933</v>
      </c>
      <c r="D8" s="96">
        <v>3847.6109277751643</v>
      </c>
      <c r="E8" s="96">
        <v>3664.9063274736341</v>
      </c>
      <c r="F8" s="96">
        <v>3807.2500867192525</v>
      </c>
      <c r="G8" s="96">
        <v>3836.0981479463994</v>
      </c>
      <c r="H8" s="96">
        <v>4097.142762570018</v>
      </c>
      <c r="I8" s="96">
        <v>4326.7863715497006</v>
      </c>
      <c r="J8" s="96">
        <v>4248.4317867165182</v>
      </c>
      <c r="K8" s="96">
        <v>3759.5294097299357</v>
      </c>
      <c r="L8" s="96">
        <v>3708.5044340243157</v>
      </c>
      <c r="M8" s="96">
        <v>3732.1285362378171</v>
      </c>
      <c r="N8" s="96">
        <v>3584.0561277447378</v>
      </c>
      <c r="O8" s="96">
        <v>3550.5865089402455</v>
      </c>
      <c r="P8" s="96">
        <v>3567.8859597847718</v>
      </c>
      <c r="Q8" s="96">
        <v>3781.4067065746767</v>
      </c>
      <c r="R8" s="96">
        <v>3965.478764988477</v>
      </c>
      <c r="S8" s="96">
        <v>4140.7232040302242</v>
      </c>
      <c r="T8" s="96">
        <v>4247.5447670443691</v>
      </c>
      <c r="U8" s="96">
        <v>4333.2982528889925</v>
      </c>
      <c r="V8" s="96">
        <v>1243.9886383260832</v>
      </c>
      <c r="W8" s="96">
        <v>1548.1705676519359</v>
      </c>
      <c r="X8" s="96">
        <v>3541.043357221964</v>
      </c>
      <c r="Y8" s="96">
        <v>3900.0253239071567</v>
      </c>
      <c r="DA8" s="171" t="s">
        <v>329</v>
      </c>
    </row>
    <row r="9" spans="1:105" ht="11.45" customHeight="1" x14ac:dyDescent="0.25">
      <c r="A9" s="83" t="s">
        <v>182</v>
      </c>
      <c r="B9" s="96">
        <v>10662.574308908641</v>
      </c>
      <c r="C9" s="96">
        <v>10552.643618805718</v>
      </c>
      <c r="D9" s="96">
        <v>10592.322151122047</v>
      </c>
      <c r="E9" s="96">
        <v>10297.689338982393</v>
      </c>
      <c r="F9" s="96">
        <v>11086.683212624908</v>
      </c>
      <c r="G9" s="96">
        <v>11208.523281859414</v>
      </c>
      <c r="H9" s="96">
        <v>11636.030183380786</v>
      </c>
      <c r="I9" s="96">
        <v>11959.681010038586</v>
      </c>
      <c r="J9" s="96">
        <v>12103.526169328788</v>
      </c>
      <c r="K9" s="96">
        <v>11345.635181244348</v>
      </c>
      <c r="L9" s="96">
        <v>11494.253971172875</v>
      </c>
      <c r="M9" s="96">
        <v>11425.955781080438</v>
      </c>
      <c r="N9" s="96">
        <v>11190.62856215897</v>
      </c>
      <c r="O9" s="96">
        <v>11174.671357164667</v>
      </c>
      <c r="P9" s="96">
        <v>11114.171776841826</v>
      </c>
      <c r="Q9" s="96">
        <v>11742.800902520057</v>
      </c>
      <c r="R9" s="96">
        <v>11500.953600151201</v>
      </c>
      <c r="S9" s="96">
        <v>11546.891530324914</v>
      </c>
      <c r="T9" s="96">
        <v>12092.220004247145</v>
      </c>
      <c r="U9" s="96">
        <v>12970.595179221245</v>
      </c>
      <c r="V9" s="96">
        <v>4992.6287149713444</v>
      </c>
      <c r="W9" s="96">
        <v>5347.9717755410802</v>
      </c>
      <c r="X9" s="96">
        <v>9669.7459755597938</v>
      </c>
      <c r="Y9" s="96">
        <v>11008.399259914164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1357.4759059199466</v>
      </c>
      <c r="C10" s="22">
        <f t="shared" si="30"/>
        <v>1362.4842181671365</v>
      </c>
      <c r="D10" s="22">
        <f t="shared" ref="D10:V10" si="31">SUM(D11:D13)</f>
        <v>1327.0900209754204</v>
      </c>
      <c r="E10" s="22">
        <f t="shared" si="31"/>
        <v>1297.9929801565802</v>
      </c>
      <c r="F10" s="22">
        <f t="shared" si="31"/>
        <v>1415.9898774727978</v>
      </c>
      <c r="G10" s="22">
        <f t="shared" si="31"/>
        <v>1458.2510370972523</v>
      </c>
      <c r="H10" s="22">
        <f t="shared" si="31"/>
        <v>1511.4197618369919</v>
      </c>
      <c r="I10" s="22">
        <f t="shared" si="31"/>
        <v>1565.373683558335</v>
      </c>
      <c r="J10" s="22">
        <f t="shared" si="31"/>
        <v>1584.4911970364867</v>
      </c>
      <c r="K10" s="22">
        <f t="shared" si="31"/>
        <v>1233.2382475759721</v>
      </c>
      <c r="L10" s="22">
        <f t="shared" si="31"/>
        <v>1431.2200903879759</v>
      </c>
      <c r="M10" s="22">
        <f t="shared" si="31"/>
        <v>1535.5590473708301</v>
      </c>
      <c r="N10" s="22">
        <f t="shared" si="31"/>
        <v>1569.9134470328559</v>
      </c>
      <c r="O10" s="22">
        <f t="shared" si="31"/>
        <v>1469.8278303221764</v>
      </c>
      <c r="P10" s="22">
        <f t="shared" si="31"/>
        <v>1683.740411245695</v>
      </c>
      <c r="Q10" s="22">
        <f t="shared" si="31"/>
        <v>1791.5048299817793</v>
      </c>
      <c r="R10" s="22">
        <f t="shared" si="31"/>
        <v>1554.5342487951179</v>
      </c>
      <c r="S10" s="22">
        <f t="shared" si="31"/>
        <v>1602.8448989617063</v>
      </c>
      <c r="T10" s="22">
        <f t="shared" si="31"/>
        <v>1551.6507828479173</v>
      </c>
      <c r="U10" s="22">
        <f t="shared" si="31"/>
        <v>1479.9629561156746</v>
      </c>
      <c r="V10" s="22">
        <f t="shared" si="31"/>
        <v>1805.9739604229237</v>
      </c>
      <c r="W10" s="22">
        <f t="shared" ref="W10:Y10" si="32">SUM(W11:W13)</f>
        <v>1874.697146693768</v>
      </c>
      <c r="X10" s="22">
        <f t="shared" si="32"/>
        <v>1569.3323848833236</v>
      </c>
      <c r="Y10" s="22">
        <f t="shared" si="32"/>
        <v>1286.2633881723264</v>
      </c>
      <c r="DA10" s="193" t="s">
        <v>331</v>
      </c>
    </row>
    <row r="11" spans="1:105" ht="11.45" customHeight="1" x14ac:dyDescent="0.25">
      <c r="A11" s="92" t="s">
        <v>27</v>
      </c>
      <c r="B11" s="97">
        <v>191.39951617938436</v>
      </c>
      <c r="C11" s="97">
        <v>220.97374209324596</v>
      </c>
      <c r="D11" s="97">
        <v>176.24866987263329</v>
      </c>
      <c r="E11" s="97">
        <v>142.87874233260439</v>
      </c>
      <c r="F11" s="97">
        <v>147.26739197695753</v>
      </c>
      <c r="G11" s="97">
        <v>145.44864146305943</v>
      </c>
      <c r="H11" s="97">
        <v>123.55438590779528</v>
      </c>
      <c r="I11" s="97">
        <v>103.21694970662215</v>
      </c>
      <c r="J11" s="97">
        <v>82.712184361793206</v>
      </c>
      <c r="K11" s="97">
        <v>73.725785390254018</v>
      </c>
      <c r="L11" s="97">
        <v>53.962623745168123</v>
      </c>
      <c r="M11" s="97">
        <v>98.345838089085191</v>
      </c>
      <c r="N11" s="97">
        <v>101.79073421656321</v>
      </c>
      <c r="O11" s="97">
        <v>94.00432382708415</v>
      </c>
      <c r="P11" s="97">
        <v>109.8639333922921</v>
      </c>
      <c r="Q11" s="97">
        <v>106.04548931651429</v>
      </c>
      <c r="R11" s="97">
        <v>93.299114334791554</v>
      </c>
      <c r="S11" s="97">
        <v>97.187091476844301</v>
      </c>
      <c r="T11" s="97">
        <v>97.342499619435273</v>
      </c>
      <c r="U11" s="97">
        <v>94.403746865912311</v>
      </c>
      <c r="V11" s="97">
        <v>107.10436032035169</v>
      </c>
      <c r="W11" s="97">
        <v>142.21033612678269</v>
      </c>
      <c r="X11" s="97">
        <v>71.189801345078422</v>
      </c>
      <c r="Y11" s="97">
        <v>72.886975073645544</v>
      </c>
      <c r="DA11" s="175" t="s">
        <v>332</v>
      </c>
    </row>
    <row r="12" spans="1:105" ht="11.45" customHeight="1" x14ac:dyDescent="0.25">
      <c r="A12" s="92" t="s">
        <v>181</v>
      </c>
      <c r="B12" s="97">
        <v>76.676426580844492</v>
      </c>
      <c r="C12" s="97">
        <v>87.319972057798054</v>
      </c>
      <c r="D12" s="97">
        <v>78.87972021299781</v>
      </c>
      <c r="E12" s="97">
        <v>73.073744375690026</v>
      </c>
      <c r="F12" s="97">
        <v>81.109796629616497</v>
      </c>
      <c r="G12" s="97">
        <v>77.895373603285535</v>
      </c>
      <c r="H12" s="97">
        <v>102.20069861691422</v>
      </c>
      <c r="I12" s="97">
        <v>123.64946793245575</v>
      </c>
      <c r="J12" s="97">
        <v>119.98103112638573</v>
      </c>
      <c r="K12" s="97">
        <v>105.35920667016248</v>
      </c>
      <c r="L12" s="97">
        <v>118.87052027519998</v>
      </c>
      <c r="M12" s="97">
        <v>137.27234906654797</v>
      </c>
      <c r="N12" s="97">
        <v>128.64603680187997</v>
      </c>
      <c r="O12" s="97">
        <v>139.23204531633621</v>
      </c>
      <c r="P12" s="97">
        <v>169.40675018997871</v>
      </c>
      <c r="Q12" s="97">
        <v>172.78169787261891</v>
      </c>
      <c r="R12" s="97">
        <v>151.28462954054004</v>
      </c>
      <c r="S12" s="97">
        <v>164.54005096881826</v>
      </c>
      <c r="T12" s="97">
        <v>143.17289599601474</v>
      </c>
      <c r="U12" s="97">
        <v>145.47740070087102</v>
      </c>
      <c r="V12" s="97">
        <v>118.86144426604132</v>
      </c>
      <c r="W12" s="97">
        <v>126.22424558733871</v>
      </c>
      <c r="X12" s="97">
        <v>180.004850695366</v>
      </c>
      <c r="Y12" s="97">
        <v>174.27408856591285</v>
      </c>
      <c r="DA12" s="175" t="s">
        <v>333</v>
      </c>
    </row>
    <row r="13" spans="1:105" ht="11.45" customHeight="1" x14ac:dyDescent="0.25">
      <c r="A13" s="85" t="s">
        <v>182</v>
      </c>
      <c r="B13" s="98">
        <v>1089.3999631597178</v>
      </c>
      <c r="C13" s="98">
        <v>1054.1905040160925</v>
      </c>
      <c r="D13" s="98">
        <v>1071.9616308897894</v>
      </c>
      <c r="E13" s="98">
        <v>1082.0404934482858</v>
      </c>
      <c r="F13" s="98">
        <v>1187.6126888662238</v>
      </c>
      <c r="G13" s="98">
        <v>1234.9070220309072</v>
      </c>
      <c r="H13" s="98">
        <v>1285.6646773122825</v>
      </c>
      <c r="I13" s="98">
        <v>1338.507265919257</v>
      </c>
      <c r="J13" s="98">
        <v>1381.7979815483077</v>
      </c>
      <c r="K13" s="98">
        <v>1054.1532555155557</v>
      </c>
      <c r="L13" s="98">
        <v>1258.3869463676078</v>
      </c>
      <c r="M13" s="98">
        <v>1299.9408602151968</v>
      </c>
      <c r="N13" s="98">
        <v>1339.4766760144128</v>
      </c>
      <c r="O13" s="98">
        <v>1236.5914611787562</v>
      </c>
      <c r="P13" s="98">
        <v>1404.4697276634242</v>
      </c>
      <c r="Q13" s="98">
        <v>1512.6776427926461</v>
      </c>
      <c r="R13" s="98">
        <v>1309.9505049197865</v>
      </c>
      <c r="S13" s="98">
        <v>1341.1177565160438</v>
      </c>
      <c r="T13" s="98">
        <v>1311.1353872324673</v>
      </c>
      <c r="U13" s="98">
        <v>1240.0818085488913</v>
      </c>
      <c r="V13" s="98">
        <v>1580.0081558365307</v>
      </c>
      <c r="W13" s="98">
        <v>1606.2625649796466</v>
      </c>
      <c r="X13" s="98">
        <v>1318.1377328428791</v>
      </c>
      <c r="Y13" s="98">
        <v>1039.1023245327681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3.0082359346572454</v>
      </c>
      <c r="C18" s="97">
        <f>IF(C4=0,0,C4/TrAvia_ene!C4)</f>
        <v>3.0083546713448226</v>
      </c>
      <c r="D18" s="97">
        <f>IF(D4=0,0,D4/TrAvia_ene!D4)</f>
        <v>3.0082970089270926</v>
      </c>
      <c r="E18" s="97">
        <f>IF(E4=0,0,E4/TrAvia_ene!E4)</f>
        <v>3.0084192657337074</v>
      </c>
      <c r="F18" s="97">
        <f>IF(F4=0,0,F4/TrAvia_ene!F4)</f>
        <v>3.0083295281627667</v>
      </c>
      <c r="G18" s="97">
        <f>IF(G4=0,0,G4/TrAvia_ene!G4)</f>
        <v>3.0082183644446001</v>
      </c>
      <c r="H18" s="97">
        <f>IF(H4=0,0,H4/TrAvia_ene!H4)</f>
        <v>3.008213470968693</v>
      </c>
      <c r="I18" s="97">
        <f>IF(I4=0,0,I4/TrAvia_ene!I4)</f>
        <v>3.008213470968693</v>
      </c>
      <c r="J18" s="97">
        <f>IF(J4=0,0,J4/TrAvia_ene!J4)</f>
        <v>3.0084061157588891</v>
      </c>
      <c r="K18" s="97">
        <f>IF(K4=0,0,K4/TrAvia_ene!K4)</f>
        <v>3.0078048000211433</v>
      </c>
      <c r="L18" s="97">
        <f>IF(L4=0,0,L4/TrAvia_ene!L4)</f>
        <v>3.0081357114943401</v>
      </c>
      <c r="M18" s="97">
        <f>IF(M4=0,0,M4/TrAvia_ene!M4)</f>
        <v>3.008928794491609</v>
      </c>
      <c r="N18" s="97">
        <f>IF(N4=0,0,N4/TrAvia_ene!N4)</f>
        <v>3.0090640177441661</v>
      </c>
      <c r="O18" s="97">
        <f>IF(O4=0,0,O4/TrAvia_ene!O4)</f>
        <v>3.0091070226821257</v>
      </c>
      <c r="P18" s="97">
        <f>IF(P4=0,0,P4/TrAvia_ene!P4)</f>
        <v>3.0092369558138405</v>
      </c>
      <c r="Q18" s="97">
        <f>IF(Q4=0,0,Q4/TrAvia_ene!Q4)</f>
        <v>3.0092397339481414</v>
      </c>
      <c r="R18" s="97">
        <f>IF(R4=0,0,R4/TrAvia_ene!R4)</f>
        <v>3.0093328868487728</v>
      </c>
      <c r="S18" s="97">
        <f>IF(S4=0,0,S4/TrAvia_ene!S4)</f>
        <v>3.0093998964932607</v>
      </c>
      <c r="T18" s="97">
        <f>IF(T4=0,0,T4/TrAvia_ene!T4)</f>
        <v>3.0094342982513629</v>
      </c>
      <c r="U18" s="97">
        <f>IF(U4=0,0,U4/TrAvia_ene!U4)</f>
        <v>3.0094551252940716</v>
      </c>
      <c r="V18" s="97">
        <f>IF(V4=0,0,V4/TrAvia_ene!V4)</f>
        <v>3.0092030191072783</v>
      </c>
      <c r="W18" s="97">
        <f>IF(W4=0,0,W4/TrAvia_ene!W4)</f>
        <v>3.0089654025822776</v>
      </c>
      <c r="X18" s="97">
        <f>IF(X4=0,0,X4/TrAvia_ene!X4)</f>
        <v>2.9974512883885325</v>
      </c>
      <c r="Y18" s="97">
        <f>IF(Y4=0,0,Y4/TrAvia_ene!Y4)</f>
        <v>2.9906341155547391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</v>
      </c>
      <c r="D19" s="98">
        <f>IF(D5=0,0,D5/TrAvia_ene!D5)</f>
        <v>3.0103092000000005</v>
      </c>
      <c r="E19" s="98">
        <f>IF(E5=0,0,E5/TrAvia_ene!E5)</f>
        <v>3.0103092000000014</v>
      </c>
      <c r="F19" s="98">
        <f>IF(F5=0,0,F5/TrAvia_ene!F5)</f>
        <v>3.0103092000000005</v>
      </c>
      <c r="G19" s="98">
        <f>IF(G5=0,0,G5/TrAvia_ene!G5)</f>
        <v>3.0103092000000018</v>
      </c>
      <c r="H19" s="98">
        <f>IF(H5=0,0,H5/TrAvia_ene!H5)</f>
        <v>3.0103092000000005</v>
      </c>
      <c r="I19" s="98">
        <f>IF(I5=0,0,I5/TrAvia_ene!I5)</f>
        <v>3.0103092</v>
      </c>
      <c r="J19" s="98">
        <f>IF(J5=0,0,J5/TrAvia_ene!J5)</f>
        <v>3.0103092000000005</v>
      </c>
      <c r="K19" s="98">
        <f>IF(K5=0,0,K5/TrAvia_ene!K5)</f>
        <v>3.0103092</v>
      </c>
      <c r="L19" s="98">
        <f>IF(L5=0,0,L5/TrAvia_ene!L5)</f>
        <v>3.0103092</v>
      </c>
      <c r="M19" s="98">
        <f>IF(M5=0,0,M5/TrAvia_ene!M5)</f>
        <v>3.0103091999999996</v>
      </c>
      <c r="N19" s="98">
        <f>IF(N5=0,0,N5/TrAvia_ene!N5)</f>
        <v>3.0103091999999996</v>
      </c>
      <c r="O19" s="98">
        <f>IF(O5=0,0,O5/TrAvia_ene!O5)</f>
        <v>3.0103092000000009</v>
      </c>
      <c r="P19" s="98">
        <f>IF(P5=0,0,P5/TrAvia_ene!P5)</f>
        <v>3.0103091999999996</v>
      </c>
      <c r="Q19" s="98">
        <f>IF(Q5=0,0,Q5/TrAvia_ene!Q5)</f>
        <v>3.0103092</v>
      </c>
      <c r="R19" s="98">
        <f>IF(R5=0,0,R5/TrAvia_ene!R5)</f>
        <v>3.0103092000000009</v>
      </c>
      <c r="S19" s="98">
        <f>IF(S5=0,0,S5/TrAvia_ene!S5)</f>
        <v>3.0103092</v>
      </c>
      <c r="T19" s="98">
        <f>IF(T5=0,0,T5/TrAvia_ene!T5)</f>
        <v>3.0103091999999991</v>
      </c>
      <c r="U19" s="98">
        <f>IF(U5=0,0,U5/TrAvia_ene!U5)</f>
        <v>3.0103092000000009</v>
      </c>
      <c r="V19" s="98">
        <f>IF(V5=0,0,V5/TrAvia_ene!V5)</f>
        <v>3.0103092000000005</v>
      </c>
      <c r="W19" s="98">
        <f>IF(W5=0,0,W5/TrAvia_ene!W5)</f>
        <v>3.0103092000000005</v>
      </c>
      <c r="X19" s="98">
        <f>IF(X5=0,0,X5/TrAvia_ene!X5)</f>
        <v>2.9935664339179708</v>
      </c>
      <c r="Y19" s="98">
        <f>IF(Y5=0,0,Y5/TrAvia_ene!Y5)</f>
        <v>2.9846423487988876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14587.504611402361</v>
      </c>
      <c r="C21" s="54">
        <f>IF(C3=0,0,C3/TrAvia_act!C13*1000)</f>
        <v>14518.82860836371</v>
      </c>
      <c r="D21" s="54">
        <f>IF(D3=0,0,D3/TrAvia_act!D13*1000)</f>
        <v>14243.942890705819</v>
      </c>
      <c r="E21" s="54">
        <f>IF(E3=0,0,E3/TrAvia_act!E13*1000)</f>
        <v>13709.201488843286</v>
      </c>
      <c r="F21" s="54">
        <f>IF(F3=0,0,F3/TrAvia_act!F13*1000)</f>
        <v>14229.869601327395</v>
      </c>
      <c r="G21" s="54">
        <f>IF(G3=0,0,G3/TrAvia_act!G13*1000)</f>
        <v>14026.004538766725</v>
      </c>
      <c r="H21" s="54">
        <f>IF(H3=0,0,H3/TrAvia_act!H13*1000)</f>
        <v>14170.584073424769</v>
      </c>
      <c r="I21" s="54">
        <f>IF(I3=0,0,I3/TrAvia_act!I13*1000)</f>
        <v>14019.008791394015</v>
      </c>
      <c r="J21" s="54">
        <f>IF(J3=0,0,J3/TrAvia_act!J13*1000)</f>
        <v>14185.084393729756</v>
      </c>
      <c r="K21" s="54">
        <f>IF(K3=0,0,K3/TrAvia_act!K13*1000)</f>
        <v>14092.712642492872</v>
      </c>
      <c r="L21" s="54">
        <f>IF(L3=0,0,L3/TrAvia_act!L13*1000)</f>
        <v>15833.678629675303</v>
      </c>
      <c r="M21" s="54">
        <f>IF(M3=0,0,M3/TrAvia_act!M13*1000)</f>
        <v>16458.777184367515</v>
      </c>
      <c r="N21" s="54">
        <f>IF(N3=0,0,N3/TrAvia_act!N13*1000)</f>
        <v>17273.588239146418</v>
      </c>
      <c r="O21" s="54">
        <f>IF(O3=0,0,O3/TrAvia_act!O13*1000)</f>
        <v>17264.903521706347</v>
      </c>
      <c r="P21" s="54">
        <f>IF(P3=0,0,P3/TrAvia_act!P13*1000)</f>
        <v>16498.730553837293</v>
      </c>
      <c r="Q21" s="54">
        <f>IF(Q3=0,0,Q3/TrAvia_act!Q13*1000)</f>
        <v>17274.912682780996</v>
      </c>
      <c r="R21" s="54">
        <f>IF(R3=0,0,R3/TrAvia_act!R13*1000)</f>
        <v>17142.818176939269</v>
      </c>
      <c r="S21" s="54">
        <f>IF(S3=0,0,S3/TrAvia_act!S13*1000)</f>
        <v>17117.322962242473</v>
      </c>
      <c r="T21" s="54">
        <f>IF(T3=0,0,T3/TrAvia_act!T13*1000)</f>
        <v>17238.135229550353</v>
      </c>
      <c r="U21" s="54">
        <f>IF(U3=0,0,U3/TrAvia_act!U13*1000)</f>
        <v>17504.567718256814</v>
      </c>
      <c r="V21" s="54">
        <f>IF(V3=0,0,V3/TrAvia_act!V13*1000)</f>
        <v>18561.66686433816</v>
      </c>
      <c r="W21" s="54">
        <f>IF(W3=0,0,W3/TrAvia_act!W13*1000)</f>
        <v>16931.087761483159</v>
      </c>
      <c r="X21" s="54">
        <f>IF(X3=0,0,X3/TrAvia_act!X13*1000)</f>
        <v>17391.241278049849</v>
      </c>
      <c r="Y21" s="54">
        <f>IF(Y3=0,0,Y3/TrAvia_act!Y13*1000)</f>
        <v>16241.484996072046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14483.273713818622</v>
      </c>
      <c r="C22" s="11">
        <f>IF(C6=0,0,C6/TrAvia_act!C14*1000)</f>
        <v>14423.083343538012</v>
      </c>
      <c r="D22" s="11">
        <f>IF(D6=0,0,D6/TrAvia_act!D14*1000)</f>
        <v>14137.733235295094</v>
      </c>
      <c r="E22" s="11">
        <f>IF(E6=0,0,E6/TrAvia_act!E14*1000)</f>
        <v>13596.836305816878</v>
      </c>
      <c r="F22" s="11">
        <f>IF(F6=0,0,F6/TrAvia_act!F14*1000)</f>
        <v>14116.924325016351</v>
      </c>
      <c r="G22" s="11">
        <f>IF(G6=0,0,G6/TrAvia_act!G14*1000)</f>
        <v>13915.261148465808</v>
      </c>
      <c r="H22" s="11">
        <f>IF(H6=0,0,H6/TrAvia_act!H14*1000)</f>
        <v>14060.057291472815</v>
      </c>
      <c r="I22" s="11">
        <f>IF(I6=0,0,I6/TrAvia_act!I14*1000)</f>
        <v>13919.050393910915</v>
      </c>
      <c r="J22" s="11">
        <f>IF(J6=0,0,J6/TrAvia_act!J14*1000)</f>
        <v>14056.590284921154</v>
      </c>
      <c r="K22" s="11">
        <f>IF(K6=0,0,K6/TrAvia_act!K14*1000)</f>
        <v>13996.699278040604</v>
      </c>
      <c r="L22" s="11">
        <f>IF(L6=0,0,L6/TrAvia_act!L14*1000)</f>
        <v>15673.099570298396</v>
      </c>
      <c r="M22" s="11">
        <f>IF(M6=0,0,M6/TrAvia_act!M14*1000)</f>
        <v>16459.863482634479</v>
      </c>
      <c r="N22" s="11">
        <f>IF(N6=0,0,N6/TrAvia_act!N14*1000)</f>
        <v>17162.689971065858</v>
      </c>
      <c r="O22" s="11">
        <f>IF(O6=0,0,O6/TrAvia_act!O14*1000)</f>
        <v>17177.753872495097</v>
      </c>
      <c r="P22" s="11">
        <f>IF(P6=0,0,P6/TrAvia_act!P14*1000)</f>
        <v>16466.561422814069</v>
      </c>
      <c r="Q22" s="11">
        <f>IF(Q6=0,0,Q6/TrAvia_act!Q14*1000)</f>
        <v>17187.531841788954</v>
      </c>
      <c r="R22" s="11">
        <f>IF(R6=0,0,R6/TrAvia_act!R14*1000)</f>
        <v>17058.627915819638</v>
      </c>
      <c r="S22" s="11">
        <f>IF(S6=0,0,S6/TrAvia_act!S14*1000)</f>
        <v>17019.332265689485</v>
      </c>
      <c r="T22" s="11">
        <f>IF(T6=0,0,T6/TrAvia_act!T14*1000)</f>
        <v>17170.324822960185</v>
      </c>
      <c r="U22" s="11">
        <f>IF(U6=0,0,U6/TrAvia_act!U14*1000)</f>
        <v>17447.425647592765</v>
      </c>
      <c r="V22" s="11">
        <f>IF(V6=0,0,V6/TrAvia_act!V14*1000)</f>
        <v>18230.046490175464</v>
      </c>
      <c r="W22" s="11">
        <f>IF(W6=0,0,W6/TrAvia_act!W14*1000)</f>
        <v>16604.157779549027</v>
      </c>
      <c r="X22" s="11">
        <f>IF(X6=0,0,X6/TrAvia_act!X14*1000)</f>
        <v>17299.457566545585</v>
      </c>
      <c r="Y22" s="11">
        <f>IF(Y6=0,0,Y6/TrAvia_act!Y14*1000)</f>
        <v>16217.310666875786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10028.625619797906</v>
      </c>
      <c r="C23" s="84">
        <f>IF(C7=0,0,C7/TrAvia_act!C15*1000)</f>
        <v>9934.2288199128579</v>
      </c>
      <c r="D23" s="84">
        <f>IF(D7=0,0,D7/TrAvia_act!D15*1000)</f>
        <v>9026.2860366210843</v>
      </c>
      <c r="E23" s="84">
        <f>IF(E7=0,0,E7/TrAvia_act!E15*1000)</f>
        <v>8685.0725981925571</v>
      </c>
      <c r="F23" s="84">
        <f>IF(F7=0,0,F7/TrAvia_act!F15*1000)</f>
        <v>8907.2874471355408</v>
      </c>
      <c r="G23" s="84">
        <f>IF(G7=0,0,G7/TrAvia_act!G15*1000)</f>
        <v>8952.5223253561562</v>
      </c>
      <c r="H23" s="84">
        <f>IF(H7=0,0,H7/TrAvia_act!H15*1000)</f>
        <v>8813.0637491836969</v>
      </c>
      <c r="I23" s="84">
        <f>IF(I7=0,0,I7/TrAvia_act!I15*1000)</f>
        <v>8778.6141777491721</v>
      </c>
      <c r="J23" s="84">
        <f>IF(J7=0,0,J7/TrAvia_act!J15*1000)</f>
        <v>8872.6316132711218</v>
      </c>
      <c r="K23" s="84">
        <f>IF(K7=0,0,K7/TrAvia_act!K15*1000)</f>
        <v>8571.5050548977688</v>
      </c>
      <c r="L23" s="84">
        <f>IF(L7=0,0,L7/TrAvia_act!L15*1000)</f>
        <v>9394.658413670817</v>
      </c>
      <c r="M23" s="84">
        <f>IF(M7=0,0,M7/TrAvia_act!M15*1000)</f>
        <v>16556.630958231981</v>
      </c>
      <c r="N23" s="84">
        <f>IF(N7=0,0,N7/TrAvia_act!N15*1000)</f>
        <v>16929.663580411441</v>
      </c>
      <c r="O23" s="84">
        <f>IF(O7=0,0,O7/TrAvia_act!O15*1000)</f>
        <v>16656.183640583775</v>
      </c>
      <c r="P23" s="84">
        <f>IF(P7=0,0,P7/TrAvia_act!P15*1000)</f>
        <v>16357.445408914638</v>
      </c>
      <c r="Q23" s="84">
        <f>IF(Q7=0,0,Q7/TrAvia_act!Q15*1000)</f>
        <v>16444.690554482288</v>
      </c>
      <c r="R23" s="84">
        <f>IF(R7=0,0,R7/TrAvia_act!R15*1000)</f>
        <v>16821.477368049393</v>
      </c>
      <c r="S23" s="84">
        <f>IF(S7=0,0,S7/TrAvia_act!S15*1000)</f>
        <v>16749.210322034662</v>
      </c>
      <c r="T23" s="84">
        <f>IF(T7=0,0,T7/TrAvia_act!T15*1000)</f>
        <v>17139.499346213976</v>
      </c>
      <c r="U23" s="84">
        <f>IF(U7=0,0,U7/TrAvia_act!U15*1000)</f>
        <v>17119.007745884341</v>
      </c>
      <c r="V23" s="84">
        <f>IF(V7=0,0,V7/TrAvia_act!V15*1000)</f>
        <v>17765.836388883992</v>
      </c>
      <c r="W23" s="84">
        <f>IF(W7=0,0,W7/TrAvia_act!W15*1000)</f>
        <v>17388.15078336959</v>
      </c>
      <c r="X23" s="84">
        <f>IF(X7=0,0,X7/TrAvia_act!X15*1000)</f>
        <v>18894.949789585859</v>
      </c>
      <c r="Y23" s="84">
        <f>IF(Y7=0,0,Y7/TrAvia_act!Y15*1000)</f>
        <v>17837.731285221122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12861.222405892828</v>
      </c>
      <c r="C24" s="84">
        <f>IF(C8=0,0,C8/TrAvia_act!C16*1000)</f>
        <v>12858.781099077889</v>
      </c>
      <c r="D24" s="84">
        <f>IF(D8=0,0,D8/TrAvia_act!D16*1000)</f>
        <v>12841.804472283597</v>
      </c>
      <c r="E24" s="84">
        <f>IF(E8=0,0,E8/TrAvia_act!E16*1000)</f>
        <v>12272.615802676812</v>
      </c>
      <c r="F24" s="84">
        <f>IF(F8=0,0,F8/TrAvia_act!F16*1000)</f>
        <v>12592.295488248963</v>
      </c>
      <c r="G24" s="84">
        <f>IF(G8=0,0,G8/TrAvia_act!G16*1000)</f>
        <v>12679.627864100472</v>
      </c>
      <c r="H24" s="84">
        <f>IF(H8=0,0,H8/TrAvia_act!H16*1000)</f>
        <v>12774.142318941593</v>
      </c>
      <c r="I24" s="84">
        <f>IF(I8=0,0,I8/TrAvia_act!I16*1000)</f>
        <v>12774.655481213689</v>
      </c>
      <c r="J24" s="84">
        <f>IF(J8=0,0,J8/TrAvia_act!J16*1000)</f>
        <v>12354.940814404023</v>
      </c>
      <c r="K24" s="84">
        <f>IF(K8=0,0,K8/TrAvia_act!K16*1000)</f>
        <v>12014.909796770835</v>
      </c>
      <c r="L24" s="84">
        <f>IF(L8=0,0,L8/TrAvia_act!L16*1000)</f>
        <v>13155.783980643468</v>
      </c>
      <c r="M24" s="84">
        <f>IF(M8=0,0,M8/TrAvia_act!M16*1000)</f>
        <v>12507.518833060238</v>
      </c>
      <c r="N24" s="84">
        <f>IF(N8=0,0,N8/TrAvia_act!N16*1000)</f>
        <v>12172.24303734535</v>
      </c>
      <c r="O24" s="84">
        <f>IF(O8=0,0,O8/TrAvia_act!O16*1000)</f>
        <v>12536.9469064844</v>
      </c>
      <c r="P24" s="84">
        <f>IF(P8=0,0,P8/TrAvia_act!P16*1000)</f>
        <v>12307.010848493632</v>
      </c>
      <c r="Q24" s="84">
        <f>IF(Q8=0,0,Q8/TrAvia_act!Q16*1000)</f>
        <v>12631.372109323544</v>
      </c>
      <c r="R24" s="84">
        <f>IF(R8=0,0,R8/TrAvia_act!R16*1000)</f>
        <v>12619.971436454476</v>
      </c>
      <c r="S24" s="84">
        <f>IF(S8=0,0,S8/TrAvia_act!S16*1000)</f>
        <v>12914.418218406374</v>
      </c>
      <c r="T24" s="84">
        <f>IF(T8=0,0,T8/TrAvia_act!T16*1000)</f>
        <v>12966.42673547664</v>
      </c>
      <c r="U24" s="84">
        <f>IF(U8=0,0,U8/TrAvia_act!U16*1000)</f>
        <v>12861.381751472391</v>
      </c>
      <c r="V24" s="84">
        <f>IF(V8=0,0,V8/TrAvia_act!V16*1000)</f>
        <v>10642.382898105163</v>
      </c>
      <c r="W24" s="84">
        <f>IF(W8=0,0,W8/TrAvia_act!W16*1000)</f>
        <v>9652.4388632126866</v>
      </c>
      <c r="X24" s="84">
        <f>IF(X8=0,0,X8/TrAvia_act!X16*1000)</f>
        <v>11841.233061363084</v>
      </c>
      <c r="Y24" s="84">
        <f>IF(Y8=0,0,Y8/TrAvia_act!Y16*1000)</f>
        <v>11698.960622517425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17452.236061972275</v>
      </c>
      <c r="C25" s="84">
        <f>IF(C9=0,0,C9/TrAvia_act!C17*1000)</f>
        <v>17448.922569687526</v>
      </c>
      <c r="D25" s="84">
        <f>IF(D9=0,0,D9/TrAvia_act!D17*1000)</f>
        <v>17425.886752918716</v>
      </c>
      <c r="E25" s="84">
        <f>IF(E9=0,0,E9/TrAvia_act!E17*1000)</f>
        <v>16663.351246085789</v>
      </c>
      <c r="F25" s="84">
        <f>IF(F9=0,0,F9/TrAvia_act!F17*1000)</f>
        <v>17102.023796329479</v>
      </c>
      <c r="G25" s="84">
        <f>IF(G9=0,0,G9/TrAvia_act!G17*1000)</f>
        <v>16507.375897067697</v>
      </c>
      <c r="H25" s="84">
        <f>IF(H9=0,0,H9/TrAvia_act!H17*1000)</f>
        <v>16822.222417468718</v>
      </c>
      <c r="I25" s="84">
        <f>IF(I9=0,0,I9/TrAvia_act!I17*1000)</f>
        <v>16503.711020646668</v>
      </c>
      <c r="J25" s="84">
        <f>IF(J9=0,0,J9/TrAvia_act!J17*1000)</f>
        <v>16975.276212657751</v>
      </c>
      <c r="K25" s="84">
        <f>IF(K9=0,0,K9/TrAvia_act!K17*1000)</f>
        <v>17292.060091270461</v>
      </c>
      <c r="L25" s="84">
        <f>IF(L9=0,0,L9/TrAvia_act!L17*1000)</f>
        <v>19588.125800882866</v>
      </c>
      <c r="M25" s="84">
        <f>IF(M9=0,0,M9/TrAvia_act!M17*1000)</f>
        <v>18308.120989475323</v>
      </c>
      <c r="N25" s="84">
        <f>IF(N9=0,0,N9/TrAvia_act!N17*1000)</f>
        <v>19882.33417185707</v>
      </c>
      <c r="O25" s="84">
        <f>IF(O9=0,0,O9/TrAvia_act!O17*1000)</f>
        <v>19742.510084015856</v>
      </c>
      <c r="P25" s="84">
        <f>IF(P9=0,0,P9/TrAvia_act!P17*1000)</f>
        <v>18522.717402033664</v>
      </c>
      <c r="Q25" s="84">
        <f>IF(Q9=0,0,Q9/TrAvia_act!Q17*1000)</f>
        <v>19806.776249272949</v>
      </c>
      <c r="R25" s="84">
        <f>IF(R9=0,0,R9/TrAvia_act!R17*1000)</f>
        <v>19530.802447345282</v>
      </c>
      <c r="S25" s="84">
        <f>IF(S9=0,0,S9/TrAvia_act!S17*1000)</f>
        <v>19345.086480332327</v>
      </c>
      <c r="T25" s="84">
        <f>IF(T9=0,0,T9/TrAvia_act!T17*1000)</f>
        <v>19392.376820964004</v>
      </c>
      <c r="U25" s="84">
        <f>IF(U9=0,0,U9/TrAvia_act!U17*1000)</f>
        <v>19967.416974001433</v>
      </c>
      <c r="V25" s="84">
        <f>IF(V9=0,0,V9/TrAvia_act!V17*1000)</f>
        <v>22577.178394441871</v>
      </c>
      <c r="W25" s="84">
        <f>IF(W9=0,0,W9/TrAvia_act!W17*1000)</f>
        <v>20226.640082489772</v>
      </c>
      <c r="X25" s="84">
        <f>IF(X9=0,0,X9/TrAvia_act!X17*1000)</f>
        <v>19837.643354235621</v>
      </c>
      <c r="Y25" s="84">
        <f>IF(Y9=0,0,Y9/TrAvia_act!Y17*1000)</f>
        <v>18061.799913454615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16081.116731941102</v>
      </c>
      <c r="C26" s="13">
        <f>IF(C10=0,0,C10/TrAvia_act!C18*1000)</f>
        <v>15864.012881480749</v>
      </c>
      <c r="D26" s="13">
        <f>IF(D10=0,0,D10/TrAvia_act!D18*1000)</f>
        <v>15788.733664431347</v>
      </c>
      <c r="E26" s="13">
        <f>IF(E10=0,0,E10/TrAvia_act!E18*1000)</f>
        <v>15330.898138474859</v>
      </c>
      <c r="F26" s="13">
        <f>IF(F10=0,0,F10/TrAvia_act!F18*1000)</f>
        <v>15782.836802471327</v>
      </c>
      <c r="G26" s="13">
        <f>IF(G10=0,0,G10/TrAvia_act!G18*1000)</f>
        <v>15511.262298433157</v>
      </c>
      <c r="H26" s="13">
        <f>IF(H10=0,0,H10/TrAvia_act!H18*1000)</f>
        <v>15656.681424519527</v>
      </c>
      <c r="I26" s="13">
        <f>IF(I10=0,0,I10/TrAvia_act!I18*1000)</f>
        <v>15344.034481547922</v>
      </c>
      <c r="J26" s="13">
        <f>IF(J10=0,0,J10/TrAvia_act!J18*1000)</f>
        <v>15922.343485824833</v>
      </c>
      <c r="K26" s="13">
        <f>IF(K10=0,0,K10/TrAvia_act!K18*1000)</f>
        <v>15616.44144849545</v>
      </c>
      <c r="L26" s="13">
        <f>IF(L10=0,0,L10/TrAvia_act!L18*1000)</f>
        <v>18112.967567147654</v>
      </c>
      <c r="M26" s="13">
        <f>IF(M10=0,0,M10/TrAvia_act!M18*1000)</f>
        <v>16444.936400533566</v>
      </c>
      <c r="N26" s="13">
        <f>IF(N10=0,0,N10/TrAvia_act!N18*1000)</f>
        <v>18758.25035389225</v>
      </c>
      <c r="O26" s="13">
        <f>IF(O10=0,0,O10/TrAvia_act!O18*1000)</f>
        <v>18484.328529468061</v>
      </c>
      <c r="P26" s="13">
        <f>IF(P10=0,0,P10/TrAvia_act!P18*1000)</f>
        <v>16867.851840608208</v>
      </c>
      <c r="Q26" s="13">
        <f>IF(Q10=0,0,Q10/TrAvia_act!Q18*1000)</f>
        <v>18298.19095573598</v>
      </c>
      <c r="R26" s="13">
        <f>IF(R10=0,0,R10/TrAvia_act!R18*1000)</f>
        <v>18292.499740925268</v>
      </c>
      <c r="S26" s="13">
        <f>IF(S10=0,0,S10/TrAvia_act!S18*1000)</f>
        <v>18453.427028849725</v>
      </c>
      <c r="T26" s="13">
        <f>IF(T10=0,0,T10/TrAvia_act!T18*1000)</f>
        <v>18213.631114645541</v>
      </c>
      <c r="U26" s="13">
        <f>IF(U10=0,0,U10/TrAvia_act!U18*1000)</f>
        <v>18404.230808267021</v>
      </c>
      <c r="V26" s="13">
        <f>IF(V10=0,0,V10/TrAvia_act!V18*1000)</f>
        <v>20430.974481518999</v>
      </c>
      <c r="W26" s="13">
        <f>IF(W10=0,0,W10/TrAvia_act!W18*1000)</f>
        <v>19003.381406164564</v>
      </c>
      <c r="X26" s="13">
        <f>IF(X10=0,0,X10/TrAvia_act!X18*1000)</f>
        <v>18510.746985911945</v>
      </c>
      <c r="Y26" s="13">
        <f>IF(Y10=0,0,Y10/TrAvia_act!Y18*1000)</f>
        <v>16609.409124434984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11691.273995213183</v>
      </c>
      <c r="C27" s="102">
        <f>IF(C11=0,0,C11/TrAvia_act!C19*1000)</f>
        <v>11581.227126024178</v>
      </c>
      <c r="D27" s="102">
        <f>IF(D11=0,0,D11/TrAvia_act!D19*1000)</f>
        <v>10522.756279282718</v>
      </c>
      <c r="E27" s="102">
        <f>IF(E11=0,0,E11/TrAvia_act!E19*1000)</f>
        <v>10124.972978683534</v>
      </c>
      <c r="F27" s="102">
        <f>IF(F11=0,0,F11/TrAvia_act!F19*1000)</f>
        <v>10384.028883579274</v>
      </c>
      <c r="G27" s="102">
        <f>IF(G11=0,0,G11/TrAvia_act!G19*1000)</f>
        <v>10427.421322184926</v>
      </c>
      <c r="H27" s="102">
        <f>IF(H11=0,0,H11/TrAvia_act!H19*1000)</f>
        <v>9656.206736749682</v>
      </c>
      <c r="I27" s="102">
        <f>IF(I11=0,0,I11/TrAvia_act!I19*1000)</f>
        <v>9045.987519889828</v>
      </c>
      <c r="J27" s="102">
        <f>IF(J11=0,0,J11/TrAvia_act!J19*1000)</f>
        <v>8621.9309773035311</v>
      </c>
      <c r="K27" s="102">
        <f>IF(K11=0,0,K11/TrAvia_act!K19*1000)</f>
        <v>7700.1890624310627</v>
      </c>
      <c r="L27" s="102">
        <f>IF(L11=0,0,L11/TrAvia_act!L19*1000)</f>
        <v>7840.3273378777849</v>
      </c>
      <c r="M27" s="102">
        <f>IF(M11=0,0,M11/TrAvia_act!M19*1000)</f>
        <v>13866.471856286244</v>
      </c>
      <c r="N27" s="102">
        <f>IF(N11=0,0,N11/TrAvia_act!N19*1000)</f>
        <v>14434.887935393806</v>
      </c>
      <c r="O27" s="102">
        <f>IF(O11=0,0,O11/TrAvia_act!O19*1000)</f>
        <v>14141.568112197923</v>
      </c>
      <c r="P27" s="102">
        <f>IF(P11=0,0,P11/TrAvia_act!P19*1000)</f>
        <v>13701.470860603156</v>
      </c>
      <c r="Q27" s="102">
        <f>IF(Q11=0,0,Q11/TrAvia_act!Q19*1000)</f>
        <v>13795.926300039671</v>
      </c>
      <c r="R27" s="102">
        <f>IF(R11=0,0,R11/TrAvia_act!R19*1000)</f>
        <v>14028.119056385713</v>
      </c>
      <c r="S27" s="102">
        <f>IF(S11=0,0,S11/TrAvia_act!S19*1000)</f>
        <v>13755.829128905831</v>
      </c>
      <c r="T27" s="102">
        <f>IF(T11=0,0,T11/TrAvia_act!T19*1000)</f>
        <v>13787.638953020327</v>
      </c>
      <c r="U27" s="102">
        <f>IF(U11=0,0,U11/TrAvia_act!U19*1000)</f>
        <v>13556.659647383327</v>
      </c>
      <c r="V27" s="102">
        <f>IF(V11=0,0,V11/TrAvia_act!V19*1000)</f>
        <v>15172.202151324445</v>
      </c>
      <c r="W27" s="102">
        <f>IF(W11=0,0,W11/TrAvia_act!W19*1000)</f>
        <v>16756.881068055682</v>
      </c>
      <c r="X27" s="102">
        <f>IF(X11=0,0,X11/TrAvia_act!X19*1000)</f>
        <v>14313.621386643184</v>
      </c>
      <c r="Y27" s="102">
        <f>IF(Y11=0,0,Y11/TrAvia_act!Y19*1000)</f>
        <v>13807.63162390041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13923.704056034332</v>
      </c>
      <c r="C28" s="102">
        <f>IF(C12=0,0,C12/TrAvia_act!C20*1000)</f>
        <v>13908.168700838676</v>
      </c>
      <c r="D28" s="102">
        <f>IF(D12=0,0,D12/TrAvia_act!D20*1000)</f>
        <v>13898.441888991396</v>
      </c>
      <c r="E28" s="102">
        <f>IF(E12=0,0,E12/TrAvia_act!E20*1000)</f>
        <v>13287.952486135599</v>
      </c>
      <c r="F28" s="102">
        <f>IF(F12=0,0,F12/TrAvia_act!F20*1000)</f>
        <v>13597.992772648786</v>
      </c>
      <c r="G28" s="102">
        <f>IF(G12=0,0,G12/TrAvia_act!G20*1000)</f>
        <v>13659.146578166896</v>
      </c>
      <c r="H28" s="102">
        <f>IF(H12=0,0,H12/TrAvia_act!H20*1000)</f>
        <v>13715.830593231405</v>
      </c>
      <c r="I28" s="102">
        <f>IF(I12=0,0,I12/TrAvia_act!I20*1000)</f>
        <v>13577.005143627788</v>
      </c>
      <c r="J28" s="102">
        <f>IF(J12=0,0,J12/TrAvia_act!J20*1000)</f>
        <v>13002.772402226872</v>
      </c>
      <c r="K28" s="102">
        <f>IF(K12=0,0,K12/TrAvia_act!K20*1000)</f>
        <v>12558.999924228832</v>
      </c>
      <c r="L28" s="102">
        <f>IF(L12=0,0,L12/TrAvia_act!L20*1000)</f>
        <v>13817.748849838947</v>
      </c>
      <c r="M28" s="102">
        <f>IF(M12=0,0,M12/TrAvia_act!M20*1000)</f>
        <v>13039.410757871305</v>
      </c>
      <c r="N28" s="102">
        <f>IF(N12=0,0,N12/TrAvia_act!N20*1000)</f>
        <v>12636.555426157656</v>
      </c>
      <c r="O28" s="102">
        <f>IF(O12=0,0,O12/TrAvia_act!O20*1000)</f>
        <v>13061.25712408328</v>
      </c>
      <c r="P28" s="102">
        <f>IF(P12=0,0,P12/TrAvia_act!P20*1000)</f>
        <v>12853.639671198607</v>
      </c>
      <c r="Q28" s="102">
        <f>IF(Q12=0,0,Q12/TrAvia_act!Q20*1000)</f>
        <v>13271.74306667002</v>
      </c>
      <c r="R28" s="102">
        <f>IF(R12=0,0,R12/TrAvia_act!R20*1000)</f>
        <v>13258.279019745523</v>
      </c>
      <c r="S28" s="102">
        <f>IF(S12=0,0,S12/TrAvia_act!S20*1000)</f>
        <v>13654.816578768347</v>
      </c>
      <c r="T28" s="102">
        <f>IF(T12=0,0,T12/TrAvia_act!T20*1000)</f>
        <v>13740.891498505227</v>
      </c>
      <c r="U28" s="102">
        <f>IF(U12=0,0,U12/TrAvia_act!U20*1000)</f>
        <v>13660.308958725582</v>
      </c>
      <c r="V28" s="102">
        <f>IF(V12=0,0,V12/TrAvia_act!V20*1000)</f>
        <v>11552.664363978689</v>
      </c>
      <c r="W28" s="102">
        <f>IF(W12=0,0,W12/TrAvia_act!W20*1000)</f>
        <v>10313.797578107267</v>
      </c>
      <c r="X28" s="102">
        <f>IF(X12=0,0,X12/TrAvia_act!X20*1000)</f>
        <v>12614.844541340572</v>
      </c>
      <c r="Y28" s="102">
        <f>IF(Y12=0,0,Y12/TrAvia_act!Y20*1000)</f>
        <v>12337.341106122496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17420.298554288118</v>
      </c>
      <c r="C29" s="86">
        <f>IF(C13=0,0,C13/TrAvia_act!C21*1000)</f>
        <v>17416.991125678243</v>
      </c>
      <c r="D29" s="86">
        <f>IF(D13=0,0,D13/TrAvia_act!D21*1000)</f>
        <v>17393.997464342836</v>
      </c>
      <c r="E29" s="86">
        <f>IF(E13=0,0,E13/TrAvia_act!E21*1000)</f>
        <v>16632.857393803719</v>
      </c>
      <c r="F29" s="86">
        <f>IF(F13=0,0,F13/TrAvia_act!F21*1000)</f>
        <v>17070.727175399621</v>
      </c>
      <c r="G29" s="86">
        <f>IF(G13=0,0,G13/TrAvia_act!G21*1000)</f>
        <v>16606.932440257668</v>
      </c>
      <c r="H29" s="86">
        <f>IF(H13=0,0,H13/TrAvia_act!H21*1000)</f>
        <v>16852.666746006467</v>
      </c>
      <c r="I29" s="86">
        <f>IF(I13=0,0,I13/TrAvia_act!I21*1000)</f>
        <v>16423.226443515508</v>
      </c>
      <c r="J29" s="86">
        <f>IF(J13=0,0,J13/TrAvia_act!J21*1000)</f>
        <v>17124.111796885249</v>
      </c>
      <c r="K29" s="86">
        <f>IF(K13=0,0,K13/TrAvia_act!K21*1000)</f>
        <v>17279.268564933751</v>
      </c>
      <c r="L29" s="86">
        <f>IF(L13=0,0,L13/TrAvia_act!L21*1000)</f>
        <v>19807.484609895339</v>
      </c>
      <c r="M29" s="86">
        <f>IF(M13=0,0,M13/TrAvia_act!M21*1000)</f>
        <v>17159.586842182685</v>
      </c>
      <c r="N29" s="86">
        <f>IF(N13=0,0,N13/TrAvia_act!N21*1000)</f>
        <v>20154.718109417219</v>
      </c>
      <c r="O29" s="86">
        <f>IF(O13=0,0,O13/TrAvia_act!O21*1000)</f>
        <v>19877.628876678355</v>
      </c>
      <c r="P29" s="86">
        <f>IF(P13=0,0,P13/TrAvia_act!P21*1000)</f>
        <v>17863.704175249837</v>
      </c>
      <c r="Q29" s="86">
        <f>IF(Q13=0,0,Q13/TrAvia_act!Q21*1000)</f>
        <v>19594.110609644136</v>
      </c>
      <c r="R29" s="86">
        <f>IF(R13=0,0,R13/TrAvia_act!R21*1000)</f>
        <v>19574.693379451412</v>
      </c>
      <c r="S29" s="86">
        <f>IF(S13=0,0,S13/TrAvia_act!S21*1000)</f>
        <v>19796.905555154695</v>
      </c>
      <c r="T29" s="86">
        <f>IF(T13=0,0,T13/TrAvia_act!T21*1000)</f>
        <v>19363.376082858034</v>
      </c>
      <c r="U29" s="86">
        <f>IF(U13=0,0,U13/TrAvia_act!U21*1000)</f>
        <v>19746.213202799678</v>
      </c>
      <c r="V29" s="86">
        <f>IF(V13=0,0,V13/TrAvia_act!V21*1000)</f>
        <v>22239.223865339267</v>
      </c>
      <c r="W29" s="86">
        <f>IF(W13=0,0,W13/TrAvia_act!W21*1000)</f>
        <v>20612.759505060112</v>
      </c>
      <c r="X29" s="86">
        <f>IF(X13=0,0,X13/TrAvia_act!X21*1000)</f>
        <v>20112.980216819506</v>
      </c>
      <c r="Y29" s="86">
        <f>IF(Y13=0,0,Y13/TrAvia_act!Y21*1000)</f>
        <v>17904.023367388829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148.35351723801105</v>
      </c>
      <c r="C32" s="14">
        <f>IF(C6=0,0,C6/TrAvia_act!C4*1000)</f>
        <v>145.50280033076109</v>
      </c>
      <c r="D32" s="14">
        <f>IF(D6=0,0,D6/TrAvia_act!D4*1000)</f>
        <v>140.85736218527882</v>
      </c>
      <c r="E32" s="14">
        <f>IF(E6=0,0,E6/TrAvia_act!E4*1000)</f>
        <v>137.02828290518178</v>
      </c>
      <c r="F32" s="14">
        <f>IF(F6=0,0,F6/TrAvia_act!F4*1000)</f>
        <v>132.34215350408002</v>
      </c>
      <c r="G32" s="14">
        <f>IF(G6=0,0,G6/TrAvia_act!G4*1000)</f>
        <v>125.14001261034427</v>
      </c>
      <c r="H32" s="14">
        <f>IF(H6=0,0,H6/TrAvia_act!H4*1000)</f>
        <v>126.82052184466249</v>
      </c>
      <c r="I32" s="14">
        <f>IF(I6=0,0,I6/TrAvia_act!I4*1000)</f>
        <v>124.9346241890546</v>
      </c>
      <c r="J32" s="14">
        <f>IF(J6=0,0,J6/TrAvia_act!J4*1000)</f>
        <v>124.56118742451397</v>
      </c>
      <c r="K32" s="14">
        <f>IF(K6=0,0,K6/TrAvia_act!K4*1000)</f>
        <v>118.90346116804184</v>
      </c>
      <c r="L32" s="14">
        <f>IF(L6=0,0,L6/TrAvia_act!L4*1000)</f>
        <v>117.00241024284887</v>
      </c>
      <c r="M32" s="14">
        <f>IF(M6=0,0,M6/TrAvia_act!M4*1000)</f>
        <v>120.16179068635614</v>
      </c>
      <c r="N32" s="14">
        <f>IF(N6=0,0,N6/TrAvia_act!N4*1000)</f>
        <v>118.65993784611707</v>
      </c>
      <c r="O32" s="14">
        <f>IF(O6=0,0,O6/TrAvia_act!O4*1000)</f>
        <v>114.27441083294542</v>
      </c>
      <c r="P32" s="14">
        <f>IF(P6=0,0,P6/TrAvia_act!P4*1000)</f>
        <v>107.50173500230447</v>
      </c>
      <c r="Q32" s="14">
        <f>IF(Q6=0,0,Q6/TrAvia_act!Q4*1000)</f>
        <v>110.81435538138024</v>
      </c>
      <c r="R32" s="14">
        <f>IF(R6=0,0,R6/TrAvia_act!R4*1000)</f>
        <v>110.18653086101608</v>
      </c>
      <c r="S32" s="14">
        <f>IF(S6=0,0,S6/TrAvia_act!S4*1000)</f>
        <v>106.33217261454159</v>
      </c>
      <c r="T32" s="14">
        <f>IF(T6=0,0,T6/TrAvia_act!T4*1000)</f>
        <v>103.3707651883181</v>
      </c>
      <c r="U32" s="14">
        <f>IF(U6=0,0,U6/TrAvia_act!U4*1000)</f>
        <v>103.26552393423876</v>
      </c>
      <c r="V32" s="14">
        <f>IF(V6=0,0,V6/TrAvia_act!V4*1000)</f>
        <v>135.17185246865586</v>
      </c>
      <c r="W32" s="14">
        <f>IF(W6=0,0,W6/TrAvia_act!W4*1000)</f>
        <v>128.69253844187577</v>
      </c>
      <c r="X32" s="14">
        <f>IF(X6=0,0,X6/TrAvia_act!X4*1000)</f>
        <v>105.51462689134264</v>
      </c>
      <c r="Y32" s="14">
        <f>IF(Y6=0,0,Y6/TrAvia_act!Y4*1000)</f>
        <v>92.601800712403119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143.5421606306289</v>
      </c>
      <c r="C33" s="87">
        <f>IF(C7=0,0,C7/TrAvia_act!C5*1000)</f>
        <v>140.27315205081013</v>
      </c>
      <c r="D33" s="87">
        <f>IF(D7=0,0,D7/TrAvia_act!D5*1000)</f>
        <v>125.74743610271364</v>
      </c>
      <c r="E33" s="87">
        <f>IF(E7=0,0,E7/TrAvia_act!E5*1000)</f>
        <v>122.43635971588165</v>
      </c>
      <c r="F33" s="87">
        <f>IF(F7=0,0,F7/TrAvia_act!F5*1000)</f>
        <v>117.79109302629394</v>
      </c>
      <c r="G33" s="87">
        <f>IF(G7=0,0,G7/TrAvia_act!G5*1000)</f>
        <v>116.92048909690445</v>
      </c>
      <c r="H33" s="87">
        <f>IF(H7=0,0,H7/TrAvia_act!H5*1000)</f>
        <v>115.7807685367538</v>
      </c>
      <c r="I33" s="87">
        <f>IF(I7=0,0,I7/TrAvia_act!I5*1000)</f>
        <v>112.6584542106057</v>
      </c>
      <c r="J33" s="87">
        <f>IF(J7=0,0,J7/TrAvia_act!J5*1000)</f>
        <v>115.47891192777421</v>
      </c>
      <c r="K33" s="87">
        <f>IF(K7=0,0,K7/TrAvia_act!K5*1000)</f>
        <v>106.93882344717177</v>
      </c>
      <c r="L33" s="87">
        <f>IF(L7=0,0,L7/TrAvia_act!L5*1000)</f>
        <v>101.10397314672045</v>
      </c>
      <c r="M33" s="87">
        <f>IF(M7=0,0,M7/TrAvia_act!M5*1000)</f>
        <v>175.78386605482044</v>
      </c>
      <c r="N33" s="87">
        <f>IF(N7=0,0,N7/TrAvia_act!N5*1000)</f>
        <v>178.40467359512638</v>
      </c>
      <c r="O33" s="87">
        <f>IF(O7=0,0,O7/TrAvia_act!O5*1000)</f>
        <v>170.00309840163291</v>
      </c>
      <c r="P33" s="87">
        <f>IF(P7=0,0,P7/TrAvia_act!P5*1000)</f>
        <v>161.14156694797879</v>
      </c>
      <c r="Q33" s="87">
        <f>IF(Q7=0,0,Q7/TrAvia_act!Q5*1000)</f>
        <v>159.31589212067206</v>
      </c>
      <c r="R33" s="87">
        <f>IF(R7=0,0,R7/TrAvia_act!R5*1000)</f>
        <v>158.6052771037553</v>
      </c>
      <c r="S33" s="87">
        <f>IF(S7=0,0,S7/TrAvia_act!S5*1000)</f>
        <v>153.20246646158313</v>
      </c>
      <c r="T33" s="87">
        <f>IF(T7=0,0,T7/TrAvia_act!T5*1000)</f>
        <v>150.68593458113531</v>
      </c>
      <c r="U33" s="87">
        <f>IF(U7=0,0,U7/TrAvia_act!U5*1000)</f>
        <v>148.77805686649924</v>
      </c>
      <c r="V33" s="87">
        <f>IF(V7=0,0,V7/TrAvia_act!V5*1000)</f>
        <v>170.0067495874687</v>
      </c>
      <c r="W33" s="87">
        <f>IF(W7=0,0,W7/TrAvia_act!W5*1000)</f>
        <v>157.18737370802006</v>
      </c>
      <c r="X33" s="87">
        <f>IF(X7=0,0,X7/TrAvia_act!X5*1000)</f>
        <v>149.24957387667786</v>
      </c>
      <c r="Y33" s="87">
        <f>IF(Y7=0,0,Y7/TrAvia_act!Y5*1000)</f>
        <v>137.06172720847547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168.73862378232664</v>
      </c>
      <c r="C34" s="87">
        <f>IF(C8=0,0,C8/TrAvia_act!C6*1000)</f>
        <v>164.96015800730152</v>
      </c>
      <c r="D34" s="87">
        <f>IF(D8=0,0,D8/TrAvia_act!D6*1000)</f>
        <v>162.96620207335846</v>
      </c>
      <c r="E34" s="87">
        <f>IF(E8=0,0,E8/TrAvia_act!E6*1000)</f>
        <v>153.54902378152684</v>
      </c>
      <c r="F34" s="87">
        <f>IF(F8=0,0,F8/TrAvia_act!F6*1000)</f>
        <v>151.97720196457988</v>
      </c>
      <c r="G34" s="87">
        <f>IF(G8=0,0,G8/TrAvia_act!G6*1000)</f>
        <v>145.42989562428633</v>
      </c>
      <c r="H34" s="87">
        <f>IF(H8=0,0,H8/TrAvia_act!H6*1000)</f>
        <v>149.80713584963004</v>
      </c>
      <c r="I34" s="87">
        <f>IF(I8=0,0,I8/TrAvia_act!I6*1000)</f>
        <v>151.52476010628584</v>
      </c>
      <c r="J34" s="87">
        <f>IF(J8=0,0,J8/TrAvia_act!J6*1000)</f>
        <v>149.59922539432498</v>
      </c>
      <c r="K34" s="87">
        <f>IF(K8=0,0,K8/TrAvia_act!K6*1000)</f>
        <v>139.76135627991289</v>
      </c>
      <c r="L34" s="87">
        <f>IF(L8=0,0,L8/TrAvia_act!L6*1000)</f>
        <v>137.08392992025026</v>
      </c>
      <c r="M34" s="87">
        <f>IF(M8=0,0,M8/TrAvia_act!M6*1000)</f>
        <v>125.19799761292546</v>
      </c>
      <c r="N34" s="87">
        <f>IF(N8=0,0,N8/TrAvia_act!N6*1000)</f>
        <v>116.36416532687888</v>
      </c>
      <c r="O34" s="87">
        <f>IF(O8=0,0,O8/TrAvia_act!O6*1000)</f>
        <v>113.57378623340439</v>
      </c>
      <c r="P34" s="87">
        <f>IF(P8=0,0,P8/TrAvia_act!P6*1000)</f>
        <v>107.35027976234328</v>
      </c>
      <c r="Q34" s="87">
        <f>IF(Q8=0,0,Q8/TrAvia_act!Q6*1000)</f>
        <v>108.27983055941857</v>
      </c>
      <c r="R34" s="87">
        <f>IF(R8=0,0,R8/TrAvia_act!R6*1000)</f>
        <v>106.69813624592689</v>
      </c>
      <c r="S34" s="87">
        <f>IF(S8=0,0,S8/TrAvia_act!S6*1000)</f>
        <v>104.84328138706582</v>
      </c>
      <c r="T34" s="87">
        <f>IF(T8=0,0,T8/TrAvia_act!T6*1000)</f>
        <v>102.04286181769029</v>
      </c>
      <c r="U34" s="87">
        <f>IF(U8=0,0,U8/TrAvia_act!U6*1000)</f>
        <v>100.05618716782062</v>
      </c>
      <c r="V34" s="87">
        <f>IF(V8=0,0,V8/TrAvia_act!V6*1000)</f>
        <v>100.80724759433541</v>
      </c>
      <c r="W34" s="87">
        <f>IF(W8=0,0,W8/TrAvia_act!W6*1000)</f>
        <v>87.752423187056451</v>
      </c>
      <c r="X34" s="87">
        <f>IF(X8=0,0,X8/TrAvia_act!X6*1000)</f>
        <v>93.210345489191539</v>
      </c>
      <c r="Y34" s="87">
        <f>IF(Y8=0,0,Y8/TrAvia_act!Y6*1000)</f>
        <v>88.256070626710638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143.4056383043544</v>
      </c>
      <c r="C35" s="87">
        <f>IF(C9=0,0,C9/TrAvia_act!C7*1000)</f>
        <v>140.96599146361598</v>
      </c>
      <c r="D35" s="87">
        <f>IF(D9=0,0,D9/TrAvia_act!D7*1000)</f>
        <v>138.50025483580225</v>
      </c>
      <c r="E35" s="87">
        <f>IF(E9=0,0,E9/TrAvia_act!E7*1000)</f>
        <v>135.99429839573023</v>
      </c>
      <c r="F35" s="87">
        <f>IF(F9=0,0,F9/TrAvia_act!F7*1000)</f>
        <v>130.22178103660838</v>
      </c>
      <c r="G35" s="87">
        <f>IF(G9=0,0,G9/TrAvia_act!G7*1000)</f>
        <v>121.25205661589553</v>
      </c>
      <c r="H35" s="87">
        <f>IF(H9=0,0,H9/TrAvia_act!H7*1000)</f>
        <v>122.72070262197073</v>
      </c>
      <c r="I35" s="87">
        <f>IF(I9=0,0,I9/TrAvia_act!I7*1000)</f>
        <v>120.08626513647209</v>
      </c>
      <c r="J35" s="87">
        <f>IF(J9=0,0,J9/TrAvia_act!J7*1000)</f>
        <v>119.52784671114188</v>
      </c>
      <c r="K35" s="87">
        <f>IF(K9=0,0,K9/TrAvia_act!K7*1000)</f>
        <v>115.95506517737526</v>
      </c>
      <c r="L35" s="87">
        <f>IF(L9=0,0,L9/TrAvia_act!L7*1000)</f>
        <v>115.3003532108587</v>
      </c>
      <c r="M35" s="87">
        <f>IF(M9=0,0,M9/TrAvia_act!M7*1000)</f>
        <v>105.80684978874575</v>
      </c>
      <c r="N35" s="87">
        <f>IF(N9=0,0,N9/TrAvia_act!N7*1000)</f>
        <v>105.28852044599097</v>
      </c>
      <c r="O35" s="87">
        <f>IF(O9=0,0,O9/TrAvia_act!O7*1000)</f>
        <v>101.42025990191779</v>
      </c>
      <c r="P35" s="87">
        <f>IF(P9=0,0,P9/TrAvia_act!P7*1000)</f>
        <v>95.58374105958741</v>
      </c>
      <c r="Q35" s="87">
        <f>IF(Q9=0,0,Q9/TrAvia_act!Q7*1000)</f>
        <v>100.65982153347959</v>
      </c>
      <c r="R35" s="87">
        <f>IF(R9=0,0,R9/TrAvia_act!R7*1000)</f>
        <v>99.83722912060351</v>
      </c>
      <c r="S35" s="87">
        <f>IF(S9=0,0,S9/TrAvia_act!S7*1000)</f>
        <v>95.510107369215604</v>
      </c>
      <c r="T35" s="87">
        <f>IF(T9=0,0,T9/TrAvia_act!T7*1000)</f>
        <v>92.497288172758729</v>
      </c>
      <c r="U35" s="87">
        <f>IF(U9=0,0,U9/TrAvia_act!U7*1000)</f>
        <v>93.694216271567143</v>
      </c>
      <c r="V35" s="87">
        <f>IF(V9=0,0,V9/TrAvia_act!V7*1000)</f>
        <v>130.99351014971083</v>
      </c>
      <c r="W35" s="87">
        <f>IF(W9=0,0,W9/TrAvia_act!W7*1000)</f>
        <v>130.90107034903775</v>
      </c>
      <c r="X35" s="87">
        <f>IF(X9=0,0,X9/TrAvia_act!X7*1000)</f>
        <v>96.499092170645554</v>
      </c>
      <c r="Y35" s="87">
        <f>IF(Y9=0,0,Y9/TrAvia_act!Y7*1000)</f>
        <v>83.689855414850101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259.08353597481801</v>
      </c>
      <c r="C36" s="15">
        <f>IF(C10=0,0,C10/TrAvia_act!C8*1000)</f>
        <v>254.02983503957222</v>
      </c>
      <c r="D36" s="15">
        <f>IF(D10=0,0,D10/TrAvia_act!D8*1000)</f>
        <v>258.91534748537561</v>
      </c>
      <c r="E36" s="15">
        <f>IF(E10=0,0,E10/TrAvia_act!E8*1000)</f>
        <v>264.43024159999368</v>
      </c>
      <c r="F36" s="15">
        <f>IF(F10=0,0,F10/TrAvia_act!F8*1000)</f>
        <v>279.09647224828592</v>
      </c>
      <c r="G36" s="15">
        <f>IF(G10=0,0,G10/TrAvia_act!G8*1000)</f>
        <v>286.86578277721117</v>
      </c>
      <c r="H36" s="15">
        <f>IF(H10=0,0,H10/TrAvia_act!H8*1000)</f>
        <v>299.98500851439337</v>
      </c>
      <c r="I36" s="15">
        <f>IF(I10=0,0,I10/TrAvia_act!I8*1000)</f>
        <v>295.97316480380175</v>
      </c>
      <c r="J36" s="15">
        <f>IF(J10=0,0,J10/TrAvia_act!J8*1000)</f>
        <v>309.8232487824377</v>
      </c>
      <c r="K36" s="15">
        <f>IF(K10=0,0,K10/TrAvia_act!K8*1000)</f>
        <v>281.02959723480615</v>
      </c>
      <c r="L36" s="15">
        <f>IF(L10=0,0,L10/TrAvia_act!L8*1000)</f>
        <v>310.22491261198326</v>
      </c>
      <c r="M36" s="15">
        <f>IF(M10=0,0,M10/TrAvia_act!M8*1000)</f>
        <v>264.33001298217664</v>
      </c>
      <c r="N36" s="15">
        <f>IF(N10=0,0,N10/TrAvia_act!N8*1000)</f>
        <v>278.41511740822921</v>
      </c>
      <c r="O36" s="15">
        <f>IF(O10=0,0,O10/TrAvia_act!O8*1000)</f>
        <v>272.27585263024412</v>
      </c>
      <c r="P36" s="15">
        <f>IF(P10=0,0,P10/TrAvia_act!P8*1000)</f>
        <v>216.12687641382379</v>
      </c>
      <c r="Q36" s="15">
        <f>IF(Q10=0,0,Q10/TrAvia_act!Q8*1000)</f>
        <v>234.56638898253618</v>
      </c>
      <c r="R36" s="15">
        <f>IF(R10=0,0,R10/TrAvia_act!R8*1000)</f>
        <v>215.68747791301911</v>
      </c>
      <c r="S36" s="15">
        <f>IF(S10=0,0,S10/TrAvia_act!S8*1000)</f>
        <v>223.06132666046446</v>
      </c>
      <c r="T36" s="15">
        <f>IF(T10=0,0,T10/TrAvia_act!T8*1000)</f>
        <v>213.2942163742091</v>
      </c>
      <c r="U36" s="15">
        <f>IF(U10=0,0,U10/TrAvia_act!U8*1000)</f>
        <v>208.75851799226737</v>
      </c>
      <c r="V36" s="15">
        <f>IF(V10=0,0,V10/TrAvia_act!V8*1000)</f>
        <v>338.30014504444108</v>
      </c>
      <c r="W36" s="15">
        <f>IF(W10=0,0,W10/TrAvia_act!W8*1000)</f>
        <v>330.70025226337651</v>
      </c>
      <c r="X36" s="15">
        <f>IF(X10=0,0,X10/TrAvia_act!X8*1000)</f>
        <v>285.04970416592596</v>
      </c>
      <c r="Y36" s="15">
        <f>IF(Y10=0,0,Y10/TrAvia_act!Y8*1000)</f>
        <v>245.07322070956218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1080.5171048743066</v>
      </c>
      <c r="C37" s="101">
        <f>IF(C11=0,0,C11/TrAvia_act!C9*1000)</f>
        <v>1078.5719495363446</v>
      </c>
      <c r="D37" s="101">
        <f>IF(D11=0,0,D11/TrAvia_act!D9*1000)</f>
        <v>952.99886798385501</v>
      </c>
      <c r="E37" s="101">
        <f>IF(E11=0,0,E11/TrAvia_act!E9*1000)</f>
        <v>862.0658443533099</v>
      </c>
      <c r="F37" s="101">
        <f>IF(F11=0,0,F11/TrAvia_act!F9*1000)</f>
        <v>938.90455930590485</v>
      </c>
      <c r="G37" s="101">
        <f>IF(G11=0,0,G11/TrAvia_act!G9*1000)</f>
        <v>963.41265089684691</v>
      </c>
      <c r="H37" s="101">
        <f>IF(H11=0,0,H11/TrAvia_act!H9*1000)</f>
        <v>927.50425989779899</v>
      </c>
      <c r="I37" s="101">
        <f>IF(I11=0,0,I11/TrAvia_act!I9*1000)</f>
        <v>872.12927623308371</v>
      </c>
      <c r="J37" s="101">
        <f>IF(J11=0,0,J11/TrAvia_act!J9*1000)</f>
        <v>863.99758836352828</v>
      </c>
      <c r="K37" s="101">
        <f>IF(K11=0,0,K11/TrAvia_act!K9*1000)</f>
        <v>765.02273432586696</v>
      </c>
      <c r="L37" s="101">
        <f>IF(L11=0,0,L11/TrAvia_act!L9*1000)</f>
        <v>728.28539725129679</v>
      </c>
      <c r="M37" s="101">
        <f>IF(M11=0,0,M11/TrAvia_act!M9*1000)</f>
        <v>1176.3195558306832</v>
      </c>
      <c r="N37" s="101">
        <f>IF(N11=0,0,N11/TrAvia_act!N9*1000)</f>
        <v>1209.3536039961987</v>
      </c>
      <c r="O37" s="101">
        <f>IF(O11=0,0,O11/TrAvia_act!O9*1000)</f>
        <v>1157.7129699330089</v>
      </c>
      <c r="P37" s="101">
        <f>IF(P11=0,0,P11/TrAvia_act!P9*1000)</f>
        <v>1002.5008868795535</v>
      </c>
      <c r="Q37" s="101">
        <f>IF(Q11=0,0,Q11/TrAvia_act!Q9*1000)</f>
        <v>984.28355008727999</v>
      </c>
      <c r="R37" s="101">
        <f>IF(R11=0,0,R11/TrAvia_act!R9*1000)</f>
        <v>872.95483777761035</v>
      </c>
      <c r="S37" s="101">
        <f>IF(S11=0,0,S11/TrAvia_act!S9*1000)</f>
        <v>930.4712528260618</v>
      </c>
      <c r="T37" s="101">
        <f>IF(T11=0,0,T11/TrAvia_act!T9*1000)</f>
        <v>914.09595719724825</v>
      </c>
      <c r="U37" s="101">
        <f>IF(U11=0,0,U11/TrAvia_act!U9*1000)</f>
        <v>815.60887439744533</v>
      </c>
      <c r="V37" s="101">
        <f>IF(V11=0,0,V11/TrAvia_act!V9*1000)</f>
        <v>988.29578950665734</v>
      </c>
      <c r="W37" s="101">
        <f>IF(W11=0,0,W11/TrAvia_act!W9*1000)</f>
        <v>1073.2928832933576</v>
      </c>
      <c r="X37" s="101">
        <f>IF(X11=0,0,X11/TrAvia_act!X9*1000)</f>
        <v>909.76688916336775</v>
      </c>
      <c r="Y37" s="101">
        <f>IF(Y11=0,0,Y11/TrAvia_act!Y9*1000)</f>
        <v>887.54746152520784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553.64315760626528</v>
      </c>
      <c r="C38" s="101">
        <f>IF(C12=0,0,C12/TrAvia_act!C10*1000)</f>
        <v>530.59827969009575</v>
      </c>
      <c r="D38" s="101">
        <f>IF(D12=0,0,D12/TrAvia_act!D10*1000)</f>
        <v>565.26478576469901</v>
      </c>
      <c r="E38" s="101">
        <f>IF(E12=0,0,E12/TrAvia_act!E10*1000)</f>
        <v>529.60100888980071</v>
      </c>
      <c r="F38" s="101">
        <f>IF(F12=0,0,F12/TrAvia_act!F10*1000)</f>
        <v>592.26144319606044</v>
      </c>
      <c r="G38" s="101">
        <f>IF(G12=0,0,G12/TrAvia_act!G10*1000)</f>
        <v>608.74328384198384</v>
      </c>
      <c r="H38" s="101">
        <f>IF(H12=0,0,H12/TrAvia_act!H10*1000)</f>
        <v>728.95952300509475</v>
      </c>
      <c r="I38" s="101">
        <f>IF(I12=0,0,I12/TrAvia_act!I10*1000)</f>
        <v>749.35412716863505</v>
      </c>
      <c r="J38" s="101">
        <f>IF(J12=0,0,J12/TrAvia_act!J10*1000)</f>
        <v>738.96872417298005</v>
      </c>
      <c r="K38" s="101">
        <f>IF(K12=0,0,K12/TrAvia_act!K10*1000)</f>
        <v>696.17331702216256</v>
      </c>
      <c r="L38" s="101">
        <f>IF(L12=0,0,L12/TrAvia_act!L10*1000)</f>
        <v>762.01131522034598</v>
      </c>
      <c r="M38" s="101">
        <f>IF(M12=0,0,M12/TrAvia_act!M10*1000)</f>
        <v>682.39022592791537</v>
      </c>
      <c r="N38" s="101">
        <f>IF(N12=0,0,N12/TrAvia_act!N10*1000)</f>
        <v>605.82199545472668</v>
      </c>
      <c r="O38" s="101">
        <f>IF(O12=0,0,O12/TrAvia_act!O10*1000)</f>
        <v>625.91298023634363</v>
      </c>
      <c r="P38" s="101">
        <f>IF(P12=0,0,P12/TrAvia_act!P10*1000)</f>
        <v>533.37558507482061</v>
      </c>
      <c r="Q38" s="101">
        <f>IF(Q12=0,0,Q12/TrAvia_act!Q10*1000)</f>
        <v>552.81501270124113</v>
      </c>
      <c r="R38" s="101">
        <f>IF(R12=0,0,R12/TrAvia_act!R10*1000)</f>
        <v>501.50695149233417</v>
      </c>
      <c r="S38" s="101">
        <f>IF(S12=0,0,S12/TrAvia_act!S10*1000)</f>
        <v>566.56214742766667</v>
      </c>
      <c r="T38" s="101">
        <f>IF(T12=0,0,T12/TrAvia_act!T10*1000)</f>
        <v>562.33416925412564</v>
      </c>
      <c r="U38" s="101">
        <f>IF(U12=0,0,U12/TrAvia_act!U10*1000)</f>
        <v>533.74589683057411</v>
      </c>
      <c r="V38" s="101">
        <f>IF(V12=0,0,V12/TrAvia_act!V10*1000)</f>
        <v>523.48023769120766</v>
      </c>
      <c r="W38" s="101">
        <f>IF(W12=0,0,W12/TrAvia_act!W10*1000)</f>
        <v>479.09363336932324</v>
      </c>
      <c r="X38" s="101">
        <f>IF(X12=0,0,X12/TrAvia_act!X10*1000)</f>
        <v>592.25455773605893</v>
      </c>
      <c r="Y38" s="101">
        <f>IF(Y12=0,0,Y12/TrAvia_act!Y10*1000)</f>
        <v>580.69952522752601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221.247444033997</v>
      </c>
      <c r="C39" s="88">
        <f>IF(C13=0,0,C13/TrAvia_act!C11*1000)</f>
        <v>211.08988949013388</v>
      </c>
      <c r="D39" s="88">
        <f>IF(D13=0,0,D13/TrAvia_act!D11*1000)</f>
        <v>223.27467882654079</v>
      </c>
      <c r="E39" s="88">
        <f>IF(E13=0,0,E13/TrAvia_act!E11*1000)</f>
        <v>234.9747892232935</v>
      </c>
      <c r="F39" s="88">
        <f>IF(F13=0,0,F13/TrAvia_act!F11*1000)</f>
        <v>248.47123913258562</v>
      </c>
      <c r="G39" s="88">
        <f>IF(G13=0,0,G13/TrAvia_act!G11*1000)</f>
        <v>257.03357268258918</v>
      </c>
      <c r="H39" s="88">
        <f>IF(H13=0,0,H13/TrAvia_act!H11*1000)</f>
        <v>269.81957137311798</v>
      </c>
      <c r="I39" s="88">
        <f>IF(I13=0,0,I13/TrAvia_act!I11*1000)</f>
        <v>267.40487317111592</v>
      </c>
      <c r="J39" s="88">
        <f>IF(J13=0,0,J13/TrAvia_act!J11*1000)</f>
        <v>284.54990490717398</v>
      </c>
      <c r="K39" s="88">
        <f>IF(K13=0,0,K13/TrAvia_act!K11*1000)</f>
        <v>254.5910422861119</v>
      </c>
      <c r="L39" s="88">
        <f>IF(L13=0,0,L13/TrAvia_act!L11*1000)</f>
        <v>287.08006745591445</v>
      </c>
      <c r="M39" s="88">
        <f>IF(M13=0,0,M13/TrAvia_act!M11*1000)</f>
        <v>235.30551753198671</v>
      </c>
      <c r="N39" s="88">
        <f>IF(N13=0,0,N13/TrAvia_act!N11*1000)</f>
        <v>250.73354525540171</v>
      </c>
      <c r="O39" s="88">
        <f>IF(O13=0,0,O13/TrAvia_act!O11*1000)</f>
        <v>242.72308819567127</v>
      </c>
      <c r="P39" s="88">
        <f>IF(P13=0,0,P13/TrAvia_act!P11*1000)</f>
        <v>190.73875356656512</v>
      </c>
      <c r="Q39" s="88">
        <f>IF(Q13=0,0,Q13/TrAvia_act!Q11*1000)</f>
        <v>209.59256247243667</v>
      </c>
      <c r="R39" s="88">
        <f>IF(R13=0,0,R13/TrAvia_act!R11*1000)</f>
        <v>192.67354339009268</v>
      </c>
      <c r="S39" s="88">
        <f>IF(S13=0,0,S13/TrAvia_act!S11*1000)</f>
        <v>197.4903490371961</v>
      </c>
      <c r="T39" s="88">
        <f>IF(T13=0,0,T13/TrAvia_act!T11*1000)</f>
        <v>189.64577660921239</v>
      </c>
      <c r="U39" s="88">
        <f>IF(U13=0,0,U13/TrAvia_act!U11*1000)</f>
        <v>185.05789094735658</v>
      </c>
      <c r="V39" s="88">
        <f>IF(V13=0,0,V13/TrAvia_act!V11*1000)</f>
        <v>315.81562138831248</v>
      </c>
      <c r="W39" s="88">
        <f>IF(W13=0,0,W13/TrAvia_act!W11*1000)</f>
        <v>304.62559312384332</v>
      </c>
      <c r="X39" s="88">
        <f>IF(X13=0,0,X13/TrAvia_act!X11*1000)</f>
        <v>257.28359640172954</v>
      </c>
      <c r="Y39" s="88">
        <f>IF(Y13=0,0,Y13/TrAvia_act!Y11*1000)</f>
        <v>213.53229599224244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21152.24699979158</v>
      </c>
      <c r="C41" s="54">
        <f>IF(C3=0,0,C3/TrAvia_act!C23*1000000)</f>
        <v>20852.93538490259</v>
      </c>
      <c r="D41" s="54">
        <f>IF(D3=0,0,D3/TrAvia_act!D23*1000000)</f>
        <v>20363.330476836552</v>
      </c>
      <c r="E41" s="54">
        <f>IF(E3=0,0,E3/TrAvia_act!E23*1000000)</f>
        <v>19946.318274652516</v>
      </c>
      <c r="F41" s="54">
        <f>IF(F3=0,0,F3/TrAvia_act!F23*1000000)</f>
        <v>21427.355803519109</v>
      </c>
      <c r="G41" s="54">
        <f>IF(G3=0,0,G3/TrAvia_act!G23*1000000)</f>
        <v>21531.682643552751</v>
      </c>
      <c r="H41" s="54">
        <f>IF(H3=0,0,H3/TrAvia_act!H23*1000000)</f>
        <v>21556.193022420179</v>
      </c>
      <c r="I41" s="54">
        <f>IF(I3=0,0,I3/TrAvia_act!I23*1000000)</f>
        <v>21771.644783010292</v>
      </c>
      <c r="J41" s="54">
        <f>IF(J3=0,0,J3/TrAvia_act!J23*1000000)</f>
        <v>21806.807095664979</v>
      </c>
      <c r="K41" s="54">
        <f>IF(K3=0,0,K3/TrAvia_act!K23*1000000)</f>
        <v>21731.822843570302</v>
      </c>
      <c r="L41" s="54">
        <f>IF(L3=0,0,L3/TrAvia_act!L23*1000000)</f>
        <v>24662.05627702842</v>
      </c>
      <c r="M41" s="54">
        <f>IF(M3=0,0,M3/TrAvia_act!M23*1000000)</f>
        <v>26139.315000984017</v>
      </c>
      <c r="N41" s="54">
        <f>IF(N3=0,0,N3/TrAvia_act!N23*1000000)</f>
        <v>26148.611741772133</v>
      </c>
      <c r="O41" s="54">
        <f>IF(O3=0,0,O3/TrAvia_act!O23*1000000)</f>
        <v>26441.732849711916</v>
      </c>
      <c r="P41" s="54">
        <f>IF(P3=0,0,P3/TrAvia_act!P23*1000000)</f>
        <v>26600.083833702996</v>
      </c>
      <c r="Q41" s="54">
        <f>IF(Q3=0,0,Q3/TrAvia_act!Q23*1000000)</f>
        <v>27699.933428769116</v>
      </c>
      <c r="R41" s="54">
        <f>IF(R3=0,0,R3/TrAvia_act!R23*1000000)</f>
        <v>27294.900366719383</v>
      </c>
      <c r="S41" s="54">
        <f>IF(S3=0,0,S3/TrAvia_act!S23*1000000)</f>
        <v>27409.391725190839</v>
      </c>
      <c r="T41" s="54">
        <f>IF(T3=0,0,T3/TrAvia_act!T23*1000000)</f>
        <v>28370.183361049101</v>
      </c>
      <c r="U41" s="54">
        <f>IF(U3=0,0,U3/TrAvia_act!U23*1000000)</f>
        <v>29054.502934592343</v>
      </c>
      <c r="V41" s="54">
        <f>IF(V3=0,0,V3/TrAvia_act!V23*1000000)</f>
        <v>31760.304044659362</v>
      </c>
      <c r="W41" s="54">
        <f>IF(W3=0,0,W3/TrAvia_act!W23*1000000)</f>
        <v>28578.002102524293</v>
      </c>
      <c r="X41" s="54">
        <f>IF(X3=0,0,X3/TrAvia_act!X23*1000000)</f>
        <v>29868.411496409641</v>
      </c>
      <c r="Y41" s="54">
        <f>IF(Y3=0,0,Y3/TrAvia_act!Y23*1000000)</f>
        <v>28923.143768042803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20471.047286740424</v>
      </c>
      <c r="C42" s="11">
        <f>IF(C6=0,0,C6/TrAvia_act!C24*1000000)</f>
        <v>20248.959632608905</v>
      </c>
      <c r="D42" s="11">
        <f>IF(D6=0,0,D6/TrAvia_act!D24*1000000)</f>
        <v>19711.836877980455</v>
      </c>
      <c r="E42" s="11">
        <f>IF(E6=0,0,E6/TrAvia_act!E24*1000000)</f>
        <v>19235.989618554722</v>
      </c>
      <c r="F42" s="11">
        <f>IF(F6=0,0,F6/TrAvia_act!F24*1000000)</f>
        <v>20654.384748263568</v>
      </c>
      <c r="G42" s="11">
        <f>IF(G6=0,0,G6/TrAvia_act!G24*1000000)</f>
        <v>20725.099683030803</v>
      </c>
      <c r="H42" s="11">
        <f>IF(H6=0,0,H6/TrAvia_act!H24*1000000)</f>
        <v>20786.597781967736</v>
      </c>
      <c r="I42" s="11">
        <f>IF(I6=0,0,I6/TrAvia_act!I24*1000000)</f>
        <v>21018.503451299552</v>
      </c>
      <c r="J42" s="11">
        <f>IF(J6=0,0,J6/TrAvia_act!J24*1000000)</f>
        <v>21017.536311323551</v>
      </c>
      <c r="K42" s="11">
        <f>IF(K6=0,0,K6/TrAvia_act!K24*1000000)</f>
        <v>21197.870239977223</v>
      </c>
      <c r="L42" s="11">
        <f>IF(L6=0,0,L6/TrAvia_act!L24*1000000)</f>
        <v>23865.693014081709</v>
      </c>
      <c r="M42" s="11">
        <f>IF(M6=0,0,M6/TrAvia_act!M24*1000000)</f>
        <v>25439.288673517753</v>
      </c>
      <c r="N42" s="11">
        <f>IF(N6=0,0,N6/TrAvia_act!N24*1000000)</f>
        <v>25340.36124293461</v>
      </c>
      <c r="O42" s="11">
        <f>IF(O6=0,0,O6/TrAvia_act!O24*1000000)</f>
        <v>25738.207222917317</v>
      </c>
      <c r="P42" s="11">
        <f>IF(P6=0,0,P6/TrAvia_act!P24*1000000)</f>
        <v>25881.268652086328</v>
      </c>
      <c r="Q42" s="11">
        <f>IF(Q6=0,0,Q6/TrAvia_act!Q24*1000000)</f>
        <v>26896.038506488148</v>
      </c>
      <c r="R42" s="11">
        <f>IF(R6=0,0,R6/TrAvia_act!R24*1000000)</f>
        <v>26591.352426716072</v>
      </c>
      <c r="S42" s="11">
        <f>IF(S6=0,0,S6/TrAvia_act!S24*1000000)</f>
        <v>26718.205867925619</v>
      </c>
      <c r="T42" s="11">
        <f>IF(T6=0,0,T6/TrAvia_act!T24*1000000)</f>
        <v>27713.88258661655</v>
      </c>
      <c r="U42" s="11">
        <f>IF(U6=0,0,U6/TrAvia_act!U24*1000000)</f>
        <v>28518.057324298366</v>
      </c>
      <c r="V42" s="11">
        <f>IF(V6=0,0,V6/TrAvia_act!V24*1000000)</f>
        <v>29646.908664326736</v>
      </c>
      <c r="W42" s="11">
        <f>IF(W6=0,0,W6/TrAvia_act!W24*1000000)</f>
        <v>26813.713865038219</v>
      </c>
      <c r="X42" s="11">
        <f>IF(X6=0,0,X6/TrAvia_act!X24*1000000)</f>
        <v>29164.929836977422</v>
      </c>
      <c r="Y42" s="11">
        <f>IF(Y6=0,0,Y6/TrAvia_act!Y24*1000000)</f>
        <v>28577.643985239964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7530.6760175668878</v>
      </c>
      <c r="C43" s="84">
        <f>IF(C7=0,0,C7/TrAvia_act!C25*1000000)</f>
        <v>7459.7917564547752</v>
      </c>
      <c r="D43" s="84">
        <f>IF(D7=0,0,D7/TrAvia_act!D25*1000000)</f>
        <v>6778.001130034314</v>
      </c>
      <c r="E43" s="84">
        <f>IF(E7=0,0,E7/TrAvia_act!E25*1000000)</f>
        <v>6521.7777994342996</v>
      </c>
      <c r="F43" s="84">
        <f>IF(F7=0,0,F7/TrAvia_act!F25*1000000)</f>
        <v>6688.6429409925413</v>
      </c>
      <c r="G43" s="84">
        <f>IF(G7=0,0,G7/TrAvia_act!G25*1000000)</f>
        <v>6666.4738145693955</v>
      </c>
      <c r="H43" s="84">
        <f>IF(H7=0,0,H7/TrAvia_act!H25*1000000)</f>
        <v>6574.8323318384691</v>
      </c>
      <c r="I43" s="84">
        <f>IF(I7=0,0,I7/TrAvia_act!I25*1000000)</f>
        <v>6740.7060854716592</v>
      </c>
      <c r="J43" s="84">
        <f>IF(J7=0,0,J7/TrAvia_act!J25*1000000)</f>
        <v>6808.7880700101778</v>
      </c>
      <c r="K43" s="84">
        <f>IF(K7=0,0,K7/TrAvia_act!K25*1000000)</f>
        <v>6973.5476076725809</v>
      </c>
      <c r="L43" s="84">
        <f>IF(L7=0,0,L7/TrAvia_act!L25*1000000)</f>
        <v>7784.9496556210142</v>
      </c>
      <c r="M43" s="84">
        <f>IF(M7=0,0,M7/TrAvia_act!M25*1000000)</f>
        <v>13886.097751568137</v>
      </c>
      <c r="N43" s="84">
        <f>IF(N7=0,0,N7/TrAvia_act!N25*1000000)</f>
        <v>14036.23650671707</v>
      </c>
      <c r="O43" s="84">
        <f>IF(O7=0,0,O7/TrAvia_act!O25*1000000)</f>
        <v>14049.088046588882</v>
      </c>
      <c r="P43" s="84">
        <f>IF(P7=0,0,P7/TrAvia_act!P25*1000000)</f>
        <v>14224.156652723692</v>
      </c>
      <c r="Q43" s="84">
        <f>IF(Q7=0,0,Q7/TrAvia_act!Q25*1000000)</f>
        <v>14406.687436821925</v>
      </c>
      <c r="R43" s="84">
        <f>IF(R7=0,0,R7/TrAvia_act!R25*1000000)</f>
        <v>15004.990746212221</v>
      </c>
      <c r="S43" s="84">
        <f>IF(S7=0,0,S7/TrAvia_act!S25*1000000)</f>
        <v>15396.934510910583</v>
      </c>
      <c r="T43" s="84">
        <f>IF(T7=0,0,T7/TrAvia_act!T25*1000000)</f>
        <v>16340.736715947976</v>
      </c>
      <c r="U43" s="84">
        <f>IF(U7=0,0,U7/TrAvia_act!U25*1000000)</f>
        <v>16531.558778594459</v>
      </c>
      <c r="V43" s="84">
        <f>IF(V7=0,0,V7/TrAvia_act!V25*1000000)</f>
        <v>19741.957764784212</v>
      </c>
      <c r="W43" s="84">
        <f>IF(W7=0,0,W7/TrAvia_act!W25*1000000)</f>
        <v>19346.775160712124</v>
      </c>
      <c r="X43" s="84">
        <f>IF(X7=0,0,X7/TrAvia_act!X25*1000000)</f>
        <v>21285.04150080726</v>
      </c>
      <c r="Y43" s="84">
        <f>IF(Y7=0,0,Y7/TrAvia_act!Y25*1000000)</f>
        <v>19957.272728648768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12007.382754683766</v>
      </c>
      <c r="C44" s="84">
        <f>IF(C8=0,0,C8/TrAvia_act!C26*1000000)</f>
        <v>12005.100361168543</v>
      </c>
      <c r="D44" s="84">
        <f>IF(D8=0,0,D8/TrAvia_act!D26*1000000)</f>
        <v>11989.240151111999</v>
      </c>
      <c r="E44" s="84">
        <f>IF(E8=0,0,E8/TrAvia_act!E26*1000000)</f>
        <v>11506.083867755562</v>
      </c>
      <c r="F44" s="84">
        <f>IF(F8=0,0,F8/TrAvia_act!F26*1000000)</f>
        <v>11864.066383050651</v>
      </c>
      <c r="G44" s="84">
        <f>IF(G8=0,0,G8/TrAvia_act!G26*1000000)</f>
        <v>12042.146900219739</v>
      </c>
      <c r="H44" s="84">
        <f>IF(H8=0,0,H8/TrAvia_act!H26*1000000)</f>
        <v>12145.584113673069</v>
      </c>
      <c r="I44" s="84">
        <f>IF(I8=0,0,I8/TrAvia_act!I26*1000000)</f>
        <v>12297.212091338948</v>
      </c>
      <c r="J44" s="84">
        <f>IF(J8=0,0,J8/TrAvia_act!J26*1000000)</f>
        <v>11973.956998237116</v>
      </c>
      <c r="K44" s="84">
        <f>IF(K8=0,0,K8/TrAvia_act!K26*1000000)</f>
        <v>11709.449118971483</v>
      </c>
      <c r="L44" s="84">
        <f>IF(L8=0,0,L8/TrAvia_act!L26*1000000)</f>
        <v>12910.596995680746</v>
      </c>
      <c r="M44" s="84">
        <f>IF(M8=0,0,M8/TrAvia_act!M26*1000000)</f>
        <v>12201.203523704622</v>
      </c>
      <c r="N44" s="84">
        <f>IF(N8=0,0,N8/TrAvia_act!N26*1000000)</f>
        <v>11833.176378077065</v>
      </c>
      <c r="O44" s="84">
        <f>IF(O8=0,0,O8/TrAvia_act!O26*1000000)</f>
        <v>12256.630463017827</v>
      </c>
      <c r="P44" s="84">
        <f>IF(P8=0,0,P8/TrAvia_act!P26*1000000)</f>
        <v>12280.949324955673</v>
      </c>
      <c r="Q44" s="84">
        <f>IF(Q8=0,0,Q8/TrAvia_act!Q26*1000000)</f>
        <v>12726.695610501596</v>
      </c>
      <c r="R44" s="84">
        <f>IF(R8=0,0,R8/TrAvia_act!R26*1000000)</f>
        <v>12780.405845688309</v>
      </c>
      <c r="S44" s="84">
        <f>IF(S8=0,0,S8/TrAvia_act!S26*1000000)</f>
        <v>13174.513372755233</v>
      </c>
      <c r="T44" s="84">
        <f>IF(T8=0,0,T8/TrAvia_act!T26*1000000)</f>
        <v>13390.493140244413</v>
      </c>
      <c r="U44" s="84">
        <f>IF(U8=0,0,U8/TrAvia_act!U26*1000000)</f>
        <v>13342.298156250843</v>
      </c>
      <c r="V44" s="84">
        <f>IF(V8=0,0,V8/TrAvia_act!V26*1000000)</f>
        <v>11305.184968020603</v>
      </c>
      <c r="W44" s="84">
        <f>IF(W8=0,0,W8/TrAvia_act!W26*1000000)</f>
        <v>10877.102061025453</v>
      </c>
      <c r="X44" s="84">
        <f>IF(X8=0,0,X8/TrAvia_act!X26*1000000)</f>
        <v>13043.477815021231</v>
      </c>
      <c r="Y44" s="84">
        <f>IF(Y8=0,0,Y8/TrAvia_act!Y26*1000000)</f>
        <v>12803.549921725371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77813.106145522383</v>
      </c>
      <c r="C45" s="84">
        <f>IF(C9=0,0,C9/TrAvia_act!C27*1000000)</f>
        <v>77798.332501277036</v>
      </c>
      <c r="D45" s="84">
        <f>IF(D9=0,0,D9/TrAvia_act!D27*1000000)</f>
        <v>77695.624260968136</v>
      </c>
      <c r="E45" s="84">
        <f>IF(E9=0,0,E9/TrAvia_act!E27*1000000)</f>
        <v>74295.75870092056</v>
      </c>
      <c r="F45" s="84">
        <f>IF(F9=0,0,F9/TrAvia_act!F27*1000000)</f>
        <v>76251.638371240668</v>
      </c>
      <c r="G45" s="84">
        <f>IF(G9=0,0,G9/TrAvia_act!G27*1000000)</f>
        <v>73303.837558349391</v>
      </c>
      <c r="H45" s="84">
        <f>IF(H9=0,0,H9/TrAvia_act!H27*1000000)</f>
        <v>73700.336219737321</v>
      </c>
      <c r="I45" s="84">
        <f>IF(I9=0,0,I9/TrAvia_act!I27*1000000)</f>
        <v>71454.831754266415</v>
      </c>
      <c r="J45" s="84">
        <f>IF(J9=0,0,J9/TrAvia_act!J27*1000000)</f>
        <v>71621.040802210657</v>
      </c>
      <c r="K45" s="84">
        <f>IF(K9=0,0,K9/TrAvia_act!K27*1000000)</f>
        <v>72229.767446821294</v>
      </c>
      <c r="L45" s="84">
        <f>IF(L9=0,0,L9/TrAvia_act!L27*1000000)</f>
        <v>79742.573095786633</v>
      </c>
      <c r="M45" s="84">
        <f>IF(M9=0,0,M9/TrAvia_act!M27*1000000)</f>
        <v>78656.485991576978</v>
      </c>
      <c r="N45" s="84">
        <f>IF(N9=0,0,N9/TrAvia_act!N27*1000000)</f>
        <v>80750.952953189961</v>
      </c>
      <c r="O45" s="84">
        <f>IF(O9=0,0,O9/TrAvia_act!O27*1000000)</f>
        <v>79475.632852065479</v>
      </c>
      <c r="P45" s="84">
        <f>IF(P9=0,0,P9/TrAvia_act!P27*1000000)</f>
        <v>76935.980734056662</v>
      </c>
      <c r="Q45" s="84">
        <f>IF(Q9=0,0,Q9/TrAvia_act!Q27*1000000)</f>
        <v>80829.863451589757</v>
      </c>
      <c r="R45" s="84">
        <f>IF(R9=0,0,R9/TrAvia_act!R27*1000000)</f>
        <v>78979.217141541012</v>
      </c>
      <c r="S45" s="84">
        <f>IF(S9=0,0,S9/TrAvia_act!S27*1000000)</f>
        <v>77045.53602981841</v>
      </c>
      <c r="T45" s="84">
        <f>IF(T9=0,0,T9/TrAvia_act!T27*1000000)</f>
        <v>78383.991626620671</v>
      </c>
      <c r="U45" s="84">
        <f>IF(U9=0,0,U9/TrAvia_act!U27*1000000)</f>
        <v>80907.439021053957</v>
      </c>
      <c r="V45" s="84">
        <f>IF(V9=0,0,V9/TrAvia_act!V27*1000000)</f>
        <v>95737.765153144719</v>
      </c>
      <c r="W45" s="84">
        <f>IF(W9=0,0,W9/TrAvia_act!W27*1000000)</f>
        <v>82698.889335391228</v>
      </c>
      <c r="X45" s="84">
        <f>IF(X9=0,0,X9/TrAvia_act!X27*1000000)</f>
        <v>79191.407265488961</v>
      </c>
      <c r="Y45" s="84">
        <f>IF(Y9=0,0,Y9/TrAvia_act!Y27*1000000)</f>
        <v>71713.152970660187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37074.311236377078</v>
      </c>
      <c r="C46" s="13">
        <f>IF(C10=0,0,C10/TrAvia_act!C28*1000000)</f>
        <v>33688.166802668791</v>
      </c>
      <c r="D46" s="13">
        <f>IF(D10=0,0,D10/TrAvia_act!D28*1000000)</f>
        <v>35753.273909570031</v>
      </c>
      <c r="E46" s="13">
        <f>IF(E10=0,0,E10/TrAvia_act!E28*1000000)</f>
        <v>37824.716754766872</v>
      </c>
      <c r="F46" s="13">
        <f>IF(F10=0,0,F10/TrAvia_act!F28*1000000)</f>
        <v>39699.166689267629</v>
      </c>
      <c r="G46" s="13">
        <f>IF(G10=0,0,G10/TrAvia_act!G28*1000000)</f>
        <v>40492.351014834981</v>
      </c>
      <c r="H46" s="13">
        <f>IF(H10=0,0,H10/TrAvia_act!H28*1000000)</f>
        <v>38983.254541719114</v>
      </c>
      <c r="I46" s="13">
        <f>IF(I10=0,0,I10/TrAvia_act!I28*1000000)</f>
        <v>38254.488845511609</v>
      </c>
      <c r="J46" s="13">
        <f>IF(J10=0,0,J10/TrAvia_act!J28*1000000)</f>
        <v>39521.380750186741</v>
      </c>
      <c r="K46" s="13">
        <f>IF(K10=0,0,K10/TrAvia_act!K28*1000000)</f>
        <v>33865.285796791846</v>
      </c>
      <c r="L46" s="13">
        <f>IF(L10=0,0,L10/TrAvia_act!L28*1000000)</f>
        <v>41788.668001634382</v>
      </c>
      <c r="M46" s="13">
        <f>IF(M10=0,0,M10/TrAvia_act!M28*1000000)</f>
        <v>40271.677088141361</v>
      </c>
      <c r="N46" s="13">
        <f>IF(N10=0,0,N10/TrAvia_act!N28*1000000)</f>
        <v>42914.915724478044</v>
      </c>
      <c r="O46" s="13">
        <f>IF(O10=0,0,O10/TrAvia_act!O28*1000000)</f>
        <v>41022.267103605256</v>
      </c>
      <c r="P46" s="13">
        <f>IF(P10=0,0,P10/TrAvia_act!P28*1000000)</f>
        <v>38612.585681917517</v>
      </c>
      <c r="Q46" s="13">
        <f>IF(Q10=0,0,Q10/TrAvia_act!Q28*1000000)</f>
        <v>41267.502763792945</v>
      </c>
      <c r="R46" s="13">
        <f>IF(R10=0,0,R10/TrAvia_act!R28*1000000)</f>
        <v>41164.448914180648</v>
      </c>
      <c r="S46" s="13">
        <f>IF(S10=0,0,S10/TrAvia_act!S28*1000000)</f>
        <v>40625.662770864968</v>
      </c>
      <c r="T46" s="13">
        <f>IF(T10=0,0,T10/TrAvia_act!T28*1000000)</f>
        <v>41791.930156429575</v>
      </c>
      <c r="U46" s="13">
        <f>IF(U10=0,0,U10/TrAvia_act!U28*1000000)</f>
        <v>40396.412166057286</v>
      </c>
      <c r="V46" s="13">
        <f>IF(V10=0,0,V10/TrAvia_act!V28*1000000)</f>
        <v>49512.651416666857</v>
      </c>
      <c r="W46" s="13">
        <f>IF(W10=0,0,W10/TrAvia_act!W28*1000000)</f>
        <v>44963.235638071856</v>
      </c>
      <c r="X46" s="13">
        <f>IF(X10=0,0,X10/TrAvia_act!X28*1000000)</f>
        <v>41195.232573390829</v>
      </c>
      <c r="Y46" s="13">
        <f>IF(Y10=0,0,Y10/TrAvia_act!Y28*1000000)</f>
        <v>35257.480077088054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9824.4285073085084</v>
      </c>
      <c r="C47" s="102">
        <f>IF(C11=0,0,C11/TrAvia_act!C29*1000000)</f>
        <v>9731.953760822953</v>
      </c>
      <c r="D47" s="102">
        <f>IF(D11=0,0,D11/TrAvia_act!D29*1000000)</f>
        <v>8842.4979867867387</v>
      </c>
      <c r="E47" s="102">
        <f>IF(E11=0,0,E11/TrAvia_act!E29*1000000)</f>
        <v>8508.2321403325441</v>
      </c>
      <c r="F47" s="102">
        <f>IF(F11=0,0,F11/TrAvia_act!F29*1000000)</f>
        <v>8725.9223782045101</v>
      </c>
      <c r="G47" s="102">
        <f>IF(G11=0,0,G11/TrAvia_act!G29*1000000)</f>
        <v>8697.0008050143169</v>
      </c>
      <c r="H47" s="102">
        <f>IF(H11=0,0,H11/TrAvia_act!H29*1000000)</f>
        <v>7299.6801316197134</v>
      </c>
      <c r="I47" s="102">
        <f>IF(I11=0,0,I11/TrAvia_act!I29*1000000)</f>
        <v>6316.8267874309759</v>
      </c>
      <c r="J47" s="102">
        <f>IF(J11=0,0,J11/TrAvia_act!J29*1000000)</f>
        <v>5331.4544515787811</v>
      </c>
      <c r="K47" s="102">
        <f>IF(K11=0,0,K11/TrAvia_act!K29*1000000)</f>
        <v>4505.0892386345258</v>
      </c>
      <c r="L47" s="102">
        <f>IF(L11=0,0,L11/TrAvia_act!L29*1000000)</f>
        <v>4082.2016601231649</v>
      </c>
      <c r="M47" s="102">
        <f>IF(M11=0,0,M11/TrAvia_act!M29*1000000)</f>
        <v>7276.2531880057104</v>
      </c>
      <c r="N47" s="102">
        <f>IF(N11=0,0,N11/TrAvia_act!N29*1000000)</f>
        <v>7349.5114957807373</v>
      </c>
      <c r="O47" s="102">
        <f>IF(O11=0,0,O11/TrAvia_act!O29*1000000)</f>
        <v>7208.3677499489413</v>
      </c>
      <c r="P47" s="102">
        <f>IF(P11=0,0,P11/TrAvia_act!P29*1000000)</f>
        <v>7152.5998302273501</v>
      </c>
      <c r="Q47" s="102">
        <f>IF(Q11=0,0,Q11/TrAvia_act!Q29*1000000)</f>
        <v>7100.9434388987747</v>
      </c>
      <c r="R47" s="102">
        <f>IF(R11=0,0,R11/TrAvia_act!R29*1000000)</f>
        <v>7250.4751581280352</v>
      </c>
      <c r="S47" s="102">
        <f>IF(S11=0,0,S11/TrAvia_act!S29*1000000)</f>
        <v>7294.6852418257376</v>
      </c>
      <c r="T47" s="102">
        <f>IF(T11=0,0,T11/TrAvia_act!T29*1000000)</f>
        <v>7591.8343175351174</v>
      </c>
      <c r="U47" s="102">
        <f>IF(U11=0,0,U11/TrAvia_act!U29*1000000)</f>
        <v>7479.8943717544025</v>
      </c>
      <c r="V47" s="102">
        <f>IF(V11=0,0,V11/TrAvia_act!V29*1000000)</f>
        <v>10350.247421757991</v>
      </c>
      <c r="W47" s="102">
        <f>IF(W11=0,0,W11/TrAvia_act!W29*1000000)</f>
        <v>12236.304949817821</v>
      </c>
      <c r="X47" s="102">
        <f>IF(X11=0,0,X11/TrAvia_act!X29*1000000)</f>
        <v>7787.9664528036783</v>
      </c>
      <c r="Y47" s="102">
        <f>IF(Y11=0,0,Y11/TrAvia_act!Y29*1000000)</f>
        <v>8001.6439865677403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11272.629606122389</v>
      </c>
      <c r="C48" s="102">
        <f>IF(C12=0,0,C12/TrAvia_act!C30*1000000)</f>
        <v>11283.107902545298</v>
      </c>
      <c r="D48" s="102">
        <f>IF(D12=0,0,D12/TrAvia_act!D30*1000000)</f>
        <v>11260.488253104613</v>
      </c>
      <c r="E48" s="102">
        <f>IF(E12=0,0,E12/TrAvia_act!E30*1000000)</f>
        <v>10784.200763826746</v>
      </c>
      <c r="F48" s="102">
        <f>IF(F12=0,0,F12/TrAvia_act!F30*1000000)</f>
        <v>11113.975970076253</v>
      </c>
      <c r="G48" s="102">
        <f>IF(G12=0,0,G12/TrAvia_act!G30*1000000)</f>
        <v>11179.014581412965</v>
      </c>
      <c r="H48" s="102">
        <f>IF(H12=0,0,H12/TrAvia_act!H30*1000000)</f>
        <v>11295.391093823411</v>
      </c>
      <c r="I48" s="102">
        <f>IF(I12=0,0,I12/TrAvia_act!I30*1000000)</f>
        <v>11495.859792902171</v>
      </c>
      <c r="J48" s="102">
        <f>IF(J12=0,0,J12/TrAvia_act!J30*1000000)</f>
        <v>11324.30685477921</v>
      </c>
      <c r="K48" s="102">
        <f>IF(K12=0,0,K12/TrAvia_act!K30*1000000)</f>
        <v>11238.315378150664</v>
      </c>
      <c r="L48" s="102">
        <f>IF(L12=0,0,L12/TrAvia_act!L30*1000000)</f>
        <v>12288.899025659048</v>
      </c>
      <c r="M48" s="102">
        <f>IF(M12=0,0,M12/TrAvia_act!M30*1000000)</f>
        <v>11519.035752836115</v>
      </c>
      <c r="N48" s="102">
        <f>IF(N12=0,0,N12/TrAvia_act!N30*1000000)</f>
        <v>11258.076205642774</v>
      </c>
      <c r="O48" s="102">
        <f>IF(O12=0,0,O12/TrAvia_act!O30*1000000)</f>
        <v>11575.66056836849</v>
      </c>
      <c r="P48" s="102">
        <f>IF(P12=0,0,P12/TrAvia_act!P30*1000000)</f>
        <v>11446.402039863426</v>
      </c>
      <c r="Q48" s="102">
        <f>IF(Q12=0,0,Q12/TrAvia_act!Q30*1000000)</f>
        <v>11546.491437624894</v>
      </c>
      <c r="R48" s="102">
        <f>IF(R12=0,0,R12/TrAvia_act!R30*1000000)</f>
        <v>11659.701698692874</v>
      </c>
      <c r="S48" s="102">
        <f>IF(S12=0,0,S12/TrAvia_act!S30*1000000)</f>
        <v>11929.243164563059</v>
      </c>
      <c r="T48" s="102">
        <f>IF(T12=0,0,T12/TrAvia_act!T30*1000000)</f>
        <v>11962.975935495884</v>
      </c>
      <c r="U48" s="102">
        <f>IF(U12=0,0,U12/TrAvia_act!U30*1000000)</f>
        <v>11840.908408014897</v>
      </c>
      <c r="V48" s="102">
        <f>IF(V12=0,0,V12/TrAvia_act!V30*1000000)</f>
        <v>9036.1444629801827</v>
      </c>
      <c r="W48" s="102">
        <f>IF(W12=0,0,W12/TrAvia_act!W30*1000000)</f>
        <v>7976.2556453294601</v>
      </c>
      <c r="X48" s="102">
        <f>IF(X12=0,0,X12/TrAvia_act!X30*1000000)</f>
        <v>10995.348524547431</v>
      </c>
      <c r="Y48" s="102">
        <f>IF(Y12=0,0,Y12/TrAvia_act!Y30*1000000)</f>
        <v>11049.58715228968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105449.61408960584</v>
      </c>
      <c r="C49" s="86">
        <f>IF(C13=0,0,C13/TrAvia_act!C31*1000000)</f>
        <v>105429.59336094535</v>
      </c>
      <c r="D49" s="86">
        <f>IF(D13=0,0,D13/TrAvia_act!D31*1000000)</f>
        <v>105290.40672721632</v>
      </c>
      <c r="E49" s="86">
        <f>IF(E13=0,0,E13/TrAvia_act!E31*1000000)</f>
        <v>100683.02721208577</v>
      </c>
      <c r="F49" s="86">
        <f>IF(F13=0,0,F13/TrAvia_act!F31*1000000)</f>
        <v>103333.56729019611</v>
      </c>
      <c r="G49" s="86">
        <f>IF(G13=0,0,G13/TrAvia_act!G31*1000000)</f>
        <v>100227.82420508945</v>
      </c>
      <c r="H49" s="86">
        <f>IF(H13=0,0,H13/TrAvia_act!H31*1000000)</f>
        <v>100466.09965712922</v>
      </c>
      <c r="I49" s="86">
        <f>IF(I13=0,0,I13/TrAvia_act!I31*1000000)</f>
        <v>96824.889027724028</v>
      </c>
      <c r="J49" s="86">
        <f>IF(J13=0,0,J13/TrAvia_act!J31*1000000)</f>
        <v>98819.851358671789</v>
      </c>
      <c r="K49" s="86">
        <f>IF(K13=0,0,K13/TrAvia_act!K31*1000000)</f>
        <v>98740.469793514014</v>
      </c>
      <c r="L49" s="86">
        <f>IF(L13=0,0,L13/TrAvia_act!L31*1000000)</f>
        <v>110802.76009224336</v>
      </c>
      <c r="M49" s="86">
        <f>IF(M13=0,0,M13/TrAvia_act!M31*1000000)</f>
        <v>102381.7327097107</v>
      </c>
      <c r="N49" s="86">
        <f>IF(N13=0,0,N13/TrAvia_act!N31*1000000)</f>
        <v>118485.33180136337</v>
      </c>
      <c r="O49" s="86">
        <f>IF(O13=0,0,O13/TrAvia_act!O31*1000000)</f>
        <v>114914.17723062505</v>
      </c>
      <c r="P49" s="86">
        <f>IF(P13=0,0,P13/TrAvia_act!P31*1000000)</f>
        <v>104452.60506198306</v>
      </c>
      <c r="Q49" s="86">
        <f>IF(Q13=0,0,Q13/TrAvia_act!Q31*1000000)</f>
        <v>111934.11593848203</v>
      </c>
      <c r="R49" s="86">
        <f>IF(R13=0,0,R13/TrAvia_act!R31*1000000)</f>
        <v>109885.95796659563</v>
      </c>
      <c r="S49" s="86">
        <f>IF(S13=0,0,S13/TrAvia_act!S31*1000000)</f>
        <v>108698.14852618283</v>
      </c>
      <c r="T49" s="86">
        <f>IF(T13=0,0,T13/TrAvia_act!T31*1000000)</f>
        <v>106268.06510232351</v>
      </c>
      <c r="U49" s="86">
        <f>IF(U13=0,0,U13/TrAvia_act!U31*1000000)</f>
        <v>105727.83771411811</v>
      </c>
      <c r="V49" s="86">
        <f>IF(V13=0,0,V13/TrAvia_act!V31*1000000)</f>
        <v>121792.04161231255</v>
      </c>
      <c r="W49" s="86">
        <f>IF(W13=0,0,W13/TrAvia_act!W31*1000000)</f>
        <v>112743.91555974216</v>
      </c>
      <c r="X49" s="86">
        <f>IF(X13=0,0,X13/TrAvia_act!X31*1000000)</f>
        <v>104755.44248930136</v>
      </c>
      <c r="Y49" s="86">
        <f>IF(Y13=0,0,Y13/TrAvia_act!Y31*1000000)</f>
        <v>89570.065040321366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0.92808862936589065</v>
      </c>
      <c r="C52" s="16">
        <f t="shared" si="36"/>
        <v>0.92739675433577473</v>
      </c>
      <c r="D52" s="16">
        <f t="shared" ref="D52:V52" si="37">IF(D6=0,0,D6/D$3)</f>
        <v>0.9286927170422975</v>
      </c>
      <c r="E52" s="16">
        <f t="shared" si="37"/>
        <v>0.92753594669104833</v>
      </c>
      <c r="F52" s="16">
        <f t="shared" si="37"/>
        <v>0.92480308275601808</v>
      </c>
      <c r="G52" s="16">
        <f t="shared" si="37"/>
        <v>0.92326424300779653</v>
      </c>
      <c r="H52" s="16">
        <f t="shared" si="37"/>
        <v>0.92351490686203541</v>
      </c>
      <c r="I52" s="16">
        <f t="shared" si="37"/>
        <v>0.92322293113754317</v>
      </c>
      <c r="J52" s="16">
        <f t="shared" si="37"/>
        <v>0.92269562276965034</v>
      </c>
      <c r="K52" s="16">
        <f t="shared" si="37"/>
        <v>0.93431392987044426</v>
      </c>
      <c r="L52" s="16">
        <f t="shared" si="37"/>
        <v>0.92471120217387481</v>
      </c>
      <c r="M52" s="16">
        <f t="shared" si="37"/>
        <v>0.92728754675970337</v>
      </c>
      <c r="N52" s="16">
        <f t="shared" si="37"/>
        <v>0.92452184349905131</v>
      </c>
      <c r="O52" s="16">
        <f t="shared" si="37"/>
        <v>0.9285880427650588</v>
      </c>
      <c r="P52" s="16">
        <f t="shared" si="37"/>
        <v>0.91804229517823976</v>
      </c>
      <c r="Q52" s="16">
        <f t="shared" si="37"/>
        <v>0.91666494428564294</v>
      </c>
      <c r="R52" s="16">
        <f t="shared" si="37"/>
        <v>0.92719140545630996</v>
      </c>
      <c r="S52" s="16">
        <f t="shared" si="37"/>
        <v>0.92633720694222732</v>
      </c>
      <c r="T52" s="16">
        <f t="shared" si="37"/>
        <v>0.93132624810671205</v>
      </c>
      <c r="U52" s="16">
        <f t="shared" si="37"/>
        <v>0.93720880536843965</v>
      </c>
      <c r="V52" s="16">
        <f t="shared" si="37"/>
        <v>0.83415305398073936</v>
      </c>
      <c r="W52" s="16">
        <f t="shared" ref="W52:Y52" si="38">IF(W6=0,0,W6/W$3)</f>
        <v>0.84705684494006983</v>
      </c>
      <c r="X52" s="16">
        <f t="shared" si="38"/>
        <v>0.91934875866033638</v>
      </c>
      <c r="Y52" s="16">
        <f t="shared" si="38"/>
        <v>0.93694961460493031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0.15807101253674752</v>
      </c>
      <c r="C53" s="103">
        <f t="shared" si="39"/>
        <v>0.16081226573686649</v>
      </c>
      <c r="D53" s="103">
        <f t="shared" ref="D53:V53" si="40">IF(D7=0,0,D7/D$3)</f>
        <v>0.15280534115019498</v>
      </c>
      <c r="E53" s="103">
        <f t="shared" si="40"/>
        <v>0.14803536989797839</v>
      </c>
      <c r="F53" s="103">
        <f t="shared" si="40"/>
        <v>0.13385260523773163</v>
      </c>
      <c r="G53" s="103">
        <f t="shared" si="40"/>
        <v>0.13158956923193876</v>
      </c>
      <c r="H53" s="103">
        <f t="shared" si="40"/>
        <v>0.1273408534910612</v>
      </c>
      <c r="I53" s="103">
        <f t="shared" si="40"/>
        <v>0.12441863231992827</v>
      </c>
      <c r="J53" s="103">
        <f t="shared" si="40"/>
        <v>0.12491402028856237</v>
      </c>
      <c r="K53" s="103">
        <f t="shared" si="40"/>
        <v>0.1297663069018378</v>
      </c>
      <c r="L53" s="103">
        <f t="shared" si="40"/>
        <v>0.12497577947027153</v>
      </c>
      <c r="M53" s="103">
        <f t="shared" si="40"/>
        <v>0.20951541092251616</v>
      </c>
      <c r="N53" s="103">
        <f t="shared" si="40"/>
        <v>0.21418589129455651</v>
      </c>
      <c r="O53" s="103">
        <f t="shared" si="40"/>
        <v>0.21315766152287424</v>
      </c>
      <c r="P53" s="103">
        <f t="shared" si="40"/>
        <v>0.20337883154833727</v>
      </c>
      <c r="Q53" s="103">
        <f t="shared" si="40"/>
        <v>0.19452862381682628</v>
      </c>
      <c r="R53" s="103">
        <f t="shared" si="40"/>
        <v>0.20280131628094045</v>
      </c>
      <c r="S53" s="103">
        <f t="shared" si="40"/>
        <v>0.20537317698808713</v>
      </c>
      <c r="T53" s="103">
        <f t="shared" si="40"/>
        <v>0.20815260342951408</v>
      </c>
      <c r="U53" s="103">
        <f t="shared" si="40"/>
        <v>0.20304709146234687</v>
      </c>
      <c r="V53" s="103">
        <f t="shared" si="40"/>
        <v>0.26142943547802033</v>
      </c>
      <c r="W53" s="103">
        <f t="shared" ref="W53:Y53" si="41">IF(W7=0,0,W7/W$3)</f>
        <v>0.28444982888394094</v>
      </c>
      <c r="X53" s="103">
        <f t="shared" si="41"/>
        <v>0.2404189353617173</v>
      </c>
      <c r="Y53" s="103">
        <f t="shared" si="41"/>
        <v>0.20616467251083989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0.20517493365677672</v>
      </c>
      <c r="C54" s="103">
        <f t="shared" si="42"/>
        <v>0.20426151498396908</v>
      </c>
      <c r="D54" s="103">
        <f t="shared" ref="D54:V54" si="43">IF(D8=0,0,D8/D$3)</f>
        <v>0.20674006796943137</v>
      </c>
      <c r="E54" s="103">
        <f t="shared" si="43"/>
        <v>0.20460354681912651</v>
      </c>
      <c r="F54" s="103">
        <f t="shared" si="43"/>
        <v>0.2021860991048437</v>
      </c>
      <c r="G54" s="103">
        <f t="shared" si="43"/>
        <v>0.20186229105313136</v>
      </c>
      <c r="H54" s="103">
        <f t="shared" si="43"/>
        <v>0.20733508566397998</v>
      </c>
      <c r="I54" s="103">
        <f t="shared" si="43"/>
        <v>0.21221640474143819</v>
      </c>
      <c r="J54" s="103">
        <f t="shared" si="43"/>
        <v>0.20727308178928297</v>
      </c>
      <c r="K54" s="103">
        <f t="shared" si="43"/>
        <v>0.20024412391283272</v>
      </c>
      <c r="L54" s="103">
        <f t="shared" si="43"/>
        <v>0.19508448941270629</v>
      </c>
      <c r="M54" s="103">
        <f t="shared" si="43"/>
        <v>0.17672535754493451</v>
      </c>
      <c r="N54" s="103">
        <f t="shared" si="43"/>
        <v>0.17231392585965943</v>
      </c>
      <c r="O54" s="103">
        <f t="shared" si="43"/>
        <v>0.17250614439639714</v>
      </c>
      <c r="P54" s="103">
        <f t="shared" si="43"/>
        <v>0.17367032493649245</v>
      </c>
      <c r="Q54" s="103">
        <f t="shared" si="43"/>
        <v>0.17589890537679939</v>
      </c>
      <c r="R54" s="103">
        <f t="shared" si="43"/>
        <v>0.1857282564185638</v>
      </c>
      <c r="S54" s="103">
        <f t="shared" si="43"/>
        <v>0.19029741223594407</v>
      </c>
      <c r="T54" s="103">
        <f t="shared" si="43"/>
        <v>0.1879900031064061</v>
      </c>
      <c r="U54" s="103">
        <f t="shared" si="43"/>
        <v>0.18385120578145461</v>
      </c>
      <c r="V54" s="103">
        <f t="shared" si="43"/>
        <v>0.1142384780014909</v>
      </c>
      <c r="W54" s="103">
        <f t="shared" ref="W54:Y54" si="44">IF(W8=0,0,W8/W$3)</f>
        <v>0.12630418284105308</v>
      </c>
      <c r="X54" s="103">
        <f t="shared" si="44"/>
        <v>0.18198155161295185</v>
      </c>
      <c r="Y54" s="103">
        <f t="shared" si="44"/>
        <v>0.1911724316994497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0.56484268317236641</v>
      </c>
      <c r="C55" s="103">
        <f t="shared" si="45"/>
        <v>0.5623229736149391</v>
      </c>
      <c r="D55" s="103">
        <f t="shared" ref="D55:V55" si="46">IF(D9=0,0,D9/D$3)</f>
        <v>0.5691473079226711</v>
      </c>
      <c r="E55" s="103">
        <f t="shared" si="46"/>
        <v>0.57489702997394321</v>
      </c>
      <c r="F55" s="103">
        <f t="shared" si="46"/>
        <v>0.58876437841344276</v>
      </c>
      <c r="G55" s="103">
        <f t="shared" si="46"/>
        <v>0.58981238272272651</v>
      </c>
      <c r="H55" s="103">
        <f t="shared" si="46"/>
        <v>0.58883896770699429</v>
      </c>
      <c r="I55" s="103">
        <f t="shared" si="46"/>
        <v>0.58658789407617673</v>
      </c>
      <c r="J55" s="103">
        <f t="shared" si="46"/>
        <v>0.59050852069180493</v>
      </c>
      <c r="K55" s="103">
        <f t="shared" si="46"/>
        <v>0.60430349905577374</v>
      </c>
      <c r="L55" s="103">
        <f t="shared" si="46"/>
        <v>0.60465093329089692</v>
      </c>
      <c r="M55" s="103">
        <f t="shared" si="46"/>
        <v>0.54104677829225278</v>
      </c>
      <c r="N55" s="103">
        <f t="shared" si="46"/>
        <v>0.53802202634483542</v>
      </c>
      <c r="O55" s="103">
        <f t="shared" si="46"/>
        <v>0.54292423684578739</v>
      </c>
      <c r="P55" s="103">
        <f t="shared" si="46"/>
        <v>0.54099313869341004</v>
      </c>
      <c r="Q55" s="103">
        <f t="shared" si="46"/>
        <v>0.54623741509201729</v>
      </c>
      <c r="R55" s="103">
        <f t="shared" si="46"/>
        <v>0.53866183275680557</v>
      </c>
      <c r="S55" s="103">
        <f t="shared" si="46"/>
        <v>0.53066661771819612</v>
      </c>
      <c r="T55" s="103">
        <f t="shared" si="46"/>
        <v>0.5351836415707919</v>
      </c>
      <c r="U55" s="103">
        <f t="shared" si="46"/>
        <v>0.55031050812463822</v>
      </c>
      <c r="V55" s="103">
        <f t="shared" si="46"/>
        <v>0.45848514050122807</v>
      </c>
      <c r="W55" s="103">
        <f t="shared" ref="W55:Y55" si="47">IF(W9=0,0,W9/W$3)</f>
        <v>0.43630283321507579</v>
      </c>
      <c r="X55" s="103">
        <f t="shared" si="47"/>
        <v>0.4969482716856673</v>
      </c>
      <c r="Y55" s="103">
        <f t="shared" si="47"/>
        <v>0.53961251039464087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7.1911370634109337E-2</v>
      </c>
      <c r="C56" s="17">
        <f t="shared" si="48"/>
        <v>7.2603245664225172E-2</v>
      </c>
      <c r="D56" s="17">
        <f t="shared" ref="D56:V56" si="49">IF(D10=0,0,D10/D$3)</f>
        <v>7.1307282957702667E-2</v>
      </c>
      <c r="E56" s="17">
        <f t="shared" si="49"/>
        <v>7.2464053308951865E-2</v>
      </c>
      <c r="F56" s="17">
        <f t="shared" si="49"/>
        <v>7.5196917243981906E-2</v>
      </c>
      <c r="G56" s="17">
        <f t="shared" si="49"/>
        <v>7.6735756992203336E-2</v>
      </c>
      <c r="H56" s="17">
        <f t="shared" si="49"/>
        <v>7.6485093137964491E-2</v>
      </c>
      <c r="I56" s="17">
        <f t="shared" si="49"/>
        <v>7.6777068862456943E-2</v>
      </c>
      <c r="J56" s="17">
        <f t="shared" si="49"/>
        <v>7.7304377230349761E-2</v>
      </c>
      <c r="K56" s="17">
        <f t="shared" si="49"/>
        <v>6.5686070129555685E-2</v>
      </c>
      <c r="L56" s="17">
        <f t="shared" si="49"/>
        <v>7.5288797826125214E-2</v>
      </c>
      <c r="M56" s="17">
        <f t="shared" si="49"/>
        <v>7.2712453240296626E-2</v>
      </c>
      <c r="N56" s="17">
        <f t="shared" si="49"/>
        <v>7.5478156500948801E-2</v>
      </c>
      <c r="O56" s="17">
        <f t="shared" si="49"/>
        <v>7.1411957234941328E-2</v>
      </c>
      <c r="P56" s="17">
        <f t="shared" si="49"/>
        <v>8.1957704821760305E-2</v>
      </c>
      <c r="Q56" s="17">
        <f t="shared" si="49"/>
        <v>8.3335055714357037E-2</v>
      </c>
      <c r="R56" s="17">
        <f t="shared" si="49"/>
        <v>7.2808594543690139E-2</v>
      </c>
      <c r="S56" s="17">
        <f t="shared" si="49"/>
        <v>7.3662793057772707E-2</v>
      </c>
      <c r="T56" s="17">
        <f t="shared" si="49"/>
        <v>6.8673751893287685E-2</v>
      </c>
      <c r="U56" s="17">
        <f t="shared" si="49"/>
        <v>6.2791194631560271E-2</v>
      </c>
      <c r="V56" s="17">
        <f t="shared" si="49"/>
        <v>0.1658469460192607</v>
      </c>
      <c r="W56" s="17">
        <f t="shared" ref="W56:Y56" si="50">IF(W10=0,0,W10/W$3)</f>
        <v>0.1529431550599302</v>
      </c>
      <c r="X56" s="17">
        <f t="shared" si="50"/>
        <v>8.0651241339663629E-2</v>
      </c>
      <c r="Y56" s="17">
        <f t="shared" si="50"/>
        <v>6.3050385395069464E-2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1.0139260289734085E-2</v>
      </c>
      <c r="C57" s="104">
        <f t="shared" si="51"/>
        <v>1.1775116855387326E-2</v>
      </c>
      <c r="D57" s="104">
        <f t="shared" ref="D57:V57" si="52">IF(D11=0,0,D11/D$3)</f>
        <v>9.4702044133292158E-3</v>
      </c>
      <c r="E57" s="104">
        <f t="shared" si="52"/>
        <v>7.9766015374419554E-3</v>
      </c>
      <c r="F57" s="104">
        <f t="shared" si="52"/>
        <v>7.8207154326504439E-3</v>
      </c>
      <c r="G57" s="104">
        <f t="shared" si="52"/>
        <v>7.6537655878321127E-3</v>
      </c>
      <c r="H57" s="104">
        <f t="shared" si="52"/>
        <v>6.2524448550785377E-3</v>
      </c>
      <c r="I57" s="104">
        <f t="shared" si="52"/>
        <v>5.0624939837905251E-3</v>
      </c>
      <c r="J57" s="104">
        <f t="shared" si="52"/>
        <v>4.0353735719132946E-3</v>
      </c>
      <c r="K57" s="104">
        <f t="shared" si="52"/>
        <v>3.9268625661096892E-3</v>
      </c>
      <c r="L57" s="104">
        <f t="shared" si="52"/>
        <v>2.8386836494280108E-3</v>
      </c>
      <c r="M57" s="104">
        <f t="shared" si="52"/>
        <v>4.6569144740309463E-3</v>
      </c>
      <c r="N57" s="104">
        <f t="shared" si="52"/>
        <v>4.8938856992817702E-3</v>
      </c>
      <c r="O57" s="104">
        <f t="shared" si="52"/>
        <v>4.5672238710896219E-3</v>
      </c>
      <c r="P57" s="104">
        <f t="shared" si="52"/>
        <v>5.3477339876052306E-3</v>
      </c>
      <c r="Q57" s="104">
        <f t="shared" si="52"/>
        <v>4.9328958608154316E-3</v>
      </c>
      <c r="R57" s="104">
        <f t="shared" si="52"/>
        <v>4.3697830344698423E-3</v>
      </c>
      <c r="S57" s="104">
        <f t="shared" si="52"/>
        <v>4.4664787041984681E-3</v>
      </c>
      <c r="T57" s="104">
        <f t="shared" si="52"/>
        <v>4.3082340056362772E-3</v>
      </c>
      <c r="U57" s="104">
        <f t="shared" si="52"/>
        <v>4.0053191999913371E-3</v>
      </c>
      <c r="V57" s="104">
        <f t="shared" si="52"/>
        <v>9.8356518165506022E-3</v>
      </c>
      <c r="W57" s="104">
        <f t="shared" ref="W57:Y57" si="53">IF(W11=0,0,W11/W$3)</f>
        <v>1.1601925957865768E-2</v>
      </c>
      <c r="X57" s="104">
        <f t="shared" si="53"/>
        <v>3.6585913248909996E-3</v>
      </c>
      <c r="Y57" s="104">
        <f t="shared" si="53"/>
        <v>3.57279225307351E-3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4.0618819875240927E-3</v>
      </c>
      <c r="C58" s="104">
        <f t="shared" si="54"/>
        <v>4.6530545441722648E-3</v>
      </c>
      <c r="D58" s="104">
        <f t="shared" ref="D58:V58" si="55">IF(D12=0,0,D12/D$3)</f>
        <v>4.2383699974764795E-3</v>
      </c>
      <c r="E58" s="104">
        <f t="shared" si="55"/>
        <v>4.07954418003551E-3</v>
      </c>
      <c r="F58" s="104">
        <f t="shared" si="55"/>
        <v>4.3073801316426746E-3</v>
      </c>
      <c r="G58" s="104">
        <f t="shared" si="55"/>
        <v>4.0989927711877041E-3</v>
      </c>
      <c r="H58" s="104">
        <f t="shared" si="55"/>
        <v>5.1718458034312612E-3</v>
      </c>
      <c r="I58" s="104">
        <f t="shared" si="55"/>
        <v>6.0646501304891364E-3</v>
      </c>
      <c r="J58" s="104">
        <f t="shared" si="55"/>
        <v>5.8536512591725546E-3</v>
      </c>
      <c r="K58" s="104">
        <f t="shared" si="55"/>
        <v>5.6117560834118606E-3</v>
      </c>
      <c r="L58" s="104">
        <f t="shared" si="55"/>
        <v>6.2531392820651243E-3</v>
      </c>
      <c r="M58" s="104">
        <f t="shared" si="55"/>
        <v>6.5001793840341882E-3</v>
      </c>
      <c r="N58" s="104">
        <f t="shared" si="55"/>
        <v>6.1850325043785051E-3</v>
      </c>
      <c r="O58" s="104">
        <f t="shared" si="55"/>
        <v>6.7646241694064354E-3</v>
      </c>
      <c r="P58" s="104">
        <f t="shared" si="55"/>
        <v>8.2460386020027348E-3</v>
      </c>
      <c r="Q58" s="104">
        <f t="shared" si="55"/>
        <v>8.0372501249591083E-3</v>
      </c>
      <c r="R58" s="104">
        <f t="shared" si="55"/>
        <v>7.0856086068524192E-3</v>
      </c>
      <c r="S58" s="104">
        <f t="shared" si="55"/>
        <v>7.5618543828431918E-3</v>
      </c>
      <c r="T58" s="104">
        <f t="shared" si="55"/>
        <v>6.3366190680016485E-3</v>
      </c>
      <c r="U58" s="104">
        <f t="shared" si="55"/>
        <v>6.1722489364712868E-3</v>
      </c>
      <c r="V58" s="104">
        <f t="shared" si="55"/>
        <v>1.0915333201340936E-2</v>
      </c>
      <c r="W58" s="104">
        <f t="shared" ref="W58:Y58" si="56">IF(W12=0,0,W12/W$3)</f>
        <v>1.0297734969743649E-2</v>
      </c>
      <c r="X58" s="104">
        <f t="shared" si="56"/>
        <v>9.2508220664938579E-3</v>
      </c>
      <c r="Y58" s="104">
        <f t="shared" si="56"/>
        <v>8.542611528474256E-3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5.7710228356851162E-2</v>
      </c>
      <c r="C59" s="105">
        <f t="shared" si="57"/>
        <v>5.6175074264665587E-2</v>
      </c>
      <c r="D59" s="105">
        <f t="shared" ref="D59:V59" si="58">IF(D13=0,0,D13/D$3)</f>
        <v>5.7598708546896978E-2</v>
      </c>
      <c r="E59" s="105">
        <f t="shared" si="58"/>
        <v>6.0407907591474401E-2</v>
      </c>
      <c r="F59" s="105">
        <f t="shared" si="58"/>
        <v>6.3068821679688788E-2</v>
      </c>
      <c r="G59" s="105">
        <f t="shared" si="58"/>
        <v>6.498299863318352E-2</v>
      </c>
      <c r="H59" s="105">
        <f t="shared" si="58"/>
        <v>6.5060802479454699E-2</v>
      </c>
      <c r="I59" s="105">
        <f t="shared" si="58"/>
        <v>6.5649924748177282E-2</v>
      </c>
      <c r="J59" s="105">
        <f t="shared" si="58"/>
        <v>6.7415352399263911E-2</v>
      </c>
      <c r="K59" s="105">
        <f t="shared" si="58"/>
        <v>5.6147451480034138E-2</v>
      </c>
      <c r="L59" s="105">
        <f t="shared" si="58"/>
        <v>6.6196974894632082E-2</v>
      </c>
      <c r="M59" s="105">
        <f t="shared" si="58"/>
        <v>6.1555359382231493E-2</v>
      </c>
      <c r="N59" s="105">
        <f t="shared" si="58"/>
        <v>6.4399238297288539E-2</v>
      </c>
      <c r="O59" s="105">
        <f t="shared" si="58"/>
        <v>6.0080109194445286E-2</v>
      </c>
      <c r="P59" s="105">
        <f t="shared" si="58"/>
        <v>6.8363932232152341E-2</v>
      </c>
      <c r="Q59" s="105">
        <f t="shared" si="58"/>
        <v>7.0364909728582503E-2</v>
      </c>
      <c r="R59" s="105">
        <f t="shared" si="58"/>
        <v>6.1353202902367884E-2</v>
      </c>
      <c r="S59" s="105">
        <f t="shared" si="58"/>
        <v>6.163445997073104E-2</v>
      </c>
      <c r="T59" s="105">
        <f t="shared" si="58"/>
        <v>5.8028898819649753E-2</v>
      </c>
      <c r="U59" s="105">
        <f t="shared" si="58"/>
        <v>5.2613626495097647E-2</v>
      </c>
      <c r="V59" s="105">
        <f t="shared" si="58"/>
        <v>0.14509596100136918</v>
      </c>
      <c r="W59" s="105">
        <f t="shared" ref="W59:Y59" si="59">IF(W13=0,0,W13/W$3)</f>
        <v>0.13104349413232078</v>
      </c>
      <c r="X59" s="105">
        <f t="shared" si="59"/>
        <v>6.7741827948278779E-2</v>
      </c>
      <c r="Y59" s="105">
        <f t="shared" si="59"/>
        <v>5.0934981613521696E-2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89245856</v>
      </c>
      <c r="C4" s="11">
        <f t="shared" si="0"/>
        <v>92964425</v>
      </c>
      <c r="D4" s="11">
        <f t="shared" ref="D4" si="1">SUM(D5:D7)</f>
        <v>95773211</v>
      </c>
      <c r="E4" s="11">
        <f t="shared" ref="E4" si="2">SUM(E5:E7)</f>
        <v>94295601</v>
      </c>
      <c r="F4" s="11">
        <f t="shared" ref="F4" si="3">SUM(F5:F7)</f>
        <v>97450391</v>
      </c>
      <c r="G4" s="11">
        <f t="shared" ref="G4" si="4">SUM(G5:G7)</f>
        <v>96603616</v>
      </c>
      <c r="H4" s="11">
        <f t="shared" ref="H4" si="5">SUM(H5:H7)</f>
        <v>100567588</v>
      </c>
      <c r="I4" s="11">
        <f t="shared" ref="I4" si="6">SUM(I5:I7)</f>
        <v>105171023</v>
      </c>
      <c r="J4" s="11">
        <f t="shared" ref="J4" si="7">SUM(J5:J7)</f>
        <v>107869095</v>
      </c>
      <c r="K4" s="11">
        <f t="shared" ref="K4" si="8">SUM(K5:K7)</f>
        <v>100201201</v>
      </c>
      <c r="L4" s="11">
        <f t="shared" ref="L4" si="9">SUM(L5:L7)</f>
        <v>103015631</v>
      </c>
      <c r="M4" s="11">
        <f t="shared" ref="M4" si="10">SUM(M5:M7)</f>
        <v>107510128</v>
      </c>
      <c r="N4" s="11">
        <f t="shared" ref="N4" si="11">SUM(N5:N7)</f>
        <v>109426778</v>
      </c>
      <c r="O4" s="11">
        <f t="shared" ref="O4" si="12">SUM(O5:O7)</f>
        <v>108474332</v>
      </c>
      <c r="P4" s="11">
        <f t="shared" ref="P4" si="13">SUM(P5:P7)</f>
        <v>107433778</v>
      </c>
      <c r="Q4" s="11">
        <f t="shared" ref="Q4" si="14">SUM(Q5:Q7)</f>
        <v>110019443</v>
      </c>
      <c r="R4" s="11">
        <f t="shared" ref="R4" si="15">SUM(R5:R7)</f>
        <v>113265614</v>
      </c>
      <c r="S4" s="11">
        <f t="shared" ref="S4" si="16">SUM(S5:S7)</f>
        <v>116766930</v>
      </c>
      <c r="T4" s="11">
        <f t="shared" ref="T4" si="17">SUM(T5:T7)</f>
        <v>119732841</v>
      </c>
      <c r="U4" s="11">
        <f t="shared" ref="U4" si="18">SUM(U5:U7)</f>
        <v>123893520</v>
      </c>
      <c r="V4" s="11">
        <f t="shared" ref="V4:W4" si="19">SUM(V5:V7)</f>
        <v>49024308</v>
      </c>
      <c r="W4" s="11">
        <f t="shared" si="19"/>
        <v>62345348</v>
      </c>
      <c r="X4" s="11">
        <f t="shared" ref="X4:Y4" si="20">SUM(X5:X7)</f>
        <v>104268403</v>
      </c>
      <c r="Y4" s="11">
        <f t="shared" si="20"/>
        <v>114664164</v>
      </c>
      <c r="DA4" s="189" t="s">
        <v>362</v>
      </c>
    </row>
    <row r="5" spans="1:105" ht="11.45" customHeight="1" x14ac:dyDescent="0.25">
      <c r="A5" s="83" t="s">
        <v>27</v>
      </c>
      <c r="B5" s="84">
        <v>38505964</v>
      </c>
      <c r="C5" s="84">
        <v>39776093</v>
      </c>
      <c r="D5" s="84">
        <v>41738632</v>
      </c>
      <c r="E5" s="84">
        <v>40017597</v>
      </c>
      <c r="F5" s="84">
        <v>40520354</v>
      </c>
      <c r="G5" s="84">
        <v>38926116</v>
      </c>
      <c r="H5" s="84">
        <v>39442234</v>
      </c>
      <c r="I5" s="84">
        <v>39690844</v>
      </c>
      <c r="J5" s="84">
        <v>40725591</v>
      </c>
      <c r="K5" s="84">
        <v>36620612</v>
      </c>
      <c r="L5" s="84">
        <v>38560891</v>
      </c>
      <c r="M5" s="84">
        <v>39988260</v>
      </c>
      <c r="N5" s="84">
        <v>41111790</v>
      </c>
      <c r="O5" s="84">
        <v>40193187</v>
      </c>
      <c r="P5" s="84">
        <v>37824427</v>
      </c>
      <c r="Q5" s="84">
        <v>38117766</v>
      </c>
      <c r="R5" s="84">
        <v>38587196</v>
      </c>
      <c r="S5" s="84">
        <v>39424547</v>
      </c>
      <c r="T5" s="84">
        <v>39847686</v>
      </c>
      <c r="U5" s="84">
        <v>40412449</v>
      </c>
      <c r="V5" s="84">
        <v>21220143</v>
      </c>
      <c r="W5" s="84">
        <v>27024256</v>
      </c>
      <c r="X5" s="84">
        <v>34565132</v>
      </c>
      <c r="Y5" s="84">
        <v>32922260</v>
      </c>
      <c r="DA5" s="171" t="s">
        <v>363</v>
      </c>
    </row>
    <row r="6" spans="1:105" ht="11.45" customHeight="1" x14ac:dyDescent="0.25">
      <c r="A6" s="83" t="s">
        <v>181</v>
      </c>
      <c r="B6" s="84">
        <v>31607682</v>
      </c>
      <c r="C6" s="84">
        <v>33313503</v>
      </c>
      <c r="D6" s="84">
        <v>33636906</v>
      </c>
      <c r="E6" s="84">
        <v>34395055</v>
      </c>
      <c r="F6" s="84">
        <v>35382168</v>
      </c>
      <c r="G6" s="84">
        <v>34637980</v>
      </c>
      <c r="H6" s="84">
        <v>37172154</v>
      </c>
      <c r="I6" s="84">
        <v>40071609</v>
      </c>
      <c r="J6" s="84">
        <v>40917466</v>
      </c>
      <c r="K6" s="84">
        <v>38249279</v>
      </c>
      <c r="L6" s="84">
        <v>37200787</v>
      </c>
      <c r="M6" s="84">
        <v>40179905</v>
      </c>
      <c r="N6" s="84">
        <v>40961747</v>
      </c>
      <c r="O6" s="84">
        <v>40001631</v>
      </c>
      <c r="P6" s="84">
        <v>40865279</v>
      </c>
      <c r="Q6" s="84">
        <v>42555044</v>
      </c>
      <c r="R6" s="84">
        <v>45403531</v>
      </c>
      <c r="S6" s="84">
        <v>46759293</v>
      </c>
      <c r="T6" s="84">
        <v>47783680</v>
      </c>
      <c r="U6" s="84">
        <v>49846398</v>
      </c>
      <c r="V6" s="84">
        <v>16582936</v>
      </c>
      <c r="W6" s="84">
        <v>21487467</v>
      </c>
      <c r="X6" s="84">
        <v>43073438</v>
      </c>
      <c r="Y6" s="84">
        <v>48780293</v>
      </c>
      <c r="DA6" s="171" t="s">
        <v>364</v>
      </c>
    </row>
    <row r="7" spans="1:105" ht="11.45" customHeight="1" x14ac:dyDescent="0.25">
      <c r="A7" s="85" t="s">
        <v>182</v>
      </c>
      <c r="B7" s="86">
        <v>19132210</v>
      </c>
      <c r="C7" s="86">
        <v>19874829</v>
      </c>
      <c r="D7" s="86">
        <v>20397673</v>
      </c>
      <c r="E7" s="86">
        <v>19882949</v>
      </c>
      <c r="F7" s="86">
        <v>21547869</v>
      </c>
      <c r="G7" s="86">
        <v>23039520</v>
      </c>
      <c r="H7" s="86">
        <v>23953200</v>
      </c>
      <c r="I7" s="86">
        <v>25408570</v>
      </c>
      <c r="J7" s="86">
        <v>26226038</v>
      </c>
      <c r="K7" s="86">
        <v>25331310</v>
      </c>
      <c r="L7" s="86">
        <v>27253953</v>
      </c>
      <c r="M7" s="86">
        <v>27341963</v>
      </c>
      <c r="N7" s="86">
        <v>27353241</v>
      </c>
      <c r="O7" s="86">
        <v>28279514</v>
      </c>
      <c r="P7" s="86">
        <v>28744072</v>
      </c>
      <c r="Q7" s="86">
        <v>29346633</v>
      </c>
      <c r="R7" s="86">
        <v>29274887</v>
      </c>
      <c r="S7" s="86">
        <v>30583090</v>
      </c>
      <c r="T7" s="86">
        <v>32101475</v>
      </c>
      <c r="U7" s="86">
        <v>33634673</v>
      </c>
      <c r="V7" s="86">
        <v>11221229</v>
      </c>
      <c r="W7" s="86">
        <v>13833625</v>
      </c>
      <c r="X7" s="86">
        <v>26629833</v>
      </c>
      <c r="Y7" s="86">
        <v>32961611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104.28074029326157</v>
      </c>
      <c r="C12" s="14">
        <f>IF(C4=0,0,C4/TrAvia_act!C24)</f>
        <v>108.16294059814889</v>
      </c>
      <c r="D12" s="14">
        <f>IF(D4=0,0,D4/TrAvia_act!D24)</f>
        <v>109.22765509989485</v>
      </c>
      <c r="E12" s="14">
        <f>IF(E4=0,0,E4/TrAvia_act!E24)</f>
        <v>109.1755771060986</v>
      </c>
      <c r="F12" s="14">
        <f>IF(F4=0,0,F4/TrAvia_act!F24)</f>
        <v>115.58100541431681</v>
      </c>
      <c r="G12" s="14">
        <f>IF(G4=0,0,G4/TrAvia_act!G24)</f>
        <v>114.11151798075061</v>
      </c>
      <c r="H12" s="14">
        <f>IF(H4=0,0,H4/TrAvia_act!H24)</f>
        <v>114.54845617280294</v>
      </c>
      <c r="I12" s="14">
        <f>IF(I4=0,0,I4/TrAvia_act!I24)</f>
        <v>117.43696129653968</v>
      </c>
      <c r="J12" s="14">
        <f>IF(J4=0,0,J4/TrAvia_act!J24)</f>
        <v>119.87666058406329</v>
      </c>
      <c r="K12" s="14">
        <f>IF(K4=0,0,K4/TrAvia_act!K24)</f>
        <v>121.08730870368043</v>
      </c>
      <c r="L12" s="14">
        <f>IF(L4=0,0,L4/TrAvia_act!L24)</f>
        <v>139.8604743673292</v>
      </c>
      <c r="M12" s="14">
        <f>IF(M4=0,0,M4/TrAvia_act!M24)</f>
        <v>139.66326526635498</v>
      </c>
      <c r="N12" s="14">
        <f>IF(N4=0,0,N4/TrAvia_act!N24)</f>
        <v>144.19985109144699</v>
      </c>
      <c r="O12" s="14">
        <f>IF(O4=0,0,O4/TrAvia_act!O24)</f>
        <v>146.07862101471233</v>
      </c>
      <c r="P12" s="14">
        <f>IF(P4=0,0,P4/TrAvia_act!P24)</f>
        <v>147.42745597435513</v>
      </c>
      <c r="Q12" s="14">
        <f>IF(Q4=0,0,Q4/TrAvia_act!Q24)</f>
        <v>150.1609071937566</v>
      </c>
      <c r="R12" s="14">
        <f>IF(R4=0,0,R4/TrAvia_act!R24)</f>
        <v>152.14282125917936</v>
      </c>
      <c r="S12" s="14">
        <f>IF(S4=0,0,S4/TrAvia_act!S24)</f>
        <v>154.77995933224284</v>
      </c>
      <c r="T12" s="14">
        <f>IF(T4=0,0,T4/TrAvia_act!T24)</f>
        <v>157.69052799325686</v>
      </c>
      <c r="U12" s="14">
        <f>IF(U4=0,0,U4/TrAvia_act!U24)</f>
        <v>159.94846265866582</v>
      </c>
      <c r="V12" s="14">
        <f>IF(V4=0,0,V4/TrAvia_act!V24)</f>
        <v>160.00779406436956</v>
      </c>
      <c r="W12" s="14">
        <f>IF(W4=0,0,W4/TrAvia_act!W24)</f>
        <v>161.0079773978033</v>
      </c>
      <c r="X12" s="14">
        <f>IF(X4=0,0,X4/TrAvia_act!X24)</f>
        <v>169.9923912281474</v>
      </c>
      <c r="Y12" s="14">
        <f>IF(Y4=0,0,Y4/TrAvia_act!Y24)</f>
        <v>171.43351548541912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97.179613108382654</v>
      </c>
      <c r="C13" s="87">
        <f>IF(C5=0,0,C5/TrAvia_act!C25)</f>
        <v>98.322793946794675</v>
      </c>
      <c r="D13" s="87">
        <f>IF(D5=0,0,D5/TrAvia_act!D25)</f>
        <v>99.479780441357676</v>
      </c>
      <c r="E13" s="87">
        <f>IF(E5=0,0,E5/TrAvia_act!E25)</f>
        <v>98.424176613385214</v>
      </c>
      <c r="F13" s="87">
        <f>IF(F5=0,0,F5/TrAvia_act!F25)</f>
        <v>107.52867715937829</v>
      </c>
      <c r="G13" s="87">
        <f>IF(G5=0,0,G5/TrAvia_act!G25)</f>
        <v>103.77225941121428</v>
      </c>
      <c r="H13" s="87">
        <f>IF(H5=0,0,H5/TrAvia_act!H25)</f>
        <v>103.05525319481931</v>
      </c>
      <c r="I13" s="87">
        <f>IF(I5=0,0,I5/TrAvia_act!I25)</f>
        <v>105.46875066431411</v>
      </c>
      <c r="J13" s="87">
        <f>IF(J5=0,0,J5/TrAvia_act!J25)</f>
        <v>108.3029486695352</v>
      </c>
      <c r="K13" s="87">
        <f>IF(K5=0,0,K5/TrAvia_act!K25)</f>
        <v>104.81989426591521</v>
      </c>
      <c r="L13" s="87">
        <f>IF(L5=0,0,L5/TrAvia_act!L25)</f>
        <v>126.35747920032244</v>
      </c>
      <c r="M13" s="87">
        <f>IF(M5=0,0,M5/TrAvia_act!M25)</f>
        <v>125.49864264754343</v>
      </c>
      <c r="N13" s="87">
        <f>IF(N5=0,0,N5/TrAvia_act!N25)</f>
        <v>129.53042146752745</v>
      </c>
      <c r="O13" s="87">
        <f>IF(O5=0,0,O5/TrAvia_act!O25)</f>
        <v>128.70757293864861</v>
      </c>
      <c r="P13" s="87">
        <f>IF(P5=0,0,P5/TrAvia_act!P25)</f>
        <v>128.76795203938164</v>
      </c>
      <c r="Q13" s="87">
        <f>IF(Q5=0,0,Q5/TrAvia_act!Q25)</f>
        <v>131.3160485746275</v>
      </c>
      <c r="R13" s="87">
        <f>IF(R5=0,0,R5/TrAvia_act!R25)</f>
        <v>133.71820453198694</v>
      </c>
      <c r="S13" s="87">
        <f>IF(S5=0,0,S5/TrAvia_act!S25)</f>
        <v>135.83570323563157</v>
      </c>
      <c r="T13" s="87">
        <f>IF(T5=0,0,T5/TrAvia_act!T25)</f>
        <v>138.44895505793653</v>
      </c>
      <c r="U13" s="87">
        <f>IF(U5=0,0,U5/TrAvia_act!U25)</f>
        <v>139.59829148401849</v>
      </c>
      <c r="V13" s="87">
        <f>IF(V5=0,0,V5/TrAvia_act!V25)</f>
        <v>147.15669794245531</v>
      </c>
      <c r="W13" s="87">
        <f>IF(W5=0,0,W5/TrAvia_act!W25)</f>
        <v>149.95314563473127</v>
      </c>
      <c r="X13" s="87">
        <f>IF(X5=0,0,X5/TrAvia_act!X25)</f>
        <v>157.26793002252202</v>
      </c>
      <c r="Y13" s="87">
        <f>IF(Y5=0,0,Y5/TrAvia_act!Y25)</f>
        <v>156.21920434270965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97.990085565476193</v>
      </c>
      <c r="C14" s="87">
        <f>IF(C6=0,0,C6/TrAvia_act!C26)</f>
        <v>104.33357866319238</v>
      </c>
      <c r="D14" s="87">
        <f>IF(D6=0,0,D6/TrAvia_act!D26)</f>
        <v>104.81333782040495</v>
      </c>
      <c r="E14" s="87">
        <f>IF(E6=0,0,E6/TrAvia_act!E26)</f>
        <v>107.98431176790082</v>
      </c>
      <c r="F14" s="87">
        <f>IF(F6=0,0,F6/TrAvia_act!F26)</f>
        <v>110.25710955856232</v>
      </c>
      <c r="G14" s="87">
        <f>IF(G6=0,0,G6/TrAvia_act!G26)</f>
        <v>108.73435126006103</v>
      </c>
      <c r="H14" s="87">
        <f>IF(H6=0,0,H6/TrAvia_act!H26)</f>
        <v>110.19326131809235</v>
      </c>
      <c r="I14" s="87">
        <f>IF(I6=0,0,I6/TrAvia_act!I26)</f>
        <v>113.88800657096327</v>
      </c>
      <c r="J14" s="87">
        <f>IF(J6=0,0,J6/TrAvia_act!J26)</f>
        <v>115.32348945620987</v>
      </c>
      <c r="K14" s="87">
        <f>IF(K6=0,0,K6/TrAvia_act!K26)</f>
        <v>119.1313958413794</v>
      </c>
      <c r="L14" s="87">
        <f>IF(L6=0,0,L6/TrAvia_act!L26)</f>
        <v>129.50891051193233</v>
      </c>
      <c r="M14" s="87">
        <f>IF(M6=0,0,M6/TrAvia_act!M26)</f>
        <v>131.35753329715379</v>
      </c>
      <c r="N14" s="87">
        <f>IF(N6=0,0,N6/TrAvia_act!N26)</f>
        <v>135.23995153227989</v>
      </c>
      <c r="O14" s="87">
        <f>IF(O6=0,0,O6/TrAvia_act!O26)</f>
        <v>138.08569594079125</v>
      </c>
      <c r="P14" s="87">
        <f>IF(P6=0,0,P6/TrAvia_act!P26)</f>
        <v>140.66156435657197</v>
      </c>
      <c r="Q14" s="87">
        <f>IF(Q6=0,0,Q6/TrAvia_act!Q26)</f>
        <v>143.22317954793286</v>
      </c>
      <c r="R14" s="87">
        <f>IF(R6=0,0,R6/TrAvia_act!R26)</f>
        <v>146.33177666479739</v>
      </c>
      <c r="S14" s="87">
        <f>IF(S6=0,0,S6/TrAvia_act!S26)</f>
        <v>148.77375293511253</v>
      </c>
      <c r="T14" s="87">
        <f>IF(T6=0,0,T6/TrAvia_act!T26)</f>
        <v>150.63926911849083</v>
      </c>
      <c r="U14" s="87">
        <f>IF(U6=0,0,U6/TrAvia_act!U26)</f>
        <v>153.47789727784124</v>
      </c>
      <c r="V14" s="87">
        <f>IF(V6=0,0,V6/TrAvia_act!V26)</f>
        <v>150.70327253560166</v>
      </c>
      <c r="W14" s="87">
        <f>IF(W6=0,0,W6/TrAvia_act!W26)</f>
        <v>150.96616385518467</v>
      </c>
      <c r="X14" s="87">
        <f>IF(X6=0,0,X6/TrAvia_act!X26)</f>
        <v>158.6615514955061</v>
      </c>
      <c r="Y14" s="87">
        <f>IF(Y6=0,0,Y6/TrAvia_act!Y26)</f>
        <v>160.14278491817271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139.6226318708585</v>
      </c>
      <c r="C15" s="88">
        <f>IF(C7=0,0,C7/TrAvia_act!C27)</f>
        <v>146.52523204635767</v>
      </c>
      <c r="D15" s="88">
        <f>IF(D7=0,0,D7/TrAvia_act!D27)</f>
        <v>149.6187440860846</v>
      </c>
      <c r="E15" s="88">
        <f>IF(E7=0,0,E7/TrAvia_act!E27)</f>
        <v>143.45148047675391</v>
      </c>
      <c r="F15" s="88">
        <f>IF(F7=0,0,F7/TrAvia_act!F27)</f>
        <v>148.20125037827725</v>
      </c>
      <c r="G15" s="88">
        <f>IF(G7=0,0,G7/TrAvia_act!G27)</f>
        <v>150.67865668225369</v>
      </c>
      <c r="H15" s="88">
        <f>IF(H7=0,0,H7/TrAvia_act!H27)</f>
        <v>151.71487747255878</v>
      </c>
      <c r="I15" s="88">
        <f>IF(I7=0,0,I7/TrAvia_act!I27)</f>
        <v>151.80715045347546</v>
      </c>
      <c r="J15" s="88">
        <f>IF(J7=0,0,J7/TrAvia_act!J27)</f>
        <v>155.1891664792833</v>
      </c>
      <c r="K15" s="88">
        <f>IF(K7=0,0,K7/TrAvia_act!K27)</f>
        <v>161.26683091732082</v>
      </c>
      <c r="L15" s="88">
        <f>IF(L7=0,0,L7/TrAvia_act!L27)</f>
        <v>189.07711145953297</v>
      </c>
      <c r="M15" s="88">
        <f>IF(M7=0,0,M7/TrAvia_act!M27)</f>
        <v>188.22256718801631</v>
      </c>
      <c r="N15" s="88">
        <f>IF(N7=0,0,N7/TrAvia_act!N27)</f>
        <v>197.37946486556694</v>
      </c>
      <c r="O15" s="88">
        <f>IF(O7=0,0,O7/TrAvia_act!O27)</f>
        <v>201.12737100387611</v>
      </c>
      <c r="P15" s="88">
        <f>IF(P7=0,0,P7/TrAvia_act!P27)</f>
        <v>198.97599335456181</v>
      </c>
      <c r="Q15" s="88">
        <f>IF(Q7=0,0,Q7/TrAvia_act!Q27)</f>
        <v>202.00328336017841</v>
      </c>
      <c r="R15" s="88">
        <f>IF(R7=0,0,R7/TrAvia_act!R27)</f>
        <v>201.03616948221398</v>
      </c>
      <c r="S15" s="88">
        <f>IF(S7=0,0,S7/TrAvia_act!S27)</f>
        <v>204.06276064081777</v>
      </c>
      <c r="T15" s="88">
        <f>IF(T7=0,0,T7/TrAvia_act!T27)</f>
        <v>208.08765857041919</v>
      </c>
      <c r="U15" s="88">
        <f>IF(U7=0,0,U7/TrAvia_act!U27)</f>
        <v>209.80496400813405</v>
      </c>
      <c r="V15" s="88">
        <f>IF(V7=0,0,V7/TrAvia_act!V27)</f>
        <v>215.17630251778559</v>
      </c>
      <c r="W15" s="88">
        <f>IF(W7=0,0,W7/TrAvia_act!W27)</f>
        <v>213.91762540978536</v>
      </c>
      <c r="X15" s="88">
        <f>IF(X7=0,0,X7/TrAvia_act!X27)</f>
        <v>218.08783352169428</v>
      </c>
      <c r="Y15" s="88">
        <f>IF(Y7=0,0,Y7/TrAvia_act!Y27)</f>
        <v>214.72522898127761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0.6587644921014596</v>
      </c>
      <c r="C18" s="25">
        <f>IF(TrAvia_act!C34=0,0,(TrAvia_act!C34/TrAvia_act!C24)/TrAvia_png!C12)</f>
        <v>0.64514219283344132</v>
      </c>
      <c r="D18" s="25">
        <f>IF(TrAvia_act!D34=0,0,(TrAvia_act!D34/TrAvia_act!D24)/TrAvia_png!D12)</f>
        <v>0.64885191120928376</v>
      </c>
      <c r="E18" s="25">
        <f>IF(TrAvia_act!E34=0,0,(TrAvia_act!E34/TrAvia_act!E24)/TrAvia_png!E12)</f>
        <v>0.65218870602457912</v>
      </c>
      <c r="F18" s="25">
        <f>IF(TrAvia_act!F34=0,0,(TrAvia_act!F34/TrAvia_act!F24)/TrAvia_png!F12)</f>
        <v>0.66068000691757101</v>
      </c>
      <c r="G18" s="25">
        <f>IF(TrAvia_act!G34=0,0,(TrAvia_act!G34/TrAvia_act!G24)/TrAvia_png!G12)</f>
        <v>0.69580697683200587</v>
      </c>
      <c r="H18" s="25">
        <f>IF(TrAvia_act!H34=0,0,(TrAvia_act!H34/TrAvia_act!H24)/TrAvia_png!H12)</f>
        <v>0.69714661944562106</v>
      </c>
      <c r="I18" s="25">
        <f>IF(TrAvia_act!I34=0,0,(TrAvia_act!I34/TrAvia_act!I24)/TrAvia_png!I12)</f>
        <v>0.6990347141531561</v>
      </c>
      <c r="J18" s="25">
        <f>IF(TrAvia_act!J34=0,0,(TrAvia_act!J34/TrAvia_act!J24)/TrAvia_png!J12)</f>
        <v>0.69151372781981713</v>
      </c>
      <c r="K18" s="25">
        <f>IF(TrAvia_act!K34=0,0,(TrAvia_act!K34/TrAvia_act!K24)/TrAvia_png!K12)</f>
        <v>0.7147868117868168</v>
      </c>
      <c r="L18" s="25">
        <f>IF(TrAvia_act!L34=0,0,(TrAvia_act!L34/TrAvia_act!L24)/TrAvia_png!L12)</f>
        <v>0.70720835559411366</v>
      </c>
      <c r="M18" s="25">
        <f>IF(TrAvia_act!M34=0,0,(TrAvia_act!M34/TrAvia_act!M24)/TrAvia_png!M12)</f>
        <v>0.71806642254206965</v>
      </c>
      <c r="N18" s="25">
        <f>IF(TrAvia_act!N34=0,0,(TrAvia_act!N34/TrAvia_act!N24)/TrAvia_png!N12)</f>
        <v>0.72548710152098239</v>
      </c>
      <c r="O18" s="25">
        <f>IF(TrAvia_act!O34=0,0,(TrAvia_act!O34/TrAvia_act!O24)/TrAvia_png!O12)</f>
        <v>0.7463406642596333</v>
      </c>
      <c r="P18" s="25">
        <f>IF(TrAvia_act!P34=0,0,(TrAvia_act!P34/TrAvia_act!P24)/TrAvia_png!P12)</f>
        <v>0.76769879581075517</v>
      </c>
      <c r="Q18" s="25">
        <f>IF(TrAvia_act!Q34=0,0,(TrAvia_act!Q34/TrAvia_act!Q24)/TrAvia_png!Q12)</f>
        <v>0.77100157651225332</v>
      </c>
      <c r="R18" s="25">
        <f>IF(TrAvia_act!R34=0,0,(TrAvia_act!R34/TrAvia_act!R24)/TrAvia_png!R12)</f>
        <v>0.77069657698584504</v>
      </c>
      <c r="S18" s="25">
        <f>IF(TrAvia_act!S34=0,0,(TrAvia_act!S34/TrAvia_act!S24)/TrAvia_png!S12)</f>
        <v>0.79061341254754236</v>
      </c>
      <c r="T18" s="25">
        <f>IF(TrAvia_act!T34=0,0,(TrAvia_act!T34/TrAvia_act!T24)/TrAvia_png!T12)</f>
        <v>0.80659297978238065</v>
      </c>
      <c r="U18" s="25">
        <f>IF(TrAvia_act!U34=0,0,(TrAvia_act!U34/TrAvia_act!U24)/TrAvia_png!U12)</f>
        <v>0.80943867766449762</v>
      </c>
      <c r="V18" s="25">
        <f>IF(TrAvia_act!V34=0,0,(TrAvia_act!V34/TrAvia_act!V24)/TrAvia_png!V12)</f>
        <v>0.66013558008814732</v>
      </c>
      <c r="W18" s="25">
        <f>IF(TrAvia_act!W34=0,0,(TrAvia_act!W34/TrAvia_act!W24)/TrAvia_png!W12)</f>
        <v>0.67817374281077081</v>
      </c>
      <c r="X18" s="25">
        <f>IF(TrAvia_act!X34=0,0,(TrAvia_act!X34/TrAvia_act!X24)/TrAvia_png!X12)</f>
        <v>0.78079420665913524</v>
      </c>
      <c r="Y18" s="25">
        <f>IF(TrAvia_act!Y34=0,0,(TrAvia_act!Y34/TrAvia_act!Y24)/TrAvia_png!Y12)</f>
        <v>0.81252125991168433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0.66598836481538282</v>
      </c>
      <c r="C19" s="89">
        <f>IF(TrAvia_act!C35=0,0,(TrAvia_act!C35/TrAvia_act!C25)/TrAvia_png!C13)</f>
        <v>0.66724489506799978</v>
      </c>
      <c r="D19" s="89">
        <f>IF(TrAvia_act!D35=0,0,(TrAvia_act!D35/TrAvia_act!D25)/TrAvia_png!D13)</f>
        <v>0.6684285675678111</v>
      </c>
      <c r="E19" s="89">
        <f>IF(TrAvia_act!E35=0,0,(TrAvia_act!E35/TrAvia_act!E25)/TrAvia_png!E13)</f>
        <v>0.66763811430256548</v>
      </c>
      <c r="F19" s="89">
        <f>IF(TrAvia_act!F35=0,0,(TrAvia_act!F35/TrAvia_act!F25)/TrAvia_png!F13)</f>
        <v>0.65146123846795612</v>
      </c>
      <c r="G19" s="89">
        <f>IF(TrAvia_act!G35=0,0,(TrAvia_act!G35/TrAvia_act!G25)/TrAvia_png!G13)</f>
        <v>0.6835233959637792</v>
      </c>
      <c r="H19" s="89">
        <f>IF(TrAvia_act!H35=0,0,(TrAvia_act!H35/TrAvia_act!H25)/TrAvia_png!H13)</f>
        <v>0.68422701411892639</v>
      </c>
      <c r="I19" s="89">
        <f>IF(TrAvia_act!I35=0,0,(TrAvia_act!I35/TrAvia_act!I25)/TrAvia_png!I13)</f>
        <v>0.68441298451602584</v>
      </c>
      <c r="J19" s="89">
        <f>IF(TrAvia_act!J35=0,0,(TrAvia_act!J35/TrAvia_act!J25)/TrAvia_png!J13)</f>
        <v>0.65718758998488203</v>
      </c>
      <c r="K19" s="89">
        <f>IF(TrAvia_act!K35=0,0,(TrAvia_act!K35/TrAvia_act!K25)/TrAvia_png!K13)</f>
        <v>0.70836620644133419</v>
      </c>
      <c r="L19" s="89">
        <f>IF(TrAvia_act!L35=0,0,(TrAvia_act!L35/TrAvia_act!L25)/TrAvia_png!L13)</f>
        <v>0.68122673825145785</v>
      </c>
      <c r="M19" s="89">
        <f>IF(TrAvia_act!M35=0,0,(TrAvia_act!M35/TrAvia_act!M25)/TrAvia_png!M13)</f>
        <v>0.69367801949872276</v>
      </c>
      <c r="N19" s="89">
        <f>IF(TrAvia_act!N35=0,0,(TrAvia_act!N35/TrAvia_act!N25)/TrAvia_png!N13)</f>
        <v>0.68689752988133079</v>
      </c>
      <c r="O19" s="89">
        <f>IF(TrAvia_act!O35=0,0,(TrAvia_act!O35/TrAvia_act!O25)/TrAvia_png!O13)</f>
        <v>0.71495711449803656</v>
      </c>
      <c r="P19" s="89">
        <f>IF(TrAvia_act!P35=0,0,(TrAvia_act!P35/TrAvia_act!P25)/TrAvia_png!P13)</f>
        <v>0.74216122295785203</v>
      </c>
      <c r="Q19" s="89">
        <f>IF(TrAvia_act!Q35=0,0,(TrAvia_act!Q35/TrAvia_act!Q25)/TrAvia_png!Q13)</f>
        <v>0.74253331110747678</v>
      </c>
      <c r="R19" s="89">
        <f>IF(TrAvia_act!R35=0,0,(TrAvia_act!R35/TrAvia_act!R25)/TrAvia_png!R13)</f>
        <v>0.75324750209888269</v>
      </c>
      <c r="S19" s="89">
        <f>IF(TrAvia_act!S35=0,0,(TrAvia_act!S35/TrAvia_act!S25)/TrAvia_png!S13)</f>
        <v>0.76421882539322528</v>
      </c>
      <c r="T19" s="89">
        <f>IF(TrAvia_act!T35=0,0,(TrAvia_act!T35/TrAvia_act!T25)/TrAvia_png!T13)</f>
        <v>0.77821946800122843</v>
      </c>
      <c r="U19" s="89">
        <f>IF(TrAvia_act!U35=0,0,(TrAvia_act!U35/TrAvia_act!U25)/TrAvia_png!U13)</f>
        <v>0.78368155812581419</v>
      </c>
      <c r="V19" s="89">
        <f>IF(TrAvia_act!V35=0,0,(TrAvia_act!V35/TrAvia_act!V25)/TrAvia_png!V13)</f>
        <v>0.67375912593991483</v>
      </c>
      <c r="W19" s="89">
        <f>IF(TrAvia_act!W35=0,0,(TrAvia_act!W35/TrAvia_act!W25)/TrAvia_png!W13)</f>
        <v>0.69618164511170999</v>
      </c>
      <c r="X19" s="89">
        <f>IF(TrAvia_act!X35=0,0,(TrAvia_act!X35/TrAvia_act!X25)/TrAvia_png!X13)</f>
        <v>0.76251900325449351</v>
      </c>
      <c r="Y19" s="89">
        <f>IF(TrAvia_act!Y35=0,0,(TrAvia_act!Y35/TrAvia_act!Y25)/TrAvia_png!Y13)</f>
        <v>0.79207994833890505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0.61250657356018701</v>
      </c>
      <c r="C20" s="89">
        <f>IF(TrAvia_act!C36=0,0,(TrAvia_act!C36/TrAvia_act!C26)/TrAvia_png!C14)</f>
        <v>0.58694839146756794</v>
      </c>
      <c r="D20" s="89">
        <f>IF(TrAvia_act!D36=0,0,(TrAvia_act!D36/TrAvia_act!D26)/TrAvia_png!D14)</f>
        <v>0.59641353458608826</v>
      </c>
      <c r="E20" s="89">
        <f>IF(TrAvia_act!E36=0,0,(TrAvia_act!E36/TrAvia_act!E26)/TrAvia_png!E14)</f>
        <v>0.60298903432484696</v>
      </c>
      <c r="F20" s="89">
        <f>IF(TrAvia_act!F36=0,0,(TrAvia_act!F36/TrAvia_act!F26)/TrAvia_png!F14)</f>
        <v>0.62739846806447819</v>
      </c>
      <c r="G20" s="89">
        <f>IF(TrAvia_act!G36=0,0,(TrAvia_act!G36/TrAvia_act!G26)/TrAvia_png!G14)</f>
        <v>0.67554871848762543</v>
      </c>
      <c r="H20" s="89">
        <f>IF(TrAvia_act!H36=0,0,(TrAvia_act!H36/TrAvia_act!H26)/TrAvia_png!H14)</f>
        <v>0.67871918318212066</v>
      </c>
      <c r="I20" s="89">
        <f>IF(TrAvia_act!I36=0,0,(TrAvia_act!I36/TrAvia_act!I26)/TrAvia_png!I14)</f>
        <v>0.68215521368258514</v>
      </c>
      <c r="J20" s="89">
        <f>IF(TrAvia_act!J36=0,0,(TrAvia_act!J36/TrAvia_act!J26)/TrAvia_png!J14)</f>
        <v>0.68394692379044197</v>
      </c>
      <c r="K20" s="89">
        <f>IF(TrAvia_act!K36=0,0,(TrAvia_act!K36/TrAvia_act!K26)/TrAvia_png!K14)</f>
        <v>0.68797806620093405</v>
      </c>
      <c r="L20" s="89">
        <f>IF(TrAvia_act!L36=0,0,(TrAvia_act!L36/TrAvia_act!L26)/TrAvia_png!L14)</f>
        <v>0.70800873110560802</v>
      </c>
      <c r="M20" s="89">
        <f>IF(TrAvia_act!M36=0,0,(TrAvia_act!M36/TrAvia_act!M26)/TrAvia_png!M14)</f>
        <v>0.72066113645614649</v>
      </c>
      <c r="N20" s="89">
        <f>IF(TrAvia_act!N36=0,0,(TrAvia_act!N36/TrAvia_act!N26)/TrAvia_png!N14)</f>
        <v>0.73313391638300973</v>
      </c>
      <c r="O20" s="89">
        <f>IF(TrAvia_act!O36=0,0,(TrAvia_act!O36/TrAvia_act!O26)/TrAvia_png!O14)</f>
        <v>0.75856346957452814</v>
      </c>
      <c r="P20" s="89">
        <f>IF(TrAvia_act!P36=0,0,(TrAvia_act!P36/TrAvia_act!P26)/TrAvia_png!P14)</f>
        <v>0.78126186291301225</v>
      </c>
      <c r="Q20" s="89">
        <f>IF(TrAvia_act!Q36=0,0,(TrAvia_act!Q36/TrAvia_act!Q26)/TrAvia_png!Q14)</f>
        <v>0.78898797519748765</v>
      </c>
      <c r="R20" s="89">
        <f>IF(TrAvia_act!R36=0,0,(TrAvia_act!R36/TrAvia_act!R26)/TrAvia_png!R14)</f>
        <v>0.77805944211695777</v>
      </c>
      <c r="S20" s="89">
        <f>IF(TrAvia_act!S36=0,0,(TrAvia_act!S36/TrAvia_act!S26)/TrAvia_png!S14)</f>
        <v>0.80376444100641131</v>
      </c>
      <c r="T20" s="89">
        <f>IF(TrAvia_act!T36=0,0,(TrAvia_act!T36/TrAvia_act!T26)/TrAvia_png!T14)</f>
        <v>0.82373678628351765</v>
      </c>
      <c r="U20" s="89">
        <f>IF(TrAvia_act!U36=0,0,(TrAvia_act!U36/TrAvia_act!U26)/TrAvia_png!U14)</f>
        <v>0.82239049650087048</v>
      </c>
      <c r="V20" s="89">
        <f>IF(TrAvia_act!V36=0,0,(TrAvia_act!V36/TrAvia_act!V26)/TrAvia_png!V14)</f>
        <v>0.65453614486602374</v>
      </c>
      <c r="W20" s="89">
        <f>IF(TrAvia_act!W36=0,0,(TrAvia_act!W36/TrAvia_act!W26)/TrAvia_png!W14)</f>
        <v>0.68967403184377196</v>
      </c>
      <c r="X20" s="89">
        <f>IF(TrAvia_act!X36=0,0,(TrAvia_act!X36/TrAvia_act!X26)/TrAvia_png!X14)</f>
        <v>0.79100268244201921</v>
      </c>
      <c r="Y20" s="89">
        <f>IF(TrAvia_act!Y36=0,0,(TrAvia_act!Y36/TrAvia_act!Y26)/TrAvia_png!Y14)</f>
        <v>0.82629001428917204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0.72064669998918063</v>
      </c>
      <c r="C21" s="90">
        <f>IF(TrAvia_act!C37=0,0,(TrAvia_act!C37/TrAvia_act!C27)/TrAvia_png!C15)</f>
        <v>0.69844983320359633</v>
      </c>
      <c r="D21" s="90">
        <f>IF(TrAvia_act!D37=0,0,(TrAvia_act!D37/TrAvia_act!D27)/TrAvia_png!D15)</f>
        <v>0.69526710228171618</v>
      </c>
      <c r="E21" s="90">
        <f>IF(TrAvia_act!E37=0,0,(TrAvia_act!E37/TrAvia_act!E27)/TrAvia_png!E15)</f>
        <v>0.70620369242007308</v>
      </c>
      <c r="F21" s="90">
        <f>IF(TrAvia_act!F37=0,0,(TrAvia_act!F37/TrAvia_act!F27)/TrAvia_png!F15)</f>
        <v>0.73266488672267316</v>
      </c>
      <c r="G21" s="90">
        <f>IF(TrAvia_act!G37=0,0,(TrAvia_act!G37/TrAvia_act!G27)/TrAvia_png!G15)</f>
        <v>0.74701712535677822</v>
      </c>
      <c r="H21" s="90">
        <f>IF(TrAvia_act!H37=0,0,(TrAvia_act!H37/TrAvia_act!H27)/TrAvia_png!H15)</f>
        <v>0.74701743399629283</v>
      </c>
      <c r="I21" s="90">
        <f>IF(TrAvia_act!I37=0,0,(TrAvia_act!I37/TrAvia_act!I27)/TrAvia_png!I15)</f>
        <v>0.74849588150769597</v>
      </c>
      <c r="J21" s="90">
        <f>IF(TrAvia_act!J37=0,0,(TrAvia_act!J37/TrAvia_act!J27)/TrAvia_png!J15)</f>
        <v>0.75662332221130768</v>
      </c>
      <c r="K21" s="90">
        <f>IF(TrAvia_act!K37=0,0,(TrAvia_act!K37/TrAvia_act!K27)/TrAvia_png!K15)</f>
        <v>0.76454901069072212</v>
      </c>
      <c r="L21" s="90">
        <f>IF(TrAvia_act!L37=0,0,(TrAvia_act!L37/TrAvia_act!L27)/TrAvia_png!L15)</f>
        <v>0.74287656546556746</v>
      </c>
      <c r="M21" s="90">
        <f>IF(TrAvia_act!M37=0,0,(TrAvia_act!M37/TrAvia_act!M27)/TrAvia_png!M15)</f>
        <v>0.74992201547489468</v>
      </c>
      <c r="N21" s="90">
        <f>IF(TrAvia_act!N37=0,0,(TrAvia_act!N37/TrAvia_act!N27)/TrAvia_png!N15)</f>
        <v>0.77203586222195764</v>
      </c>
      <c r="O21" s="90">
        <f>IF(TrAvia_act!O37=0,0,(TrAvia_act!O37/TrAvia_act!O27)/TrAvia_png!O15)</f>
        <v>0.77365629409331438</v>
      </c>
      <c r="P21" s="90">
        <f>IF(TrAvia_act!P37=0,0,(TrAvia_act!P37/TrAvia_act!P27)/TrAvia_png!P15)</f>
        <v>0.78202124598073652</v>
      </c>
      <c r="Q21" s="90">
        <f>IF(TrAvia_act!Q37=0,0,(TrAvia_act!Q37/TrAvia_act!Q27)/TrAvia_png!Q15)</f>
        <v>0.7818966830027827</v>
      </c>
      <c r="R21" s="90">
        <f>IF(TrAvia_act!R37=0,0,(TrAvia_act!R37/TrAvia_act!R27)/TrAvia_png!R15)</f>
        <v>0.78227683679872106</v>
      </c>
      <c r="S21" s="90">
        <f>IF(TrAvia_act!S37=0,0,(TrAvia_act!S37/TrAvia_act!S27)/TrAvia_png!S15)</f>
        <v>0.80453162188647387</v>
      </c>
      <c r="T21" s="90">
        <f>IF(TrAvia_act!T37=0,0,(TrAvia_act!T37/TrAvia_act!T27)/TrAvia_png!T15)</f>
        <v>0.81629423570100756</v>
      </c>
      <c r="U21" s="90">
        <f>IF(TrAvia_act!U37=0,0,(TrAvia_act!U37/TrAvia_act!U27)/TrAvia_png!U15)</f>
        <v>0.82119163162371156</v>
      </c>
      <c r="V21" s="90">
        <f>IF(TrAvia_act!V37=0,0,(TrAvia_act!V37/TrAvia_act!V27)/TrAvia_png!V15)</f>
        <v>0.64264743193459462</v>
      </c>
      <c r="W21" s="90">
        <f>IF(TrAvia_act!W37=0,0,(TrAvia_act!W37/TrAvia_act!W27)/TrAvia_png!W15)</f>
        <v>0.6251318074618909</v>
      </c>
      <c r="X21" s="90">
        <f>IF(TrAvia_act!X37=0,0,(TrAvia_act!X37/TrAvia_act!X27)/TrAvia_png!X15)</f>
        <v>0.78800306408230203</v>
      </c>
      <c r="Y21" s="90">
        <f>IF(TrAvia_act!Y37=0,0,(TrAvia_act!Y37/TrAvia_act!Y27)/TrAvia_png!Y15)</f>
        <v>0.81256161903008928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4.6142646816072469E-2</v>
      </c>
      <c r="C24" s="23">
        <f>IF(TrAvia_ene!C6=0,0,TrAvia_ene!C6/(C12*TrAvia_act!C14))</f>
        <v>4.4301399491256499E-2</v>
      </c>
      <c r="D24" s="23">
        <f>IF(TrAvia_ene!D6=0,0,TrAvia_ene!D6/(D12*TrAvia_act!D14))</f>
        <v>4.3001525309298037E-2</v>
      </c>
      <c r="E24" s="23">
        <f>IF(TrAvia_ene!E6=0,0,TrAvia_ene!E6/(E12*TrAvia_act!E14))</f>
        <v>4.1375648010332555E-2</v>
      </c>
      <c r="F24" s="23">
        <f>IF(TrAvia_ene!F6=0,0,TrAvia_ene!F6/(F12*TrAvia_act!F14))</f>
        <v>4.0577368173078547E-2</v>
      </c>
      <c r="G24" s="23">
        <f>IF(TrAvia_ene!G6=0,0,TrAvia_ene!G6/(G12*TrAvia_act!G14))</f>
        <v>4.0512942953137253E-2</v>
      </c>
      <c r="H24" s="23">
        <f>IF(TrAvia_ene!H6=0,0,TrAvia_ene!H6/(H12*TrAvia_act!H14))</f>
        <v>4.0778238459045248E-2</v>
      </c>
      <c r="I24" s="23">
        <f>IF(TrAvia_ene!I6=0,0,TrAvia_ene!I6/(I12*TrAvia_act!I14))</f>
        <v>3.9376260429621029E-2</v>
      </c>
      <c r="J24" s="23">
        <f>IF(TrAvia_ene!J6=0,0,TrAvia_ene!J6/(J12*TrAvia_act!J14))</f>
        <v>3.8955737924458902E-2</v>
      </c>
      <c r="K24" s="23">
        <f>IF(TrAvia_ene!K6=0,0,TrAvia_ene!K6/(K12*TrAvia_act!K14))</f>
        <v>3.8403085564423074E-2</v>
      </c>
      <c r="L24" s="23">
        <f>IF(TrAvia_ene!L6=0,0,TrAvia_ene!L6/(L12*TrAvia_act!L14))</f>
        <v>3.7229842364539481E-2</v>
      </c>
      <c r="M24" s="23">
        <f>IF(TrAvia_ene!M6=0,0,TrAvia_ene!M6/(M12*TrAvia_act!M14))</f>
        <v>3.9154163195694605E-2</v>
      </c>
      <c r="N24" s="23">
        <f>IF(TrAvia_ene!N6=0,0,TrAvia_ene!N6/(N12*TrAvia_act!N14))</f>
        <v>3.9541311762784984E-2</v>
      </c>
      <c r="O24" s="23">
        <f>IF(TrAvia_ene!O6=0,0,TrAvia_ene!O6/(O12*TrAvia_act!O14))</f>
        <v>3.906685368685809E-2</v>
      </c>
      <c r="P24" s="23">
        <f>IF(TrAvia_ene!P6=0,0,TrAvia_ene!P6/(P12*TrAvia_act!P14))</f>
        <v>3.7106306005762445E-2</v>
      </c>
      <c r="Q24" s="23">
        <f>IF(TrAvia_ene!Q6=0,0,TrAvia_ene!Q6/(Q12*TrAvia_act!Q14))</f>
        <v>3.8025792978782641E-2</v>
      </c>
      <c r="R24" s="23">
        <f>IF(TrAvia_ene!R6=0,0,TrAvia_ene!R6/(R12*TrAvia_act!R14))</f>
        <v>3.7248804801285396E-2</v>
      </c>
      <c r="S24" s="23">
        <f>IF(TrAvia_ene!S6=0,0,TrAvia_ene!S6/(S12*TrAvia_act!S14))</f>
        <v>3.6529672186813585E-2</v>
      </c>
      <c r="T24" s="23">
        <f>IF(TrAvia_ene!T6=0,0,TrAvia_ene!T6/(T12*TrAvia_act!T14))</f>
        <v>3.6173457057202957E-2</v>
      </c>
      <c r="U24" s="23">
        <f>IF(TrAvia_ene!U6=0,0,TrAvia_ene!U6/(U12*TrAvia_act!U14))</f>
        <v>3.6238222055361403E-2</v>
      </c>
      <c r="V24" s="23">
        <f>IF(TrAvia_ene!V6=0,0,TrAvia_ene!V6/(V12*TrAvia_act!V14))</f>
        <v>3.7851715206615164E-2</v>
      </c>
      <c r="W24" s="23">
        <f>IF(TrAvia_ene!W6=0,0,TrAvia_ene!W6/(W12*TrAvia_act!W14))</f>
        <v>3.4262849481011111E-2</v>
      </c>
      <c r="X24" s="23">
        <f>IF(TrAvia_ene!X6=0,0,TrAvia_ene!X6/(X12*TrAvia_act!X14))</f>
        <v>3.3983404238309374E-2</v>
      </c>
      <c r="Y24" s="23">
        <f>IF(TrAvia_ene!Y6=0,0,TrAvia_ene!Y6/(Y12*TrAvia_act!Y14))</f>
        <v>3.1681031116299677E-2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3.4304757874962809E-2</v>
      </c>
      <c r="C25" s="91">
        <f>IF(TrAvia_ene!C7=0,0,TrAvia_ene!C7/(C13*TrAvia_act!C15))</f>
        <v>3.3585429906874902E-2</v>
      </c>
      <c r="D25" s="91">
        <f>IF(TrAvia_ene!D7=0,0,TrAvia_ene!D7/(D13*TrAvia_act!D15))</f>
        <v>3.0161543456061316E-2</v>
      </c>
      <c r="E25" s="91">
        <f>IF(TrAvia_ene!E7=0,0,TrAvia_ene!E7/(E13*TrAvia_act!E15))</f>
        <v>2.933143437716508E-2</v>
      </c>
      <c r="F25" s="91">
        <f>IF(TrAvia_ene!F7=0,0,TrAvia_ene!F7/(F13*TrAvia_act!F15))</f>
        <v>2.7535676964722616E-2</v>
      </c>
      <c r="G25" s="91">
        <f>IF(TrAvia_ene!G7=0,0,TrAvia_ene!G7/(G13*TrAvia_act!G15))</f>
        <v>2.8678391017945105E-2</v>
      </c>
      <c r="H25" s="91">
        <f>IF(TrAvia_ene!H7=0,0,TrAvia_ene!H7/(H13*TrAvia_act!H15))</f>
        <v>2.8428119032667811E-2</v>
      </c>
      <c r="I25" s="91">
        <f>IF(TrAvia_ene!I7=0,0,TrAvia_ene!I7/(I13*TrAvia_act!I15))</f>
        <v>2.7669002894375915E-2</v>
      </c>
      <c r="J25" s="91">
        <f>IF(TrAvia_ene!J7=0,0,TrAvia_ene!J7/(J13*TrAvia_act!J15))</f>
        <v>2.7231759719467605E-2</v>
      </c>
      <c r="K25" s="91">
        <f>IF(TrAvia_ene!K7=0,0,TrAvia_ene!K7/(K13*TrAvia_act!K15))</f>
        <v>2.7187152309624305E-2</v>
      </c>
      <c r="L25" s="91">
        <f>IF(TrAvia_ene!L7=0,0,TrAvia_ene!L7/(L13*TrAvia_act!L15))</f>
        <v>2.4716252039425658E-2</v>
      </c>
      <c r="M25" s="91">
        <f>IF(TrAvia_ene!M7=0,0,TrAvia_ene!M7/(M13*TrAvia_act!M15))</f>
        <v>4.384509642894821E-2</v>
      </c>
      <c r="N25" s="91">
        <f>IF(TrAvia_ene!N7=0,0,TrAvia_ene!N7/(N13*TrAvia_act!N15))</f>
        <v>4.3435529684615226E-2</v>
      </c>
      <c r="O25" s="91">
        <f>IF(TrAvia_ene!O7=0,0,TrAvia_ene!O7/(O13*TrAvia_act!O15))</f>
        <v>4.3006466885940231E-2</v>
      </c>
      <c r="P25" s="91">
        <f>IF(TrAvia_ene!P7=0,0,TrAvia_ene!P7/(P13*TrAvia_act!P15))</f>
        <v>4.2213494409133356E-2</v>
      </c>
      <c r="Q25" s="91">
        <f>IF(TrAvia_ene!Q7=0,0,TrAvia_ene!Q7/(Q13*TrAvia_act!Q15))</f>
        <v>4.1615116245294265E-2</v>
      </c>
      <c r="R25" s="91">
        <f>IF(TrAvia_ene!R7=0,0,TrAvia_ene!R7/(R13*TrAvia_act!R15))</f>
        <v>4.180260705694204E-2</v>
      </c>
      <c r="S25" s="91">
        <f>IF(TrAvia_ene!S7=0,0,TrAvia_ene!S7/(S13*TrAvia_act!S15))</f>
        <v>4.0973258051141513E-2</v>
      </c>
      <c r="T25" s="91">
        <f>IF(TrAvia_ene!T7=0,0,TrAvia_ene!T7/(T13*TrAvia_act!T15))</f>
        <v>4.1136144348780622E-2</v>
      </c>
      <c r="U25" s="91">
        <f>IF(TrAvia_ene!U7=0,0,TrAvia_ene!U7/(U13*TrAvia_act!U15))</f>
        <v>4.0748404957353962E-2</v>
      </c>
      <c r="V25" s="91">
        <f>IF(TrAvia_ene!V7=0,0,TrAvia_ene!V7/(V13*TrAvia_act!V15))</f>
        <v>4.0119372830611573E-2</v>
      </c>
      <c r="W25" s="91">
        <f>IF(TrAvia_ene!W7=0,0,TrAvia_ene!W7/(W13*TrAvia_act!W15))</f>
        <v>3.8537241340297151E-2</v>
      </c>
      <c r="X25" s="91">
        <f>IF(TrAvia_ene!X7=0,0,TrAvia_ene!X7/(X13*TrAvia_act!X15))</f>
        <v>4.0082374134649934E-2</v>
      </c>
      <c r="Y25" s="91">
        <f>IF(TrAvia_ene!Y7=0,0,TrAvia_ene!Y7/(Y13*TrAvia_act!Y15))</f>
        <v>3.8180526465974404E-2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4.3600252628667881E-2</v>
      </c>
      <c r="C26" s="93">
        <f>IF(TrAvia_ene!C8=0,0,TrAvia_ene!C8/(C14*TrAvia_act!C16))</f>
        <v>4.0941579483911757E-2</v>
      </c>
      <c r="D26" s="93">
        <f>IF(TrAvia_ene!D8=0,0,TrAvia_ene!D8/(D14*TrAvia_act!D16))</f>
        <v>4.0700373600883771E-2</v>
      </c>
      <c r="E26" s="93">
        <f>IF(TrAvia_ene!E8=0,0,TrAvia_ene!E8/(E14*TrAvia_act!E16))</f>
        <v>3.7754208349331811E-2</v>
      </c>
      <c r="F26" s="93">
        <f>IF(TrAvia_ene!F8=0,0,TrAvia_ene!F8/(F14*TrAvia_act!F16))</f>
        <v>3.7939115114654004E-2</v>
      </c>
      <c r="G26" s="93">
        <f>IF(TrAvia_ene!G8=0,0,TrAvia_ene!G8/(G14*TrAvia_act!G16))</f>
        <v>3.8737236403699804E-2</v>
      </c>
      <c r="H26" s="93">
        <f>IF(TrAvia_ene!H8=0,0,TrAvia_ene!H8/(H14*TrAvia_act!H16))</f>
        <v>3.8509298527780844E-2</v>
      </c>
      <c r="I26" s="93">
        <f>IF(TrAvia_ene!I8=0,0,TrAvia_ene!I8/(I14*TrAvia_act!I16))</f>
        <v>3.726147986879938E-2</v>
      </c>
      <c r="J26" s="93">
        <f>IF(TrAvia_ene!J8=0,0,TrAvia_ene!J8/(J14*TrAvia_act!J16))</f>
        <v>3.558867250081435E-2</v>
      </c>
      <c r="K26" s="93">
        <f>IF(TrAvia_ene!K8=0,0,TrAvia_ene!K8/(K14*TrAvia_act!K16))</f>
        <v>3.3502959966995045E-2</v>
      </c>
      <c r="L26" s="93">
        <f>IF(TrAvia_ene!L8=0,0,TrAvia_ene!L8/(L14*TrAvia_act!L16))</f>
        <v>3.374473157954503E-2</v>
      </c>
      <c r="M26" s="93">
        <f>IF(TrAvia_ene!M8=0,0,TrAvia_ene!M8/(M14*TrAvia_act!M16))</f>
        <v>3.1630428485284967E-2</v>
      </c>
      <c r="N26" s="93">
        <f>IF(TrAvia_ene!N8=0,0,TrAvia_ene!N8/(N14*TrAvia_act!N16))</f>
        <v>2.9898851268444077E-2</v>
      </c>
      <c r="O26" s="93">
        <f>IF(TrAvia_ene!O8=0,0,TrAvia_ene!O8/(O14*TrAvia_act!O16))</f>
        <v>3.0160045173079804E-2</v>
      </c>
      <c r="P26" s="93">
        <f>IF(TrAvia_ene!P8=0,0,TrAvia_ene!P8/(P14*TrAvia_act!P16))</f>
        <v>2.9064712705736684E-2</v>
      </c>
      <c r="Q26" s="93">
        <f>IF(TrAvia_ene!Q8=0,0,TrAvia_ene!Q8/(Q14*TrAvia_act!Q16))</f>
        <v>2.9297199780627291E-2</v>
      </c>
      <c r="R26" s="93">
        <f>IF(TrAvia_ene!R8=0,0,TrAvia_ene!R8/(R14*TrAvia_act!R16))</f>
        <v>2.864894413271649E-2</v>
      </c>
      <c r="S26" s="93">
        <f>IF(TrAvia_ene!S8=0,0,TrAvia_ene!S8/(S14*TrAvia_act!S16))</f>
        <v>2.8836159693986684E-2</v>
      </c>
      <c r="T26" s="93">
        <f>IF(TrAvia_ene!T8=0,0,TrAvia_ene!T8/(T14*TrAvia_act!T16))</f>
        <v>2.8593742690530971E-2</v>
      </c>
      <c r="U26" s="93">
        <f>IF(TrAvia_ene!U8=0,0,TrAvia_ene!U8/(U14*TrAvia_act!U16))</f>
        <v>2.7837529017734387E-2</v>
      </c>
      <c r="V26" s="93">
        <f>IF(TrAvia_ene!V8=0,0,TrAvia_ene!V8/(V14*TrAvia_act!V16))</f>
        <v>2.3458762106775628E-2</v>
      </c>
      <c r="W26" s="93">
        <f>IF(TrAvia_ene!W8=0,0,TrAvia_ene!W8/(W14*TrAvia_act!W16))</f>
        <v>2.1239600032342095E-2</v>
      </c>
      <c r="X26" s="93">
        <f>IF(TrAvia_ene!X8=0,0,TrAvia_ene!X8/(X14*TrAvia_act!X16))</f>
        <v>2.4930806716581082E-2</v>
      </c>
      <c r="Y26" s="93">
        <f>IF(TrAvia_ene!Y8=0,0,TrAvia_ene!Y8/(Y14*TrAvia_act!Y16))</f>
        <v>2.4476403588672709E-2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4.1522562996856499E-2</v>
      </c>
      <c r="C27" s="94">
        <f>IF(TrAvia_ene!C9=0,0,TrAvia_ene!C9/(C15*TrAvia_act!C17))</f>
        <v>3.9558980605328815E-2</v>
      </c>
      <c r="D27" s="94">
        <f>IF(TrAvia_ene!D9=0,0,TrAvia_ene!D9/(D15*TrAvia_act!D17))</f>
        <v>3.8689915083021088E-2</v>
      </c>
      <c r="E27" s="94">
        <f>IF(TrAvia_ene!E9=0,0,TrAvia_ene!E9/(E15*TrAvia_act!E17))</f>
        <v>3.8587461423015168E-2</v>
      </c>
      <c r="F27" s="94">
        <f>IF(TrAvia_ene!F9=0,0,TrAvia_ene!F9/(F15*TrAvia_act!F17))</f>
        <v>3.8334034793405643E-2</v>
      </c>
      <c r="G27" s="94">
        <f>IF(TrAvia_ene!G9=0,0,TrAvia_ene!G9/(G15*TrAvia_act!G17))</f>
        <v>3.6392776916186663E-2</v>
      </c>
      <c r="H27" s="94">
        <f>IF(TrAvia_ene!H9=0,0,TrAvia_ene!H9/(H15*TrAvia_act!H17))</f>
        <v>3.6833593783170596E-2</v>
      </c>
      <c r="I27" s="94">
        <f>IF(TrAvia_ene!I9=0,0,TrAvia_ene!I9/(I15*TrAvia_act!I17))</f>
        <v>3.611422308128797E-2</v>
      </c>
      <c r="J27" s="94">
        <f>IF(TrAvia_ene!J9=0,0,TrAvia_ene!J9/(J15*TrAvia_act!J17))</f>
        <v>3.6336604607959011E-2</v>
      </c>
      <c r="K27" s="94">
        <f>IF(TrAvia_ene!K9=0,0,TrAvia_ene!K9/(K15*TrAvia_act!K17))</f>
        <v>3.5619726341943346E-2</v>
      </c>
      <c r="L27" s="94">
        <f>IF(TrAvia_ene!L9=0,0,TrAvia_ene!L9/(L15*TrAvia_act!L17))</f>
        <v>3.4414607415410747E-2</v>
      </c>
      <c r="M27" s="94">
        <f>IF(TrAvia_ene!M9=0,0,TrAvia_ene!M9/(M15*TrAvia_act!M17))</f>
        <v>3.2311786860368424E-2</v>
      </c>
      <c r="N27" s="94">
        <f>IF(TrAvia_ene!N9=0,0,TrAvia_ene!N9/(N15*TrAvia_act!N17))</f>
        <v>3.3462184994008874E-2</v>
      </c>
      <c r="O27" s="94">
        <f>IF(TrAvia_ene!O9=0,0,TrAvia_ene!O9/(O15*TrAvia_act!O17))</f>
        <v>3.2607693923831865E-2</v>
      </c>
      <c r="P27" s="94">
        <f>IF(TrAvia_ene!P9=0,0,TrAvia_ene!P9/(P15*TrAvia_act!P17))</f>
        <v>3.0923804102474452E-2</v>
      </c>
      <c r="Q27" s="94">
        <f>IF(TrAvia_ene!Q9=0,0,TrAvia_ene!Q9/(Q15*TrAvia_act!Q17))</f>
        <v>3.2571987625105298E-2</v>
      </c>
      <c r="R27" s="94">
        <f>IF(TrAvia_ene!R9=0,0,TrAvia_ene!R9/(R15*TrAvia_act!R17))</f>
        <v>3.2272661339698541E-2</v>
      </c>
      <c r="S27" s="94">
        <f>IF(TrAvia_ene!S9=0,0,TrAvia_ene!S9/(S15*TrAvia_act!S17))</f>
        <v>3.1491678712639623E-2</v>
      </c>
      <c r="T27" s="94">
        <f>IF(TrAvia_ene!T9=0,0,TrAvia_ene!T9/(T15*TrAvia_act!T17))</f>
        <v>3.0958051056227658E-2</v>
      </c>
      <c r="U27" s="94">
        <f>IF(TrAvia_ene!U9=0,0,TrAvia_ene!U9/(U15*TrAvia_act!U17))</f>
        <v>3.1615133640928543E-2</v>
      </c>
      <c r="V27" s="94">
        <f>IF(TrAvia_ene!V9=0,0,TrAvia_ene!V9/(V15*TrAvia_act!V17))</f>
        <v>3.485492223925598E-2</v>
      </c>
      <c r="W27" s="94">
        <f>IF(TrAvia_ene!W9=0,0,TrAvia_ene!W9/(W15*TrAvia_act!W17))</f>
        <v>3.1409865134096646E-2</v>
      </c>
      <c r="X27" s="94">
        <f>IF(TrAvia_ene!X9=0,0,TrAvia_ene!X9/(X15*TrAvia_act!X17))</f>
        <v>3.0385734538302338E-2</v>
      </c>
      <c r="Y27" s="94">
        <f>IF(TrAvia_ene!Y9=0,0,TrAvia_ene!Y9/(Y15*TrAvia_act!Y17))</f>
        <v>2.8182898432549841E-2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28906.499</v>
      </c>
      <c r="C3" s="54">
        <f t="shared" si="0"/>
        <v>23007.215</v>
      </c>
      <c r="D3" s="54">
        <f t="shared" si="0"/>
        <v>23856.034</v>
      </c>
      <c r="E3" s="54">
        <f t="shared" si="0"/>
        <v>21215.688999999998</v>
      </c>
      <c r="F3" s="54">
        <f t="shared" si="0"/>
        <v>22603.788</v>
      </c>
      <c r="G3" s="54">
        <f t="shared" si="0"/>
        <v>23035.892</v>
      </c>
      <c r="H3" s="54">
        <f t="shared" si="0"/>
        <v>31135.46</v>
      </c>
      <c r="I3" s="54">
        <f t="shared" si="0"/>
        <v>22463.32</v>
      </c>
      <c r="J3" s="54">
        <f t="shared" si="0"/>
        <v>27891.449000000001</v>
      </c>
      <c r="K3" s="54">
        <f t="shared" si="0"/>
        <v>23430.862000000001</v>
      </c>
      <c r="L3" s="54">
        <f t="shared" si="0"/>
        <v>24841.735000000001</v>
      </c>
      <c r="M3" s="54">
        <f t="shared" si="0"/>
        <v>25092.951999999997</v>
      </c>
      <c r="N3" s="54">
        <f t="shared" si="0"/>
        <v>23507.876</v>
      </c>
      <c r="O3" s="54">
        <f t="shared" si="0"/>
        <v>16920.438999999998</v>
      </c>
      <c r="P3" s="54">
        <f t="shared" si="0"/>
        <v>20678.357</v>
      </c>
      <c r="Q3" s="54">
        <f t="shared" si="0"/>
        <v>21237.271000000001</v>
      </c>
      <c r="R3" s="54">
        <f t="shared" ref="R3:V3" si="1">SUM(R4:R5)</f>
        <v>17460.977999999999</v>
      </c>
      <c r="S3" s="54">
        <f t="shared" si="1"/>
        <v>17419.621999999999</v>
      </c>
      <c r="T3" s="54">
        <f t="shared" si="1"/>
        <v>19046.82</v>
      </c>
      <c r="U3" s="54">
        <f t="shared" si="1"/>
        <v>20442.499</v>
      </c>
      <c r="V3" s="54">
        <f t="shared" si="1"/>
        <v>20088.039000000001</v>
      </c>
      <c r="W3" s="54">
        <f t="shared" ref="W3:Y3" si="2">SUM(W4:W5)</f>
        <v>20605.091</v>
      </c>
      <c r="X3" s="54">
        <f t="shared" si="2"/>
        <v>18096.097999999998</v>
      </c>
      <c r="Y3" s="54">
        <f t="shared" si="2"/>
        <v>21314.322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19796.499</v>
      </c>
      <c r="C4" s="56">
        <v>14713.215</v>
      </c>
      <c r="D4" s="56">
        <v>15587.034</v>
      </c>
      <c r="E4" s="56">
        <v>13191.689</v>
      </c>
      <c r="F4" s="56">
        <v>14187.788</v>
      </c>
      <c r="G4" s="56">
        <v>14130.892</v>
      </c>
      <c r="H4" s="56">
        <v>22130.46</v>
      </c>
      <c r="I4" s="56">
        <v>13255.32</v>
      </c>
      <c r="J4" s="56">
        <v>18981.449000000001</v>
      </c>
      <c r="K4" s="56">
        <v>14719.861999999999</v>
      </c>
      <c r="L4" s="56">
        <v>15367.735000000001</v>
      </c>
      <c r="M4" s="56">
        <v>16057.951999999999</v>
      </c>
      <c r="N4" s="56">
        <v>14591.876</v>
      </c>
      <c r="O4" s="56">
        <v>7707.4390000000003</v>
      </c>
      <c r="P4" s="56">
        <v>11875.357</v>
      </c>
      <c r="Q4" s="56">
        <v>12721.271000000001</v>
      </c>
      <c r="R4" s="56">
        <v>9153.9779999999992</v>
      </c>
      <c r="S4" s="56">
        <v>9906.6219999999994</v>
      </c>
      <c r="T4" s="56">
        <v>11782.82</v>
      </c>
      <c r="U4" s="56">
        <v>12428.499</v>
      </c>
      <c r="V4" s="56">
        <v>13100.039000000001</v>
      </c>
      <c r="W4" s="56">
        <v>13399.091</v>
      </c>
      <c r="X4" s="56">
        <v>11503.098</v>
      </c>
      <c r="Y4" s="56">
        <v>15394.322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9110</v>
      </c>
      <c r="C5" s="58">
        <v>8294</v>
      </c>
      <c r="D5" s="58">
        <v>8269</v>
      </c>
      <c r="E5" s="58">
        <v>8023.9999999999991</v>
      </c>
      <c r="F5" s="58">
        <v>8416</v>
      </c>
      <c r="G5" s="58">
        <v>8905</v>
      </c>
      <c r="H5" s="58">
        <v>9005</v>
      </c>
      <c r="I5" s="58">
        <v>9208</v>
      </c>
      <c r="J5" s="58">
        <v>8910</v>
      </c>
      <c r="K5" s="58">
        <v>8711</v>
      </c>
      <c r="L5" s="58">
        <v>9474</v>
      </c>
      <c r="M5" s="58">
        <v>9035</v>
      </c>
      <c r="N5" s="58">
        <v>8916</v>
      </c>
      <c r="O5" s="58">
        <v>9213</v>
      </c>
      <c r="P5" s="58">
        <v>8803</v>
      </c>
      <c r="Q5" s="58">
        <v>8516</v>
      </c>
      <c r="R5" s="58">
        <v>8307</v>
      </c>
      <c r="S5" s="58">
        <v>7513</v>
      </c>
      <c r="T5" s="58">
        <v>7264</v>
      </c>
      <c r="U5" s="58">
        <v>8013.9999999999991</v>
      </c>
      <c r="V5" s="58">
        <v>6988</v>
      </c>
      <c r="W5" s="58">
        <v>7206</v>
      </c>
      <c r="X5" s="58">
        <v>6593</v>
      </c>
      <c r="Y5" s="58">
        <v>5920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30.509</v>
      </c>
      <c r="C7" s="59">
        <f t="shared" si="3"/>
        <v>23.167999999999999</v>
      </c>
      <c r="D7" s="59">
        <f t="shared" si="3"/>
        <v>22.184000000000001</v>
      </c>
      <c r="E7" s="59">
        <f t="shared" si="3"/>
        <v>22.591999999999999</v>
      </c>
      <c r="F7" s="59">
        <f t="shared" si="3"/>
        <v>25.715</v>
      </c>
      <c r="G7" s="59">
        <f t="shared" si="3"/>
        <v>22.702999999999999</v>
      </c>
      <c r="H7" s="59">
        <f t="shared" si="3"/>
        <v>25.791999999999998</v>
      </c>
      <c r="I7" s="59">
        <f t="shared" si="3"/>
        <v>21.561</v>
      </c>
      <c r="J7" s="59">
        <f t="shared" si="3"/>
        <v>21.283000000000001</v>
      </c>
      <c r="K7" s="59">
        <f t="shared" si="3"/>
        <v>19.917000000000002</v>
      </c>
      <c r="L7" s="59">
        <f t="shared" si="3"/>
        <v>18.921999999999997</v>
      </c>
      <c r="M7" s="59">
        <f t="shared" si="3"/>
        <v>21.185000000000002</v>
      </c>
      <c r="N7" s="59">
        <f t="shared" si="3"/>
        <v>21.940999999999999</v>
      </c>
      <c r="O7" s="59">
        <f t="shared" si="3"/>
        <v>19.280999999999999</v>
      </c>
      <c r="P7" s="59">
        <f t="shared" si="3"/>
        <v>18.823999999999998</v>
      </c>
      <c r="Q7" s="59">
        <f t="shared" si="3"/>
        <v>15.603999999999999</v>
      </c>
      <c r="R7" s="59">
        <f t="shared" ref="R7:V7" si="4">SUM(R8:R9)</f>
        <v>14.19</v>
      </c>
      <c r="S7" s="59">
        <f t="shared" si="4"/>
        <v>13.587999999999999</v>
      </c>
      <c r="T7" s="59">
        <f t="shared" si="4"/>
        <v>13.943</v>
      </c>
      <c r="U7" s="59">
        <f t="shared" si="4"/>
        <v>15.111000000000001</v>
      </c>
      <c r="V7" s="59">
        <f t="shared" si="4"/>
        <v>13.635</v>
      </c>
      <c r="W7" s="59">
        <f t="shared" ref="W7:Y7" si="5">SUM(W8:W9)</f>
        <v>14.216000000000001</v>
      </c>
      <c r="X7" s="59">
        <f t="shared" si="5"/>
        <v>13.19</v>
      </c>
      <c r="Y7" s="59">
        <f t="shared" si="5"/>
        <v>13.39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9.98</v>
      </c>
      <c r="C8" s="60">
        <v>6.1440000000000001</v>
      </c>
      <c r="D8" s="60">
        <v>5.4619999999999997</v>
      </c>
      <c r="E8" s="60">
        <v>4.702</v>
      </c>
      <c r="F8" s="60">
        <v>4.9020000000000001</v>
      </c>
      <c r="G8" s="60">
        <v>4.8869999999999996</v>
      </c>
      <c r="H8" s="60">
        <v>7.5780000000000003</v>
      </c>
      <c r="I8" s="60">
        <v>4.4450000000000003</v>
      </c>
      <c r="J8" s="60">
        <v>6.2309999999999999</v>
      </c>
      <c r="K8" s="60">
        <v>4.766</v>
      </c>
      <c r="L8" s="60">
        <v>4.9909999999999997</v>
      </c>
      <c r="M8" s="60">
        <v>5.5869999999999997</v>
      </c>
      <c r="N8" s="60">
        <v>5.0060000000000002</v>
      </c>
      <c r="O8" s="60">
        <v>2.6080000000000001</v>
      </c>
      <c r="P8" s="60">
        <v>4.1890000000000001</v>
      </c>
      <c r="Q8" s="60">
        <v>3.9039999999999999</v>
      </c>
      <c r="R8" s="60">
        <v>2.7440000000000002</v>
      </c>
      <c r="S8" s="60">
        <v>3.0169999999999999</v>
      </c>
      <c r="T8" s="60">
        <v>3.6629999999999998</v>
      </c>
      <c r="U8" s="60">
        <v>3.9409999999999998</v>
      </c>
      <c r="V8" s="60">
        <v>3.9060000000000001</v>
      </c>
      <c r="W8" s="60">
        <v>3.9950000000000001</v>
      </c>
      <c r="X8" s="60">
        <v>3.5449999999999999</v>
      </c>
      <c r="Y8" s="60">
        <v>4.617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20.529</v>
      </c>
      <c r="C9" s="61">
        <v>17.024000000000001</v>
      </c>
      <c r="D9" s="61">
        <v>16.722000000000001</v>
      </c>
      <c r="E9" s="61">
        <v>17.89</v>
      </c>
      <c r="F9" s="61">
        <v>20.812999999999999</v>
      </c>
      <c r="G9" s="61">
        <v>17.815999999999999</v>
      </c>
      <c r="H9" s="61">
        <v>18.213999999999999</v>
      </c>
      <c r="I9" s="61">
        <v>17.116</v>
      </c>
      <c r="J9" s="61">
        <v>15.052</v>
      </c>
      <c r="K9" s="61">
        <v>15.151</v>
      </c>
      <c r="L9" s="61">
        <v>13.930999999999999</v>
      </c>
      <c r="M9" s="61">
        <v>15.598000000000001</v>
      </c>
      <c r="N9" s="61">
        <v>16.934999999999999</v>
      </c>
      <c r="O9" s="61">
        <v>16.672999999999998</v>
      </c>
      <c r="P9" s="61">
        <v>14.635</v>
      </c>
      <c r="Q9" s="61">
        <v>11.7</v>
      </c>
      <c r="R9" s="61">
        <v>11.446</v>
      </c>
      <c r="S9" s="61">
        <v>10.571</v>
      </c>
      <c r="T9" s="61">
        <v>10.28</v>
      </c>
      <c r="U9" s="61">
        <v>11.17</v>
      </c>
      <c r="V9" s="61">
        <v>9.7289999999999992</v>
      </c>
      <c r="W9" s="61">
        <v>10.221</v>
      </c>
      <c r="X9" s="61">
        <v>9.6449999999999996</v>
      </c>
      <c r="Y9" s="61">
        <v>8.7729999999999997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947.47448293946047</v>
      </c>
      <c r="C13" s="62">
        <f t="shared" si="6"/>
        <v>993.06003970994482</v>
      </c>
      <c r="D13" s="62">
        <f t="shared" si="6"/>
        <v>1075.3711684096645</v>
      </c>
      <c r="E13" s="62">
        <f t="shared" si="6"/>
        <v>939.07971848441923</v>
      </c>
      <c r="F13" s="62">
        <f t="shared" ref="F13:V13" si="7">IF(F3=0,0,F3/F7)</f>
        <v>879.0117830060276</v>
      </c>
      <c r="G13" s="62">
        <f t="shared" si="7"/>
        <v>1014.6629079857288</v>
      </c>
      <c r="H13" s="62">
        <f t="shared" si="7"/>
        <v>1207.1750930521093</v>
      </c>
      <c r="I13" s="62">
        <f t="shared" si="7"/>
        <v>1041.8496359167013</v>
      </c>
      <c r="J13" s="62">
        <f t="shared" si="7"/>
        <v>1310.5036414039373</v>
      </c>
      <c r="K13" s="62">
        <f t="shared" si="7"/>
        <v>1176.4252648491238</v>
      </c>
      <c r="L13" s="62">
        <f t="shared" si="7"/>
        <v>1312.8493288235918</v>
      </c>
      <c r="M13" s="62">
        <f t="shared" si="7"/>
        <v>1184.4678782157184</v>
      </c>
      <c r="N13" s="62">
        <f t="shared" si="7"/>
        <v>1071.4131534569983</v>
      </c>
      <c r="O13" s="62">
        <f t="shared" si="7"/>
        <v>877.57061355738813</v>
      </c>
      <c r="P13" s="62">
        <f t="shared" si="7"/>
        <v>1098.5102528686784</v>
      </c>
      <c r="Q13" s="62">
        <f t="shared" si="7"/>
        <v>1361.0145475519098</v>
      </c>
      <c r="R13" s="62">
        <f t="shared" si="7"/>
        <v>1230.5128964059197</v>
      </c>
      <c r="S13" s="62">
        <f t="shared" si="7"/>
        <v>1281.9857226964969</v>
      </c>
      <c r="T13" s="62">
        <f t="shared" si="7"/>
        <v>1366.048913433264</v>
      </c>
      <c r="U13" s="62">
        <f t="shared" si="7"/>
        <v>1352.8223810469194</v>
      </c>
      <c r="V13" s="62">
        <f t="shared" si="7"/>
        <v>1473.270187018702</v>
      </c>
      <c r="W13" s="62">
        <f t="shared" ref="W13:Y13" si="8">IF(W3=0,0,W3/W7)</f>
        <v>1449.4295863815419</v>
      </c>
      <c r="X13" s="62">
        <f t="shared" si="8"/>
        <v>1371.9558756633812</v>
      </c>
      <c r="Y13" s="62">
        <f t="shared" si="8"/>
        <v>1591.8089619118746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1983.617134268537</v>
      </c>
      <c r="C14" s="63">
        <f t="shared" si="6"/>
        <v>2394.72900390625</v>
      </c>
      <c r="D14" s="63">
        <f t="shared" si="6"/>
        <v>2853.7228121567191</v>
      </c>
      <c r="E14" s="63">
        <f t="shared" si="6"/>
        <v>2805.5484900042534</v>
      </c>
      <c r="F14" s="63">
        <f t="shared" ref="F14:V14" si="9">IF(F4=0,0,F4/F8)</f>
        <v>2894.2855977152185</v>
      </c>
      <c r="G14" s="63">
        <f t="shared" si="9"/>
        <v>2891.5269081235933</v>
      </c>
      <c r="H14" s="63">
        <f t="shared" si="9"/>
        <v>2920.3562945368167</v>
      </c>
      <c r="I14" s="63">
        <f t="shared" si="9"/>
        <v>2982.0742407199095</v>
      </c>
      <c r="J14" s="63">
        <f t="shared" si="9"/>
        <v>3046.2925694110095</v>
      </c>
      <c r="K14" s="63">
        <f t="shared" si="9"/>
        <v>3088.5148971884178</v>
      </c>
      <c r="L14" s="63">
        <f t="shared" si="9"/>
        <v>3079.0893608495294</v>
      </c>
      <c r="M14" s="63">
        <f t="shared" si="9"/>
        <v>2874.1635940576339</v>
      </c>
      <c r="N14" s="63">
        <f t="shared" si="9"/>
        <v>2914.8773471833797</v>
      </c>
      <c r="O14" s="63">
        <f t="shared" si="9"/>
        <v>2955.3063650306749</v>
      </c>
      <c r="P14" s="63">
        <f t="shared" si="9"/>
        <v>2834.8906660300786</v>
      </c>
      <c r="Q14" s="63">
        <f t="shared" si="9"/>
        <v>3258.5222848360659</v>
      </c>
      <c r="R14" s="63">
        <f t="shared" si="9"/>
        <v>3335.9978134110784</v>
      </c>
      <c r="S14" s="63">
        <f t="shared" si="9"/>
        <v>3283.6002651640702</v>
      </c>
      <c r="T14" s="63">
        <f t="shared" si="9"/>
        <v>3216.7130767130766</v>
      </c>
      <c r="U14" s="63">
        <f t="shared" si="9"/>
        <v>3153.6409540725704</v>
      </c>
      <c r="V14" s="63">
        <f t="shared" si="9"/>
        <v>3353.8246287762418</v>
      </c>
      <c r="W14" s="63">
        <f t="shared" ref="W14:Y14" si="10">IF(W4=0,0,W4/W8)</f>
        <v>3353.965206508135</v>
      </c>
      <c r="X14" s="63">
        <f t="shared" si="10"/>
        <v>3244.8795486600848</v>
      </c>
      <c r="Y14" s="63">
        <f t="shared" si="10"/>
        <v>3334.2694390296729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443.76248234205269</v>
      </c>
      <c r="C15" s="64">
        <f t="shared" si="6"/>
        <v>487.19454887218041</v>
      </c>
      <c r="D15" s="64">
        <f t="shared" si="6"/>
        <v>494.49826575768446</v>
      </c>
      <c r="E15" s="64">
        <f t="shared" si="6"/>
        <v>448.51872554499715</v>
      </c>
      <c r="F15" s="64">
        <f t="shared" ref="F15:V15" si="11">IF(F5=0,0,F5/F9)</f>
        <v>404.3626579541633</v>
      </c>
      <c r="G15" s="64">
        <f t="shared" si="11"/>
        <v>499.83161203412664</v>
      </c>
      <c r="H15" s="64">
        <f t="shared" si="11"/>
        <v>494.39991215548486</v>
      </c>
      <c r="I15" s="64">
        <f t="shared" si="11"/>
        <v>537.97616265482588</v>
      </c>
      <c r="J15" s="64">
        <f t="shared" si="11"/>
        <v>591.94791389848524</v>
      </c>
      <c r="K15" s="64">
        <f t="shared" si="11"/>
        <v>574.94554814863704</v>
      </c>
      <c r="L15" s="64">
        <f t="shared" si="11"/>
        <v>680.0660397674252</v>
      </c>
      <c r="M15" s="64">
        <f t="shared" si="11"/>
        <v>579.24092832414408</v>
      </c>
      <c r="N15" s="64">
        <f t="shared" si="11"/>
        <v>526.48361381753773</v>
      </c>
      <c r="O15" s="64">
        <f t="shared" si="11"/>
        <v>552.57002339111148</v>
      </c>
      <c r="P15" s="64">
        <f t="shared" si="11"/>
        <v>601.5032456440041</v>
      </c>
      <c r="Q15" s="64">
        <f t="shared" si="11"/>
        <v>727.86324786324792</v>
      </c>
      <c r="R15" s="64">
        <f t="shared" si="11"/>
        <v>725.75572252315226</v>
      </c>
      <c r="S15" s="64">
        <f t="shared" si="11"/>
        <v>710.71800208116542</v>
      </c>
      <c r="T15" s="64">
        <f t="shared" si="11"/>
        <v>706.61478599221789</v>
      </c>
      <c r="U15" s="64">
        <f t="shared" si="11"/>
        <v>717.4574753804834</v>
      </c>
      <c r="V15" s="64">
        <f t="shared" si="11"/>
        <v>718.26498098468505</v>
      </c>
      <c r="W15" s="64">
        <f t="shared" ref="W15:Y15" si="12">IF(W5=0,0,W5/W9)</f>
        <v>705.01907836806572</v>
      </c>
      <c r="X15" s="64">
        <f t="shared" si="12"/>
        <v>683.5666148263349</v>
      </c>
      <c r="Y15" s="64">
        <f t="shared" si="12"/>
        <v>674.79767468368857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0.68484595799719639</v>
      </c>
      <c r="C18" s="66">
        <f t="shared" si="16"/>
        <v>0.63950439025323147</v>
      </c>
      <c r="D18" s="66">
        <f t="shared" si="16"/>
        <v>0.65337909897345048</v>
      </c>
      <c r="E18" s="66">
        <f t="shared" si="16"/>
        <v>0.62178932769989237</v>
      </c>
      <c r="F18" s="66">
        <f t="shared" ref="F18:V18" si="17">IF(F4=0,0,F4/F$3)</f>
        <v>0.62767302542388026</v>
      </c>
      <c r="G18" s="66">
        <f t="shared" si="17"/>
        <v>0.61342933887691431</v>
      </c>
      <c r="H18" s="66">
        <f t="shared" si="17"/>
        <v>0.71077992745249308</v>
      </c>
      <c r="I18" s="66">
        <f t="shared" si="17"/>
        <v>0.59008730677388743</v>
      </c>
      <c r="J18" s="66">
        <f t="shared" si="17"/>
        <v>0.68054725303084829</v>
      </c>
      <c r="K18" s="66">
        <f t="shared" si="17"/>
        <v>0.62822537216087049</v>
      </c>
      <c r="L18" s="66">
        <f t="shared" si="17"/>
        <v>0.61862567167711913</v>
      </c>
      <c r="M18" s="66">
        <f t="shared" si="17"/>
        <v>0.63993873658228817</v>
      </c>
      <c r="N18" s="66">
        <f t="shared" si="17"/>
        <v>0.62072285901116719</v>
      </c>
      <c r="O18" s="66">
        <f t="shared" si="17"/>
        <v>0.45551058101979514</v>
      </c>
      <c r="P18" s="66">
        <f t="shared" si="17"/>
        <v>0.5742891952199104</v>
      </c>
      <c r="Q18" s="66">
        <f t="shared" si="17"/>
        <v>0.59900685921463259</v>
      </c>
      <c r="R18" s="66">
        <f t="shared" si="17"/>
        <v>0.52425345246984445</v>
      </c>
      <c r="S18" s="66">
        <f t="shared" si="17"/>
        <v>0.56870476293917283</v>
      </c>
      <c r="T18" s="66">
        <f t="shared" si="17"/>
        <v>0.61862400127685357</v>
      </c>
      <c r="U18" s="66">
        <f t="shared" si="17"/>
        <v>0.60797356526714275</v>
      </c>
      <c r="V18" s="66">
        <f t="shared" si="17"/>
        <v>0.65213130062123037</v>
      </c>
      <c r="W18" s="66">
        <f t="shared" ref="W18:Y18" si="18">IF(W4=0,0,W4/W$3)</f>
        <v>0.65028060298302004</v>
      </c>
      <c r="X18" s="66">
        <f t="shared" si="18"/>
        <v>0.63566731347277194</v>
      </c>
      <c r="Y18" s="66">
        <f t="shared" si="18"/>
        <v>0.72225248356480676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0.31515404200280361</v>
      </c>
      <c r="C19" s="67">
        <f t="shared" si="19"/>
        <v>0.36049560974676859</v>
      </c>
      <c r="D19" s="67">
        <f t="shared" si="19"/>
        <v>0.34662090102654952</v>
      </c>
      <c r="E19" s="67">
        <f t="shared" si="19"/>
        <v>0.37821067230010769</v>
      </c>
      <c r="F19" s="67">
        <f t="shared" ref="F19:V19" si="20">IF(F5=0,0,F5/F$3)</f>
        <v>0.37232697457611968</v>
      </c>
      <c r="G19" s="67">
        <f t="shared" si="20"/>
        <v>0.38657066112308569</v>
      </c>
      <c r="H19" s="67">
        <f t="shared" si="20"/>
        <v>0.28922007254750692</v>
      </c>
      <c r="I19" s="67">
        <f t="shared" si="20"/>
        <v>0.40991269322611262</v>
      </c>
      <c r="J19" s="67">
        <f t="shared" si="20"/>
        <v>0.31945274696915171</v>
      </c>
      <c r="K19" s="67">
        <f t="shared" si="20"/>
        <v>0.3717746278391294</v>
      </c>
      <c r="L19" s="67">
        <f t="shared" si="20"/>
        <v>0.38137432832288082</v>
      </c>
      <c r="M19" s="67">
        <f t="shared" si="20"/>
        <v>0.36006126341771189</v>
      </c>
      <c r="N19" s="67">
        <f t="shared" si="20"/>
        <v>0.37927714098883286</v>
      </c>
      <c r="O19" s="67">
        <f t="shared" si="20"/>
        <v>0.54448941898020498</v>
      </c>
      <c r="P19" s="67">
        <f t="shared" si="20"/>
        <v>0.42571080478008966</v>
      </c>
      <c r="Q19" s="67">
        <f t="shared" si="20"/>
        <v>0.40099314078536735</v>
      </c>
      <c r="R19" s="67">
        <f t="shared" si="20"/>
        <v>0.47574654753015555</v>
      </c>
      <c r="S19" s="67">
        <f t="shared" si="20"/>
        <v>0.43129523706082717</v>
      </c>
      <c r="T19" s="67">
        <f t="shared" si="20"/>
        <v>0.38137599872314643</v>
      </c>
      <c r="U19" s="67">
        <f t="shared" si="20"/>
        <v>0.39202643473285725</v>
      </c>
      <c r="V19" s="67">
        <f t="shared" si="20"/>
        <v>0.34786869937876963</v>
      </c>
      <c r="W19" s="67">
        <f t="shared" ref="W19:Y19" si="21">IF(W5=0,0,W5/W$3)</f>
        <v>0.3497193970169799</v>
      </c>
      <c r="X19" s="67">
        <f t="shared" si="21"/>
        <v>0.36433268652722817</v>
      </c>
      <c r="Y19" s="67">
        <f t="shared" si="21"/>
        <v>0.27774751643519319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0.3271165885476417</v>
      </c>
      <c r="C22" s="66">
        <f t="shared" si="25"/>
        <v>0.26519337016574585</v>
      </c>
      <c r="D22" s="66">
        <f t="shared" si="25"/>
        <v>0.2462134871979805</v>
      </c>
      <c r="E22" s="66">
        <f t="shared" si="25"/>
        <v>0.20812677053824363</v>
      </c>
      <c r="F22" s="66">
        <f t="shared" ref="F22:V22" si="26">IF(F8=0,0,F8/F$7)</f>
        <v>0.19062803811005249</v>
      </c>
      <c r="G22" s="66">
        <f t="shared" si="26"/>
        <v>0.21525789543232171</v>
      </c>
      <c r="H22" s="66">
        <f t="shared" si="26"/>
        <v>0.29381203473945411</v>
      </c>
      <c r="I22" s="66">
        <f t="shared" si="26"/>
        <v>0.20615926905060064</v>
      </c>
      <c r="J22" s="66">
        <f t="shared" si="26"/>
        <v>0.29276887656815298</v>
      </c>
      <c r="K22" s="66">
        <f t="shared" si="26"/>
        <v>0.23929306622483304</v>
      </c>
      <c r="L22" s="66">
        <f t="shared" si="26"/>
        <v>0.26376704365289083</v>
      </c>
      <c r="M22" s="66">
        <f t="shared" si="26"/>
        <v>0.26372433325466127</v>
      </c>
      <c r="N22" s="66">
        <f t="shared" si="26"/>
        <v>0.22815733102411012</v>
      </c>
      <c r="O22" s="66">
        <f t="shared" si="26"/>
        <v>0.13526269384368031</v>
      </c>
      <c r="P22" s="66">
        <f t="shared" si="26"/>
        <v>0.22253506162345943</v>
      </c>
      <c r="Q22" s="66">
        <f t="shared" si="26"/>
        <v>0.25019225839528325</v>
      </c>
      <c r="R22" s="66">
        <f t="shared" si="26"/>
        <v>0.1933756166314306</v>
      </c>
      <c r="S22" s="66">
        <f t="shared" si="26"/>
        <v>0.2220341477774507</v>
      </c>
      <c r="T22" s="66">
        <f t="shared" si="26"/>
        <v>0.26271247220827654</v>
      </c>
      <c r="U22" s="66">
        <f t="shared" si="26"/>
        <v>0.26080338826020777</v>
      </c>
      <c r="V22" s="66">
        <f t="shared" si="26"/>
        <v>0.28646864686468648</v>
      </c>
      <c r="W22" s="66">
        <f t="shared" ref="W22:Y22" si="27">IF(W8=0,0,W8/W$7)</f>
        <v>0.2810213843556556</v>
      </c>
      <c r="X22" s="66">
        <f t="shared" si="27"/>
        <v>0.26876421531463229</v>
      </c>
      <c r="Y22" s="66">
        <f t="shared" si="27"/>
        <v>0.34480955937266616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0.6728834114523583</v>
      </c>
      <c r="C23" s="67">
        <f t="shared" si="28"/>
        <v>0.73480662983425415</v>
      </c>
      <c r="D23" s="67">
        <f t="shared" si="28"/>
        <v>0.75378651280201947</v>
      </c>
      <c r="E23" s="67">
        <f t="shared" si="28"/>
        <v>0.79187322946175642</v>
      </c>
      <c r="F23" s="67">
        <f t="shared" ref="F23:V23" si="29">IF(F9=0,0,F9/F$7)</f>
        <v>0.80937196188994742</v>
      </c>
      <c r="G23" s="67">
        <f t="shared" si="29"/>
        <v>0.78474210456767823</v>
      </c>
      <c r="H23" s="67">
        <f t="shared" si="29"/>
        <v>0.70618796526054595</v>
      </c>
      <c r="I23" s="67">
        <f t="shared" si="29"/>
        <v>0.79384073094939933</v>
      </c>
      <c r="J23" s="67">
        <f t="shared" si="29"/>
        <v>0.70723112343184691</v>
      </c>
      <c r="K23" s="67">
        <f t="shared" si="29"/>
        <v>0.76070693377516685</v>
      </c>
      <c r="L23" s="67">
        <f t="shared" si="29"/>
        <v>0.73623295634710928</v>
      </c>
      <c r="M23" s="67">
        <f t="shared" si="29"/>
        <v>0.73627566674533862</v>
      </c>
      <c r="N23" s="67">
        <f t="shared" si="29"/>
        <v>0.77184266897588982</v>
      </c>
      <c r="O23" s="67">
        <f t="shared" si="29"/>
        <v>0.86473730615631961</v>
      </c>
      <c r="P23" s="67">
        <f t="shared" si="29"/>
        <v>0.77746493837654063</v>
      </c>
      <c r="Q23" s="67">
        <f t="shared" si="29"/>
        <v>0.74980774160471675</v>
      </c>
      <c r="R23" s="67">
        <f t="shared" si="29"/>
        <v>0.80662438336856945</v>
      </c>
      <c r="S23" s="67">
        <f t="shared" si="29"/>
        <v>0.77796585222254933</v>
      </c>
      <c r="T23" s="67">
        <f t="shared" si="29"/>
        <v>0.73728752779172346</v>
      </c>
      <c r="U23" s="67">
        <f t="shared" si="29"/>
        <v>0.73919661173979212</v>
      </c>
      <c r="V23" s="67">
        <f t="shared" si="29"/>
        <v>0.71353135313531346</v>
      </c>
      <c r="W23" s="67">
        <f t="shared" ref="W23:Y23" si="30">IF(W9=0,0,W9/W$7)</f>
        <v>0.7189786156443444</v>
      </c>
      <c r="X23" s="67">
        <f t="shared" si="30"/>
        <v>0.73123578468536765</v>
      </c>
      <c r="Y23" s="67">
        <f t="shared" si="30"/>
        <v>0.65519044062733378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483.10877042132415</v>
      </c>
      <c r="C3" s="62">
        <f t="shared" ref="C3:V3" si="0">SUM(C4,C10)</f>
        <v>438.3539122957867</v>
      </c>
      <c r="D3" s="62">
        <f t="shared" si="0"/>
        <v>442.80352536543421</v>
      </c>
      <c r="E3" s="62">
        <f t="shared" si="0"/>
        <v>463.52794496990543</v>
      </c>
      <c r="F3" s="62">
        <f t="shared" si="0"/>
        <v>530.35176268271709</v>
      </c>
      <c r="G3" s="62">
        <f t="shared" si="0"/>
        <v>475.16448839208942</v>
      </c>
      <c r="H3" s="62">
        <f t="shared" si="0"/>
        <v>489.02699914015466</v>
      </c>
      <c r="I3" s="62">
        <f t="shared" si="0"/>
        <v>506.16225279449691</v>
      </c>
      <c r="J3" s="62">
        <f t="shared" si="0"/>
        <v>485.88331900257958</v>
      </c>
      <c r="K3" s="62">
        <f t="shared" si="0"/>
        <v>491.13774720550305</v>
      </c>
      <c r="L3" s="62">
        <f t="shared" si="0"/>
        <v>493.46388650042991</v>
      </c>
      <c r="M3" s="62">
        <f t="shared" si="0"/>
        <v>470.77300085984518</v>
      </c>
      <c r="N3" s="62">
        <f t="shared" si="0"/>
        <v>473.89802235597591</v>
      </c>
      <c r="O3" s="62">
        <f t="shared" si="0"/>
        <v>477.47042132416163</v>
      </c>
      <c r="P3" s="62">
        <f t="shared" si="0"/>
        <v>477.67128116938954</v>
      </c>
      <c r="Q3" s="62">
        <f t="shared" si="0"/>
        <v>481.45313843508154</v>
      </c>
      <c r="R3" s="62">
        <f t="shared" si="0"/>
        <v>473.09484092863283</v>
      </c>
      <c r="S3" s="62">
        <f t="shared" si="0"/>
        <v>474.31367153912294</v>
      </c>
      <c r="T3" s="62">
        <f t="shared" si="0"/>
        <v>478.45047291487526</v>
      </c>
      <c r="U3" s="62">
        <f t="shared" si="0"/>
        <v>487.03998280309543</v>
      </c>
      <c r="V3" s="62">
        <f t="shared" si="0"/>
        <v>418.60481513327602</v>
      </c>
      <c r="W3" s="62">
        <f t="shared" ref="W3:Y3" si="1">SUM(W4,W10)</f>
        <v>480.75614789337919</v>
      </c>
      <c r="X3" s="62">
        <f t="shared" si="1"/>
        <v>521.07033533963886</v>
      </c>
      <c r="Y3" s="62">
        <f t="shared" si="1"/>
        <v>513.51470335339627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400.22789126899806</v>
      </c>
      <c r="C4" s="71">
        <f t="shared" ref="C4:V4" si="2">SUM(C5:C9)</f>
        <v>343.65054416615214</v>
      </c>
      <c r="D4" s="71">
        <f t="shared" si="2"/>
        <v>345.42110033278033</v>
      </c>
      <c r="E4" s="71">
        <f t="shared" si="2"/>
        <v>342.19966155999867</v>
      </c>
      <c r="F4" s="71">
        <f t="shared" si="2"/>
        <v>381.80123680916557</v>
      </c>
      <c r="G4" s="71">
        <f t="shared" si="2"/>
        <v>356.00347361247043</v>
      </c>
      <c r="H4" s="71">
        <f t="shared" si="2"/>
        <v>400.31073594432809</v>
      </c>
      <c r="I4" s="71">
        <f t="shared" si="2"/>
        <v>372.31516198738495</v>
      </c>
      <c r="J4" s="71">
        <f t="shared" si="2"/>
        <v>399.85318510319746</v>
      </c>
      <c r="K4" s="71">
        <f t="shared" si="2"/>
        <v>379.71309884924364</v>
      </c>
      <c r="L4" s="71">
        <f t="shared" si="2"/>
        <v>393.56357743222509</v>
      </c>
      <c r="M4" s="71">
        <f t="shared" si="2"/>
        <v>377.856563959293</v>
      </c>
      <c r="N4" s="71">
        <f t="shared" si="2"/>
        <v>364.10048123740296</v>
      </c>
      <c r="O4" s="71">
        <f t="shared" si="2"/>
        <v>300.0814557135941</v>
      </c>
      <c r="P4" s="71">
        <f t="shared" si="2"/>
        <v>361.33567357167482</v>
      </c>
      <c r="Q4" s="71">
        <f t="shared" si="2"/>
        <v>374.60340933845646</v>
      </c>
      <c r="R4" s="71">
        <f t="shared" si="2"/>
        <v>343.01163381579852</v>
      </c>
      <c r="S4" s="71">
        <f t="shared" si="2"/>
        <v>365.8405417483155</v>
      </c>
      <c r="T4" s="71">
        <f t="shared" si="2"/>
        <v>384.58366141754868</v>
      </c>
      <c r="U4" s="71">
        <f t="shared" si="2"/>
        <v>388.81356284653214</v>
      </c>
      <c r="V4" s="71">
        <f t="shared" si="2"/>
        <v>339.07718932423666</v>
      </c>
      <c r="W4" s="71">
        <f t="shared" ref="W4:Y4" si="3">SUM(W5:W9)</f>
        <v>388.66666167378668</v>
      </c>
      <c r="X4" s="71">
        <f t="shared" si="3"/>
        <v>421.35222851263899</v>
      </c>
      <c r="Y4" s="71">
        <f t="shared" si="3"/>
        <v>440.91843869547415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109.7585308656201</v>
      </c>
      <c r="C5" s="73">
        <v>100.64414884233096</v>
      </c>
      <c r="D5" s="73">
        <v>99.344924969971629</v>
      </c>
      <c r="E5" s="73">
        <v>101.40868158135895</v>
      </c>
      <c r="F5" s="73">
        <v>108.41078712913422</v>
      </c>
      <c r="G5" s="73">
        <v>96.817011077034749</v>
      </c>
      <c r="H5" s="73">
        <v>117.44135353649642</v>
      </c>
      <c r="I5" s="73">
        <v>104.78200359481393</v>
      </c>
      <c r="J5" s="73">
        <v>113.04205734693724</v>
      </c>
      <c r="K5" s="73">
        <v>106.19981199170842</v>
      </c>
      <c r="L5" s="73">
        <v>108.74315562570538</v>
      </c>
      <c r="M5" s="73">
        <v>127.45468662187952</v>
      </c>
      <c r="N5" s="73">
        <v>121.55988445276937</v>
      </c>
      <c r="O5" s="73">
        <v>99.381719679949413</v>
      </c>
      <c r="P5" s="73">
        <v>119.69239268168651</v>
      </c>
      <c r="Q5" s="73">
        <v>124.24947411153134</v>
      </c>
      <c r="R5" s="73">
        <v>111.79359420269783</v>
      </c>
      <c r="S5" s="73">
        <v>116.94278174781026</v>
      </c>
      <c r="T5" s="73">
        <v>120.79894144617323</v>
      </c>
      <c r="U5" s="73">
        <v>125.84825449257791</v>
      </c>
      <c r="V5" s="73">
        <v>111.73086273033672</v>
      </c>
      <c r="W5" s="73">
        <v>119.06516213080013</v>
      </c>
      <c r="X5" s="73">
        <v>116.52285383067054</v>
      </c>
      <c r="Y5" s="73">
        <v>118.07177599258922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290.46936040337795</v>
      </c>
      <c r="C6" s="73">
        <v>243.00639532382115</v>
      </c>
      <c r="D6" s="73">
        <v>246.0761753628087</v>
      </c>
      <c r="E6" s="73">
        <v>240.79097997863971</v>
      </c>
      <c r="F6" s="73">
        <v>273.39044968003134</v>
      </c>
      <c r="G6" s="73">
        <v>259.18646253543568</v>
      </c>
      <c r="H6" s="73">
        <v>282.86938240783167</v>
      </c>
      <c r="I6" s="73">
        <v>267.53315839257101</v>
      </c>
      <c r="J6" s="73">
        <v>286.81112775626025</v>
      </c>
      <c r="K6" s="73">
        <v>273.51328685753521</v>
      </c>
      <c r="L6" s="73">
        <v>284.82042180651968</v>
      </c>
      <c r="M6" s="73">
        <v>250.40187733741351</v>
      </c>
      <c r="N6" s="73">
        <v>242.54059678463361</v>
      </c>
      <c r="O6" s="73">
        <v>200.69973603364465</v>
      </c>
      <c r="P6" s="73">
        <v>241.64328088998829</v>
      </c>
      <c r="Q6" s="73">
        <v>250.3539352269251</v>
      </c>
      <c r="R6" s="73">
        <v>229.80256387581531</v>
      </c>
      <c r="S6" s="73">
        <v>246.58928304159474</v>
      </c>
      <c r="T6" s="73">
        <v>260.6629206081567</v>
      </c>
      <c r="U6" s="73">
        <v>259.64524610517606</v>
      </c>
      <c r="V6" s="73">
        <v>224.37976841145803</v>
      </c>
      <c r="W6" s="73">
        <v>266.66529466037304</v>
      </c>
      <c r="X6" s="73">
        <v>302.18050855918426</v>
      </c>
      <c r="Y6" s="73">
        <v>320.0885673231129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1.4154757372853759</v>
      </c>
      <c r="S7" s="73">
        <v>2.3084769589105107</v>
      </c>
      <c r="T7" s="73">
        <v>3.1217993632187602</v>
      </c>
      <c r="U7" s="73">
        <v>3.3200622487782137</v>
      </c>
      <c r="V7" s="73">
        <v>2.9665581824418603</v>
      </c>
      <c r="W7" s="73">
        <v>2.9362048826134588</v>
      </c>
      <c r="X7" s="73">
        <v>2.6488661227841779</v>
      </c>
      <c r="Y7" s="73">
        <v>2.7580953797720507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82.880879152326074</v>
      </c>
      <c r="C10" s="71">
        <f t="shared" ref="C10:V10" si="4">SUM(C11:C15)</f>
        <v>94.703368129634541</v>
      </c>
      <c r="D10" s="71">
        <f t="shared" si="4"/>
        <v>97.382425032653913</v>
      </c>
      <c r="E10" s="71">
        <f t="shared" si="4"/>
        <v>121.32828340990673</v>
      </c>
      <c r="F10" s="71">
        <f t="shared" si="4"/>
        <v>148.55052587355152</v>
      </c>
      <c r="G10" s="71">
        <f t="shared" si="4"/>
        <v>119.16101477961898</v>
      </c>
      <c r="H10" s="71">
        <f t="shared" si="4"/>
        <v>88.716263195826571</v>
      </c>
      <c r="I10" s="71">
        <f t="shared" si="4"/>
        <v>133.84709080711193</v>
      </c>
      <c r="J10" s="71">
        <f t="shared" si="4"/>
        <v>86.030133899382122</v>
      </c>
      <c r="K10" s="71">
        <f t="shared" si="4"/>
        <v>111.42464835625941</v>
      </c>
      <c r="L10" s="71">
        <f t="shared" si="4"/>
        <v>99.90030906820482</v>
      </c>
      <c r="M10" s="71">
        <f t="shared" si="4"/>
        <v>92.916436900552199</v>
      </c>
      <c r="N10" s="71">
        <f t="shared" si="4"/>
        <v>109.79754111857297</v>
      </c>
      <c r="O10" s="71">
        <f t="shared" si="4"/>
        <v>177.38896561056754</v>
      </c>
      <c r="P10" s="71">
        <f t="shared" si="4"/>
        <v>116.33560759771474</v>
      </c>
      <c r="Q10" s="71">
        <f t="shared" si="4"/>
        <v>106.8497290966251</v>
      </c>
      <c r="R10" s="71">
        <f t="shared" si="4"/>
        <v>130.08320711283429</v>
      </c>
      <c r="S10" s="71">
        <f t="shared" si="4"/>
        <v>108.47312979080743</v>
      </c>
      <c r="T10" s="71">
        <f t="shared" si="4"/>
        <v>93.866811497326609</v>
      </c>
      <c r="U10" s="71">
        <f t="shared" si="4"/>
        <v>98.226419956563262</v>
      </c>
      <c r="V10" s="71">
        <f t="shared" si="4"/>
        <v>79.527625809039336</v>
      </c>
      <c r="W10" s="71">
        <f t="shared" ref="W10:Y10" si="5">SUM(W11:W15)</f>
        <v>92.089486219592487</v>
      </c>
      <c r="X10" s="71">
        <f t="shared" si="5"/>
        <v>99.718106826999872</v>
      </c>
      <c r="Y10" s="71">
        <f t="shared" si="5"/>
        <v>72.596264657922134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22.729259332144306</v>
      </c>
      <c r="C11" s="73">
        <v>27.735558810291536</v>
      </c>
      <c r="D11" s="73">
        <v>28.00769755797338</v>
      </c>
      <c r="E11" s="73">
        <v>35.954860980979852</v>
      </c>
      <c r="F11" s="73">
        <v>42.180270480496077</v>
      </c>
      <c r="G11" s="73">
        <v>32.40646269768574</v>
      </c>
      <c r="H11" s="73">
        <v>26.027176128163891</v>
      </c>
      <c r="I11" s="73">
        <v>37.669071211720855</v>
      </c>
      <c r="J11" s="73">
        <v>24.321485215401566</v>
      </c>
      <c r="K11" s="73">
        <v>31.163730570630388</v>
      </c>
      <c r="L11" s="73">
        <v>27.602846093985015</v>
      </c>
      <c r="M11" s="73">
        <v>31.341616043640688</v>
      </c>
      <c r="N11" s="73">
        <v>36.657398436310629</v>
      </c>
      <c r="O11" s="73">
        <v>58.74811694945727</v>
      </c>
      <c r="P11" s="73">
        <v>38.53615417987838</v>
      </c>
      <c r="Q11" s="73">
        <v>35.440207745734341</v>
      </c>
      <c r="R11" s="73">
        <v>42.396431592658978</v>
      </c>
      <c r="S11" s="73">
        <v>34.673985234132942</v>
      </c>
      <c r="T11" s="73">
        <v>29.483861649269574</v>
      </c>
      <c r="U11" s="73">
        <v>31.793190047404902</v>
      </c>
      <c r="V11" s="73">
        <v>26.205508722801675</v>
      </c>
      <c r="W11" s="73">
        <v>28.210934171865375</v>
      </c>
      <c r="X11" s="73">
        <v>27.576544277669953</v>
      </c>
      <c r="Y11" s="73">
        <v>19.440261840600783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60.151619820181772</v>
      </c>
      <c r="C12" s="73">
        <v>66.967809319343004</v>
      </c>
      <c r="D12" s="73">
        <v>69.374727474680526</v>
      </c>
      <c r="E12" s="73">
        <v>85.373422428926887</v>
      </c>
      <c r="F12" s="73">
        <v>106.37025539305544</v>
      </c>
      <c r="G12" s="73">
        <v>86.754552081933241</v>
      </c>
      <c r="H12" s="73">
        <v>62.689087067662683</v>
      </c>
      <c r="I12" s="73">
        <v>96.178019595391078</v>
      </c>
      <c r="J12" s="73">
        <v>61.708648683980549</v>
      </c>
      <c r="K12" s="73">
        <v>80.260917785629019</v>
      </c>
      <c r="L12" s="73">
        <v>72.297462974219798</v>
      </c>
      <c r="M12" s="73">
        <v>61.574820856911508</v>
      </c>
      <c r="N12" s="73">
        <v>73.140142682262336</v>
      </c>
      <c r="O12" s="73">
        <v>118.64084866111027</v>
      </c>
      <c r="P12" s="73">
        <v>77.799453417836361</v>
      </c>
      <c r="Q12" s="73">
        <v>71.409521350890756</v>
      </c>
      <c r="R12" s="73">
        <v>87.149972667606846</v>
      </c>
      <c r="S12" s="73">
        <v>73.114672246453452</v>
      </c>
      <c r="T12" s="73">
        <v>63.621000286082335</v>
      </c>
      <c r="U12" s="73">
        <v>65.594478744351022</v>
      </c>
      <c r="V12" s="73">
        <v>52.626336489659742</v>
      </c>
      <c r="W12" s="73">
        <v>63.182856672387011</v>
      </c>
      <c r="X12" s="73">
        <v>71.514676307539716</v>
      </c>
      <c r="Y12" s="73">
        <v>52.701888394857797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0.53680285256845028</v>
      </c>
      <c r="S13" s="73">
        <v>0.68447231022104527</v>
      </c>
      <c r="T13" s="73">
        <v>0.76194956197470531</v>
      </c>
      <c r="U13" s="73">
        <v>0.83875116480733969</v>
      </c>
      <c r="V13" s="73">
        <v>0.69578059657791536</v>
      </c>
      <c r="W13" s="73">
        <v>0.6956953753401095</v>
      </c>
      <c r="X13" s="73">
        <v>0.62688624179019947</v>
      </c>
      <c r="Y13" s="73">
        <v>0.45411442246354677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1583.4959206179296</v>
      </c>
      <c r="C19" s="62">
        <f>IF(C3=0,0,C3/TrNavi_act!C7*100)</f>
        <v>1892.0662650888585</v>
      </c>
      <c r="D19" s="62">
        <f>IF(D3=0,0,D3/TrNavi_act!D7*100)</f>
        <v>1996.0490685423465</v>
      </c>
      <c r="E19" s="62">
        <f>IF(E3=0,0,E3/TrNavi_act!E7*100)</f>
        <v>2051.7348838965363</v>
      </c>
      <c r="F19" s="62">
        <f>IF(F3=0,0,F3/TrNavi_act!F7*100)</f>
        <v>2062.4217876053553</v>
      </c>
      <c r="G19" s="62">
        <f>IF(G3=0,0,G3/TrNavi_act!G7*100)</f>
        <v>2092.9590291683453</v>
      </c>
      <c r="H19" s="62">
        <f>IF(H3=0,0,H3/TrNavi_act!H7*100)</f>
        <v>1896.041404854818</v>
      </c>
      <c r="I19" s="62">
        <f>IF(I3=0,0,I3/TrNavi_act!I7*100)</f>
        <v>2347.5824534784883</v>
      </c>
      <c r="J19" s="62">
        <f>IF(J3=0,0,J3/TrNavi_act!J7*100)</f>
        <v>2282.9644270195909</v>
      </c>
      <c r="K19" s="62">
        <f>IF(K3=0,0,K3/TrNavi_act!K7*100)</f>
        <v>2465.9223136290757</v>
      </c>
      <c r="L19" s="62">
        <f>IF(L3=0,0,L3/TrNavi_act!L7*100)</f>
        <v>2607.884401756844</v>
      </c>
      <c r="M19" s="62">
        <f>IF(M3=0,0,M3/TrNavi_act!M7*100)</f>
        <v>2222.1996736362762</v>
      </c>
      <c r="N19" s="62">
        <f>IF(N3=0,0,N3/TrNavi_act!N7*100)</f>
        <v>2159.874309994877</v>
      </c>
      <c r="O19" s="62">
        <f>IF(O3=0,0,O3/TrNavi_act!O7*100)</f>
        <v>2476.377891832175</v>
      </c>
      <c r="P19" s="62">
        <f>IF(P3=0,0,P3/TrNavi_act!P7*100)</f>
        <v>2537.5652420813303</v>
      </c>
      <c r="Q19" s="62">
        <f>IF(Q3=0,0,Q3/TrNavi_act!Q7*100)</f>
        <v>3085.446926653945</v>
      </c>
      <c r="R19" s="62">
        <f>IF(R3=0,0,R3/TrNavi_act!R7*100)</f>
        <v>3334.0016978762001</v>
      </c>
      <c r="S19" s="62">
        <f>IF(S3=0,0,S3/TrNavi_act!S7*100)</f>
        <v>3490.6805382626067</v>
      </c>
      <c r="T19" s="62">
        <f>IF(T3=0,0,T3/TrNavi_act!T7*100)</f>
        <v>3431.4743807995073</v>
      </c>
      <c r="U19" s="62">
        <f>IF(U3=0,0,U3/TrNavi_act!U7*100)</f>
        <v>3223.082408861726</v>
      </c>
      <c r="V19" s="62">
        <f>IF(V3=0,0,V3/TrNavi_act!V7*100)</f>
        <v>3070.0756518758785</v>
      </c>
      <c r="W19" s="62">
        <f>IF(W3=0,0,W3/TrNavi_act!W7*100)</f>
        <v>3381.7962007131341</v>
      </c>
      <c r="X19" s="62">
        <f>IF(X3=0,0,X3/TrNavi_act!X7*100)</f>
        <v>3950.4953399517731</v>
      </c>
      <c r="Y19" s="62">
        <f>IF(Y3=0,0,Y3/TrNavi_act!Y7*100)</f>
        <v>3835.0612647751773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4010.2995117134069</v>
      </c>
      <c r="C20" s="63">
        <f>IF(C4=0,0,C4/TrNavi_act!C8*100)</f>
        <v>5593.2705756209652</v>
      </c>
      <c r="D20" s="63">
        <f>IF(D4=0,0,D4/TrNavi_act!D8*100)</f>
        <v>6324.0772671691748</v>
      </c>
      <c r="E20" s="63">
        <f>IF(E4=0,0,E4/TrNavi_act!E8*100)</f>
        <v>7277.7469493832132</v>
      </c>
      <c r="F20" s="63">
        <f>IF(F4=0,0,F4/TrNavi_act!F8*100)</f>
        <v>7788.6829214436066</v>
      </c>
      <c r="G20" s="63">
        <f>IF(G4=0,0,G4/TrNavi_act!G8*100)</f>
        <v>7284.7037776237048</v>
      </c>
      <c r="H20" s="63">
        <f>IF(H4=0,0,H4/TrNavi_act!H8*100)</f>
        <v>5282.5380831925049</v>
      </c>
      <c r="I20" s="63">
        <f>IF(I4=0,0,I4/TrNavi_act!I8*100)</f>
        <v>8376.0441391987606</v>
      </c>
      <c r="J20" s="63">
        <f>IF(J4=0,0,J4/TrNavi_act!J8*100)</f>
        <v>6417.1591253923525</v>
      </c>
      <c r="K20" s="63">
        <f>IF(K4=0,0,K4/TrNavi_act!K8*100)</f>
        <v>7967.1233497533276</v>
      </c>
      <c r="L20" s="63">
        <f>IF(L4=0,0,L4/TrNavi_act!L8*100)</f>
        <v>7885.4653863399135</v>
      </c>
      <c r="M20" s="63">
        <f>IF(M4=0,0,M4/TrNavi_act!M8*100)</f>
        <v>6763.1387857399859</v>
      </c>
      <c r="N20" s="63">
        <f>IF(N4=0,0,N4/TrNavi_act!N8*100)</f>
        <v>7273.2816867239908</v>
      </c>
      <c r="O20" s="63">
        <f>IF(O4=0,0,O4/TrNavi_act!O8*100)</f>
        <v>11506.19078656419</v>
      </c>
      <c r="P20" s="63">
        <f>IF(P4=0,0,P4/TrNavi_act!P8*100)</f>
        <v>8625.8217610808024</v>
      </c>
      <c r="Q20" s="63">
        <f>IF(Q4=0,0,Q4/TrNavi_act!Q8*100)</f>
        <v>9595.3742146121022</v>
      </c>
      <c r="R20" s="63">
        <f>IF(R4=0,0,R4/TrNavi_act!R8*100)</f>
        <v>12500.423972878954</v>
      </c>
      <c r="S20" s="63">
        <f>IF(S4=0,0,S4/TrNavi_act!S8*100)</f>
        <v>12125.970889901077</v>
      </c>
      <c r="T20" s="63">
        <f>IF(T4=0,0,T4/TrNavi_act!T8*100)</f>
        <v>10499.144455843534</v>
      </c>
      <c r="U20" s="63">
        <f>IF(U4=0,0,U4/TrNavi_act!U8*100)</f>
        <v>9865.8605137409832</v>
      </c>
      <c r="V20" s="63">
        <f>IF(V4=0,0,V4/TrNavi_act!V8*100)</f>
        <v>8680.9316263245437</v>
      </c>
      <c r="W20" s="63">
        <f>IF(W4=0,0,W4/TrNavi_act!W8*100)</f>
        <v>9728.8275763150614</v>
      </c>
      <c r="X20" s="63">
        <f>IF(X4=0,0,X4/TrNavi_act!X8*100)</f>
        <v>11885.817447465133</v>
      </c>
      <c r="Y20" s="63">
        <f>IF(Y4=0,0,Y4/TrNavi_act!Y8*100)</f>
        <v>9549.8903767700704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403.72584710568498</v>
      </c>
      <c r="C21" s="64">
        <f>IF(C10=0,0,C10/TrNavi_act!C9*100)</f>
        <v>556.29328083666906</v>
      </c>
      <c r="D21" s="64">
        <f>IF(D10=0,0,D10/TrNavi_act!D9*100)</f>
        <v>582.36111130638619</v>
      </c>
      <c r="E21" s="64">
        <f>IF(E10=0,0,E10/TrNavi_act!E9*100)</f>
        <v>678.19051654503482</v>
      </c>
      <c r="F21" s="64">
        <f>IF(F10=0,0,F10/TrNavi_act!F9*100)</f>
        <v>713.73913358742868</v>
      </c>
      <c r="G21" s="64">
        <f>IF(G10=0,0,G10/TrNavi_act!G9*100)</f>
        <v>668.84269633822964</v>
      </c>
      <c r="H21" s="64">
        <f>IF(H10=0,0,H10/TrNavi_act!H9*100)</f>
        <v>487.07732071937289</v>
      </c>
      <c r="I21" s="64">
        <f>IF(I10=0,0,I10/TrNavi_act!I9*100)</f>
        <v>781.9998294409437</v>
      </c>
      <c r="J21" s="64">
        <f>IF(J10=0,0,J10/TrNavi_act!J9*100)</f>
        <v>571.55284280748151</v>
      </c>
      <c r="K21" s="64">
        <f>IF(K10=0,0,K10/TrNavi_act!K9*100)</f>
        <v>735.42768369255759</v>
      </c>
      <c r="L21" s="64">
        <f>IF(L10=0,0,L10/TrNavi_act!L9*100)</f>
        <v>717.10795397462368</v>
      </c>
      <c r="M21" s="64">
        <f>IF(M10=0,0,M10/TrNavi_act!M9*100)</f>
        <v>595.69455635691884</v>
      </c>
      <c r="N21" s="64">
        <f>IF(N10=0,0,N10/TrNavi_act!N9*100)</f>
        <v>648.34686222954224</v>
      </c>
      <c r="O21" s="64">
        <f>IF(O10=0,0,O10/TrNavi_act!O9*100)</f>
        <v>1063.929500453233</v>
      </c>
      <c r="P21" s="64">
        <f>IF(P10=0,0,P10/TrNavi_act!P9*100)</f>
        <v>794.91361529015887</v>
      </c>
      <c r="Q21" s="64">
        <f>IF(Q10=0,0,Q10/TrNavi_act!Q9*100)</f>
        <v>913.2455478344026</v>
      </c>
      <c r="R21" s="64">
        <f>IF(R10=0,0,R10/TrNavi_act!R9*100)</f>
        <v>1136.4949075033576</v>
      </c>
      <c r="S21" s="64">
        <f>IF(S10=0,0,S10/TrNavi_act!S9*100)</f>
        <v>1026.1387739173913</v>
      </c>
      <c r="T21" s="64">
        <f>IF(T10=0,0,T10/TrNavi_act!T9*100)</f>
        <v>913.1012791568736</v>
      </c>
      <c r="U21" s="64">
        <f>IF(U10=0,0,U10/TrNavi_act!U9*100)</f>
        <v>879.37708107934873</v>
      </c>
      <c r="V21" s="64">
        <f>IF(V10=0,0,V10/TrNavi_act!V9*100)</f>
        <v>817.42857240250123</v>
      </c>
      <c r="W21" s="64">
        <f>IF(W10=0,0,W10/TrNavi_act!W9*100)</f>
        <v>900.98313491431838</v>
      </c>
      <c r="X21" s="64">
        <f>IF(X10=0,0,X10/TrNavi_act!X9*100)</f>
        <v>1033.8839484396046</v>
      </c>
      <c r="Y21" s="64">
        <f>IF(Y10=0,0,Y10/TrNavi_act!Y9*100)</f>
        <v>827.49646253188359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16.712808092786474</v>
      </c>
      <c r="C23" s="62">
        <f>IF(C3=0,0,C3/TrNavi_act!C3*1000)</f>
        <v>19.052888943567776</v>
      </c>
      <c r="D23" s="62">
        <f>IF(D3=0,0,D3/TrNavi_act!D3*1000)</f>
        <v>18.561489531974772</v>
      </c>
      <c r="E23" s="62">
        <f>IF(E3=0,0,E3/TrNavi_act!E3*1000)</f>
        <v>21.848356891445075</v>
      </c>
      <c r="F23" s="62">
        <f>IF(F3=0,0,F3/TrNavi_act!F3*1000)</f>
        <v>23.462959512923987</v>
      </c>
      <c r="G23" s="62">
        <f>IF(G3=0,0,G3/TrNavi_act!G3*1000)</f>
        <v>20.627136487360222</v>
      </c>
      <c r="H23" s="62">
        <f>IF(H3=0,0,H3/TrNavi_act!H3*1000)</f>
        <v>15.706432445197684</v>
      </c>
      <c r="I23" s="62">
        <f>IF(I3=0,0,I3/TrNavi_act!I3*1000)</f>
        <v>22.532833650346294</v>
      </c>
      <c r="J23" s="62">
        <f>IF(J3=0,0,J3/TrNavi_act!J3*1000)</f>
        <v>17.420511892464948</v>
      </c>
      <c r="K23" s="62">
        <f>IF(K3=0,0,K3/TrNavi_act!K3*1000)</f>
        <v>20.961147191490564</v>
      </c>
      <c r="L23" s="62">
        <f>IF(L3=0,0,L3/TrNavi_act!L3*1000)</f>
        <v>19.864308451097717</v>
      </c>
      <c r="M23" s="62">
        <f>IF(M3=0,0,M3/TrNavi_act!M3*1000)</f>
        <v>18.761164523801156</v>
      </c>
      <c r="N23" s="62">
        <f>IF(N3=0,0,N3/TrNavi_act!N3*1000)</f>
        <v>20.159116985131956</v>
      </c>
      <c r="O23" s="62">
        <f>IF(O3=0,0,O3/TrNavi_act!O3*1000)</f>
        <v>28.218559892220387</v>
      </c>
      <c r="P23" s="62">
        <f>IF(P3=0,0,P3/TrNavi_act!P3*1000)</f>
        <v>23.100059698620619</v>
      </c>
      <c r="Q23" s="62">
        <f>IF(Q3=0,0,Q3/TrNavi_act!Q3*1000)</f>
        <v>22.670197994604933</v>
      </c>
      <c r="R23" s="62">
        <f>IF(R3=0,0,R3/TrNavi_act!R3*1000)</f>
        <v>27.094406792599639</v>
      </c>
      <c r="S23" s="62">
        <f>IF(S3=0,0,S3/TrNavi_act!S3*1000)</f>
        <v>27.228700573360484</v>
      </c>
      <c r="T23" s="62">
        <f>IF(T3=0,0,T3/TrNavi_act!T3*1000)</f>
        <v>25.119703599596956</v>
      </c>
      <c r="U23" s="62">
        <f>IF(U3=0,0,U3/TrNavi_act!U3*1000)</f>
        <v>23.8248749726291</v>
      </c>
      <c r="V23" s="62">
        <f>IF(V3=0,0,V3/TrNavi_act!V3*1000)</f>
        <v>20.838510674599746</v>
      </c>
      <c r="W23" s="62">
        <f>IF(W3=0,0,W3/TrNavi_act!W3*1000)</f>
        <v>23.33191092887574</v>
      </c>
      <c r="X23" s="62">
        <f>IF(X3=0,0,X3/TrNavi_act!X3*1000)</f>
        <v>28.79462386530173</v>
      </c>
      <c r="Y23" s="62">
        <f>IF(Y3=0,0,Y3/TrNavi_act!Y3*1000)</f>
        <v>24.092471876581214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20.217104613750038</v>
      </c>
      <c r="C24" s="63">
        <f>IF(C4=0,0,C4/TrNavi_act!C4*1000)</f>
        <v>23.356590939923883</v>
      </c>
      <c r="D24" s="63">
        <f>IF(D4=0,0,D4/TrNavi_act!D4*1000)</f>
        <v>22.160797258335382</v>
      </c>
      <c r="E24" s="63">
        <f>IF(E4=0,0,E4/TrNavi_act!E4*1000)</f>
        <v>25.940549505070855</v>
      </c>
      <c r="F24" s="63">
        <f>IF(F4=0,0,F4/TrNavi_act!F4*1000)</f>
        <v>26.910554119441702</v>
      </c>
      <c r="G24" s="63">
        <f>IF(G4=0,0,G4/TrNavi_act!G4*1000)</f>
        <v>25.193276801809144</v>
      </c>
      <c r="H24" s="63">
        <f>IF(H4=0,0,H4/TrNavi_act!H4*1000)</f>
        <v>18.088676690151406</v>
      </c>
      <c r="I24" s="63">
        <f>IF(I4=0,0,I4/TrNavi_act!I4*1000)</f>
        <v>28.087979919563239</v>
      </c>
      <c r="J24" s="63">
        <f>IF(J4=0,0,J4/TrNavi_act!J4*1000)</f>
        <v>21.065472140888584</v>
      </c>
      <c r="K24" s="63">
        <f>IF(K4=0,0,K4/TrNavi_act!K4*1000)</f>
        <v>25.79596866120373</v>
      </c>
      <c r="L24" s="63">
        <f>IF(L4=0,0,L4/TrNavi_act!L4*1000)</f>
        <v>25.609732171476477</v>
      </c>
      <c r="M24" s="63">
        <f>IF(M4=0,0,M4/TrNavi_act!M4*1000)</f>
        <v>23.5308066657126</v>
      </c>
      <c r="N24" s="63">
        <f>IF(N4=0,0,N4/TrNavi_act!N4*1000)</f>
        <v>24.952273527913952</v>
      </c>
      <c r="O24" s="63">
        <f>IF(O4=0,0,O4/TrNavi_act!O4*1000)</f>
        <v>38.934003332831317</v>
      </c>
      <c r="P24" s="63">
        <f>IF(P4=0,0,P4/TrNavi_act!P4*1000)</f>
        <v>30.427352505838336</v>
      </c>
      <c r="Q24" s="63">
        <f>IF(Q4=0,0,Q4/TrNavi_act!Q4*1000)</f>
        <v>29.447011178242835</v>
      </c>
      <c r="R24" s="63">
        <f>IF(R4=0,0,R4/TrNavi_act!R4*1000)</f>
        <v>37.471319443393739</v>
      </c>
      <c r="S24" s="63">
        <f>IF(S4=0,0,S4/TrNavi_act!S4*1000)</f>
        <v>36.928888752222051</v>
      </c>
      <c r="T24" s="63">
        <f>IF(T4=0,0,T4/TrNavi_act!T4*1000)</f>
        <v>32.639356403437262</v>
      </c>
      <c r="U24" s="63">
        <f>IF(U4=0,0,U4/TrNavi_act!U4*1000)</f>
        <v>31.28403219459825</v>
      </c>
      <c r="V24" s="63">
        <f>IF(V4=0,0,V4/TrNavi_act!V4*1000)</f>
        <v>25.883677851969495</v>
      </c>
      <c r="W24" s="63">
        <f>IF(W4=0,0,W4/TrNavi_act!W4*1000)</f>
        <v>29.00694246152867</v>
      </c>
      <c r="X24" s="63">
        <f>IF(X4=0,0,X4/TrNavi_act!X4*1000)</f>
        <v>36.629456561409718</v>
      </c>
      <c r="Y24" s="63">
        <f>IF(Y4=0,0,Y4/TrNavi_act!Y4*1000)</f>
        <v>28.641627653070667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9.0977913449315118</v>
      </c>
      <c r="C25" s="64">
        <f>IF(C10=0,0,C10/TrNavi_act!C5*1000)</f>
        <v>11.418298544687069</v>
      </c>
      <c r="D25" s="64">
        <f>IF(D10=0,0,D10/TrNavi_act!D5*1000)</f>
        <v>11.776807961380326</v>
      </c>
      <c r="E25" s="64">
        <f>IF(E10=0,0,E10/TrNavi_act!E5*1000)</f>
        <v>15.120673406020282</v>
      </c>
      <c r="F25" s="64">
        <f>IF(F10=0,0,F10/TrNavi_act!F5*1000)</f>
        <v>17.650965526800324</v>
      </c>
      <c r="G25" s="64">
        <f>IF(G10=0,0,G10/TrNavi_act!G5*1000)</f>
        <v>13.381360446897133</v>
      </c>
      <c r="H25" s="64">
        <f>IF(H10=0,0,H10/TrNavi_act!H5*1000)</f>
        <v>9.8518893054776875</v>
      </c>
      <c r="I25" s="64">
        <f>IF(I10=0,0,I10/TrNavi_act!I5*1000)</f>
        <v>14.535956864369236</v>
      </c>
      <c r="J25" s="64">
        <f>IF(J10=0,0,J10/TrNavi_act!J5*1000)</f>
        <v>9.6554583500990034</v>
      </c>
      <c r="K25" s="64">
        <f>IF(K10=0,0,K10/TrNavi_act!K5*1000)</f>
        <v>12.791257990616394</v>
      </c>
      <c r="L25" s="64">
        <f>IF(L10=0,0,L10/TrNavi_act!L5*1000)</f>
        <v>10.544681134494914</v>
      </c>
      <c r="M25" s="64">
        <f>IF(M10=0,0,M10/TrNavi_act!M5*1000)</f>
        <v>10.284054997294101</v>
      </c>
      <c r="N25" s="64">
        <f>IF(N10=0,0,N10/TrNavi_act!N5*1000)</f>
        <v>12.314663651701769</v>
      </c>
      <c r="O25" s="64">
        <f>IF(O10=0,0,O10/TrNavi_act!O5*1000)</f>
        <v>19.254202280534848</v>
      </c>
      <c r="P25" s="64">
        <f>IF(P10=0,0,P10/TrNavi_act!P5*1000)</f>
        <v>13.215450141737447</v>
      </c>
      <c r="Q25" s="64">
        <f>IF(Q10=0,0,Q10/TrNavi_act!Q5*1000)</f>
        <v>12.546938597537002</v>
      </c>
      <c r="R25" s="64">
        <f>IF(R10=0,0,R10/TrNavi_act!R5*1000)</f>
        <v>15.659468774868699</v>
      </c>
      <c r="S25" s="64">
        <f>IF(S10=0,0,S10/TrNavi_act!S5*1000)</f>
        <v>14.438058004899167</v>
      </c>
      <c r="T25" s="64">
        <f>IF(T10=0,0,T10/TrNavi_act!T5*1000)</f>
        <v>12.922193212737694</v>
      </c>
      <c r="U25" s="64">
        <f>IF(U10=0,0,U10/TrNavi_act!U5*1000)</f>
        <v>12.256853001817229</v>
      </c>
      <c r="V25" s="64">
        <f>IF(V10=0,0,V10/TrNavi_act!V5*1000)</f>
        <v>11.380598999576321</v>
      </c>
      <c r="W25" s="64">
        <f>IF(W10=0,0,W10/TrNavi_act!W5*1000)</f>
        <v>12.77955678873057</v>
      </c>
      <c r="X25" s="64">
        <f>IF(X10=0,0,X10/TrNavi_act!X5*1000)</f>
        <v>15.124845567571647</v>
      </c>
      <c r="Y25" s="64">
        <f>IF(Y10=0,0,Y10/TrNavi_act!Y5*1000)</f>
        <v>12.262882543567928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0.82844261121559681</v>
      </c>
      <c r="C28" s="77">
        <f t="shared" si="9"/>
        <v>0.78395683151623874</v>
      </c>
      <c r="D28" s="77">
        <f t="shared" si="9"/>
        <v>0.78007757514512399</v>
      </c>
      <c r="E28" s="77">
        <f t="shared" si="9"/>
        <v>0.73825033695048525</v>
      </c>
      <c r="F28" s="77">
        <f t="shared" si="9"/>
        <v>0.71990189092211643</v>
      </c>
      <c r="G28" s="77">
        <f t="shared" si="9"/>
        <v>0.74922154813620789</v>
      </c>
      <c r="H28" s="77">
        <f t="shared" si="9"/>
        <v>0.81858616527959727</v>
      </c>
      <c r="I28" s="77">
        <f t="shared" si="9"/>
        <v>0.73556485085928724</v>
      </c>
      <c r="J28" s="77">
        <f t="shared" si="9"/>
        <v>0.82294075442642356</v>
      </c>
      <c r="K28" s="77">
        <f t="shared" si="9"/>
        <v>0.77312953648900284</v>
      </c>
      <c r="L28" s="77">
        <f t="shared" si="9"/>
        <v>0.79755294804512955</v>
      </c>
      <c r="M28" s="77">
        <f t="shared" si="9"/>
        <v>0.80263006431795236</v>
      </c>
      <c r="N28" s="77">
        <f t="shared" si="9"/>
        <v>0.76830977142990309</v>
      </c>
      <c r="O28" s="77">
        <f t="shared" si="9"/>
        <v>0.62848177041288267</v>
      </c>
      <c r="P28" s="77">
        <f t="shared" si="9"/>
        <v>0.75645258112877767</v>
      </c>
      <c r="Q28" s="77">
        <f t="shared" si="9"/>
        <v>0.77806826757027658</v>
      </c>
      <c r="R28" s="77">
        <f t="shared" si="9"/>
        <v>0.7250377813093557</v>
      </c>
      <c r="S28" s="77">
        <f t="shared" si="9"/>
        <v>0.77130507446935315</v>
      </c>
      <c r="T28" s="77">
        <f t="shared" si="9"/>
        <v>0.80381080840936459</v>
      </c>
      <c r="U28" s="77">
        <f t="shared" si="9"/>
        <v>0.79831959710733835</v>
      </c>
      <c r="V28" s="77">
        <f t="shared" ref="V28:W28" si="10">IF(V4=0,0,V4/V$3)</f>
        <v>0.81001741276263328</v>
      </c>
      <c r="W28" s="77">
        <f t="shared" si="10"/>
        <v>0.80844865609494843</v>
      </c>
      <c r="X28" s="77">
        <f t="shared" ref="X28:Y28" si="11">IF(X4=0,0,X4/X$3)</f>
        <v>0.80862831739979479</v>
      </c>
      <c r="Y28" s="77">
        <f t="shared" si="11"/>
        <v>0.85862865428419488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0.17155738878440316</v>
      </c>
      <c r="C29" s="78">
        <f t="shared" si="12"/>
        <v>0.21604316848376123</v>
      </c>
      <c r="D29" s="78">
        <f t="shared" si="12"/>
        <v>0.21992242485487606</v>
      </c>
      <c r="E29" s="78">
        <f t="shared" si="12"/>
        <v>0.26174966304951469</v>
      </c>
      <c r="F29" s="78">
        <f t="shared" si="12"/>
        <v>0.28009810907788357</v>
      </c>
      <c r="G29" s="78">
        <f t="shared" si="12"/>
        <v>0.25077845186379205</v>
      </c>
      <c r="H29" s="78">
        <f t="shared" si="12"/>
        <v>0.18141383472040279</v>
      </c>
      <c r="I29" s="78">
        <f t="shared" si="12"/>
        <v>0.2644351491407127</v>
      </c>
      <c r="J29" s="78">
        <f t="shared" si="12"/>
        <v>0.17705924557357644</v>
      </c>
      <c r="K29" s="78">
        <f t="shared" si="12"/>
        <v>0.22687046351099713</v>
      </c>
      <c r="L29" s="78">
        <f t="shared" si="12"/>
        <v>0.20244705195487042</v>
      </c>
      <c r="M29" s="78">
        <f t="shared" si="12"/>
        <v>0.19736993568204764</v>
      </c>
      <c r="N29" s="78">
        <f t="shared" si="12"/>
        <v>0.23169022857009694</v>
      </c>
      <c r="O29" s="78">
        <f t="shared" si="12"/>
        <v>0.37151822958711733</v>
      </c>
      <c r="P29" s="78">
        <f t="shared" si="12"/>
        <v>0.24354741887122236</v>
      </c>
      <c r="Q29" s="78">
        <f t="shared" si="12"/>
        <v>0.22193173242972342</v>
      </c>
      <c r="R29" s="78">
        <f t="shared" si="12"/>
        <v>0.27496221869064424</v>
      </c>
      <c r="S29" s="78">
        <f t="shared" si="12"/>
        <v>0.22869492553064691</v>
      </c>
      <c r="T29" s="78">
        <f t="shared" si="12"/>
        <v>0.19618919159063547</v>
      </c>
      <c r="U29" s="78">
        <f t="shared" si="12"/>
        <v>0.20168040289266159</v>
      </c>
      <c r="V29" s="78">
        <f t="shared" ref="V29:W29" si="13">IF(V10=0,0,V10/V$3)</f>
        <v>0.18998258723736661</v>
      </c>
      <c r="W29" s="78">
        <f t="shared" si="13"/>
        <v>0.19155134390505152</v>
      </c>
      <c r="X29" s="78">
        <f t="shared" ref="X29:Y29" si="14">IF(X10=0,0,X10/X$3)</f>
        <v>0.19137168260020523</v>
      </c>
      <c r="Y29" s="78">
        <f t="shared" si="14"/>
        <v>0.1413713457158052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1460.41222212</v>
      </c>
      <c r="C3" s="54">
        <f t="shared" ref="C3:V3" si="1">SUM(C4:C5)</f>
        <v>1323.8422250399999</v>
      </c>
      <c r="D3" s="54">
        <f t="shared" si="1"/>
        <v>1335.8916597600005</v>
      </c>
      <c r="E3" s="54">
        <f t="shared" si="1"/>
        <v>1399.72641516</v>
      </c>
      <c r="F3" s="54">
        <f t="shared" si="1"/>
        <v>1599.8349085200002</v>
      </c>
      <c r="G3" s="54">
        <f t="shared" si="1"/>
        <v>1436.0655153600001</v>
      </c>
      <c r="H3" s="54">
        <f t="shared" si="1"/>
        <v>1476.8816432399997</v>
      </c>
      <c r="I3" s="54">
        <f t="shared" si="1"/>
        <v>1532.5504343999996</v>
      </c>
      <c r="J3" s="54">
        <f t="shared" si="1"/>
        <v>1463.6174493600001</v>
      </c>
      <c r="K3" s="54">
        <f t="shared" si="1"/>
        <v>1478.8629226800003</v>
      </c>
      <c r="L3" s="54">
        <f t="shared" si="1"/>
        <v>1484.7595909199999</v>
      </c>
      <c r="M3" s="54">
        <f t="shared" si="1"/>
        <v>1405.1069751600003</v>
      </c>
      <c r="N3" s="54">
        <f t="shared" si="1"/>
        <v>1414.0317895200003</v>
      </c>
      <c r="O3" s="54">
        <f t="shared" si="1"/>
        <v>1424.8290959999999</v>
      </c>
      <c r="P3" s="54">
        <f t="shared" si="1"/>
        <v>1424.6573166000003</v>
      </c>
      <c r="Q3" s="54">
        <f t="shared" si="1"/>
        <v>1435.9060177199999</v>
      </c>
      <c r="R3" s="54">
        <f t="shared" si="1"/>
        <v>1402.4142532800001</v>
      </c>
      <c r="S3" s="54">
        <f t="shared" si="1"/>
        <v>1402.34405328</v>
      </c>
      <c r="T3" s="54">
        <f t="shared" si="1"/>
        <v>1412.0024662800001</v>
      </c>
      <c r="U3" s="54">
        <f t="shared" si="1"/>
        <v>1436.5758963600001</v>
      </c>
      <c r="V3" s="54">
        <f t="shared" si="1"/>
        <v>1234.3246181999998</v>
      </c>
      <c r="W3" s="54">
        <f t="shared" ref="W3:Y3" si="2">SUM(W4:W5)</f>
        <v>1417.27712148</v>
      </c>
      <c r="X3" s="54">
        <f t="shared" si="2"/>
        <v>1535.5146293999999</v>
      </c>
      <c r="Y3" s="54">
        <f t="shared" si="2"/>
        <v>1512.0643517999999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1209.867714744265</v>
      </c>
      <c r="C4" s="56">
        <v>1037.8351561697659</v>
      </c>
      <c r="D4" s="56">
        <v>1042.0991266021761</v>
      </c>
      <c r="E4" s="56">
        <v>1033.3484976303648</v>
      </c>
      <c r="F4" s="56">
        <v>1151.7241758067594</v>
      </c>
      <c r="G4" s="56">
        <v>1075.9312286430404</v>
      </c>
      <c r="H4" s="56">
        <v>1208.9548809116616</v>
      </c>
      <c r="I4" s="56">
        <v>1127.2902317137716</v>
      </c>
      <c r="J4" s="56">
        <v>1204.4704479679963</v>
      </c>
      <c r="K4" s="56">
        <v>1143.3526059423607</v>
      </c>
      <c r="L4" s="56">
        <v>1184.1743888765266</v>
      </c>
      <c r="M4" s="56">
        <v>1127.7811018462746</v>
      </c>
      <c r="N4" s="56">
        <v>1086.4144410007282</v>
      </c>
      <c r="O4" s="56">
        <v>895.47911278986692</v>
      </c>
      <c r="P4" s="56">
        <v>1077.6857043660684</v>
      </c>
      <c r="Q4" s="56">
        <v>1117.2329076011351</v>
      </c>
      <c r="R4" s="56">
        <v>1016.8033186747481</v>
      </c>
      <c r="S4" s="56">
        <v>1081.635084446785</v>
      </c>
      <c r="T4" s="56">
        <v>1134.9828438965433</v>
      </c>
      <c r="U4" s="56">
        <v>1146.8466907962288</v>
      </c>
      <c r="V4" s="56">
        <v>999.824433743589</v>
      </c>
      <c r="W4" s="56">
        <v>1145.7957841746229</v>
      </c>
      <c r="X4" s="56">
        <v>1241.6606111144913</v>
      </c>
      <c r="Y4" s="56">
        <v>1298.3017795771373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250.54450737573498</v>
      </c>
      <c r="C5" s="58">
        <v>286.00706887023409</v>
      </c>
      <c r="D5" s="58">
        <v>293.79253315782432</v>
      </c>
      <c r="E5" s="58">
        <v>366.37791752963511</v>
      </c>
      <c r="F5" s="58">
        <v>448.11073271324091</v>
      </c>
      <c r="G5" s="58">
        <v>360.13428671695954</v>
      </c>
      <c r="H5" s="58">
        <v>267.92676232833816</v>
      </c>
      <c r="I5" s="58">
        <v>405.26020268622807</v>
      </c>
      <c r="J5" s="58">
        <v>259.14700139200386</v>
      </c>
      <c r="K5" s="58">
        <v>335.51031673763958</v>
      </c>
      <c r="L5" s="58">
        <v>300.58520204347343</v>
      </c>
      <c r="M5" s="58">
        <v>277.32587331372571</v>
      </c>
      <c r="N5" s="58">
        <v>327.61734851927207</v>
      </c>
      <c r="O5" s="58">
        <v>529.3499832101329</v>
      </c>
      <c r="P5" s="58">
        <v>346.97161223393192</v>
      </c>
      <c r="Q5" s="58">
        <v>318.67311011886466</v>
      </c>
      <c r="R5" s="58">
        <v>385.61093460525194</v>
      </c>
      <c r="S5" s="58">
        <v>320.70896883321512</v>
      </c>
      <c r="T5" s="58">
        <v>277.01962238345675</v>
      </c>
      <c r="U5" s="58">
        <v>289.7292055637713</v>
      </c>
      <c r="V5" s="58">
        <v>234.50018445641075</v>
      </c>
      <c r="W5" s="58">
        <v>271.481337305377</v>
      </c>
      <c r="X5" s="58">
        <v>293.85401828550857</v>
      </c>
      <c r="Y5" s="58">
        <v>213.76257222286264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3.0229470287744094</v>
      </c>
      <c r="C9" s="79">
        <f>IF(C3=0,0,C3/TrNavi_ene!C3)</f>
        <v>3.0200305915068806</v>
      </c>
      <c r="D9" s="79">
        <f>IF(D3=0,0,D3/TrNavi_ene!D3)</f>
        <v>3.0168948150481047</v>
      </c>
      <c r="E9" s="79">
        <f>IF(E3=0,0,E3/TrNavi_ene!E3)</f>
        <v>3.0197239030558931</v>
      </c>
      <c r="F9" s="79">
        <f>IF(F3=0,0,F3/TrNavi_ene!F3)</f>
        <v>3.0165543344806443</v>
      </c>
      <c r="G9" s="79">
        <f>IF(G3=0,0,G3/TrNavi_ene!G3)</f>
        <v>3.0222492430347785</v>
      </c>
      <c r="H9" s="79">
        <f>IF(H3=0,0,H3/TrNavi_ene!H3)</f>
        <v>3.0200411139605134</v>
      </c>
      <c r="I9" s="79">
        <f>IF(I3=0,0,I3/TrNavi_ene!I3)</f>
        <v>3.0277849166722017</v>
      </c>
      <c r="J9" s="79">
        <f>IF(J3=0,0,J3/TrNavi_ene!J3)</f>
        <v>3.0122817395018036</v>
      </c>
      <c r="K9" s="79">
        <f>IF(K3=0,0,K3/TrNavi_ene!K3)</f>
        <v>3.0110960338408095</v>
      </c>
      <c r="L9" s="79">
        <f>IF(L3=0,0,L3/TrNavi_ene!L3)</f>
        <v>3.0088515726037968</v>
      </c>
      <c r="M9" s="79">
        <f>IF(M3=0,0,M3/TrNavi_ene!M3)</f>
        <v>2.9846804565972076</v>
      </c>
      <c r="N9" s="79">
        <f>IF(N3=0,0,N3/TrNavi_ene!N3)</f>
        <v>2.9838313789328881</v>
      </c>
      <c r="O9" s="79">
        <f>IF(O3=0,0,O3/TrNavi_ene!O3)</f>
        <v>2.9841201305172844</v>
      </c>
      <c r="P9" s="79">
        <f>IF(P3=0,0,P3/TrNavi_ene!P3)</f>
        <v>2.9825056953649995</v>
      </c>
      <c r="Q9" s="79">
        <f>IF(Q3=0,0,Q3/TrNavi_ene!Q3)</f>
        <v>2.9824419098965236</v>
      </c>
      <c r="R9" s="79">
        <f>IF(R3=0,0,R3/TrNavi_ene!R3)</f>
        <v>2.9643406183149579</v>
      </c>
      <c r="S9" s="79">
        <f>IF(S3=0,0,S3/TrNavi_ene!S3)</f>
        <v>2.9565752315961444</v>
      </c>
      <c r="T9" s="79">
        <f>IF(T3=0,0,T3/TrNavi_ene!T3)</f>
        <v>2.9511988099366353</v>
      </c>
      <c r="U9" s="79">
        <f>IF(U3=0,0,U3/TrNavi_ene!U3)</f>
        <v>2.9496056732179849</v>
      </c>
      <c r="V9" s="79">
        <f>IF(V3=0,0,V3/TrNavi_ene!V3)</f>
        <v>2.9486632106871817</v>
      </c>
      <c r="W9" s="79">
        <f>IF(W3=0,0,W3/TrNavi_ene!W3)</f>
        <v>2.9480166352325461</v>
      </c>
      <c r="X9" s="79">
        <f>IF(X3=0,0,X3/TrNavi_ene!X3)</f>
        <v>2.9468471437721284</v>
      </c>
      <c r="Y9" s="79">
        <f>IF(Y3=0,0,Y3/TrNavi_ene!Y3)</f>
        <v>2.9445395466299056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3.0229470287744089</v>
      </c>
      <c r="C10" s="80">
        <f>IF(C4=0,0,C4/TrNavi_ene!C4)</f>
        <v>3.0200305915068806</v>
      </c>
      <c r="D10" s="80">
        <f>IF(D4=0,0,D4/TrNavi_ene!D4)</f>
        <v>3.0168948150481043</v>
      </c>
      <c r="E10" s="80">
        <f>IF(E4=0,0,E4/TrNavi_ene!E4)</f>
        <v>3.0197239030558931</v>
      </c>
      <c r="F10" s="80">
        <f>IF(F4=0,0,F4/TrNavi_ene!F4)</f>
        <v>3.0165543344806443</v>
      </c>
      <c r="G10" s="80">
        <f>IF(G4=0,0,G4/TrNavi_ene!G4)</f>
        <v>3.022249243034778</v>
      </c>
      <c r="H10" s="80">
        <f>IF(H4=0,0,H4/TrNavi_ene!H4)</f>
        <v>3.0200411139605134</v>
      </c>
      <c r="I10" s="80">
        <f>IF(I4=0,0,I4/TrNavi_ene!I4)</f>
        <v>3.0277849166722017</v>
      </c>
      <c r="J10" s="80">
        <f>IF(J4=0,0,J4/TrNavi_ene!J4)</f>
        <v>3.0122817395018036</v>
      </c>
      <c r="K10" s="80">
        <f>IF(K4=0,0,K4/TrNavi_ene!K4)</f>
        <v>3.0110960338408095</v>
      </c>
      <c r="L10" s="80">
        <f>IF(L4=0,0,L4/TrNavi_ene!L4)</f>
        <v>3.0088515726037968</v>
      </c>
      <c r="M10" s="80">
        <f>IF(M4=0,0,M4/TrNavi_ene!M4)</f>
        <v>2.9846804565972076</v>
      </c>
      <c r="N10" s="80">
        <f>IF(N4=0,0,N4/TrNavi_ene!N4)</f>
        <v>2.9838313789328881</v>
      </c>
      <c r="O10" s="80">
        <f>IF(O4=0,0,O4/TrNavi_ene!O4)</f>
        <v>2.9841201305172835</v>
      </c>
      <c r="P10" s="80">
        <f>IF(P4=0,0,P4/TrNavi_ene!P4)</f>
        <v>2.9825056953649995</v>
      </c>
      <c r="Q10" s="80">
        <f>IF(Q4=0,0,Q4/TrNavi_ene!Q4)</f>
        <v>2.9824419098965231</v>
      </c>
      <c r="R10" s="80">
        <f>IF(R4=0,0,R4/TrNavi_ene!R4)</f>
        <v>2.9643406183149579</v>
      </c>
      <c r="S10" s="80">
        <f>IF(S4=0,0,S4/TrNavi_ene!S4)</f>
        <v>2.9565752315961449</v>
      </c>
      <c r="T10" s="80">
        <f>IF(T4=0,0,T4/TrNavi_ene!T4)</f>
        <v>2.9511988099366344</v>
      </c>
      <c r="U10" s="80">
        <f>IF(U4=0,0,U4/TrNavi_ene!U4)</f>
        <v>2.9496056732179854</v>
      </c>
      <c r="V10" s="80">
        <f>IF(V4=0,0,V4/TrNavi_ene!V4)</f>
        <v>2.9486632106871817</v>
      </c>
      <c r="W10" s="80">
        <f>IF(W4=0,0,W4/TrNavi_ene!W4)</f>
        <v>2.9480166352325461</v>
      </c>
      <c r="X10" s="80">
        <f>IF(X4=0,0,X4/TrNavi_ene!X4)</f>
        <v>2.9468471437721284</v>
      </c>
      <c r="Y10" s="80">
        <f>IF(Y4=0,0,Y4/TrNavi_ene!Y4)</f>
        <v>2.9445395466299056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3.0229470287744094</v>
      </c>
      <c r="C11" s="81">
        <f>IF(C5=0,0,C5/TrNavi_ene!C10)</f>
        <v>3.020030591506881</v>
      </c>
      <c r="D11" s="81">
        <f>IF(D5=0,0,D5/TrNavi_ene!D10)</f>
        <v>3.0168948150481043</v>
      </c>
      <c r="E11" s="81">
        <f>IF(E5=0,0,E5/TrNavi_ene!E10)</f>
        <v>3.0197239030558931</v>
      </c>
      <c r="F11" s="81">
        <f>IF(F5=0,0,F5/TrNavi_ene!F10)</f>
        <v>3.0165543344806443</v>
      </c>
      <c r="G11" s="81">
        <f>IF(G5=0,0,G5/TrNavi_ene!G10)</f>
        <v>3.0222492430347785</v>
      </c>
      <c r="H11" s="81">
        <f>IF(H5=0,0,H5/TrNavi_ene!H10)</f>
        <v>3.020041113960513</v>
      </c>
      <c r="I11" s="81">
        <f>IF(I5=0,0,I5/TrNavi_ene!I10)</f>
        <v>3.0277849166722022</v>
      </c>
      <c r="J11" s="81">
        <f>IF(J5=0,0,J5/TrNavi_ene!J10)</f>
        <v>3.0122817395018036</v>
      </c>
      <c r="K11" s="81">
        <f>IF(K5=0,0,K5/TrNavi_ene!K10)</f>
        <v>3.0110960338408095</v>
      </c>
      <c r="L11" s="81">
        <f>IF(L5=0,0,L5/TrNavi_ene!L10)</f>
        <v>3.0088515726037968</v>
      </c>
      <c r="M11" s="81">
        <f>IF(M5=0,0,M5/TrNavi_ene!M10)</f>
        <v>2.9846804565972072</v>
      </c>
      <c r="N11" s="81">
        <f>IF(N5=0,0,N5/TrNavi_ene!N10)</f>
        <v>2.9838313789328881</v>
      </c>
      <c r="O11" s="81">
        <f>IF(O5=0,0,O5/TrNavi_ene!O10)</f>
        <v>2.9841201305172844</v>
      </c>
      <c r="P11" s="81">
        <f>IF(P5=0,0,P5/TrNavi_ene!P10)</f>
        <v>2.9825056953649995</v>
      </c>
      <c r="Q11" s="81">
        <f>IF(Q5=0,0,Q5/TrNavi_ene!Q10)</f>
        <v>2.9824419098965231</v>
      </c>
      <c r="R11" s="81">
        <f>IF(R5=0,0,R5/TrNavi_ene!R10)</f>
        <v>2.9643406183149579</v>
      </c>
      <c r="S11" s="81">
        <f>IF(S5=0,0,S5/TrNavi_ene!S10)</f>
        <v>2.9565752315961444</v>
      </c>
      <c r="T11" s="81">
        <f>IF(T5=0,0,T5/TrNavi_ene!T10)</f>
        <v>2.9511988099366353</v>
      </c>
      <c r="U11" s="81">
        <f>IF(U5=0,0,U5/TrNavi_ene!U10)</f>
        <v>2.9496056732179849</v>
      </c>
      <c r="V11" s="81">
        <f>IF(V5=0,0,V5/TrNavi_ene!V10)</f>
        <v>2.9486632106871822</v>
      </c>
      <c r="W11" s="81">
        <f>IF(W5=0,0,W5/TrNavi_ene!W10)</f>
        <v>2.9480166352325465</v>
      </c>
      <c r="X11" s="81">
        <f>IF(X5=0,0,X5/TrNavi_ene!X10)</f>
        <v>2.9468471437721284</v>
      </c>
      <c r="Y11" s="81">
        <f>IF(Y5=0,0,Y5/TrNavi_ene!Y10)</f>
        <v>2.9445395466299051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47868.24288308368</v>
      </c>
      <c r="C13" s="54">
        <f>IF(C3=0,0,C3/TrNavi_act!C7*1000)</f>
        <v>57140.980017265196</v>
      </c>
      <c r="D13" s="54">
        <f>IF(D3=0,0,D3/TrNavi_act!D7*1000)</f>
        <v>60218.700854670053</v>
      </c>
      <c r="E13" s="54">
        <f>IF(E3=0,0,E3/TrNavi_act!E7*1000)</f>
        <v>61956.728716359779</v>
      </c>
      <c r="F13" s="54">
        <f>IF(F3=0,0,F3/TrNavi_act!F7*1000)</f>
        <v>62214.073829282526</v>
      </c>
      <c r="G13" s="54">
        <f>IF(G3=0,0,G3/TrNavi_act!G7*1000)</f>
        <v>63254.438416068369</v>
      </c>
      <c r="H13" s="54">
        <f>IF(H3=0,0,H3/TrNavi_act!H7*1000)</f>
        <v>57261.229964330014</v>
      </c>
      <c r="I13" s="54">
        <f>IF(I3=0,0,I3/TrNavi_act!I7*1000)</f>
        <v>71079.747432864882</v>
      </c>
      <c r="J13" s="54">
        <f>IF(J3=0,0,J3/TrNavi_act!J7*1000)</f>
        <v>68769.320554433129</v>
      </c>
      <c r="K13" s="54">
        <f>IF(K3=0,0,K3/TrNavi_act!K7*1000)</f>
        <v>74251.288983280625</v>
      </c>
      <c r="L13" s="54">
        <f>IF(L3=0,0,L3/TrNavi_act!L7*1000)</f>
        <v>78467.370833949914</v>
      </c>
      <c r="M13" s="54">
        <f>IF(M3=0,0,M3/TrNavi_act!M7*1000)</f>
        <v>66325.559365588866</v>
      </c>
      <c r="N13" s="54">
        <f>IF(N3=0,0,N3/TrNavi_act!N7*1000)</f>
        <v>64447.007407137338</v>
      </c>
      <c r="O13" s="54">
        <f>IF(O3=0,0,O3/TrNavi_act!O7*1000)</f>
        <v>73898.091177843467</v>
      </c>
      <c r="P13" s="54">
        <f>IF(P3=0,0,P3/TrNavi_act!P7*1000)</f>
        <v>75683.027868678313</v>
      </c>
      <c r="Q13" s="54">
        <f>IF(Q3=0,0,Q3/TrNavi_act!Q7*1000)</f>
        <v>92021.662248141496</v>
      </c>
      <c r="R13" s="54">
        <f>IF(R3=0,0,R3/TrNavi_act!R7*1000)</f>
        <v>98831.166545454558</v>
      </c>
      <c r="S13" s="54">
        <f>IF(S3=0,0,S3/TrNavi_act!S7*1000)</f>
        <v>103204.5962084192</v>
      </c>
      <c r="T13" s="54">
        <f>IF(T3=0,0,T3/TrNavi_act!T7*1000)</f>
        <v>101269.63108943558</v>
      </c>
      <c r="U13" s="54">
        <f>IF(U3=0,0,U3/TrNavi_act!U7*1000)</f>
        <v>95068.221584276354</v>
      </c>
      <c r="V13" s="54">
        <f>IF(V3=0,0,V3/TrNavi_act!V7*1000)</f>
        <v>90526.191287128691</v>
      </c>
      <c r="W13" s="54">
        <f>IF(W3=0,0,W3/TrNavi_act!W7*1000)</f>
        <v>99695.914566685417</v>
      </c>
      <c r="X13" s="54">
        <f>IF(X3=0,0,X3/TrNavi_act!X7*1000)</f>
        <v>116415.05909021986</v>
      </c>
      <c r="Y13" s="54">
        <f>IF(Y3=0,0,Y3/TrNavi_act!Y7*1000)</f>
        <v>112924.89557879012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121229.22993429507</v>
      </c>
      <c r="C14" s="56">
        <f>IF(C4=0,0,C4/TrNavi_act!C8*1000)</f>
        <v>168918.48244950618</v>
      </c>
      <c r="D14" s="56">
        <f>IF(D4=0,0,D4/TrNavi_act!D8*1000)</f>
        <v>190790.75917286272</v>
      </c>
      <c r="E14" s="56">
        <f>IF(E4=0,0,E4/TrNavi_act!E8*1000)</f>
        <v>219767.86423444594</v>
      </c>
      <c r="F14" s="56">
        <f>IF(F4=0,0,F4/TrNavi_act!F8*1000)</f>
        <v>234949.85226576077</v>
      </c>
      <c r="G14" s="56">
        <f>IF(G4=0,0,G4/TrNavi_act!G8*1000)</f>
        <v>220161.90477655831</v>
      </c>
      <c r="H14" s="56">
        <f>IF(H4=0,0,H4/TrNavi_act!H8*1000)</f>
        <v>159534.82197303529</v>
      </c>
      <c r="I14" s="56">
        <f>IF(I4=0,0,I4/TrNavi_act!I8*1000)</f>
        <v>253608.60106046606</v>
      </c>
      <c r="J14" s="56">
        <f>IF(J4=0,0,J4/TrNavi_act!J8*1000)</f>
        <v>193302.91252896748</v>
      </c>
      <c r="K14" s="56">
        <f>IF(K4=0,0,K4/TrNavi_act!K8*1000)</f>
        <v>239897.73519562752</v>
      </c>
      <c r="L14" s="56">
        <f>IF(L4=0,0,L4/TrNavi_act!L8*1000)</f>
        <v>237261.94928401656</v>
      </c>
      <c r="M14" s="56">
        <f>IF(M4=0,0,M4/TrNavi_act!M8*1000)</f>
        <v>201858.08159052706</v>
      </c>
      <c r="N14" s="56">
        <f>IF(N4=0,0,N4/TrNavi_act!N8*1000)</f>
        <v>217022.46124664965</v>
      </c>
      <c r="O14" s="56">
        <f>IF(O4=0,0,O4/TrNavi_act!O8*1000)</f>
        <v>343358.555517587</v>
      </c>
      <c r="P14" s="56">
        <f>IF(P4=0,0,P4/TrNavi_act!P8*1000)</f>
        <v>257265.62529626841</v>
      </c>
      <c r="Q14" s="56">
        <f>IF(Q4=0,0,Q4/TrNavi_act!Q8*1000)</f>
        <v>286176.46198799572</v>
      </c>
      <c r="R14" s="56">
        <f>IF(R4=0,0,R4/TrNavi_act!R8*1000)</f>
        <v>370555.14528963121</v>
      </c>
      <c r="S14" s="56">
        <f>IF(S4=0,0,S4/TrNavi_act!S8*1000)</f>
        <v>358513.4519213739</v>
      </c>
      <c r="T14" s="56">
        <f>IF(T4=0,0,T4/TrNavi_act!T8*1000)</f>
        <v>309850.62623438257</v>
      </c>
      <c r="U14" s="56">
        <f>IF(U4=0,0,U4/TrNavi_act!U8*1000)</f>
        <v>291003.98142507707</v>
      </c>
      <c r="V14" s="56">
        <f>IF(V4=0,0,V4/TrNavi_act!V8*1000)</f>
        <v>255971.43721034023</v>
      </c>
      <c r="W14" s="56">
        <f>IF(W4=0,0,W4/TrNavi_act!W8*1000)</f>
        <v>286807.4553628593</v>
      </c>
      <c r="X14" s="56">
        <f>IF(X4=0,0,X4/TrNavi_act!X8*1000)</f>
        <v>350256.87196459557</v>
      </c>
      <c r="Y14" s="56">
        <f>IF(Y4=0,0,Y4/TrNavi_act!Y8*1000)</f>
        <v>281200.29880379845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12204.418499475618</v>
      </c>
      <c r="C15" s="58">
        <f>IF(C5=0,0,C5/TrNavi_act!C9*1000)</f>
        <v>16800.227259764688</v>
      </c>
      <c r="D15" s="58">
        <f>IF(D5=0,0,D5/TrNavi_act!D9*1000)</f>
        <v>17569.222171858884</v>
      </c>
      <c r="E15" s="58">
        <f>IF(E5=0,0,E5/TrNavi_act!E9*1000)</f>
        <v>20479.481136368649</v>
      </c>
      <c r="F15" s="58">
        <f>IF(F5=0,0,F5/TrNavi_act!F9*1000)</f>
        <v>21530.328771116176</v>
      </c>
      <c r="G15" s="58">
        <f>IF(G5=0,0,G5/TrNavi_act!G9*1000)</f>
        <v>20214.093327175546</v>
      </c>
      <c r="H15" s="58">
        <f>IF(H5=0,0,H5/TrNavi_act!H9*1000)</f>
        <v>14709.935342502371</v>
      </c>
      <c r="I15" s="58">
        <f>IF(I5=0,0,I5/TrNavi_act!I9*1000)</f>
        <v>23677.272884215243</v>
      </c>
      <c r="J15" s="58">
        <f>IF(J5=0,0,J5/TrNavi_act!J9*1000)</f>
        <v>17216.781915493215</v>
      </c>
      <c r="K15" s="58">
        <f>IF(K5=0,0,K5/TrNavi_act!K9*1000)</f>
        <v>22144.433815433938</v>
      </c>
      <c r="L15" s="58">
        <f>IF(L5=0,0,L5/TrNavi_act!L9*1000)</f>
        <v>21576.713950432379</v>
      </c>
      <c r="M15" s="58">
        <f>IF(M5=0,0,M5/TrNavi_act!M9*1000)</f>
        <v>17779.579004598389</v>
      </c>
      <c r="N15" s="58">
        <f>IF(N5=0,0,N5/TrNavi_act!N9*1000)</f>
        <v>19345.577119531863</v>
      </c>
      <c r="O15" s="58">
        <f>IF(O5=0,0,O5/TrNavi_act!O9*1000)</f>
        <v>31748.934397536912</v>
      </c>
      <c r="P15" s="58">
        <f>IF(P5=0,0,P5/TrNavi_act!P9*1000)</f>
        <v>23708.343849260807</v>
      </c>
      <c r="Q15" s="58">
        <f>IF(Q5=0,0,Q5/TrNavi_act!Q9*1000)</f>
        <v>27237.017958877324</v>
      </c>
      <c r="R15" s="58">
        <f>IF(R5=0,0,R5/TrNavi_act!R9*1000)</f>
        <v>33689.580168203036</v>
      </c>
      <c r="S15" s="58">
        <f>IF(S5=0,0,S5/TrNavi_act!S9*1000)</f>
        <v>30338.56483144595</v>
      </c>
      <c r="T15" s="58">
        <f>IF(T5=0,0,T5/TrNavi_act!T9*1000)</f>
        <v>26947.434083993849</v>
      </c>
      <c r="U15" s="58">
        <f>IF(U5=0,0,U5/TrNavi_act!U9*1000)</f>
        <v>25938.156272495191</v>
      </c>
      <c r="V15" s="58">
        <f>IF(V5=0,0,V5/TrNavi_act!V9*1000)</f>
        <v>24103.21558807799</v>
      </c>
      <c r="W15" s="58">
        <f>IF(W5=0,0,W5/TrNavi_act!W9*1000)</f>
        <v>26561.132697913807</v>
      </c>
      <c r="X15" s="58">
        <f>IF(X5=0,0,X5/TrNavi_act!X9*1000)</f>
        <v>30466.979604511002</v>
      </c>
      <c r="Y15" s="58">
        <f>IF(Y5=0,0,Y5/TrNavi_act!Y9*1000)</f>
        <v>24365.960586214824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50.521933566565778</v>
      </c>
      <c r="C17" s="62">
        <f>IF(C3=0,0,C3/TrNavi_act!C3*1000)</f>
        <v>57.540307466157898</v>
      </c>
      <c r="D17" s="62">
        <f>IF(D3=0,0,D3/TrNavi_act!D3*1000)</f>
        <v>55.998061528584358</v>
      </c>
      <c r="E17" s="62">
        <f>IF(E3=0,0,E3/TrNavi_act!E3*1000)</f>
        <v>65.976005547592649</v>
      </c>
      <c r="F17" s="62">
        <f>IF(F3=0,0,F3/TrNavi_act!F3*1000)</f>
        <v>70.777292218454718</v>
      </c>
      <c r="G17" s="62">
        <f>IF(G3=0,0,G3/TrNavi_act!G3*1000)</f>
        <v>62.340347634899494</v>
      </c>
      <c r="H17" s="62">
        <f>IF(H3=0,0,H3/TrNavi_act!H3*1000)</f>
        <v>47.434071738140361</v>
      </c>
      <c r="I17" s="62">
        <f>IF(I3=0,0,I3/TrNavi_act!I3*1000)</f>
        <v>68.22457385640233</v>
      </c>
      <c r="J17" s="62">
        <f>IF(J3=0,0,J3/TrNavi_act!J3*1000)</f>
        <v>52.475489866446168</v>
      </c>
      <c r="K17" s="62">
        <f>IF(K3=0,0,K3/TrNavi_act!K3*1000)</f>
        <v>63.116027173050661</v>
      </c>
      <c r="L17" s="62">
        <f>IF(L3=0,0,L3/TrNavi_act!L3*1000)</f>
        <v>59.768755721772244</v>
      </c>
      <c r="M17" s="62">
        <f>IF(M3=0,0,M3/TrNavi_act!M3*1000)</f>
        <v>55.996081097194157</v>
      </c>
      <c r="N17" s="62">
        <f>IF(N3=0,0,N3/TrNavi_act!N3*1000)</f>
        <v>60.151405831815701</v>
      </c>
      <c r="O17" s="62">
        <f>IF(O3=0,0,O3/TrNavi_act!O3*1000)</f>
        <v>84.207572628582511</v>
      </c>
      <c r="P17" s="62">
        <f>IF(P3=0,0,P3/TrNavi_act!P3*1000)</f>
        <v>68.896059614407477</v>
      </c>
      <c r="Q17" s="62">
        <f>IF(Q3=0,0,Q3/TrNavi_act!Q3*1000)</f>
        <v>67.612548604761869</v>
      </c>
      <c r="R17" s="62">
        <f>IF(R3=0,0,R3/TrNavi_act!R3*1000)</f>
        <v>80.317050584451806</v>
      </c>
      <c r="S17" s="62">
        <f>IF(S3=0,0,S3/TrNavi_act!S3*1000)</f>
        <v>80.50370170374535</v>
      </c>
      <c r="T17" s="62">
        <f>IF(T3=0,0,T3/TrNavi_act!T3*1000)</f>
        <v>74.133239369091541</v>
      </c>
      <c r="U17" s="62">
        <f>IF(U3=0,0,U3/TrNavi_act!U3*1000)</f>
        <v>70.273986382975977</v>
      </c>
      <c r="V17" s="62">
        <f>IF(V3=0,0,V3/TrNavi_act!V3*1000)</f>
        <v>61.445749791704401</v>
      </c>
      <c r="W17" s="62">
        <f>IF(W3=0,0,W3/TrNavi_act!W3*1000)</f>
        <v>68.782861550089734</v>
      </c>
      <c r="X17" s="62">
        <f>IF(X3=0,0,X3/TrNavi_act!X3*1000)</f>
        <v>84.853355093457168</v>
      </c>
      <c r="Y17" s="62">
        <f>IF(Y3=0,0,Y3/TrNavi_act!Y3*1000)</f>
        <v>70.941236216662205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61.115236322557081</v>
      </c>
      <c r="C18" s="63">
        <f>IF(C4=0,0,C4/TrNavi_act!C4*1000)</f>
        <v>70.537619151882566</v>
      </c>
      <c r="D18" s="63">
        <f>IF(D4=0,0,D4/TrNavi_act!D4*1000)</f>
        <v>66.85679434600425</v>
      </c>
      <c r="E18" s="63">
        <f>IF(E4=0,0,E4/TrNavi_act!E4*1000)</f>
        <v>78.333297398867188</v>
      </c>
      <c r="F18" s="63">
        <f>IF(F4=0,0,F4/TrNavi_act!F4*1000)</f>
        <v>81.177148672277838</v>
      </c>
      <c r="G18" s="63">
        <f>IF(G4=0,0,G4/TrNavi_act!G4*1000)</f>
        <v>76.140361743833338</v>
      </c>
      <c r="H18" s="63">
        <f>IF(H4=0,0,H4/TrNavi_act!H4*1000)</f>
        <v>54.628547301396431</v>
      </c>
      <c r="I18" s="63">
        <f>IF(I4=0,0,I4/TrNavi_act!I4*1000)</f>
        <v>85.044361940245238</v>
      </c>
      <c r="J18" s="63">
        <f>IF(J4=0,0,J4/TrNavi_act!J4*1000)</f>
        <v>63.455137063982647</v>
      </c>
      <c r="K18" s="63">
        <f>IF(K4=0,0,K4/TrNavi_act!K4*1000)</f>
        <v>77.674138924832363</v>
      </c>
      <c r="L18" s="63">
        <f>IF(L4=0,0,L4/TrNavi_act!L4*1000)</f>
        <v>77.055882918109035</v>
      </c>
      <c r="M18" s="63">
        <f>IF(M4=0,0,M4/TrNavi_act!M4*1000)</f>
        <v>70.231938783119702</v>
      </c>
      <c r="N18" s="63">
        <f>IF(N4=0,0,N4/TrNavi_act!N4*1000)</f>
        <v>74.453376728306083</v>
      </c>
      <c r="O18" s="63">
        <f>IF(O4=0,0,O4/TrNavi_act!O4*1000)</f>
        <v>116.18374310712895</v>
      </c>
      <c r="P18" s="63">
        <f>IF(P4=0,0,P4/TrNavi_act!P4*1000)</f>
        <v>90.749752143541315</v>
      </c>
      <c r="Q18" s="63">
        <f>IF(Q4=0,0,Q4/TrNavi_act!Q4*1000)</f>
        <v>87.824000259182839</v>
      </c>
      <c r="R18" s="63">
        <f>IF(R4=0,0,R4/TrNavi_act!R4*1000)</f>
        <v>111.07775424790709</v>
      </c>
      <c r="S18" s="63">
        <f>IF(S4=0,0,S4/TrNavi_act!S4*1000)</f>
        <v>109.18303781518918</v>
      </c>
      <c r="T18" s="63">
        <f>IF(T4=0,0,T4/TrNavi_act!T4*1000)</f>
        <v>96.325229774921738</v>
      </c>
      <c r="U18" s="63">
        <f>IF(U4=0,0,U4/TrNavi_act!U4*1000)</f>
        <v>92.27555884232109</v>
      </c>
      <c r="V18" s="63">
        <f>IF(V4=0,0,V4/TrNavi_act!V4*1000)</f>
        <v>76.322248639381073</v>
      </c>
      <c r="W18" s="63">
        <f>IF(W4=0,0,W4/TrNavi_act!W4*1000)</f>
        <v>85.512948913819812</v>
      </c>
      <c r="X18" s="63">
        <f>IF(X4=0,0,X4/TrNavi_act!X4*1000)</f>
        <v>107.94140944591545</v>
      </c>
      <c r="Y18" s="63">
        <f>IF(Y4=0,0,Y4/TrNavi_act!Y4*1000)</f>
        <v>84.336405304315264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27.502141314570249</v>
      </c>
      <c r="C19" s="64">
        <f>IF(C5=0,0,C5/TrNavi_act!C5*1000)</f>
        <v>34.483610907913445</v>
      </c>
      <c r="D19" s="64">
        <f>IF(D5=0,0,D5/TrNavi_act!D5*1000)</f>
        <v>35.529390876505545</v>
      </c>
      <c r="E19" s="64">
        <f>IF(E5=0,0,E5/TrNavi_act!E5*1000)</f>
        <v>45.660258914461011</v>
      </c>
      <c r="F19" s="64">
        <f>IF(F5=0,0,F5/TrNavi_act!F5*1000)</f>
        <v>53.245096567637944</v>
      </c>
      <c r="G19" s="64">
        <f>IF(G5=0,0,G5/TrNavi_act!G5*1000)</f>
        <v>40.441806481410396</v>
      </c>
      <c r="H19" s="64">
        <f>IF(H5=0,0,H5/TrNavi_act!H5*1000)</f>
        <v>29.7531107527305</v>
      </c>
      <c r="I19" s="64">
        <f>IF(I5=0,0,I5/TrNavi_act!I5*1000)</f>
        <v>44.011750943334931</v>
      </c>
      <c r="J19" s="64">
        <f>IF(J5=0,0,J5/TrNavi_act!J5*1000)</f>
        <v>29.084960874523439</v>
      </c>
      <c r="K19" s="64">
        <f>IF(K5=0,0,K5/TrNavi_act!K5*1000)</f>
        <v>38.515706203379587</v>
      </c>
      <c r="L19" s="64">
        <f>IF(L5=0,0,L5/TrNavi_act!L5*1000)</f>
        <v>31.727380414130611</v>
      </c>
      <c r="M19" s="64">
        <f>IF(M5=0,0,M5/TrNavi_act!M5*1000)</f>
        <v>30.694617964994542</v>
      </c>
      <c r="N19" s="64">
        <f>IF(N5=0,0,N5/TrNavi_act!N5*1000)</f>
        <v>36.744879824952001</v>
      </c>
      <c r="O19" s="64">
        <f>IF(O5=0,0,O5/TrNavi_act!O5*1000)</f>
        <v>57.456852622395843</v>
      </c>
      <c r="P19" s="64">
        <f>IF(P5=0,0,P5/TrNavi_act!P5*1000)</f>
        <v>39.41515531454413</v>
      </c>
      <c r="Q19" s="64">
        <f>IF(Q5=0,0,Q5/TrNavi_act!Q5*1000)</f>
        <v>37.420515514192658</v>
      </c>
      <c r="R19" s="64">
        <f>IF(R5=0,0,R5/TrNavi_act!R5*1000)</f>
        <v>46.41999935057806</v>
      </c>
      <c r="S19" s="64">
        <f>IF(S5=0,0,S5/TrNavi_act!S5*1000)</f>
        <v>42.687204689633319</v>
      </c>
      <c r="T19" s="64">
        <f>IF(T5=0,0,T5/TrNavi_act!T5*1000)</f>
        <v>38.135961231202749</v>
      </c>
      <c r="U19" s="64">
        <f>IF(U5=0,0,U5/TrNavi_act!U5*1000)</f>
        <v>36.152883149958988</v>
      </c>
      <c r="V19" s="64">
        <f>IF(V5=0,0,V5/TrNavi_act!V5*1000)</f>
        <v>33.557553585634054</v>
      </c>
      <c r="W19" s="64">
        <f>IF(W5=0,0,W5/TrNavi_act!W5*1000)</f>
        <v>37.674346004076746</v>
      </c>
      <c r="X19" s="64">
        <f>IF(X5=0,0,X5/TrNavi_act!X5*1000)</f>
        <v>44.570607960793048</v>
      </c>
      <c r="Y19" s="64">
        <f>IF(Y5=0,0,Y5/TrNavi_act!Y5*1000)</f>
        <v>36.10854260521328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0.82844261121559681</v>
      </c>
      <c r="C22" s="77">
        <f t="shared" si="6"/>
        <v>0.78395683151623885</v>
      </c>
      <c r="D22" s="77">
        <f t="shared" si="6"/>
        <v>0.78007757514512388</v>
      </c>
      <c r="E22" s="77">
        <f t="shared" si="6"/>
        <v>0.73825033695048525</v>
      </c>
      <c r="F22" s="77">
        <f t="shared" si="6"/>
        <v>0.71990189092211643</v>
      </c>
      <c r="G22" s="77">
        <f t="shared" si="6"/>
        <v>0.74922154813620789</v>
      </c>
      <c r="H22" s="77">
        <f t="shared" si="6"/>
        <v>0.81858616527959727</v>
      </c>
      <c r="I22" s="77">
        <f t="shared" si="6"/>
        <v>0.73556485085928724</v>
      </c>
      <c r="J22" s="77">
        <f t="shared" si="6"/>
        <v>0.82294075442642356</v>
      </c>
      <c r="K22" s="77">
        <f t="shared" si="6"/>
        <v>0.77312953648900284</v>
      </c>
      <c r="L22" s="77">
        <f t="shared" si="6"/>
        <v>0.79755294804512955</v>
      </c>
      <c r="M22" s="77">
        <f t="shared" si="6"/>
        <v>0.80263006431795247</v>
      </c>
      <c r="N22" s="77">
        <f t="shared" si="6"/>
        <v>0.76830977142990298</v>
      </c>
      <c r="O22" s="77">
        <f t="shared" si="6"/>
        <v>0.62848177041288256</v>
      </c>
      <c r="P22" s="77">
        <f t="shared" si="6"/>
        <v>0.75645258112877767</v>
      </c>
      <c r="Q22" s="77">
        <f t="shared" si="6"/>
        <v>0.77806826757027658</v>
      </c>
      <c r="R22" s="77">
        <f t="shared" si="6"/>
        <v>0.7250377813093557</v>
      </c>
      <c r="S22" s="77">
        <f t="shared" si="6"/>
        <v>0.77130507446935315</v>
      </c>
      <c r="T22" s="77">
        <f t="shared" si="6"/>
        <v>0.80381080840936447</v>
      </c>
      <c r="U22" s="77">
        <f t="shared" si="6"/>
        <v>0.79831959710733835</v>
      </c>
      <c r="V22" s="77">
        <f t="shared" ref="V22:W22" si="7">IF(V4=0,0,V4/V$3)</f>
        <v>0.81001741276263328</v>
      </c>
      <c r="W22" s="77">
        <f t="shared" si="7"/>
        <v>0.80844865609494843</v>
      </c>
      <c r="X22" s="77">
        <f t="shared" ref="X22:Y22" si="8">IF(X4=0,0,X4/X$3)</f>
        <v>0.80862831739979479</v>
      </c>
      <c r="Y22" s="77">
        <f t="shared" si="8"/>
        <v>0.85862865428419477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0.17155738878440316</v>
      </c>
      <c r="C23" s="78">
        <f t="shared" si="9"/>
        <v>0.21604316848376126</v>
      </c>
      <c r="D23" s="78">
        <f t="shared" si="9"/>
        <v>0.21992242485487604</v>
      </c>
      <c r="E23" s="78">
        <f t="shared" si="9"/>
        <v>0.26174966304951469</v>
      </c>
      <c r="F23" s="78">
        <f t="shared" si="9"/>
        <v>0.28009810907788357</v>
      </c>
      <c r="G23" s="78">
        <f t="shared" si="9"/>
        <v>0.25077845186379205</v>
      </c>
      <c r="H23" s="78">
        <f t="shared" si="9"/>
        <v>0.18141383472040276</v>
      </c>
      <c r="I23" s="78">
        <f t="shared" si="9"/>
        <v>0.26443514914071281</v>
      </c>
      <c r="J23" s="78">
        <f t="shared" si="9"/>
        <v>0.17705924557357644</v>
      </c>
      <c r="K23" s="78">
        <f t="shared" si="9"/>
        <v>0.22687046351099713</v>
      </c>
      <c r="L23" s="78">
        <f t="shared" si="9"/>
        <v>0.20244705195487045</v>
      </c>
      <c r="M23" s="78">
        <f t="shared" si="9"/>
        <v>0.19736993568204761</v>
      </c>
      <c r="N23" s="78">
        <f t="shared" si="9"/>
        <v>0.23169022857009694</v>
      </c>
      <c r="O23" s="78">
        <f t="shared" si="9"/>
        <v>0.37151822958711739</v>
      </c>
      <c r="P23" s="78">
        <f t="shared" si="9"/>
        <v>0.24354741887122236</v>
      </c>
      <c r="Q23" s="78">
        <f t="shared" si="9"/>
        <v>0.22193173242972339</v>
      </c>
      <c r="R23" s="78">
        <f t="shared" si="9"/>
        <v>0.27496221869064424</v>
      </c>
      <c r="S23" s="78">
        <f t="shared" si="9"/>
        <v>0.22869492553064688</v>
      </c>
      <c r="T23" s="78">
        <f t="shared" si="9"/>
        <v>0.19618919159063547</v>
      </c>
      <c r="U23" s="78">
        <f t="shared" si="9"/>
        <v>0.20168040289266159</v>
      </c>
      <c r="V23" s="78">
        <f t="shared" ref="V23:W23" si="10">IF(V5=0,0,V5/V$3)</f>
        <v>0.18998258723736666</v>
      </c>
      <c r="W23" s="78">
        <f t="shared" si="10"/>
        <v>0.19155134390505155</v>
      </c>
      <c r="X23" s="78">
        <f t="shared" ref="X23:Y23" si="11">IF(X5=0,0,X5/X$3)</f>
        <v>0.19137168260020526</v>
      </c>
      <c r="Y23" s="78">
        <f t="shared" si="11"/>
        <v>0.14137134571580517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629698.70243099995</v>
      </c>
      <c r="C3" s="54">
        <f t="shared" si="0"/>
        <v>609438.75625800004</v>
      </c>
      <c r="D3" s="54">
        <f t="shared" si="0"/>
        <v>625057.79376200004</v>
      </c>
      <c r="E3" s="54">
        <f t="shared" si="0"/>
        <v>631193.97719400004</v>
      </c>
      <c r="F3" s="54">
        <f t="shared" si="0"/>
        <v>642336.31101399998</v>
      </c>
      <c r="G3" s="54">
        <f t="shared" si="0"/>
        <v>653949.800132</v>
      </c>
      <c r="H3" s="54">
        <f t="shared" si="0"/>
        <v>673747.92134100001</v>
      </c>
      <c r="I3" s="54">
        <f t="shared" si="0"/>
        <v>486434.79080299998</v>
      </c>
      <c r="J3" s="54">
        <f t="shared" si="0"/>
        <v>608205.83284200006</v>
      </c>
      <c r="K3" s="54">
        <f t="shared" si="0"/>
        <v>541179.23916399991</v>
      </c>
      <c r="L3" s="54">
        <f t="shared" si="0"/>
        <v>575328.67482000007</v>
      </c>
      <c r="M3" s="54">
        <f t="shared" si="0"/>
        <v>573422.37101400003</v>
      </c>
      <c r="N3" s="54">
        <f t="shared" si="0"/>
        <v>541728.47733699996</v>
      </c>
      <c r="O3" s="54">
        <f t="shared" si="0"/>
        <v>430022.32993399998</v>
      </c>
      <c r="P3" s="54">
        <f t="shared" si="0"/>
        <v>581281.82818900002</v>
      </c>
      <c r="Q3" s="54">
        <f t="shared" si="0"/>
        <v>597386.25127199991</v>
      </c>
      <c r="R3" s="54">
        <f t="shared" ref="R3:W3" si="1">SUM(R4:R5)</f>
        <v>559507.40940699994</v>
      </c>
      <c r="S3" s="54">
        <f t="shared" si="1"/>
        <v>593639.69502099999</v>
      </c>
      <c r="T3" s="54">
        <f t="shared" si="1"/>
        <v>595265.01087500004</v>
      </c>
      <c r="U3" s="54">
        <f t="shared" si="1"/>
        <v>588555.93311099999</v>
      </c>
      <c r="V3" s="54">
        <f t="shared" si="1"/>
        <v>527751.60851399996</v>
      </c>
      <c r="W3" s="54">
        <f t="shared" si="1"/>
        <v>557485.26156700007</v>
      </c>
      <c r="X3" s="54">
        <f t="shared" ref="X3:Y3" si="2">SUM(X4:X5)</f>
        <v>426807.80675800005</v>
      </c>
      <c r="Y3" s="54">
        <f t="shared" si="2"/>
        <v>528330.80364699999</v>
      </c>
      <c r="DA3" s="172" t="s">
        <v>388</v>
      </c>
    </row>
    <row r="4" spans="1:105" ht="11.45" customHeight="1" x14ac:dyDescent="0.25">
      <c r="A4" s="55" t="s">
        <v>166</v>
      </c>
      <c r="B4" s="56">
        <v>76433.554713000005</v>
      </c>
      <c r="C4" s="56">
        <v>74473.830054999999</v>
      </c>
      <c r="D4" s="56">
        <v>69701.475741999995</v>
      </c>
      <c r="E4" s="56">
        <v>68548.883612000005</v>
      </c>
      <c r="F4" s="56">
        <v>72426.036634000004</v>
      </c>
      <c r="G4" s="56">
        <v>68388.029804000005</v>
      </c>
      <c r="H4" s="56">
        <v>61751.805134000002</v>
      </c>
      <c r="I4" s="56">
        <v>45711.712378999997</v>
      </c>
      <c r="J4" s="56">
        <v>54243.635997000005</v>
      </c>
      <c r="K4" s="56">
        <v>53625.922923999999</v>
      </c>
      <c r="L4" s="56">
        <v>56614.226630999998</v>
      </c>
      <c r="M4" s="56">
        <v>54183.993490000001</v>
      </c>
      <c r="N4" s="56">
        <v>51150.622532000001</v>
      </c>
      <c r="O4" s="56">
        <v>37014.200434999999</v>
      </c>
      <c r="P4" s="56">
        <v>51010.787750000003</v>
      </c>
      <c r="Q4" s="56">
        <v>48614.066458999994</v>
      </c>
      <c r="R4" s="56">
        <v>53310.180974000003</v>
      </c>
      <c r="S4" s="56">
        <v>55060.754866000003</v>
      </c>
      <c r="T4" s="56">
        <v>54861.794654999998</v>
      </c>
      <c r="U4" s="56">
        <v>51765.250401000005</v>
      </c>
      <c r="V4" s="56">
        <v>49731.776128999998</v>
      </c>
      <c r="W4" s="56">
        <v>48208.944403000001</v>
      </c>
      <c r="X4" s="56">
        <v>34048.251767000002</v>
      </c>
      <c r="Y4" s="56">
        <v>43983.552491999995</v>
      </c>
      <c r="DA4" s="181" t="s">
        <v>389</v>
      </c>
    </row>
    <row r="5" spans="1:105" ht="11.45" customHeight="1" x14ac:dyDescent="0.25">
      <c r="A5" s="57" t="s">
        <v>167</v>
      </c>
      <c r="B5" s="58">
        <v>553265.14771799999</v>
      </c>
      <c r="C5" s="58">
        <v>534964.92620300001</v>
      </c>
      <c r="D5" s="58">
        <v>555356.31802000001</v>
      </c>
      <c r="E5" s="58">
        <v>562645.093582</v>
      </c>
      <c r="F5" s="58">
        <v>569910.27437999996</v>
      </c>
      <c r="G5" s="58">
        <v>585561.77032799996</v>
      </c>
      <c r="H5" s="58">
        <v>611996.11620699998</v>
      </c>
      <c r="I5" s="58">
        <v>440723.07842400001</v>
      </c>
      <c r="J5" s="58">
        <v>553962.19684500003</v>
      </c>
      <c r="K5" s="58">
        <v>487553.31623999996</v>
      </c>
      <c r="L5" s="58">
        <v>518714.44818900002</v>
      </c>
      <c r="M5" s="58">
        <v>519238.37752400001</v>
      </c>
      <c r="N5" s="58">
        <v>490577.85480500001</v>
      </c>
      <c r="O5" s="58">
        <v>393008.12949899997</v>
      </c>
      <c r="P5" s="58">
        <v>530271.040439</v>
      </c>
      <c r="Q5" s="58">
        <v>548772.18481299991</v>
      </c>
      <c r="R5" s="58">
        <v>506197.22843299998</v>
      </c>
      <c r="S5" s="58">
        <v>538578.94015499996</v>
      </c>
      <c r="T5" s="58">
        <v>540403.21622000006</v>
      </c>
      <c r="U5" s="58">
        <v>536790.68270999996</v>
      </c>
      <c r="V5" s="58">
        <v>478019.83238500002</v>
      </c>
      <c r="W5" s="58">
        <v>509276.31716400001</v>
      </c>
      <c r="X5" s="58">
        <v>392759.55499100004</v>
      </c>
      <c r="Y5" s="58">
        <v>484347.25115500001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38.966335999999998</v>
      </c>
      <c r="C7" s="59">
        <f t="shared" si="3"/>
        <v>31.554476000000001</v>
      </c>
      <c r="D7" s="59">
        <f t="shared" si="3"/>
        <v>28.576267000000001</v>
      </c>
      <c r="E7" s="59">
        <f t="shared" si="3"/>
        <v>29.463080000000001</v>
      </c>
      <c r="F7" s="59">
        <f t="shared" si="3"/>
        <v>29.456688000000003</v>
      </c>
      <c r="G7" s="59">
        <f t="shared" si="3"/>
        <v>29.321064999999997</v>
      </c>
      <c r="H7" s="59">
        <f t="shared" si="3"/>
        <v>28.359282999999998</v>
      </c>
      <c r="I7" s="59">
        <f t="shared" si="3"/>
        <v>20.286216</v>
      </c>
      <c r="J7" s="59">
        <f t="shared" si="3"/>
        <v>24.159724999999998</v>
      </c>
      <c r="K7" s="59">
        <f t="shared" si="3"/>
        <v>22.460923999999999</v>
      </c>
      <c r="L7" s="59">
        <f t="shared" si="3"/>
        <v>22.727246999999998</v>
      </c>
      <c r="M7" s="59">
        <f t="shared" si="3"/>
        <v>22.348714999999999</v>
      </c>
      <c r="N7" s="59">
        <f t="shared" si="3"/>
        <v>20.381093</v>
      </c>
      <c r="O7" s="59">
        <f t="shared" si="3"/>
        <v>15.573176999999999</v>
      </c>
      <c r="P7" s="59">
        <f t="shared" si="3"/>
        <v>21.928470999999998</v>
      </c>
      <c r="Q7" s="59">
        <f t="shared" si="3"/>
        <v>19.300878999999998</v>
      </c>
      <c r="R7" s="59">
        <f t="shared" si="3"/>
        <v>18.899506000000002</v>
      </c>
      <c r="S7" s="59">
        <f t="shared" si="3"/>
        <v>19.862470000000002</v>
      </c>
      <c r="T7" s="59">
        <f t="shared" si="3"/>
        <v>19.969825999999998</v>
      </c>
      <c r="U7" s="59">
        <f t="shared" si="3"/>
        <v>19.475859</v>
      </c>
      <c r="V7" s="59">
        <f t="shared" si="3"/>
        <v>17.342742000000001</v>
      </c>
      <c r="W7" s="59">
        <f t="shared" si="3"/>
        <v>17.916053999999999</v>
      </c>
      <c r="X7" s="59">
        <f t="shared" ref="X7:Y7" si="4">SUM(X8:X9)</f>
        <v>14.317213000000001</v>
      </c>
      <c r="Y7" s="59">
        <f t="shared" si="4"/>
        <v>17.464707000000001</v>
      </c>
      <c r="DA7" s="172" t="s">
        <v>963</v>
      </c>
    </row>
    <row r="8" spans="1:105" ht="11.45" customHeight="1" x14ac:dyDescent="0.25">
      <c r="A8" s="55" t="s">
        <v>166</v>
      </c>
      <c r="B8" s="60">
        <v>14.481316</v>
      </c>
      <c r="C8" s="60">
        <v>11.687996999999999</v>
      </c>
      <c r="D8" s="60">
        <v>9.2186339999999998</v>
      </c>
      <c r="E8" s="60">
        <v>9.2038189999999993</v>
      </c>
      <c r="F8" s="60">
        <v>9.4389280000000007</v>
      </c>
      <c r="G8" s="60">
        <v>8.9206330000000005</v>
      </c>
      <c r="H8" s="60">
        <v>7.9799610000000003</v>
      </c>
      <c r="I8" s="60">
        <v>5.7910130000000004</v>
      </c>
      <c r="J8" s="60">
        <v>6.7237049999999998</v>
      </c>
      <c r="K8" s="60">
        <v>6.554805</v>
      </c>
      <c r="L8" s="60">
        <v>6.9679659999999997</v>
      </c>
      <c r="M8" s="60">
        <v>7.1310000000000002</v>
      </c>
      <c r="N8" s="60">
        <v>6.6431830000000005</v>
      </c>
      <c r="O8" s="60">
        <v>4.7436790000000002</v>
      </c>
      <c r="P8" s="60">
        <v>6.8099280000000002</v>
      </c>
      <c r="Q8" s="60">
        <v>5.6385019999999999</v>
      </c>
      <c r="R8" s="60">
        <v>6.0491669999999997</v>
      </c>
      <c r="S8" s="60">
        <v>6.3245010000000006</v>
      </c>
      <c r="T8" s="60">
        <v>6.4299200000000001</v>
      </c>
      <c r="U8" s="60">
        <v>6.1413189999999993</v>
      </c>
      <c r="V8" s="60">
        <v>5.4556659999999999</v>
      </c>
      <c r="W8" s="60">
        <v>5.5520449999999997</v>
      </c>
      <c r="X8" s="60">
        <v>3.966507</v>
      </c>
      <c r="Y8" s="60">
        <v>4.9223590000000002</v>
      </c>
      <c r="DA8" s="181" t="s">
        <v>964</v>
      </c>
    </row>
    <row r="9" spans="1:105" ht="11.45" customHeight="1" x14ac:dyDescent="0.25">
      <c r="A9" s="57" t="s">
        <v>167</v>
      </c>
      <c r="B9" s="61">
        <v>24.485019999999999</v>
      </c>
      <c r="C9" s="61">
        <v>19.866479000000002</v>
      </c>
      <c r="D9" s="61">
        <v>19.357633</v>
      </c>
      <c r="E9" s="61">
        <v>20.259261000000002</v>
      </c>
      <c r="F9" s="61">
        <v>20.017760000000003</v>
      </c>
      <c r="G9" s="61">
        <v>20.400431999999999</v>
      </c>
      <c r="H9" s="61">
        <v>20.379321999999998</v>
      </c>
      <c r="I9" s="61">
        <v>14.495203</v>
      </c>
      <c r="J9" s="61">
        <v>17.436019999999999</v>
      </c>
      <c r="K9" s="61">
        <v>15.906119</v>
      </c>
      <c r="L9" s="61">
        <v>15.759281</v>
      </c>
      <c r="M9" s="61">
        <v>15.217715</v>
      </c>
      <c r="N9" s="61">
        <v>13.737909999999999</v>
      </c>
      <c r="O9" s="61">
        <v>10.829497999999999</v>
      </c>
      <c r="P9" s="61">
        <v>15.118542999999999</v>
      </c>
      <c r="Q9" s="61">
        <v>13.662376999999999</v>
      </c>
      <c r="R9" s="61">
        <v>12.850339000000002</v>
      </c>
      <c r="S9" s="61">
        <v>13.537969</v>
      </c>
      <c r="T9" s="61">
        <v>13.539905999999998</v>
      </c>
      <c r="U9" s="61">
        <v>13.334540000000001</v>
      </c>
      <c r="V9" s="61">
        <v>11.887076</v>
      </c>
      <c r="W9" s="61">
        <v>12.364008999999999</v>
      </c>
      <c r="X9" s="61">
        <v>10.350706000000001</v>
      </c>
      <c r="Y9" s="61">
        <v>12.542348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16160.06961575756</v>
      </c>
      <c r="C13" s="62">
        <f t="shared" si="5"/>
        <v>19313.860773919998</v>
      </c>
      <c r="D13" s="62">
        <f t="shared" si="5"/>
        <v>21873.318644524144</v>
      </c>
      <c r="E13" s="62">
        <f t="shared" si="5"/>
        <v>21423.217708196156</v>
      </c>
      <c r="F13" s="62">
        <f t="shared" si="5"/>
        <v>21806.128068912563</v>
      </c>
      <c r="G13" s="62">
        <f t="shared" si="5"/>
        <v>22303.071192400414</v>
      </c>
      <c r="H13" s="62">
        <f t="shared" si="5"/>
        <v>23757.579531929634</v>
      </c>
      <c r="I13" s="62">
        <f t="shared" si="5"/>
        <v>23978.586780452304</v>
      </c>
      <c r="J13" s="62">
        <f t="shared" si="5"/>
        <v>25174.369031187238</v>
      </c>
      <c r="K13" s="62">
        <f t="shared" si="5"/>
        <v>24094.255390561848</v>
      </c>
      <c r="L13" s="62">
        <f t="shared" si="5"/>
        <v>25314.49034808308</v>
      </c>
      <c r="M13" s="62">
        <f t="shared" si="5"/>
        <v>25657.957113596916</v>
      </c>
      <c r="N13" s="62">
        <f t="shared" si="5"/>
        <v>26579.952181023851</v>
      </c>
      <c r="O13" s="62">
        <f t="shared" si="5"/>
        <v>27613.012420908079</v>
      </c>
      <c r="P13" s="62">
        <f t="shared" si="5"/>
        <v>26508.08750819882</v>
      </c>
      <c r="Q13" s="62">
        <f t="shared" si="5"/>
        <v>30951.245861496773</v>
      </c>
      <c r="R13" s="62">
        <f t="shared" si="5"/>
        <v>29604.340420696702</v>
      </c>
      <c r="S13" s="62">
        <f t="shared" si="5"/>
        <v>29887.506187347291</v>
      </c>
      <c r="T13" s="62">
        <f t="shared" si="5"/>
        <v>29808.222208596115</v>
      </c>
      <c r="U13" s="62">
        <f t="shared" si="5"/>
        <v>30219.767616463028</v>
      </c>
      <c r="V13" s="62">
        <f t="shared" si="5"/>
        <v>30430.690170793056</v>
      </c>
      <c r="W13" s="62">
        <f t="shared" si="5"/>
        <v>31116.520499826587</v>
      </c>
      <c r="X13" s="62">
        <f t="shared" ref="X13:Y13" si="6">IF(X3=0,0,X3/X7)</f>
        <v>29810.816306078566</v>
      </c>
      <c r="Y13" s="62">
        <f t="shared" si="6"/>
        <v>30251.34081247398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5278.0807153852593</v>
      </c>
      <c r="C14" s="63">
        <f t="shared" si="5"/>
        <v>6371.8214553785392</v>
      </c>
      <c r="D14" s="63">
        <f t="shared" si="5"/>
        <v>7560.9331861965666</v>
      </c>
      <c r="E14" s="63">
        <f t="shared" si="5"/>
        <v>7447.8739327663889</v>
      </c>
      <c r="F14" s="63">
        <f t="shared" si="5"/>
        <v>7673.1209978506031</v>
      </c>
      <c r="G14" s="63">
        <f t="shared" si="5"/>
        <v>7666.2754542194489</v>
      </c>
      <c r="H14" s="63">
        <f t="shared" si="5"/>
        <v>7738.3592644124446</v>
      </c>
      <c r="I14" s="63">
        <f t="shared" si="5"/>
        <v>7893.5606566588594</v>
      </c>
      <c r="J14" s="63">
        <f t="shared" si="5"/>
        <v>8067.5217007587344</v>
      </c>
      <c r="K14" s="63">
        <f t="shared" si="5"/>
        <v>8181.1622045201957</v>
      </c>
      <c r="L14" s="63">
        <f t="shared" si="5"/>
        <v>8124.9286565118146</v>
      </c>
      <c r="M14" s="63">
        <f t="shared" si="5"/>
        <v>7598.3723867620247</v>
      </c>
      <c r="N14" s="63">
        <f t="shared" si="5"/>
        <v>7699.7160144466889</v>
      </c>
      <c r="O14" s="63">
        <f t="shared" si="5"/>
        <v>7802.8467851640044</v>
      </c>
      <c r="P14" s="63">
        <f t="shared" si="5"/>
        <v>7490.6500846998679</v>
      </c>
      <c r="Q14" s="63">
        <f t="shared" si="5"/>
        <v>8621.8053055581058</v>
      </c>
      <c r="R14" s="63">
        <f t="shared" si="5"/>
        <v>8812.8135616027794</v>
      </c>
      <c r="S14" s="63">
        <f t="shared" si="5"/>
        <v>8705.944526848838</v>
      </c>
      <c r="T14" s="63">
        <f t="shared" si="5"/>
        <v>8532.2670663087556</v>
      </c>
      <c r="U14" s="63">
        <f t="shared" si="5"/>
        <v>8429.0118134231434</v>
      </c>
      <c r="V14" s="63">
        <f t="shared" si="5"/>
        <v>9115.6196381889949</v>
      </c>
      <c r="W14" s="63">
        <f t="shared" si="5"/>
        <v>8683.0968414341023</v>
      </c>
      <c r="X14" s="63">
        <f t="shared" ref="X14:Y14" si="7">IF(X4=0,0,X4/X8)</f>
        <v>8583.9384039912202</v>
      </c>
      <c r="Y14" s="63">
        <f t="shared" si="7"/>
        <v>8935.4621416276204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22596.066808113697</v>
      </c>
      <c r="C15" s="64">
        <f t="shared" si="5"/>
        <v>26928.019112143626</v>
      </c>
      <c r="D15" s="64">
        <f t="shared" si="5"/>
        <v>28689.267846952156</v>
      </c>
      <c r="E15" s="64">
        <f t="shared" si="5"/>
        <v>27772.241721057839</v>
      </c>
      <c r="F15" s="64">
        <f t="shared" si="5"/>
        <v>28470.232152848264</v>
      </c>
      <c r="G15" s="64">
        <f t="shared" si="5"/>
        <v>28703.400512695025</v>
      </c>
      <c r="H15" s="64">
        <f t="shared" si="5"/>
        <v>30030.249102840615</v>
      </c>
      <c r="I15" s="64">
        <f t="shared" si="5"/>
        <v>30404.753795031364</v>
      </c>
      <c r="J15" s="64">
        <f t="shared" si="5"/>
        <v>31771.137957228773</v>
      </c>
      <c r="K15" s="64">
        <f t="shared" si="5"/>
        <v>30651.934405872355</v>
      </c>
      <c r="L15" s="64">
        <f t="shared" si="5"/>
        <v>32914.854947316446</v>
      </c>
      <c r="M15" s="64">
        <f t="shared" si="5"/>
        <v>34120.65329939482</v>
      </c>
      <c r="N15" s="64">
        <f t="shared" si="5"/>
        <v>35709.788083121814</v>
      </c>
      <c r="O15" s="64">
        <f t="shared" si="5"/>
        <v>36290.521453441332</v>
      </c>
      <c r="P15" s="64">
        <f t="shared" si="5"/>
        <v>35074.215844674982</v>
      </c>
      <c r="Q15" s="64">
        <f t="shared" si="5"/>
        <v>40166.669739314028</v>
      </c>
      <c r="R15" s="64">
        <f t="shared" si="5"/>
        <v>39391.74121655467</v>
      </c>
      <c r="S15" s="64">
        <f t="shared" si="5"/>
        <v>39782.846315795221</v>
      </c>
      <c r="T15" s="64">
        <f t="shared" si="5"/>
        <v>39911.888326255743</v>
      </c>
      <c r="U15" s="64">
        <f t="shared" si="5"/>
        <v>40255.658066195007</v>
      </c>
      <c r="V15" s="64">
        <f t="shared" si="5"/>
        <v>40213.407602088184</v>
      </c>
      <c r="W15" s="64">
        <f t="shared" si="5"/>
        <v>41190.225368163352</v>
      </c>
      <c r="X15" s="64">
        <f t="shared" ref="X15:Y15" si="8">IF(X5=0,0,X5/X9)</f>
        <v>37945.194752029478</v>
      </c>
      <c r="Y15" s="64">
        <f t="shared" si="8"/>
        <v>38616.952037608906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0.12138115326889261</v>
      </c>
      <c r="C18" s="66">
        <f t="shared" si="9"/>
        <v>0.12220067937962288</v>
      </c>
      <c r="D18" s="66">
        <f t="shared" si="9"/>
        <v>0.11151204966582635</v>
      </c>
      <c r="E18" s="66">
        <f t="shared" si="9"/>
        <v>0.1086019291830651</v>
      </c>
      <c r="F18" s="66">
        <f t="shared" si="9"/>
        <v>0.11275407507270976</v>
      </c>
      <c r="G18" s="66">
        <f t="shared" si="9"/>
        <v>0.10457688004522038</v>
      </c>
      <c r="H18" s="66">
        <f t="shared" si="9"/>
        <v>9.1654167943244658E-2</v>
      </c>
      <c r="I18" s="66">
        <f t="shared" si="9"/>
        <v>9.3972950215052919E-2</v>
      </c>
      <c r="J18" s="66">
        <f t="shared" si="9"/>
        <v>8.9186313362916131E-2</v>
      </c>
      <c r="K18" s="66">
        <f t="shared" si="9"/>
        <v>9.9090872382392156E-2</v>
      </c>
      <c r="L18" s="66">
        <f t="shared" si="9"/>
        <v>9.8403276437964052E-2</v>
      </c>
      <c r="M18" s="66">
        <f t="shared" si="9"/>
        <v>9.449229089926299E-2</v>
      </c>
      <c r="N18" s="66">
        <f t="shared" si="9"/>
        <v>9.4421143934399598E-2</v>
      </c>
      <c r="O18" s="66">
        <f t="shared" si="9"/>
        <v>8.6075066010364978E-2</v>
      </c>
      <c r="P18" s="66">
        <f t="shared" si="9"/>
        <v>8.7755689712381957E-2</v>
      </c>
      <c r="Q18" s="66">
        <f t="shared" si="9"/>
        <v>8.1377946605713222E-2</v>
      </c>
      <c r="R18" s="66">
        <f t="shared" si="9"/>
        <v>9.5280563005414681E-2</v>
      </c>
      <c r="S18" s="66">
        <f t="shared" si="9"/>
        <v>9.2751133941695443E-2</v>
      </c>
      <c r="T18" s="66">
        <f t="shared" si="9"/>
        <v>9.2163647539701354E-2</v>
      </c>
      <c r="U18" s="66">
        <f t="shared" si="9"/>
        <v>8.7952983716226035E-2</v>
      </c>
      <c r="V18" s="66">
        <f t="shared" si="9"/>
        <v>9.4233300906520559E-2</v>
      </c>
      <c r="W18" s="66">
        <f t="shared" si="9"/>
        <v>8.6475729004014429E-2</v>
      </c>
      <c r="X18" s="66">
        <f t="shared" ref="X18:Y18" si="11">IF(X4=0,0,X4/X$3)</f>
        <v>7.9774201005431367E-2</v>
      </c>
      <c r="Y18" s="66">
        <f t="shared" si="11"/>
        <v>8.3250024773091319E-2</v>
      </c>
      <c r="DA18" s="181"/>
    </row>
    <row r="19" spans="1:105" ht="11.45" customHeight="1" x14ac:dyDescent="0.25">
      <c r="A19" s="57" t="s">
        <v>167</v>
      </c>
      <c r="B19" s="67">
        <f t="shared" si="9"/>
        <v>0.87861884673110746</v>
      </c>
      <c r="C19" s="67">
        <f t="shared" si="9"/>
        <v>0.87779932062037702</v>
      </c>
      <c r="D19" s="67">
        <f t="shared" si="9"/>
        <v>0.8884879503341736</v>
      </c>
      <c r="E19" s="67">
        <f t="shared" si="9"/>
        <v>0.8913980708169349</v>
      </c>
      <c r="F19" s="67">
        <f t="shared" si="9"/>
        <v>0.88724592492729026</v>
      </c>
      <c r="G19" s="67">
        <f t="shared" si="9"/>
        <v>0.89542311995477952</v>
      </c>
      <c r="H19" s="67">
        <f t="shared" si="9"/>
        <v>0.90834583205675534</v>
      </c>
      <c r="I19" s="67">
        <f t="shared" si="9"/>
        <v>0.90602704978494708</v>
      </c>
      <c r="J19" s="67">
        <f t="shared" si="9"/>
        <v>0.91081368663708384</v>
      </c>
      <c r="K19" s="67">
        <f t="shared" si="9"/>
        <v>0.90090912761760789</v>
      </c>
      <c r="L19" s="67">
        <f t="shared" si="9"/>
        <v>0.9015967235620358</v>
      </c>
      <c r="M19" s="67">
        <f t="shared" si="9"/>
        <v>0.90550770910073697</v>
      </c>
      <c r="N19" s="67">
        <f t="shared" si="9"/>
        <v>0.90557885606560051</v>
      </c>
      <c r="O19" s="67">
        <f t="shared" si="9"/>
        <v>0.91392493398963504</v>
      </c>
      <c r="P19" s="67">
        <f t="shared" si="9"/>
        <v>0.91224431028761799</v>
      </c>
      <c r="Q19" s="67">
        <f t="shared" si="9"/>
        <v>0.91862205339428682</v>
      </c>
      <c r="R19" s="67">
        <f t="shared" si="9"/>
        <v>0.90471943699458535</v>
      </c>
      <c r="S19" s="67">
        <f t="shared" si="9"/>
        <v>0.90724886605830446</v>
      </c>
      <c r="T19" s="67">
        <f t="shared" si="9"/>
        <v>0.9078363524602987</v>
      </c>
      <c r="U19" s="67">
        <f t="shared" si="9"/>
        <v>0.91204701628377394</v>
      </c>
      <c r="V19" s="67">
        <f t="shared" si="9"/>
        <v>0.90576669909347951</v>
      </c>
      <c r="W19" s="67">
        <f t="shared" si="9"/>
        <v>0.91352427099598543</v>
      </c>
      <c r="X19" s="67">
        <f t="shared" ref="X19:Y19" si="12">IF(X5=0,0,X5/X$3)</f>
        <v>0.92022579899456858</v>
      </c>
      <c r="Y19" s="67">
        <f t="shared" si="12"/>
        <v>0.91674997522690871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0.37163658394774401</v>
      </c>
      <c r="C22" s="66">
        <f t="shared" si="13"/>
        <v>0.37040694321781792</v>
      </c>
      <c r="D22" s="66">
        <f t="shared" si="13"/>
        <v>0.32259755971624982</v>
      </c>
      <c r="E22" s="66">
        <f t="shared" si="13"/>
        <v>0.31238482195344136</v>
      </c>
      <c r="F22" s="66">
        <f t="shared" si="13"/>
        <v>0.32043412348326461</v>
      </c>
      <c r="G22" s="66">
        <f t="shared" si="13"/>
        <v>0.30423973344760846</v>
      </c>
      <c r="H22" s="66">
        <f t="shared" si="13"/>
        <v>0.28138796738972566</v>
      </c>
      <c r="I22" s="66">
        <f t="shared" si="13"/>
        <v>0.28546541158784866</v>
      </c>
      <c r="J22" s="66">
        <f t="shared" si="13"/>
        <v>0.27830221577439312</v>
      </c>
      <c r="K22" s="66">
        <f t="shared" si="13"/>
        <v>0.29183149366428562</v>
      </c>
      <c r="L22" s="66">
        <f t="shared" si="13"/>
        <v>0.30659085106084338</v>
      </c>
      <c r="M22" s="66">
        <f t="shared" si="13"/>
        <v>0.31907874792801288</v>
      </c>
      <c r="N22" s="66">
        <f t="shared" si="13"/>
        <v>0.32594831886592152</v>
      </c>
      <c r="O22" s="66">
        <f t="shared" si="13"/>
        <v>0.30460573330669782</v>
      </c>
      <c r="P22" s="66">
        <f t="shared" si="13"/>
        <v>0.31055188480765489</v>
      </c>
      <c r="Q22" s="66">
        <f t="shared" si="13"/>
        <v>0.29213705759204028</v>
      </c>
      <c r="R22" s="66">
        <f t="shared" si="13"/>
        <v>0.32007011188546403</v>
      </c>
      <c r="S22" s="66">
        <f t="shared" si="13"/>
        <v>0.31841462819075372</v>
      </c>
      <c r="T22" s="66">
        <f t="shared" si="13"/>
        <v>0.32198177390228644</v>
      </c>
      <c r="U22" s="66">
        <f t="shared" si="13"/>
        <v>0.31532981420742467</v>
      </c>
      <c r="V22" s="66">
        <f t="shared" si="13"/>
        <v>0.31457920552586205</v>
      </c>
      <c r="W22" s="66">
        <f t="shared" si="13"/>
        <v>0.30989217826648657</v>
      </c>
      <c r="X22" s="66">
        <f t="shared" ref="X22:Y22" si="15">IF(X8=0,0,X8/X$7)</f>
        <v>0.27704463152151187</v>
      </c>
      <c r="Y22" s="66">
        <f t="shared" si="15"/>
        <v>0.28184606818768848</v>
      </c>
      <c r="DA22" s="181"/>
    </row>
    <row r="23" spans="1:105" ht="11.45" customHeight="1" x14ac:dyDescent="0.25">
      <c r="A23" s="57" t="s">
        <v>167</v>
      </c>
      <c r="B23" s="67">
        <f t="shared" si="13"/>
        <v>0.62836341605225599</v>
      </c>
      <c r="C23" s="67">
        <f t="shared" si="13"/>
        <v>0.62959305678218203</v>
      </c>
      <c r="D23" s="67">
        <f t="shared" si="13"/>
        <v>0.67740244028375007</v>
      </c>
      <c r="E23" s="67">
        <f t="shared" si="13"/>
        <v>0.68761517804655869</v>
      </c>
      <c r="F23" s="67">
        <f t="shared" si="13"/>
        <v>0.67956587651673539</v>
      </c>
      <c r="G23" s="67">
        <f t="shared" si="13"/>
        <v>0.69576026655239165</v>
      </c>
      <c r="H23" s="67">
        <f t="shared" si="13"/>
        <v>0.7186120326102744</v>
      </c>
      <c r="I23" s="67">
        <f t="shared" si="13"/>
        <v>0.71453458841215145</v>
      </c>
      <c r="J23" s="67">
        <f t="shared" si="13"/>
        <v>0.72169778422560693</v>
      </c>
      <c r="K23" s="67">
        <f t="shared" si="13"/>
        <v>0.70816850633571449</v>
      </c>
      <c r="L23" s="67">
        <f t="shared" si="13"/>
        <v>0.69340914893915662</v>
      </c>
      <c r="M23" s="67">
        <f t="shared" si="13"/>
        <v>0.68092125207198717</v>
      </c>
      <c r="N23" s="67">
        <f t="shared" si="13"/>
        <v>0.67405168113407854</v>
      </c>
      <c r="O23" s="67">
        <f t="shared" si="13"/>
        <v>0.69539426669330218</v>
      </c>
      <c r="P23" s="67">
        <f t="shared" si="13"/>
        <v>0.68944811519234517</v>
      </c>
      <c r="Q23" s="67">
        <f t="shared" si="13"/>
        <v>0.70786294240795977</v>
      </c>
      <c r="R23" s="67">
        <f t="shared" si="13"/>
        <v>0.67992988811453592</v>
      </c>
      <c r="S23" s="67">
        <f t="shared" si="13"/>
        <v>0.68158537180924628</v>
      </c>
      <c r="T23" s="67">
        <f t="shared" si="13"/>
        <v>0.67801822609771367</v>
      </c>
      <c r="U23" s="67">
        <f t="shared" si="13"/>
        <v>0.68467018579257533</v>
      </c>
      <c r="V23" s="67">
        <f t="shared" si="13"/>
        <v>0.68542079447413795</v>
      </c>
      <c r="W23" s="67">
        <f t="shared" si="13"/>
        <v>0.69010782173351337</v>
      </c>
      <c r="X23" s="67">
        <f t="shared" ref="X23:Y23" si="16">IF(X9=0,0,X9/X$7)</f>
        <v>0.72295536847848807</v>
      </c>
      <c r="Y23" s="67">
        <f t="shared" si="16"/>
        <v>0.71815393181231157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2818.4197764402406</v>
      </c>
      <c r="C3" s="62">
        <f t="shared" ref="C3:W3" si="0">SUM(C4,C10)</f>
        <v>2390.2073086844357</v>
      </c>
      <c r="D3" s="62">
        <f t="shared" si="0"/>
        <v>2313.4613069647462</v>
      </c>
      <c r="E3" s="62">
        <f t="shared" si="0"/>
        <v>2478.2748925193459</v>
      </c>
      <c r="F3" s="62">
        <f t="shared" si="0"/>
        <v>2796.8029234737742</v>
      </c>
      <c r="G3" s="62">
        <f t="shared" si="0"/>
        <v>2557.3062768701639</v>
      </c>
      <c r="H3" s="62">
        <f t="shared" si="0"/>
        <v>2646.6034393809114</v>
      </c>
      <c r="I3" s="62">
        <f t="shared" si="0"/>
        <v>2712.4119518486668</v>
      </c>
      <c r="J3" s="62">
        <f t="shared" si="0"/>
        <v>2370.3568357695613</v>
      </c>
      <c r="K3" s="62">
        <f t="shared" si="0"/>
        <v>2364.3950988822012</v>
      </c>
      <c r="L3" s="62">
        <f t="shared" si="0"/>
        <v>2293.5897678417887</v>
      </c>
      <c r="M3" s="62">
        <f t="shared" si="0"/>
        <v>2633.7740326741186</v>
      </c>
      <c r="N3" s="62">
        <f t="shared" si="0"/>
        <v>2494.5598452278582</v>
      </c>
      <c r="O3" s="62">
        <f t="shared" si="0"/>
        <v>2279.2638005159079</v>
      </c>
      <c r="P3" s="62">
        <f t="shared" si="0"/>
        <v>1952.0380051590714</v>
      </c>
      <c r="Q3" s="62">
        <f t="shared" si="0"/>
        <v>1747.9613929492684</v>
      </c>
      <c r="R3" s="62">
        <f t="shared" si="0"/>
        <v>1658.9067927772996</v>
      </c>
      <c r="S3" s="62">
        <f t="shared" si="0"/>
        <v>1749.3066208082546</v>
      </c>
      <c r="T3" s="62">
        <f t="shared" si="0"/>
        <v>1969.4362854686153</v>
      </c>
      <c r="U3" s="62">
        <f t="shared" si="0"/>
        <v>1722.1537403267412</v>
      </c>
      <c r="V3" s="62">
        <f t="shared" si="0"/>
        <v>986.91711092003447</v>
      </c>
      <c r="W3" s="62">
        <f t="shared" si="0"/>
        <v>1120.1849527085121</v>
      </c>
      <c r="X3" s="62">
        <f t="shared" ref="X3:Y3" si="1">SUM(X4,X10)</f>
        <v>1182.4335339638865</v>
      </c>
      <c r="Y3" s="62">
        <f t="shared" si="1"/>
        <v>1060.6345657781601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992.00000221593245</v>
      </c>
      <c r="C4" s="71">
        <f t="shared" ref="C4:W4" si="2">SUM(C5:C9)</f>
        <v>842.41312030889958</v>
      </c>
      <c r="D4" s="71">
        <f t="shared" si="2"/>
        <v>766.58115323628988</v>
      </c>
      <c r="E4" s="71">
        <f t="shared" si="2"/>
        <v>806.46428798123952</v>
      </c>
      <c r="F4" s="71">
        <f t="shared" si="2"/>
        <v>930.38798339660889</v>
      </c>
      <c r="G4" s="71">
        <f t="shared" si="2"/>
        <v>817.00987920293562</v>
      </c>
      <c r="H4" s="71">
        <f t="shared" si="2"/>
        <v>777.32832509795026</v>
      </c>
      <c r="I4" s="71">
        <f t="shared" si="2"/>
        <v>808.25202218743675</v>
      </c>
      <c r="J4" s="71">
        <f t="shared" si="2"/>
        <v>689.62557386188701</v>
      </c>
      <c r="K4" s="71">
        <f t="shared" si="2"/>
        <v>732.50113204837589</v>
      </c>
      <c r="L4" s="71">
        <f t="shared" si="2"/>
        <v>713.70922820605051</v>
      </c>
      <c r="M4" s="71">
        <f t="shared" si="2"/>
        <v>807.36689714772081</v>
      </c>
      <c r="N4" s="71">
        <f t="shared" si="2"/>
        <v>770.47292212208254</v>
      </c>
      <c r="O4" s="71">
        <f t="shared" si="2"/>
        <v>661.79396815777091</v>
      </c>
      <c r="P4" s="71">
        <f t="shared" si="2"/>
        <v>572.84194622627285</v>
      </c>
      <c r="Q4" s="71">
        <f t="shared" si="2"/>
        <v>489.77100164430891</v>
      </c>
      <c r="R4" s="71">
        <f t="shared" si="2"/>
        <v>509.83695025897981</v>
      </c>
      <c r="S4" s="71">
        <f t="shared" si="2"/>
        <v>529.57161562597184</v>
      </c>
      <c r="T4" s="71">
        <f t="shared" si="2"/>
        <v>597.99735359451802</v>
      </c>
      <c r="U4" s="71">
        <f t="shared" si="2"/>
        <v>511.13807178470836</v>
      </c>
      <c r="V4" s="71">
        <f t="shared" si="2"/>
        <v>268.2881598409495</v>
      </c>
      <c r="W4" s="71">
        <f t="shared" si="2"/>
        <v>296.73613602884581</v>
      </c>
      <c r="X4" s="71">
        <f t="shared" ref="X4:Y4" si="3">SUM(X5:X9)</f>
        <v>318.55353533591244</v>
      </c>
      <c r="Y4" s="71">
        <f t="shared" si="3"/>
        <v>293.2135834328862</v>
      </c>
      <c r="DA4" s="186" t="s">
        <v>971</v>
      </c>
    </row>
    <row r="5" spans="1:105" ht="11.45" customHeight="1" x14ac:dyDescent="0.25">
      <c r="A5" s="72" t="s">
        <v>144</v>
      </c>
      <c r="B5" s="73">
        <v>300.51627709167019</v>
      </c>
      <c r="C5" s="73">
        <v>254.83202462016544</v>
      </c>
      <c r="D5" s="73">
        <v>206.53201243807578</v>
      </c>
      <c r="E5" s="73">
        <v>172.07126130029144</v>
      </c>
      <c r="F5" s="73">
        <v>145.92401108247356</v>
      </c>
      <c r="G5" s="73">
        <v>132.83750834747772</v>
      </c>
      <c r="H5" s="73">
        <v>92.932819930198121</v>
      </c>
      <c r="I5" s="73">
        <v>80.16079852102645</v>
      </c>
      <c r="J5" s="73">
        <v>81.819058394692846</v>
      </c>
      <c r="K5" s="73">
        <v>72.313575463034368</v>
      </c>
      <c r="L5" s="73">
        <v>83.532405760491145</v>
      </c>
      <c r="M5" s="73">
        <v>137.24639890820191</v>
      </c>
      <c r="N5" s="73">
        <v>144.88784043535381</v>
      </c>
      <c r="O5" s="73">
        <v>120.96875710815914</v>
      </c>
      <c r="P5" s="73">
        <v>124.89712690476998</v>
      </c>
      <c r="Q5" s="73">
        <v>144.20860719829821</v>
      </c>
      <c r="R5" s="73">
        <v>183.68181542771976</v>
      </c>
      <c r="S5" s="73">
        <v>144.23944764740918</v>
      </c>
      <c r="T5" s="73">
        <v>135.29170645527091</v>
      </c>
      <c r="U5" s="73">
        <v>113.82521528928029</v>
      </c>
      <c r="V5" s="73">
        <v>114.27549100105341</v>
      </c>
      <c r="W5" s="73">
        <v>135.84549201345749</v>
      </c>
      <c r="X5" s="73">
        <v>103.52385119971768</v>
      </c>
      <c r="Y5" s="73">
        <v>85.623271081521338</v>
      </c>
      <c r="DA5" s="187" t="s">
        <v>972</v>
      </c>
    </row>
    <row r="6" spans="1:105" ht="11.45" customHeight="1" x14ac:dyDescent="0.25">
      <c r="A6" s="72" t="s">
        <v>145</v>
      </c>
      <c r="B6" s="73">
        <v>691.48372512426226</v>
      </c>
      <c r="C6" s="73">
        <v>587.58109568873419</v>
      </c>
      <c r="D6" s="73">
        <v>560.04914079821413</v>
      </c>
      <c r="E6" s="73">
        <v>634.39302668094808</v>
      </c>
      <c r="F6" s="73">
        <v>784.46397231413539</v>
      </c>
      <c r="G6" s="73">
        <v>684.17237085545787</v>
      </c>
      <c r="H6" s="73">
        <v>684.39550516775216</v>
      </c>
      <c r="I6" s="73">
        <v>728.09122366641031</v>
      </c>
      <c r="J6" s="73">
        <v>607.80651546719412</v>
      </c>
      <c r="K6" s="73">
        <v>660.18755658534155</v>
      </c>
      <c r="L6" s="73">
        <v>630.17682244555931</v>
      </c>
      <c r="M6" s="73">
        <v>669.68129462352454</v>
      </c>
      <c r="N6" s="73">
        <v>625.14367298765478</v>
      </c>
      <c r="O6" s="73">
        <v>540.37662244650278</v>
      </c>
      <c r="P6" s="73">
        <v>447.4765222955134</v>
      </c>
      <c r="Q6" s="73">
        <v>345.11005812380284</v>
      </c>
      <c r="R6" s="73">
        <v>325.68361769276436</v>
      </c>
      <c r="S6" s="73">
        <v>384.8455056338438</v>
      </c>
      <c r="T6" s="73">
        <v>462.27540943663735</v>
      </c>
      <c r="U6" s="73">
        <v>396.85129547711574</v>
      </c>
      <c r="V6" s="73">
        <v>153.66857378922035</v>
      </c>
      <c r="W6" s="73">
        <v>160.55351817153681</v>
      </c>
      <c r="X6" s="73">
        <v>214.69437564681743</v>
      </c>
      <c r="Y6" s="73">
        <v>207.23919807164725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0.43920361599440422</v>
      </c>
      <c r="N7" s="73">
        <v>0.44140869907387215</v>
      </c>
      <c r="O7" s="73">
        <v>0.44858860310896814</v>
      </c>
      <c r="P7" s="73">
        <v>0.46829702598952294</v>
      </c>
      <c r="Q7" s="73">
        <v>0.45233632220784314</v>
      </c>
      <c r="R7" s="73">
        <v>0.47151713849567528</v>
      </c>
      <c r="S7" s="73">
        <v>0.48666234471887893</v>
      </c>
      <c r="T7" s="73">
        <v>0.43023770260975575</v>
      </c>
      <c r="U7" s="73">
        <v>0.4615610183122813</v>
      </c>
      <c r="V7" s="73">
        <v>0.34409505067576424</v>
      </c>
      <c r="W7" s="73">
        <v>0.33712584385155558</v>
      </c>
      <c r="X7" s="73">
        <v>0.33530848937733898</v>
      </c>
      <c r="Y7" s="73">
        <v>0.35111427971761755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1826.4197742243084</v>
      </c>
      <c r="C10" s="71">
        <f t="shared" ref="C10:W10" si="4">SUM(C11:C15)</f>
        <v>1547.7941883755364</v>
      </c>
      <c r="D10" s="71">
        <f t="shared" si="4"/>
        <v>1546.8801537284562</v>
      </c>
      <c r="E10" s="71">
        <f t="shared" si="4"/>
        <v>1671.8106045381064</v>
      </c>
      <c r="F10" s="71">
        <f t="shared" si="4"/>
        <v>1866.4149400771655</v>
      </c>
      <c r="G10" s="71">
        <f t="shared" si="4"/>
        <v>1740.2963976672281</v>
      </c>
      <c r="H10" s="71">
        <f t="shared" si="4"/>
        <v>1869.2751142829609</v>
      </c>
      <c r="I10" s="71">
        <f t="shared" si="4"/>
        <v>1904.1599296612303</v>
      </c>
      <c r="J10" s="71">
        <f t="shared" si="4"/>
        <v>1680.731261907674</v>
      </c>
      <c r="K10" s="71">
        <f t="shared" si="4"/>
        <v>1631.8939668338253</v>
      </c>
      <c r="L10" s="71">
        <f t="shared" si="4"/>
        <v>1579.8805396357384</v>
      </c>
      <c r="M10" s="71">
        <f t="shared" si="4"/>
        <v>1826.4071355263977</v>
      </c>
      <c r="N10" s="71">
        <f t="shared" si="4"/>
        <v>1724.0869231057759</v>
      </c>
      <c r="O10" s="71">
        <f t="shared" si="4"/>
        <v>1617.469832358137</v>
      </c>
      <c r="P10" s="71">
        <f t="shared" si="4"/>
        <v>1379.1960589327985</v>
      </c>
      <c r="Q10" s="71">
        <f t="shared" si="4"/>
        <v>1258.1903913049596</v>
      </c>
      <c r="R10" s="71">
        <f t="shared" si="4"/>
        <v>1149.0698425183198</v>
      </c>
      <c r="S10" s="71">
        <f t="shared" si="4"/>
        <v>1219.7350051822827</v>
      </c>
      <c r="T10" s="71">
        <f t="shared" si="4"/>
        <v>1371.4389318740973</v>
      </c>
      <c r="U10" s="71">
        <f t="shared" si="4"/>
        <v>1211.0156685420327</v>
      </c>
      <c r="V10" s="71">
        <f t="shared" si="4"/>
        <v>718.62895107908491</v>
      </c>
      <c r="W10" s="71">
        <f t="shared" si="4"/>
        <v>823.44881667966638</v>
      </c>
      <c r="X10" s="71">
        <f t="shared" ref="X10:Y10" si="5">SUM(X11:X15)</f>
        <v>863.87999862797403</v>
      </c>
      <c r="Y10" s="71">
        <f t="shared" si="5"/>
        <v>767.42098234527384</v>
      </c>
      <c r="DA10" s="186" t="s">
        <v>977</v>
      </c>
    </row>
    <row r="11" spans="1:105" ht="11.45" customHeight="1" x14ac:dyDescent="0.25">
      <c r="A11" s="72" t="s">
        <v>144</v>
      </c>
      <c r="B11" s="73">
        <v>99.001263750978126</v>
      </c>
      <c r="C11" s="73">
        <v>84.090331355758835</v>
      </c>
      <c r="D11" s="73">
        <v>75.903241216266423</v>
      </c>
      <c r="E11" s="73">
        <v>65.007930445194347</v>
      </c>
      <c r="F11" s="73">
        <v>53.507459252866049</v>
      </c>
      <c r="G11" s="73">
        <v>51.331365255273781</v>
      </c>
      <c r="H11" s="73">
        <v>41.378186088718479</v>
      </c>
      <c r="I11" s="73">
        <v>35.835074221879857</v>
      </c>
      <c r="J11" s="73">
        <v>36.21181004898726</v>
      </c>
      <c r="K11" s="73">
        <v>29.437155405409332</v>
      </c>
      <c r="L11" s="73">
        <v>34.498462683188961</v>
      </c>
      <c r="M11" s="73">
        <v>57.828063688530683</v>
      </c>
      <c r="N11" s="73">
        <v>60.79823007195489</v>
      </c>
      <c r="O11" s="73">
        <v>55.475180982984455</v>
      </c>
      <c r="P11" s="73">
        <v>57.482924685943722</v>
      </c>
      <c r="Q11" s="73">
        <v>71.215984375218611</v>
      </c>
      <c r="R11" s="73">
        <v>78.075020341841764</v>
      </c>
      <c r="S11" s="73">
        <v>62.891506780793705</v>
      </c>
      <c r="T11" s="73">
        <v>59.183444017643964</v>
      </c>
      <c r="U11" s="73">
        <v>50.456470007366306</v>
      </c>
      <c r="V11" s="73">
        <v>58.706882171775476</v>
      </c>
      <c r="W11" s="73">
        <v>72.496296464616435</v>
      </c>
      <c r="X11" s="73">
        <v>53.508049058235905</v>
      </c>
      <c r="Y11" s="73">
        <v>42.911294696638564</v>
      </c>
      <c r="DA11" s="187" t="s">
        <v>978</v>
      </c>
    </row>
    <row r="12" spans="1:105" ht="11.45" customHeight="1" x14ac:dyDescent="0.25">
      <c r="A12" s="72" t="s">
        <v>145</v>
      </c>
      <c r="B12" s="73">
        <v>1727.4185104733303</v>
      </c>
      <c r="C12" s="73">
        <v>1463.7038570197776</v>
      </c>
      <c r="D12" s="73">
        <v>1470.9769125121898</v>
      </c>
      <c r="E12" s="73">
        <v>1606.8026740929122</v>
      </c>
      <c r="F12" s="73">
        <v>1812.9074808242995</v>
      </c>
      <c r="G12" s="73">
        <v>1688.9650324119543</v>
      </c>
      <c r="H12" s="73">
        <v>1827.8969281942425</v>
      </c>
      <c r="I12" s="73">
        <v>1868.3248554393504</v>
      </c>
      <c r="J12" s="73">
        <v>1644.5194518586868</v>
      </c>
      <c r="K12" s="73">
        <v>1602.4568114284159</v>
      </c>
      <c r="L12" s="73">
        <v>1545.3820769525494</v>
      </c>
      <c r="M12" s="73">
        <v>1767.58551535068</v>
      </c>
      <c r="N12" s="73">
        <v>1662.3009529796707</v>
      </c>
      <c r="O12" s="73">
        <v>1560.8982700728443</v>
      </c>
      <c r="P12" s="73">
        <v>1320.5856445144607</v>
      </c>
      <c r="Q12" s="73">
        <v>1185.8123838366437</v>
      </c>
      <c r="R12" s="73">
        <v>1069.932117474905</v>
      </c>
      <c r="S12" s="73">
        <v>1155.7225941082029</v>
      </c>
      <c r="T12" s="73">
        <v>1311.2687866080742</v>
      </c>
      <c r="U12" s="73">
        <v>1159.4656434738729</v>
      </c>
      <c r="V12" s="73">
        <v>659.00038579805391</v>
      </c>
      <c r="W12" s="73">
        <v>750.01698913714745</v>
      </c>
      <c r="X12" s="73">
        <v>809.4626320917896</v>
      </c>
      <c r="Y12" s="73">
        <v>723.59072454228237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0.99355648718702283</v>
      </c>
      <c r="N13" s="73">
        <v>0.98774005415054678</v>
      </c>
      <c r="O13" s="73">
        <v>1.0963813023080569</v>
      </c>
      <c r="P13" s="73">
        <v>1.1274897323939681</v>
      </c>
      <c r="Q13" s="73">
        <v>1.1620230930974018</v>
      </c>
      <c r="R13" s="73">
        <v>1.0627047015731117</v>
      </c>
      <c r="S13" s="73">
        <v>1.1209042932862801</v>
      </c>
      <c r="T13" s="73">
        <v>0.98670124837906614</v>
      </c>
      <c r="U13" s="73">
        <v>1.0935550607934796</v>
      </c>
      <c r="V13" s="73">
        <v>0.92168310925544772</v>
      </c>
      <c r="W13" s="73">
        <v>0.93553107790252843</v>
      </c>
      <c r="X13" s="73">
        <v>0.90931747794854201</v>
      </c>
      <c r="Y13" s="73">
        <v>0.91896310635288947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7232.9607188118498</v>
      </c>
      <c r="C19" s="62">
        <f>IF(C3=0,0,C3/MBunk_act!C7*100)</f>
        <v>7574.8597716673712</v>
      </c>
      <c r="D19" s="62">
        <f>IF(D3=0,0,D3/MBunk_act!D7*100)</f>
        <v>8095.7436006765547</v>
      </c>
      <c r="E19" s="62">
        <f>IF(E3=0,0,E3/MBunk_act!E7*100)</f>
        <v>8411.4589938300614</v>
      </c>
      <c r="F19" s="62">
        <f>IF(F3=0,0,F3/MBunk_act!F7*100)</f>
        <v>9494.6279210811954</v>
      </c>
      <c r="G19" s="62">
        <f>IF(G3=0,0,G3/MBunk_act!G7*100)</f>
        <v>8721.7373477742512</v>
      </c>
      <c r="H19" s="62">
        <f>IF(H3=0,0,H3/MBunk_act!H7*100)</f>
        <v>9332.4060392532192</v>
      </c>
      <c r="I19" s="62">
        <f>IF(I3=0,0,I3/MBunk_act!I7*100)</f>
        <v>13370.714143281661</v>
      </c>
      <c r="J19" s="62">
        <f>IF(J3=0,0,J3/MBunk_act!J7*100)</f>
        <v>9811.1912936490844</v>
      </c>
      <c r="K19" s="62">
        <f>IF(K3=0,0,K3/MBunk_act!K7*100)</f>
        <v>10526.704506378283</v>
      </c>
      <c r="L19" s="62">
        <f>IF(L3=0,0,L3/MBunk_act!L7*100)</f>
        <v>10091.80640242872</v>
      </c>
      <c r="M19" s="62">
        <f>IF(M3=0,0,M3/MBunk_act!M7*100)</f>
        <v>11784.901425760358</v>
      </c>
      <c r="N19" s="62">
        <f>IF(N3=0,0,N3/MBunk_act!N7*100)</f>
        <v>12239.578344634698</v>
      </c>
      <c r="O19" s="62">
        <f>IF(O3=0,0,O3/MBunk_act!O7*100)</f>
        <v>14635.830572759227</v>
      </c>
      <c r="P19" s="62">
        <f>IF(P3=0,0,P3/MBunk_act!P7*100)</f>
        <v>8901.8427466241101</v>
      </c>
      <c r="Q19" s="62">
        <f>IF(Q3=0,0,Q3/MBunk_act!Q7*100)</f>
        <v>9056.3823178688835</v>
      </c>
      <c r="R19" s="62">
        <f>IF(R3=0,0,R3/MBunk_act!R7*100)</f>
        <v>8777.514040723072</v>
      </c>
      <c r="S19" s="62">
        <f>IF(S3=0,0,S3/MBunk_act!S7*100)</f>
        <v>8807.0950934513894</v>
      </c>
      <c r="T19" s="62">
        <f>IF(T3=0,0,T3/MBunk_act!T7*100)</f>
        <v>9862.0603177444591</v>
      </c>
      <c r="U19" s="62">
        <f>IF(U3=0,0,U3/MBunk_act!U7*100)</f>
        <v>8842.5046634746177</v>
      </c>
      <c r="V19" s="62">
        <f>IF(V3=0,0,V3/MBunk_act!V7*100)</f>
        <v>5690.663627009123</v>
      </c>
      <c r="W19" s="62">
        <f>IF(W3=0,0,W3/MBunk_act!W7*100)</f>
        <v>6252.4088881877233</v>
      </c>
      <c r="X19" s="62">
        <f>IF(X3=0,0,X3/MBunk_act!X7*100)</f>
        <v>8258.8247724182529</v>
      </c>
      <c r="Y19" s="62">
        <f>IF(Y3=0,0,Y3/MBunk_act!Y7*100)</f>
        <v>6073.0166602746904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6850.2061705989463</v>
      </c>
      <c r="C20" s="63">
        <f>IF(C4=0,0,C4/MBunk_act!C8*100)</f>
        <v>7207.5063016263566</v>
      </c>
      <c r="D20" s="63">
        <f>IF(D4=0,0,D4/MBunk_act!D8*100)</f>
        <v>8315.5612126079614</v>
      </c>
      <c r="E20" s="63">
        <f>IF(E4=0,0,E4/MBunk_act!E8*100)</f>
        <v>8762.2788755541533</v>
      </c>
      <c r="F20" s="63">
        <f>IF(F4=0,0,F4/MBunk_act!F8*100)</f>
        <v>9856.9242544980625</v>
      </c>
      <c r="G20" s="63">
        <f>IF(G4=0,0,G4/MBunk_act!G8*100)</f>
        <v>9158.6536426611838</v>
      </c>
      <c r="H20" s="63">
        <f>IF(H4=0,0,H4/MBunk_act!H8*100)</f>
        <v>9741.0040612723569</v>
      </c>
      <c r="I20" s="63">
        <f>IF(I4=0,0,I4/MBunk_act!I8*100)</f>
        <v>13957.005832786712</v>
      </c>
      <c r="J20" s="63">
        <f>IF(J4=0,0,J4/MBunk_act!J8*100)</f>
        <v>10256.630442023959</v>
      </c>
      <c r="K20" s="63">
        <f>IF(K4=0,0,K4/MBunk_act!K8*100)</f>
        <v>11175.025527813197</v>
      </c>
      <c r="L20" s="63">
        <f>IF(L4=0,0,L4/MBunk_act!L8*100)</f>
        <v>10242.719729201472</v>
      </c>
      <c r="M20" s="63">
        <f>IF(M4=0,0,M4/MBunk_act!M8*100)</f>
        <v>11321.930965470772</v>
      </c>
      <c r="N20" s="63">
        <f>IF(N4=0,0,N4/MBunk_act!N8*100)</f>
        <v>11597.948184207517</v>
      </c>
      <c r="O20" s="63">
        <f>IF(O4=0,0,O4/MBunk_act!O8*100)</f>
        <v>13951.069795358642</v>
      </c>
      <c r="P20" s="63">
        <f>IF(P4=0,0,P4/MBunk_act!P8*100)</f>
        <v>8411.8649452134123</v>
      </c>
      <c r="Q20" s="63">
        <f>IF(Q4=0,0,Q4/MBunk_act!Q8*100)</f>
        <v>8686.1900846059634</v>
      </c>
      <c r="R20" s="63">
        <f>IF(R4=0,0,R4/MBunk_act!R8*100)</f>
        <v>8428.2174762075483</v>
      </c>
      <c r="S20" s="63">
        <f>IF(S4=0,0,S4/MBunk_act!S8*100)</f>
        <v>8373.3343646553585</v>
      </c>
      <c r="T20" s="63">
        <f>IF(T4=0,0,T4/MBunk_act!T8*100)</f>
        <v>9300.2300743169126</v>
      </c>
      <c r="U20" s="63">
        <f>IF(U4=0,0,U4/MBunk_act!U8*100)</f>
        <v>8322.9363559311678</v>
      </c>
      <c r="V20" s="63">
        <f>IF(V4=0,0,V4/MBunk_act!V8*100)</f>
        <v>4917.6060235533023</v>
      </c>
      <c r="W20" s="63">
        <f>IF(W4=0,0,W4/MBunk_act!W8*100)</f>
        <v>5344.6277187747182</v>
      </c>
      <c r="X20" s="63">
        <f>IF(X4=0,0,X4/MBunk_act!X8*100)</f>
        <v>8031.0846630527167</v>
      </c>
      <c r="Y20" s="63">
        <f>IF(Y4=0,0,Y4/MBunk_act!Y8*100)</f>
        <v>5956.7695780191198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7459.3354394822154</v>
      </c>
      <c r="C21" s="64">
        <f>IF(C10=0,0,C10/MBunk_act!C9*100)</f>
        <v>7790.9839402117314</v>
      </c>
      <c r="D21" s="64">
        <f>IF(D10=0,0,D10/MBunk_act!D9*100)</f>
        <v>7991.0604448821614</v>
      </c>
      <c r="E21" s="64">
        <f>IF(E10=0,0,E10/MBunk_act!E9*100)</f>
        <v>8252.0808855668838</v>
      </c>
      <c r="F21" s="64">
        <f>IF(F10=0,0,F10/MBunk_act!F9*100)</f>
        <v>9323.7951702746232</v>
      </c>
      <c r="G21" s="64">
        <f>IF(G10=0,0,G10/MBunk_act!G9*100)</f>
        <v>8530.6840446674269</v>
      </c>
      <c r="H21" s="64">
        <f>IF(H10=0,0,H10/MBunk_act!H9*100)</f>
        <v>9172.4107125985902</v>
      </c>
      <c r="I21" s="64">
        <f>IF(I10=0,0,I10/MBunk_act!I9*100)</f>
        <v>13136.48335701977</v>
      </c>
      <c r="J21" s="64">
        <f>IF(J10=0,0,J10/MBunk_act!J9*100)</f>
        <v>9639.4203603097158</v>
      </c>
      <c r="K21" s="64">
        <f>IF(K10=0,0,K10/MBunk_act!K9*100)</f>
        <v>10259.535760004217</v>
      </c>
      <c r="L21" s="64">
        <f>IF(L10=0,0,L10/MBunk_act!L9*100)</f>
        <v>10025.080075897742</v>
      </c>
      <c r="M21" s="64">
        <f>IF(M10=0,0,M10/MBunk_act!M9*100)</f>
        <v>12001.848736991051</v>
      </c>
      <c r="N21" s="64">
        <f>IF(N10=0,0,N10/MBunk_act!N9*100)</f>
        <v>12549.848725939943</v>
      </c>
      <c r="O21" s="64">
        <f>IF(O10=0,0,O10/MBunk_act!O9*100)</f>
        <v>14935.778485375195</v>
      </c>
      <c r="P21" s="64">
        <f>IF(P10=0,0,P10/MBunk_act!P9*100)</f>
        <v>9122.5461271816894</v>
      </c>
      <c r="Q21" s="64">
        <f>IF(Q10=0,0,Q10/MBunk_act!Q9*100)</f>
        <v>9209.161709598262</v>
      </c>
      <c r="R21" s="64">
        <f>IF(R10=0,0,R10/MBunk_act!R9*100)</f>
        <v>8941.9418625323397</v>
      </c>
      <c r="S21" s="64">
        <f>IF(S10=0,0,S10/MBunk_act!S9*100)</f>
        <v>9009.7340685466388</v>
      </c>
      <c r="T21" s="64">
        <f>IF(T10=0,0,T10/MBunk_act!T9*100)</f>
        <v>10128.865974949143</v>
      </c>
      <c r="U21" s="64">
        <f>IF(U10=0,0,U10/MBunk_act!U9*100)</f>
        <v>9081.7956115623983</v>
      </c>
      <c r="V21" s="64">
        <f>IF(V10=0,0,V10/MBunk_act!V9*100)</f>
        <v>6045.4644277456027</v>
      </c>
      <c r="W21" s="64">
        <f>IF(W10=0,0,W10/MBunk_act!W9*100)</f>
        <v>6660.0470501086374</v>
      </c>
      <c r="X21" s="64">
        <f>IF(X10=0,0,X10/MBunk_act!X9*100)</f>
        <v>8346.0973447412562</v>
      </c>
      <c r="Y21" s="64">
        <f>IF(Y10=0,0,Y10/MBunk_act!Y9*100)</f>
        <v>6118.6388891878441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4.4758227475450019</v>
      </c>
      <c r="C23" s="62">
        <f>IF(C3=0,0,C3/MBunk_act!C3*1000)</f>
        <v>3.9219811410755843</v>
      </c>
      <c r="D23" s="62">
        <f>IF(D3=0,0,D3/MBunk_act!D3*1000)</f>
        <v>3.7011958414930679</v>
      </c>
      <c r="E23" s="62">
        <f>IF(E3=0,0,E3/MBunk_act!E3*1000)</f>
        <v>3.9263284854786216</v>
      </c>
      <c r="F23" s="62">
        <f>IF(F3=0,0,F3/MBunk_act!F3*1000)</f>
        <v>4.3541099506872136</v>
      </c>
      <c r="G23" s="62">
        <f>IF(G3=0,0,G3/MBunk_act!G3*1000)</f>
        <v>3.910554413127691</v>
      </c>
      <c r="H23" s="62">
        <f>IF(H3=0,0,H3/MBunk_act!H3*1000)</f>
        <v>3.9281804893931569</v>
      </c>
      <c r="I23" s="62">
        <f>IF(I3=0,0,I3/MBunk_act!I3*1000)</f>
        <v>5.5761059922771024</v>
      </c>
      <c r="J23" s="62">
        <f>IF(J3=0,0,J3/MBunk_act!J3*1000)</f>
        <v>3.8972938235292025</v>
      </c>
      <c r="K23" s="62">
        <f>IF(K3=0,0,K3/MBunk_act!K3*1000)</f>
        <v>4.368968592613899</v>
      </c>
      <c r="L23" s="62">
        <f>IF(L3=0,0,L3/MBunk_act!L3*1000)</f>
        <v>3.9865730116083151</v>
      </c>
      <c r="M23" s="62">
        <f>IF(M3=0,0,M3/MBunk_act!M3*1000)</f>
        <v>4.5930786202441611</v>
      </c>
      <c r="N23" s="62">
        <f>IF(N3=0,0,N3/MBunk_act!N3*1000)</f>
        <v>4.6048157879579872</v>
      </c>
      <c r="O23" s="62">
        <f>IF(O3=0,0,O3/MBunk_act!O3*1000)</f>
        <v>5.3003382425878449</v>
      </c>
      <c r="P23" s="62">
        <f>IF(P3=0,0,P3/MBunk_act!P3*1000)</f>
        <v>3.3581610683421861</v>
      </c>
      <c r="Q23" s="62">
        <f>IF(Q3=0,0,Q3/MBunk_act!Q3*1000)</f>
        <v>2.926015436792154</v>
      </c>
      <c r="R23" s="62">
        <f>IF(R3=0,0,R3/MBunk_act!R3*1000)</f>
        <v>2.9649415984240677</v>
      </c>
      <c r="S23" s="62">
        <f>IF(S3=0,0,S3/MBunk_act!S3*1000)</f>
        <v>2.9467480619643753</v>
      </c>
      <c r="T23" s="62">
        <f>IF(T3=0,0,T3/MBunk_act!T3*1000)</f>
        <v>3.308503354789281</v>
      </c>
      <c r="U23" s="62">
        <f>IF(U3=0,0,U3/MBunk_act!U3*1000)</f>
        <v>2.926066399881059</v>
      </c>
      <c r="V23" s="62">
        <f>IF(V3=0,0,V3/MBunk_act!V3*1000)</f>
        <v>1.8700409340274973</v>
      </c>
      <c r="W23" s="62">
        <f>IF(W3=0,0,W3/MBunk_act!W3*1000)</f>
        <v>2.0093534841797527</v>
      </c>
      <c r="X23" s="62">
        <f>IF(X3=0,0,X3/MBunk_act!X3*1000)</f>
        <v>2.7704121509528199</v>
      </c>
      <c r="Y23" s="62">
        <f>IF(Y3=0,0,Y3/MBunk_act!Y3*1000)</f>
        <v>2.007519831243485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12.978593053022179</v>
      </c>
      <c r="C24" s="63">
        <f>IF(C4=0,0,C4/MBunk_act!C4*1000)</f>
        <v>11.311532113854831</v>
      </c>
      <c r="D24" s="63">
        <f>IF(D4=0,0,D4/MBunk_act!D4*1000)</f>
        <v>10.99806202201213</v>
      </c>
      <c r="E24" s="63">
        <f>IF(E4=0,0,E4/MBunk_act!E4*1000)</f>
        <v>11.764805573581389</v>
      </c>
      <c r="F24" s="63">
        <f>IF(F4=0,0,F4/MBunk_act!F4*1000)</f>
        <v>12.846043034195846</v>
      </c>
      <c r="G24" s="63">
        <f>IF(G4=0,0,G4/MBunk_act!G4*1000)</f>
        <v>11.946679580395644</v>
      </c>
      <c r="H24" s="63">
        <f>IF(H4=0,0,H4/MBunk_act!H4*1000)</f>
        <v>12.587944974420838</v>
      </c>
      <c r="I24" s="63">
        <f>IF(I4=0,0,I4/MBunk_act!I4*1000)</f>
        <v>17.681508307677145</v>
      </c>
      <c r="J24" s="63">
        <f>IF(J4=0,0,J4/MBunk_act!J4*1000)</f>
        <v>12.713483548559086</v>
      </c>
      <c r="K24" s="63">
        <f>IF(K4=0,0,K4/MBunk_act!K4*1000)</f>
        <v>13.65945968121602</v>
      </c>
      <c r="L24" s="63">
        <f>IF(L4=0,0,L4/MBunk_act!L4*1000)</f>
        <v>12.606534976762324</v>
      </c>
      <c r="M24" s="63">
        <f>IF(M4=0,0,M4/MBunk_act!M4*1000)</f>
        <v>14.900468665099877</v>
      </c>
      <c r="N24" s="63">
        <f>IF(N4=0,0,N4/MBunk_act!N4*1000)</f>
        <v>15.062825904808337</v>
      </c>
      <c r="O24" s="63">
        <f>IF(O4=0,0,O4/MBunk_act!O4*1000)</f>
        <v>17.879461406168584</v>
      </c>
      <c r="P24" s="63">
        <f>IF(P4=0,0,P4/MBunk_act!P4*1000)</f>
        <v>11.229819641949616</v>
      </c>
      <c r="Q24" s="63">
        <f>IF(Q4=0,0,Q4/MBunk_act!Q4*1000)</f>
        <v>10.07467667937984</v>
      </c>
      <c r="R24" s="63">
        <f>IF(R4=0,0,R4/MBunk_act!R4*1000)</f>
        <v>9.5635944381361835</v>
      </c>
      <c r="S24" s="63">
        <f>IF(S4=0,0,S4/MBunk_act!S4*1000)</f>
        <v>9.6179505151133</v>
      </c>
      <c r="T24" s="63">
        <f>IF(T4=0,0,T4/MBunk_act!T4*1000)</f>
        <v>10.900069116496132</v>
      </c>
      <c r="U24" s="63">
        <f>IF(U4=0,0,U4/MBunk_act!U4*1000)</f>
        <v>9.8741543376139873</v>
      </c>
      <c r="V24" s="63">
        <f>IF(V4=0,0,V4/MBunk_act!V4*1000)</f>
        <v>5.3947029590303153</v>
      </c>
      <c r="W24" s="63">
        <f>IF(W4=0,0,W4/MBunk_act!W4*1000)</f>
        <v>6.1552091567966416</v>
      </c>
      <c r="X24" s="63">
        <f>IF(X4=0,0,X4/MBunk_act!X4*1000)</f>
        <v>9.3559439561199014</v>
      </c>
      <c r="Y24" s="63">
        <f>IF(Y4=0,0,Y4/MBunk_act!Y4*1000)</f>
        <v>6.6664370388503231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3.3011654208792436</v>
      </c>
      <c r="C25" s="64">
        <f>IF(C10=0,0,C10/MBunk_act!C5*1000)</f>
        <v>2.8932629272749817</v>
      </c>
      <c r="D25" s="64">
        <f>IF(D10=0,0,D10/MBunk_act!D5*1000)</f>
        <v>2.7853831919001388</v>
      </c>
      <c r="E25" s="64">
        <f>IF(E10=0,0,E10/MBunk_act!E5*1000)</f>
        <v>2.9713413013072985</v>
      </c>
      <c r="F25" s="64">
        <f>IF(F10=0,0,F10/MBunk_act!F5*1000)</f>
        <v>3.2749276929734612</v>
      </c>
      <c r="G25" s="64">
        <f>IF(G10=0,0,G10/MBunk_act!G5*1000)</f>
        <v>2.9720116405352224</v>
      </c>
      <c r="H25" s="64">
        <f>IF(H10=0,0,H10/MBunk_act!H5*1000)</f>
        <v>3.0543904851361869</v>
      </c>
      <c r="I25" s="64">
        <f>IF(I10=0,0,I10/MBunk_act!I5*1000)</f>
        <v>4.3205360074865942</v>
      </c>
      <c r="J25" s="64">
        <f>IF(J10=0,0,J10/MBunk_act!J5*1000)</f>
        <v>3.0340179735729271</v>
      </c>
      <c r="K25" s="64">
        <f>IF(K10=0,0,K10/MBunk_act!K5*1000)</f>
        <v>3.3471087417043011</v>
      </c>
      <c r="L25" s="64">
        <f>IF(L10=0,0,L10/MBunk_act!L5*1000)</f>
        <v>3.0457615845319377</v>
      </c>
      <c r="M25" s="64">
        <f>IF(M10=0,0,M10/MBunk_act!M5*1000)</f>
        <v>3.5174733120376453</v>
      </c>
      <c r="N25" s="64">
        <f>IF(N10=0,0,N10/MBunk_act!N5*1000)</f>
        <v>3.5144002245904149</v>
      </c>
      <c r="O25" s="64">
        <f>IF(O10=0,0,O10/MBunk_act!O5*1000)</f>
        <v>4.1156141844191865</v>
      </c>
      <c r="P25" s="64">
        <f>IF(P10=0,0,P10/MBunk_act!P5*1000)</f>
        <v>2.6009266087602891</v>
      </c>
      <c r="Q25" s="64">
        <f>IF(Q10=0,0,Q10/MBunk_act!Q5*1000)</f>
        <v>2.2927371796981686</v>
      </c>
      <c r="R25" s="64">
        <f>IF(R10=0,0,R10/MBunk_act!R5*1000)</f>
        <v>2.2700042156995139</v>
      </c>
      <c r="S25" s="64">
        <f>IF(S10=0,0,S10/MBunk_act!S5*1000)</f>
        <v>2.2647283698676559</v>
      </c>
      <c r="T25" s="64">
        <f>IF(T10=0,0,T10/MBunk_act!T5*1000)</f>
        <v>2.5378067537551066</v>
      </c>
      <c r="U25" s="64">
        <f>IF(U10=0,0,U10/MBunk_act!U5*1000)</f>
        <v>2.2560295987780425</v>
      </c>
      <c r="V25" s="64">
        <f>IF(V10=0,0,V10/MBunk_act!V5*1000)</f>
        <v>1.503345473123167</v>
      </c>
      <c r="W25" s="64">
        <f>IF(W10=0,0,W10/MBunk_act!W5*1000)</f>
        <v>1.616899881119928</v>
      </c>
      <c r="X25" s="64">
        <f>IF(X10=0,0,X10/MBunk_act!X5*1000)</f>
        <v>2.1995136404708719</v>
      </c>
      <c r="Y25" s="64">
        <f>IF(Y10=0,0,Y10/MBunk_act!Y5*1000)</f>
        <v>1.5844437653258923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0.35197028154154592</v>
      </c>
      <c r="C28" s="77">
        <f t="shared" si="6"/>
        <v>0.35244353795092431</v>
      </c>
      <c r="D28" s="77">
        <f t="shared" si="6"/>
        <v>0.33135680762348341</v>
      </c>
      <c r="E28" s="77">
        <f t="shared" si="6"/>
        <v>0.32541357313328956</v>
      </c>
      <c r="F28" s="77">
        <f t="shared" si="6"/>
        <v>0.33266125960745879</v>
      </c>
      <c r="G28" s="77">
        <f t="shared" si="6"/>
        <v>0.31948065297945372</v>
      </c>
      <c r="H28" s="77">
        <f t="shared" si="6"/>
        <v>0.29370789500665861</v>
      </c>
      <c r="I28" s="77">
        <f t="shared" si="6"/>
        <v>0.29798276830205156</v>
      </c>
      <c r="J28" s="77">
        <f t="shared" si="6"/>
        <v>0.2909374501995573</v>
      </c>
      <c r="K28" s="77">
        <f t="shared" si="6"/>
        <v>0.30980487668692741</v>
      </c>
      <c r="L28" s="77">
        <f t="shared" si="6"/>
        <v>0.31117562443506769</v>
      </c>
      <c r="M28" s="77">
        <f t="shared" si="6"/>
        <v>0.30654372285992454</v>
      </c>
      <c r="N28" s="77">
        <f t="shared" si="6"/>
        <v>0.30886127009380526</v>
      </c>
      <c r="O28" s="77">
        <f t="shared" si="6"/>
        <v>0.29035426614855853</v>
      </c>
      <c r="P28" s="77">
        <f t="shared" si="6"/>
        <v>0.29345839820346736</v>
      </c>
      <c r="Q28" s="77">
        <f t="shared" si="6"/>
        <v>0.280195548723154</v>
      </c>
      <c r="R28" s="77">
        <f t="shared" si="6"/>
        <v>0.30733308976655871</v>
      </c>
      <c r="S28" s="77">
        <f t="shared" si="6"/>
        <v>0.30273229937315799</v>
      </c>
      <c r="T28" s="77">
        <f t="shared" si="6"/>
        <v>0.30363884224476356</v>
      </c>
      <c r="U28" s="77">
        <f t="shared" si="6"/>
        <v>0.29680165005926301</v>
      </c>
      <c r="V28" s="77">
        <f t="shared" si="6"/>
        <v>0.27184467355200986</v>
      </c>
      <c r="W28" s="77">
        <f t="shared" si="6"/>
        <v>0.26489923410537075</v>
      </c>
      <c r="X28" s="77">
        <f t="shared" ref="X28:Y28" si="8">IF(X4=0,0,X4/X$3)</f>
        <v>0.2694050246257999</v>
      </c>
      <c r="Y28" s="77">
        <f t="shared" si="8"/>
        <v>0.27645109153854797</v>
      </c>
      <c r="DA28" s="184"/>
    </row>
    <row r="29" spans="1:105" ht="11.45" customHeight="1" x14ac:dyDescent="0.25">
      <c r="A29" s="57" t="s">
        <v>167</v>
      </c>
      <c r="B29" s="78">
        <f>IF(B10=0,0,B10/B$3)</f>
        <v>0.64802971845845414</v>
      </c>
      <c r="C29" s="78">
        <f t="shared" ref="C29:W29" si="9">IF(C10=0,0,C10/C$3)</f>
        <v>0.6475564620490758</v>
      </c>
      <c r="D29" s="78">
        <f t="shared" si="9"/>
        <v>0.66864319237651659</v>
      </c>
      <c r="E29" s="78">
        <f t="shared" si="9"/>
        <v>0.67458642686671044</v>
      </c>
      <c r="F29" s="78">
        <f t="shared" si="9"/>
        <v>0.66733874039254126</v>
      </c>
      <c r="G29" s="78">
        <f t="shared" si="9"/>
        <v>0.68051934702054628</v>
      </c>
      <c r="H29" s="78">
        <f t="shared" si="9"/>
        <v>0.70629210499334127</v>
      </c>
      <c r="I29" s="78">
        <f t="shared" si="9"/>
        <v>0.7020172316979485</v>
      </c>
      <c r="J29" s="78">
        <f t="shared" si="9"/>
        <v>0.70906254980044259</v>
      </c>
      <c r="K29" s="78">
        <f t="shared" si="9"/>
        <v>0.69019512331307253</v>
      </c>
      <c r="L29" s="78">
        <f t="shared" si="9"/>
        <v>0.68882437556493237</v>
      </c>
      <c r="M29" s="78">
        <f t="shared" si="9"/>
        <v>0.69345627714007541</v>
      </c>
      <c r="N29" s="78">
        <f t="shared" si="9"/>
        <v>0.69113872990619485</v>
      </c>
      <c r="O29" s="78">
        <f t="shared" si="9"/>
        <v>0.70964573385144147</v>
      </c>
      <c r="P29" s="78">
        <f t="shared" si="9"/>
        <v>0.70654160179653258</v>
      </c>
      <c r="Q29" s="78">
        <f t="shared" si="9"/>
        <v>0.719804451276846</v>
      </c>
      <c r="R29" s="78">
        <f t="shared" si="9"/>
        <v>0.69266691023344129</v>
      </c>
      <c r="S29" s="78">
        <f t="shared" si="9"/>
        <v>0.69726770062684207</v>
      </c>
      <c r="T29" s="78">
        <f t="shared" si="9"/>
        <v>0.69636115775523644</v>
      </c>
      <c r="U29" s="78">
        <f t="shared" si="9"/>
        <v>0.70319834994073693</v>
      </c>
      <c r="V29" s="78">
        <f t="shared" si="9"/>
        <v>0.72815532644799008</v>
      </c>
      <c r="W29" s="78">
        <f t="shared" si="9"/>
        <v>0.73510076589462936</v>
      </c>
      <c r="X29" s="78">
        <f t="shared" ref="X29:Y29" si="10">IF(X10=0,0,X10/X$3)</f>
        <v>0.73059497537420015</v>
      </c>
      <c r="Y29" s="78">
        <f t="shared" si="10"/>
        <v>0.72354890846145203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9071.3670616800009</v>
      </c>
      <c r="C3" s="62">
        <f t="shared" ref="C3:W3" si="1">SUM(C4:C5)</f>
        <v>7692.9051250799985</v>
      </c>
      <c r="D3" s="62">
        <f t="shared" si="1"/>
        <v>7452.1726527600013</v>
      </c>
      <c r="E3" s="62">
        <f t="shared" si="1"/>
        <v>7992.1005822000006</v>
      </c>
      <c r="F3" s="62">
        <f t="shared" si="1"/>
        <v>9030.2075773200013</v>
      </c>
      <c r="G3" s="62">
        <f t="shared" si="1"/>
        <v>8255.1742711200022</v>
      </c>
      <c r="H3" s="62">
        <f t="shared" si="1"/>
        <v>8552.6431873200017</v>
      </c>
      <c r="I3" s="62">
        <f t="shared" si="1"/>
        <v>8768.2594417200035</v>
      </c>
      <c r="J3" s="62">
        <f t="shared" si="1"/>
        <v>7660.0368446400007</v>
      </c>
      <c r="K3" s="62">
        <f t="shared" si="1"/>
        <v>7643.6554953600016</v>
      </c>
      <c r="L3" s="62">
        <f t="shared" si="1"/>
        <v>7412.4722232000022</v>
      </c>
      <c r="M3" s="62">
        <f t="shared" si="1"/>
        <v>8500.0966059599978</v>
      </c>
      <c r="N3" s="62">
        <f t="shared" si="1"/>
        <v>8047.67921028</v>
      </c>
      <c r="O3" s="62">
        <f t="shared" si="1"/>
        <v>7353.8315632800022</v>
      </c>
      <c r="P3" s="62">
        <f t="shared" si="1"/>
        <v>6292.4443124400013</v>
      </c>
      <c r="Q3" s="62">
        <f t="shared" si="1"/>
        <v>5626.3191011999988</v>
      </c>
      <c r="R3" s="62">
        <f t="shared" si="1"/>
        <v>5331.5884857599995</v>
      </c>
      <c r="S3" s="62">
        <f t="shared" si="1"/>
        <v>5632.3629514800014</v>
      </c>
      <c r="T3" s="62">
        <f t="shared" si="1"/>
        <v>6348.2499759599996</v>
      </c>
      <c r="U3" s="62">
        <f t="shared" si="1"/>
        <v>5551.1508315600004</v>
      </c>
      <c r="V3" s="62">
        <f t="shared" si="1"/>
        <v>3167.7742310399999</v>
      </c>
      <c r="W3" s="62">
        <f t="shared" si="1"/>
        <v>3595.0764664799999</v>
      </c>
      <c r="X3" s="62">
        <f t="shared" ref="X3:Y3" si="2">SUM(X4:X5)</f>
        <v>3803.5821398400003</v>
      </c>
      <c r="Y3" s="62">
        <f t="shared" si="2"/>
        <v>3412.9611543600004</v>
      </c>
      <c r="DA3" s="172" t="s">
        <v>987</v>
      </c>
    </row>
    <row r="4" spans="1:105" ht="11.45" customHeight="1" x14ac:dyDescent="0.25">
      <c r="A4" s="55" t="s">
        <v>166</v>
      </c>
      <c r="B4" s="63">
        <v>3171.2061129931608</v>
      </c>
      <c r="C4" s="63">
        <v>2693.0014619650428</v>
      </c>
      <c r="D4" s="63">
        <v>2454.0439352416006</v>
      </c>
      <c r="E4" s="63">
        <v>2587.8856708711296</v>
      </c>
      <c r="F4" s="63">
        <v>2993.1738228742652</v>
      </c>
      <c r="G4" s="63">
        <v>2627.34847498314</v>
      </c>
      <c r="H4" s="63">
        <v>2504.7028085494476</v>
      </c>
      <c r="I4" s="63">
        <v>2606.5872473742111</v>
      </c>
      <c r="J4" s="63">
        <v>2222.1368922458646</v>
      </c>
      <c r="K4" s="63">
        <v>2362.4835390734252</v>
      </c>
      <c r="L4" s="63">
        <v>2300.1955214959348</v>
      </c>
      <c r="M4" s="63">
        <v>2595.0547352575359</v>
      </c>
      <c r="N4" s="63">
        <v>2474.4857035589066</v>
      </c>
      <c r="O4" s="63">
        <v>2125.6782859693176</v>
      </c>
      <c r="P4" s="63">
        <v>1836.8271672042119</v>
      </c>
      <c r="Q4" s="63">
        <v>1565.0545862186007</v>
      </c>
      <c r="R4" s="63">
        <v>1624.5394142486414</v>
      </c>
      <c r="S4" s="63">
        <v>1693.9697718985426</v>
      </c>
      <c r="T4" s="63">
        <v>1917.1450531539015</v>
      </c>
      <c r="U4" s="63">
        <v>1638.6800981128467</v>
      </c>
      <c r="V4" s="63">
        <v>852.05034771346641</v>
      </c>
      <c r="W4" s="63">
        <v>941.37227222217427</v>
      </c>
      <c r="X4" s="63">
        <v>1016.3930990318315</v>
      </c>
      <c r="Y4" s="63">
        <v>936.7166854367963</v>
      </c>
      <c r="DA4" s="181" t="s">
        <v>988</v>
      </c>
    </row>
    <row r="5" spans="1:105" ht="11.45" customHeight="1" x14ac:dyDescent="0.25">
      <c r="A5" s="57" t="s">
        <v>167</v>
      </c>
      <c r="B5" s="64">
        <v>5900.1609486868392</v>
      </c>
      <c r="C5" s="64">
        <v>4999.9036631149556</v>
      </c>
      <c r="D5" s="64">
        <v>4998.1287175184007</v>
      </c>
      <c r="E5" s="64">
        <v>5404.2149113288706</v>
      </c>
      <c r="F5" s="64">
        <v>6037.0337544457352</v>
      </c>
      <c r="G5" s="64">
        <v>5627.8257961368618</v>
      </c>
      <c r="H5" s="64">
        <v>6047.9403787705533</v>
      </c>
      <c r="I5" s="64">
        <v>6161.6721943457924</v>
      </c>
      <c r="J5" s="64">
        <v>5437.8999523941357</v>
      </c>
      <c r="K5" s="64">
        <v>5281.1719562865765</v>
      </c>
      <c r="L5" s="64">
        <v>5112.2767017040678</v>
      </c>
      <c r="M5" s="64">
        <v>5905.0418707024619</v>
      </c>
      <c r="N5" s="64">
        <v>5573.1935067210934</v>
      </c>
      <c r="O5" s="64">
        <v>5228.1532773106846</v>
      </c>
      <c r="P5" s="64">
        <v>4455.6171452357894</v>
      </c>
      <c r="Q5" s="64">
        <v>4061.2645149813984</v>
      </c>
      <c r="R5" s="64">
        <v>3707.0490715113583</v>
      </c>
      <c r="S5" s="64">
        <v>3938.3931795814592</v>
      </c>
      <c r="T5" s="64">
        <v>4431.1049228060983</v>
      </c>
      <c r="U5" s="64">
        <v>3912.4707334471532</v>
      </c>
      <c r="V5" s="64">
        <v>2315.7238833265337</v>
      </c>
      <c r="W5" s="64">
        <v>2653.7041942578257</v>
      </c>
      <c r="X5" s="64">
        <v>2787.189040808169</v>
      </c>
      <c r="Y5" s="64">
        <v>2476.2444689232038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3.2186004148528378</v>
      </c>
      <c r="C9" s="79">
        <f>IF(C3=0,0,C3/MBunk_ene!C3)</f>
        <v>3.2185095816287812</v>
      </c>
      <c r="D9" s="79">
        <f>IF(D3=0,0,D3/MBunk_ene!D3)</f>
        <v>3.2212220841234762</v>
      </c>
      <c r="E9" s="79">
        <f>IF(E3=0,0,E3/MBunk_ene!E3)</f>
        <v>3.2248644435385661</v>
      </c>
      <c r="F9" s="79">
        <f>IF(F3=0,0,F3/MBunk_ene!F3)</f>
        <v>3.2287607759305454</v>
      </c>
      <c r="G9" s="79">
        <f>IF(G3=0,0,G3/MBunk_ene!G3)</f>
        <v>3.2280741441824268</v>
      </c>
      <c r="H9" s="79">
        <f>IF(H3=0,0,H3/MBunk_ene!H3)</f>
        <v>3.2315544747121692</v>
      </c>
      <c r="I9" s="79">
        <f>IF(I3=0,0,I3/MBunk_ene!I3)</f>
        <v>3.2326429750996795</v>
      </c>
      <c r="J9" s="79">
        <f>IF(J3=0,0,J3/MBunk_ene!J3)</f>
        <v>3.2315964959567318</v>
      </c>
      <c r="K9" s="79">
        <f>IF(K3=0,0,K3/MBunk_ene!K3)</f>
        <v>3.2328165030343872</v>
      </c>
      <c r="L9" s="79">
        <f>IF(L3=0,0,L3/MBunk_ene!L3)</f>
        <v>3.2318212816998027</v>
      </c>
      <c r="M9" s="79">
        <f>IF(M3=0,0,M3/MBunk_ene!M3)</f>
        <v>3.2273446774511991</v>
      </c>
      <c r="N9" s="79">
        <f>IF(N3=0,0,N3/MBunk_ene!N3)</f>
        <v>3.2260918597224149</v>
      </c>
      <c r="O9" s="79">
        <f>IF(O3=0,0,O3/MBunk_ene!O3)</f>
        <v>3.2264065096876782</v>
      </c>
      <c r="P9" s="79">
        <f>IF(P3=0,0,P3/MBunk_ene!P3)</f>
        <v>3.2235255132377563</v>
      </c>
      <c r="Q9" s="79">
        <f>IF(Q3=0,0,Q3/MBunk_ene!Q3)</f>
        <v>3.2187891127886559</v>
      </c>
      <c r="R9" s="79">
        <f>IF(R3=0,0,R3/MBunk_ene!R3)</f>
        <v>3.2139168451013389</v>
      </c>
      <c r="S9" s="79">
        <f>IF(S3=0,0,S3/MBunk_ene!S3)</f>
        <v>3.2197688412552905</v>
      </c>
      <c r="T9" s="79">
        <f>IF(T3=0,0,T3/MBunk_ene!T3)</f>
        <v>3.2233842865596802</v>
      </c>
      <c r="U9" s="79">
        <f>IF(U3=0,0,U3/MBunk_ene!U3)</f>
        <v>3.2233770432753528</v>
      </c>
      <c r="V9" s="79">
        <f>IF(V3=0,0,V3/MBunk_ene!V3)</f>
        <v>3.20976726007608</v>
      </c>
      <c r="W9" s="79">
        <f>IF(W3=0,0,W3/MBunk_ene!W3)</f>
        <v>3.2093597202742372</v>
      </c>
      <c r="X9" s="79">
        <f>IF(X3=0,0,X3/MBunk_ene!X3)</f>
        <v>3.2167407558961942</v>
      </c>
      <c r="Y9" s="79">
        <f>IF(Y3=0,0,Y3/MBunk_ene!Y3)</f>
        <v>3.2178483188090321</v>
      </c>
      <c r="DA9" s="172"/>
    </row>
    <row r="10" spans="1:105" ht="11.45" customHeight="1" x14ac:dyDescent="0.25">
      <c r="A10" s="55" t="s">
        <v>166</v>
      </c>
      <c r="B10" s="80">
        <f>IF(B4=0,0,B4/MBunk_ene!B4)</f>
        <v>3.1967803486989026</v>
      </c>
      <c r="C10" s="80">
        <f>IF(C4=0,0,C4/MBunk_ene!C4)</f>
        <v>3.1967705595297016</v>
      </c>
      <c r="D10" s="80">
        <f>IF(D4=0,0,D4/MBunk_ene!D4)</f>
        <v>3.2012839408865164</v>
      </c>
      <c r="E10" s="80">
        <f>IF(E4=0,0,E4/MBunk_ene!E4)</f>
        <v>3.2089277968515955</v>
      </c>
      <c r="F10" s="80">
        <f>IF(F4=0,0,F4/MBunk_ene!F4)</f>
        <v>3.2171243355346788</v>
      </c>
      <c r="G10" s="80">
        <f>IF(G4=0,0,G4/MBunk_ene!G4)</f>
        <v>3.2158099208620925</v>
      </c>
      <c r="H10" s="80">
        <f>IF(H4=0,0,H4/MBunk_ene!H4)</f>
        <v>3.2221941844636022</v>
      </c>
      <c r="I10" s="80">
        <f>IF(I4=0,0,I4/MBunk_ene!I4)</f>
        <v>3.224968420517893</v>
      </c>
      <c r="J10" s="80">
        <f>IF(J4=0,0,J4/MBunk_ene!J4)</f>
        <v>3.2222367853934855</v>
      </c>
      <c r="K10" s="80">
        <f>IF(K4=0,0,K4/MBunk_ene!K4)</f>
        <v>3.225228515984603</v>
      </c>
      <c r="L10" s="80">
        <f>IF(L4=0,0,L4/MBunk_ene!L4)</f>
        <v>3.2228748495764998</v>
      </c>
      <c r="M10" s="80">
        <f>IF(M4=0,0,M4/MBunk_ene!M4)</f>
        <v>3.2142198849437453</v>
      </c>
      <c r="N10" s="80">
        <f>IF(N4=0,0,N4/MBunk_ene!N4)</f>
        <v>3.2116452538572418</v>
      </c>
      <c r="O10" s="80">
        <f>IF(O4=0,0,O4/MBunk_ene!O4)</f>
        <v>3.2119940468580372</v>
      </c>
      <c r="P10" s="80">
        <f>IF(P4=0,0,P4/MBunk_ene!P4)</f>
        <v>3.2065165257270882</v>
      </c>
      <c r="Q10" s="80">
        <f>IF(Q4=0,0,Q4/MBunk_ene!Q4)</f>
        <v>3.1954823396326866</v>
      </c>
      <c r="R10" s="80">
        <f>IF(R4=0,0,R4/MBunk_ene!R4)</f>
        <v>3.1863901065300007</v>
      </c>
      <c r="S10" s="80">
        <f>IF(S4=0,0,S4/MBunk_ene!S4)</f>
        <v>3.1987548462094444</v>
      </c>
      <c r="T10" s="80">
        <f>IF(T4=0,0,T4/MBunk_ene!T4)</f>
        <v>3.2059423701962624</v>
      </c>
      <c r="U10" s="80">
        <f>IF(U4=0,0,U4/MBunk_ene!U4)</f>
        <v>3.2059441246299096</v>
      </c>
      <c r="V10" s="80">
        <f>IF(V4=0,0,V4/MBunk_ene!V4)</f>
        <v>3.1758775646998036</v>
      </c>
      <c r="W10" s="80">
        <f>IF(W4=0,0,W4/MBunk_ene!W4)</f>
        <v>3.1724220879207756</v>
      </c>
      <c r="X10" s="80">
        <f>IF(X4=0,0,X4/MBunk_ene!X4)</f>
        <v>3.1906508209367455</v>
      </c>
      <c r="Y10" s="80">
        <f>IF(Y4=0,0,Y4/MBunk_ene!Y4)</f>
        <v>3.1946565178526316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3.2304517460629625</v>
      </c>
      <c r="C11" s="81">
        <f>IF(C5=0,0,C5/MBunk_ene!C10)</f>
        <v>3.2303414114524669</v>
      </c>
      <c r="D11" s="81">
        <f>IF(D5=0,0,D5/MBunk_ene!D10)</f>
        <v>3.2311027492798168</v>
      </c>
      <c r="E11" s="81">
        <f>IF(E5=0,0,E5/MBunk_ene!E10)</f>
        <v>3.2325521184392567</v>
      </c>
      <c r="F11" s="81">
        <f>IF(F5=0,0,F5/MBunk_ene!F10)</f>
        <v>3.2345614176213884</v>
      </c>
      <c r="G11" s="81">
        <f>IF(G5=0,0,G5/MBunk_ene!G10)</f>
        <v>3.2338317792765956</v>
      </c>
      <c r="H11" s="81">
        <f>IF(H5=0,0,H5/MBunk_ene!H10)</f>
        <v>3.2354469026837149</v>
      </c>
      <c r="I11" s="81">
        <f>IF(I5=0,0,I5/MBunk_ene!I10)</f>
        <v>3.2359005661052942</v>
      </c>
      <c r="J11" s="81">
        <f>IF(J5=0,0,J5/MBunk_ene!J10)</f>
        <v>3.2354369051373371</v>
      </c>
      <c r="K11" s="81">
        <f>IF(K5=0,0,K5/MBunk_ene!K10)</f>
        <v>3.236222489708092</v>
      </c>
      <c r="L11" s="81">
        <f>IF(L5=0,0,L5/MBunk_ene!L10)</f>
        <v>3.2358628221870296</v>
      </c>
      <c r="M11" s="81">
        <f>IF(M5=0,0,M5/MBunk_ene!M10)</f>
        <v>3.2331465180136525</v>
      </c>
      <c r="N11" s="81">
        <f>IF(N5=0,0,N5/MBunk_ene!N10)</f>
        <v>3.2325478675295121</v>
      </c>
      <c r="O11" s="81">
        <f>IF(O5=0,0,O5/MBunk_ene!O10)</f>
        <v>3.2323034239769841</v>
      </c>
      <c r="P11" s="81">
        <f>IF(P5=0,0,P5/MBunk_ene!P10)</f>
        <v>3.2305901081848218</v>
      </c>
      <c r="Q11" s="81">
        <f>IF(Q5=0,0,Q5/MBunk_ene!Q10)</f>
        <v>3.2278616519787353</v>
      </c>
      <c r="R11" s="81">
        <f>IF(R5=0,0,R5/MBunk_ene!R10)</f>
        <v>3.2261303311093177</v>
      </c>
      <c r="S11" s="81">
        <f>IF(S5=0,0,S5/MBunk_ene!S10)</f>
        <v>3.2288924748805483</v>
      </c>
      <c r="T11" s="81">
        <f>IF(T5=0,0,T5/MBunk_ene!T10)</f>
        <v>3.2309895977292329</v>
      </c>
      <c r="U11" s="81">
        <f>IF(U5=0,0,U5/MBunk_ene!U10)</f>
        <v>3.2307350227412495</v>
      </c>
      <c r="V11" s="81">
        <f>IF(V5=0,0,V5/MBunk_ene!V10)</f>
        <v>3.2224194138703561</v>
      </c>
      <c r="W11" s="81">
        <f>IF(W5=0,0,W5/MBunk_ene!W10)</f>
        <v>3.2226704811577322</v>
      </c>
      <c r="X11" s="81">
        <f>IF(X5=0,0,X5/MBunk_ene!X10)</f>
        <v>3.2263613525429697</v>
      </c>
      <c r="Y11" s="81">
        <f>IF(Y5=0,0,Y5/MBunk_ene!Y10)</f>
        <v>3.2267093627746362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23280.010370182099</v>
      </c>
      <c r="C13" s="62">
        <f>IF(C3=0,0,C3/MBunk_act!C7*100)</f>
        <v>24379.758754605838</v>
      </c>
      <c r="D13" s="62">
        <f>IF(D3=0,0,D3/MBunk_act!D7*100)</f>
        <v>26078.18807390063</v>
      </c>
      <c r="E13" s="62">
        <f>IF(E3=0,0,E3/MBunk_act!E7*100)</f>
        <v>27125.815027485249</v>
      </c>
      <c r="F13" s="62">
        <f>IF(F3=0,0,F3/MBunk_act!F7*100)</f>
        <v>30655.88221364194</v>
      </c>
      <c r="G13" s="62">
        <f>IF(G3=0,0,G3/MBunk_act!G7*100)</f>
        <v>28154.414824700274</v>
      </c>
      <c r="H13" s="62">
        <f>IF(H3=0,0,H3/MBunk_act!H7*100)</f>
        <v>30158.178495979617</v>
      </c>
      <c r="I13" s="62">
        <f>IF(I3=0,0,I3/MBunk_act!I7*100)</f>
        <v>43222.745147345384</v>
      </c>
      <c r="J13" s="62">
        <f>IF(J3=0,0,J3/MBunk_act!J7*100)</f>
        <v>31705.811405717577</v>
      </c>
      <c r="K13" s="62">
        <f>IF(K3=0,0,K3/MBunk_act!K7*100)</f>
        <v>34030.904050786165</v>
      </c>
      <c r="L13" s="62">
        <f>IF(L3=0,0,L3/MBunk_act!L7*100)</f>
        <v>32614.914702163453</v>
      </c>
      <c r="M13" s="62">
        <f>IF(M3=0,0,M3/MBunk_act!M7*100)</f>
        <v>38033.938890714737</v>
      </c>
      <c r="N13" s="62">
        <f>IF(N3=0,0,N3/MBunk_act!N7*100)</f>
        <v>39486.004064060748</v>
      </c>
      <c r="O13" s="62">
        <f>IF(O3=0,0,O3/MBunk_act!O7*100)</f>
        <v>47221.139034636304</v>
      </c>
      <c r="P13" s="62">
        <f>IF(P3=0,0,P3/MBunk_act!P7*100)</f>
        <v>28695.317208573284</v>
      </c>
      <c r="Q13" s="62">
        <f>IF(Q3=0,0,Q3/MBunk_act!Q7*100)</f>
        <v>29150.584806008053</v>
      </c>
      <c r="R13" s="62">
        <f>IF(R3=0,0,R3/MBunk_act!R7*100)</f>
        <v>28210.200233593401</v>
      </c>
      <c r="S13" s="62">
        <f>IF(S3=0,0,S3/MBunk_act!S7*100)</f>
        <v>28356.810363867135</v>
      </c>
      <c r="T13" s="62">
        <f>IF(T3=0,0,T3/MBunk_act!T7*100)</f>
        <v>31789.210261321256</v>
      </c>
      <c r="U13" s="62">
        <f>IF(U3=0,0,U3/MBunk_act!U7*100)</f>
        <v>28502.726537299332</v>
      </c>
      <c r="V13" s="62">
        <f>IF(V3=0,0,V3/MBunk_act!V7*100)</f>
        <v>18265.705798079678</v>
      </c>
      <c r="W13" s="62">
        <f>IF(W3=0,0,W3/MBunk_act!W7*100)</f>
        <v>20066.229240434306</v>
      </c>
      <c r="X13" s="62">
        <f>IF(X3=0,0,X3/MBunk_act!X7*100)</f>
        <v>26566.498241242902</v>
      </c>
      <c r="Y13" s="62">
        <f>IF(Y3=0,0,Y3/MBunk_act!Y7*100)</f>
        <v>19542.046450364156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21898.604470706672</v>
      </c>
      <c r="C14" s="63">
        <f>IF(C4=0,0,C4/MBunk_act!C8*100)</f>
        <v>23040.743952663943</v>
      </c>
      <c r="D14" s="63">
        <f>IF(D4=0,0,D4/MBunk_act!D8*100)</f>
        <v>26620.472569380679</v>
      </c>
      <c r="E14" s="63">
        <f>IF(E4=0,0,E4/MBunk_act!E8*100)</f>
        <v>28117.520247531269</v>
      </c>
      <c r="F14" s="63">
        <f>IF(F4=0,0,F4/MBunk_act!F8*100)</f>
        <v>31710.950892667741</v>
      </c>
      <c r="G14" s="63">
        <f>IF(G4=0,0,G4/MBunk_act!G8*100)</f>
        <v>29452.489245809575</v>
      </c>
      <c r="H14" s="63">
        <f>IF(H4=0,0,H4/MBunk_act!H8*100)</f>
        <v>31387.406637068118</v>
      </c>
      <c r="I14" s="63">
        <f>IF(I4=0,0,I4/MBunk_act!I8*100)</f>
        <v>45010.903055721181</v>
      </c>
      <c r="J14" s="63">
        <f>IF(J4=0,0,J4/MBunk_act!J8*100)</f>
        <v>33049.291904476246</v>
      </c>
      <c r="K14" s="63">
        <f>IF(K4=0,0,K4/MBunk_act!K8*100)</f>
        <v>36042.010999159014</v>
      </c>
      <c r="L14" s="63">
        <f>IF(L4=0,0,L4/MBunk_act!L8*100)</f>
        <v>33011.003806504435</v>
      </c>
      <c r="M14" s="63">
        <f>IF(M4=0,0,M4/MBunk_act!M8*100)</f>
        <v>36391.175645176489</v>
      </c>
      <c r="N14" s="63">
        <f>IF(N4=0,0,N4/MBunk_act!N8*100)</f>
        <v>37248.495240292286</v>
      </c>
      <c r="O14" s="63">
        <f>IF(O4=0,0,O4/MBunk_act!O8*100)</f>
        <v>44810.753129992932</v>
      </c>
      <c r="P14" s="63">
        <f>IF(P4=0,0,P4/MBunk_act!P8*100)</f>
        <v>26972.783959011194</v>
      </c>
      <c r="Q14" s="63">
        <f>IF(Q4=0,0,Q4/MBunk_act!Q8*100)</f>
        <v>27756.56701405091</v>
      </c>
      <c r="R14" s="63">
        <f>IF(R4=0,0,R4/MBunk_act!R8*100)</f>
        <v>26855.588781870982</v>
      </c>
      <c r="S14" s="63">
        <f>IF(S4=0,0,S4/MBunk_act!S8*100)</f>
        <v>26784.243877873407</v>
      </c>
      <c r="T14" s="63">
        <f>IF(T4=0,0,T4/MBunk_act!T8*100)</f>
        <v>29816.001647826124</v>
      </c>
      <c r="U14" s="63">
        <f>IF(U4=0,0,U4/MBunk_act!U8*100)</f>
        <v>26682.868909966197</v>
      </c>
      <c r="V14" s="63">
        <f>IF(V4=0,0,V4/MBunk_act!V8*100)</f>
        <v>15617.714642235549</v>
      </c>
      <c r="W14" s="63">
        <f>IF(W4=0,0,W4/MBunk_act!W8*100)</f>
        <v>16955.415026754545</v>
      </c>
      <c r="X14" s="63">
        <f>IF(X4=0,0,X4/MBunk_act!X8*100)</f>
        <v>25624.386873181658</v>
      </c>
      <c r="Y14" s="63">
        <f>IF(Y4=0,0,Y4/MBunk_act!Y8*100)</f>
        <v>19029.832757765053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24097.023194944664</v>
      </c>
      <c r="C15" s="64">
        <f>IF(C5=0,0,C5/MBunk_act!C9*100)</f>
        <v>25167.538058027068</v>
      </c>
      <c r="D15" s="64">
        <f>IF(D5=0,0,D5/MBunk_act!D9*100)</f>
        <v>25819.937373119948</v>
      </c>
      <c r="E15" s="64">
        <f>IF(E5=0,0,E5/MBunk_act!E9*100)</f>
        <v>26675.28154817133</v>
      </c>
      <c r="F15" s="64">
        <f>IF(F5=0,0,F5/MBunk_act!F9*100)</f>
        <v>30158.38812357494</v>
      </c>
      <c r="G15" s="64">
        <f>IF(G5=0,0,G5/MBunk_act!G9*100)</f>
        <v>27586.797162613333</v>
      </c>
      <c r="H15" s="64">
        <f>IF(H5=0,0,H5/MBunk_act!H9*100)</f>
        <v>29676.847830220031</v>
      </c>
      <c r="I15" s="64">
        <f>IF(I5=0,0,I5/MBunk_act!I9*100)</f>
        <v>42508.353931613048</v>
      </c>
      <c r="J15" s="64">
        <f>IF(J5=0,0,J5/MBunk_act!J9*100)</f>
        <v>31187.736377878296</v>
      </c>
      <c r="K15" s="64">
        <f>IF(K5=0,0,K5/MBunk_act!K9*100)</f>
        <v>33202.140360490048</v>
      </c>
      <c r="L15" s="64">
        <f>IF(L5=0,0,L5/MBunk_act!L9*100)</f>
        <v>32439.783907045428</v>
      </c>
      <c r="M15" s="64">
        <f>IF(M5=0,0,M5/MBunk_act!M9*100)</f>
        <v>38803.735453729169</v>
      </c>
      <c r="N15" s="64">
        <f>IF(N5=0,0,N5/MBunk_act!N9*100)</f>
        <v>40567.986736855128</v>
      </c>
      <c r="O15" s="64">
        <f>IF(O5=0,0,O5/MBunk_act!O9*100)</f>
        <v>48276.967938040019</v>
      </c>
      <c r="P15" s="64">
        <f>IF(P5=0,0,P5/MBunk_act!P9*100)</f>
        <v>29471.207279932925</v>
      </c>
      <c r="Q15" s="64">
        <f>IF(Q5=0,0,Q5/MBunk_act!Q9*100)</f>
        <v>29725.899929283161</v>
      </c>
      <c r="R15" s="64">
        <f>IF(R5=0,0,R5/MBunk_act!R9*100)</f>
        <v>28847.869861731728</v>
      </c>
      <c r="S15" s="64">
        <f>IF(S5=0,0,S5/MBunk_act!S9*100)</f>
        <v>29091.462534605147</v>
      </c>
      <c r="T15" s="64">
        <f>IF(T5=0,0,T5/MBunk_act!T9*100)</f>
        <v>32726.260601854243</v>
      </c>
      <c r="U15" s="64">
        <f>IF(U5=0,0,U5/MBunk_act!U9*100)</f>
        <v>29340.875151652421</v>
      </c>
      <c r="V15" s="64">
        <f>IF(V5=0,0,V5/MBunk_act!V9*100)</f>
        <v>19481.021937830072</v>
      </c>
      <c r="W15" s="64">
        <f>IF(W5=0,0,W5/MBunk_act!W9*100)</f>
        <v>21463.13703150674</v>
      </c>
      <c r="X15" s="64">
        <f>IF(X5=0,0,X5/MBunk_act!X9*100)</f>
        <v>26927.525917634688</v>
      </c>
      <c r="Y15" s="64">
        <f>IF(Y5=0,0,Y5/MBunk_act!Y9*100)</f>
        <v>19743.069391179419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14.405884952056111</v>
      </c>
      <c r="C17" s="62">
        <f>IF(C3=0,0,C3/MBunk_act!C3*1000)</f>
        <v>12.622933881519149</v>
      </c>
      <c r="D17" s="62">
        <f>IF(D3=0,0,D3/MBunk_act!D3*1000)</f>
        <v>11.922373782283445</v>
      </c>
      <c r="E17" s="62">
        <f>IF(E3=0,0,E3/MBunk_act!E3*1000)</f>
        <v>12.661877126472637</v>
      </c>
      <c r="F17" s="62">
        <f>IF(F3=0,0,F3/MBunk_act!F3*1000)</f>
        <v>14.058379422867757</v>
      </c>
      <c r="G17" s="62">
        <f>IF(G3=0,0,G3/MBunk_act!G3*1000)</f>
        <v>12.623559590435983</v>
      </c>
      <c r="H17" s="62">
        <f>IF(H3=0,0,H3/MBunk_act!H3*1000)</f>
        <v>12.694129237975494</v>
      </c>
      <c r="I17" s="62">
        <f>IF(I3=0,0,I3/MBunk_act!I3*1000)</f>
        <v>18.025559864345805</v>
      </c>
      <c r="J17" s="62">
        <f>IF(J3=0,0,J3/MBunk_act!J3*1000)</f>
        <v>12.594481063830784</v>
      </c>
      <c r="K17" s="62">
        <f>IF(K3=0,0,K3/MBunk_act!K3*1000)</f>
        <v>14.124073767441132</v>
      </c>
      <c r="L17" s="62">
        <f>IF(L3=0,0,L3/MBunk_act!L3*1000)</f>
        <v>12.883891499965827</v>
      </c>
      <c r="M17" s="62">
        <f>IF(M3=0,0,M3/MBunk_act!M3*1000)</f>
        <v>14.82344783815989</v>
      </c>
      <c r="N17" s="62">
        <f>IF(N3=0,0,N3/MBunk_act!N3*1000)</f>
        <v>14.85555872905252</v>
      </c>
      <c r="O17" s="62">
        <f>IF(O3=0,0,O3/MBunk_act!O3*1000)</f>
        <v>17.10104580943197</v>
      </c>
      <c r="P17" s="62">
        <f>IF(P3=0,0,P3/MBunk_act!P3*1000)</f>
        <v>10.825117881362797</v>
      </c>
      <c r="Q17" s="62">
        <f>IF(Q3=0,0,Q3/MBunk_act!Q3*1000)</f>
        <v>9.4182266317981291</v>
      </c>
      <c r="R17" s="62">
        <f>IF(R3=0,0,R3/MBunk_act!R3*1000)</f>
        <v>9.5290757479168011</v>
      </c>
      <c r="S17" s="62">
        <f>IF(S3=0,0,S3/MBunk_act!S3*1000)</f>
        <v>9.4878475929423089</v>
      </c>
      <c r="T17" s="62">
        <f>IF(T3=0,0,T3/MBunk_act!T3*1000)</f>
        <v>10.664577725857756</v>
      </c>
      <c r="U17" s="62">
        <f>IF(U3=0,0,U3/MBunk_act!U3*1000)</f>
        <v>9.4318152604759629</v>
      </c>
      <c r="V17" s="62">
        <f>IF(V3=0,0,V3/MBunk_act!V3*1000)</f>
        <v>6.0023961650435531</v>
      </c>
      <c r="W17" s="62">
        <f>IF(W3=0,0,W3/MBunk_act!W3*1000)</f>
        <v>6.4487381359191929</v>
      </c>
      <c r="X17" s="62">
        <f>IF(X3=0,0,X3/MBunk_act!X3*1000)</f>
        <v>8.9116976765999762</v>
      </c>
      <c r="Y17" s="62">
        <f>IF(Y3=0,0,Y3/MBunk_act!Y3*1000)</f>
        <v>6.4598943139426392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41.489711225661395</v>
      </c>
      <c r="C18" s="63">
        <f>IF(C4=0,0,C4/MBunk_act!C4*1000)</f>
        <v>36.160372844745893</v>
      </c>
      <c r="D18" s="63">
        <f>IF(D4=0,0,D4/MBunk_act!D4*1000)</f>
        <v>35.207919331941319</v>
      </c>
      <c r="E18" s="63">
        <f>IF(E4=0,0,E4/MBunk_act!E4*1000)</f>
        <v>37.7524116296199</v>
      </c>
      <c r="F18" s="63">
        <f>IF(F4=0,0,F4/MBunk_act!F4*1000)</f>
        <v>41.327317660637199</v>
      </c>
      <c r="G18" s="63">
        <f>IF(G4=0,0,G4/MBunk_act!G4*1000)</f>
        <v>38.418250715996898</v>
      </c>
      <c r="H18" s="63">
        <f>IF(H4=0,0,H4/MBunk_act!H4*1000)</f>
        <v>40.560803090926655</v>
      </c>
      <c r="I18" s="63">
        <f>IF(I4=0,0,I4/MBunk_act!I4*1000)</f>
        <v>57.022305919383577</v>
      </c>
      <c r="J18" s="63">
        <f>IF(J4=0,0,J4/MBunk_act!J4*1000)</f>
        <v>40.965854360661993</v>
      </c>
      <c r="K18" s="63">
        <f>IF(K4=0,0,K4/MBunk_act!K4*1000)</f>
        <v>44.054878876799869</v>
      </c>
      <c r="L18" s="63">
        <f>IF(L4=0,0,L4/MBunk_act!L4*1000)</f>
        <v>40.629284516913756</v>
      </c>
      <c r="M18" s="63">
        <f>IF(M4=0,0,M4/MBunk_act!M4*1000)</f>
        <v>47.893382678345212</v>
      </c>
      <c r="N18" s="63">
        <f>IF(N4=0,0,N4/MBunk_act!N4*1000)</f>
        <v>48.376453326855604</v>
      </c>
      <c r="O18" s="63">
        <f>IF(O4=0,0,O4/MBunk_act!O4*1000)</f>
        <v>57.428723597641522</v>
      </c>
      <c r="P18" s="63">
        <f>IF(P4=0,0,P4/MBunk_act!P4*1000)</f>
        <v>36.00860226284609</v>
      </c>
      <c r="Q18" s="63">
        <f>IF(Q4=0,0,Q4/MBunk_act!Q4*1000)</f>
        <v>32.19345140646756</v>
      </c>
      <c r="R18" s="63">
        <f>IF(R4=0,0,R4/MBunk_act!R4*1000)</f>
        <v>30.473342700542474</v>
      </c>
      <c r="S18" s="63">
        <f>IF(S4=0,0,S4/MBunk_act!S4*1000)</f>
        <v>30.765465820821287</v>
      </c>
      <c r="T18" s="63">
        <f>IF(T4=0,0,T4/MBunk_act!T4*1000)</f>
        <v>34.944993418642682</v>
      </c>
      <c r="U18" s="63">
        <f>IF(U4=0,0,U4/MBunk_act!U4*1000)</f>
        <v>31.655987084362501</v>
      </c>
      <c r="V18" s="63">
        <f>IF(V4=0,0,V4/MBunk_act!V4*1000)</f>
        <v>17.132916095804024</v>
      </c>
      <c r="W18" s="63">
        <f>IF(W4=0,0,W4/MBunk_act!W4*1000)</f>
        <v>19.526921484793878</v>
      </c>
      <c r="X18" s="63">
        <f>IF(X4=0,0,X4/MBunk_act!X4*1000)</f>
        <v>29.851550264232149</v>
      </c>
      <c r="Y18" s="63">
        <f>IF(Y4=0,0,Y4/MBunk_act!Y4*1000)</f>
        <v>21.296976537017379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10.664255597922029</v>
      </c>
      <c r="C19" s="64">
        <f>IF(C5=0,0,C5/MBunk_act!C5*1000)</f>
        <v>9.3462270481965604</v>
      </c>
      <c r="D19" s="64">
        <f>IF(D5=0,0,D5/MBunk_act!D5*1000)</f>
        <v>8.9998592891463307</v>
      </c>
      <c r="E19" s="64">
        <f>IF(E5=0,0,E5/MBunk_act!E5*1000)</f>
        <v>9.6050156181469664</v>
      </c>
      <c r="F19" s="64">
        <f>IF(F5=0,0,F5/MBunk_act!F5*1000)</f>
        <v>10.592954761191782</v>
      </c>
      <c r="G19" s="64">
        <f>IF(G5=0,0,G5/MBunk_act!G5*1000)</f>
        <v>9.6109856915427692</v>
      </c>
      <c r="H19" s="64">
        <f>IF(H5=0,0,H5/MBunk_act!H5*1000)</f>
        <v>9.8823182347204845</v>
      </c>
      <c r="I19" s="64">
        <f>IF(I5=0,0,I5/MBunk_act!I5*1000)</f>
        <v>13.980824912504179</v>
      </c>
      <c r="J19" s="64">
        <f>IF(J5=0,0,J5/MBunk_act!J5*1000)</f>
        <v>9.816373722547846</v>
      </c>
      <c r="K19" s="64">
        <f>IF(K5=0,0,K5/MBunk_act!K5*1000)</f>
        <v>10.83198858540201</v>
      </c>
      <c r="L19" s="64">
        <f>IF(L5=0,0,L5/MBunk_act!L5*1000)</f>
        <v>9.8556666766323549</v>
      </c>
      <c r="M19" s="64">
        <f>IF(M5=0,0,M5/MBunk_act!M5*1000)</f>
        <v>11.372506591020464</v>
      </c>
      <c r="N19" s="64">
        <f>IF(N5=0,0,N5/MBunk_act!N5*1000)</f>
        <v>11.360466951644982</v>
      </c>
      <c r="O19" s="64">
        <f>IF(O5=0,0,O5/MBunk_act!O5*1000)</f>
        <v>13.302913820066381</v>
      </c>
      <c r="P19" s="64">
        <f>IF(P5=0,0,P5/MBunk_act!P5*1000)</f>
        <v>8.4025277743756845</v>
      </c>
      <c r="Q19" s="64">
        <f>IF(Q5=0,0,Q5/MBunk_act!Q5*1000)</f>
        <v>7.4006384204135971</v>
      </c>
      <c r="R19" s="64">
        <f>IF(R5=0,0,R5/MBunk_act!R5*1000)</f>
        <v>7.3233294520142191</v>
      </c>
      <c r="S19" s="64">
        <f>IF(S5=0,0,S5/MBunk_act!S5*1000)</f>
        <v>7.3125643911141642</v>
      </c>
      <c r="T19" s="64">
        <f>IF(T5=0,0,T5/MBunk_act!T5*1000)</f>
        <v>8.1996272224297417</v>
      </c>
      <c r="U19" s="64">
        <f>IF(U5=0,0,U5/MBunk_act!U5*1000)</f>
        <v>7.2886338371131103</v>
      </c>
      <c r="V19" s="64">
        <f>IF(V5=0,0,V5/MBunk_act!V5*1000)</f>
        <v>4.8444096383462103</v>
      </c>
      <c r="W19" s="64">
        <f>IF(W5=0,0,W5/MBunk_act!W5*1000)</f>
        <v>5.2107355178726387</v>
      </c>
      <c r="X19" s="64">
        <f>IF(X5=0,0,X5/MBunk_act!X5*1000)</f>
        <v>7.0964258040063131</v>
      </c>
      <c r="Y19" s="64">
        <f>IF(Y5=0,0,Y5/MBunk_act!Y5*1000)</f>
        <v>5.1125395323669558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0.34958414662650183</v>
      </c>
      <c r="C22" s="77">
        <f t="shared" si="3"/>
        <v>0.35006300197118811</v>
      </c>
      <c r="D22" s="77">
        <f t="shared" si="3"/>
        <v>0.32930583463236268</v>
      </c>
      <c r="E22" s="77">
        <f t="shared" si="3"/>
        <v>0.3238054431690795</v>
      </c>
      <c r="F22" s="77">
        <f t="shared" si="3"/>
        <v>0.33146234981262568</v>
      </c>
      <c r="G22" s="77">
        <f t="shared" si="3"/>
        <v>0.31826686980730212</v>
      </c>
      <c r="H22" s="77">
        <f t="shared" si="3"/>
        <v>0.29285716166235903</v>
      </c>
      <c r="I22" s="77">
        <f t="shared" si="3"/>
        <v>0.29727533322883709</v>
      </c>
      <c r="J22" s="77">
        <f t="shared" si="3"/>
        <v>0.29009480467457183</v>
      </c>
      <c r="K22" s="77">
        <f t="shared" si="3"/>
        <v>0.30907771033212383</v>
      </c>
      <c r="L22" s="77">
        <f t="shared" si="3"/>
        <v>0.31031421801442227</v>
      </c>
      <c r="M22" s="77">
        <f t="shared" si="3"/>
        <v>0.30529708726345134</v>
      </c>
      <c r="N22" s="77">
        <f t="shared" si="3"/>
        <v>0.30747817338420136</v>
      </c>
      <c r="O22" s="77">
        <f t="shared" si="3"/>
        <v>0.28905724419682099</v>
      </c>
      <c r="P22" s="77">
        <f t="shared" si="3"/>
        <v>0.29190995994558927</v>
      </c>
      <c r="Q22" s="77">
        <f t="shared" si="3"/>
        <v>0.27816669443523045</v>
      </c>
      <c r="R22" s="77">
        <f t="shared" si="3"/>
        <v>0.30470082576470059</v>
      </c>
      <c r="S22" s="77">
        <f t="shared" si="3"/>
        <v>0.30075650068918636</v>
      </c>
      <c r="T22" s="77">
        <f t="shared" si="3"/>
        <v>0.301995835137854</v>
      </c>
      <c r="U22" s="77">
        <f t="shared" si="3"/>
        <v>0.29519646427123658</v>
      </c>
      <c r="V22" s="77">
        <f t="shared" si="3"/>
        <v>0.26897445511252011</v>
      </c>
      <c r="W22" s="77">
        <f t="shared" si="3"/>
        <v>0.26185041709109674</v>
      </c>
      <c r="X22" s="77">
        <f t="shared" ref="X22:Y22" si="5">IF(X4=0,0,X4/X$3)</f>
        <v>0.26721996835188278</v>
      </c>
      <c r="Y22" s="77">
        <f t="shared" si="5"/>
        <v>0.27445864253103397</v>
      </c>
      <c r="DA22" s="184"/>
    </row>
    <row r="23" spans="1:105" ht="11.45" customHeight="1" x14ac:dyDescent="0.25">
      <c r="A23" s="57" t="s">
        <v>167</v>
      </c>
      <c r="B23" s="78">
        <f t="shared" si="3"/>
        <v>0.65041585337349805</v>
      </c>
      <c r="C23" s="78">
        <f t="shared" si="3"/>
        <v>0.64993699802881189</v>
      </c>
      <c r="D23" s="78">
        <f t="shared" si="3"/>
        <v>0.67069416536763726</v>
      </c>
      <c r="E23" s="78">
        <f t="shared" si="3"/>
        <v>0.67619455683092045</v>
      </c>
      <c r="F23" s="78">
        <f t="shared" si="3"/>
        <v>0.66853765018737421</v>
      </c>
      <c r="G23" s="78">
        <f t="shared" si="3"/>
        <v>0.68173313019269777</v>
      </c>
      <c r="H23" s="78">
        <f t="shared" si="3"/>
        <v>0.7071428383376408</v>
      </c>
      <c r="I23" s="78">
        <f t="shared" si="3"/>
        <v>0.70272466677116296</v>
      </c>
      <c r="J23" s="78">
        <f t="shared" si="3"/>
        <v>0.70990519532542806</v>
      </c>
      <c r="K23" s="78">
        <f t="shared" si="3"/>
        <v>0.69092228966787617</v>
      </c>
      <c r="L23" s="78">
        <f t="shared" si="3"/>
        <v>0.68968578198557784</v>
      </c>
      <c r="M23" s="78">
        <f t="shared" si="3"/>
        <v>0.69470291273654872</v>
      </c>
      <c r="N23" s="78">
        <f t="shared" si="3"/>
        <v>0.69252182661579864</v>
      </c>
      <c r="O23" s="78">
        <f t="shared" si="3"/>
        <v>0.71094275580317901</v>
      </c>
      <c r="P23" s="78">
        <f t="shared" si="3"/>
        <v>0.70809004005441067</v>
      </c>
      <c r="Q23" s="78">
        <f t="shared" si="3"/>
        <v>0.72183330556476955</v>
      </c>
      <c r="R23" s="78">
        <f t="shared" si="3"/>
        <v>0.69529917423529941</v>
      </c>
      <c r="S23" s="78">
        <f t="shared" si="3"/>
        <v>0.69924349931081375</v>
      </c>
      <c r="T23" s="78">
        <f t="shared" si="3"/>
        <v>0.69800416486214611</v>
      </c>
      <c r="U23" s="78">
        <f t="shared" si="3"/>
        <v>0.70480353572876342</v>
      </c>
      <c r="V23" s="78">
        <f t="shared" si="3"/>
        <v>0.73102554488747995</v>
      </c>
      <c r="W23" s="78">
        <f t="shared" si="3"/>
        <v>0.73814958290890331</v>
      </c>
      <c r="X23" s="78">
        <f t="shared" ref="X23:Y23" si="6">IF(X5=0,0,X5/X$3)</f>
        <v>0.73278003164811722</v>
      </c>
      <c r="Y23" s="78">
        <f t="shared" si="6"/>
        <v>0.72554135746896598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2025-11-06T10:24:26Z</dcterms:created>
  <dcterms:modified xsi:type="dcterms:W3CDTF">2025-11-06T10:24:27Z</dcterms:modified>
</cp:coreProperties>
</file>