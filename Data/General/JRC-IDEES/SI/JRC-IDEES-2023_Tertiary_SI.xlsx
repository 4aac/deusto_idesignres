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I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Y2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Y14" i="12"/>
  <c r="Y6" i="12"/>
  <c r="Y33" i="10"/>
  <c r="Y22" i="13"/>
  <c r="X22" i="13"/>
  <c r="Y21" i="13"/>
  <c r="X21" i="13"/>
  <c r="Y20" i="13"/>
  <c r="Y18" i="13"/>
  <c r="Y17" i="13"/>
  <c r="X17" i="10"/>
  <c r="Y6" i="13"/>
  <c r="X18" i="10"/>
  <c r="Y17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5" i="21"/>
  <c r="Y33" i="24"/>
  <c r="X33" i="21"/>
  <c r="Y22" i="24"/>
  <c r="Y20" i="21"/>
  <c r="X20" i="21"/>
  <c r="X18" i="24"/>
  <c r="Y17" i="24"/>
  <c r="X15" i="21"/>
  <c r="Y18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19" i="22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Y10" i="30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7" i="28"/>
  <c r="Y18" i="10"/>
  <c r="X7" i="12"/>
  <c r="X8" i="12"/>
  <c r="Y24" i="23"/>
  <c r="Y24" i="26" s="1"/>
  <c r="Y5" i="10"/>
  <c r="X25" i="23"/>
  <c r="Y24" i="12"/>
  <c r="X25" i="12"/>
  <c r="X7" i="21"/>
  <c r="Y23" i="10"/>
  <c r="Y10" i="12"/>
  <c r="X8" i="13"/>
  <c r="X11" i="12"/>
  <c r="Y8" i="13"/>
  <c r="X23" i="21"/>
  <c r="X9" i="21"/>
  <c r="X25" i="24"/>
  <c r="X17" i="24"/>
  <c r="X17" i="27" s="1"/>
  <c r="X25" i="13"/>
  <c r="X12" i="12"/>
  <c r="Y23" i="28"/>
  <c r="X7" i="14"/>
  <c r="Y25" i="13"/>
  <c r="X31" i="23"/>
  <c r="X26" i="13"/>
  <c r="X5" i="10"/>
  <c r="Y26" i="24"/>
  <c r="Y26" i="27" s="1"/>
  <c r="Y31" i="23"/>
  <c r="Y10" i="13"/>
  <c r="Y26" i="13"/>
  <c r="X67" i="6"/>
  <c r="X32" i="23"/>
  <c r="X11" i="13"/>
  <c r="X21" i="21"/>
  <c r="X8" i="24"/>
  <c r="X13" i="29"/>
  <c r="X12" i="24"/>
  <c r="X12" i="13"/>
  <c r="X30" i="13"/>
  <c r="Y9" i="25"/>
  <c r="Y9" i="28" s="1"/>
  <c r="Y12" i="24"/>
  <c r="Y21" i="25"/>
  <c r="Y21" i="28" s="1"/>
  <c r="X10" i="14"/>
  <c r="X30" i="14"/>
  <c r="Y12" i="13"/>
  <c r="Y8" i="24"/>
  <c r="Y52" i="38"/>
  <c r="X14" i="29"/>
  <c r="X6" i="29" s="1"/>
  <c r="X10" i="25"/>
  <c r="X10" i="28" s="1"/>
  <c r="X13" i="21"/>
  <c r="X31" i="24"/>
  <c r="X17" i="23"/>
  <c r="X17" i="26" s="1"/>
  <c r="X22" i="24"/>
  <c r="Y10" i="14"/>
  <c r="Y10" i="17" s="1"/>
  <c r="X31" i="13"/>
  <c r="Y33" i="12"/>
  <c r="Y11" i="24"/>
  <c r="Y11" i="27" s="1"/>
  <c r="Y13" i="29"/>
  <c r="Y17" i="23"/>
  <c r="X31" i="14"/>
  <c r="Y31" i="13"/>
  <c r="X14" i="30"/>
  <c r="X8" i="25"/>
  <c r="X8" i="28" s="1"/>
  <c r="X9" i="36"/>
  <c r="Y53" i="38"/>
  <c r="Y31" i="14"/>
  <c r="X32" i="10"/>
  <c r="X27" i="21"/>
  <c r="Y14" i="21"/>
  <c r="Y32" i="21"/>
  <c r="X17" i="13"/>
  <c r="Y7" i="24"/>
  <c r="Y7" i="27" s="1"/>
  <c r="Y8" i="25"/>
  <c r="Y8" i="28" s="1"/>
  <c r="Y45" i="37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3" i="26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Y12" i="27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30" i="26" s="1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7" i="26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X8" i="27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5" i="39" s="1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6" i="27" s="1"/>
  <c r="Y24" i="24"/>
  <c r="Y18" i="23"/>
  <c r="Y18" i="26" s="1"/>
  <c r="X16" i="9"/>
  <c r="X16" i="13" s="1"/>
  <c r="X19" i="8"/>
  <c r="Y33" i="6"/>
  <c r="Y31" i="6" s="1"/>
  <c r="X103" i="6"/>
  <c r="X124" i="6" s="1"/>
  <c r="X17" i="37"/>
  <c r="X50" i="37" s="1"/>
  <c r="X31" i="26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X12" i="26" s="1"/>
  <c r="Y22" i="21"/>
  <c r="Y13" i="21"/>
  <c r="Y16" i="19"/>
  <c r="X8" i="10"/>
  <c r="X26" i="10"/>
  <c r="X30" i="25"/>
  <c r="X30" i="28" s="1"/>
  <c r="Y23" i="21"/>
  <c r="X14" i="21"/>
  <c r="X33" i="23"/>
  <c r="X4" i="11"/>
  <c r="Y8" i="10"/>
  <c r="Y26" i="10"/>
  <c r="X15" i="7"/>
  <c r="X15" i="13" s="1"/>
  <c r="Y19" i="7"/>
  <c r="Y27" i="12" s="1"/>
  <c r="Y17" i="37"/>
  <c r="X7" i="28"/>
  <c r="X31" i="25"/>
  <c r="X31" i="28" s="1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32" i="27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6" i="27"/>
  <c r="X10" i="23"/>
  <c r="Y5" i="29"/>
  <c r="Y5" i="31"/>
  <c r="X5" i="31"/>
  <c r="X5" i="29"/>
  <c r="Y12" i="29"/>
  <c r="Y16" i="29"/>
  <c r="Y24" i="27"/>
  <c r="X8" i="23"/>
  <c r="X8" i="26" s="1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16" i="10" l="1"/>
  <c r="Y19" i="23"/>
  <c r="Y19" i="26" s="1"/>
  <c r="X29" i="23"/>
  <c r="Y29" i="12"/>
  <c r="X12" i="36"/>
  <c r="X18" i="27"/>
  <c r="X25" i="26"/>
  <c r="X22" i="27"/>
  <c r="X3" i="19"/>
  <c r="X29" i="26"/>
  <c r="X29" i="13"/>
  <c r="X29" i="16" s="1"/>
  <c r="X14" i="27"/>
  <c r="X22" i="15"/>
  <c r="X114" i="6"/>
  <c r="Y10" i="16"/>
  <c r="X90" i="6"/>
  <c r="Y5" i="39"/>
  <c r="Y37" i="39" s="1"/>
  <c r="X23" i="28"/>
  <c r="X14" i="26"/>
  <c r="X163" i="6"/>
  <c r="X26" i="26"/>
  <c r="X23" i="27"/>
  <c r="X18" i="26"/>
  <c r="X11" i="26"/>
  <c r="X7" i="26"/>
  <c r="X15" i="12"/>
  <c r="X15" i="15" s="1"/>
  <c r="X91" i="6"/>
  <c r="X94" i="6"/>
  <c r="Y16" i="23"/>
  <c r="Y16" i="26" s="1"/>
  <c r="X113" i="6"/>
  <c r="X143" i="6" s="1"/>
  <c r="X4" i="23"/>
  <c r="X4" i="26" s="1"/>
  <c r="X29" i="10"/>
  <c r="Y5" i="37"/>
  <c r="Y33" i="37" s="1"/>
  <c r="X3" i="8"/>
  <c r="X9" i="29"/>
  <c r="X25" i="27"/>
  <c r="Y27" i="24"/>
  <c r="Y27" i="27" s="1"/>
  <c r="X5" i="26"/>
  <c r="X13" i="26"/>
  <c r="X5" i="27"/>
  <c r="X5" i="32"/>
  <c r="X11" i="27"/>
  <c r="X92" i="6"/>
  <c r="X10" i="26"/>
  <c r="X27" i="13"/>
  <c r="X27" i="16" s="1"/>
  <c r="X28" i="26"/>
  <c r="X33" i="27"/>
  <c r="X9" i="27"/>
  <c r="X13" i="27"/>
  <c r="X89" i="6"/>
  <c r="Y139" i="6"/>
  <c r="X26" i="27"/>
  <c r="X21" i="28"/>
  <c r="X22" i="26"/>
  <c r="X4" i="12"/>
  <c r="X4" i="15" s="1"/>
  <c r="X7" i="27"/>
  <c r="X30" i="27"/>
  <c r="X24" i="27"/>
  <c r="Y30" i="15"/>
  <c r="X4" i="14"/>
  <c r="X4" i="17" s="1"/>
  <c r="X4" i="13"/>
  <c r="X4" i="16" s="1"/>
  <c r="Y15" i="13"/>
  <c r="X33" i="26"/>
  <c r="X32" i="26"/>
  <c r="Y16" i="25"/>
  <c r="Y16" i="28" s="1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53" i="6" s="1"/>
  <c r="X12" i="27"/>
  <c r="X24" i="26"/>
  <c r="X58" i="6"/>
  <c r="Y50" i="39"/>
  <c r="Y48" i="38"/>
  <c r="X19" i="14"/>
  <c r="X19" i="17" s="1"/>
  <c r="X31" i="27"/>
  <c r="X16" i="23"/>
  <c r="X16" i="26" s="1"/>
  <c r="X5" i="37"/>
  <c r="X44" i="39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23"/>
  <c r="X3" i="11"/>
  <c r="Y159" i="6"/>
  <c r="Y135" i="6"/>
  <c r="Y34" i="37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X33" i="37"/>
  <c r="X31" i="36"/>
  <c r="X34" i="36"/>
  <c r="X32" i="36"/>
  <c r="X38" i="39"/>
  <c r="X37" i="39"/>
  <c r="Y36" i="39" l="1"/>
  <c r="X39" i="37"/>
  <c r="X167" i="6"/>
  <c r="Y35" i="39"/>
  <c r="Y38" i="39"/>
  <c r="X40" i="37"/>
  <c r="X3" i="35"/>
  <c r="X3" i="29"/>
  <c r="X34" i="37"/>
  <c r="Y40" i="37"/>
  <c r="X36" i="37"/>
  <c r="X37" i="37"/>
  <c r="Y32" i="37"/>
  <c r="Y39" i="37"/>
  <c r="X35" i="37"/>
  <c r="Y35" i="37"/>
  <c r="Y36" i="37"/>
  <c r="Y44" i="39"/>
  <c r="Y38" i="37"/>
  <c r="X38" i="37"/>
  <c r="Y37" i="37"/>
  <c r="Y31" i="37" s="1"/>
  <c r="X32" i="37"/>
  <c r="X31" i="37" s="1"/>
  <c r="X3" i="12"/>
  <c r="X3" i="10"/>
  <c r="X129" i="6"/>
  <c r="X3" i="14"/>
  <c r="X3" i="13"/>
  <c r="Y39" i="38"/>
  <c r="Y44" i="38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7" l="1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R7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N3" i="29"/>
  <c r="W8" i="35"/>
  <c r="S8" i="33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T3" i="33" l="1"/>
  <c r="T3" i="35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S89" i="6" l="1"/>
  <c r="W90" i="6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P29" i="25"/>
  <c r="P29" i="28" s="1"/>
  <c r="K29" i="13"/>
  <c r="K29" i="12"/>
  <c r="N19" i="24"/>
  <c r="O4" i="24"/>
  <c r="E4" i="24"/>
  <c r="K16" i="24"/>
  <c r="E19" i="14"/>
  <c r="O4" i="23"/>
  <c r="N19" i="23"/>
  <c r="G16" i="12"/>
  <c r="C4" i="13"/>
  <c r="O4" i="12"/>
  <c r="C16" i="13"/>
  <c r="E4" i="23"/>
  <c r="H4" i="12"/>
  <c r="J29" i="13"/>
  <c r="C4" i="12"/>
  <c r="F4" i="24"/>
  <c r="P29" i="24"/>
  <c r="G19" i="24"/>
  <c r="P29" i="12"/>
  <c r="H29" i="23"/>
  <c r="H29" i="26" s="1"/>
  <c r="O29" i="13"/>
  <c r="P19" i="24"/>
  <c r="P19" i="27" s="1"/>
  <c r="J19" i="23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M16" i="24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F19" i="15"/>
  <c r="F2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8" i="4"/>
  <c r="B12" i="4"/>
  <c r="B35" i="4"/>
  <c r="B37" i="4"/>
  <c r="B28" i="4"/>
  <c r="B4" i="4"/>
  <c r="B29" i="4"/>
  <c r="B45" i="4"/>
  <c r="B26" i="4"/>
  <c r="B22" i="4"/>
  <c r="B17" i="4"/>
  <c r="B43" i="4"/>
  <c r="B36" i="4"/>
  <c r="B33" i="4"/>
  <c r="B16" i="4"/>
  <c r="B27" i="4"/>
  <c r="B30" i="4"/>
  <c r="B23" i="4"/>
  <c r="B24" i="4"/>
  <c r="B20" i="4"/>
  <c r="B15" i="4"/>
  <c r="B7" i="4"/>
  <c r="B10" i="4"/>
  <c r="B42" i="4"/>
  <c r="B11" i="4"/>
  <c r="B39" i="4"/>
  <c r="B21" i="4"/>
  <c r="B9" i="4"/>
  <c r="B13" i="4"/>
  <c r="B44" i="4"/>
  <c r="B34" i="4"/>
  <c r="B38" i="4"/>
  <c r="B25" i="4"/>
  <c r="B14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<sst xmlns="http://schemas.openxmlformats.org/spreadsheetml/2006/main" count="2101" uniqueCount="1057">
  <si>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</si>
  <si>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</si>
  <si>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</si>
  <si>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</si>
  <si>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</si>
  <si>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</si>
  <si>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</si>
  <si>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</si>
  <si>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</si>
  <si>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</si>
  <si>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</si>
  <si>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</si>
  <si>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</si>
  <si>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</si>
  <si>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</si>
  <si>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</si>
  <si>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</si>
  <si>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</si>
  <si>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</si>
  <si>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</si>
  <si>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</si>
  <si>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</si>
  <si>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</si>
  <si>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</si>
  <si>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</si>
  <si>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</si>
  <si>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</si>
  <si>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</si>
  <si>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</si>
  <si>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</si>
  <si>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</si>
  <si>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</si>
  <si>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</si>
  <si>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</si>
  <si>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</si>
  <si>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</si>
  <si>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</si>
  <si>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</si>
  <si>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</si>
  <si>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</si>
  <si>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</si>
  <si>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</si>
  <si>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</si>
  <si>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</si>
  <si>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</si>
  <si>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</si>
  <si>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</si>
  <si>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</si>
  <si>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</si>
  <si>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</si>
  <si>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</si>
  <si>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</si>
  <si>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</si>
  <si>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</si>
  <si>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</si>
  <si>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</si>
  <si>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</si>
  <si>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</si>
  <si>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</si>
  <si>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</si>
  <si>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</si>
  <si>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</si>
  <si>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</si>
  <si>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</si>
  <si>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</si>
  <si>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</si>
  <si>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</si>
  <si>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</si>
  <si>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</si>
  <si>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</si>
  <si>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</si>
  <si>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</si>
  <si>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</si>
  <si>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</si>
  <si>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</si>
  <si>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</si>
  <si>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</si>
  <si>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</si>
  <si>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</si>
  <si>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</si>
  <si>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</si>
  <si>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</si>
  <si>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</si>
  <si>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</si>
  <si>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</si>
  <si>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</si>
  <si>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</si>
  <si>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</si>
  <si>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</si>
  <si>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</si>
  <si>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</si>
  <si>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</si>
  <si>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</si>
  <si>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</si>
  <si>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</si>
  <si>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</si>
  <si>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</si>
  <si>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</si>
  <si>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</si>
  <si>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</si>
  <si>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</si>
  <si>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</si>
  <si>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</si>
  <si>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</si>
  <si>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</si>
  <si>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</si>
  <si>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</si>
  <si>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</si>
  <si>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</si>
  <si>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</si>
  <si>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</si>
  <si>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</si>
  <si>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</si>
  <si>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</si>
  <si>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</si>
  <si>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</si>
  <si>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</si>
  <si>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</si>
  <si>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</si>
  <si>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</si>
  <si>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</si>
  <si>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</si>
  <si>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</si>
  <si>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</si>
  <si>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</si>
  <si>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</si>
  <si>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</si>
  <si>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</si>
  <si>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</si>
  <si>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</si>
  <si>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</si>
  <si>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</si>
  <si>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</si>
  <si>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</si>
  <si>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</si>
  <si>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</si>
  <si>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</si>
  <si>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</si>
  <si>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</si>
  <si>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</si>
  <si>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</si>
  <si>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</si>
  <si>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</si>
  <si>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</si>
  <si>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</si>
  <si>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</si>
  <si>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</si>
  <si>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</si>
  <si>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</si>
  <si>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</si>
  <si>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</si>
  <si>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</si>
  <si>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</si>
  <si>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</si>
  <si>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</si>
  <si>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</si>
  <si>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</si>
  <si>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</si>
  <si>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</si>
  <si>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</si>
  <si>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</si>
  <si>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</si>
  <si>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</si>
  <si>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</si>
  <si>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</si>
  <si>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</si>
  <si>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</si>
  <si>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</si>
  <si>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</si>
  <si>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</si>
  <si>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</si>
  <si>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</si>
  <si>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</si>
  <si>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</si>
  <si>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</si>
  <si>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</si>
  <si>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</si>
  <si>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</si>
  <si>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</si>
  <si>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</si>
  <si>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</si>
  <si>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</si>
  <si>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</si>
  <si>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</si>
  <si>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</si>
  <si>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SI</t>
  </si>
  <si>
    <t>Slovenia</t>
  </si>
  <si>
    <t>SI - Services sector summary</t>
  </si>
  <si>
    <t>Macro.number.SI.Population</t>
  </si>
  <si>
    <t>Macro.Meuro2015.SI.GDP</t>
  </si>
  <si>
    <t>Macro.Meuro2015.SI.VA</t>
  </si>
  <si>
    <t>Macro.number.SI.Employees</t>
  </si>
  <si>
    <t>NUM.number.SI.Ser.Bld</t>
  </si>
  <si>
    <t>SurfaceArea.ksqm.SI.Ser.Bld</t>
  </si>
  <si>
    <t>NUM.number.SI.Ser.BldNew</t>
  </si>
  <si>
    <t>SurfaceArea.ksqm.SI.Ser.BldNew</t>
  </si>
  <si>
    <t>HDD.Celsius.SI.Actual</t>
  </si>
  <si>
    <t>HDD.Celsius.SI.Mean</t>
  </si>
  <si>
    <t>HDD.ratio.SI.Relative</t>
  </si>
  <si>
    <t>FEC.ktoe.SI.ES.Ser</t>
  </si>
  <si>
    <t>FEC.ktoe.SI.ES.Ser.Solids</t>
  </si>
  <si>
    <t>FEC.ktoe.SI.ES.Ser.LPG</t>
  </si>
  <si>
    <t>FEC.ktoe.SI.ES.Ser.Oil</t>
  </si>
  <si>
    <t>FEC.ktoe.SI.ES.Ser.NG</t>
  </si>
  <si>
    <t>FEC.ktoe.SI.ES.Ser.Biomass_Waste</t>
  </si>
  <si>
    <t>FEC.ktoe.SI.ES.Ser.Biogas</t>
  </si>
  <si>
    <t>FEC.ktoe.SI.ES.Ser.LiqBio</t>
  </si>
  <si>
    <t>FEC.ktoe.SI.ES.Ser.Solar</t>
  </si>
  <si>
    <t>FEC.ktoe.SI.ES.Ser.Geo</t>
  </si>
  <si>
    <t>FEC.ktoe.SI.ES.Ser.Ambient</t>
  </si>
  <si>
    <t>FEC.ktoe.SI.ES.Ser.Steam_Distr</t>
  </si>
  <si>
    <t>FEC.ktoe.SI.ES.Ser.Elec</t>
  </si>
  <si>
    <t>FEC.ktoe.SI.Ser</t>
  </si>
  <si>
    <t>FEC.ktoe.SI.Ser.Bld.Thermal</t>
  </si>
  <si>
    <t>FEC.ktoe.SI.Ser.Bld.Thermal.SH</t>
  </si>
  <si>
    <t>FEC.ktoe.SI.Ser.Bld.Thermal.SC</t>
  </si>
  <si>
    <t>FEC.ktoe.SI.Ser.Bld.Thermal.HW</t>
  </si>
  <si>
    <t>FEC.ktoe.SI.Ser.Bld.Thermal.CA</t>
  </si>
  <si>
    <t>FEC.ktoe.SI.Ser.SEU</t>
  </si>
  <si>
    <t>EMI.ktCO2.SI.ES.Ser</t>
  </si>
  <si>
    <t>EMI.ktCO2.SI.ES.Ser.Solids</t>
  </si>
  <si>
    <t>EMI.ktCO2.SI.ES.Ser.LPG</t>
  </si>
  <si>
    <t>EMI.ktCO2.SI.ES.Ser.Oil</t>
  </si>
  <si>
    <t>EMI.ktCO2.SI.ES.Ser.NG</t>
  </si>
  <si>
    <t>EMI.ktCO2.SI.ES.Ser.Biomass_Waste</t>
  </si>
  <si>
    <t>EMI.ktCO2.SI.ES.Ser.Biogas</t>
  </si>
  <si>
    <t>EMI.ktCO2.SI.ES.Ser.LiqBio</t>
  </si>
  <si>
    <t>EMI.ktCO2.SI.ES.Ser.Solar</t>
  </si>
  <si>
    <t>EMI.ktCO2.SI.ES.Ser.Geo</t>
  </si>
  <si>
    <t>EMI.ktCO2.SI.ES.Ser.Ambient</t>
  </si>
  <si>
    <t>EMI.ktCO2.SI.ES.Ser.Steam_Distr</t>
  </si>
  <si>
    <t>EMI.ktCO2.SI.ES.Ser.Elec</t>
  </si>
  <si>
    <t>EMI.ktCO2.SI.Ser</t>
  </si>
  <si>
    <t>EMI.ktCO2.SI.Ser.Bld.Thermal</t>
  </si>
  <si>
    <t>EMI.ktCO2.SI.Ser.Bld.Thermal.SH</t>
  </si>
  <si>
    <t>EMI.ktCO2.SI.Ser.Bld.Thermal.SC</t>
  </si>
  <si>
    <t>EMI.ktCO2.SI.Ser.Bld.Thermal.HW</t>
  </si>
  <si>
    <t>EMI.ktCO2.SI.Ser.Bld.Thermal.CA</t>
  </si>
  <si>
    <t>EMI.ktCO2.SI.Ser.SEU</t>
  </si>
  <si>
    <t>Eff.ratio.SI.Ser.Bld.Thermal</t>
  </si>
  <si>
    <t>Eff.ratio.SI.Ser.Bld.Thermal.SH</t>
  </si>
  <si>
    <t>Eff.ratio.SI.Ser.Bld.Thermal.SC</t>
  </si>
  <si>
    <t>Eff.ratio.SI.Ser.Bld.Thermal.HW</t>
  </si>
  <si>
    <t>Eff.ratio.SI.Ser.Bld.Thermal.CA</t>
  </si>
  <si>
    <t>SI - Number of buildings</t>
  </si>
  <si>
    <t>NUM.number.SI.Ser.Bld.Thermal</t>
  </si>
  <si>
    <t>NUM.number.SI.Ser.Bld.Thermal.SH</t>
  </si>
  <si>
    <t>NUM.number.SI.Ser.Bld.Thermal.SH.Solids</t>
  </si>
  <si>
    <t>NUM.number.SI.Ser.Bld.Thermal.SH.LPG</t>
  </si>
  <si>
    <t>NUM.number.SI.Ser.Bld.Thermal.SH.Oil</t>
  </si>
  <si>
    <t>NUM.number.SI.Ser.Bld.Thermal.SH.GasHP</t>
  </si>
  <si>
    <t>NUM.number.SI.Ser.Bld.Thermal.SH.GasTH</t>
  </si>
  <si>
    <t>NUM.number.SI.Ser.Bld.Thermal.SH.Biomass</t>
  </si>
  <si>
    <t>NUM.number.SI.Ser.Bld.Thermal.SH.Geo</t>
  </si>
  <si>
    <t>NUM.number.SI.Ser.Bld.Thermal.SH.DistrHeat</t>
  </si>
  <si>
    <t>NUM.number.SI.Ser.Bld.Thermal.SH.AdvElc</t>
  </si>
  <si>
    <t>NUM.number.SI.Ser.Bld.Thermal.SH.ConvElc</t>
  </si>
  <si>
    <t>NUM.number.SI.Ser.Bld.Thermal.SC</t>
  </si>
  <si>
    <t>NUM.number.SI.Ser.Bld.Thermal.SC.GasHP</t>
  </si>
  <si>
    <t>NUM.number.SI.Ser.Bld.Thermal.SC.AC</t>
  </si>
  <si>
    <t>NUM.number.SI.Ser.Bld.Thermal.HW</t>
  </si>
  <si>
    <t>NUM.number.SI.Ser.Bld.Thermal.HW.Solids</t>
  </si>
  <si>
    <t>NUM.number.SI.Ser.Bld.Thermal.HW.LPG</t>
  </si>
  <si>
    <t>NUM.number.SI.Ser.Bld.Thermal.HW.Oil</t>
  </si>
  <si>
    <t>NUM.number.SI.Ser.Bld.Thermal.HW.Gas</t>
  </si>
  <si>
    <t>NUM.number.SI.Ser.Bld.Thermal.HW.Biomass</t>
  </si>
  <si>
    <t>NUM.number.SI.Ser.Bld.Thermal.HW.DistrHeat</t>
  </si>
  <si>
    <t>NUM.number.SI.Ser.Bld.Thermal.HW.Elc</t>
  </si>
  <si>
    <t>NUM.number.SI.Ser.Bld.Thermal.HW.Solar</t>
  </si>
  <si>
    <t>NUM.number.SI.Ser.Bld.Thermal.CA</t>
  </si>
  <si>
    <t>NUM.number.SI.Ser.Bld.Thermal.CA.LPG</t>
  </si>
  <si>
    <t>NUM.number.SI.Ser.Bld.Thermal.CA.Gas</t>
  </si>
  <si>
    <t>NUM.number.SI.Ser.Bld.Thermal.CA.Biomass</t>
  </si>
  <si>
    <t>NUM.number.SI.Ser.Bld.Thermal.CA.Elc</t>
  </si>
  <si>
    <t>SI - Final energy consumption</t>
  </si>
  <si>
    <t>FEC.ktoe.SI.Ser.Bld.Thermal.SH.Solids.Solids</t>
  </si>
  <si>
    <t>FEC.ktoe.SI.Ser.Bld.Thermal.SH.LPG.LPG</t>
  </si>
  <si>
    <t>FEC.ktoe.SI.Ser.Bld.Thermal.SH.Oil.Oil_LiqBio</t>
  </si>
  <si>
    <t>FEC.ktoe.SI.Ser.Bld.Thermal.SH.GasHP.NG_Biogas</t>
  </si>
  <si>
    <t>FEC.ktoe.SI.Ser.Bld.Thermal.SH.GasTH.NG_Biogas</t>
  </si>
  <si>
    <t>FEC.ktoe.SI.Ser.Bld.Thermal.SH.Biomass.Biomass_Waste</t>
  </si>
  <si>
    <t>FEC.ktoe.SI.Ser.Bld.Thermal.SH.Geo.Geo</t>
  </si>
  <si>
    <t>FEC.ktoe.SI.Ser.Bld.Thermal.SH.DistrHeat.Steam_Distr</t>
  </si>
  <si>
    <t>FEC.ktoe.SI.Ser.Bld.Thermal.SH.AdvElc.Elec</t>
  </si>
  <si>
    <t>FEC.ktoe.SI.Ser.Bld.Thermal.SH.ConvElc.Elec</t>
  </si>
  <si>
    <t>FEC.ktoe.SI.Ser.Bld.Thermal.SH.TotalCirculation.Elec</t>
  </si>
  <si>
    <t>FEC.ktoe.SI.Ser.Bld.Thermal.SC.GasHP.NG_Biogas</t>
  </si>
  <si>
    <t>FEC.ktoe.SI.Ser.Bld.Thermal.SC.AC.Elec</t>
  </si>
  <si>
    <t>FEC.ktoe.SI.Ser.Bld.Thermal.HW.Solids.Solids</t>
  </si>
  <si>
    <t>FEC.ktoe.SI.Ser.Bld.Thermal.HW.LPG.LPG</t>
  </si>
  <si>
    <t>FEC.ktoe.SI.Ser.Bld.Thermal.HW.Oil.Oil_LiqBio</t>
  </si>
  <si>
    <t>FEC.ktoe.SI.Ser.Bld.Thermal.HW.Gas.NG_Biogas</t>
  </si>
  <si>
    <t>FEC.ktoe.SI.Ser.Bld.Thermal.HW.Biomass.Biomass_Waste</t>
  </si>
  <si>
    <t>FEC.ktoe.SI.Ser.Bld.Thermal.HW.DistrHeat.Steam_Distr</t>
  </si>
  <si>
    <t>FEC.ktoe.SI.Ser.Bld.Thermal.HW.Elc.Elec</t>
  </si>
  <si>
    <t>FEC.ktoe.SI.Ser.Bld.Thermal.HW.TotalSolar.Solar</t>
  </si>
  <si>
    <t>FEC.ktoe.SI.Ser.Bld.Thermal.CA.LPG</t>
  </si>
  <si>
    <t>FEC.ktoe.SI.Ser.Bld.Thermal.CA.Gas.NG_Biogas</t>
  </si>
  <si>
    <t>FEC.ktoe.SI.Ser.Bld.Thermal.CA.Biomass.Biomass_Waste</t>
  </si>
  <si>
    <t>FEC.ktoe.SI.Ser.Bld.Thermal.CA.Elc.Elec</t>
  </si>
  <si>
    <t>SI - Thermal energy service</t>
  </si>
  <si>
    <t>TES.ktoe.SI.Ser.Bld.Thermal</t>
  </si>
  <si>
    <t>TES.ktoe.SI.Ser.Bld.Thermal.SH</t>
  </si>
  <si>
    <t>TES.ktoe.SI.Ser.Bld.Thermal.SH.Solids.Solids</t>
  </si>
  <si>
    <t>TES.ktoe.SI.Ser.Bld.Thermal.SH.LPG.LPG</t>
  </si>
  <si>
    <t>TES.ktoe.SI.Ser.Bld.Thermal.SH.Oil.Oil_LiqBio</t>
  </si>
  <si>
    <t>TES.ktoe.SI.Ser.Bld.Thermal.SH.GasHP.NG_Biogas</t>
  </si>
  <si>
    <t>TES.ktoe.SI.Ser.Bld.Thermal.SH.GasTH.NG_Biogas</t>
  </si>
  <si>
    <t>TES.ktoe.SI.Ser.Bld.Thermal.SH.Biomass.Biomass_Waste</t>
  </si>
  <si>
    <t>TES.ktoe.SI.Ser.Bld.Thermal.SH.Geo.Geo</t>
  </si>
  <si>
    <t>TES.ktoe.SI.Ser.Bld.Thermal.SH.DistrHeat.Steam_Distr</t>
  </si>
  <si>
    <t>TES.ktoe.SI.Ser.Bld.Thermal.SH.AdvElc.Elec</t>
  </si>
  <si>
    <t>TES.ktoe.SI.Ser.Bld.Thermal.SH.ConvElc.Elec</t>
  </si>
  <si>
    <t>TES.ktoe.SI.Ser.Bld.Thermal.SH.TotalCirculation.Elec</t>
  </si>
  <si>
    <t>TES.ktoe.SI.Ser.Bld.Thermal.SC</t>
  </si>
  <si>
    <t>TES.ktoe.SI.Ser.Bld.Thermal.SC.GasHP.NG_Biogas</t>
  </si>
  <si>
    <t>TES.ktoe.SI.Ser.Bld.Thermal.SC.AC.Elec</t>
  </si>
  <si>
    <t>TES.ktoe.SI.Ser.Bld.Thermal.HW</t>
  </si>
  <si>
    <t>TES.ktoe.SI.Ser.Bld.Thermal.HW.Solids.Solids</t>
  </si>
  <si>
    <t>TES.ktoe.SI.Ser.Bld.Thermal.HW.LPG.LPG</t>
  </si>
  <si>
    <t>TES.ktoe.SI.Ser.Bld.Thermal.HW.Oil.Oil_LiqBio</t>
  </si>
  <si>
    <t>TES.ktoe.SI.Ser.Bld.Thermal.HW.Gas.NG_Biogas</t>
  </si>
  <si>
    <t>TES.ktoe.SI.Ser.Bld.Thermal.HW.Biomass.Biomass_Waste</t>
  </si>
  <si>
    <t>TES.ktoe.SI.Ser.Bld.Thermal.HW.DistrHeat.Steam_Distr</t>
  </si>
  <si>
    <t>TES.ktoe.SI.Ser.Bld.Thermal.HW.Elc.Elec</t>
  </si>
  <si>
    <t>TES.ktoe.SI.Ser.Bld.Thermal.HW.TotalSolar.Solar</t>
  </si>
  <si>
    <t>TES.ktoe.SI.Ser.Bld.Thermal.CA</t>
  </si>
  <si>
    <t>TES.ktoe.SI.Ser.Bld.Thermal.CA.LPG</t>
  </si>
  <si>
    <t>TES.ktoe.SI.Ser.Bld.Thermal.CA.Gas.NG_Biogas</t>
  </si>
  <si>
    <t>TES.ktoe.SI.Ser.Bld.Thermal.CA.Biomass.Biomass_Waste</t>
  </si>
  <si>
    <t>TES.ktoe.SI.Ser.Bld.Thermal.CA.Elc.Elec</t>
  </si>
  <si>
    <t>SI - System efficiency indicator of total stock</t>
  </si>
  <si>
    <t>Eff.ratio.SI.Ser.Bld.Thermal.SH.Solids.Solids</t>
  </si>
  <si>
    <t>Eff.ratio.SI.Ser.Bld.Thermal.SH.LPG.LPG</t>
  </si>
  <si>
    <t>Eff.ratio.SI.Ser.Bld.Thermal.SH.Oil.Oil_LiqBio</t>
  </si>
  <si>
    <t>Eff.ratio.SI.Ser.Bld.Thermal.SH.GasHP.NG_Biogas</t>
  </si>
  <si>
    <t>Eff.ratio.SI.Ser.Bld.Thermal.SH.GasTH.NG_Biogas</t>
  </si>
  <si>
    <t>Eff.ratio.SI.Ser.Bld.Thermal.SH.Biomass.Biomass_Waste</t>
  </si>
  <si>
    <t>Eff.ratio.SI.Ser.Bld.Thermal.SH.Geo.Geo</t>
  </si>
  <si>
    <t>Eff.ratio.SI.Ser.Bld.Thermal.SH.DistrHeat.Steam_Distr</t>
  </si>
  <si>
    <t>Eff.ratio.SI.Ser.Bld.Thermal.SH.AdvElc.Elec</t>
  </si>
  <si>
    <t>Eff.ratio.SI.Ser.Bld.Thermal.SH.ConvElc.Elec</t>
  </si>
  <si>
    <t>Eff.ratio.SI.Ser.Bld.Thermal.SH.TotalCirculation.Elec</t>
  </si>
  <si>
    <t>Eff.ratio.SI.Ser.Bld.Thermal.SC.GasHP.NG_Biogas</t>
  </si>
  <si>
    <t>Eff.ratio.SI.Ser.Bld.Thermal.SC.AC.Elec</t>
  </si>
  <si>
    <t>Eff.ratio.SI.Ser.Bld.Thermal.HW.Solids.Solids</t>
  </si>
  <si>
    <t>Eff.ratio.SI.Ser.Bld.Thermal.HW.LPG.LPG</t>
  </si>
  <si>
    <t>Eff.ratio.SI.Ser.Bld.Thermal.HW.Oil.Oil_LiqBio</t>
  </si>
  <si>
    <t>Eff.ratio.SI.Ser.Bld.Thermal.HW.Gas.NG_Biogas</t>
  </si>
  <si>
    <t>Eff.ratio.SI.Ser.Bld.Thermal.HW.Biomass.Biomass_Waste</t>
  </si>
  <si>
    <t>Eff.ratio.SI.Ser.Bld.Thermal.HW.DistrHeat.Steam_Distr</t>
  </si>
  <si>
    <t>Eff.ratio.SI.Ser.Bld.Thermal.HW.Elc.Elec</t>
  </si>
  <si>
    <t>Eff.ratio.SI.Ser.Bld.Thermal.HW.TotalSolar.Solar</t>
  </si>
  <si>
    <t>Eff.ratio.SI.Ser.Bld.Thermal.CA.LPG</t>
  </si>
  <si>
    <t>Eff.ratio.SI.Ser.Bld.Thermal.CA.Gas.NG_Biogas</t>
  </si>
  <si>
    <t>Eff.ratio.SI.Ser.Bld.Thermal.CA.Biomass.Biomass_Waste</t>
  </si>
  <si>
    <t>Eff.ratio.SI.Ser.Bld.Thermal.CA.Elc.Elec</t>
  </si>
  <si>
    <t>SI - CO2 emissions</t>
  </si>
  <si>
    <t>EMI.ktCO2.SI.Ser.Bld.Thermal.SH.Solids.Solids</t>
  </si>
  <si>
    <t>EMI.ktCO2.SI.Ser.Bld.Thermal.SH.LPG.LPG</t>
  </si>
  <si>
    <t>EMI.ktCO2.SI.Ser.Bld.Thermal.SH.Oil.Oil_LiqBio</t>
  </si>
  <si>
    <t>EMI.ktCO2.SI.Ser.Bld.Thermal.SH.GasHP.NG_Biogas</t>
  </si>
  <si>
    <t>EMI.ktCO2.SI.Ser.Bld.Thermal.SH.GasTH.NG_Biogas</t>
  </si>
  <si>
    <t>EMI.ktCO2.SI.Ser.Bld.Thermal.SH.Biomass.Biomass_Waste</t>
  </si>
  <si>
    <t>EMI.ktCO2.SI.Ser.Bld.Thermal.SH.Geo.Geo</t>
  </si>
  <si>
    <t>EMI.ktCO2.SI.Ser.Bld.Thermal.SH.DistrHeat.Steam_Distr</t>
  </si>
  <si>
    <t>EMI.ktCO2.SI.Ser.Bld.Thermal.SH.AdvElc.Elec</t>
  </si>
  <si>
    <t>EMI.ktCO2.SI.Ser.Bld.Thermal.SH.ConvElc.Elec</t>
  </si>
  <si>
    <t>EMI.ktCO2.SI.Ser.Bld.Thermal.SH.TotalCirculation.Elec</t>
  </si>
  <si>
    <t>EMI.ktCO2.SI.Ser.Bld.Thermal.SC.GasHP.NG_Biogas</t>
  </si>
  <si>
    <t>EMI.ktCO2.SI.Ser.Bld.Thermal.SC.AC.Elec</t>
  </si>
  <si>
    <t>EMI.ktCO2.SI.Ser.Bld.Thermal.HW.Solids.Solids</t>
  </si>
  <si>
    <t>EMI.ktCO2.SI.Ser.Bld.Thermal.HW.LPG.LPG</t>
  </si>
  <si>
    <t>EMI.ktCO2.SI.Ser.Bld.Thermal.HW.Oil.Oil_LiqBio</t>
  </si>
  <si>
    <t>EMI.ktCO2.SI.Ser.Bld.Thermal.HW.Gas.NG_Biogas</t>
  </si>
  <si>
    <t>EMI.ktCO2.SI.Ser.Bld.Thermal.HW.Biomass.Biomass_Waste</t>
  </si>
  <si>
    <t>EMI.ktCO2.SI.Ser.Bld.Thermal.HW.DistrHeat.Steam_Distr</t>
  </si>
  <si>
    <t>EMI.ktCO2.SI.Ser.Bld.Thermal.HW.Elc.Elec</t>
  </si>
  <si>
    <t>EMI.ktCO2.SI.Ser.Bld.Thermal.HW.TotalSolar.Solar</t>
  </si>
  <si>
    <t>EMI.ktCO2.SI.Ser.Bld.Thermal.CA.LPG</t>
  </si>
  <si>
    <t>EMI.ktCO2.SI.Ser.Bld.Thermal.CA.Gas.NG_Biogas</t>
  </si>
  <si>
    <t>EMI.ktCO2.SI.Ser.Bld.Thermal.CA.Biomass.Biomass_Waste</t>
  </si>
  <si>
    <t>EMI.ktCO2.SI.Ser.Bld.Thermal.CA.Elc.Elec</t>
  </si>
  <si>
    <t>SI - Final energy consumption per building</t>
  </si>
  <si>
    <t>FEC_per_building.kWh.SI.Ser.Bld.Thermal</t>
  </si>
  <si>
    <t>FEC_per_building.kWh.SI.Ser.Bld.Thermal.SH</t>
  </si>
  <si>
    <t>FEC_per_building.kWh.SI.Ser.Bld.Thermal.SH.Solids.Solids</t>
  </si>
  <si>
    <t>FEC_per_building.kWh.SI.Ser.Bld.Thermal.SH.LPG.LPG</t>
  </si>
  <si>
    <t>FEC_per_building.kWh.SI.Ser.Bld.Thermal.SH.Oil.Oil_LiqBio</t>
  </si>
  <si>
    <t>FEC_per_building.kWh.SI.Ser.Bld.Thermal.SH.GasHP.NG_Biogas</t>
  </si>
  <si>
    <t>FEC_per_building.kWh.SI.Ser.Bld.Thermal.SH.GasTH.NG_Biogas</t>
  </si>
  <si>
    <t>FEC_per_building.kWh.SI.Ser.Bld.Thermal.SH.Biomass.Biomass_Waste</t>
  </si>
  <si>
    <t>FEC_per_building.kWh.SI.Ser.Bld.Thermal.SH.Geo.Geo</t>
  </si>
  <si>
    <t>FEC_per_building.kWh.SI.Ser.Bld.Thermal.SH.DistrHeat.Steam_Distr</t>
  </si>
  <si>
    <t>FEC_per_building.kWh.SI.Ser.Bld.Thermal.SH.AdvElc.Elec</t>
  </si>
  <si>
    <t>FEC_per_building.kWh.SI.Ser.Bld.Thermal.SH.ConvElc.Elec</t>
  </si>
  <si>
    <t>FEC_per_building.kWh.SI.Ser.Bld.Thermal.SH.TotalCirculation.Elec</t>
  </si>
  <si>
    <t>FEC_per_building.kWh.SI.Ser.Bld.Thermal.SC</t>
  </si>
  <si>
    <t>FEC_per_building.kWh.SI.Ser.Bld.Thermal.SC.GasHP.NG_Biogas</t>
  </si>
  <si>
    <t>FEC_per_building.kWh.SI.Ser.Bld.Thermal.SC.AC.Elec</t>
  </si>
  <si>
    <t>FEC_per_building.kWh.SI.Ser.Bld.Thermal.HW</t>
  </si>
  <si>
    <t>FEC_per_building.kWh.SI.Ser.Bld.Thermal.HW.Solids.Solids</t>
  </si>
  <si>
    <t>FEC_per_building.kWh.SI.Ser.Bld.Thermal.HW.LPG.LPG</t>
  </si>
  <si>
    <t>FEC_per_building.kWh.SI.Ser.Bld.Thermal.HW.Oil.Oil_LiqBio</t>
  </si>
  <si>
    <t>FEC_per_building.kWh.SI.Ser.Bld.Thermal.HW.Gas.NG_Biogas</t>
  </si>
  <si>
    <t>FEC_per_building.kWh.SI.Ser.Bld.Thermal.HW.Biomass.Biomass_Waste</t>
  </si>
  <si>
    <t>FEC_per_building.kWh.SI.Ser.Bld.Thermal.HW.DistrHeat.Steam_Distr</t>
  </si>
  <si>
    <t>FEC_per_building.kWh.SI.Ser.Bld.Thermal.HW.Elc.Elec</t>
  </si>
  <si>
    <t>FEC_per_building.kWh.SI.Ser.Bld.Thermal.HW.TotalSolar.Solar</t>
  </si>
  <si>
    <t>FEC_per_building.kWh.SI.Ser.Bld.Thermal.CA</t>
  </si>
  <si>
    <t>FEC_per_building.kWh.SI.Ser.Bld.Thermal.CA.LPG</t>
  </si>
  <si>
    <t>FEC_per_building.kWh.SI.Ser.Bld.Thermal.CA.Gas.NG_Biogas</t>
  </si>
  <si>
    <t>FEC_per_building.kWh.SI.Ser.Bld.Thermal.CA.Biomass.Biomass_Waste</t>
  </si>
  <si>
    <t>FEC_per_building.kWh.SI.Ser.Bld.Thermal.CA.Elc.Elec</t>
  </si>
  <si>
    <t>SI - Thermal energy service per building</t>
  </si>
  <si>
    <t>TES_per_building.kWh.SI.Ser.Bld.Thermal</t>
  </si>
  <si>
    <t>TES_per_building.kWh.SI.Ser.Bld.Thermal.SH</t>
  </si>
  <si>
    <t>TES_per_building.kWh.SI.Ser.Bld.Thermal.SH.Solids.Solids</t>
  </si>
  <si>
    <t>TES_per_building.kWh.SI.Ser.Bld.Thermal.SH.LPG.LPG</t>
  </si>
  <si>
    <t>TES_per_building.kWh.SI.Ser.Bld.Thermal.SH.Oil.Oil_LiqBio</t>
  </si>
  <si>
    <t>TES_per_building.kWh.SI.Ser.Bld.Thermal.SH.GasHP.NG_Biogas</t>
  </si>
  <si>
    <t>TES_per_building.kWh.SI.Ser.Bld.Thermal.SH.GasTH.NG_Biogas</t>
  </si>
  <si>
    <t>TES_per_building.kWh.SI.Ser.Bld.Thermal.SH.Biomass.Biomass_Waste</t>
  </si>
  <si>
    <t>TES_per_building.kWh.SI.Ser.Bld.Thermal.SH.Geo.Geo</t>
  </si>
  <si>
    <t>TES_per_building.kWh.SI.Ser.Bld.Thermal.SH.DistrHeat.Steam_Distr</t>
  </si>
  <si>
    <t>TES_per_building.kWh.SI.Ser.Bld.Thermal.SH.AdvElc.Elec</t>
  </si>
  <si>
    <t>TES_per_building.kWh.SI.Ser.Bld.Thermal.SH.ConvElc.Elec</t>
  </si>
  <si>
    <t>TES_per_building.kWh.SI.Ser.Bld.Thermal.SH.TotalCirculation.Elec</t>
  </si>
  <si>
    <t>TES_per_building.kWh.SI.Ser.Bld.Thermal.SC</t>
  </si>
  <si>
    <t>TES_per_building.kWh.SI.Ser.Bld.Thermal.SC.GasHP.NG_Biogas</t>
  </si>
  <si>
    <t>TES_per_building.kWh.SI.Ser.Bld.Thermal.SC.AC.Elec</t>
  </si>
  <si>
    <t>TES_per_building.kWh.SI.Ser.Bld.Thermal.HW</t>
  </si>
  <si>
    <t>TES_per_building.kWh.SI.Ser.Bld.Thermal.HW.Solids.Solids</t>
  </si>
  <si>
    <t>TES_per_building.kWh.SI.Ser.Bld.Thermal.HW.LPG.LPG</t>
  </si>
  <si>
    <t>TES_per_building.kWh.SI.Ser.Bld.Thermal.HW.Oil.Oil_LiqBio</t>
  </si>
  <si>
    <t>TES_per_building.kWh.SI.Ser.Bld.Thermal.HW.Gas.NG_Biogas</t>
  </si>
  <si>
    <t>TES_per_building.kWh.SI.Ser.Bld.Thermal.HW.Biomass.Biomass_Waste</t>
  </si>
  <si>
    <t>TES_per_building.kWh.SI.Ser.Bld.Thermal.HW.DistrHeat.Steam_Distr</t>
  </si>
  <si>
    <t>TES_per_building.kWh.SI.Ser.Bld.Thermal.HW.Elc.Elec</t>
  </si>
  <si>
    <t>TES_per_building.kWh.SI.Ser.Bld.Thermal.HW.TotalSolar.Solar</t>
  </si>
  <si>
    <t>TES_per_building.kWh.SI.Ser.Bld.Thermal.CA</t>
  </si>
  <si>
    <t>TES_per_building.kWh.SI.Ser.Bld.Thermal.CA.LPG</t>
  </si>
  <si>
    <t>TES_per_building.kWh.SI.Ser.Bld.Thermal.CA.Gas.NG_Biogas</t>
  </si>
  <si>
    <t>TES_per_building.kWh.SI.Ser.Bld.Thermal.CA.Biomass.Biomass_Waste</t>
  </si>
  <si>
    <t>TES_per_building.kWh.SI.Ser.Bld.Thermal.CA.Elc.Elec</t>
  </si>
  <si>
    <t>SI - CO2 emissions per building</t>
  </si>
  <si>
    <t>EMI_per_building.kgCO2.SI.Ser.Bld.Thermal</t>
  </si>
  <si>
    <t>EMI_per_building.kgCO2.SI.Ser.Bld.Thermal.SH</t>
  </si>
  <si>
    <t>EMI_per_building.kgCO2.SI.Ser.Bld.Thermal.SH.Solids.Solids</t>
  </si>
  <si>
    <t>EMI_per_building.kgCO2.SI.Ser.Bld.Thermal.SH.LPG.LPG</t>
  </si>
  <si>
    <t>EMI_per_building.kgCO2.SI.Ser.Bld.Thermal.SH.Oil.Oil_LiqBio</t>
  </si>
  <si>
    <t>EMI_per_building.kgCO2.SI.Ser.Bld.Thermal.SH.GasHP.NG_Biogas</t>
  </si>
  <si>
    <t>EMI_per_building.kgCO2.SI.Ser.Bld.Thermal.SH.GasTH.NG_Biogas</t>
  </si>
  <si>
    <t>EMI_per_building.kgCO2.SI.Ser.Bld.Thermal.SH.Biomass.Biomass_Waste</t>
  </si>
  <si>
    <t>EMI_per_building.kgCO2.SI.Ser.Bld.Thermal.SH.Geo.Geo</t>
  </si>
  <si>
    <t>EMI_per_building.kgCO2.SI.Ser.Bld.Thermal.SH.DistrHeat.Steam_Distr</t>
  </si>
  <si>
    <t>EMI_per_building.kgCO2.SI.Ser.Bld.Thermal.SH.AdvElc.Elec</t>
  </si>
  <si>
    <t>EMI_per_building.kgCO2.SI.Ser.Bld.Thermal.SH.ConvElc.Elec</t>
  </si>
  <si>
    <t>EMI_per_building.kgCO2.SI.Ser.Bld.Thermal.SH.TotalCirculation.Elec</t>
  </si>
  <si>
    <t>EMI_per_building.kgCO2.SI.Ser.Bld.Thermal.SC</t>
  </si>
  <si>
    <t>EMI_per_building.kgCO2.SI.Ser.Bld.Thermal.SC.GasHP.NG_Biogas</t>
  </si>
  <si>
    <t>EMI_per_building.kgCO2.SI.Ser.Bld.Thermal.SC.AC.Elec</t>
  </si>
  <si>
    <t>EMI_per_building.kgCO2.SI.Ser.Bld.Thermal.HW</t>
  </si>
  <si>
    <t>EMI_per_building.kgCO2.SI.Ser.Bld.Thermal.HW.Solids.Solids</t>
  </si>
  <si>
    <t>EMI_per_building.kgCO2.SI.Ser.Bld.Thermal.HW.LPG.LPG</t>
  </si>
  <si>
    <t>EMI_per_building.kgCO2.SI.Ser.Bld.Thermal.HW.Oil.Oil_LiqBio</t>
  </si>
  <si>
    <t>EMI_per_building.kgCO2.SI.Ser.Bld.Thermal.HW.Gas.NG_Biogas</t>
  </si>
  <si>
    <t>EMI_per_building.kgCO2.SI.Ser.Bld.Thermal.HW.Biomass.Biomass_Waste</t>
  </si>
  <si>
    <t>EMI_per_building.kgCO2.SI.Ser.Bld.Thermal.HW.DistrHeat.Steam_Distr</t>
  </si>
  <si>
    <t>EMI_per_building.kgCO2.SI.Ser.Bld.Thermal.HW.Elc.Elec</t>
  </si>
  <si>
    <t>EMI_per_building.kgCO2.SI.Ser.Bld.Thermal.HW.TotalSolar.Solar</t>
  </si>
  <si>
    <t>EMI_per_building.kgCO2.SI.Ser.Bld.Thermal.CA</t>
  </si>
  <si>
    <t>EMI_per_building.kgCO2.SI.Ser.Bld.Thermal.CA.LPG</t>
  </si>
  <si>
    <t>EMI_per_building.kgCO2.SI.Ser.Bld.Thermal.CA.Gas.NG_Biogas</t>
  </si>
  <si>
    <t>EMI_per_building.kgCO2.SI.Ser.Bld.Thermal.CA.Biomass.Biomass_Waste</t>
  </si>
  <si>
    <t>EMI_per_building.kgCO2.SI.Ser.Bld.Thermal.CA.Elc.Elec</t>
  </si>
  <si>
    <t>SI - Final energy consumption per useful surface area</t>
  </si>
  <si>
    <t>FEC_per_sqm.kWh.SI.Ser.Bld.Thermal</t>
  </si>
  <si>
    <t>FEC_per_sqm.kWh.SI.Ser.Bld.Thermal.SH</t>
  </si>
  <si>
    <t>FEC_per_sqm.kWh.SI.Ser.Bld.Thermal.SH.Solids.Solids</t>
  </si>
  <si>
    <t>FEC_per_sqm.kWh.SI.Ser.Bld.Thermal.SH.LPG.LPG</t>
  </si>
  <si>
    <t>FEC_per_sqm.kWh.SI.Ser.Bld.Thermal.SH.Oil.Oil_LiqBio</t>
  </si>
  <si>
    <t>FEC_per_sqm.kWh.SI.Ser.Bld.Thermal.SH.GasHP.NG_Biogas</t>
  </si>
  <si>
    <t>FEC_per_sqm.kWh.SI.Ser.Bld.Thermal.SH.GasTH.NG_Biogas</t>
  </si>
  <si>
    <t>FEC_per_sqm.kWh.SI.Ser.Bld.Thermal.SH.Biomass.Biomass_Waste</t>
  </si>
  <si>
    <t>FEC_per_sqm.kWh.SI.Ser.Bld.Thermal.SH.Geo.Geo</t>
  </si>
  <si>
    <t>FEC_per_sqm.kWh.SI.Ser.Bld.Thermal.SH.DistrHeat.Steam_Distr</t>
  </si>
  <si>
    <t>FEC_per_sqm.kWh.SI.Ser.Bld.Thermal.SH.AdvElc.Elec</t>
  </si>
  <si>
    <t>FEC_per_sqm.kWh.SI.Ser.Bld.Thermal.SH.ConvElc.Elec</t>
  </si>
  <si>
    <t>FEC_per_sqm.kWh.SI.Ser.Bld.Thermal.SH.TotalCirculation.Elec</t>
  </si>
  <si>
    <t>FEC_per_sqm.kWh.SI.Ser.Bld.Thermal.SC</t>
  </si>
  <si>
    <t>FEC_per_sqm.kWh.SI.Ser.Bld.Thermal.SC.GasHP.NG_Biogas</t>
  </si>
  <si>
    <t>FEC_per_sqm.kWh.SI.Ser.Bld.Thermal.SC.AC.Elec</t>
  </si>
  <si>
    <t>FEC_per_sqm.kWh.SI.Ser.Bld.Thermal.HW</t>
  </si>
  <si>
    <t>FEC_per_sqm.kWh.SI.Ser.Bld.Thermal.HW.Solids.Solids</t>
  </si>
  <si>
    <t>FEC_per_sqm.kWh.SI.Ser.Bld.Thermal.HW.LPG.LPG</t>
  </si>
  <si>
    <t>FEC_per_sqm.kWh.SI.Ser.Bld.Thermal.HW.Oil.Oil_LiqBio</t>
  </si>
  <si>
    <t>FEC_per_sqm.kWh.SI.Ser.Bld.Thermal.HW.Gas.NG_Biogas</t>
  </si>
  <si>
    <t>FEC_per_sqm.kWh.SI.Ser.Bld.Thermal.HW.Biomass.Biomass_Waste</t>
  </si>
  <si>
    <t>FEC_per_sqm.kWh.SI.Ser.Bld.Thermal.HW.DistrHeat.Steam_Distr</t>
  </si>
  <si>
    <t>FEC_per_sqm.kWh.SI.Ser.Bld.Thermal.HW.Elc.Elec</t>
  </si>
  <si>
    <t>FEC_per_sqm.kWh.SI.Ser.Bld.Thermal.HW.TotalSolar.Solar</t>
  </si>
  <si>
    <t>FEC_per_sqm.kWh.SI.Ser.Bld.Thermal.CA</t>
  </si>
  <si>
    <t>FEC_per_sqm.kWh.SI.Ser.Bld.Thermal.CA.LPG</t>
  </si>
  <si>
    <t>FEC_per_sqm.kWh.SI.Ser.Bld.Thermal.CA.Gas.NG_Biogas</t>
  </si>
  <si>
    <t>FEC_per_sqm.kWh.SI.Ser.Bld.Thermal.CA.Biomass.Biomass_Waste</t>
  </si>
  <si>
    <t>FEC_per_sqm.kWh.SI.Ser.Bld.Thermal.CA.Elc.Elec</t>
  </si>
  <si>
    <t>SI - Thermal energy service per useful surface area</t>
  </si>
  <si>
    <t>TES_per_sqm.kWh.SI.Ser.Bld.Thermal</t>
  </si>
  <si>
    <t>TES_per_sqm.kWh.SI.Ser.Bld.Thermal.SH</t>
  </si>
  <si>
    <t>TES_per_sqm.kWh.SI.Ser.Bld.Thermal.SH.Solids.Solids</t>
  </si>
  <si>
    <t>TES_per_sqm.kWh.SI.Ser.Bld.Thermal.SH.LPG.LPG</t>
  </si>
  <si>
    <t>TES_per_sqm.kWh.SI.Ser.Bld.Thermal.SH.Oil.Oil_LiqBio</t>
  </si>
  <si>
    <t>TES_per_sqm.kWh.SI.Ser.Bld.Thermal.SH.GasHP.NG_Biogas</t>
  </si>
  <si>
    <t>TES_per_sqm.kWh.SI.Ser.Bld.Thermal.SH.GasTH.NG_Biogas</t>
  </si>
  <si>
    <t>TES_per_sqm.kWh.SI.Ser.Bld.Thermal.SH.Biomass.Biomass_Waste</t>
  </si>
  <si>
    <t>TES_per_sqm.kWh.SI.Ser.Bld.Thermal.SH.Geo.Geo</t>
  </si>
  <si>
    <t>TES_per_sqm.kWh.SI.Ser.Bld.Thermal.SH.DistrHeat.Steam_Distr</t>
  </si>
  <si>
    <t>TES_per_sqm.kWh.SI.Ser.Bld.Thermal.SH.AdvElc.Elec</t>
  </si>
  <si>
    <t>TES_per_sqm.kWh.SI.Ser.Bld.Thermal.SH.ConvElc.Elec</t>
  </si>
  <si>
    <t>TES_per_sqm.kWh.SI.Ser.Bld.Thermal.SH.TotalCirculation.Elec</t>
  </si>
  <si>
    <t>TES_per_sqm.kWh.SI.Ser.Bld.Thermal.SC</t>
  </si>
  <si>
    <t>TES_per_sqm.kWh.SI.Ser.Bld.Thermal.SC.GasHP.NG_Biogas</t>
  </si>
  <si>
    <t>TES_per_sqm.kWh.SI.Ser.Bld.Thermal.SC.AC.Elec</t>
  </si>
  <si>
    <t>TES_per_sqm.kWh.SI.Ser.Bld.Thermal.HW</t>
  </si>
  <si>
    <t>TES_per_sqm.kWh.SI.Ser.Bld.Thermal.HW.Solids.Solids</t>
  </si>
  <si>
    <t>TES_per_sqm.kWh.SI.Ser.Bld.Thermal.HW.LPG.LPG</t>
  </si>
  <si>
    <t>TES_per_sqm.kWh.SI.Ser.Bld.Thermal.HW.Oil.Oil_LiqBio</t>
  </si>
  <si>
    <t>TES_per_sqm.kWh.SI.Ser.Bld.Thermal.HW.Gas.NG_Biogas</t>
  </si>
  <si>
    <t>TES_per_sqm.kWh.SI.Ser.Bld.Thermal.HW.Biomass.Biomass_Waste</t>
  </si>
  <si>
    <t>TES_per_sqm.kWh.SI.Ser.Bld.Thermal.HW.DistrHeat.Steam_Distr</t>
  </si>
  <si>
    <t>TES_per_sqm.kWh.SI.Ser.Bld.Thermal.HW.Elc.Elec</t>
  </si>
  <si>
    <t>TES_per_sqm.kWh.SI.Ser.Bld.Thermal.HW.TotalSolar.Solar</t>
  </si>
  <si>
    <t>TES_per_sqm.kWh.SI.Ser.Bld.Thermal.CA</t>
  </si>
  <si>
    <t>TES_per_sqm.kWh.SI.Ser.Bld.Thermal.CA.LPG</t>
  </si>
  <si>
    <t>TES_per_sqm.kWh.SI.Ser.Bld.Thermal.CA.Gas.NG_Biogas</t>
  </si>
  <si>
    <t>TES_per_sqm.kWh.SI.Ser.Bld.Thermal.CA.Biomass.Biomass_Waste</t>
  </si>
  <si>
    <t>TES_per_sqm.kWh.SI.Ser.Bld.Thermal.CA.Elc.Elec</t>
  </si>
  <si>
    <t>SI - CO2 emissions per useful surface area</t>
  </si>
  <si>
    <t>EMI_per_sqm.kgCO2.SI.Ser.Bld.Thermal</t>
  </si>
  <si>
    <t>EMI_per_sqm.kgCO2.SI.Ser.Bld.Thermal.SH</t>
  </si>
  <si>
    <t>EMI_per_sqm.kgCO2.SI.Ser.Bld.Thermal.SH.Solids.Solids</t>
  </si>
  <si>
    <t>EMI_per_sqm.kgCO2.SI.Ser.Bld.Thermal.SH.LPG.LPG</t>
  </si>
  <si>
    <t>EMI_per_sqm.kgCO2.SI.Ser.Bld.Thermal.SH.Oil.Oil_LiqBio</t>
  </si>
  <si>
    <t>EMI_per_sqm.kgCO2.SI.Ser.Bld.Thermal.SH.GasHP.NG_Biogas</t>
  </si>
  <si>
    <t>EMI_per_sqm.kgCO2.SI.Ser.Bld.Thermal.SH.GasTH.NG_Biogas</t>
  </si>
  <si>
    <t>EMI_per_sqm.kgCO2.SI.Ser.Bld.Thermal.SH.Biomass.Biomass_Waste</t>
  </si>
  <si>
    <t>EMI_per_sqm.kgCO2.SI.Ser.Bld.Thermal.SH.Geo.Geo</t>
  </si>
  <si>
    <t>EMI_per_sqm.kgCO2.SI.Ser.Bld.Thermal.SH.DistrHeat.Steam_Distr</t>
  </si>
  <si>
    <t>EMI_per_sqm.kgCO2.SI.Ser.Bld.Thermal.SH.AdvElc.Elec</t>
  </si>
  <si>
    <t>EMI_per_sqm.kgCO2.SI.Ser.Bld.Thermal.SH.ConvElc.Elec</t>
  </si>
  <si>
    <t>EMI_per_sqm.kgCO2.SI.Ser.Bld.Thermal.SH.TotalCirculation.Elec</t>
  </si>
  <si>
    <t>EMI_per_sqm.kgCO2.SI.Ser.Bld.Thermal.SC</t>
  </si>
  <si>
    <t>EMI_per_sqm.kgCO2.SI.Ser.Bld.Thermal.SC.GasHP.NG_Biogas</t>
  </si>
  <si>
    <t>EMI_per_sqm.kgCO2.SI.Ser.Bld.Thermal.SC.AC.Elec</t>
  </si>
  <si>
    <t>EMI_per_sqm.kgCO2.SI.Ser.Bld.Thermal.HW</t>
  </si>
  <si>
    <t>EMI_per_sqm.kgCO2.SI.Ser.Bld.Thermal.HW.Solids.Solids</t>
  </si>
  <si>
    <t>EMI_per_sqm.kgCO2.SI.Ser.Bld.Thermal.HW.LPG.LPG</t>
  </si>
  <si>
    <t>EMI_per_sqm.kgCO2.SI.Ser.Bld.Thermal.HW.Oil.Oil_LiqBio</t>
  </si>
  <si>
    <t>EMI_per_sqm.kgCO2.SI.Ser.Bld.Thermal.HW.Gas.NG_Biogas</t>
  </si>
  <si>
    <t>EMI_per_sqm.kgCO2.SI.Ser.Bld.Thermal.HW.Biomass.Biomass_Waste</t>
  </si>
  <si>
    <t>EMI_per_sqm.kgCO2.SI.Ser.Bld.Thermal.HW.DistrHeat.Steam_Distr</t>
  </si>
  <si>
    <t>EMI_per_sqm.kgCO2.SI.Ser.Bld.Thermal.HW.Elc.Elec</t>
  </si>
  <si>
    <t>EMI_per_sqm.kgCO2.SI.Ser.Bld.Thermal.HW.TotalSolar.Solar</t>
  </si>
  <si>
    <t>EMI_per_sqm.kgCO2.SI.Ser.Bld.Thermal.CA</t>
  </si>
  <si>
    <t>EMI_per_sqm.kgCO2.SI.Ser.Bld.Thermal.CA.LPG</t>
  </si>
  <si>
    <t>EMI_per_sqm.kgCO2.SI.Ser.Bld.Thermal.CA.Gas.NG_Biogas</t>
  </si>
  <si>
    <t>EMI_per_sqm.kgCO2.SI.Ser.Bld.Thermal.CA.Biomass.Biomass_Waste</t>
  </si>
  <si>
    <t>EMI_per_sqm.kgCO2.SI.Ser.Bld.Thermal.CA.Elc.Elec</t>
  </si>
  <si>
    <t>SI - Number of new and renovated buildings</t>
  </si>
  <si>
    <t>NUM.number.SI.Ser.BldNew.Thermal</t>
  </si>
  <si>
    <t>NUM.number.SI.Ser.BldNew.Thermal.SH</t>
  </si>
  <si>
    <t>NUM.number.SI.Ser.BldNew.Thermal.SH.Solids</t>
  </si>
  <si>
    <t>NUM.number.SI.Ser.BldNew.Thermal.SH.LPG</t>
  </si>
  <si>
    <t>NUM.number.SI.Ser.BldNew.Thermal.SH.Oil</t>
  </si>
  <si>
    <t>NUM.number.SI.Ser.BldNew.Thermal.SH.GasHP</t>
  </si>
  <si>
    <t>NUM.number.SI.Ser.BldNew.Thermal.SH.GasTH</t>
  </si>
  <si>
    <t>NUM.number.SI.Ser.BldNew.Thermal.SH.Biomass</t>
  </si>
  <si>
    <t>NUM.number.SI.Ser.BldNew.Thermal.SH.Geo</t>
  </si>
  <si>
    <t>NUM.number.SI.Ser.BldNew.Thermal.SH.DistrHeat</t>
  </si>
  <si>
    <t>NUM.number.SI.Ser.BldNew.Thermal.SH.AdvElc</t>
  </si>
  <si>
    <t>NUM.number.SI.Ser.BldNew.Thermal.SH.ConvElc</t>
  </si>
  <si>
    <t>NUM.number.SI.Ser.BldNew.Thermal.SC</t>
  </si>
  <si>
    <t>NUM.number.SI.Ser.BldNew.Thermal.SC.GasHP</t>
  </si>
  <si>
    <t>NUM.number.SI.Ser.BldNew.Thermal.SC.AC</t>
  </si>
  <si>
    <t>NUM.number.SI.Ser.BldNew.Thermal.HW</t>
  </si>
  <si>
    <t>NUM.number.SI.Ser.BldNew.Thermal.HW.Solids</t>
  </si>
  <si>
    <t>NUM.number.SI.Ser.BldNew.Thermal.HW.LPG</t>
  </si>
  <si>
    <t>NUM.number.SI.Ser.BldNew.Thermal.HW.Oil</t>
  </si>
  <si>
    <t>NUM.number.SI.Ser.BldNew.Thermal.HW.Gas</t>
  </si>
  <si>
    <t>NUM.number.SI.Ser.BldNew.Thermal.HW.Biomass</t>
  </si>
  <si>
    <t>NUM.number.SI.Ser.BldNew.Thermal.HW.DistrHeat</t>
  </si>
  <si>
    <t>NUM.number.SI.Ser.BldNew.Thermal.HW.Elc</t>
  </si>
  <si>
    <t>NUM.number.SI.Ser.BldNew.Thermal.HW.Solar</t>
  </si>
  <si>
    <t>NUM.number.SI.Ser.BldNew.Thermal.CA</t>
  </si>
  <si>
    <t>NUM.number.SI.Ser.BldNew.Thermal.CA.LPG</t>
  </si>
  <si>
    <t>NUM.number.SI.Ser.BldNew.Thermal.CA.Gas</t>
  </si>
  <si>
    <t>NUM.number.SI.Ser.BldNew.Thermal.CA.Biomass</t>
  </si>
  <si>
    <t>NUM.number.SI.Ser.BldNew.Thermal.CA.Elc</t>
  </si>
  <si>
    <t>SI - Final energy consumption in new and renovated buildings</t>
  </si>
  <si>
    <t>FEC.ktoe.SI.Ser.BldNew.Thermal</t>
  </si>
  <si>
    <t>FEC.ktoe.SI.Ser.BldNew.Thermal.SH</t>
  </si>
  <si>
    <t>FEC.ktoe.SI.Ser.BldNew.Thermal.SH.Solids.Solids</t>
  </si>
  <si>
    <t>FEC.ktoe.SI.Ser.BldNew.Thermal.SH.LPG.LPG</t>
  </si>
  <si>
    <t>FEC.ktoe.SI.Ser.BldNew.Thermal.SH.Oil.Oil_LiqBio</t>
  </si>
  <si>
    <t>FEC.ktoe.SI.Ser.BldNew.Thermal.SH.GasHP.NG_Biogas</t>
  </si>
  <si>
    <t>FEC.ktoe.SI.Ser.BldNew.Thermal.SH.GasTH.NG_Biogas</t>
  </si>
  <si>
    <t>FEC.ktoe.SI.Ser.BldNew.Thermal.SH.Biomass.Biomass_Waste</t>
  </si>
  <si>
    <t>FEC.ktoe.SI.Ser.BldNew.Thermal.SH.Geo.Geo</t>
  </si>
  <si>
    <t>FEC.ktoe.SI.Ser.BldNew.Thermal.SH.DistrHeat.Steam_Distr</t>
  </si>
  <si>
    <t>FEC.ktoe.SI.Ser.BldNew.Thermal.SH.AdvElc.Elec</t>
  </si>
  <si>
    <t>FEC.ktoe.SI.Ser.BldNew.Thermal.SH.ConvElc.Elec</t>
  </si>
  <si>
    <t>FEC.ktoe.SI.Ser.BldNew.Thermal.SH.TotalCirculation.Elec</t>
  </si>
  <si>
    <t>FEC.ktoe.SI.Ser.BldNew.Thermal.SC</t>
  </si>
  <si>
    <t>FEC.ktoe.SI.Ser.BldNew.Thermal.SC.GasHP.NG_Biogas</t>
  </si>
  <si>
    <t>FEC.ktoe.SI.Ser.BldNew.Thermal.SC.AC.Elec</t>
  </si>
  <si>
    <t>FEC.ktoe.SI.Ser.BldNew.Thermal.HW</t>
  </si>
  <si>
    <t>FEC.ktoe.SI.Ser.BldNew.Thermal.HW.Solids.Solids</t>
  </si>
  <si>
    <t>FEC.ktoe.SI.Ser.BldNew.Thermal.HW.LPG.LPG</t>
  </si>
  <si>
    <t>FEC.ktoe.SI.Ser.BldNew.Thermal.HW.Oil.Oil_LiqBio</t>
  </si>
  <si>
    <t>FEC.ktoe.SI.Ser.BldNew.Thermal.HW.Gas.NG_Biogas</t>
  </si>
  <si>
    <t>FEC.ktoe.SI.Ser.BldNew.Thermal.HW.Biomass.Biomass_Waste</t>
  </si>
  <si>
    <t>FEC.ktoe.SI.Ser.BldNew.Thermal.HW.DistrHeat.Steam_Distr</t>
  </si>
  <si>
    <t>FEC.ktoe.SI.Ser.BldNew.Thermal.HW.Elc.Elec</t>
  </si>
  <si>
    <t>FEC.ktoe.SI.Ser.BldNew.Thermal.HW.TotalSolar.Solar</t>
  </si>
  <si>
    <t>FEC.ktoe.SI.Ser.BldNew.Thermal.CA</t>
  </si>
  <si>
    <t>FEC.ktoe.SI.Ser.BldNew.Thermal.CA.LPG</t>
  </si>
  <si>
    <t>FEC.ktoe.SI.Ser.BldNew.Thermal.CA.Gas.NG_Biogas</t>
  </si>
  <si>
    <t>FEC.ktoe.SI.Ser.BldNew.Thermal.CA.Biomass.Biomass_Waste</t>
  </si>
  <si>
    <t>FEC.ktoe.SI.Ser.BldNew.Thermal.CA.Elc.Elec</t>
  </si>
  <si>
    <t>SI - Thermal energy service in new and renovated buildings</t>
  </si>
  <si>
    <t>TES.ktoe.SI.Ser.BldNew.Thermal</t>
  </si>
  <si>
    <t>TES.ktoe.SI.Ser.BldNew.Thermal.SH</t>
  </si>
  <si>
    <t>TES.ktoe.SI.Ser.BldNew.Thermal.SH.Solids.Solids</t>
  </si>
  <si>
    <t>TES.ktoe.SI.Ser.BldNew.Thermal.SH.LPG.LPG</t>
  </si>
  <si>
    <t>TES.ktoe.SI.Ser.BldNew.Thermal.SH.Oil.Oil_LiqBio</t>
  </si>
  <si>
    <t>TES.ktoe.SI.Ser.BldNew.Thermal.SH.GasHP.NG_Biogas</t>
  </si>
  <si>
    <t>TES.ktoe.SI.Ser.BldNew.Thermal.SH.GasTH.NG_Biogas</t>
  </si>
  <si>
    <t>TES.ktoe.SI.Ser.BldNew.Thermal.SH.Biomass.Biomass_Waste</t>
  </si>
  <si>
    <t>TES.ktoe.SI.Ser.BldNew.Thermal.SH.Geo.Geo</t>
  </si>
  <si>
    <t>TES.ktoe.SI.Ser.BldNew.Thermal.SH.DistrHeat.Steam_Distr</t>
  </si>
  <si>
    <t>TES.ktoe.SI.Ser.BldNew.Thermal.SH.AdvElc.Elec</t>
  </si>
  <si>
    <t>TES.ktoe.SI.Ser.BldNew.Thermal.SH.ConvElc.Elec</t>
  </si>
  <si>
    <t>TES.ktoe.SI.Ser.BldNew.Thermal.SH.TotalCirculation.Elec</t>
  </si>
  <si>
    <t>TES.ktoe.SI.Ser.BldNew.Thermal.SC</t>
  </si>
  <si>
    <t>TES.ktoe.SI.Ser.BldNew.Thermal.SC.GasHP.NG_Biogas</t>
  </si>
  <si>
    <t>TES.ktoe.SI.Ser.BldNew.Thermal.SC.AC.Elec</t>
  </si>
  <si>
    <t>TES.ktoe.SI.Ser.BldNew.Thermal.HW</t>
  </si>
  <si>
    <t>TES.ktoe.SI.Ser.BldNew.Thermal.HW.Solids.Solids</t>
  </si>
  <si>
    <t>TES.ktoe.SI.Ser.BldNew.Thermal.HW.LPG.LPG</t>
  </si>
  <si>
    <t>TES.ktoe.SI.Ser.BldNew.Thermal.HW.Oil.Oil_LiqBio</t>
  </si>
  <si>
    <t>TES.ktoe.SI.Ser.BldNew.Thermal.HW.Gas.NG_Biogas</t>
  </si>
  <si>
    <t>TES.ktoe.SI.Ser.BldNew.Thermal.HW.Biomass.Biomass_Waste</t>
  </si>
  <si>
    <t>TES.ktoe.SI.Ser.BldNew.Thermal.HW.DistrHeat.Steam_Distr</t>
  </si>
  <si>
    <t>TES.ktoe.SI.Ser.BldNew.Thermal.HW.Elc.Elec</t>
  </si>
  <si>
    <t>TES.ktoe.SI.Ser.BldNew.Thermal.HW.TotalSolar.Solar</t>
  </si>
  <si>
    <t>TES.ktoe.SI.Ser.BldNew.Thermal.CA</t>
  </si>
  <si>
    <t>TES.ktoe.SI.Ser.BldNew.Thermal.CA.LPG</t>
  </si>
  <si>
    <t>TES.ktoe.SI.Ser.BldNew.Thermal.CA.Gas.NG_Biogas</t>
  </si>
  <si>
    <t>TES.ktoe.SI.Ser.BldNew.Thermal.CA.Biomass.Biomass_Waste</t>
  </si>
  <si>
    <t>TES.ktoe.SI.Ser.BldNew.Thermal.CA.Elc.Elec</t>
  </si>
  <si>
    <t>SI - System efficiency indicator of new and renovated buildings</t>
  </si>
  <si>
    <t>Eff.ratio.SI.Ser.BldNew.Thermal</t>
  </si>
  <si>
    <t>Eff.ratio.SI.Ser.BldNew.Thermal.SH</t>
  </si>
  <si>
    <t>Eff.ratio.SI.Ser.BldNew.Thermal.SH.Solids.Solids</t>
  </si>
  <si>
    <t>Eff.ratio.SI.Ser.BldNew.Thermal.SH.LPG.LPG</t>
  </si>
  <si>
    <t>Eff.ratio.SI.Ser.BldNew.Thermal.SH.Oil.Oil_LiqBio</t>
  </si>
  <si>
    <t>Eff.ratio.SI.Ser.BldNew.Thermal.SH.GasHP.NG_Biogas</t>
  </si>
  <si>
    <t>Eff.ratio.SI.Ser.BldNew.Thermal.SH.GasTH.NG_Biogas</t>
  </si>
  <si>
    <t>Eff.ratio.SI.Ser.BldNew.Thermal.SH.Biomass.Biomass_Waste</t>
  </si>
  <si>
    <t>Eff.ratio.SI.Ser.BldNew.Thermal.SH.Geo.Geo</t>
  </si>
  <si>
    <t>Eff.ratio.SI.Ser.BldNew.Thermal.SH.DistrHeat.Steam_Distr</t>
  </si>
  <si>
    <t>Eff.ratio.SI.Ser.BldNew.Thermal.SH.AdvElc.Elec</t>
  </si>
  <si>
    <t>Eff.ratio.SI.Ser.BldNew.Thermal.SH.ConvElc.Elec</t>
  </si>
  <si>
    <t>Eff.ratio.SI.Ser.BldNew.Thermal.SH.TotalCirculation.Elec</t>
  </si>
  <si>
    <t>Eff.ratio.SI.Ser.BldNew.Thermal.SC</t>
  </si>
  <si>
    <t>Eff.ratio.SI.Ser.BldNew.Thermal.SC.GasHP.NG_Biogas</t>
  </si>
  <si>
    <t>Eff.ratio.SI.Ser.BldNew.Thermal.SC.AC.Elec</t>
  </si>
  <si>
    <t>Eff.ratio.SI.Ser.BldNew.Thermal.HW</t>
  </si>
  <si>
    <t>Eff.ratio.SI.Ser.BldNew.Thermal.HW.Solids.Solids</t>
  </si>
  <si>
    <t>Eff.ratio.SI.Ser.BldNew.Thermal.HW.LPG.LPG</t>
  </si>
  <si>
    <t>Eff.ratio.SI.Ser.BldNew.Thermal.HW.Oil.Oil_LiqBio</t>
  </si>
  <si>
    <t>Eff.ratio.SI.Ser.BldNew.Thermal.HW.Gas.NG_Biogas</t>
  </si>
  <si>
    <t>Eff.ratio.SI.Ser.BldNew.Thermal.HW.Biomass.Biomass_Waste</t>
  </si>
  <si>
    <t>Eff.ratio.SI.Ser.BldNew.Thermal.HW.DistrHeat.Steam_Distr</t>
  </si>
  <si>
    <t>Eff.ratio.SI.Ser.BldNew.Thermal.HW.Elc.Elec</t>
  </si>
  <si>
    <t>Eff.ratio.SI.Ser.BldNew.Thermal.HW.TotalSolar.Solar</t>
  </si>
  <si>
    <t>Eff.ratio.SI.Ser.BldNew.Thermal.CA</t>
  </si>
  <si>
    <t>Eff.ratio.SI.Ser.BldNew.Thermal.CA.LPG</t>
  </si>
  <si>
    <t>Eff.ratio.SI.Ser.BldNew.Thermal.CA.Gas.NG_Biogas</t>
  </si>
  <si>
    <t>Eff.ratio.SI.Ser.BldNew.Thermal.CA.Biomass.Biomass_Waste</t>
  </si>
  <si>
    <t>Eff.ratio.SI.Ser.BldNew.Thermal.CA.Elc.Elec</t>
  </si>
  <si>
    <t>SI - CO2 emissions in new and renovated buildings</t>
  </si>
  <si>
    <t>EMI.ktCO2.SI.Ser.BldNew.Thermal</t>
  </si>
  <si>
    <t>EMI.ktCO2.SI.Ser.BldNew.Thermal.SH</t>
  </si>
  <si>
    <t>EMI.ktCO2.SI.Ser.BldNew.Thermal.SH.Solids.Solids</t>
  </si>
  <si>
    <t>EMI.ktCO2.SI.Ser.BldNew.Thermal.SH.LPG.LPG</t>
  </si>
  <si>
    <t>EMI.ktCO2.SI.Ser.BldNew.Thermal.SH.Oil.Oil_LiqBio</t>
  </si>
  <si>
    <t>EMI.ktCO2.SI.Ser.BldNew.Thermal.SH.GasHP.NG_Biogas</t>
  </si>
  <si>
    <t>EMI.ktCO2.SI.Ser.BldNew.Thermal.SH.GasTH.NG_Biogas</t>
  </si>
  <si>
    <t>EMI.ktCO2.SI.Ser.BldNew.Thermal.SH.Biomass.Biomass_Waste</t>
  </si>
  <si>
    <t>EMI.ktCO2.SI.Ser.BldNew.Thermal.SH.Geo.Geo</t>
  </si>
  <si>
    <t>EMI.ktCO2.SI.Ser.BldNew.Thermal.SH.DistrHeat.Steam_Distr</t>
  </si>
  <si>
    <t>EMI.ktCO2.SI.Ser.BldNew.Thermal.SH.AdvElc.Elec</t>
  </si>
  <si>
    <t>EMI.ktCO2.SI.Ser.BldNew.Thermal.SH.ConvElc.Elec</t>
  </si>
  <si>
    <t>EMI.ktCO2.SI.Ser.BldNew.Thermal.SH.TotalCirculation.Elec</t>
  </si>
  <si>
    <t>EMI.ktCO2.SI.Ser.BldNew.Thermal.SC</t>
  </si>
  <si>
    <t>EMI.ktCO2.SI.Ser.BldNew.Thermal.SC.GasHP.NG_Biogas</t>
  </si>
  <si>
    <t>EMI.ktCO2.SI.Ser.BldNew.Thermal.SC.AC.Elec</t>
  </si>
  <si>
    <t>EMI.ktCO2.SI.Ser.BldNew.Thermal.HW</t>
  </si>
  <si>
    <t>EMI.ktCO2.SI.Ser.BldNew.Thermal.HW.Solids.Solids</t>
  </si>
  <si>
    <t>EMI.ktCO2.SI.Ser.BldNew.Thermal.HW.LPG.LPG</t>
  </si>
  <si>
    <t>EMI.ktCO2.SI.Ser.BldNew.Thermal.HW.Oil.Oil_LiqBio</t>
  </si>
  <si>
    <t>EMI.ktCO2.SI.Ser.BldNew.Thermal.HW.Gas.NG_Biogas</t>
  </si>
  <si>
    <t>EMI.ktCO2.SI.Ser.BldNew.Thermal.HW.Biomass.Biomass_Waste</t>
  </si>
  <si>
    <t>EMI.ktCO2.SI.Ser.BldNew.Thermal.HW.DistrHeat.Steam_Distr</t>
  </si>
  <si>
    <t>EMI.ktCO2.SI.Ser.BldNew.Thermal.HW.Elc.Elec</t>
  </si>
  <si>
    <t>EMI.ktCO2.SI.Ser.BldNew.Thermal.HW.TotalSolar.Solar</t>
  </si>
  <si>
    <t>EMI.ktCO2.SI.Ser.BldNew.Thermal.CA</t>
  </si>
  <si>
    <t>EMI.ktCO2.SI.Ser.BldNew.Thermal.CA.LPG</t>
  </si>
  <si>
    <t>EMI.ktCO2.SI.Ser.BldNew.Thermal.CA.Gas.NG_Biogas</t>
  </si>
  <si>
    <t>EMI.ktCO2.SI.Ser.BldNew.Thermal.CA.Biomass.Biomass_Waste</t>
  </si>
  <si>
    <t>EMI.ktCO2.SI.Ser.BldNew.Thermal.CA.Elc.Elec</t>
  </si>
  <si>
    <t>SI - Final energy consumption of new and renovated buildings (per building)</t>
  </si>
  <si>
    <t>FEC_per_building.kWh.SI.Ser.BldNew.Thermal</t>
  </si>
  <si>
    <t>FEC_per_building.kWh.SI.Ser.BldNew.Thermal.SH</t>
  </si>
  <si>
    <t>FEC_per_building.kWh.SI.Ser.BldNew.Thermal.SH.Solids.Solids</t>
  </si>
  <si>
    <t>FEC_per_building.kWh.SI.Ser.BldNew.Thermal.SH.LPG.LPG</t>
  </si>
  <si>
    <t>FEC_per_building.kWh.SI.Ser.BldNew.Thermal.SH.Oil.Oil_LiqBio</t>
  </si>
  <si>
    <t>FEC_per_building.kWh.SI.Ser.BldNew.Thermal.SH.GasHP.NG_Biogas</t>
  </si>
  <si>
    <t>FEC_per_building.kWh.SI.Ser.BldNew.Thermal.SH.GasTH.NG_Biogas</t>
  </si>
  <si>
    <t>FEC_per_building.kWh.SI.Ser.BldNew.Thermal.SH.Biomass.Biomass_Waste</t>
  </si>
  <si>
    <t>FEC_per_building.kWh.SI.Ser.BldNew.Thermal.SH.Geo.Geo</t>
  </si>
  <si>
    <t>FEC_per_building.kWh.SI.Ser.BldNew.Thermal.SH.DistrHeat.Steam_Distr</t>
  </si>
  <si>
    <t>FEC_per_building.kWh.SI.Ser.BldNew.Thermal.SH.AdvElc.Elec</t>
  </si>
  <si>
    <t>FEC_per_building.kWh.SI.Ser.BldNew.Thermal.SH.ConvElc.Elec</t>
  </si>
  <si>
    <t>FEC_per_building.kWh.SI.Ser.BldNew.Thermal.SH.TotalCirculation.Elec</t>
  </si>
  <si>
    <t>FEC_per_building.kWh.SI.Ser.BldNew.Thermal.SC</t>
  </si>
  <si>
    <t>FEC_per_building.kWh.SI.Ser.BldNew.Thermal.SC.GasHP.NG_Biogas</t>
  </si>
  <si>
    <t>FEC_per_building.kWh.SI.Ser.BldNew.Thermal.SC.AC.Elec</t>
  </si>
  <si>
    <t>FEC_per_building.kWh.SI.Ser.BldNew.Thermal.HW</t>
  </si>
  <si>
    <t>FEC_per_building.kWh.SI.Ser.BldNew.Thermal.HW.Solids.Solids</t>
  </si>
  <si>
    <t>FEC_per_building.kWh.SI.Ser.BldNew.Thermal.HW.LPG.LPG</t>
  </si>
  <si>
    <t>FEC_per_building.kWh.SI.Ser.BldNew.Thermal.HW.Oil.Oil_LiqBio</t>
  </si>
  <si>
    <t>FEC_per_building.kWh.SI.Ser.BldNew.Thermal.HW.Gas.NG_Biogas</t>
  </si>
  <si>
    <t>FEC_per_building.kWh.SI.Ser.BldNew.Thermal.HW.Biomass.Biomass_Waste</t>
  </si>
  <si>
    <t>FEC_per_building.kWh.SI.Ser.BldNew.Thermal.HW.DistrHeat.Steam_Distr</t>
  </si>
  <si>
    <t>FEC_per_building.kWh.SI.Ser.BldNew.Thermal.HW.Elc.Elec</t>
  </si>
  <si>
    <t>FEC_per_building.kWh.SI.Ser.BldNew.Thermal.HW.TotalSolar.Solar</t>
  </si>
  <si>
    <t>FEC_per_building.kWh.SI.Ser.BldNew.Thermal.CA</t>
  </si>
  <si>
    <t>FEC_per_building.kWh.SI.Ser.BldNew.Thermal.CA.LPG</t>
  </si>
  <si>
    <t>FEC_per_building.kWh.SI.Ser.BldNew.Thermal.CA.Gas.NG_Biogas</t>
  </si>
  <si>
    <t>FEC_per_building.kWh.SI.Ser.BldNew.Thermal.CA.Biomass.Biomass_Waste</t>
  </si>
  <si>
    <t>FEC_per_building.kWh.SI.Ser.BldNew.Thermal.CA.Elc.Elec</t>
  </si>
  <si>
    <t>SI - Thermal energy service of new and renovated buildings (per building)</t>
  </si>
  <si>
    <t>TES_per_building.kWh.SI.Ser.BldNew.Thermal</t>
  </si>
  <si>
    <t>TES_per_building.kWh.SI.Ser.BldNew.Thermal.SH</t>
  </si>
  <si>
    <t>TES_per_building.kWh.SI.Ser.BldNew.Thermal.SH.Solids.Solids</t>
  </si>
  <si>
    <t>TES_per_building.kWh.SI.Ser.BldNew.Thermal.SH.LPG.LPG</t>
  </si>
  <si>
    <t>TES_per_building.kWh.SI.Ser.BldNew.Thermal.SH.Oil.Oil_LiqBio</t>
  </si>
  <si>
    <t>TES_per_building.kWh.SI.Ser.BldNew.Thermal.SH.GasHP.NG_Biogas</t>
  </si>
  <si>
    <t>TES_per_building.kWh.SI.Ser.BldNew.Thermal.SH.GasTH.NG_Biogas</t>
  </si>
  <si>
    <t>TES_per_building.kWh.SI.Ser.BldNew.Thermal.SH.Biomass.Biomass_Waste</t>
  </si>
  <si>
    <t>TES_per_building.kWh.SI.Ser.BldNew.Thermal.SH.Geo.Geo</t>
  </si>
  <si>
    <t>TES_per_building.kWh.SI.Ser.BldNew.Thermal.SH.DistrHeat.Steam_Distr</t>
  </si>
  <si>
    <t>TES_per_building.kWh.SI.Ser.BldNew.Thermal.SH.AdvElc.Elec</t>
  </si>
  <si>
    <t>TES_per_building.kWh.SI.Ser.BldNew.Thermal.SH.ConvElc.Elec</t>
  </si>
  <si>
    <t>TES_per_building.kWh.SI.Ser.BldNew.Thermal.SH.TotalCirculation.Elec</t>
  </si>
  <si>
    <t>TES_per_building.kWh.SI.Ser.BldNew.Thermal.SC</t>
  </si>
  <si>
    <t>TES_per_building.kWh.SI.Ser.BldNew.Thermal.SC.GasHP.NG_Biogas</t>
  </si>
  <si>
    <t>TES_per_building.kWh.SI.Ser.BldNew.Thermal.SC.AC.Elec</t>
  </si>
  <si>
    <t>TES_per_building.kWh.SI.Ser.BldNew.Thermal.HW</t>
  </si>
  <si>
    <t>TES_per_building.kWh.SI.Ser.BldNew.Thermal.HW.Solids.Solids</t>
  </si>
  <si>
    <t>TES_per_building.kWh.SI.Ser.BldNew.Thermal.HW.LPG.LPG</t>
  </si>
  <si>
    <t>TES_per_building.kWh.SI.Ser.BldNew.Thermal.HW.Oil.Oil_LiqBio</t>
  </si>
  <si>
    <t>TES_per_building.kWh.SI.Ser.BldNew.Thermal.HW.Gas.NG_Biogas</t>
  </si>
  <si>
    <t>TES_per_building.kWh.SI.Ser.BldNew.Thermal.HW.Biomass.Biomass_Waste</t>
  </si>
  <si>
    <t>TES_per_building.kWh.SI.Ser.BldNew.Thermal.HW.DistrHeat.Steam_Distr</t>
  </si>
  <si>
    <t>TES_per_building.kWh.SI.Ser.BldNew.Thermal.HW.Elc.Elec</t>
  </si>
  <si>
    <t>TES_per_building.kWh.SI.Ser.BldNew.Thermal.HW.TotalSolar.Solar</t>
  </si>
  <si>
    <t>TES_per_building.kWh.SI.Ser.BldNew.Thermal.CA</t>
  </si>
  <si>
    <t>TES_per_building.kWh.SI.Ser.BldNew.Thermal.CA.LPG</t>
  </si>
  <si>
    <t>TES_per_building.kWh.SI.Ser.BldNew.Thermal.CA.Gas.NG_Biogas</t>
  </si>
  <si>
    <t>TES_per_building.kWh.SI.Ser.BldNew.Thermal.CA.Biomass.Biomass_Waste</t>
  </si>
  <si>
    <t>TES_per_building.kWh.SI.Ser.BldNew.Thermal.CA.Elc.Elec</t>
  </si>
  <si>
    <t>SI - CO2 emissions in new and renovated buildings (per building)</t>
  </si>
  <si>
    <t>EMI_per_building.kgCO2.SI.Ser.BldNew.Thermal</t>
  </si>
  <si>
    <t>EMI_per_building.kgCO2.SI.Ser.BldNew.Thermal.SH</t>
  </si>
  <si>
    <t>EMI_per_building.kgCO2.SI.Ser.BldNew.Thermal.SH.Solids.Solids</t>
  </si>
  <si>
    <t>EMI_per_building.kgCO2.SI.Ser.BldNew.Thermal.SH.LPG.LPG</t>
  </si>
  <si>
    <t>EMI_per_building.kgCO2.SI.Ser.BldNew.Thermal.SH.Oil.Oil_LiqBio</t>
  </si>
  <si>
    <t>EMI_per_building.kgCO2.SI.Ser.BldNew.Thermal.SH.GasHP.NG_Biogas</t>
  </si>
  <si>
    <t>EMI_per_building.kgCO2.SI.Ser.BldNew.Thermal.SH.GasTH.NG_Biogas</t>
  </si>
  <si>
    <t>EMI_per_building.kgCO2.SI.Ser.BldNew.Thermal.SH.Biomass.Biomass_Waste</t>
  </si>
  <si>
    <t>EMI_per_building.kgCO2.SI.Ser.BldNew.Thermal.SH.Geo.Geo</t>
  </si>
  <si>
    <t>EMI_per_building.kgCO2.SI.Ser.BldNew.Thermal.SH.DistrHeat.Steam_Distr</t>
  </si>
  <si>
    <t>EMI_per_building.kgCO2.SI.Ser.BldNew.Thermal.SH.AdvElc.Elec</t>
  </si>
  <si>
    <t>EMI_per_building.kgCO2.SI.Ser.BldNew.Thermal.SH.ConvElc.Elec</t>
  </si>
  <si>
    <t>EMI_per_building.kgCO2.SI.Ser.BldNew.Thermal.SH.TotalCirculation.Elec</t>
  </si>
  <si>
    <t>EMI_per_building.kgCO2.SI.Ser.BldNew.Thermal.SC</t>
  </si>
  <si>
    <t>EMI_per_building.kgCO2.SI.Ser.BldNew.Thermal.SC.GasHP.NG_Biogas</t>
  </si>
  <si>
    <t>EMI_per_building.kgCO2.SI.Ser.BldNew.Thermal.SC.AC.Elec</t>
  </si>
  <si>
    <t>EMI_per_building.kgCO2.SI.Ser.BldNew.Thermal.HW</t>
  </si>
  <si>
    <t>EMI_per_building.kgCO2.SI.Ser.BldNew.Thermal.HW.Solids.Solids</t>
  </si>
  <si>
    <t>EMI_per_building.kgCO2.SI.Ser.BldNew.Thermal.HW.LPG.LPG</t>
  </si>
  <si>
    <t>EMI_per_building.kgCO2.SI.Ser.BldNew.Thermal.HW.Oil.Oil_LiqBio</t>
  </si>
  <si>
    <t>EMI_per_building.kgCO2.SI.Ser.BldNew.Thermal.HW.Gas.NG_Biogas</t>
  </si>
  <si>
    <t>EMI_per_building.kgCO2.SI.Ser.BldNew.Thermal.HW.Biomass.Biomass_Waste</t>
  </si>
  <si>
    <t>EMI_per_building.kgCO2.SI.Ser.BldNew.Thermal.HW.DistrHeat.Steam_Distr</t>
  </si>
  <si>
    <t>EMI_per_building.kgCO2.SI.Ser.BldNew.Thermal.HW.Elc.Elec</t>
  </si>
  <si>
    <t>EMI_per_building.kgCO2.SI.Ser.BldNew.Thermal.HW.TotalSolar.Solar</t>
  </si>
  <si>
    <t>EMI_per_building.kgCO2.SI.Ser.BldNew.Thermal.CA</t>
  </si>
  <si>
    <t>EMI_per_building.kgCO2.SI.Ser.BldNew.Thermal.CA.LPG</t>
  </si>
  <si>
    <t>EMI_per_building.kgCO2.SI.Ser.BldNew.Thermal.CA.Gas.NG_Biogas</t>
  </si>
  <si>
    <t>EMI_per_building.kgCO2.SI.Ser.BldNew.Thermal.CA.Biomass.Biomass_Waste</t>
  </si>
  <si>
    <t>EMI_per_building.kgCO2.SI.Ser.BldNew.Thermal.CA.Elc.Elec</t>
  </si>
  <si>
    <t>SI - Final energy consumption in new and renovated buildings per surface area</t>
  </si>
  <si>
    <t>FEC_per_sqm.kWh.SI.Ser.BldNew.Thermal</t>
  </si>
  <si>
    <t>FEC_per_sqm.kWh.SI.Ser.BldNew.Thermal.SH</t>
  </si>
  <si>
    <t>FEC_per_sqm.kWh.SI.Ser.BldNew.Thermal.SH.Solids.Solids</t>
  </si>
  <si>
    <t>FEC_per_sqm.kWh.SI.Ser.BldNew.Thermal.SH.LPG.LPG</t>
  </si>
  <si>
    <t>FEC_per_sqm.kWh.SI.Ser.BldNew.Thermal.SH.Oil.Oil_LiqBio</t>
  </si>
  <si>
    <t>FEC_per_sqm.kWh.SI.Ser.BldNew.Thermal.SH.GasHP.NG_Biogas</t>
  </si>
  <si>
    <t>FEC_per_sqm.kWh.SI.Ser.BldNew.Thermal.SH.GasTH.NG_Biogas</t>
  </si>
  <si>
    <t>FEC_per_sqm.kWh.SI.Ser.BldNew.Thermal.SH.Biomass.Biomass_Waste</t>
  </si>
  <si>
    <t>FEC_per_sqm.kWh.SI.Ser.BldNew.Thermal.SH.Geo.Geo</t>
  </si>
  <si>
    <t>FEC_per_sqm.kWh.SI.Ser.BldNew.Thermal.SH.DistrHeat.Steam_Distr</t>
  </si>
  <si>
    <t>FEC_per_sqm.kWh.SI.Ser.BldNew.Thermal.SH.AdvElc.Elec</t>
  </si>
  <si>
    <t>FEC_per_sqm.kWh.SI.Ser.BldNew.Thermal.SH.ConvElc.Elec</t>
  </si>
  <si>
    <t>FEC_per_sqm.kWh.SI.Ser.BldNew.Thermal.SH.TotalCirculation.Elec</t>
  </si>
  <si>
    <t>FEC_per_sqm.kWh.SI.Ser.BldNew.Thermal.SC</t>
  </si>
  <si>
    <t>FEC_per_sqm.kWh.SI.Ser.BldNew.Thermal.SC.GasHP.NG_Biogas</t>
  </si>
  <si>
    <t>FEC_per_sqm.kWh.SI.Ser.BldNew.Thermal.SC.AC.Elec</t>
  </si>
  <si>
    <t>FEC_per_sqm.kWh.SI.Ser.BldNew.Thermal.HW</t>
  </si>
  <si>
    <t>FEC_per_sqm.kWh.SI.Ser.BldNew.Thermal.HW.Solids.Solids</t>
  </si>
  <si>
    <t>FEC_per_sqm.kWh.SI.Ser.BldNew.Thermal.HW.LPG.LPG</t>
  </si>
  <si>
    <t>FEC_per_sqm.kWh.SI.Ser.BldNew.Thermal.HW.Oil.Oil_LiqBio</t>
  </si>
  <si>
    <t>FEC_per_sqm.kWh.SI.Ser.BldNew.Thermal.HW.Gas.NG_Biogas</t>
  </si>
  <si>
    <t>FEC_per_sqm.kWh.SI.Ser.BldNew.Thermal.HW.Biomass.Biomass_Waste</t>
  </si>
  <si>
    <t>FEC_per_sqm.kWh.SI.Ser.BldNew.Thermal.HW.DistrHeat.Steam_Distr</t>
  </si>
  <si>
    <t>FEC_per_sqm.kWh.SI.Ser.BldNew.Thermal.HW.Elc.Elec</t>
  </si>
  <si>
    <t>FEC_per_sqm.kWh.SI.Ser.BldNew.Thermal.HW.TotalSolar.Solar</t>
  </si>
  <si>
    <t>FEC_per_sqm.kWh.SI.Ser.BldNew.Thermal.CA</t>
  </si>
  <si>
    <t>FEC_per_sqm.kWh.SI.Ser.BldNew.Thermal.CA.LPG</t>
  </si>
  <si>
    <t>FEC_per_sqm.kWh.SI.Ser.BldNew.Thermal.CA.Gas.NG_Biogas</t>
  </si>
  <si>
    <t>FEC_per_sqm.kWh.SI.Ser.BldNew.Thermal.CA.Biomass.Biomass_Waste</t>
  </si>
  <si>
    <t>FEC_per_sqm.kWh.SI.Ser.BldNew.Thermal.CA.Elc.Elec</t>
  </si>
  <si>
    <t>SI - Thermal energy service in new and renovated buildings per surface area</t>
  </si>
  <si>
    <t>TES_per_sqm.kWh.SI.Ser.BldNew.Thermal</t>
  </si>
  <si>
    <t>TES_per_sqm.kWh.SI.Ser.BldNew.Thermal.SH</t>
  </si>
  <si>
    <t>TES_per_sqm.kWh.SI.Ser.BldNew.Thermal.SH.Solids.Solids</t>
  </si>
  <si>
    <t>TES_per_sqm.kWh.SI.Ser.BldNew.Thermal.SH.LPG.LPG</t>
  </si>
  <si>
    <t>TES_per_sqm.kWh.SI.Ser.BldNew.Thermal.SH.Oil.Oil_LiqBio</t>
  </si>
  <si>
    <t>TES_per_sqm.kWh.SI.Ser.BldNew.Thermal.SH.GasHP.NG_Biogas</t>
  </si>
  <si>
    <t>TES_per_sqm.kWh.SI.Ser.BldNew.Thermal.SH.GasTH.NG_Biogas</t>
  </si>
  <si>
    <t>TES_per_sqm.kWh.SI.Ser.BldNew.Thermal.SH.Biomass.Biomass_Waste</t>
  </si>
  <si>
    <t>TES_per_sqm.kWh.SI.Ser.BldNew.Thermal.SH.Geo.Geo</t>
  </si>
  <si>
    <t>TES_per_sqm.kWh.SI.Ser.BldNew.Thermal.SH.DistrHeat.Steam_Distr</t>
  </si>
  <si>
    <t>TES_per_sqm.kWh.SI.Ser.BldNew.Thermal.SH.AdvElc.Elec</t>
  </si>
  <si>
    <t>TES_per_sqm.kWh.SI.Ser.BldNew.Thermal.SH.ConvElc.Elec</t>
  </si>
  <si>
    <t>TES_per_sqm.kWh.SI.Ser.BldNew.Thermal.SH.TotalCirculation.Elec</t>
  </si>
  <si>
    <t>TES_per_sqm.kWh.SI.Ser.BldNew.Thermal.SC</t>
  </si>
  <si>
    <t>TES_per_sqm.kWh.SI.Ser.BldNew.Thermal.SC.GasHP.NG_Biogas</t>
  </si>
  <si>
    <t>TES_per_sqm.kWh.SI.Ser.BldNew.Thermal.SC.AC.Elec</t>
  </si>
  <si>
    <t>TES_per_sqm.kWh.SI.Ser.BldNew.Thermal.HW</t>
  </si>
  <si>
    <t>TES_per_sqm.kWh.SI.Ser.BldNew.Thermal.HW.Solids.Solids</t>
  </si>
  <si>
    <t>TES_per_sqm.kWh.SI.Ser.BldNew.Thermal.HW.LPG.LPG</t>
  </si>
  <si>
    <t>TES_per_sqm.kWh.SI.Ser.BldNew.Thermal.HW.Oil.Oil_LiqBio</t>
  </si>
  <si>
    <t>TES_per_sqm.kWh.SI.Ser.BldNew.Thermal.HW.Gas.NG_Biogas</t>
  </si>
  <si>
    <t>TES_per_sqm.kWh.SI.Ser.BldNew.Thermal.HW.Biomass.Biomass_Waste</t>
  </si>
  <si>
    <t>TES_per_sqm.kWh.SI.Ser.BldNew.Thermal.HW.DistrHeat.Steam_Distr</t>
  </si>
  <si>
    <t>TES_per_sqm.kWh.SI.Ser.BldNew.Thermal.HW.Elc.Elec</t>
  </si>
  <si>
    <t>TES_per_sqm.kWh.SI.Ser.BldNew.Thermal.HW.TotalSolar.Solar</t>
  </si>
  <si>
    <t>TES_per_sqm.kWh.SI.Ser.BldNew.Thermal.CA</t>
  </si>
  <si>
    <t>TES_per_sqm.kWh.SI.Ser.BldNew.Thermal.CA.LPG</t>
  </si>
  <si>
    <t>TES_per_sqm.kWh.SI.Ser.BldNew.Thermal.CA.Gas.NG_Biogas</t>
  </si>
  <si>
    <t>TES_per_sqm.kWh.SI.Ser.BldNew.Thermal.CA.Biomass.Biomass_Waste</t>
  </si>
  <si>
    <t>TES_per_sqm.kWh.SI.Ser.BldNew.Thermal.CA.Elc.Elec</t>
  </si>
  <si>
    <t>SI - CO2 emissions in new and renovated buildings per surface area</t>
  </si>
  <si>
    <t>EMI_per_sqm.kgCO2.SI.Ser.BldNew.Thermal</t>
  </si>
  <si>
    <t>EMI_per_sqm.kgCO2.SI.Ser.BldNew.Thermal.SH</t>
  </si>
  <si>
    <t>EMI_per_sqm.kgCO2.SI.Ser.BldNew.Thermal.SH.Solids.Solids</t>
  </si>
  <si>
    <t>EMI_per_sqm.kgCO2.SI.Ser.BldNew.Thermal.SH.LPG.LPG</t>
  </si>
  <si>
    <t>EMI_per_sqm.kgCO2.SI.Ser.BldNew.Thermal.SH.Oil.Oil_LiqBio</t>
  </si>
  <si>
    <t>EMI_per_sqm.kgCO2.SI.Ser.BldNew.Thermal.SH.GasHP.NG_Biogas</t>
  </si>
  <si>
    <t>EMI_per_sqm.kgCO2.SI.Ser.BldNew.Thermal.SH.GasTH.NG_Biogas</t>
  </si>
  <si>
    <t>EMI_per_sqm.kgCO2.SI.Ser.BldNew.Thermal.SH.Biomass.Biomass_Waste</t>
  </si>
  <si>
    <t>EMI_per_sqm.kgCO2.SI.Ser.BldNew.Thermal.SH.Geo.Geo</t>
  </si>
  <si>
    <t>EMI_per_sqm.kgCO2.SI.Ser.BldNew.Thermal.SH.DistrHeat.Steam_Distr</t>
  </si>
  <si>
    <t>EMI_per_sqm.kgCO2.SI.Ser.BldNew.Thermal.SH.AdvElc.Elec</t>
  </si>
  <si>
    <t>EMI_per_sqm.kgCO2.SI.Ser.BldNew.Thermal.SH.ConvElc.Elec</t>
  </si>
  <si>
    <t>EMI_per_sqm.kgCO2.SI.Ser.BldNew.Thermal.SH.TotalCirculation.Elec</t>
  </si>
  <si>
    <t>EMI_per_sqm.kgCO2.SI.Ser.BldNew.Thermal.SC</t>
  </si>
  <si>
    <t>EMI_per_sqm.kgCO2.SI.Ser.BldNew.Thermal.SC.GasHP.NG_Biogas</t>
  </si>
  <si>
    <t>EMI_per_sqm.kgCO2.SI.Ser.BldNew.Thermal.SC.AC.Elec</t>
  </si>
  <si>
    <t>EMI_per_sqm.kgCO2.SI.Ser.BldNew.Thermal.HW</t>
  </si>
  <si>
    <t>EMI_per_sqm.kgCO2.SI.Ser.BldNew.Thermal.HW.Solids.Solids</t>
  </si>
  <si>
    <t>EMI_per_sqm.kgCO2.SI.Ser.BldNew.Thermal.HW.LPG.LPG</t>
  </si>
  <si>
    <t>EMI_per_sqm.kgCO2.SI.Ser.BldNew.Thermal.HW.Oil.Oil_LiqBio</t>
  </si>
  <si>
    <t>EMI_per_sqm.kgCO2.SI.Ser.BldNew.Thermal.HW.Gas.NG_Biogas</t>
  </si>
  <si>
    <t>EMI_per_sqm.kgCO2.SI.Ser.BldNew.Thermal.HW.Biomass.Biomass_Waste</t>
  </si>
  <si>
    <t>EMI_per_sqm.kgCO2.SI.Ser.BldNew.Thermal.HW.DistrHeat.Steam_Distr</t>
  </si>
  <si>
    <t>EMI_per_sqm.kgCO2.SI.Ser.BldNew.Thermal.HW.Elc.Elec</t>
  </si>
  <si>
    <t>EMI_per_sqm.kgCO2.SI.Ser.BldNew.Thermal.HW.TotalSolar.Solar</t>
  </si>
  <si>
    <t>EMI_per_sqm.kgCO2.SI.Ser.BldNew.Thermal.CA</t>
  </si>
  <si>
    <t>EMI_per_sqm.kgCO2.SI.Ser.BldNew.Thermal.CA.LPG</t>
  </si>
  <si>
    <t>EMI_per_sqm.kgCO2.SI.Ser.BldNew.Thermal.CA.Gas.NG_Biogas</t>
  </si>
  <si>
    <t>EMI_per_sqm.kgCO2.SI.Ser.BldNew.Thermal.CA.Biomass.Biomass_Waste</t>
  </si>
  <si>
    <t>EMI_per_sqm.kgCO2.SI.Ser.BldNew.Thermal.CA.Elc.Elec</t>
  </si>
  <si>
    <t>FEC.ktoe.SI.Ser.SEU.VE</t>
  </si>
  <si>
    <t>FEC.ktoe.SI.Ser.SEU.SL</t>
  </si>
  <si>
    <t>FEC.ktoe.SI.Ser.SEU.BL</t>
  </si>
  <si>
    <t>FEC.ktoe.SI.Ser.SEU.CR</t>
  </si>
  <si>
    <t>FEC.ktoe.SI.Ser.SEU.BT</t>
  </si>
  <si>
    <t>FEC.ktoe.SI.Ser.SEU.IT</t>
  </si>
  <si>
    <t>Size.MW.SI.Ser.SEU</t>
  </si>
  <si>
    <t>Size.MW.SI.Ser.SEU.VE</t>
  </si>
  <si>
    <t>Size.MW.SI.Ser.SEU.SL</t>
  </si>
  <si>
    <t>Size.MW.SI.Ser.SEU.BL</t>
  </si>
  <si>
    <t>Size.MW.SI.Ser.SEU.CR</t>
  </si>
  <si>
    <t>Size.MW.SI.Ser.SEU.BT</t>
  </si>
  <si>
    <t>Size.MW.SI.Ser.SEU.IT</t>
  </si>
  <si>
    <t>NUM.Msqm.SI.Ser.SEU.VE</t>
  </si>
  <si>
    <t>NUM.k.SI.Ser.SEU.SL</t>
  </si>
  <si>
    <t>NUM.M.SI.Ser.SEU.BL</t>
  </si>
  <si>
    <t>NUM.k.SI.Ser.SEU.CR</t>
  </si>
  <si>
    <t>NUM.Msqm.SI.Ser.SEU.BT</t>
  </si>
  <si>
    <t>NUM.k.SI.Ser.SEU.IT</t>
  </si>
  <si>
    <t>NUM.Msqm.SI.Ser.SEUnew.VE</t>
  </si>
  <si>
    <t>NUM.k.SI.Ser.SEUnew.SL</t>
  </si>
  <si>
    <t>NUM.M.SI.Ser.SEUnew.BL</t>
  </si>
  <si>
    <t>NUM.k.SI.Ser.SEUnew.CR</t>
  </si>
  <si>
    <t>NUM.Msqm.SI.Ser.SEUnew.BT</t>
  </si>
  <si>
    <t>NUM.k.SI.Ser.SEUnew.IT</t>
  </si>
  <si>
    <t>NUM.Msqm.SI.Ser.SEUrepl.VE</t>
  </si>
  <si>
    <t>NUM.k.SI.Ser.SEUrepl.SL</t>
  </si>
  <si>
    <t>NUM.M.SI.Ser.SEUrepl.BL</t>
  </si>
  <si>
    <t>NUM.k.SI.Ser.SEUrepl.CR</t>
  </si>
  <si>
    <t>NUM.Msqm.SI.Ser.SEUrepl.BT</t>
  </si>
  <si>
    <t>NUM.k.SI.Ser.SEUrepl.IT</t>
  </si>
  <si>
    <t>Op.hours.SI.Ser.SEU.VE</t>
  </si>
  <si>
    <t>Op.hours.SI.Ser.SEU.SL</t>
  </si>
  <si>
    <t>Op.hours.SI.Ser.SEU.BL</t>
  </si>
  <si>
    <t>Op.hours.SI.Ser.SEU.CR</t>
  </si>
  <si>
    <t>Op.hours.SI.Ser.SEU.BT</t>
  </si>
  <si>
    <t>Op.hours.SI.Ser.SEU.IT</t>
  </si>
  <si>
    <t>Size_per_appl.W.SI.Ser.SEU.VE</t>
  </si>
  <si>
    <t>Size_per_appl.W.SI.Ser.SEU.SL</t>
  </si>
  <si>
    <t>Size_per_appl.W.SI.Ser.SEU.BL</t>
  </si>
  <si>
    <t>Size_per_appl.W.SI.Ser.SEU.CR</t>
  </si>
  <si>
    <t>Size_per_appl.W.SI.Ser.SEU.BT</t>
  </si>
  <si>
    <t>Size_per_appl.W.SI.Ser.SEU.IT</t>
  </si>
  <si>
    <t>Size_per_appl.W.SI.Ser.SEUnew.VE</t>
  </si>
  <si>
    <t>Size_per_appl.W.SI.Ser.SEUnew.SL</t>
  </si>
  <si>
    <t>Size_per_appl.W.SI.Ser.SEUnew.BL</t>
  </si>
  <si>
    <t>Size_per_appl.W.SI.Ser.SEUnew.CR</t>
  </si>
  <si>
    <t>Size_per_appl.W.SI.Ser.SEUnew.BT</t>
  </si>
  <si>
    <t>Size_per_appl.W.SI.Ser.SEUnew.IT</t>
  </si>
  <si>
    <t>NUM.sqm_per_building.SI.Ser.SEU.VE</t>
  </si>
  <si>
    <t>NUM.number_per_capita.SI.Ser.SEU.SL</t>
  </si>
  <si>
    <t>NUM.number_per_building.SI.Ser.SEU.BL</t>
  </si>
  <si>
    <t>NUM.number_per_capita.SI.Ser.SEU.CR</t>
  </si>
  <si>
    <t>NUM.sqm_per_building.SI.Ser.SEU.BT</t>
  </si>
  <si>
    <t>NUM.number_per_capita.SI.Ser.SEU.IT</t>
  </si>
  <si>
    <t>Lumens_per_sqm.lumen.SI.Ser.SEU.BL</t>
  </si>
  <si>
    <t>FEC.ktoe.SI.Ser.SEU.IT.DataCenters</t>
  </si>
  <si>
    <t>SI - Services / specific electric uses</t>
  </si>
  <si>
    <t>SI - Ventilation and others</t>
  </si>
  <si>
    <t>SI - Street lighting</t>
  </si>
  <si>
    <t>SI - Building lighting</t>
  </si>
  <si>
    <t>SI - Commercial refrigeration</t>
  </si>
  <si>
    <t>SI - Miscellaneous building technologies</t>
  </si>
  <si>
    <t>SI - ICT and multimedia</t>
  </si>
  <si>
    <t>SI - Agriculture, forestry and fishing</t>
  </si>
  <si>
    <t>VA.Meuro2015.Meuro2023.SI.AGR.AGR</t>
  </si>
  <si>
    <t>OUTPUT.index.index.SI.AGR.AGR</t>
  </si>
  <si>
    <t>CAP.index.index.SI.AGR.AGR</t>
  </si>
  <si>
    <t>NEWCAP.index.index.SI.AGR.AGR</t>
  </si>
  <si>
    <t>CAPOUT.index.SI.AGR.AGR</t>
  </si>
  <si>
    <t>CAPIDLE.index.SI.AGR.AGR</t>
  </si>
  <si>
    <t>FEC.ktoe.SI.ES.AGR</t>
  </si>
  <si>
    <t>FEC.ktoe.SI.ES.AGR.Solids</t>
  </si>
  <si>
    <t>FEC.ktoe.SI.ES.AGR.LPG</t>
  </si>
  <si>
    <t>FEC.ktoe.SI.ES.AGR.Diesel</t>
  </si>
  <si>
    <t>FEC.ktoe.SI.ES.AGR.RFO</t>
  </si>
  <si>
    <t>FEC.ktoe.SI.ES.AGR.NG</t>
  </si>
  <si>
    <t>FEC.ktoe.SI.ES.AGR.Biomass_Waste</t>
  </si>
  <si>
    <t>FEC.ktoe.SI.ES.AGR.Biogas</t>
  </si>
  <si>
    <t>FEC.ktoe.SI.ES.AGR.LiqBio</t>
  </si>
  <si>
    <t>FEC.ktoe.SI.ES.AGR.Solar</t>
  </si>
  <si>
    <t>FEC.ktoe.SI.ES.AGR.Geo</t>
  </si>
  <si>
    <t>FEC.ktoe.SI.ES.AGR.Ambient</t>
  </si>
  <si>
    <t>FEC.ktoe.SI.ES.AGR.Steam_Distr</t>
  </si>
  <si>
    <t>FEC.ktoe.SI.ES.AGR.Elec</t>
  </si>
  <si>
    <t>SI - Agriculture, forestry and fishing / final energy consumption</t>
  </si>
  <si>
    <t>FEC.ktoe.ktoe.SI.AGR.AGR.LIGHT.GENERIC.ELEC</t>
  </si>
  <si>
    <t>FEC.ktoe.ktoe.SI.AGR.AGR.FANS.GENERIC.ELEC</t>
  </si>
  <si>
    <t>FEC.ktoe.ktoe.SI.AGR.AGR.MOTOR.GENERIC.ELEC</t>
  </si>
  <si>
    <t>FEC.ktoe.ktoe.SI.AGR.AGR.LOW_ENTH.THERM.DIESEL_LIQBIO</t>
  </si>
  <si>
    <t>FEC.ktoe.ktoe.SI.AGR.AGR.LOW_ENTH.THERM.NG_BIOGAS</t>
  </si>
  <si>
    <t>FEC.ktoe.ktoe.SI.AGR.AGR.LOW_ENTH.THERM.SOLAR_GEO</t>
  </si>
  <si>
    <t>FEC.ktoe.ktoe.SI.AGR.AGR.LOW_ENTH.HP.AMBIENT</t>
  </si>
  <si>
    <t>FEC.ktoe.ktoe.SI.AGR.AGR.LOW_ENTH.THERM.STEAM_DISTR</t>
  </si>
  <si>
    <t>FEC.ktoe.ktoe.SI.AGR.AGR.LOW_ENTH.THERM.ELEC</t>
  </si>
  <si>
    <t>FEC.ktoe.ktoe.SI.AGR.AGR.FARM_DRIVES.MECH.DIESEL_LIQBIO</t>
  </si>
  <si>
    <t>FEC.ktoe.ktoe.SI.AGR.AGR.HEAT_USE.THERM.SOLIDS</t>
  </si>
  <si>
    <t>FEC.ktoe.ktoe.SI.AGR.AGR.HEAT_USE.THERM.LPG</t>
  </si>
  <si>
    <t>FEC.ktoe.ktoe.SI.AGR.AGR.HEAT_USE.THERM.DIESEL_LIQBIO</t>
  </si>
  <si>
    <t>FEC.ktoe.ktoe.SI.AGR.AGR.HEAT_USE.THERM.RFO</t>
  </si>
  <si>
    <t>FEC.ktoe.ktoe.SI.AGR.AGR.HEAT_USE.THERM.NG_BIOGAS</t>
  </si>
  <si>
    <t>FEC.ktoe.ktoe.SI.AGR.AGR.HEAT_USE.THERM.BIOMASS_WASTE</t>
  </si>
  <si>
    <t>FEC.ktoe.ktoe.SI.AGR.AGR.HEAT_USE.THERM.SOLAR_GEO</t>
  </si>
  <si>
    <t>FEC.ktoe.ktoe.SI.AGR.AGR.FARM_PUMP.MECH.DIESEL_LIQBIO</t>
  </si>
  <si>
    <t>FEC.ktoe.ktoe.SI.AGR.AGR.FARM_PUMP_ELEC.MECH.ELEC</t>
  </si>
  <si>
    <t>FEC.ktoe.ktoe.SI.AGR.AGR.GENERIC.MECH.ELEC</t>
  </si>
  <si>
    <t>SI - Agriculture, forestry and fishing / useful energy demand</t>
  </si>
  <si>
    <t>UED.ktoe.ktoe.SI.AGR.AGR.LIGHT.GENERIC.ELEC</t>
  </si>
  <si>
    <t>UED.ktoe.ktoe.SI.AGR.AGR.FANS.GENERIC.ELEC</t>
  </si>
  <si>
    <t>UED.ktoe.ktoe.SI.AGR.AGR.MOTOR.GENERIC.ELEC</t>
  </si>
  <si>
    <t>UED.ktoe.ktoe.SI.AGR.AGR.LOW_ENTH.THERM.DIESEL_LIQBIO</t>
  </si>
  <si>
    <t>UED.ktoe.ktoe.SI.AGR.AGR.LOW_ENTH.THERM.NG_BIOGAS</t>
  </si>
  <si>
    <t>UED.ktoe.ktoe.SI.AGR.AGR.LOW_ENTH.THERM.SOLAR_GEO</t>
  </si>
  <si>
    <t>UED.ktoe.ktoe.SI.AGR.AGR.LOW_ENTH.HP.AMBIENT</t>
  </si>
  <si>
    <t>UED.ktoe.ktoe.SI.AGR.AGR.LOW_ENTH.THERM.STEAM_DISTR</t>
  </si>
  <si>
    <t>UED.ktoe.ktoe.SI.AGR.AGR.LOW_ENTH.THERM.ELEC</t>
  </si>
  <si>
    <t>UED.ktoe.ktoe.SI.AGR.AGR.FARM_DRIVES.MECH.DIESEL_LIQBIO</t>
  </si>
  <si>
    <t>UED.ktoe.ktoe.SI.AGR.AGR.HEAT_USE.THERM.SOLIDS</t>
  </si>
  <si>
    <t>UED.ktoe.ktoe.SI.AGR.AGR.HEAT_USE.THERM.LPG</t>
  </si>
  <si>
    <t>UED.ktoe.ktoe.SI.AGR.AGR.HEAT_USE.THERM.DIESEL_LIQBIO</t>
  </si>
  <si>
    <t>UED.ktoe.ktoe.SI.AGR.AGR.HEAT_USE.THERM.RFO</t>
  </si>
  <si>
    <t>UED.ktoe.ktoe.SI.AGR.AGR.HEAT_USE.THERM.NG_BIOGAS</t>
  </si>
  <si>
    <t>UED.ktoe.ktoe.SI.AGR.AGR.HEAT_USE.THERM.BIOMASS_WASTE</t>
  </si>
  <si>
    <t>UED.ktoe.ktoe.SI.AGR.AGR.HEAT_USE.THERM.SOLAR_GEO</t>
  </si>
  <si>
    <t>UED.ktoe.ktoe.SI.AGR.AGR.FARM_PUMP.MECH.DIESEL_LIQBIO</t>
  </si>
  <si>
    <t>UED.ktoe.ktoe.SI.AGR.AGR.FARM_PUMP_ELEC.MECH.ELEC</t>
  </si>
  <si>
    <t>UED.ktoe.ktoe.SI.AGR.AGR.GENERIC.MECH.ELEC</t>
  </si>
  <si>
    <t>SI - Agriculture, forestry and fishing / CO2 emissions</t>
  </si>
  <si>
    <t>FUEL_EMI.ktCO2.ktCO2.SI.AGR.AGR.LIGHT.GENERIC.ELEC</t>
  </si>
  <si>
    <t>FUEL_EMI.ktCO2.ktCO2.SI.AGR.AGR.FANS.GENERIC.ELEC</t>
  </si>
  <si>
    <t>FUEL_EMI.ktCO2.ktCO2.SI.AGR.AGR.MOTOR.GENERIC.ELEC</t>
  </si>
  <si>
    <t>FUEL_EMI.ktCO2.ktCO2.SI.AGR.AGR.LOW_ENTH.THERM.DIESEL_LIQBIO</t>
  </si>
  <si>
    <t>FUEL_EMI.ktCO2.ktCO2.SI.AGR.AGR.LOW_ENTH.THERM.NG_BIOGAS</t>
  </si>
  <si>
    <t>FUEL_EMI.ktCO2.ktCO2.SI.AGR.AGR.LOW_ENTH.THERM.SOLAR_GEO</t>
  </si>
  <si>
    <t>FUEL_EMI.ktCO2.ktCO2.SI.AGR.AGR.LOW_ENTH.HP.AMBIENT</t>
  </si>
  <si>
    <t>FUEL_EMI.ktCO2.ktCO2.SI.AGR.AGR.LOW_ENTH.THERM.STEAM_DISTR</t>
  </si>
  <si>
    <t>FUEL_EMI.ktCO2.ktCO2.SI.AGR.AGR.LOW_ENTH.THERM.ELEC</t>
  </si>
  <si>
    <t>FUEL_EMI.ktCO2.ktCO2.SI.AGR.AGR.FARM_DRIVES.MECH.DIESEL_LIQBIO</t>
  </si>
  <si>
    <t>FUEL_EMI.ktCO2.ktCO2.SI.AGR.AGR.HEAT_USE.THERM.SOLIDS</t>
  </si>
  <si>
    <t>FUEL_EMI.ktCO2.ktCO2.SI.AGR.AGR.HEAT_USE.THERM.LPG</t>
  </si>
  <si>
    <t>FUEL_EMI.ktCO2.ktCO2.SI.AGR.AGR.HEAT_USE.THERM.DIESEL_LIQBIO</t>
  </si>
  <si>
    <t>FUEL_EMI.ktCO2.ktCO2.SI.AGR.AGR.HEAT_USE.THERM.RFO</t>
  </si>
  <si>
    <t>FUEL_EMI.ktCO2.ktCO2.SI.AGR.AGR.HEAT_USE.THERM.NG_BIOGAS</t>
  </si>
  <si>
    <t>FUEL_EMI.ktCO2.ktCO2.SI.AGR.AGR.HEAT_USE.THERM.BIOMASS_WASTE</t>
  </si>
  <si>
    <t>FUEL_EMI.ktCO2.ktCO2.SI.AGR.AGR.HEAT_USE.THERM.SOLAR_GEO</t>
  </si>
  <si>
    <t>FUEL_EMI.ktCO2.ktCO2.SI.AGR.AGR.FARM_PUMP.MECH.DIESEL_LIQBIO</t>
  </si>
  <si>
    <t>FUEL_EMI.ktCO2.ktCO2.SI.AGR.AGR.FARM_PUMP_ELEC.MECH.ELEC</t>
  </si>
  <si>
    <t>FUEL_EMI.ktCO2.ktCO2.SI.AGR.AGR.GENERIC.MECH.ELEC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</si>
</sst>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45967.480138888888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1987755</v>
      </c>
      <c r="C3" s="34">
        <v>1990094</v>
      </c>
      <c r="D3" s="34">
        <v>1994026</v>
      </c>
      <c r="E3" s="34">
        <v>1995033</v>
      </c>
      <c r="F3" s="34">
        <v>1996433</v>
      </c>
      <c r="G3" s="34">
        <v>1997590</v>
      </c>
      <c r="H3" s="34">
        <v>2003358</v>
      </c>
      <c r="I3" s="34">
        <v>2010377</v>
      </c>
      <c r="J3" s="34">
        <v>2010269</v>
      </c>
      <c r="K3" s="34">
        <v>2032362</v>
      </c>
      <c r="L3" s="34">
        <v>2046976</v>
      </c>
      <c r="M3" s="34">
        <v>2050189</v>
      </c>
      <c r="N3" s="34">
        <v>2055496</v>
      </c>
      <c r="O3" s="34">
        <v>2058821</v>
      </c>
      <c r="P3" s="34">
        <v>2061085</v>
      </c>
      <c r="Q3" s="34">
        <v>2062874</v>
      </c>
      <c r="R3" s="34">
        <v>2064188</v>
      </c>
      <c r="S3" s="34">
        <v>2065895</v>
      </c>
      <c r="T3" s="34">
        <v>2066880</v>
      </c>
      <c r="U3" s="34">
        <v>2080908</v>
      </c>
      <c r="V3" s="34">
        <v>2095861</v>
      </c>
      <c r="W3" s="34">
        <v>2108977</v>
      </c>
      <c r="X3" s="34">
        <v>2107180</v>
      </c>
      <c r="Y3" s="34">
        <v>2116972</v>
      </c>
      <c r="DA3" s="88" t="s">
        <v>188</v>
      </c>
    </row>
    <row r="4" spans="1:105" ht="12" customHeight="1" x14ac:dyDescent="0.25">
      <c r="A4" s="35" t="s">
        <v>178</v>
      </c>
      <c r="B4" s="36">
        <v>37635.032236491534</v>
      </c>
      <c r="C4" s="36">
        <v>38700.015838063584</v>
      </c>
      <c r="D4" s="36">
        <v>39970.066278475962</v>
      </c>
      <c r="E4" s="36">
        <v>41247.226527848936</v>
      </c>
      <c r="F4" s="36">
        <v>43122.244883257918</v>
      </c>
      <c r="G4" s="36">
        <v>44784.049428244718</v>
      </c>
      <c r="H4" s="36">
        <v>47430.702333115791</v>
      </c>
      <c r="I4" s="36">
        <v>50816.705110966934</v>
      </c>
      <c r="J4" s="36">
        <v>52530.613670081235</v>
      </c>
      <c r="K4" s="36">
        <v>48543.15744248563</v>
      </c>
      <c r="L4" s="36">
        <v>49082.765019632483</v>
      </c>
      <c r="M4" s="36">
        <v>49404.519087265508</v>
      </c>
      <c r="N4" s="36">
        <v>47963.96935174254</v>
      </c>
      <c r="O4" s="36">
        <v>47569.116280273658</v>
      </c>
      <c r="P4" s="36">
        <v>48883.375591083313</v>
      </c>
      <c r="Q4" s="36">
        <v>50053.233230999998</v>
      </c>
      <c r="R4" s="36">
        <v>51572.348543390981</v>
      </c>
      <c r="S4" s="36">
        <v>54240.359539071287</v>
      </c>
      <c r="T4" s="36">
        <v>56615.846777700099</v>
      </c>
      <c r="U4" s="36">
        <v>58600.360661644285</v>
      </c>
      <c r="V4" s="36">
        <v>56206.522226846449</v>
      </c>
      <c r="W4" s="36">
        <v>60937.618233402682</v>
      </c>
      <c r="X4" s="36">
        <v>62563.505044831669</v>
      </c>
      <c r="Y4" s="36">
        <v>64050</v>
      </c>
      <c r="DA4" s="89" t="s">
        <v>189</v>
      </c>
    </row>
    <row r="5" spans="1:105" ht="12" customHeight="1" x14ac:dyDescent="0.25">
      <c r="A5" s="35" t="s">
        <v>179</v>
      </c>
      <c r="B5" s="36">
        <v>20427.439348221858</v>
      </c>
      <c r="C5" s="36">
        <v>21229.644293981171</v>
      </c>
      <c r="D5" s="36">
        <v>21975.8598474518</v>
      </c>
      <c r="E5" s="36">
        <v>22945.792355245161</v>
      </c>
      <c r="F5" s="36">
        <v>24019.55997849816</v>
      </c>
      <c r="G5" s="36">
        <v>25091.559932181648</v>
      </c>
      <c r="H5" s="36">
        <v>26609.804338874903</v>
      </c>
      <c r="I5" s="36">
        <v>28334.663551735382</v>
      </c>
      <c r="J5" s="36">
        <v>29748.598927879644</v>
      </c>
      <c r="K5" s="36">
        <v>28724.009556445104</v>
      </c>
      <c r="L5" s="36">
        <v>29450.906965799833</v>
      </c>
      <c r="M5" s="36">
        <v>29396.134005243257</v>
      </c>
      <c r="N5" s="36">
        <v>28536.87582690021</v>
      </c>
      <c r="O5" s="36">
        <v>28320.891778367011</v>
      </c>
      <c r="P5" s="36">
        <v>29019.736682201918</v>
      </c>
      <c r="Q5" s="36">
        <v>29664.596582000009</v>
      </c>
      <c r="R5" s="36">
        <v>30712.625887746821</v>
      </c>
      <c r="S5" s="36">
        <v>32261.837688697702</v>
      </c>
      <c r="T5" s="36">
        <v>33527.967737503466</v>
      </c>
      <c r="U5" s="36">
        <v>34641.850295464355</v>
      </c>
      <c r="V5" s="36">
        <v>33500.615219464766</v>
      </c>
      <c r="W5" s="36">
        <v>36809.845480012526</v>
      </c>
      <c r="X5" s="36">
        <v>37795.771314761041</v>
      </c>
      <c r="Y5" s="36">
        <v>38050.899999999994</v>
      </c>
      <c r="DA5" s="89" t="s">
        <v>190</v>
      </c>
    </row>
    <row r="6" spans="1:105" ht="12" customHeight="1" x14ac:dyDescent="0.25">
      <c r="A6" s="37" t="s">
        <v>70</v>
      </c>
      <c r="B6" s="38">
        <v>488100</v>
      </c>
      <c r="C6" s="38">
        <v>497070.00000000006</v>
      </c>
      <c r="D6" s="38">
        <v>516520</v>
      </c>
      <c r="E6" s="38">
        <v>521679.99999999994</v>
      </c>
      <c r="F6" s="38">
        <v>532200</v>
      </c>
      <c r="G6" s="38">
        <v>533440</v>
      </c>
      <c r="H6" s="38">
        <v>549730</v>
      </c>
      <c r="I6" s="38">
        <v>572330</v>
      </c>
      <c r="J6" s="38">
        <v>589750</v>
      </c>
      <c r="K6" s="38">
        <v>597349.99999999988</v>
      </c>
      <c r="L6" s="38">
        <v>599070</v>
      </c>
      <c r="M6" s="38">
        <v>597619.99999999988</v>
      </c>
      <c r="N6" s="38">
        <v>598580</v>
      </c>
      <c r="O6" s="38">
        <v>597170.00000000012</v>
      </c>
      <c r="P6" s="38">
        <v>603000</v>
      </c>
      <c r="Q6" s="38">
        <v>612670.00000000012</v>
      </c>
      <c r="R6" s="38">
        <v>626190</v>
      </c>
      <c r="S6" s="38">
        <v>646540</v>
      </c>
      <c r="T6" s="38">
        <v>665349.99999999988</v>
      </c>
      <c r="U6" s="38">
        <v>679449.99999999977</v>
      </c>
      <c r="V6" s="38">
        <v>676129.99999999988</v>
      </c>
      <c r="W6" s="38">
        <v>683819.99999999988</v>
      </c>
      <c r="X6" s="38">
        <v>704580</v>
      </c>
      <c r="Y6" s="38">
        <v>718240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20442.166422701335</v>
      </c>
      <c r="C8" s="34">
        <v>20980.473114583667</v>
      </c>
      <c r="D8" s="34">
        <v>21754.077411397753</v>
      </c>
      <c r="E8" s="34">
        <v>22303.789181581458</v>
      </c>
      <c r="F8" s="34">
        <v>23158.560025492108</v>
      </c>
      <c r="G8" s="34">
        <v>23912.086139419822</v>
      </c>
      <c r="H8" s="34">
        <v>25138.039380696791</v>
      </c>
      <c r="I8" s="34">
        <v>26687.881627892588</v>
      </c>
      <c r="J8" s="34">
        <v>27544.09002827316</v>
      </c>
      <c r="K8" s="34">
        <v>27805.881201491469</v>
      </c>
      <c r="L8" s="34">
        <v>28093.323733954458</v>
      </c>
      <c r="M8" s="34">
        <v>28258.788071910138</v>
      </c>
      <c r="N8" s="34">
        <v>28324.328207252795</v>
      </c>
      <c r="O8" s="34">
        <v>28429.08871266069</v>
      </c>
      <c r="P8" s="34">
        <v>28795.62372915681</v>
      </c>
      <c r="Q8" s="34">
        <v>29044.380886635601</v>
      </c>
      <c r="R8" s="34">
        <v>29362.289438705659</v>
      </c>
      <c r="S8" s="34">
        <v>29807.198296364011</v>
      </c>
      <c r="T8" s="34">
        <v>30261.301487380708</v>
      </c>
      <c r="U8" s="34">
        <v>30639.658183836345</v>
      </c>
      <c r="V8" s="34">
        <v>30966.872222222224</v>
      </c>
      <c r="W8" s="34">
        <v>31265.500612908349</v>
      </c>
      <c r="X8" s="34">
        <v>31540.94857410128</v>
      </c>
      <c r="Y8" s="34">
        <v>31795.676507315231</v>
      </c>
      <c r="DA8" s="88" t="s">
        <v>192</v>
      </c>
    </row>
    <row r="9" spans="1:105" ht="12" customHeight="1" x14ac:dyDescent="0.25">
      <c r="A9" s="39" t="s">
        <v>68</v>
      </c>
      <c r="B9" s="40">
        <v>18397.949780431201</v>
      </c>
      <c r="C9" s="40">
        <v>18882.425803125301</v>
      </c>
      <c r="D9" s="40">
        <v>19578.669670257976</v>
      </c>
      <c r="E9" s="40">
        <v>20073.410263423313</v>
      </c>
      <c r="F9" s="40">
        <v>20842.704022942897</v>
      </c>
      <c r="G9" s="40">
        <v>21520.877525477837</v>
      </c>
      <c r="H9" s="40">
        <v>22624.235442627112</v>
      </c>
      <c r="I9" s="40">
        <v>24019.093465103328</v>
      </c>
      <c r="J9" s="40">
        <v>24789.681025445843</v>
      </c>
      <c r="K9" s="40">
        <v>25025.293081342323</v>
      </c>
      <c r="L9" s="40">
        <v>25283.991360559012</v>
      </c>
      <c r="M9" s="40">
        <v>25432.909264719125</v>
      </c>
      <c r="N9" s="40">
        <v>25491.895386527514</v>
      </c>
      <c r="O9" s="40">
        <v>25586.17984139462</v>
      </c>
      <c r="P9" s="40">
        <v>25916.061356241131</v>
      </c>
      <c r="Q9" s="40">
        <v>26139.942797972042</v>
      </c>
      <c r="R9" s="40">
        <v>26426.060494835092</v>
      </c>
      <c r="S9" s="40">
        <v>26826.478466727611</v>
      </c>
      <c r="T9" s="40">
        <v>27235.171338642638</v>
      </c>
      <c r="U9" s="40">
        <v>27575.692365452713</v>
      </c>
      <c r="V9" s="40">
        <v>27870.185000000001</v>
      </c>
      <c r="W9" s="40">
        <v>28138.950551617512</v>
      </c>
      <c r="X9" s="40">
        <v>28386.853716691152</v>
      </c>
      <c r="Y9" s="40">
        <v>28616.108856583709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619.94665304692228</v>
      </c>
      <c r="D10" s="41">
        <v>857.49950552465157</v>
      </c>
      <c r="E10" s="41">
        <v>636.76432545866066</v>
      </c>
      <c r="F10" s="41">
        <v>944.07864673157462</v>
      </c>
      <c r="G10" s="41">
        <v>845.99126331301727</v>
      </c>
      <c r="H10" s="41">
        <v>1321.5757372266532</v>
      </c>
      <c r="I10" s="41">
        <v>1650.4262877466413</v>
      </c>
      <c r="J10" s="41">
        <v>963.10713406017317</v>
      </c>
      <c r="K10" s="41">
        <v>371.84725346228129</v>
      </c>
      <c r="L10" s="41">
        <v>398.85176123454693</v>
      </c>
      <c r="M10" s="41">
        <v>277.77566574564048</v>
      </c>
      <c r="N10" s="41">
        <v>178.753562151003</v>
      </c>
      <c r="O10" s="41">
        <v>217.97393221624458</v>
      </c>
      <c r="P10" s="41">
        <v>480.19949281367667</v>
      </c>
      <c r="Q10" s="41">
        <v>363.77478232392235</v>
      </c>
      <c r="R10" s="41">
        <v>466.85409507843514</v>
      </c>
      <c r="S10" s="41">
        <v>595.48470093377045</v>
      </c>
      <c r="T10" s="41">
        <v>606.96061817753855</v>
      </c>
      <c r="U10" s="41">
        <v>533.54285792937912</v>
      </c>
      <c r="V10" s="41">
        <v>484.34049061068635</v>
      </c>
      <c r="W10" s="41">
        <v>457.43286362058899</v>
      </c>
      <c r="X10" s="41">
        <v>435.78386177195819</v>
      </c>
      <c r="Y10" s="41">
        <v>416.47638744011675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557.95198774223013</v>
      </c>
      <c r="D11" s="42">
        <v>771.74955497218639</v>
      </c>
      <c r="E11" s="42">
        <v>573.0878929127947</v>
      </c>
      <c r="F11" s="42">
        <v>849.6707820584171</v>
      </c>
      <c r="G11" s="42">
        <v>761.39213698171557</v>
      </c>
      <c r="H11" s="42">
        <v>1189.4181635039879</v>
      </c>
      <c r="I11" s="42">
        <v>1485.3836589719772</v>
      </c>
      <c r="J11" s="42">
        <v>866.79642065415578</v>
      </c>
      <c r="K11" s="42">
        <v>334.66252811605318</v>
      </c>
      <c r="L11" s="42">
        <v>358.96658511109223</v>
      </c>
      <c r="M11" s="42">
        <v>249.99809917107646</v>
      </c>
      <c r="N11" s="42">
        <v>160.87820593590268</v>
      </c>
      <c r="O11" s="42">
        <v>196.17653899462013</v>
      </c>
      <c r="P11" s="42">
        <v>432.17954353230903</v>
      </c>
      <c r="Q11" s="42">
        <v>327.39730409153015</v>
      </c>
      <c r="R11" s="42">
        <v>420.16868557059161</v>
      </c>
      <c r="S11" s="42">
        <v>535.93623084039348</v>
      </c>
      <c r="T11" s="42">
        <v>546.26455635978471</v>
      </c>
      <c r="U11" s="42">
        <v>480.18857213644122</v>
      </c>
      <c r="V11" s="42">
        <v>435.90644154961774</v>
      </c>
      <c r="W11" s="42">
        <v>411.68957725853011</v>
      </c>
      <c r="X11" s="42">
        <v>392.20547559476233</v>
      </c>
      <c r="Y11" s="42">
        <v>374.82874869610509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2594.38</v>
      </c>
      <c r="C13" s="43">
        <v>2877.1</v>
      </c>
      <c r="D13" s="43">
        <v>2674.53</v>
      </c>
      <c r="E13" s="43">
        <v>3063.34</v>
      </c>
      <c r="F13" s="43">
        <v>3072.24</v>
      </c>
      <c r="G13" s="43">
        <v>3192.52</v>
      </c>
      <c r="H13" s="43">
        <v>2978.51</v>
      </c>
      <c r="I13" s="43">
        <v>2685.84</v>
      </c>
      <c r="J13" s="43">
        <v>2793.77</v>
      </c>
      <c r="K13" s="43">
        <v>2795.7</v>
      </c>
      <c r="L13" s="43">
        <v>3136.59</v>
      </c>
      <c r="M13" s="43">
        <v>2826.88</v>
      </c>
      <c r="N13" s="43">
        <v>2836.51</v>
      </c>
      <c r="O13" s="43">
        <v>2870.67</v>
      </c>
      <c r="P13" s="43">
        <v>2345.7199999999998</v>
      </c>
      <c r="Q13" s="43">
        <v>2703.06</v>
      </c>
      <c r="R13" s="43">
        <v>2759.75</v>
      </c>
      <c r="S13" s="43">
        <v>2834.88</v>
      </c>
      <c r="T13" s="43">
        <v>2579.61</v>
      </c>
      <c r="U13" s="43">
        <v>2600.7199999999998</v>
      </c>
      <c r="V13" s="43">
        <v>2693</v>
      </c>
      <c r="W13" s="43">
        <v>2985.84</v>
      </c>
      <c r="X13" s="43">
        <v>2641.87</v>
      </c>
      <c r="Y13" s="43">
        <v>2489.96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2805.4914285714285</v>
      </c>
      <c r="C14" s="44">
        <f t="shared" ref="C14:Y14" si="0">AVERAGE($B$13:$V$13)</f>
        <v>2805.4914285714285</v>
      </c>
      <c r="D14" s="44">
        <f t="shared" si="0"/>
        <v>2805.4914285714285</v>
      </c>
      <c r="E14" s="44">
        <f t="shared" si="0"/>
        <v>2805.4914285714285</v>
      </c>
      <c r="F14" s="44">
        <f t="shared" si="0"/>
        <v>2805.4914285714285</v>
      </c>
      <c r="G14" s="44">
        <f t="shared" si="0"/>
        <v>2805.4914285714285</v>
      </c>
      <c r="H14" s="44">
        <f t="shared" si="0"/>
        <v>2805.4914285714285</v>
      </c>
      <c r="I14" s="44">
        <f t="shared" si="0"/>
        <v>2805.4914285714285</v>
      </c>
      <c r="J14" s="44">
        <f t="shared" si="0"/>
        <v>2805.4914285714285</v>
      </c>
      <c r="K14" s="44">
        <f t="shared" si="0"/>
        <v>2805.4914285714285</v>
      </c>
      <c r="L14" s="44">
        <f t="shared" si="0"/>
        <v>2805.4914285714285</v>
      </c>
      <c r="M14" s="44">
        <f t="shared" si="0"/>
        <v>2805.4914285714285</v>
      </c>
      <c r="N14" s="44">
        <f t="shared" si="0"/>
        <v>2805.4914285714285</v>
      </c>
      <c r="O14" s="44">
        <f t="shared" si="0"/>
        <v>2805.4914285714285</v>
      </c>
      <c r="P14" s="44">
        <f t="shared" si="0"/>
        <v>2805.4914285714285</v>
      </c>
      <c r="Q14" s="44">
        <f t="shared" si="0"/>
        <v>2805.4914285714285</v>
      </c>
      <c r="R14" s="44">
        <f t="shared" si="0"/>
        <v>2805.4914285714285</v>
      </c>
      <c r="S14" s="44">
        <f t="shared" si="0"/>
        <v>2805.4914285714285</v>
      </c>
      <c r="T14" s="44">
        <f t="shared" si="0"/>
        <v>2805.4914285714285</v>
      </c>
      <c r="U14" s="44">
        <f t="shared" si="0"/>
        <v>2805.4914285714285</v>
      </c>
      <c r="V14" s="44">
        <f t="shared" si="0"/>
        <v>2805.4914285714285</v>
      </c>
      <c r="W14" s="44">
        <f t="shared" si="0"/>
        <v>2805.4914285714285</v>
      </c>
      <c r="X14" s="44">
        <f t="shared" si="0"/>
        <v>2805.4914285714285</v>
      </c>
      <c r="Y14" s="44">
        <f t="shared" si="0"/>
        <v>2805.4914285714285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0.92475064210802904</v>
      </c>
      <c r="C15" s="46">
        <f t="shared" ref="C15:W15" si="1">C13/C14</f>
        <v>1.0255244306574249</v>
      </c>
      <c r="D15" s="46">
        <f t="shared" si="1"/>
        <v>0.95331961194473702</v>
      </c>
      <c r="E15" s="46">
        <f t="shared" si="1"/>
        <v>1.091908522265516</v>
      </c>
      <c r="F15" s="46">
        <f t="shared" si="1"/>
        <v>1.0950808720040899</v>
      </c>
      <c r="G15" s="46">
        <f t="shared" si="1"/>
        <v>1.1379539311676488</v>
      </c>
      <c r="H15" s="46">
        <f t="shared" si="1"/>
        <v>1.0616713954876253</v>
      </c>
      <c r="I15" s="46">
        <f t="shared" si="1"/>
        <v>0.95735099121926193</v>
      </c>
      <c r="J15" s="46">
        <f t="shared" si="1"/>
        <v>0.99582196956581071</v>
      </c>
      <c r="K15" s="46">
        <f t="shared" si="1"/>
        <v>0.99650990608215317</v>
      </c>
      <c r="L15" s="46">
        <f t="shared" si="1"/>
        <v>1.1180180299453522</v>
      </c>
      <c r="M15" s="46">
        <f t="shared" si="1"/>
        <v>1.0076238234808876</v>
      </c>
      <c r="N15" s="46">
        <f t="shared" si="1"/>
        <v>1.0110563771867827</v>
      </c>
      <c r="O15" s="46">
        <f t="shared" si="1"/>
        <v>1.0232324970822531</v>
      </c>
      <c r="P15" s="46">
        <f t="shared" si="1"/>
        <v>0.83611732907501812</v>
      </c>
      <c r="Q15" s="46">
        <f t="shared" si="1"/>
        <v>0.96348895329771611</v>
      </c>
      <c r="R15" s="46">
        <f t="shared" si="1"/>
        <v>0.98369575180105961</v>
      </c>
      <c r="S15" s="46">
        <f t="shared" si="1"/>
        <v>1.0104753738076955</v>
      </c>
      <c r="T15" s="46">
        <f t="shared" si="1"/>
        <v>0.9194859673171597</v>
      </c>
      <c r="U15" s="46">
        <f t="shared" si="1"/>
        <v>0.92701049574202421</v>
      </c>
      <c r="V15" s="46">
        <f t="shared" si="1"/>
        <v>0.95990312876175499</v>
      </c>
      <c r="W15" s="46">
        <f t="shared" si="1"/>
        <v>1.0642841284745632</v>
      </c>
      <c r="X15" s="46">
        <f t="shared" ref="X15:Y15" si="2">X13/X14</f>
        <v>0.94167815773554309</v>
      </c>
      <c r="Y15" s="46">
        <f t="shared" si="2"/>
        <v>0.88753078146736708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18933.436080649542</v>
      </c>
      <c r="C19" s="34">
        <f t="shared" si="3"/>
        <v>19446.325569577912</v>
      </c>
      <c r="D19" s="34">
        <f t="shared" ref="D19:W19" si="4">D4*1000000/D3</f>
        <v>20044.907277275201</v>
      </c>
      <c r="E19" s="34">
        <f t="shared" si="4"/>
        <v>20674.959525907059</v>
      </c>
      <c r="F19" s="34">
        <f t="shared" si="4"/>
        <v>21599.645409216297</v>
      </c>
      <c r="G19" s="34">
        <f t="shared" si="4"/>
        <v>22419.039656908935</v>
      </c>
      <c r="H19" s="34">
        <f t="shared" si="4"/>
        <v>23675.599834435878</v>
      </c>
      <c r="I19" s="34">
        <f t="shared" si="4"/>
        <v>25277.201793975426</v>
      </c>
      <c r="J19" s="34">
        <f t="shared" si="4"/>
        <v>26131.136514606373</v>
      </c>
      <c r="K19" s="34">
        <f t="shared" si="4"/>
        <v>23885.09401498632</v>
      </c>
      <c r="L19" s="34">
        <f t="shared" si="4"/>
        <v>23978.182948716782</v>
      </c>
      <c r="M19" s="34">
        <f t="shared" si="4"/>
        <v>24097.543732439062</v>
      </c>
      <c r="N19" s="34">
        <f t="shared" si="4"/>
        <v>23334.498997683546</v>
      </c>
      <c r="O19" s="34">
        <f t="shared" si="4"/>
        <v>23105.027722309835</v>
      </c>
      <c r="P19" s="34">
        <f t="shared" si="4"/>
        <v>23717.302096266438</v>
      </c>
      <c r="Q19" s="34">
        <f t="shared" si="4"/>
        <v>24263.834451837582</v>
      </c>
      <c r="R19" s="34">
        <f t="shared" si="4"/>
        <v>24984.327272220835</v>
      </c>
      <c r="S19" s="34">
        <f t="shared" si="4"/>
        <v>26255.138590814775</v>
      </c>
      <c r="T19" s="34">
        <f t="shared" si="4"/>
        <v>27391.937015066233</v>
      </c>
      <c r="U19" s="34">
        <f t="shared" si="4"/>
        <v>28160.956977263908</v>
      </c>
      <c r="V19" s="34">
        <f t="shared" si="4"/>
        <v>26817.86732366624</v>
      </c>
      <c r="W19" s="34">
        <f t="shared" si="4"/>
        <v>28894.396777870352</v>
      </c>
      <c r="X19" s="34">
        <f t="shared" ref="X19:Y19" si="5">X4*1000000/X3</f>
        <v>29690.631576244868</v>
      </c>
      <c r="Y19" s="34">
        <f t="shared" si="5"/>
        <v>30255.478107410017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41850.930850690143</v>
      </c>
      <c r="C20" s="36">
        <f t="shared" si="6"/>
        <v>42709.566648522676</v>
      </c>
      <c r="D20" s="36">
        <f t="shared" ref="D20:W20" si="7">D5*1000000/D6</f>
        <v>42545.999859544259</v>
      </c>
      <c r="E20" s="36">
        <f t="shared" si="7"/>
        <v>43984.420248514733</v>
      </c>
      <c r="F20" s="36">
        <f t="shared" si="7"/>
        <v>45132.581695787601</v>
      </c>
      <c r="G20" s="36">
        <f t="shared" si="7"/>
        <v>47037.267419356722</v>
      </c>
      <c r="H20" s="36">
        <f t="shared" si="7"/>
        <v>48405.224999317674</v>
      </c>
      <c r="I20" s="36">
        <f t="shared" si="7"/>
        <v>49507.563034849445</v>
      </c>
      <c r="J20" s="36">
        <f t="shared" si="7"/>
        <v>50442.728152402953</v>
      </c>
      <c r="K20" s="36">
        <f t="shared" si="7"/>
        <v>48085.727892266019</v>
      </c>
      <c r="L20" s="36">
        <f t="shared" si="7"/>
        <v>49161.044562070936</v>
      </c>
      <c r="M20" s="36">
        <f t="shared" si="7"/>
        <v>49188.671739974001</v>
      </c>
      <c r="N20" s="36">
        <f t="shared" si="7"/>
        <v>47674.288861806628</v>
      </c>
      <c r="O20" s="36">
        <f t="shared" si="7"/>
        <v>47425.175039548216</v>
      </c>
      <c r="P20" s="36">
        <f t="shared" si="7"/>
        <v>48125.599804646627</v>
      </c>
      <c r="Q20" s="36">
        <f t="shared" si="7"/>
        <v>48418.555800022856</v>
      </c>
      <c r="R20" s="36">
        <f t="shared" si="7"/>
        <v>49046.81628219362</v>
      </c>
      <c r="S20" s="36">
        <f t="shared" si="7"/>
        <v>49899.21379759597</v>
      </c>
      <c r="T20" s="36">
        <f t="shared" si="7"/>
        <v>50391.474768923836</v>
      </c>
      <c r="U20" s="36">
        <f t="shared" si="7"/>
        <v>50985.135470548776</v>
      </c>
      <c r="V20" s="36">
        <f t="shared" si="7"/>
        <v>49547.594722116715</v>
      </c>
      <c r="W20" s="36">
        <f t="shared" si="7"/>
        <v>53829.729285502814</v>
      </c>
      <c r="X20" s="36">
        <f t="shared" ref="X20:Y20" si="8">X5*1000000/X6</f>
        <v>53642.980661899346</v>
      </c>
      <c r="Y20" s="36">
        <f t="shared" si="8"/>
        <v>52977.973936288698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10276.638392670053</v>
      </c>
      <c r="C21" s="36">
        <f t="shared" si="9"/>
        <v>10667.659062326287</v>
      </c>
      <c r="D21" s="36">
        <f t="shared" ref="D21:W21" si="10">D5*1000000/D3</f>
        <v>11020.849200287159</v>
      </c>
      <c r="E21" s="36">
        <f t="shared" si="10"/>
        <v>11501.46005366586</v>
      </c>
      <c r="F21" s="36">
        <f t="shared" si="10"/>
        <v>12031.237701690045</v>
      </c>
      <c r="G21" s="36">
        <f t="shared" si="10"/>
        <v>12560.91586971383</v>
      </c>
      <c r="H21" s="36">
        <f t="shared" si="10"/>
        <v>13282.600682890879</v>
      </c>
      <c r="I21" s="36">
        <f t="shared" si="10"/>
        <v>14094.203998421879</v>
      </c>
      <c r="J21" s="36">
        <f t="shared" si="10"/>
        <v>14798.317502722095</v>
      </c>
      <c r="K21" s="36">
        <f t="shared" si="10"/>
        <v>14133.313630369541</v>
      </c>
      <c r="L21" s="36">
        <f t="shared" si="10"/>
        <v>14387.519426607754</v>
      </c>
      <c r="M21" s="36">
        <f t="shared" si="10"/>
        <v>14338.255646305417</v>
      </c>
      <c r="N21" s="36">
        <f t="shared" si="10"/>
        <v>13883.206694102159</v>
      </c>
      <c r="O21" s="36">
        <f t="shared" si="10"/>
        <v>13755.878621000569</v>
      </c>
      <c r="P21" s="36">
        <f t="shared" si="10"/>
        <v>14079.834981188023</v>
      </c>
      <c r="Q21" s="36">
        <f t="shared" si="10"/>
        <v>14380.22709191158</v>
      </c>
      <c r="R21" s="36">
        <f t="shared" si="10"/>
        <v>14878.792962533849</v>
      </c>
      <c r="S21" s="36">
        <f t="shared" si="10"/>
        <v>15616.397584919709</v>
      </c>
      <c r="T21" s="36">
        <f t="shared" si="10"/>
        <v>16221.535714460186</v>
      </c>
      <c r="U21" s="36">
        <f t="shared" si="10"/>
        <v>16647.468458703774</v>
      </c>
      <c r="V21" s="36">
        <f t="shared" si="10"/>
        <v>15984.177967653755</v>
      </c>
      <c r="W21" s="36">
        <f t="shared" si="10"/>
        <v>17453.886637935135</v>
      </c>
      <c r="X21" s="36">
        <f t="shared" ref="X21:Y21" si="11">X5*1000000/X3</f>
        <v>17936.660045540029</v>
      </c>
      <c r="Y21" s="36">
        <f t="shared" si="11"/>
        <v>17974.210334383257</v>
      </c>
      <c r="DA21" s="89"/>
    </row>
    <row r="22" spans="1:105" ht="12" customHeight="1" x14ac:dyDescent="0.25">
      <c r="A22" s="51" t="s">
        <v>148</v>
      </c>
      <c r="B22" s="52">
        <v>0.56071249272308143</v>
      </c>
      <c r="C22" s="52">
        <v>0.56753190922853569</v>
      </c>
      <c r="D22" s="52">
        <v>0.57472547912528904</v>
      </c>
      <c r="E22" s="52">
        <v>0.59323436240912963</v>
      </c>
      <c r="F22" s="52">
        <v>0.606489378257276</v>
      </c>
      <c r="G22" s="52">
        <v>0.61981667465213097</v>
      </c>
      <c r="H22" s="52">
        <v>0.63594978779842981</v>
      </c>
      <c r="I22" s="52">
        <v>0.65474678062487424</v>
      </c>
      <c r="J22" s="52">
        <v>0.67832101565072189</v>
      </c>
      <c r="K22" s="52">
        <v>0.66283063777486706</v>
      </c>
      <c r="L22" s="52">
        <v>0.66475251239976407</v>
      </c>
      <c r="M22" s="52">
        <v>0.64942703505964094</v>
      </c>
      <c r="N22" s="52">
        <v>0.63081591393796832</v>
      </c>
      <c r="O22" s="52">
        <v>0.62143370544806431</v>
      </c>
      <c r="P22" s="52">
        <v>0.62572544190875889</v>
      </c>
      <c r="Q22" s="52">
        <v>0.62862776462166658</v>
      </c>
      <c r="R22" s="52">
        <v>0.63965700772406953</v>
      </c>
      <c r="S22" s="52">
        <v>0.653794663484906</v>
      </c>
      <c r="T22" s="52">
        <v>0.66479202424335215</v>
      </c>
      <c r="U22" s="52">
        <v>0.66955702705428255</v>
      </c>
      <c r="V22" s="52">
        <v>0.67924957482265835</v>
      </c>
      <c r="W22" s="52">
        <v>0.6988882002425677</v>
      </c>
      <c r="X22" s="52">
        <v>0.6965397055514555</v>
      </c>
      <c r="Y22" s="52">
        <v>0.69637374379265504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23.877117028944522</v>
      </c>
      <c r="C23" s="53">
        <f t="shared" si="12"/>
        <v>23.692030074120844</v>
      </c>
      <c r="D23" s="53">
        <f t="shared" ref="D23:W23" si="13">D6/D8</f>
        <v>23.743594831991192</v>
      </c>
      <c r="E23" s="53">
        <f t="shared" si="13"/>
        <v>23.389747623278513</v>
      </c>
      <c r="F23" s="53">
        <f t="shared" si="13"/>
        <v>22.980703438131449</v>
      </c>
      <c r="G23" s="53">
        <f t="shared" si="13"/>
        <v>22.308384006722335</v>
      </c>
      <c r="H23" s="53">
        <f t="shared" si="13"/>
        <v>21.868451698827844</v>
      </c>
      <c r="I23" s="53">
        <f t="shared" si="13"/>
        <v>21.445313943607825</v>
      </c>
      <c r="J23" s="53">
        <f t="shared" si="13"/>
        <v>21.411126648026485</v>
      </c>
      <c r="K23" s="53">
        <f t="shared" si="13"/>
        <v>21.482865285634567</v>
      </c>
      <c r="L23" s="53">
        <f t="shared" si="13"/>
        <v>21.32428350853856</v>
      </c>
      <c r="M23" s="53">
        <f t="shared" si="13"/>
        <v>21.148111464626023</v>
      </c>
      <c r="N23" s="53">
        <f t="shared" si="13"/>
        <v>21.133069621991112</v>
      </c>
      <c r="O23" s="53">
        <f t="shared" si="13"/>
        <v>21.005597683264984</v>
      </c>
      <c r="P23" s="53">
        <f t="shared" si="13"/>
        <v>20.940682017227378</v>
      </c>
      <c r="Q23" s="53">
        <f t="shared" si="13"/>
        <v>21.09426957287674</v>
      </c>
      <c r="R23" s="53">
        <f t="shared" si="13"/>
        <v>21.326334286949375</v>
      </c>
      <c r="S23" s="53">
        <f t="shared" si="13"/>
        <v>21.690733680222046</v>
      </c>
      <c r="T23" s="53">
        <f t="shared" si="13"/>
        <v>21.986826980242672</v>
      </c>
      <c r="U23" s="53">
        <f t="shared" si="13"/>
        <v>22.17550848391765</v>
      </c>
      <c r="V23" s="53">
        <f t="shared" si="13"/>
        <v>21.833977779480108</v>
      </c>
      <c r="W23" s="53">
        <f t="shared" si="13"/>
        <v>21.871391360919912</v>
      </c>
      <c r="X23" s="53">
        <f t="shared" ref="X23:Y23" si="14">X6/X8</f>
        <v>22.338579904934775</v>
      </c>
      <c r="Y23" s="53">
        <f t="shared" si="14"/>
        <v>22.589234729280079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9.2556425618002223</v>
      </c>
      <c r="C24" s="54">
        <f t="shared" si="15"/>
        <v>9.4882079957656771</v>
      </c>
      <c r="D24" s="54">
        <f t="shared" ref="D24:W24" si="16">D9*1000/D3</f>
        <v>9.8186631820537826</v>
      </c>
      <c r="E24" s="54">
        <f t="shared" si="16"/>
        <v>10.061693347139277</v>
      </c>
      <c r="F24" s="54">
        <f t="shared" si="16"/>
        <v>10.439971701000182</v>
      </c>
      <c r="G24" s="54">
        <f t="shared" si="16"/>
        <v>10.773420734724262</v>
      </c>
      <c r="H24" s="54">
        <f t="shared" si="16"/>
        <v>11.293156511530697</v>
      </c>
      <c r="I24" s="54">
        <f t="shared" si="16"/>
        <v>11.947556833918876</v>
      </c>
      <c r="J24" s="54">
        <f t="shared" si="16"/>
        <v>12.331524301198419</v>
      </c>
      <c r="K24" s="54">
        <f t="shared" si="16"/>
        <v>12.313403360888621</v>
      </c>
      <c r="L24" s="54">
        <f t="shared" si="16"/>
        <v>12.351874843944929</v>
      </c>
      <c r="M24" s="54">
        <f t="shared" si="16"/>
        <v>12.40515350766155</v>
      </c>
      <c r="N24" s="54">
        <f t="shared" si="16"/>
        <v>12.401821938124675</v>
      </c>
      <c r="O24" s="54">
        <f t="shared" si="16"/>
        <v>12.427588334000196</v>
      </c>
      <c r="P24" s="54">
        <f t="shared" si="16"/>
        <v>12.573989600739964</v>
      </c>
      <c r="Q24" s="54">
        <f t="shared" si="16"/>
        <v>12.671613873640387</v>
      </c>
      <c r="R24" s="54">
        <f t="shared" si="16"/>
        <v>12.802157795140314</v>
      </c>
      <c r="S24" s="54">
        <f t="shared" si="16"/>
        <v>12.985402678610292</v>
      </c>
      <c r="T24" s="54">
        <f t="shared" si="16"/>
        <v>13.176948511109806</v>
      </c>
      <c r="U24" s="54">
        <f t="shared" si="16"/>
        <v>13.251759503761201</v>
      </c>
      <c r="V24" s="54">
        <f t="shared" si="16"/>
        <v>13.297725851094132</v>
      </c>
      <c r="W24" s="54">
        <f t="shared" si="16"/>
        <v>13.342464404124611</v>
      </c>
      <c r="X24" s="54">
        <f t="shared" ref="X24:Y24" si="17">X9*1000/X3</f>
        <v>13.471489724034564</v>
      </c>
      <c r="Y24" s="54">
        <f t="shared" si="17"/>
        <v>13.517471585162067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37.692992789246468</v>
      </c>
      <c r="C25" s="54">
        <f t="shared" si="18"/>
        <v>37.987458110779762</v>
      </c>
      <c r="D25" s="54">
        <f t="shared" ref="D25:W25" si="19">D9*1000/D6</f>
        <v>37.904959479319238</v>
      </c>
      <c r="E25" s="54">
        <f t="shared" si="19"/>
        <v>38.478397223246652</v>
      </c>
      <c r="F25" s="54">
        <f t="shared" si="19"/>
        <v>39.163292038599955</v>
      </c>
      <c r="G25" s="54">
        <f t="shared" si="19"/>
        <v>40.343576644941955</v>
      </c>
      <c r="H25" s="54">
        <f t="shared" si="19"/>
        <v>41.155176982568015</v>
      </c>
      <c r="I25" s="54">
        <f t="shared" si="19"/>
        <v>41.967210289698826</v>
      </c>
      <c r="J25" s="54">
        <f t="shared" si="19"/>
        <v>42.034219627716567</v>
      </c>
      <c r="K25" s="54">
        <f t="shared" si="19"/>
        <v>41.893852986259859</v>
      </c>
      <c r="L25" s="54">
        <f t="shared" si="19"/>
        <v>42.205403977096189</v>
      </c>
      <c r="M25" s="54">
        <f t="shared" si="19"/>
        <v>42.556991507511682</v>
      </c>
      <c r="N25" s="54">
        <f t="shared" si="19"/>
        <v>42.58728221211453</v>
      </c>
      <c r="O25" s="54">
        <f t="shared" si="19"/>
        <v>42.845722058031406</v>
      </c>
      <c r="P25" s="54">
        <f t="shared" si="19"/>
        <v>42.978542879338526</v>
      </c>
      <c r="Q25" s="54">
        <f t="shared" si="19"/>
        <v>42.665615744155971</v>
      </c>
      <c r="R25" s="54">
        <f t="shared" si="19"/>
        <v>42.201345430037357</v>
      </c>
      <c r="S25" s="54">
        <f t="shared" si="19"/>
        <v>41.492372423558649</v>
      </c>
      <c r="T25" s="54">
        <f t="shared" si="19"/>
        <v>40.933600869681584</v>
      </c>
      <c r="U25" s="54">
        <f t="shared" si="19"/>
        <v>40.585315130550775</v>
      </c>
      <c r="V25" s="54">
        <f t="shared" si="19"/>
        <v>41.220157366186982</v>
      </c>
      <c r="W25" s="54">
        <f t="shared" si="19"/>
        <v>41.149645449997827</v>
      </c>
      <c r="X25" s="54">
        <f t="shared" ref="X25:Y25" si="20">X9*1000/X6</f>
        <v>40.289042715789762</v>
      </c>
      <c r="Y25" s="54">
        <f t="shared" si="20"/>
        <v>39.841987158308797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900</v>
      </c>
      <c r="D26" s="55">
        <f t="shared" ref="D26:W26" si="22">D9*1000/D8</f>
        <v>899.99999999999989</v>
      </c>
      <c r="E26" s="55">
        <f t="shared" si="22"/>
        <v>900</v>
      </c>
      <c r="F26" s="55">
        <f t="shared" si="22"/>
        <v>900</v>
      </c>
      <c r="G26" s="55">
        <f t="shared" si="22"/>
        <v>899.99999999999989</v>
      </c>
      <c r="H26" s="55">
        <f t="shared" si="22"/>
        <v>900</v>
      </c>
      <c r="I26" s="55">
        <f t="shared" si="22"/>
        <v>900</v>
      </c>
      <c r="J26" s="55">
        <f t="shared" si="22"/>
        <v>900</v>
      </c>
      <c r="K26" s="55">
        <f t="shared" si="22"/>
        <v>900</v>
      </c>
      <c r="L26" s="55">
        <f t="shared" si="22"/>
        <v>900</v>
      </c>
      <c r="M26" s="55">
        <f t="shared" si="22"/>
        <v>900</v>
      </c>
      <c r="N26" s="55">
        <f t="shared" si="22"/>
        <v>900</v>
      </c>
      <c r="O26" s="55">
        <f t="shared" si="22"/>
        <v>899.99999999999989</v>
      </c>
      <c r="P26" s="55">
        <f t="shared" si="22"/>
        <v>900</v>
      </c>
      <c r="Q26" s="55">
        <f t="shared" si="22"/>
        <v>900</v>
      </c>
      <c r="R26" s="55">
        <f t="shared" si="22"/>
        <v>900</v>
      </c>
      <c r="S26" s="55">
        <f t="shared" si="22"/>
        <v>900</v>
      </c>
      <c r="T26" s="55">
        <f t="shared" si="22"/>
        <v>900</v>
      </c>
      <c r="U26" s="55">
        <f t="shared" si="22"/>
        <v>900.00000000000011</v>
      </c>
      <c r="V26" s="55">
        <f t="shared" si="22"/>
        <v>900</v>
      </c>
      <c r="W26" s="55">
        <f t="shared" si="22"/>
        <v>899.99999999999989</v>
      </c>
      <c r="X26" s="55">
        <f t="shared" ref="X26:Y26" si="23">X9*1000/X8</f>
        <v>900</v>
      </c>
      <c r="Y26" s="55">
        <f t="shared" si="23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900.00000000000023</v>
      </c>
      <c r="D27" s="57">
        <f t="shared" ref="D27:W27" si="25">IF(SUM(D11)=0,"",D11*1000/D10)</f>
        <v>899.99999999999989</v>
      </c>
      <c r="E27" s="57">
        <f t="shared" si="25"/>
        <v>900.00000000000023</v>
      </c>
      <c r="F27" s="57">
        <f t="shared" si="25"/>
        <v>899.99999999999989</v>
      </c>
      <c r="G27" s="57">
        <f t="shared" si="25"/>
        <v>900</v>
      </c>
      <c r="H27" s="57">
        <f t="shared" si="25"/>
        <v>900</v>
      </c>
      <c r="I27" s="57">
        <f t="shared" si="25"/>
        <v>900</v>
      </c>
      <c r="J27" s="57">
        <f t="shared" si="25"/>
        <v>899.99999999999989</v>
      </c>
      <c r="K27" s="57">
        <f t="shared" si="25"/>
        <v>900.00000000000011</v>
      </c>
      <c r="L27" s="57">
        <f t="shared" si="25"/>
        <v>900</v>
      </c>
      <c r="M27" s="57">
        <f t="shared" si="25"/>
        <v>900.00000000000011</v>
      </c>
      <c r="N27" s="57">
        <f t="shared" si="25"/>
        <v>900</v>
      </c>
      <c r="O27" s="57">
        <f t="shared" si="25"/>
        <v>900</v>
      </c>
      <c r="P27" s="57">
        <f t="shared" si="25"/>
        <v>900</v>
      </c>
      <c r="Q27" s="57">
        <f t="shared" si="25"/>
        <v>900.00000000000011</v>
      </c>
      <c r="R27" s="57">
        <f t="shared" si="25"/>
        <v>899.99999999999989</v>
      </c>
      <c r="S27" s="57">
        <f t="shared" si="25"/>
        <v>900.00000000000011</v>
      </c>
      <c r="T27" s="57">
        <f t="shared" si="25"/>
        <v>900</v>
      </c>
      <c r="U27" s="57">
        <f t="shared" si="25"/>
        <v>900.00000000000011</v>
      </c>
      <c r="V27" s="57">
        <f t="shared" si="25"/>
        <v>900.00000000000011</v>
      </c>
      <c r="W27" s="57">
        <f t="shared" si="25"/>
        <v>900.00000000000011</v>
      </c>
      <c r="X27" s="57">
        <f t="shared" ref="X27:Y27" si="26">IF(SUM(X11)=0,"",X11*1000/X10)</f>
        <v>899.99999999999989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582.4663800515907</v>
      </c>
      <c r="C31" s="80">
        <f t="shared" ref="C31:W31" si="27">SUM(C32:C33,C36:C37,C44:C45)</f>
        <v>768.73035253654336</v>
      </c>
      <c r="D31" s="80">
        <f t="shared" si="27"/>
        <v>743.97618228718829</v>
      </c>
      <c r="E31" s="80">
        <f t="shared" si="27"/>
        <v>527.7754084264833</v>
      </c>
      <c r="F31" s="80">
        <f t="shared" si="27"/>
        <v>567.87540842648332</v>
      </c>
      <c r="G31" s="80">
        <f t="shared" si="27"/>
        <v>499.24763542562346</v>
      </c>
      <c r="H31" s="80">
        <f t="shared" si="27"/>
        <v>459.88349097162518</v>
      </c>
      <c r="I31" s="80">
        <f t="shared" si="27"/>
        <v>402.33594153052451</v>
      </c>
      <c r="J31" s="80">
        <f t="shared" si="27"/>
        <v>521.29673258813409</v>
      </c>
      <c r="K31" s="80">
        <f t="shared" si="27"/>
        <v>517.02502149613065</v>
      </c>
      <c r="L31" s="80">
        <f t="shared" si="27"/>
        <v>563.06732588134128</v>
      </c>
      <c r="M31" s="80">
        <f t="shared" si="27"/>
        <v>549.62717220465379</v>
      </c>
      <c r="N31" s="80">
        <f t="shared" si="27"/>
        <v>478.11233871790404</v>
      </c>
      <c r="O31" s="80">
        <f t="shared" si="27"/>
        <v>488.18245414960984</v>
      </c>
      <c r="P31" s="80">
        <f t="shared" si="27"/>
        <v>447.31402451391989</v>
      </c>
      <c r="Q31" s="80">
        <f t="shared" si="27"/>
        <v>475.85670333045732</v>
      </c>
      <c r="R31" s="80">
        <f t="shared" si="27"/>
        <v>510.3271612121161</v>
      </c>
      <c r="S31" s="80">
        <f t="shared" si="27"/>
        <v>500.60036000277069</v>
      </c>
      <c r="T31" s="80">
        <f t="shared" si="27"/>
        <v>500.6080751932933</v>
      </c>
      <c r="U31" s="80">
        <f t="shared" si="27"/>
        <v>484.03253021732843</v>
      </c>
      <c r="V31" s="80">
        <f t="shared" si="27"/>
        <v>444.78976452927304</v>
      </c>
      <c r="W31" s="80">
        <f t="shared" si="27"/>
        <v>440.45573216021546</v>
      </c>
      <c r="X31" s="80">
        <f t="shared" ref="X31:Y31" si="28">SUM(X32:X33,X36:X37,X44:X45)</f>
        <v>500.2300234185733</v>
      </c>
      <c r="Y31" s="80">
        <f t="shared" si="28"/>
        <v>502.25668852929721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294.31547721410141</v>
      </c>
      <c r="C33" s="55">
        <f t="shared" ref="C33:W33" si="29">SUM(C34:C35)</f>
        <v>410.17962166809968</v>
      </c>
      <c r="D33" s="55">
        <f t="shared" si="29"/>
        <v>329.78168529664663</v>
      </c>
      <c r="E33" s="55">
        <f t="shared" si="29"/>
        <v>250.86938950988821</v>
      </c>
      <c r="F33" s="55">
        <f t="shared" si="29"/>
        <v>249.60120378331899</v>
      </c>
      <c r="G33" s="55">
        <f t="shared" si="29"/>
        <v>237.17403267411868</v>
      </c>
      <c r="H33" s="55">
        <f t="shared" si="29"/>
        <v>200.35829750644885</v>
      </c>
      <c r="I33" s="55">
        <f t="shared" si="29"/>
        <v>148.86552020636287</v>
      </c>
      <c r="J33" s="55">
        <f t="shared" si="29"/>
        <v>222.56500429922616</v>
      </c>
      <c r="K33" s="55">
        <f t="shared" si="29"/>
        <v>208.40266552020637</v>
      </c>
      <c r="L33" s="55">
        <f t="shared" si="29"/>
        <v>220.94204643164227</v>
      </c>
      <c r="M33" s="55">
        <f t="shared" si="29"/>
        <v>169.16147893379195</v>
      </c>
      <c r="N33" s="55">
        <f t="shared" si="29"/>
        <v>133.02648323301807</v>
      </c>
      <c r="O33" s="55">
        <f t="shared" si="29"/>
        <v>116.38822012037832</v>
      </c>
      <c r="P33" s="55">
        <f t="shared" si="29"/>
        <v>88.910662080825446</v>
      </c>
      <c r="Q33" s="55">
        <f t="shared" si="29"/>
        <v>94.082029234737746</v>
      </c>
      <c r="R33" s="55">
        <f t="shared" si="29"/>
        <v>104.00937231298366</v>
      </c>
      <c r="S33" s="55">
        <f t="shared" si="29"/>
        <v>85.156147893379199</v>
      </c>
      <c r="T33" s="55">
        <f t="shared" si="29"/>
        <v>98.505932932072213</v>
      </c>
      <c r="U33" s="55">
        <f t="shared" si="29"/>
        <v>92.355631986242471</v>
      </c>
      <c r="V33" s="55">
        <f t="shared" si="29"/>
        <v>93.746431642304373</v>
      </c>
      <c r="W33" s="55">
        <f t="shared" si="29"/>
        <v>67.326913155631985</v>
      </c>
      <c r="X33" s="55">
        <f t="shared" ref="X33:Y33" si="30">SUM(X34:X35)</f>
        <v>76.540670679277724</v>
      </c>
      <c r="Y33" s="55">
        <f t="shared" si="30"/>
        <v>89.347463456577827</v>
      </c>
      <c r="DA33" s="101"/>
    </row>
    <row r="34" spans="1:105" ht="12" customHeight="1" x14ac:dyDescent="0.25">
      <c r="A34" s="61" t="s">
        <v>52</v>
      </c>
      <c r="B34" s="55">
        <v>44.05993121238177</v>
      </c>
      <c r="C34" s="55">
        <v>39.540928632846082</v>
      </c>
      <c r="D34" s="55">
        <v>27.113757523645749</v>
      </c>
      <c r="E34" s="55">
        <v>21.465090283748921</v>
      </c>
      <c r="F34" s="55">
        <v>22.594840928632841</v>
      </c>
      <c r="G34" s="55">
        <v>21.465090283748921</v>
      </c>
      <c r="H34" s="55">
        <v>19.205588993981081</v>
      </c>
      <c r="I34" s="55">
        <v>30.796818572656921</v>
      </c>
      <c r="J34" s="55">
        <v>23.097592433361989</v>
      </c>
      <c r="K34" s="55">
        <v>24.19750644883921</v>
      </c>
      <c r="L34" s="55">
        <v>28.596990541702489</v>
      </c>
      <c r="M34" s="55">
        <v>16.498280309544281</v>
      </c>
      <c r="N34" s="55">
        <v>23.097592433361989</v>
      </c>
      <c r="O34" s="55">
        <v>18.698022355975919</v>
      </c>
      <c r="P34" s="55">
        <v>18.698022355975919</v>
      </c>
      <c r="Q34" s="55">
        <v>19.79793637145314</v>
      </c>
      <c r="R34" s="55">
        <v>16.498280309544281</v>
      </c>
      <c r="S34" s="55">
        <v>19.087446259673261</v>
      </c>
      <c r="T34" s="55">
        <v>25.313843508168521</v>
      </c>
      <c r="U34" s="55">
        <v>31.253224419604472</v>
      </c>
      <c r="V34" s="55">
        <v>25.81100601891659</v>
      </c>
      <c r="W34" s="55">
        <v>18.88727429062768</v>
      </c>
      <c r="X34" s="55">
        <v>21.495012897678418</v>
      </c>
      <c r="Y34" s="55">
        <v>11.734651762682709</v>
      </c>
      <c r="DA34" s="101" t="s">
        <v>201</v>
      </c>
    </row>
    <row r="35" spans="1:105" ht="12" customHeight="1" x14ac:dyDescent="0.25">
      <c r="A35" s="61" t="s">
        <v>163</v>
      </c>
      <c r="B35" s="55">
        <v>250.25554600171964</v>
      </c>
      <c r="C35" s="55">
        <v>370.6386930352536</v>
      </c>
      <c r="D35" s="55">
        <v>302.66792777300088</v>
      </c>
      <c r="E35" s="55">
        <v>229.4042992261393</v>
      </c>
      <c r="F35" s="55">
        <v>227.00636285468616</v>
      </c>
      <c r="G35" s="55">
        <v>215.70894239036977</v>
      </c>
      <c r="H35" s="55">
        <v>181.15270851246777</v>
      </c>
      <c r="I35" s="55">
        <v>118.06870163370596</v>
      </c>
      <c r="J35" s="55">
        <v>199.46741186586416</v>
      </c>
      <c r="K35" s="55">
        <v>184.20515907136715</v>
      </c>
      <c r="L35" s="55">
        <v>192.34505588993977</v>
      </c>
      <c r="M35" s="55">
        <v>152.66319862424768</v>
      </c>
      <c r="N35" s="55">
        <v>109.92889079965607</v>
      </c>
      <c r="O35" s="55">
        <v>97.690197764402399</v>
      </c>
      <c r="P35" s="55">
        <v>70.212639724849524</v>
      </c>
      <c r="Q35" s="55">
        <v>74.284092863284599</v>
      </c>
      <c r="R35" s="55">
        <v>87.511092003439373</v>
      </c>
      <c r="S35" s="55">
        <v>66.068701633705942</v>
      </c>
      <c r="T35" s="55">
        <v>73.192089423903695</v>
      </c>
      <c r="U35" s="55">
        <v>61.102407566638</v>
      </c>
      <c r="V35" s="55">
        <v>67.935425623387786</v>
      </c>
      <c r="W35" s="55">
        <v>48.439638865004305</v>
      </c>
      <c r="X35" s="55">
        <v>55.045657781599303</v>
      </c>
      <c r="Y35" s="55">
        <v>77.612811693895111</v>
      </c>
      <c r="DA35" s="101" t="s">
        <v>202</v>
      </c>
    </row>
    <row r="36" spans="1:105" ht="12" customHeight="1" x14ac:dyDescent="0.25">
      <c r="A36" s="60" t="s">
        <v>149</v>
      </c>
      <c r="B36" s="55">
        <v>18.723129836629401</v>
      </c>
      <c r="C36" s="55">
        <v>80.352536543422175</v>
      </c>
      <c r="D36" s="55">
        <v>91.079105760963017</v>
      </c>
      <c r="E36" s="55">
        <v>47.527944969905413</v>
      </c>
      <c r="F36" s="55">
        <v>57.158211521926049</v>
      </c>
      <c r="G36" s="55">
        <v>25.515907136715391</v>
      </c>
      <c r="H36" s="55">
        <v>13.843508168529659</v>
      </c>
      <c r="I36" s="55">
        <v>11.58641444539983</v>
      </c>
      <c r="J36" s="55">
        <v>11.758383490971619</v>
      </c>
      <c r="K36" s="55">
        <v>18.14273430782459</v>
      </c>
      <c r="L36" s="55">
        <v>23.624247635425618</v>
      </c>
      <c r="M36" s="55">
        <v>39.423903697334467</v>
      </c>
      <c r="N36" s="55">
        <v>13.19862424763542</v>
      </c>
      <c r="O36" s="55">
        <v>31.83576956147893</v>
      </c>
      <c r="P36" s="55">
        <v>36.715391229578671</v>
      </c>
      <c r="Q36" s="55">
        <v>50.128976784178853</v>
      </c>
      <c r="R36" s="55">
        <v>65.133276010318141</v>
      </c>
      <c r="S36" s="55">
        <v>49.315391229578672</v>
      </c>
      <c r="T36" s="55">
        <v>26.273430782459151</v>
      </c>
      <c r="U36" s="55">
        <v>29.61599312123818</v>
      </c>
      <c r="V36" s="55">
        <v>23.193207222699911</v>
      </c>
      <c r="W36" s="55">
        <v>22.241444539982801</v>
      </c>
      <c r="X36" s="55">
        <v>48.07360275150473</v>
      </c>
      <c r="Y36" s="55">
        <v>52.79406706792777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1.7435941530524506</v>
      </c>
      <c r="C37" s="55">
        <f t="shared" ref="C37:W37" si="31">SUM(C38:C42)</f>
        <v>3.0572656921754091</v>
      </c>
      <c r="D37" s="55">
        <f t="shared" si="31"/>
        <v>2.913843508168529</v>
      </c>
      <c r="E37" s="55">
        <f t="shared" si="31"/>
        <v>1.7914015477214096</v>
      </c>
      <c r="F37" s="55">
        <f t="shared" si="31"/>
        <v>2.2452278589853827</v>
      </c>
      <c r="G37" s="55">
        <f t="shared" si="31"/>
        <v>2.3883920894239039</v>
      </c>
      <c r="H37" s="55">
        <f t="shared" si="31"/>
        <v>1.385296646603611</v>
      </c>
      <c r="I37" s="55">
        <f t="shared" si="31"/>
        <v>1.7196904557179711</v>
      </c>
      <c r="J37" s="55">
        <f t="shared" si="31"/>
        <v>1.9107480653482369</v>
      </c>
      <c r="K37" s="55">
        <f t="shared" si="31"/>
        <v>1.9107480653482369</v>
      </c>
      <c r="L37" s="55">
        <f t="shared" si="31"/>
        <v>17.411865864144456</v>
      </c>
      <c r="M37" s="55">
        <f t="shared" si="31"/>
        <v>17.244625967325884</v>
      </c>
      <c r="N37" s="55">
        <f t="shared" si="31"/>
        <v>12.921582115219261</v>
      </c>
      <c r="O37" s="55">
        <f t="shared" si="31"/>
        <v>12.921582115219257</v>
      </c>
      <c r="P37" s="55">
        <f t="shared" si="31"/>
        <v>12.682717110920033</v>
      </c>
      <c r="Q37" s="55">
        <f t="shared" si="31"/>
        <v>9.8165950128976789</v>
      </c>
      <c r="R37" s="55">
        <f t="shared" si="31"/>
        <v>9.8643164230438511</v>
      </c>
      <c r="S37" s="55">
        <f t="shared" si="31"/>
        <v>12.002063628546864</v>
      </c>
      <c r="T37" s="55">
        <f t="shared" si="31"/>
        <v>11.691143594153047</v>
      </c>
      <c r="U37" s="55">
        <f t="shared" si="31"/>
        <v>12.450472914875323</v>
      </c>
      <c r="V37" s="55">
        <f t="shared" si="31"/>
        <v>10.793551160791058</v>
      </c>
      <c r="W37" s="55">
        <f t="shared" si="31"/>
        <v>10.1134135855546</v>
      </c>
      <c r="X37" s="55">
        <f t="shared" ref="X37:Y37" si="32">SUM(X38:X42)</f>
        <v>29.79914015477214</v>
      </c>
      <c r="Y37" s="55">
        <f t="shared" si="32"/>
        <v>35.209802235597593</v>
      </c>
      <c r="DA37" s="101"/>
    </row>
    <row r="38" spans="1:105" ht="12" customHeight="1" x14ac:dyDescent="0.25">
      <c r="A38" s="61" t="s">
        <v>164</v>
      </c>
      <c r="B38" s="55">
        <v>1.0748065348237317</v>
      </c>
      <c r="C38" s="55">
        <v>1.8391229578675841</v>
      </c>
      <c r="D38" s="55">
        <v>1.671883061049011</v>
      </c>
      <c r="E38" s="55">
        <v>0.66878761822871868</v>
      </c>
      <c r="F38" s="55">
        <v>0.69269131556319863</v>
      </c>
      <c r="G38" s="55">
        <v>0.93147033533963897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1.7763568394002505E-15</v>
      </c>
      <c r="R38" s="55">
        <v>0</v>
      </c>
      <c r="S38" s="55">
        <v>0</v>
      </c>
      <c r="T38" s="55">
        <v>0</v>
      </c>
      <c r="U38" s="55">
        <v>0</v>
      </c>
      <c r="V38" s="55">
        <v>1.7763568394002505E-15</v>
      </c>
      <c r="W38" s="55">
        <v>0</v>
      </c>
      <c r="X38" s="55">
        <v>17.317970765262253</v>
      </c>
      <c r="Y38" s="55">
        <v>22.253740326741184</v>
      </c>
      <c r="DA38" s="101" t="s">
        <v>204</v>
      </c>
    </row>
    <row r="39" spans="1:105" ht="12" customHeight="1" x14ac:dyDescent="0.25">
      <c r="A39" s="61" t="s">
        <v>50</v>
      </c>
      <c r="B39" s="55">
        <v>0.66878761822871879</v>
      </c>
      <c r="C39" s="55">
        <v>1.218142734307825</v>
      </c>
      <c r="D39" s="55">
        <v>1.241960447119518</v>
      </c>
      <c r="E39" s="55">
        <v>1.1226139294926909</v>
      </c>
      <c r="F39" s="55">
        <v>1.5525365434221841</v>
      </c>
      <c r="G39" s="55">
        <v>1.4569217540842649</v>
      </c>
      <c r="H39" s="55">
        <v>1.385296646603611</v>
      </c>
      <c r="I39" s="55">
        <v>1.7196904557179711</v>
      </c>
      <c r="J39" s="55">
        <v>1.9107480653482369</v>
      </c>
      <c r="K39" s="55">
        <v>1.9107480653482369</v>
      </c>
      <c r="L39" s="55">
        <v>2.2929492691315558</v>
      </c>
      <c r="M39" s="55">
        <v>2.1257093723129841</v>
      </c>
      <c r="N39" s="55">
        <v>2.0540842648323299</v>
      </c>
      <c r="O39" s="55">
        <v>1.982459157351677</v>
      </c>
      <c r="P39" s="55">
        <v>1.7196904557179711</v>
      </c>
      <c r="Q39" s="55">
        <v>1.5286328460877039</v>
      </c>
      <c r="R39" s="55">
        <v>1.265864144453998</v>
      </c>
      <c r="S39" s="55">
        <v>0.80851246775580399</v>
      </c>
      <c r="T39" s="55">
        <v>0.96818572656921742</v>
      </c>
      <c r="U39" s="55">
        <v>0.65821152192605326</v>
      </c>
      <c r="V39" s="55">
        <v>2.480481513327601</v>
      </c>
      <c r="W39" s="55">
        <v>2.1567497850386932</v>
      </c>
      <c r="X39" s="55">
        <v>2.6970765262252789</v>
      </c>
      <c r="Y39" s="55">
        <v>2.523731728288908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15.1189165950129</v>
      </c>
      <c r="M42" s="55">
        <v>15.1189165950129</v>
      </c>
      <c r="N42" s="55">
        <v>10.867497850386931</v>
      </c>
      <c r="O42" s="55">
        <v>10.93912295786758</v>
      </c>
      <c r="P42" s="55">
        <v>10.963026655202061</v>
      </c>
      <c r="Q42" s="55">
        <v>8.2879621668099741</v>
      </c>
      <c r="R42" s="55">
        <v>8.5984522785898534</v>
      </c>
      <c r="S42" s="55">
        <v>11.19355116079106</v>
      </c>
      <c r="T42" s="55">
        <v>10.72295786758383</v>
      </c>
      <c r="U42" s="55">
        <v>11.792261392949269</v>
      </c>
      <c r="V42" s="55">
        <v>8.3130696474634558</v>
      </c>
      <c r="W42" s="55">
        <v>7.9566638005159067</v>
      </c>
      <c r="X42" s="55">
        <v>9.7840928632846076</v>
      </c>
      <c r="Y42" s="55">
        <v>10.432330180567501</v>
      </c>
      <c r="DA42" s="101" t="s">
        <v>208</v>
      </c>
    </row>
    <row r="43" spans="1:105" ht="12" customHeight="1" x14ac:dyDescent="0.25">
      <c r="A43" s="61" t="s">
        <v>151</v>
      </c>
      <c r="B43" s="309">
        <v>0</v>
      </c>
      <c r="C43" s="309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5">
        <v>6.9083404987102277</v>
      </c>
      <c r="DA43" s="101" t="s">
        <v>209</v>
      </c>
    </row>
    <row r="44" spans="1:105" ht="12" customHeight="1" x14ac:dyDescent="0.25">
      <c r="A44" s="60" t="s">
        <v>162</v>
      </c>
      <c r="B44" s="55">
        <v>74.734909716251067</v>
      </c>
      <c r="C44" s="55">
        <v>66.972398968185729</v>
      </c>
      <c r="D44" s="55">
        <v>62.935855546001712</v>
      </c>
      <c r="E44" s="55">
        <v>31.455975924333622</v>
      </c>
      <c r="F44" s="55">
        <v>35.396990541702493</v>
      </c>
      <c r="G44" s="55">
        <v>25.054944110060191</v>
      </c>
      <c r="H44" s="55">
        <v>30.882803095442821</v>
      </c>
      <c r="I44" s="55">
        <v>17.72235597592433</v>
      </c>
      <c r="J44" s="55">
        <v>16.360963026655199</v>
      </c>
      <c r="K44" s="55">
        <v>26.91797076526225</v>
      </c>
      <c r="L44" s="55">
        <v>36.686758383490968</v>
      </c>
      <c r="M44" s="55">
        <v>42.801203783319004</v>
      </c>
      <c r="N44" s="55">
        <v>45.882287188306101</v>
      </c>
      <c r="O44" s="55">
        <v>49.656061908856401</v>
      </c>
      <c r="P44" s="55">
        <v>38.549699054170247</v>
      </c>
      <c r="Q44" s="55">
        <v>43.398280309544283</v>
      </c>
      <c r="R44" s="55">
        <v>41.606964746345653</v>
      </c>
      <c r="S44" s="55">
        <v>50.677901977644019</v>
      </c>
      <c r="T44" s="55">
        <v>54.620980223559762</v>
      </c>
      <c r="U44" s="55">
        <v>46.59793637145313</v>
      </c>
      <c r="V44" s="55">
        <v>47.116251074806527</v>
      </c>
      <c r="W44" s="55">
        <v>54.624763542562327</v>
      </c>
      <c r="X44" s="55">
        <v>42.928374892519344</v>
      </c>
      <c r="Y44" s="55">
        <v>40.934995700773847</v>
      </c>
      <c r="DA44" s="101" t="s">
        <v>210</v>
      </c>
    </row>
    <row r="45" spans="1:105" ht="12" customHeight="1" x14ac:dyDescent="0.25">
      <c r="A45" s="62" t="s">
        <v>24</v>
      </c>
      <c r="B45" s="63">
        <v>192.94926913155635</v>
      </c>
      <c r="C45" s="63">
        <v>208.16852966466035</v>
      </c>
      <c r="D45" s="63">
        <v>257.26569217540839</v>
      </c>
      <c r="E45" s="63">
        <v>196.13069647463459</v>
      </c>
      <c r="F45" s="63">
        <v>223.4737747205503</v>
      </c>
      <c r="G45" s="63">
        <v>209.1143594153053</v>
      </c>
      <c r="H45" s="63">
        <v>213.41358555460019</v>
      </c>
      <c r="I45" s="63">
        <v>222.4419604471195</v>
      </c>
      <c r="J45" s="63">
        <v>268.70163370593292</v>
      </c>
      <c r="K45" s="63">
        <v>261.65090283748918</v>
      </c>
      <c r="L45" s="63">
        <v>264.40240756663803</v>
      </c>
      <c r="M45" s="63">
        <v>280.99595982288253</v>
      </c>
      <c r="N45" s="63">
        <v>273.0833619337252</v>
      </c>
      <c r="O45" s="63">
        <v>277.38082044367695</v>
      </c>
      <c r="P45" s="63">
        <v>270.45555503842553</v>
      </c>
      <c r="Q45" s="63">
        <v>278.43082198909877</v>
      </c>
      <c r="R45" s="63">
        <v>289.71323171942481</v>
      </c>
      <c r="S45" s="63">
        <v>303.44885527362192</v>
      </c>
      <c r="T45" s="63">
        <v>309.51658766104907</v>
      </c>
      <c r="U45" s="63">
        <v>303.01249582351932</v>
      </c>
      <c r="V45" s="63">
        <v>269.94032342867115</v>
      </c>
      <c r="W45" s="63">
        <v>286.14919733648378</v>
      </c>
      <c r="X45" s="63">
        <v>302.88823494049933</v>
      </c>
      <c r="Y45" s="63">
        <v>283.97036006842023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582.4663800515907</v>
      </c>
      <c r="C47" s="82">
        <f t="shared" ref="C47:W47" si="34">SUM(C48,C53)</f>
        <v>768.73035253654336</v>
      </c>
      <c r="D47" s="82">
        <f t="shared" si="34"/>
        <v>743.97618228718829</v>
      </c>
      <c r="E47" s="82">
        <f t="shared" si="34"/>
        <v>527.77540842648341</v>
      </c>
      <c r="F47" s="82">
        <f t="shared" si="34"/>
        <v>567.8754084264832</v>
      </c>
      <c r="G47" s="82">
        <f t="shared" si="34"/>
        <v>499.24763542562351</v>
      </c>
      <c r="H47" s="82">
        <f t="shared" si="34"/>
        <v>459.88349097162501</v>
      </c>
      <c r="I47" s="82">
        <f t="shared" si="34"/>
        <v>402.33594153052451</v>
      </c>
      <c r="J47" s="82">
        <f t="shared" si="34"/>
        <v>521.29673258813409</v>
      </c>
      <c r="K47" s="82">
        <f t="shared" si="34"/>
        <v>517.02502149613065</v>
      </c>
      <c r="L47" s="82">
        <f t="shared" si="34"/>
        <v>563.06732588134139</v>
      </c>
      <c r="M47" s="82">
        <f t="shared" si="34"/>
        <v>549.6271722046539</v>
      </c>
      <c r="N47" s="82">
        <f t="shared" si="34"/>
        <v>478.11233871790409</v>
      </c>
      <c r="O47" s="82">
        <f t="shared" si="34"/>
        <v>488.18245414960984</v>
      </c>
      <c r="P47" s="82">
        <f t="shared" si="34"/>
        <v>447.31402451391995</v>
      </c>
      <c r="Q47" s="82">
        <f t="shared" si="34"/>
        <v>475.85670333045738</v>
      </c>
      <c r="R47" s="82">
        <f t="shared" si="34"/>
        <v>510.32716121211621</v>
      </c>
      <c r="S47" s="82">
        <f t="shared" si="34"/>
        <v>500.60036000277069</v>
      </c>
      <c r="T47" s="82">
        <f t="shared" si="34"/>
        <v>500.60807519329325</v>
      </c>
      <c r="U47" s="82">
        <f t="shared" si="34"/>
        <v>484.03253021732831</v>
      </c>
      <c r="V47" s="82">
        <f t="shared" si="34"/>
        <v>444.78976452927304</v>
      </c>
      <c r="W47" s="82">
        <f t="shared" si="34"/>
        <v>440.45573216021558</v>
      </c>
      <c r="X47" s="82">
        <f t="shared" ref="X47:Y47" si="35">SUM(X48,X53)</f>
        <v>500.23002341857307</v>
      </c>
      <c r="Y47" s="82">
        <f t="shared" si="35"/>
        <v>502.25668852929738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496.45311996435339</v>
      </c>
      <c r="C48" s="64">
        <f t="shared" ref="C48:W48" si="37">SUM(C49:C52)</f>
        <v>679.05138670429426</v>
      </c>
      <c r="D48" s="64">
        <f t="shared" si="37"/>
        <v>650.15163082548679</v>
      </c>
      <c r="E48" s="64">
        <f t="shared" si="37"/>
        <v>429.86328463587063</v>
      </c>
      <c r="F48" s="64">
        <f t="shared" si="37"/>
        <v>465.05500300076494</v>
      </c>
      <c r="G48" s="64">
        <f t="shared" si="37"/>
        <v>391.5656978002902</v>
      </c>
      <c r="H48" s="64">
        <f t="shared" si="37"/>
        <v>345.92160045148319</v>
      </c>
      <c r="I48" s="64">
        <f t="shared" si="37"/>
        <v>281.68821695162768</v>
      </c>
      <c r="J48" s="64">
        <f t="shared" si="37"/>
        <v>395.95051602095089</v>
      </c>
      <c r="K48" s="64">
        <f t="shared" si="37"/>
        <v>388.64126386658756</v>
      </c>
      <c r="L48" s="64">
        <f t="shared" si="37"/>
        <v>432.05524985702976</v>
      </c>
      <c r="M48" s="64">
        <f t="shared" si="37"/>
        <v>417.25810582506955</v>
      </c>
      <c r="N48" s="64">
        <f t="shared" si="37"/>
        <v>344.28010187691268</v>
      </c>
      <c r="O48" s="64">
        <f t="shared" si="37"/>
        <v>353.08483917601245</v>
      </c>
      <c r="P48" s="64">
        <f t="shared" si="37"/>
        <v>309.65160154687766</v>
      </c>
      <c r="Q48" s="64">
        <f t="shared" si="37"/>
        <v>335.08043330084706</v>
      </c>
      <c r="R48" s="64">
        <f t="shared" si="37"/>
        <v>367.77081234031164</v>
      </c>
      <c r="S48" s="64">
        <f t="shared" si="37"/>
        <v>360.46802857853766</v>
      </c>
      <c r="T48" s="64">
        <f t="shared" si="37"/>
        <v>361.40469320546049</v>
      </c>
      <c r="U48" s="64">
        <f t="shared" si="37"/>
        <v>345.11777629752032</v>
      </c>
      <c r="V48" s="64">
        <f t="shared" si="37"/>
        <v>315.46985748175348</v>
      </c>
      <c r="W48" s="64">
        <f t="shared" si="37"/>
        <v>309.31164591325268</v>
      </c>
      <c r="X48" s="64">
        <f t="shared" ref="X48:Y48" si="38">SUM(X49:X52)</f>
        <v>369.48223985642915</v>
      </c>
      <c r="Y48" s="64">
        <f t="shared" si="38"/>
        <v>372.87180385760928</v>
      </c>
      <c r="DA48" s="108" t="s">
        <v>213</v>
      </c>
    </row>
    <row r="49" spans="1:105" ht="12" customHeight="1" x14ac:dyDescent="0.25">
      <c r="A49" s="61" t="s">
        <v>32</v>
      </c>
      <c r="B49" s="65">
        <v>412.88907501496357</v>
      </c>
      <c r="C49" s="65">
        <v>591.80542161161156</v>
      </c>
      <c r="D49" s="65">
        <v>564.55402034088672</v>
      </c>
      <c r="E49" s="65">
        <v>344.48876348376382</v>
      </c>
      <c r="F49" s="65">
        <v>379.08892048846394</v>
      </c>
      <c r="G49" s="65">
        <v>304.82305795445404</v>
      </c>
      <c r="H49" s="65">
        <v>257.374975414235</v>
      </c>
      <c r="I49" s="65">
        <v>187.62392054185344</v>
      </c>
      <c r="J49" s="65">
        <v>303.01083026570444</v>
      </c>
      <c r="K49" s="65">
        <v>293.06947859809293</v>
      </c>
      <c r="L49" s="65">
        <v>333.41989535204169</v>
      </c>
      <c r="M49" s="65">
        <v>321.08199792171484</v>
      </c>
      <c r="N49" s="65">
        <v>244.27171958697195</v>
      </c>
      <c r="O49" s="65">
        <v>252.81468580331168</v>
      </c>
      <c r="P49" s="65">
        <v>207.52591968995657</v>
      </c>
      <c r="Q49" s="65">
        <v>227.30381306088788</v>
      </c>
      <c r="R49" s="65">
        <v>258.11688282072242</v>
      </c>
      <c r="S49" s="65">
        <v>248.99815282886709</v>
      </c>
      <c r="T49" s="65">
        <v>249.61105189991443</v>
      </c>
      <c r="U49" s="65">
        <v>230.42150751383923</v>
      </c>
      <c r="V49" s="65">
        <v>207.38777362870309</v>
      </c>
      <c r="W49" s="65">
        <v>201.71524854147009</v>
      </c>
      <c r="X49" s="65">
        <v>259.63374821959525</v>
      </c>
      <c r="Y49" s="65">
        <v>266.12867205861761</v>
      </c>
      <c r="DA49" s="109" t="s">
        <v>214</v>
      </c>
    </row>
    <row r="50" spans="1:105" ht="12" customHeight="1" x14ac:dyDescent="0.25">
      <c r="A50" s="61" t="s">
        <v>31</v>
      </c>
      <c r="B50" s="65">
        <v>3.444111675307171</v>
      </c>
      <c r="C50" s="65">
        <v>3.4889345933637581</v>
      </c>
      <c r="D50" s="65">
        <v>3.6903222152692727</v>
      </c>
      <c r="E50" s="65">
        <v>4.846179508396073</v>
      </c>
      <c r="F50" s="65">
        <v>3.9879854802476746</v>
      </c>
      <c r="G50" s="65">
        <v>4.2065768391444029</v>
      </c>
      <c r="H50" s="65">
        <v>4.8712013914767667</v>
      </c>
      <c r="I50" s="65">
        <v>5.098511188769919</v>
      </c>
      <c r="J50" s="65">
        <v>5.2865899434343548</v>
      </c>
      <c r="K50" s="65">
        <v>5.4494419856437952</v>
      </c>
      <c r="L50" s="65">
        <v>5.9326263668564412</v>
      </c>
      <c r="M50" s="65">
        <v>6.0239625486817951</v>
      </c>
      <c r="N50" s="65">
        <v>6.7947240512180169</v>
      </c>
      <c r="O50" s="65">
        <v>7.0495696287614962</v>
      </c>
      <c r="P50" s="65">
        <v>5.7325365484068902</v>
      </c>
      <c r="Q50" s="65">
        <v>7.0503229561079426</v>
      </c>
      <c r="R50" s="65">
        <v>5.775963163308333</v>
      </c>
      <c r="S50" s="65">
        <v>6.8010558734490232</v>
      </c>
      <c r="T50" s="65">
        <v>5.8789535375238744</v>
      </c>
      <c r="U50" s="65">
        <v>6.2290979529897461</v>
      </c>
      <c r="V50" s="65">
        <v>5.4434255615154079</v>
      </c>
      <c r="W50" s="65">
        <v>5.954069963782759</v>
      </c>
      <c r="X50" s="65">
        <v>6.2733888496571382</v>
      </c>
      <c r="Y50" s="65">
        <v>6.0513196315153923</v>
      </c>
      <c r="DA50" s="109" t="s">
        <v>215</v>
      </c>
    </row>
    <row r="51" spans="1:105" ht="12" customHeight="1" x14ac:dyDescent="0.25">
      <c r="A51" s="61" t="s">
        <v>35</v>
      </c>
      <c r="B51" s="65">
        <v>38.849156359535826</v>
      </c>
      <c r="C51" s="65">
        <v>38.774586592763796</v>
      </c>
      <c r="D51" s="65">
        <v>39.347391975046492</v>
      </c>
      <c r="E51" s="65">
        <v>40.237649185575712</v>
      </c>
      <c r="F51" s="65">
        <v>40.844547806689619</v>
      </c>
      <c r="G51" s="65">
        <v>41.733913053584274</v>
      </c>
      <c r="H51" s="65">
        <v>42.869058257163175</v>
      </c>
      <c r="I51" s="65">
        <v>44.348967278818449</v>
      </c>
      <c r="J51" s="65">
        <v>44.819133583548009</v>
      </c>
      <c r="K51" s="65">
        <v>45.714550484841283</v>
      </c>
      <c r="L51" s="65">
        <v>46.400479682038167</v>
      </c>
      <c r="M51" s="65">
        <v>45.385201551224284</v>
      </c>
      <c r="N51" s="65">
        <v>45.464627668348442</v>
      </c>
      <c r="O51" s="65">
        <v>45.503043921876355</v>
      </c>
      <c r="P51" s="65">
        <v>46.464173344053933</v>
      </c>
      <c r="Q51" s="65">
        <v>47.366929016013707</v>
      </c>
      <c r="R51" s="65">
        <v>48.465533955787194</v>
      </c>
      <c r="S51" s="65">
        <v>47.950605831921003</v>
      </c>
      <c r="T51" s="65">
        <v>47.892296591598218</v>
      </c>
      <c r="U51" s="65">
        <v>48.287980389618369</v>
      </c>
      <c r="V51" s="65">
        <v>46.377758201927733</v>
      </c>
      <c r="W51" s="65">
        <v>46.249120735850582</v>
      </c>
      <c r="X51" s="65">
        <v>46.91242119917311</v>
      </c>
      <c r="Y51" s="65">
        <v>46.789105405890524</v>
      </c>
      <c r="DA51" s="109" t="s">
        <v>216</v>
      </c>
    </row>
    <row r="52" spans="1:105" ht="12" customHeight="1" x14ac:dyDescent="0.25">
      <c r="A52" s="66" t="s">
        <v>34</v>
      </c>
      <c r="B52" s="67">
        <v>41.270776914546829</v>
      </c>
      <c r="C52" s="67">
        <v>44.98244390655524</v>
      </c>
      <c r="D52" s="67">
        <v>42.559896294284272</v>
      </c>
      <c r="E52" s="67">
        <v>40.290692458135013</v>
      </c>
      <c r="F52" s="67">
        <v>41.13354922536373</v>
      </c>
      <c r="G52" s="67">
        <v>40.802149953107488</v>
      </c>
      <c r="H52" s="67">
        <v>40.806365388608256</v>
      </c>
      <c r="I52" s="67">
        <v>44.616817942185889</v>
      </c>
      <c r="J52" s="67">
        <v>42.833962228264063</v>
      </c>
      <c r="K52" s="67">
        <v>44.407792798009631</v>
      </c>
      <c r="L52" s="67">
        <v>46.30224845609348</v>
      </c>
      <c r="M52" s="67">
        <v>44.766943803448626</v>
      </c>
      <c r="N52" s="67">
        <v>47.749030570374245</v>
      </c>
      <c r="O52" s="67">
        <v>47.717539822062932</v>
      </c>
      <c r="P52" s="67">
        <v>49.928971964460239</v>
      </c>
      <c r="Q52" s="67">
        <v>53.359368267837525</v>
      </c>
      <c r="R52" s="67">
        <v>55.412432400493671</v>
      </c>
      <c r="S52" s="67">
        <v>56.718214044300524</v>
      </c>
      <c r="T52" s="67">
        <v>58.022391176423987</v>
      </c>
      <c r="U52" s="67">
        <v>60.179190441073018</v>
      </c>
      <c r="V52" s="67">
        <v>56.260900089607262</v>
      </c>
      <c r="W52" s="67">
        <v>55.393206672149219</v>
      </c>
      <c r="X52" s="67">
        <v>56.662681588003665</v>
      </c>
      <c r="Y52" s="67">
        <v>53.902706761585719</v>
      </c>
      <c r="DA52" s="110" t="s">
        <v>217</v>
      </c>
    </row>
    <row r="53" spans="1:105" ht="12" customHeight="1" x14ac:dyDescent="0.25">
      <c r="A53" s="78" t="s">
        <v>33</v>
      </c>
      <c r="B53" s="68">
        <v>86.013260087237285</v>
      </c>
      <c r="C53" s="68">
        <v>89.678965832249091</v>
      </c>
      <c r="D53" s="68">
        <v>93.824551461701546</v>
      </c>
      <c r="E53" s="68">
        <v>97.912123790612796</v>
      </c>
      <c r="F53" s="68">
        <v>102.82040542571829</v>
      </c>
      <c r="G53" s="68">
        <v>107.68193762533332</v>
      </c>
      <c r="H53" s="68">
        <v>113.96189052014184</v>
      </c>
      <c r="I53" s="68">
        <v>120.64772457889684</v>
      </c>
      <c r="J53" s="68">
        <v>125.34621656718323</v>
      </c>
      <c r="K53" s="68">
        <v>128.38375762954308</v>
      </c>
      <c r="L53" s="68">
        <v>131.0120760243116</v>
      </c>
      <c r="M53" s="68">
        <v>132.36906637958432</v>
      </c>
      <c r="N53" s="68">
        <v>133.83223684099141</v>
      </c>
      <c r="O53" s="68">
        <v>135.09761497359736</v>
      </c>
      <c r="P53" s="68">
        <v>137.66242296704229</v>
      </c>
      <c r="Q53" s="68">
        <v>140.77627002961032</v>
      </c>
      <c r="R53" s="68">
        <v>142.55634887180457</v>
      </c>
      <c r="S53" s="68">
        <v>140.13233142423303</v>
      </c>
      <c r="T53" s="68">
        <v>139.20338198783276</v>
      </c>
      <c r="U53" s="68">
        <v>138.91475391980799</v>
      </c>
      <c r="V53" s="68">
        <v>129.31990704751954</v>
      </c>
      <c r="W53" s="68">
        <v>131.1440862469629</v>
      </c>
      <c r="X53" s="68">
        <v>130.74778356214392</v>
      </c>
      <c r="Y53" s="68">
        <v>129.3848846716881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0.85232922786098164</v>
      </c>
      <c r="C56" s="70">
        <f t="shared" ref="C56:W56" si="43">IF(C48=0,0,C48/C$47)</f>
        <v>0.88334145316840995</v>
      </c>
      <c r="D56" s="70">
        <f t="shared" si="43"/>
        <v>0.87388769466616667</v>
      </c>
      <c r="E56" s="70">
        <f t="shared" si="43"/>
        <v>0.81448145891728962</v>
      </c>
      <c r="F56" s="70">
        <f t="shared" si="43"/>
        <v>0.81893844336274102</v>
      </c>
      <c r="G56" s="70">
        <f t="shared" si="43"/>
        <v>0.78431157208480062</v>
      </c>
      <c r="H56" s="70">
        <f t="shared" si="43"/>
        <v>0.7521939953109269</v>
      </c>
      <c r="I56" s="70">
        <f t="shared" si="43"/>
        <v>0.70013187457242498</v>
      </c>
      <c r="J56" s="70">
        <f t="shared" si="43"/>
        <v>0.75954919965666334</v>
      </c>
      <c r="K56" s="70">
        <f t="shared" si="43"/>
        <v>0.75168753485462814</v>
      </c>
      <c r="L56" s="70">
        <f t="shared" si="43"/>
        <v>0.76732431451381966</v>
      </c>
      <c r="M56" s="70">
        <f t="shared" si="43"/>
        <v>0.75916571619152651</v>
      </c>
      <c r="N56" s="70">
        <f t="shared" si="43"/>
        <v>0.72008202674736843</v>
      </c>
      <c r="O56" s="70">
        <f t="shared" si="43"/>
        <v>0.72326409147798876</v>
      </c>
      <c r="P56" s="70">
        <f t="shared" si="43"/>
        <v>0.69224657528537115</v>
      </c>
      <c r="Q56" s="70">
        <f t="shared" si="43"/>
        <v>0.70416247360952144</v>
      </c>
      <c r="R56" s="70">
        <f t="shared" si="43"/>
        <v>0.72065694380599232</v>
      </c>
      <c r="S56" s="70">
        <f t="shared" si="43"/>
        <v>0.72007145295808928</v>
      </c>
      <c r="T56" s="70">
        <f t="shared" si="43"/>
        <v>0.72193140924847454</v>
      </c>
      <c r="U56" s="70">
        <f t="shared" si="43"/>
        <v>0.71300533487400952</v>
      </c>
      <c r="V56" s="70">
        <f t="shared" si="43"/>
        <v>0.70925610847996789</v>
      </c>
      <c r="W56" s="70">
        <f t="shared" si="43"/>
        <v>0.70225365077265178</v>
      </c>
      <c r="X56" s="70">
        <f t="shared" ref="X56:Y56" si="44">IF(X48=0,0,X48/X$47)</f>
        <v>0.73862467776601393</v>
      </c>
      <c r="Y56" s="70">
        <f t="shared" si="44"/>
        <v>0.74239290859311102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0.70886335959578095</v>
      </c>
      <c r="C57" s="71">
        <f t="shared" ref="C57:W57" si="46">IF(C49=0,0,C49/C$47)</f>
        <v>0.76984786623665769</v>
      </c>
      <c r="D57" s="71">
        <f t="shared" si="46"/>
        <v>0.75883345970201854</v>
      </c>
      <c r="E57" s="71">
        <f t="shared" si="46"/>
        <v>0.65271848211122074</v>
      </c>
      <c r="F57" s="71">
        <f t="shared" si="46"/>
        <v>0.66755650071003303</v>
      </c>
      <c r="G57" s="71">
        <f t="shared" si="46"/>
        <v>0.61056485063686539</v>
      </c>
      <c r="H57" s="71">
        <f t="shared" si="46"/>
        <v>0.55965256519746465</v>
      </c>
      <c r="I57" s="71">
        <f t="shared" si="46"/>
        <v>0.46633646456767958</v>
      </c>
      <c r="J57" s="71">
        <f t="shared" si="46"/>
        <v>0.58126362841623092</v>
      </c>
      <c r="K57" s="71">
        <f t="shared" si="46"/>
        <v>0.56683809566900467</v>
      </c>
      <c r="L57" s="71">
        <f t="shared" si="46"/>
        <v>0.59214925112224559</v>
      </c>
      <c r="M57" s="71">
        <f t="shared" si="46"/>
        <v>0.58418144909720704</v>
      </c>
      <c r="N57" s="71">
        <f t="shared" si="46"/>
        <v>0.51090862921882718</v>
      </c>
      <c r="O57" s="71">
        <f t="shared" si="46"/>
        <v>0.51786925903288061</v>
      </c>
      <c r="P57" s="71">
        <f t="shared" si="46"/>
        <v>0.46393787879883158</v>
      </c>
      <c r="Q57" s="71">
        <f t="shared" si="46"/>
        <v>0.47767281929626904</v>
      </c>
      <c r="R57" s="71">
        <f t="shared" si="46"/>
        <v>0.50578707628974662</v>
      </c>
      <c r="S57" s="71">
        <f t="shared" si="46"/>
        <v>0.49739906864527417</v>
      </c>
      <c r="T57" s="71">
        <f t="shared" si="46"/>
        <v>0.49861571210878963</v>
      </c>
      <c r="U57" s="71">
        <f t="shared" si="46"/>
        <v>0.47604549927745776</v>
      </c>
      <c r="V57" s="71">
        <f t="shared" si="46"/>
        <v>0.46626022037216691</v>
      </c>
      <c r="W57" s="71">
        <f t="shared" si="46"/>
        <v>0.45796940262794961</v>
      </c>
      <c r="X57" s="71">
        <f t="shared" ref="X57:Y57" si="47">IF(X49=0,0,X49/X$47)</f>
        <v>0.51902871891866398</v>
      </c>
      <c r="Y57" s="71">
        <f t="shared" si="47"/>
        <v>0.52986585970192401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5.9129793465540724E-3</v>
      </c>
      <c r="C58" s="72">
        <f t="shared" ref="C58:W58" si="49">IF(C50=0,0,C50/C$47)</f>
        <v>4.538567498800437E-3</v>
      </c>
      <c r="D58" s="72">
        <f t="shared" si="49"/>
        <v>4.9602692977673063E-3</v>
      </c>
      <c r="E58" s="72">
        <f t="shared" si="49"/>
        <v>9.1822760799798089E-3</v>
      </c>
      <c r="F58" s="72">
        <f t="shared" si="49"/>
        <v>7.0226416236228986E-3</v>
      </c>
      <c r="G58" s="72">
        <f t="shared" si="49"/>
        <v>8.4258322737135669E-3</v>
      </c>
      <c r="H58" s="72">
        <f t="shared" si="49"/>
        <v>1.0592251052946195E-2</v>
      </c>
      <c r="I58" s="72">
        <f t="shared" si="49"/>
        <v>1.2672273745603471E-2</v>
      </c>
      <c r="J58" s="72">
        <f t="shared" si="49"/>
        <v>1.014122976982321E-2</v>
      </c>
      <c r="K58" s="72">
        <f t="shared" si="49"/>
        <v>1.0539996632802379E-2</v>
      </c>
      <c r="L58" s="72">
        <f t="shared" si="49"/>
        <v>1.0536264659950558E-2</v>
      </c>
      <c r="M58" s="72">
        <f t="shared" si="49"/>
        <v>1.0960088680693484E-2</v>
      </c>
      <c r="N58" s="72">
        <f t="shared" si="49"/>
        <v>1.4211563896130781E-2</v>
      </c>
      <c r="O58" s="72">
        <f t="shared" si="49"/>
        <v>1.4440440390348532E-2</v>
      </c>
      <c r="P58" s="72">
        <f t="shared" si="49"/>
        <v>1.2815463487057513E-2</v>
      </c>
      <c r="Q58" s="72">
        <f t="shared" si="49"/>
        <v>1.4816063127331559E-2</v>
      </c>
      <c r="R58" s="72">
        <f t="shared" si="49"/>
        <v>1.1318157453327413E-2</v>
      </c>
      <c r="S58" s="72">
        <f t="shared" si="49"/>
        <v>1.358579900623999E-2</v>
      </c>
      <c r="T58" s="72">
        <f t="shared" si="49"/>
        <v>1.1743625060890021E-2</v>
      </c>
      <c r="U58" s="72">
        <f t="shared" si="49"/>
        <v>1.2869172140543757E-2</v>
      </c>
      <c r="V58" s="72">
        <f t="shared" si="49"/>
        <v>1.2238198797753942E-2</v>
      </c>
      <c r="W58" s="72">
        <f t="shared" si="49"/>
        <v>1.3517975880529507E-2</v>
      </c>
      <c r="X58" s="72">
        <f t="shared" ref="X58:Y58" si="50">IF(X50=0,0,X50/X$47)</f>
        <v>1.2541008248135099E-2</v>
      </c>
      <c r="Y58" s="72">
        <f t="shared" si="50"/>
        <v>1.2048260918604789E-2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6.6697680226788097E-2</v>
      </c>
      <c r="C59" s="72">
        <f t="shared" ref="C59:W59" si="52">IF(C51=0,0,C51/C$47)</f>
        <v>5.0439775748181558E-2</v>
      </c>
      <c r="D59" s="72">
        <f t="shared" si="52"/>
        <v>5.2887972641922139E-2</v>
      </c>
      <c r="E59" s="72">
        <f t="shared" si="52"/>
        <v>7.624009861607757E-2</v>
      </c>
      <c r="F59" s="72">
        <f t="shared" si="52"/>
        <v>7.1925192041446415E-2</v>
      </c>
      <c r="G59" s="72">
        <f t="shared" si="52"/>
        <v>8.3593611851571145E-2</v>
      </c>
      <c r="H59" s="72">
        <f t="shared" si="52"/>
        <v>9.3217215009373341E-2</v>
      </c>
      <c r="I59" s="72">
        <f t="shared" si="52"/>
        <v>0.11022869870912036</v>
      </c>
      <c r="J59" s="72">
        <f t="shared" si="52"/>
        <v>8.5976241134353495E-2</v>
      </c>
      <c r="K59" s="72">
        <f t="shared" si="52"/>
        <v>8.8418448980584596E-2</v>
      </c>
      <c r="L59" s="72">
        <f t="shared" si="52"/>
        <v>8.2406628034062887E-2</v>
      </c>
      <c r="M59" s="72">
        <f t="shared" si="52"/>
        <v>8.2574522961039287E-2</v>
      </c>
      <c r="N59" s="72">
        <f t="shared" si="52"/>
        <v>9.5091935485842979E-2</v>
      </c>
      <c r="O59" s="72">
        <f t="shared" si="52"/>
        <v>9.3209093311517E-2</v>
      </c>
      <c r="P59" s="72">
        <f t="shared" si="52"/>
        <v>0.10387372359841585</v>
      </c>
      <c r="Q59" s="72">
        <f t="shared" si="52"/>
        <v>9.9540321034670545E-2</v>
      </c>
      <c r="R59" s="72">
        <f t="shared" si="52"/>
        <v>9.4969536484542733E-2</v>
      </c>
      <c r="S59" s="72">
        <f t="shared" si="52"/>
        <v>9.5786199258137986E-2</v>
      </c>
      <c r="T59" s="72">
        <f t="shared" si="52"/>
        <v>9.5668246208585814E-2</v>
      </c>
      <c r="U59" s="72">
        <f t="shared" si="52"/>
        <v>9.9761849411107342E-2</v>
      </c>
      <c r="V59" s="72">
        <f t="shared" si="52"/>
        <v>0.10426894209449701</v>
      </c>
      <c r="W59" s="72">
        <f t="shared" si="52"/>
        <v>0.10500288078672906</v>
      </c>
      <c r="X59" s="72">
        <f t="shared" ref="X59:Y59" si="53">IF(X51=0,0,X51/X$47)</f>
        <v>9.3781698424603793E-2</v>
      </c>
      <c r="Y59" s="72">
        <f t="shared" si="53"/>
        <v>9.3157754738713142E-2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7.0855208691858504E-2</v>
      </c>
      <c r="C60" s="73">
        <f t="shared" ref="C60:W60" si="55">IF(C52=0,0,C52/C$47)</f>
        <v>5.8515243684770332E-2</v>
      </c>
      <c r="D60" s="73">
        <f t="shared" si="55"/>
        <v>5.7205993024458654E-2</v>
      </c>
      <c r="E60" s="73">
        <f t="shared" si="55"/>
        <v>7.6340602110011563E-2</v>
      </c>
      <c r="F60" s="73">
        <f t="shared" si="55"/>
        <v>7.2434108987638704E-2</v>
      </c>
      <c r="G60" s="73">
        <f t="shared" si="55"/>
        <v>8.1727277322650588E-2</v>
      </c>
      <c r="H60" s="73">
        <f t="shared" si="55"/>
        <v>8.8731964051142739E-2</v>
      </c>
      <c r="I60" s="73">
        <f t="shared" si="55"/>
        <v>0.1108944375500216</v>
      </c>
      <c r="J60" s="73">
        <f t="shared" si="55"/>
        <v>8.2168100336255712E-2</v>
      </c>
      <c r="K60" s="73">
        <f t="shared" si="55"/>
        <v>8.5890993572236563E-2</v>
      </c>
      <c r="L60" s="73">
        <f t="shared" si="55"/>
        <v>8.2232170697560655E-2</v>
      </c>
      <c r="M60" s="73">
        <f t="shared" si="55"/>
        <v>8.1449655452586756E-2</v>
      </c>
      <c r="N60" s="73">
        <f t="shared" si="55"/>
        <v>9.9869898146567465E-2</v>
      </c>
      <c r="O60" s="73">
        <f t="shared" si="55"/>
        <v>9.7745298743242573E-2</v>
      </c>
      <c r="P60" s="73">
        <f t="shared" si="55"/>
        <v>0.11161950940106619</v>
      </c>
      <c r="Q60" s="73">
        <f t="shared" si="55"/>
        <v>0.11213327015125026</v>
      </c>
      <c r="R60" s="73">
        <f t="shared" si="55"/>
        <v>0.1085821735783756</v>
      </c>
      <c r="S60" s="73">
        <f t="shared" si="55"/>
        <v>0.11330038604843713</v>
      </c>
      <c r="T60" s="73">
        <f t="shared" si="55"/>
        <v>0.11590382587020906</v>
      </c>
      <c r="U60" s="73">
        <f t="shared" si="55"/>
        <v>0.12432881404490076</v>
      </c>
      <c r="V60" s="73">
        <f t="shared" si="55"/>
        <v>0.12648874721555009</v>
      </c>
      <c r="W60" s="73">
        <f t="shared" si="55"/>
        <v>0.12576339147744356</v>
      </c>
      <c r="X60" s="73">
        <f t="shared" ref="X60:Y60" si="56">IF(X52=0,0,X52/X$47)</f>
        <v>0.11327325217461114</v>
      </c>
      <c r="Y60" s="73">
        <f t="shared" si="56"/>
        <v>0.107321033233869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0.1476707721390183</v>
      </c>
      <c r="C61" s="70">
        <f t="shared" ref="C61:W61" si="58">IF(C53=0,0,C53/C$47)</f>
        <v>0.11665854683159008</v>
      </c>
      <c r="D61" s="70">
        <f t="shared" si="58"/>
        <v>0.12611230533383336</v>
      </c>
      <c r="E61" s="70">
        <f t="shared" si="58"/>
        <v>0.18551854108271035</v>
      </c>
      <c r="F61" s="70">
        <f t="shared" si="58"/>
        <v>0.18106155663725904</v>
      </c>
      <c r="G61" s="70">
        <f t="shared" si="58"/>
        <v>0.21568842791519935</v>
      </c>
      <c r="H61" s="70">
        <f t="shared" si="58"/>
        <v>0.24780600468907316</v>
      </c>
      <c r="I61" s="70">
        <f t="shared" si="58"/>
        <v>0.29986812542757507</v>
      </c>
      <c r="J61" s="70">
        <f t="shared" si="58"/>
        <v>0.24045080034333674</v>
      </c>
      <c r="K61" s="70">
        <f t="shared" si="58"/>
        <v>0.24831246514537186</v>
      </c>
      <c r="L61" s="70">
        <f t="shared" si="58"/>
        <v>0.23267568548618034</v>
      </c>
      <c r="M61" s="70">
        <f t="shared" si="58"/>
        <v>0.24083428380847344</v>
      </c>
      <c r="N61" s="70">
        <f t="shared" si="58"/>
        <v>0.27991797325263157</v>
      </c>
      <c r="O61" s="70">
        <f t="shared" si="58"/>
        <v>0.27673590852201119</v>
      </c>
      <c r="P61" s="70">
        <f t="shared" si="58"/>
        <v>0.3077534247146288</v>
      </c>
      <c r="Q61" s="70">
        <f t="shared" si="58"/>
        <v>0.29583752639047856</v>
      </c>
      <c r="R61" s="70">
        <f t="shared" si="58"/>
        <v>0.27934305619400762</v>
      </c>
      <c r="S61" s="70">
        <f t="shared" si="58"/>
        <v>0.27992854704191072</v>
      </c>
      <c r="T61" s="70">
        <f t="shared" si="58"/>
        <v>0.27806859075152546</v>
      </c>
      <c r="U61" s="70">
        <f t="shared" si="58"/>
        <v>0.28699466512599042</v>
      </c>
      <c r="V61" s="70">
        <f t="shared" si="58"/>
        <v>0.29074389152003199</v>
      </c>
      <c r="W61" s="70">
        <f t="shared" si="58"/>
        <v>0.29774634922734822</v>
      </c>
      <c r="X61" s="70">
        <f t="shared" ref="X61:Y61" si="59">IF(X53=0,0,X53/X$47)</f>
        <v>0.26137532223398607</v>
      </c>
      <c r="Y61" s="70">
        <f t="shared" si="59"/>
        <v>0.25760709140688903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937.39322591999985</v>
      </c>
      <c r="C65" s="80">
        <v>1445.4215348399998</v>
      </c>
      <c r="D65" s="80">
        <v>1227.3112483200002</v>
      </c>
      <c r="E65" s="80">
        <v>881.3344741200001</v>
      </c>
      <c r="F65" s="80">
        <v>898.03273176000005</v>
      </c>
      <c r="G65" s="80">
        <v>785.67746688000022</v>
      </c>
      <c r="H65" s="80">
        <v>645.08417675999999</v>
      </c>
      <c r="I65" s="80">
        <v>474.69224880000013</v>
      </c>
      <c r="J65" s="80">
        <v>707.28869700000007</v>
      </c>
      <c r="K65" s="80">
        <v>677.84015772000009</v>
      </c>
      <c r="L65" s="80">
        <v>727.59134519999986</v>
      </c>
      <c r="M65" s="80">
        <v>609.62852592000013</v>
      </c>
      <c r="N65" s="80">
        <v>432.88553592</v>
      </c>
      <c r="O65" s="80">
        <v>427.07306195999996</v>
      </c>
      <c r="P65" s="80">
        <v>353.28739932000002</v>
      </c>
      <c r="Q65" s="80">
        <v>400.33034279999998</v>
      </c>
      <c r="R65" s="80">
        <v>467.89078859999995</v>
      </c>
      <c r="S65" s="80">
        <v>371.16550476000003</v>
      </c>
      <c r="T65" s="80">
        <v>355.57627608000001</v>
      </c>
      <c r="U65" s="80">
        <v>341.60986475999999</v>
      </c>
      <c r="V65" s="80">
        <v>333.35269919999996</v>
      </c>
      <c r="W65" s="80">
        <v>252.33815339999998</v>
      </c>
      <c r="X65" s="80">
        <v>340.30658124000001</v>
      </c>
      <c r="Y65" s="80">
        <v>395.66561687999996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893.41643591999991</v>
      </c>
      <c r="C67" s="55">
        <f t="shared" ref="C67:W67" si="60">SUM(C68:C69)</f>
        <v>1256.6899148399998</v>
      </c>
      <c r="D67" s="55">
        <f t="shared" si="60"/>
        <v>1013.3851183200002</v>
      </c>
      <c r="E67" s="55">
        <f t="shared" si="60"/>
        <v>769.70108412000013</v>
      </c>
      <c r="F67" s="55">
        <f t="shared" si="60"/>
        <v>763.77982176</v>
      </c>
      <c r="G67" s="55">
        <f t="shared" si="60"/>
        <v>725.74583688000018</v>
      </c>
      <c r="H67" s="55">
        <f t="shared" si="60"/>
        <v>612.56861676000005</v>
      </c>
      <c r="I67" s="55">
        <f t="shared" si="60"/>
        <v>447.47813880000012</v>
      </c>
      <c r="J67" s="55">
        <f t="shared" si="60"/>
        <v>679.67066700000009</v>
      </c>
      <c r="K67" s="55">
        <f t="shared" si="60"/>
        <v>635.22659772000009</v>
      </c>
      <c r="L67" s="55">
        <f t="shared" si="60"/>
        <v>672.10283519999984</v>
      </c>
      <c r="M67" s="55">
        <f t="shared" si="60"/>
        <v>517.02986592000013</v>
      </c>
      <c r="N67" s="55">
        <f t="shared" si="60"/>
        <v>401.88467592000001</v>
      </c>
      <c r="O67" s="55">
        <f t="shared" si="60"/>
        <v>352.29737195999996</v>
      </c>
      <c r="P67" s="55">
        <f t="shared" si="60"/>
        <v>267.05047932000002</v>
      </c>
      <c r="Q67" s="55">
        <f t="shared" si="60"/>
        <v>282.58766279999998</v>
      </c>
      <c r="R67" s="55">
        <f t="shared" si="60"/>
        <v>314.90608859999998</v>
      </c>
      <c r="S67" s="55">
        <f t="shared" si="60"/>
        <v>255.33377028000001</v>
      </c>
      <c r="T67" s="55">
        <f t="shared" si="60"/>
        <v>293.86537848</v>
      </c>
      <c r="U67" s="55">
        <f t="shared" si="60"/>
        <v>272.04797411999999</v>
      </c>
      <c r="V67" s="55">
        <f t="shared" si="60"/>
        <v>278.87661467999999</v>
      </c>
      <c r="W67" s="55">
        <f t="shared" si="60"/>
        <v>200.09756411999999</v>
      </c>
      <c r="X67" s="55">
        <f t="shared" ref="X67:Y67" si="61">SUM(X68:X69)</f>
        <v>227.39155308000005</v>
      </c>
      <c r="Y67" s="55">
        <f t="shared" si="61"/>
        <v>271.66318667999997</v>
      </c>
      <c r="DA67" s="101"/>
    </row>
    <row r="68" spans="1:105" ht="12" customHeight="1" x14ac:dyDescent="0.25">
      <c r="A68" s="61" t="s">
        <v>52</v>
      </c>
      <c r="B68" s="55">
        <v>116.40064572000001</v>
      </c>
      <c r="C68" s="55">
        <v>104.46202476000001</v>
      </c>
      <c r="D68" s="55">
        <v>71.631044280000026</v>
      </c>
      <c r="E68" s="55">
        <v>56.707995239999995</v>
      </c>
      <c r="F68" s="55">
        <v>59.692650479999998</v>
      </c>
      <c r="G68" s="55">
        <v>56.707995239999995</v>
      </c>
      <c r="H68" s="55">
        <v>50.738684760000005</v>
      </c>
      <c r="I68" s="55">
        <v>81.361215720000004</v>
      </c>
      <c r="J68" s="55">
        <v>61.02085499999999</v>
      </c>
      <c r="K68" s="55">
        <v>63.926685720000016</v>
      </c>
      <c r="L68" s="55">
        <v>75.549554279999995</v>
      </c>
      <c r="M68" s="55">
        <v>43.586325000000002</v>
      </c>
      <c r="N68" s="55">
        <v>61.02085499999999</v>
      </c>
      <c r="O68" s="55">
        <v>49.397759279999995</v>
      </c>
      <c r="P68" s="55">
        <v>49.397759279999995</v>
      </c>
      <c r="Q68" s="55">
        <v>52.303590000000014</v>
      </c>
      <c r="R68" s="55">
        <v>43.586325000000002</v>
      </c>
      <c r="S68" s="55">
        <v>50.426566920000013</v>
      </c>
      <c r="T68" s="55">
        <v>66.875903999999991</v>
      </c>
      <c r="U68" s="55">
        <v>82.566981000000013</v>
      </c>
      <c r="V68" s="55">
        <v>68.189343120000004</v>
      </c>
      <c r="W68" s="55">
        <v>49.897738439999991</v>
      </c>
      <c r="X68" s="55">
        <v>56.787046920000009</v>
      </c>
      <c r="Y68" s="55">
        <v>31.001433839999983</v>
      </c>
      <c r="DA68" s="101" t="s">
        <v>221</v>
      </c>
    </row>
    <row r="69" spans="1:105" ht="12" customHeight="1" x14ac:dyDescent="0.25">
      <c r="A69" s="61" t="s">
        <v>163</v>
      </c>
      <c r="B69" s="55">
        <v>777.01579019999986</v>
      </c>
      <c r="C69" s="55">
        <v>1152.2278900799997</v>
      </c>
      <c r="D69" s="55">
        <v>941.75407404000021</v>
      </c>
      <c r="E69" s="55">
        <v>712.99308888000019</v>
      </c>
      <c r="F69" s="55">
        <v>704.08717128000001</v>
      </c>
      <c r="G69" s="55">
        <v>669.03784164000024</v>
      </c>
      <c r="H69" s="55">
        <v>561.8299320000001</v>
      </c>
      <c r="I69" s="55">
        <v>366.11692308000011</v>
      </c>
      <c r="J69" s="55">
        <v>618.64981200000011</v>
      </c>
      <c r="K69" s="55">
        <v>571.29991200000006</v>
      </c>
      <c r="L69" s="55">
        <v>596.55328091999991</v>
      </c>
      <c r="M69" s="55">
        <v>473.44354092000015</v>
      </c>
      <c r="N69" s="55">
        <v>340.86382092000002</v>
      </c>
      <c r="O69" s="55">
        <v>302.89961267999996</v>
      </c>
      <c r="P69" s="55">
        <v>217.65272004000002</v>
      </c>
      <c r="Q69" s="55">
        <v>230.28407279999996</v>
      </c>
      <c r="R69" s="55">
        <v>271.31976359999999</v>
      </c>
      <c r="S69" s="55">
        <v>204.90720335999998</v>
      </c>
      <c r="T69" s="55">
        <v>226.98947448000001</v>
      </c>
      <c r="U69" s="55">
        <v>189.48099311999999</v>
      </c>
      <c r="V69" s="55">
        <v>210.68727156</v>
      </c>
      <c r="W69" s="55">
        <v>150.19982568</v>
      </c>
      <c r="X69" s="55">
        <v>170.60450616000003</v>
      </c>
      <c r="Y69" s="55">
        <v>240.66175283999999</v>
      </c>
      <c r="DA69" s="101" t="s">
        <v>222</v>
      </c>
    </row>
    <row r="70" spans="1:105" ht="12" customHeight="1" x14ac:dyDescent="0.25">
      <c r="A70" s="60" t="s">
        <v>149</v>
      </c>
      <c r="B70" s="55">
        <v>43.976789999999994</v>
      </c>
      <c r="C70" s="55">
        <v>188.73161999999999</v>
      </c>
      <c r="D70" s="55">
        <v>213.92613</v>
      </c>
      <c r="E70" s="55">
        <v>111.63339000000001</v>
      </c>
      <c r="F70" s="55">
        <v>134.25291000000001</v>
      </c>
      <c r="G70" s="55">
        <v>59.931630000000006</v>
      </c>
      <c r="H70" s="55">
        <v>32.515559999999994</v>
      </c>
      <c r="I70" s="55">
        <v>27.214110000000009</v>
      </c>
      <c r="J70" s="55">
        <v>27.61802999999999</v>
      </c>
      <c r="K70" s="55">
        <v>42.61356</v>
      </c>
      <c r="L70" s="55">
        <v>55.488509999999998</v>
      </c>
      <c r="M70" s="55">
        <v>92.598659999999981</v>
      </c>
      <c r="N70" s="55">
        <v>31.000859999999992</v>
      </c>
      <c r="O70" s="55">
        <v>74.775689999999997</v>
      </c>
      <c r="P70" s="55">
        <v>86.236919999999998</v>
      </c>
      <c r="Q70" s="55">
        <v>117.74268000000002</v>
      </c>
      <c r="R70" s="55">
        <v>152.9847</v>
      </c>
      <c r="S70" s="55">
        <v>115.83173448000001</v>
      </c>
      <c r="T70" s="55">
        <v>61.710897599999996</v>
      </c>
      <c r="U70" s="55">
        <v>69.561890640000016</v>
      </c>
      <c r="V70" s="55">
        <v>54.476084520000001</v>
      </c>
      <c r="W70" s="55">
        <v>52.240589280000002</v>
      </c>
      <c r="X70" s="55">
        <v>112.91502816000002</v>
      </c>
      <c r="Y70" s="55">
        <v>124.00243020000001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937.39322591999985</v>
      </c>
      <c r="C81" s="82">
        <f t="shared" ref="C81:W81" si="65">C82+C87</f>
        <v>1445.4215348399998</v>
      </c>
      <c r="D81" s="82">
        <f t="shared" si="65"/>
        <v>1227.3112483200002</v>
      </c>
      <c r="E81" s="82">
        <f t="shared" si="65"/>
        <v>881.33447412000055</v>
      </c>
      <c r="F81" s="82">
        <f t="shared" si="65"/>
        <v>898.03273175999993</v>
      </c>
      <c r="G81" s="82">
        <f t="shared" si="65"/>
        <v>785.67746688000034</v>
      </c>
      <c r="H81" s="82">
        <f t="shared" si="65"/>
        <v>645.08417675999999</v>
      </c>
      <c r="I81" s="82">
        <f t="shared" si="65"/>
        <v>474.69224880000024</v>
      </c>
      <c r="J81" s="82">
        <f t="shared" si="65"/>
        <v>707.28869699999996</v>
      </c>
      <c r="K81" s="82">
        <f t="shared" si="65"/>
        <v>677.84015772000021</v>
      </c>
      <c r="L81" s="82">
        <f t="shared" si="65"/>
        <v>727.59134519999998</v>
      </c>
      <c r="M81" s="82">
        <f t="shared" si="65"/>
        <v>609.62852592000024</v>
      </c>
      <c r="N81" s="82">
        <f t="shared" si="65"/>
        <v>432.88553592000017</v>
      </c>
      <c r="O81" s="82">
        <f t="shared" si="65"/>
        <v>427.07306196000013</v>
      </c>
      <c r="P81" s="82">
        <f t="shared" si="65"/>
        <v>353.28739932000002</v>
      </c>
      <c r="Q81" s="82">
        <f t="shared" si="65"/>
        <v>400.33034279999993</v>
      </c>
      <c r="R81" s="82">
        <f t="shared" si="65"/>
        <v>467.89078860000012</v>
      </c>
      <c r="S81" s="82">
        <f t="shared" si="65"/>
        <v>371.16550475999998</v>
      </c>
      <c r="T81" s="82">
        <f t="shared" si="65"/>
        <v>355.57627608000007</v>
      </c>
      <c r="U81" s="82">
        <f t="shared" si="65"/>
        <v>341.60986476000028</v>
      </c>
      <c r="V81" s="82">
        <f t="shared" si="65"/>
        <v>333.35269920000002</v>
      </c>
      <c r="W81" s="82">
        <f t="shared" si="65"/>
        <v>252.33815340000007</v>
      </c>
      <c r="X81" s="82">
        <f t="shared" ref="X81:Y81" si="66">X82+X87</f>
        <v>340.30658124000001</v>
      </c>
      <c r="Y81" s="82">
        <f t="shared" si="66"/>
        <v>395.66561688000007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937.39322591999985</v>
      </c>
      <c r="C82" s="64">
        <f t="shared" ref="C82:W82" si="68">SUM(C83:C86)</f>
        <v>1445.4215348399998</v>
      </c>
      <c r="D82" s="64">
        <f t="shared" si="68"/>
        <v>1227.3112483200002</v>
      </c>
      <c r="E82" s="64">
        <f t="shared" si="68"/>
        <v>881.33447412000055</v>
      </c>
      <c r="F82" s="64">
        <f t="shared" si="68"/>
        <v>898.03273175999993</v>
      </c>
      <c r="G82" s="64">
        <f t="shared" si="68"/>
        <v>785.67746688000034</v>
      </c>
      <c r="H82" s="64">
        <f t="shared" si="68"/>
        <v>645.08417675999999</v>
      </c>
      <c r="I82" s="64">
        <f t="shared" si="68"/>
        <v>474.69224880000024</v>
      </c>
      <c r="J82" s="64">
        <f t="shared" si="68"/>
        <v>707.28869699999996</v>
      </c>
      <c r="K82" s="64">
        <f t="shared" si="68"/>
        <v>677.84015772000021</v>
      </c>
      <c r="L82" s="64">
        <f t="shared" si="68"/>
        <v>727.59134519999998</v>
      </c>
      <c r="M82" s="64">
        <f t="shared" si="68"/>
        <v>609.62852592000024</v>
      </c>
      <c r="N82" s="64">
        <f t="shared" si="68"/>
        <v>432.88553592000017</v>
      </c>
      <c r="O82" s="64">
        <f t="shared" si="68"/>
        <v>427.07306196000013</v>
      </c>
      <c r="P82" s="64">
        <f t="shared" si="68"/>
        <v>353.28739932000002</v>
      </c>
      <c r="Q82" s="64">
        <f t="shared" si="68"/>
        <v>400.33034279999993</v>
      </c>
      <c r="R82" s="64">
        <f t="shared" si="68"/>
        <v>467.89078860000012</v>
      </c>
      <c r="S82" s="64">
        <f t="shared" si="68"/>
        <v>371.16550475999998</v>
      </c>
      <c r="T82" s="64">
        <f t="shared" si="68"/>
        <v>355.57627608000007</v>
      </c>
      <c r="U82" s="64">
        <f t="shared" si="68"/>
        <v>341.60986476000028</v>
      </c>
      <c r="V82" s="64">
        <f t="shared" si="68"/>
        <v>333.35269920000002</v>
      </c>
      <c r="W82" s="64">
        <f t="shared" si="68"/>
        <v>252.33815340000007</v>
      </c>
      <c r="X82" s="64">
        <f t="shared" ref="X82:Y82" si="69">SUM(X83:X86)</f>
        <v>340.30658124000001</v>
      </c>
      <c r="Y82" s="64">
        <f t="shared" si="69"/>
        <v>395.66561688000007</v>
      </c>
      <c r="DA82" s="108" t="s">
        <v>233</v>
      </c>
    </row>
    <row r="83" spans="1:105" ht="12" customHeight="1" x14ac:dyDescent="0.25">
      <c r="A83" s="61" t="s">
        <v>32</v>
      </c>
      <c r="B83" s="65">
        <v>771.95295186790429</v>
      </c>
      <c r="C83" s="65">
        <v>1268.513187787669</v>
      </c>
      <c r="D83" s="65">
        <v>1084.4996904054797</v>
      </c>
      <c r="E83" s="65">
        <v>749.5138836498104</v>
      </c>
      <c r="F83" s="65">
        <v>762.21863222171032</v>
      </c>
      <c r="G83" s="65">
        <v>657.33066142107839</v>
      </c>
      <c r="H83" s="65">
        <v>525.85613417260902</v>
      </c>
      <c r="I83" s="65">
        <v>321.01085205528716</v>
      </c>
      <c r="J83" s="65">
        <v>578.84825360616901</v>
      </c>
      <c r="K83" s="65">
        <v>542.26695326730407</v>
      </c>
      <c r="L83" s="65">
        <v>581.50038334655483</v>
      </c>
      <c r="M83" s="65">
        <v>505.90774102298434</v>
      </c>
      <c r="N83" s="65">
        <v>317.44542414030019</v>
      </c>
      <c r="O83" s="65">
        <v>326.78731191780906</v>
      </c>
      <c r="P83" s="65">
        <v>252.03390557751007</v>
      </c>
      <c r="Q83" s="65">
        <v>296.42866812683201</v>
      </c>
      <c r="R83" s="65">
        <v>359.96339257122764</v>
      </c>
      <c r="S83" s="65">
        <v>271.10367464669156</v>
      </c>
      <c r="T83" s="65">
        <v>246.0220414009315</v>
      </c>
      <c r="U83" s="65">
        <v>220.04350115526722</v>
      </c>
      <c r="V83" s="65">
        <v>226.52504651649534</v>
      </c>
      <c r="W83" s="65">
        <v>167.27665730658634</v>
      </c>
      <c r="X83" s="65">
        <v>246.17186089936888</v>
      </c>
      <c r="Y83" s="65">
        <v>327.30015122880866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91.833276231522433</v>
      </c>
      <c r="C85" s="65">
        <v>89.971286385419148</v>
      </c>
      <c r="D85" s="65">
        <v>90.407155620390597</v>
      </c>
      <c r="E85" s="65">
        <v>95.76556355449479</v>
      </c>
      <c r="F85" s="65">
        <v>96.350500145997231</v>
      </c>
      <c r="G85" s="65">
        <v>96.073592231438525</v>
      </c>
      <c r="H85" s="65">
        <v>97.575884672356295</v>
      </c>
      <c r="I85" s="65">
        <v>101.52716887447966</v>
      </c>
      <c r="J85" s="65">
        <v>96.139137290295821</v>
      </c>
      <c r="K85" s="65">
        <v>95.400515701578115</v>
      </c>
      <c r="L85" s="65">
        <v>93.57240390913023</v>
      </c>
      <c r="M85" s="65">
        <v>78.928201817545343</v>
      </c>
      <c r="N85" s="65">
        <v>73.6105245276799</v>
      </c>
      <c r="O85" s="65">
        <v>64.272127931355143</v>
      </c>
      <c r="P85" s="65">
        <v>57.250421443641699</v>
      </c>
      <c r="Q85" s="65">
        <v>53.326266442158435</v>
      </c>
      <c r="R85" s="65">
        <v>55.772695539016006</v>
      </c>
      <c r="S85" s="65">
        <v>49.298854115823566</v>
      </c>
      <c r="T85" s="65">
        <v>58.294058664443078</v>
      </c>
      <c r="U85" s="65">
        <v>57.79793676739564</v>
      </c>
      <c r="V85" s="65">
        <v>53.046025710815258</v>
      </c>
      <c r="W85" s="65">
        <v>44.331286286524033</v>
      </c>
      <c r="X85" s="65">
        <v>47.296571605033996</v>
      </c>
      <c r="Y85" s="65">
        <v>37.857426330657653</v>
      </c>
      <c r="DA85" s="109" t="s">
        <v>236</v>
      </c>
    </row>
    <row r="86" spans="1:105" ht="12" customHeight="1" x14ac:dyDescent="0.25">
      <c r="A86" s="66" t="s">
        <v>34</v>
      </c>
      <c r="B86" s="67">
        <v>73.606997820573156</v>
      </c>
      <c r="C86" s="67">
        <v>86.937060666911748</v>
      </c>
      <c r="D86" s="67">
        <v>52.404402294129937</v>
      </c>
      <c r="E86" s="67">
        <v>36.055026915695436</v>
      </c>
      <c r="F86" s="67">
        <v>39.463599392292423</v>
      </c>
      <c r="G86" s="67">
        <v>32.273213227483424</v>
      </c>
      <c r="H86" s="67">
        <v>21.652157915034611</v>
      </c>
      <c r="I86" s="67">
        <v>52.154227870233377</v>
      </c>
      <c r="J86" s="67">
        <v>32.301306103535154</v>
      </c>
      <c r="K86" s="67">
        <v>40.172688751118031</v>
      </c>
      <c r="L86" s="67">
        <v>52.518557944314892</v>
      </c>
      <c r="M86" s="67">
        <v>24.792583079470504</v>
      </c>
      <c r="N86" s="67">
        <v>41.829587252020048</v>
      </c>
      <c r="O86" s="67">
        <v>36.01362211083589</v>
      </c>
      <c r="P86" s="67">
        <v>44.003072298848274</v>
      </c>
      <c r="Q86" s="67">
        <v>50.575408231009462</v>
      </c>
      <c r="R86" s="67">
        <v>52.154700489756451</v>
      </c>
      <c r="S86" s="67">
        <v>50.76297599748483</v>
      </c>
      <c r="T86" s="67">
        <v>51.260176014625486</v>
      </c>
      <c r="U86" s="67">
        <v>63.768426837337429</v>
      </c>
      <c r="V86" s="67">
        <v>53.781626972689445</v>
      </c>
      <c r="W86" s="67">
        <v>40.730209806889683</v>
      </c>
      <c r="X86" s="67">
        <v>46.838148735597159</v>
      </c>
      <c r="Y86" s="67">
        <v>30.508039320533776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0.82351027351437811</v>
      </c>
      <c r="C91" s="71">
        <f t="shared" ref="C91:W91" si="77">IF(C83=0,0,C83/C$81)</f>
        <v>0.87760778237477033</v>
      </c>
      <c r="D91" s="71">
        <f t="shared" si="77"/>
        <v>0.8836386791777493</v>
      </c>
      <c r="E91" s="71">
        <f t="shared" si="77"/>
        <v>0.85043068852853954</v>
      </c>
      <c r="F91" s="71">
        <f t="shared" si="77"/>
        <v>0.84876486709775512</v>
      </c>
      <c r="G91" s="71">
        <f t="shared" si="77"/>
        <v>0.83664186530816609</v>
      </c>
      <c r="H91" s="71">
        <f t="shared" si="77"/>
        <v>0.81517444252589522</v>
      </c>
      <c r="I91" s="71">
        <f t="shared" si="77"/>
        <v>0.67625046093924546</v>
      </c>
      <c r="J91" s="71">
        <f t="shared" si="77"/>
        <v>0.81840450167149925</v>
      </c>
      <c r="K91" s="71">
        <f t="shared" si="77"/>
        <v>0.7999923685419974</v>
      </c>
      <c r="L91" s="71">
        <f t="shared" si="77"/>
        <v>0.79921289221315883</v>
      </c>
      <c r="M91" s="71">
        <f t="shared" si="77"/>
        <v>0.82986231698969604</v>
      </c>
      <c r="N91" s="71">
        <f t="shared" si="77"/>
        <v>0.73332416493344332</v>
      </c>
      <c r="O91" s="71">
        <f t="shared" si="77"/>
        <v>0.76517893780998092</v>
      </c>
      <c r="P91" s="71">
        <f t="shared" si="77"/>
        <v>0.71339624923679557</v>
      </c>
      <c r="Q91" s="71">
        <f t="shared" si="77"/>
        <v>0.74046015611393234</v>
      </c>
      <c r="R91" s="71">
        <f t="shared" si="77"/>
        <v>0.76933207778740942</v>
      </c>
      <c r="S91" s="71">
        <f t="shared" si="77"/>
        <v>0.73041182752688838</v>
      </c>
      <c r="T91" s="71">
        <f t="shared" si="77"/>
        <v>0.69189667014111966</v>
      </c>
      <c r="U91" s="71">
        <f t="shared" si="77"/>
        <v>0.64413684689656103</v>
      </c>
      <c r="V91" s="71">
        <f t="shared" si="77"/>
        <v>0.6795356601585163</v>
      </c>
      <c r="W91" s="71">
        <f t="shared" si="77"/>
        <v>0.66290671883226315</v>
      </c>
      <c r="X91" s="71">
        <f t="shared" ref="X91:Y91" si="78">IF(X83=0,0,X83/X$81)</f>
        <v>0.72338260401069654</v>
      </c>
      <c r="Y91" s="71">
        <f t="shared" si="78"/>
        <v>0.82721403444078967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9.7966652299405224E-2</v>
      </c>
      <c r="C93" s="72">
        <f t="shared" ref="C93:W93" si="83">IF(C85=0,0,C85/C$81)</f>
        <v>6.2245707716938416E-2</v>
      </c>
      <c r="D93" s="72">
        <f t="shared" si="83"/>
        <v>7.3662777672855229E-2</v>
      </c>
      <c r="E93" s="72">
        <f t="shared" si="83"/>
        <v>0.10865972722798038</v>
      </c>
      <c r="F93" s="72">
        <f t="shared" si="83"/>
        <v>0.107290632889478</v>
      </c>
      <c r="G93" s="72">
        <f t="shared" si="83"/>
        <v>0.12228121116029439</v>
      </c>
      <c r="H93" s="72">
        <f t="shared" si="83"/>
        <v>0.15126070083200766</v>
      </c>
      <c r="I93" s="72">
        <f t="shared" si="83"/>
        <v>0.21387998041075157</v>
      </c>
      <c r="J93" s="72">
        <f t="shared" si="83"/>
        <v>0.13592630236857273</v>
      </c>
      <c r="K93" s="72">
        <f t="shared" si="83"/>
        <v>0.14074190591255265</v>
      </c>
      <c r="L93" s="72">
        <f t="shared" si="83"/>
        <v>0.12860571325708814</v>
      </c>
      <c r="M93" s="72">
        <f t="shared" si="83"/>
        <v>0.12946933823090631</v>
      </c>
      <c r="N93" s="72">
        <f t="shared" si="83"/>
        <v>0.17004616329172884</v>
      </c>
      <c r="O93" s="72">
        <f t="shared" si="83"/>
        <v>0.15049445553036286</v>
      </c>
      <c r="P93" s="72">
        <f t="shared" si="83"/>
        <v>0.16205056153668679</v>
      </c>
      <c r="Q93" s="72">
        <f t="shared" si="83"/>
        <v>0.13320565728089109</v>
      </c>
      <c r="R93" s="72">
        <f t="shared" si="83"/>
        <v>0.1192002426589682</v>
      </c>
      <c r="S93" s="72">
        <f t="shared" si="83"/>
        <v>0.13282175601878948</v>
      </c>
      <c r="T93" s="72">
        <f t="shared" si="83"/>
        <v>0.1639424860035591</v>
      </c>
      <c r="U93" s="72">
        <f t="shared" si="83"/>
        <v>0.16919282119678208</v>
      </c>
      <c r="V93" s="72">
        <f t="shared" si="83"/>
        <v>0.15912883212920825</v>
      </c>
      <c r="W93" s="72">
        <f t="shared" si="83"/>
        <v>0.17568205873430165</v>
      </c>
      <c r="X93" s="72">
        <f t="shared" ref="X93:Y93" si="84">IF(X85=0,0,X85/X$81)</f>
        <v>0.13898224193224831</v>
      </c>
      <c r="Y93" s="72">
        <f t="shared" si="84"/>
        <v>9.5680354106026072E-2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7.8523074186216721E-2</v>
      </c>
      <c r="C94" s="73">
        <f t="shared" ref="C94:W94" si="86">IF(C86=0,0,C86/C$81)</f>
        <v>6.0146509908291353E-2</v>
      </c>
      <c r="D94" s="73">
        <f t="shared" si="86"/>
        <v>4.269854314939546E-2</v>
      </c>
      <c r="E94" s="73">
        <f t="shared" si="86"/>
        <v>4.0909584243480145E-2</v>
      </c>
      <c r="F94" s="73">
        <f t="shared" si="86"/>
        <v>4.394450001276691E-2</v>
      </c>
      <c r="G94" s="73">
        <f t="shared" si="86"/>
        <v>4.1076923531539487E-2</v>
      </c>
      <c r="H94" s="73">
        <f t="shared" si="86"/>
        <v>3.3564856642097074E-2</v>
      </c>
      <c r="I94" s="73">
        <f t="shared" si="86"/>
        <v>0.10986955865000286</v>
      </c>
      <c r="J94" s="73">
        <f t="shared" si="86"/>
        <v>4.5669195959928022E-2</v>
      </c>
      <c r="K94" s="73">
        <f t="shared" si="86"/>
        <v>5.926572554544994E-2</v>
      </c>
      <c r="L94" s="73">
        <f t="shared" si="86"/>
        <v>7.2181394529752987E-2</v>
      </c>
      <c r="M94" s="73">
        <f t="shared" si="86"/>
        <v>4.0668344779397611E-2</v>
      </c>
      <c r="N94" s="73">
        <f t="shared" si="86"/>
        <v>9.6629671774827799E-2</v>
      </c>
      <c r="O94" s="73">
        <f t="shared" si="86"/>
        <v>8.4326606659656148E-2</v>
      </c>
      <c r="P94" s="73">
        <f t="shared" si="86"/>
        <v>0.12455318922651767</v>
      </c>
      <c r="Q94" s="73">
        <f t="shared" si="86"/>
        <v>0.12633418660517648</v>
      </c>
      <c r="R94" s="73">
        <f t="shared" si="86"/>
        <v>0.1114676795536223</v>
      </c>
      <c r="S94" s="73">
        <f t="shared" si="86"/>
        <v>0.13676641645432211</v>
      </c>
      <c r="T94" s="73">
        <f t="shared" si="86"/>
        <v>0.14416084385532124</v>
      </c>
      <c r="U94" s="73">
        <f t="shared" si="86"/>
        <v>0.18667033190665691</v>
      </c>
      <c r="V94" s="73">
        <f t="shared" si="86"/>
        <v>0.16133550771227545</v>
      </c>
      <c r="W94" s="73">
        <f t="shared" si="86"/>
        <v>0.16141122243343511</v>
      </c>
      <c r="X94" s="73">
        <f t="shared" ref="X94:Y94" si="87">IF(X86=0,0,X86/X$81)</f>
        <v>0.13763515405705515</v>
      </c>
      <c r="Y94" s="73">
        <f t="shared" si="87"/>
        <v>7.7105611453184328E-2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331377.98900205008</v>
      </c>
      <c r="C99" s="82">
        <f t="shared" ref="C99:W99" si="92">C47*11630*1000/C$8</f>
        <v>426126.42485099699</v>
      </c>
      <c r="D99" s="82">
        <f t="shared" si="92"/>
        <v>397738.9082686021</v>
      </c>
      <c r="E99" s="82">
        <f t="shared" si="92"/>
        <v>275201.13062532019</v>
      </c>
      <c r="F99" s="82">
        <f t="shared" si="92"/>
        <v>285181.41856532206</v>
      </c>
      <c r="G99" s="82">
        <f t="shared" si="92"/>
        <v>242816.53914035618</v>
      </c>
      <c r="H99" s="82">
        <f t="shared" si="92"/>
        <v>212763.01301791292</v>
      </c>
      <c r="I99" s="82">
        <f t="shared" si="92"/>
        <v>175329.27735671657</v>
      </c>
      <c r="J99" s="82">
        <f t="shared" si="92"/>
        <v>220108.23351858216</v>
      </c>
      <c r="K99" s="82">
        <f t="shared" si="92"/>
        <v>216249.25160355895</v>
      </c>
      <c r="L99" s="82">
        <f t="shared" si="92"/>
        <v>233097.12521076007</v>
      </c>
      <c r="M99" s="82">
        <f t="shared" si="92"/>
        <v>226200.92540677913</v>
      </c>
      <c r="N99" s="82">
        <f t="shared" si="92"/>
        <v>196313.44682220579</v>
      </c>
      <c r="O99" s="82">
        <f t="shared" si="92"/>
        <v>199709.60023180419</v>
      </c>
      <c r="P99" s="82">
        <f t="shared" si="92"/>
        <v>180661.55308972779</v>
      </c>
      <c r="Q99" s="82">
        <f t="shared" si="92"/>
        <v>190543.34404076476</v>
      </c>
      <c r="R99" s="82">
        <f t="shared" si="92"/>
        <v>202133.58693594232</v>
      </c>
      <c r="S99" s="82">
        <f t="shared" si="92"/>
        <v>195321.34919042053</v>
      </c>
      <c r="T99" s="82">
        <f t="shared" si="92"/>
        <v>192393.30856030324</v>
      </c>
      <c r="U99" s="82">
        <f t="shared" si="92"/>
        <v>183725.88534284662</v>
      </c>
      <c r="V99" s="82">
        <f t="shared" si="92"/>
        <v>167046.4141277821</v>
      </c>
      <c r="W99" s="82">
        <f t="shared" si="92"/>
        <v>163838.73805329122</v>
      </c>
      <c r="X99" s="82">
        <f t="shared" ref="X99:Y99" si="93">X47*11630*1000/X$8</f>
        <v>184448.3262350258</v>
      </c>
      <c r="Y99" s="82">
        <f t="shared" si="93"/>
        <v>183711.93600022423</v>
      </c>
      <c r="DA99" s="107"/>
    </row>
    <row r="100" spans="1:105" ht="12" customHeight="1" x14ac:dyDescent="0.25">
      <c r="A100" s="77" t="s">
        <v>36</v>
      </c>
      <c r="B100" s="64">
        <f t="shared" si="91"/>
        <v>282443.14549624221</v>
      </c>
      <c r="C100" s="64">
        <f t="shared" ref="C100:W100" si="94">C48*11630*1000/C$8</f>
        <v>376415.13536133891</v>
      </c>
      <c r="D100" s="64">
        <f t="shared" si="94"/>
        <v>347579.13762588665</v>
      </c>
      <c r="E100" s="64">
        <f t="shared" si="94"/>
        <v>224146.21836739837</v>
      </c>
      <c r="F100" s="64">
        <f t="shared" si="94"/>
        <v>233546.02699586313</v>
      </c>
      <c r="G100" s="64">
        <f t="shared" si="94"/>
        <v>190443.82154136332</v>
      </c>
      <c r="H100" s="64">
        <f t="shared" si="94"/>
        <v>160039.06081633465</v>
      </c>
      <c r="I100" s="64">
        <f t="shared" si="94"/>
        <v>122753.61562318659</v>
      </c>
      <c r="J100" s="64">
        <f t="shared" si="94"/>
        <v>167183.03260688105</v>
      </c>
      <c r="K100" s="64">
        <f t="shared" si="94"/>
        <v>162551.86685203749</v>
      </c>
      <c r="L100" s="64">
        <f t="shared" si="94"/>
        <v>178861.09181748843</v>
      </c>
      <c r="M100" s="64">
        <f t="shared" si="94"/>
        <v>171723.98753962354</v>
      </c>
      <c r="N100" s="64">
        <f t="shared" si="94"/>
        <v>141361.78466549568</v>
      </c>
      <c r="O100" s="64">
        <f t="shared" si="94"/>
        <v>144442.78257108817</v>
      </c>
      <c r="P100" s="64">
        <f t="shared" si="94"/>
        <v>125062.34141210034</v>
      </c>
      <c r="Q100" s="64">
        <f t="shared" si="94"/>
        <v>134173.47246957498</v>
      </c>
      <c r="R100" s="64">
        <f t="shared" si="94"/>
        <v>145668.97300179905</v>
      </c>
      <c r="S100" s="64">
        <f t="shared" si="94"/>
        <v>140645.32770528042</v>
      </c>
      <c r="T100" s="64">
        <f t="shared" si="94"/>
        <v>138894.77237891633</v>
      </c>
      <c r="U100" s="64">
        <f t="shared" si="94"/>
        <v>130997.53640390023</v>
      </c>
      <c r="V100" s="64">
        <f t="shared" si="94"/>
        <v>118478.68961980387</v>
      </c>
      <c r="W100" s="64">
        <f t="shared" si="94"/>
        <v>115056.35193590797</v>
      </c>
      <c r="X100" s="64">
        <f t="shared" ref="X100:Y100" si="95">X48*11630*1000/X$8</f>
        <v>136238.08552982655</v>
      </c>
      <c r="Y100" s="64">
        <f t="shared" si="95"/>
        <v>136386.43851047792</v>
      </c>
      <c r="DA100" s="108"/>
    </row>
    <row r="101" spans="1:105" ht="12" customHeight="1" x14ac:dyDescent="0.25">
      <c r="A101" s="61" t="s">
        <v>32</v>
      </c>
      <c r="B101" s="65">
        <f t="shared" si="91"/>
        <v>234901.71458008696</v>
      </c>
      <c r="C101" s="65">
        <f t="shared" ref="C101:W101" si="96">C49*11630*1000/C$8</f>
        <v>328052.51891859551</v>
      </c>
      <c r="D101" s="65">
        <f t="shared" si="96"/>
        <v>301817.59181956714</v>
      </c>
      <c r="E101" s="65">
        <f t="shared" si="96"/>
        <v>179628.86425705079</v>
      </c>
      <c r="F101" s="65">
        <f t="shared" si="96"/>
        <v>190374.70984498961</v>
      </c>
      <c r="G101" s="65">
        <f t="shared" si="96"/>
        <v>148255.24395239213</v>
      </c>
      <c r="H101" s="65">
        <f t="shared" si="96"/>
        <v>119073.36601461652</v>
      </c>
      <c r="I101" s="65">
        <f t="shared" si="96"/>
        <v>81762.435337737319</v>
      </c>
      <c r="J101" s="65">
        <f t="shared" si="96"/>
        <v>127940.91045929813</v>
      </c>
      <c r="K101" s="65">
        <f t="shared" si="96"/>
        <v>122578.31396880884</v>
      </c>
      <c r="L101" s="65">
        <f t="shared" si="96"/>
        <v>138028.2881322999</v>
      </c>
      <c r="M101" s="65">
        <f t="shared" si="96"/>
        <v>132142.38439126147</v>
      </c>
      <c r="N101" s="65">
        <f t="shared" si="96"/>
        <v>100298.23401315628</v>
      </c>
      <c r="O101" s="65">
        <f t="shared" si="96"/>
        <v>103423.46269379722</v>
      </c>
      <c r="P101" s="65">
        <f t="shared" si="96"/>
        <v>83815.737720950827</v>
      </c>
      <c r="Q101" s="65">
        <f t="shared" si="96"/>
        <v>91017.376346091027</v>
      </c>
      <c r="R101" s="65">
        <f t="shared" si="96"/>
        <v>102236.55595628959</v>
      </c>
      <c r="S101" s="65">
        <f t="shared" si="96"/>
        <v>97152.657173853542</v>
      </c>
      <c r="T101" s="65">
        <f t="shared" si="96"/>
        <v>95930.326552761704</v>
      </c>
      <c r="U101" s="65">
        <f t="shared" si="96"/>
        <v>87461.880818228368</v>
      </c>
      <c r="V101" s="65">
        <f t="shared" si="96"/>
        <v>77887.097863599934</v>
      </c>
      <c r="W101" s="65">
        <f t="shared" si="96"/>
        <v>75033.128993582897</v>
      </c>
      <c r="X101" s="65">
        <f t="shared" ref="X101:Y101" si="97">X49*11630*1000/X$8</f>
        <v>95733.978472457238</v>
      </c>
      <c r="Y101" s="65">
        <f t="shared" si="97"/>
        <v>97342.682906263653</v>
      </c>
      <c r="DA101" s="109"/>
    </row>
    <row r="102" spans="1:105" ht="12" customHeight="1" x14ac:dyDescent="0.25">
      <c r="A102" s="61" t="s">
        <v>31</v>
      </c>
      <c r="B102" s="65">
        <f t="shared" si="91"/>
        <v>1959.4312048717447</v>
      </c>
      <c r="C102" s="65">
        <f t="shared" ref="C102:W102" si="98">C50*11630*1000/C$8</f>
        <v>1934.0035422087622</v>
      </c>
      <c r="D102" s="65">
        <f t="shared" si="98"/>
        <v>1972.8920952122339</v>
      </c>
      <c r="E102" s="65">
        <f t="shared" si="98"/>
        <v>2526.9727589242766</v>
      </c>
      <c r="F102" s="65">
        <f t="shared" si="98"/>
        <v>2002.7269003006543</v>
      </c>
      <c r="G102" s="65">
        <f t="shared" si="98"/>
        <v>2045.9314320802464</v>
      </c>
      <c r="H102" s="65">
        <f t="shared" si="98"/>
        <v>2253.6392486669929</v>
      </c>
      <c r="I102" s="65">
        <f t="shared" si="98"/>
        <v>2221.8205982831487</v>
      </c>
      <c r="J102" s="65">
        <f t="shared" si="98"/>
        <v>2232.1681703418444</v>
      </c>
      <c r="K102" s="65">
        <f t="shared" si="98"/>
        <v>2279.2663837475461</v>
      </c>
      <c r="L102" s="65">
        <f t="shared" si="98"/>
        <v>2455.973002694202</v>
      </c>
      <c r="M102" s="65">
        <f t="shared" si="98"/>
        <v>2479.1822021132307</v>
      </c>
      <c r="N102" s="65">
        <f t="shared" si="98"/>
        <v>2789.9210931834496</v>
      </c>
      <c r="O102" s="65">
        <f t="shared" si="98"/>
        <v>2883.8945775277034</v>
      </c>
      <c r="P102" s="65">
        <f t="shared" si="98"/>
        <v>2315.2615371365091</v>
      </c>
      <c r="Q102" s="65">
        <f t="shared" si="98"/>
        <v>2823.1022138008261</v>
      </c>
      <c r="R102" s="65">
        <f t="shared" si="98"/>
        <v>2287.7797635468401</v>
      </c>
      <c r="S102" s="65">
        <f t="shared" si="98"/>
        <v>2653.5965917286694</v>
      </c>
      <c r="T102" s="65">
        <f t="shared" si="98"/>
        <v>2259.3948799563241</v>
      </c>
      <c r="U102" s="65">
        <f t="shared" si="98"/>
        <v>2364.4000451508987</v>
      </c>
      <c r="V102" s="65">
        <f t="shared" si="98"/>
        <v>2044.3472245477299</v>
      </c>
      <c r="W102" s="65">
        <f t="shared" si="98"/>
        <v>2214.7681093007823</v>
      </c>
      <c r="X102" s="65">
        <f t="shared" ref="X102:Y102" si="99">X50*11630*1000/X$8</f>
        <v>2313.1679806681723</v>
      </c>
      <c r="Y102" s="65">
        <f t="shared" si="99"/>
        <v>2213.409338792726</v>
      </c>
      <c r="DA102" s="109"/>
    </row>
    <row r="103" spans="1:105" ht="12" customHeight="1" x14ac:dyDescent="0.25">
      <c r="A103" s="61" t="s">
        <v>35</v>
      </c>
      <c r="B103" s="65">
        <f t="shared" si="91"/>
        <v>22102.143144654841</v>
      </c>
      <c r="C103" s="65">
        <f t="shared" ref="C103:W103" si="100">C51*11630*1000/C$8</f>
        <v>21493.721309858629</v>
      </c>
      <c r="D103" s="65">
        <f t="shared" si="100"/>
        <v>21035.604499137804</v>
      </c>
      <c r="E103" s="65">
        <f t="shared" si="100"/>
        <v>20981.361338130457</v>
      </c>
      <c r="F103" s="65">
        <f t="shared" si="100"/>
        <v>20511.728296962898</v>
      </c>
      <c r="G103" s="65">
        <f t="shared" si="100"/>
        <v>20297.911524040766</v>
      </c>
      <c r="H103" s="65">
        <f t="shared" si="100"/>
        <v>19833.175530532888</v>
      </c>
      <c r="I103" s="65">
        <f t="shared" si="100"/>
        <v>19326.31808864131</v>
      </c>
      <c r="J103" s="65">
        <f t="shared" si="100"/>
        <v>18924.07856065021</v>
      </c>
      <c r="K103" s="65">
        <f t="shared" si="100"/>
        <v>19120.423419998882</v>
      </c>
      <c r="L103" s="65">
        <f t="shared" si="100"/>
        <v>19208.748093052491</v>
      </c>
      <c r="M103" s="65">
        <f t="shared" si="100"/>
        <v>18678.43350881042</v>
      </c>
      <c r="N103" s="65">
        <f t="shared" si="100"/>
        <v>18667.825620220658</v>
      </c>
      <c r="O103" s="65">
        <f t="shared" si="100"/>
        <v>18614.750763211992</v>
      </c>
      <c r="P103" s="65">
        <f t="shared" si="100"/>
        <v>18765.988230502917</v>
      </c>
      <c r="Q103" s="65">
        <f t="shared" si="100"/>
        <v>18966.745636837404</v>
      </c>
      <c r="R103" s="65">
        <f t="shared" si="100"/>
        <v>19196.533059264464</v>
      </c>
      <c r="S103" s="65">
        <f t="shared" si="100"/>
        <v>18709.089672921968</v>
      </c>
      <c r="T103" s="65">
        <f t="shared" si="100"/>
        <v>18405.930412231508</v>
      </c>
      <c r="U103" s="65">
        <f t="shared" si="100"/>
        <v>18328.834106495433</v>
      </c>
      <c r="V103" s="65">
        <f t="shared" si="100"/>
        <v>17417.752881783079</v>
      </c>
      <c r="W103" s="65">
        <f t="shared" si="100"/>
        <v>17203.539480057869</v>
      </c>
      <c r="X103" s="65">
        <f t="shared" ref="X103:Y103" si="101">X51*11630*1000/X$8</f>
        <v>17297.877305896123</v>
      </c>
      <c r="Y103" s="65">
        <f t="shared" si="101"/>
        <v>17114.191476483054</v>
      </c>
      <c r="DA103" s="109"/>
    </row>
    <row r="104" spans="1:105" ht="12" customHeight="1" x14ac:dyDescent="0.25">
      <c r="A104" s="66" t="s">
        <v>34</v>
      </c>
      <c r="B104" s="67">
        <f t="shared" si="91"/>
        <v>23479.856566628649</v>
      </c>
      <c r="C104" s="67">
        <f t="shared" ref="C104:W104" si="102">C52*11630*1000/C$8</f>
        <v>24934.891590676063</v>
      </c>
      <c r="D104" s="67">
        <f t="shared" si="102"/>
        <v>22753.04921196945</v>
      </c>
      <c r="E104" s="67">
        <f t="shared" si="102"/>
        <v>21009.020013292884</v>
      </c>
      <c r="F104" s="67">
        <f t="shared" si="102"/>
        <v>20656.86195360995</v>
      </c>
      <c r="G104" s="67">
        <f t="shared" si="102"/>
        <v>19844.73463285013</v>
      </c>
      <c r="H104" s="67">
        <f t="shared" si="102"/>
        <v>18878.880022518264</v>
      </c>
      <c r="I104" s="67">
        <f t="shared" si="102"/>
        <v>19443.041598524822</v>
      </c>
      <c r="J104" s="67">
        <f t="shared" si="102"/>
        <v>18085.875416590861</v>
      </c>
      <c r="K104" s="67">
        <f t="shared" si="102"/>
        <v>18573.863079482253</v>
      </c>
      <c r="L104" s="67">
        <f t="shared" si="102"/>
        <v>19168.082589441896</v>
      </c>
      <c r="M104" s="67">
        <f t="shared" si="102"/>
        <v>18423.987437438438</v>
      </c>
      <c r="N104" s="67">
        <f t="shared" si="102"/>
        <v>19605.803938935282</v>
      </c>
      <c r="O104" s="67">
        <f t="shared" si="102"/>
        <v>19520.674536551243</v>
      </c>
      <c r="P104" s="67">
        <f t="shared" si="102"/>
        <v>20165.353923510091</v>
      </c>
      <c r="Q104" s="67">
        <f t="shared" si="102"/>
        <v>21366.248272845696</v>
      </c>
      <c r="R104" s="67">
        <f t="shared" si="102"/>
        <v>21948.104222698166</v>
      </c>
      <c r="S104" s="67">
        <f t="shared" si="102"/>
        <v>22129.984266776239</v>
      </c>
      <c r="T104" s="67">
        <f t="shared" si="102"/>
        <v>22299.12053396679</v>
      </c>
      <c r="U104" s="67">
        <f t="shared" si="102"/>
        <v>22842.421434025535</v>
      </c>
      <c r="V104" s="67">
        <f t="shared" si="102"/>
        <v>21129.491649873125</v>
      </c>
      <c r="W104" s="67">
        <f t="shared" si="102"/>
        <v>20604.915352966393</v>
      </c>
      <c r="X104" s="67">
        <f t="shared" ref="X104:Y104" si="103">X52*11630*1000/X$8</f>
        <v>20893.061770805027</v>
      </c>
      <c r="Y104" s="67">
        <f t="shared" si="103"/>
        <v>19716.154788938482</v>
      </c>
      <c r="DA104" s="110"/>
    </row>
    <row r="105" spans="1:105" ht="12" customHeight="1" x14ac:dyDescent="0.25">
      <c r="A105" s="78" t="s">
        <v>33</v>
      </c>
      <c r="B105" s="68">
        <f t="shared" si="91"/>
        <v>48934.843505807847</v>
      </c>
      <c r="C105" s="68">
        <f t="shared" ref="C105:W105" si="104">C53*11630*1000/C$8</f>
        <v>49711.289489658076</v>
      </c>
      <c r="D105" s="68">
        <f t="shared" si="104"/>
        <v>50159.770642715477</v>
      </c>
      <c r="E105" s="68">
        <f t="shared" si="104"/>
        <v>51054.912257921787</v>
      </c>
      <c r="F105" s="68">
        <f t="shared" si="104"/>
        <v>51635.391569458916</v>
      </c>
      <c r="G105" s="68">
        <f t="shared" si="104"/>
        <v>52372.717598992887</v>
      </c>
      <c r="H105" s="68">
        <f t="shared" si="104"/>
        <v>52723.952201578257</v>
      </c>
      <c r="I105" s="68">
        <f t="shared" si="104"/>
        <v>52575.661733529989</v>
      </c>
      <c r="J105" s="68">
        <f t="shared" si="104"/>
        <v>52925.200911701148</v>
      </c>
      <c r="K105" s="68">
        <f t="shared" si="104"/>
        <v>53697.384751521487</v>
      </c>
      <c r="L105" s="68">
        <f t="shared" si="104"/>
        <v>54236.033393271609</v>
      </c>
      <c r="M105" s="68">
        <f t="shared" si="104"/>
        <v>54476.937867155568</v>
      </c>
      <c r="N105" s="68">
        <f t="shared" si="104"/>
        <v>54951.66215671011</v>
      </c>
      <c r="O105" s="68">
        <f t="shared" si="104"/>
        <v>55266.817660715991</v>
      </c>
      <c r="P105" s="68">
        <f t="shared" si="104"/>
        <v>55599.211677627463</v>
      </c>
      <c r="Q105" s="68">
        <f t="shared" si="104"/>
        <v>56369.871571189782</v>
      </c>
      <c r="R105" s="68">
        <f t="shared" si="104"/>
        <v>56464.613934143264</v>
      </c>
      <c r="S105" s="68">
        <f t="shared" si="104"/>
        <v>54676.021485140096</v>
      </c>
      <c r="T105" s="68">
        <f t="shared" si="104"/>
        <v>53498.536181386924</v>
      </c>
      <c r="U105" s="68">
        <f t="shared" si="104"/>
        <v>52728.348938946379</v>
      </c>
      <c r="V105" s="68">
        <f t="shared" si="104"/>
        <v>48567.724507978215</v>
      </c>
      <c r="W105" s="68">
        <f t="shared" si="104"/>
        <v>48782.386117383277</v>
      </c>
      <c r="X105" s="68">
        <f t="shared" ref="X105:Y105" si="105">X53*11630*1000/X$8</f>
        <v>48210.240705199249</v>
      </c>
      <c r="Y105" s="68">
        <f t="shared" si="105"/>
        <v>47325.497489746311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168269.96789841761</v>
      </c>
      <c r="C107" s="85">
        <f t="shared" ref="C107:W107" si="107">SUM(C108:C111)</f>
        <v>215512.59336532422</v>
      </c>
      <c r="D107" s="85">
        <f t="shared" si="107"/>
        <v>207413.13105477134</v>
      </c>
      <c r="E107" s="85">
        <f t="shared" si="107"/>
        <v>134108.30905916201</v>
      </c>
      <c r="F107" s="85">
        <f t="shared" si="107"/>
        <v>142106.39641893617</v>
      </c>
      <c r="G107" s="85">
        <f t="shared" si="107"/>
        <v>116702.7705968581</v>
      </c>
      <c r="H107" s="85">
        <f t="shared" si="107"/>
        <v>102258.36478543788</v>
      </c>
      <c r="I107" s="85">
        <f t="shared" si="107"/>
        <v>81821.46078556453</v>
      </c>
      <c r="J107" s="85">
        <f t="shared" si="107"/>
        <v>109176.72528665913</v>
      </c>
      <c r="K107" s="85">
        <f t="shared" si="107"/>
        <v>107930.18704094259</v>
      </c>
      <c r="L107" s="85">
        <f t="shared" si="107"/>
        <v>121191.25701983683</v>
      </c>
      <c r="M107" s="85">
        <f t="shared" si="107"/>
        <v>120600.39425949147</v>
      </c>
      <c r="N107" s="85">
        <f t="shared" si="107"/>
        <v>104246.45857002219</v>
      </c>
      <c r="O107" s="85">
        <f t="shared" si="107"/>
        <v>108236.63945474429</v>
      </c>
      <c r="P107" s="85">
        <f t="shared" si="107"/>
        <v>94566.033338981113</v>
      </c>
      <c r="Q107" s="85">
        <f t="shared" si="107"/>
        <v>102633.23834251394</v>
      </c>
      <c r="R107" s="85">
        <f t="shared" si="107"/>
        <v>109954.18573393655</v>
      </c>
      <c r="S107" s="85">
        <f t="shared" si="107"/>
        <v>111425.90793980581</v>
      </c>
      <c r="T107" s="85">
        <f t="shared" si="107"/>
        <v>111224.89654178028</v>
      </c>
      <c r="U107" s="85">
        <f t="shared" si="107"/>
        <v>107065.42555099906</v>
      </c>
      <c r="V107" s="85">
        <f t="shared" si="107"/>
        <v>97642.709786969441</v>
      </c>
      <c r="W107" s="85">
        <f t="shared" si="107"/>
        <v>98913.009898464603</v>
      </c>
      <c r="X107" s="85">
        <f t="shared" ref="X107:Y107" si="108">SUM(X108:X111)</f>
        <v>114603.91376539726</v>
      </c>
      <c r="Y107" s="85">
        <f t="shared" si="108"/>
        <v>117615.72511593663</v>
      </c>
      <c r="DA107" s="117"/>
    </row>
    <row r="108" spans="1:105" ht="12" customHeight="1" x14ac:dyDescent="0.25">
      <c r="A108" s="61" t="s">
        <v>32</v>
      </c>
      <c r="B108" s="65">
        <v>136577.16477771287</v>
      </c>
      <c r="C108" s="65">
        <v>183292.35439896298</v>
      </c>
      <c r="D108" s="65">
        <v>175373.03787519844</v>
      </c>
      <c r="E108" s="65">
        <v>101559.72497434271</v>
      </c>
      <c r="F108" s="65">
        <v>110953.45181339174</v>
      </c>
      <c r="G108" s="65">
        <v>85601.986961330753</v>
      </c>
      <c r="H108" s="65">
        <v>70956.27578859833</v>
      </c>
      <c r="I108" s="65">
        <v>51060.68911419659</v>
      </c>
      <c r="J108" s="65">
        <v>78517.524390618404</v>
      </c>
      <c r="K108" s="65">
        <v>76635.727622079445</v>
      </c>
      <c r="L108" s="65">
        <v>88924.341327146729</v>
      </c>
      <c r="M108" s="65">
        <v>87691.929470429066</v>
      </c>
      <c r="N108" s="65">
        <v>69581.093870606783</v>
      </c>
      <c r="O108" s="65">
        <v>72540.627444702695</v>
      </c>
      <c r="P108" s="65">
        <v>59593.793588139473</v>
      </c>
      <c r="Q108" s="65">
        <v>64613.64340354874</v>
      </c>
      <c r="R108" s="65">
        <v>72588.071507222543</v>
      </c>
      <c r="S108" s="65">
        <v>72151.621918266464</v>
      </c>
      <c r="T108" s="65">
        <v>72837.049316599587</v>
      </c>
      <c r="U108" s="65">
        <v>67702.682065899309</v>
      </c>
      <c r="V108" s="65">
        <v>60589.68783635179</v>
      </c>
      <c r="W108" s="65">
        <v>60606.162000175304</v>
      </c>
      <c r="X108" s="65">
        <v>75200.035623621268</v>
      </c>
      <c r="Y108" s="65">
        <v>78478.280050945657</v>
      </c>
      <c r="DA108" s="109"/>
    </row>
    <row r="109" spans="1:105" ht="12" customHeight="1" x14ac:dyDescent="0.25">
      <c r="A109" s="61" t="s">
        <v>31</v>
      </c>
      <c r="B109" s="65">
        <v>3439.8814760295686</v>
      </c>
      <c r="C109" s="65">
        <v>3516.2765830885337</v>
      </c>
      <c r="D109" s="65">
        <v>3755.0948638985337</v>
      </c>
      <c r="E109" s="65">
        <v>5015.562567011375</v>
      </c>
      <c r="F109" s="65">
        <v>4162.671562880776</v>
      </c>
      <c r="G109" s="65">
        <v>4456.1409106418505</v>
      </c>
      <c r="H109" s="65">
        <v>5178.3680652406974</v>
      </c>
      <c r="I109" s="65">
        <v>5389.2731508891966</v>
      </c>
      <c r="J109" s="65">
        <v>5703.4403434896385</v>
      </c>
      <c r="K109" s="65">
        <v>5924.9547098581925</v>
      </c>
      <c r="L109" s="65">
        <v>6550.7347244763641</v>
      </c>
      <c r="M109" s="65">
        <v>6836.9666046660141</v>
      </c>
      <c r="N109" s="65">
        <v>7953.1538346958514</v>
      </c>
      <c r="O109" s="65">
        <v>8514.2745848086997</v>
      </c>
      <c r="P109" s="65">
        <v>7100.4150372097301</v>
      </c>
      <c r="Q109" s="65">
        <v>8982.0148801397554</v>
      </c>
      <c r="R109" s="65">
        <v>7582.9762728942796</v>
      </c>
      <c r="S109" s="65">
        <v>9101.3679550938541</v>
      </c>
      <c r="T109" s="65">
        <v>7983.8684960947821</v>
      </c>
      <c r="U109" s="65">
        <v>8547.9638443780113</v>
      </c>
      <c r="V109" s="65">
        <v>7564.8425065865413</v>
      </c>
      <c r="W109" s="65">
        <v>8367.2920677326038</v>
      </c>
      <c r="X109" s="65">
        <v>8882.8200755879388</v>
      </c>
      <c r="Y109" s="65">
        <v>8609.7152107328911</v>
      </c>
      <c r="DA109" s="109"/>
    </row>
    <row r="110" spans="1:105" ht="12" customHeight="1" x14ac:dyDescent="0.25">
      <c r="A110" s="61" t="s">
        <v>35</v>
      </c>
      <c r="B110" s="65">
        <v>12844.329367984934</v>
      </c>
      <c r="C110" s="65">
        <v>12647.826650592371</v>
      </c>
      <c r="D110" s="65">
        <v>12408.834372437472</v>
      </c>
      <c r="E110" s="65">
        <v>12309.783840733684</v>
      </c>
      <c r="F110" s="65">
        <v>12098.526102656995</v>
      </c>
      <c r="G110" s="65">
        <v>12055.418781759778</v>
      </c>
      <c r="H110" s="65">
        <v>11823.115136556771</v>
      </c>
      <c r="I110" s="65">
        <v>11566.646516831339</v>
      </c>
      <c r="J110" s="65">
        <v>11499.90007149737</v>
      </c>
      <c r="K110" s="65">
        <v>11756.326684051213</v>
      </c>
      <c r="L110" s="65">
        <v>11978.121356594516</v>
      </c>
      <c r="M110" s="65">
        <v>12023.034959651664</v>
      </c>
      <c r="N110" s="65">
        <v>12244.467166759961</v>
      </c>
      <c r="O110" s="65">
        <v>12553.092308709352</v>
      </c>
      <c r="P110" s="65">
        <v>12934.957208388088</v>
      </c>
      <c r="Q110" s="65">
        <v>13269.949856085055</v>
      </c>
      <c r="R110" s="65">
        <v>13510.331211758603</v>
      </c>
      <c r="S110" s="65">
        <v>13565.381271906677</v>
      </c>
      <c r="T110" s="65">
        <v>13493.692491688944</v>
      </c>
      <c r="U110" s="65">
        <v>13700.943077120046</v>
      </c>
      <c r="V110" s="65">
        <v>13341.35384927397</v>
      </c>
      <c r="W110" s="65">
        <v>13593.574743265566</v>
      </c>
      <c r="X110" s="65">
        <v>13956.189956725886</v>
      </c>
      <c r="Y110" s="65">
        <v>14211.634482979975</v>
      </c>
      <c r="DA110" s="109"/>
    </row>
    <row r="111" spans="1:105" ht="12" customHeight="1" x14ac:dyDescent="0.25">
      <c r="A111" s="74" t="s">
        <v>34</v>
      </c>
      <c r="B111" s="68">
        <v>15408.592276690231</v>
      </c>
      <c r="C111" s="68">
        <v>16056.135732680339</v>
      </c>
      <c r="D111" s="68">
        <v>15876.163943236908</v>
      </c>
      <c r="E111" s="68">
        <v>15223.23767707423</v>
      </c>
      <c r="F111" s="68">
        <v>14891.74694000666</v>
      </c>
      <c r="G111" s="68">
        <v>14589.223943125728</v>
      </c>
      <c r="H111" s="68">
        <v>14300.605795042093</v>
      </c>
      <c r="I111" s="68">
        <v>13804.8520036474</v>
      </c>
      <c r="J111" s="68">
        <v>13455.860481053725</v>
      </c>
      <c r="K111" s="68">
        <v>13613.178024953739</v>
      </c>
      <c r="L111" s="68">
        <v>13738.059611619214</v>
      </c>
      <c r="M111" s="68">
        <v>14048.463224744737</v>
      </c>
      <c r="N111" s="68">
        <v>14467.743697959599</v>
      </c>
      <c r="O111" s="68">
        <v>14628.645116523527</v>
      </c>
      <c r="P111" s="68">
        <v>14936.867505243825</v>
      </c>
      <c r="Q111" s="68">
        <v>15767.630202740402</v>
      </c>
      <c r="R111" s="68">
        <v>16272.806742061141</v>
      </c>
      <c r="S111" s="68">
        <v>16607.536794538817</v>
      </c>
      <c r="T111" s="68">
        <v>16910.286237396966</v>
      </c>
      <c r="U111" s="68">
        <v>17113.836563601701</v>
      </c>
      <c r="V111" s="68">
        <v>16146.825594757127</v>
      </c>
      <c r="W111" s="68">
        <v>16345.981087291126</v>
      </c>
      <c r="X111" s="68">
        <v>16564.868109462172</v>
      </c>
      <c r="Y111" s="68">
        <v>16316.095371278108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45855.865104346791</v>
      </c>
      <c r="C113" s="82">
        <f t="shared" ref="C113:W113" si="110">C81*1000000/C$8</f>
        <v>68893.657781019137</v>
      </c>
      <c r="D113" s="82">
        <f t="shared" si="110"/>
        <v>56417.526935753529</v>
      </c>
      <c r="E113" s="82">
        <f t="shared" si="110"/>
        <v>39515.010967186216</v>
      </c>
      <c r="F113" s="82">
        <f t="shared" si="110"/>
        <v>38777.572127605425</v>
      </c>
      <c r="G113" s="82">
        <f t="shared" si="110"/>
        <v>32856.918559890364</v>
      </c>
      <c r="H113" s="82">
        <f t="shared" si="110"/>
        <v>25661.674205799543</v>
      </c>
      <c r="I113" s="82">
        <f t="shared" si="110"/>
        <v>17786.80883775654</v>
      </c>
      <c r="J113" s="82">
        <f t="shared" si="110"/>
        <v>25678.419445840831</v>
      </c>
      <c r="K113" s="82">
        <f t="shared" si="110"/>
        <v>24377.582311027127</v>
      </c>
      <c r="L113" s="82">
        <f t="shared" si="110"/>
        <v>25899.083785540497</v>
      </c>
      <c r="M113" s="82">
        <f t="shared" si="110"/>
        <v>21573.059834295742</v>
      </c>
      <c r="N113" s="82">
        <f t="shared" si="110"/>
        <v>15283.170451652742</v>
      </c>
      <c r="O113" s="82">
        <f t="shared" si="110"/>
        <v>15022.397174827705</v>
      </c>
      <c r="P113" s="82">
        <f t="shared" si="110"/>
        <v>12268.787877037068</v>
      </c>
      <c r="Q113" s="82">
        <f t="shared" si="110"/>
        <v>13783.400801778042</v>
      </c>
      <c r="R113" s="82">
        <f t="shared" si="110"/>
        <v>15935.092172452394</v>
      </c>
      <c r="S113" s="82">
        <f t="shared" si="110"/>
        <v>12452.210404668462</v>
      </c>
      <c r="T113" s="82">
        <f t="shared" si="110"/>
        <v>11750.197731194054</v>
      </c>
      <c r="U113" s="82">
        <f t="shared" si="110"/>
        <v>11149.271402127235</v>
      </c>
      <c r="V113" s="82">
        <f t="shared" si="110"/>
        <v>10764.816569391267</v>
      </c>
      <c r="W113" s="82">
        <f t="shared" si="110"/>
        <v>8070.8176249645312</v>
      </c>
      <c r="X113" s="82">
        <f t="shared" ref="X113:Y113" si="111">X81*1000000/X$8</f>
        <v>10789.357854615399</v>
      </c>
      <c r="Y113" s="82">
        <f t="shared" si="111"/>
        <v>12444.006869580815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45855.865104346791</v>
      </c>
      <c r="C114" s="64">
        <f t="shared" ref="C114:W114" si="113">C82*1000000/C$8</f>
        <v>68893.657781019137</v>
      </c>
      <c r="D114" s="64">
        <f t="shared" si="113"/>
        <v>56417.526935753529</v>
      </c>
      <c r="E114" s="64">
        <f t="shared" si="113"/>
        <v>39515.010967186216</v>
      </c>
      <c r="F114" s="64">
        <f t="shared" si="113"/>
        <v>38777.572127605425</v>
      </c>
      <c r="G114" s="64">
        <f t="shared" si="113"/>
        <v>32856.918559890364</v>
      </c>
      <c r="H114" s="64">
        <f t="shared" si="113"/>
        <v>25661.674205799543</v>
      </c>
      <c r="I114" s="64">
        <f t="shared" si="113"/>
        <v>17786.80883775654</v>
      </c>
      <c r="J114" s="64">
        <f t="shared" si="113"/>
        <v>25678.419445840831</v>
      </c>
      <c r="K114" s="64">
        <f t="shared" si="113"/>
        <v>24377.582311027127</v>
      </c>
      <c r="L114" s="64">
        <f t="shared" si="113"/>
        <v>25899.083785540497</v>
      </c>
      <c r="M114" s="64">
        <f t="shared" si="113"/>
        <v>21573.059834295742</v>
      </c>
      <c r="N114" s="64">
        <f t="shared" si="113"/>
        <v>15283.170451652742</v>
      </c>
      <c r="O114" s="64">
        <f t="shared" si="113"/>
        <v>15022.397174827705</v>
      </c>
      <c r="P114" s="64">
        <f t="shared" si="113"/>
        <v>12268.787877037068</v>
      </c>
      <c r="Q114" s="64">
        <f t="shared" si="113"/>
        <v>13783.400801778042</v>
      </c>
      <c r="R114" s="64">
        <f t="shared" si="113"/>
        <v>15935.092172452394</v>
      </c>
      <c r="S114" s="64">
        <f t="shared" si="113"/>
        <v>12452.210404668462</v>
      </c>
      <c r="T114" s="64">
        <f t="shared" si="113"/>
        <v>11750.197731194054</v>
      </c>
      <c r="U114" s="64">
        <f t="shared" si="113"/>
        <v>11149.271402127235</v>
      </c>
      <c r="V114" s="64">
        <f t="shared" si="113"/>
        <v>10764.816569391267</v>
      </c>
      <c r="W114" s="64">
        <f t="shared" si="113"/>
        <v>8070.8176249645312</v>
      </c>
      <c r="X114" s="64">
        <f t="shared" ref="X114:Y114" si="114">X82*1000000/X$8</f>
        <v>10789.357854615399</v>
      </c>
      <c r="Y114" s="64">
        <f t="shared" si="114"/>
        <v>12444.006869580815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37762.776014319054</v>
      </c>
      <c r="C115" s="65">
        <f t="shared" ref="C115:W115" si="116">C83*1000000/C$8</f>
        <v>60461.610224886535</v>
      </c>
      <c r="D115" s="65">
        <f t="shared" si="116"/>
        <v>49852.708983984347</v>
      </c>
      <c r="E115" s="65">
        <f t="shared" si="116"/>
        <v>33604.777984036962</v>
      </c>
      <c r="F115" s="65">
        <f t="shared" si="116"/>
        <v>32913.040853260631</v>
      </c>
      <c r="G115" s="65">
        <f t="shared" si="116"/>
        <v>27489.473632225181</v>
      </c>
      <c r="H115" s="65">
        <f t="shared" si="116"/>
        <v>20918.740964993787</v>
      </c>
      <c r="I115" s="65">
        <f t="shared" si="116"/>
        <v>12028.337675171106</v>
      </c>
      <c r="J115" s="65">
        <f t="shared" si="116"/>
        <v>21015.334070285098</v>
      </c>
      <c r="K115" s="65">
        <f t="shared" si="116"/>
        <v>19501.879812326093</v>
      </c>
      <c r="L115" s="65">
        <f t="shared" si="116"/>
        <v>20698.881657912752</v>
      </c>
      <c r="M115" s="65">
        <f t="shared" si="116"/>
        <v>17902.669418646012</v>
      </c>
      <c r="N115" s="65">
        <f t="shared" si="116"/>
        <v>11207.518208993723</v>
      </c>
      <c r="O115" s="65">
        <f t="shared" si="116"/>
        <v>11494.821913594322</v>
      </c>
      <c r="P115" s="65">
        <f t="shared" si="116"/>
        <v>8752.507254160113</v>
      </c>
      <c r="Q115" s="65">
        <f t="shared" si="116"/>
        <v>10206.059109465468</v>
      </c>
      <c r="R115" s="65">
        <f t="shared" si="116"/>
        <v>12259.377570766685</v>
      </c>
      <c r="S115" s="65">
        <f t="shared" si="116"/>
        <v>9095.2417584232244</v>
      </c>
      <c r="T115" s="65">
        <f t="shared" si="116"/>
        <v>8129.9226837129054</v>
      </c>
      <c r="U115" s="65">
        <f t="shared" si="116"/>
        <v>7181.6565261602373</v>
      </c>
      <c r="V115" s="65">
        <f t="shared" si="116"/>
        <v>7315.0767339666318</v>
      </c>
      <c r="W115" s="65">
        <f t="shared" si="116"/>
        <v>5350.1992300588372</v>
      </c>
      <c r="X115" s="65">
        <f t="shared" ref="X115:Y115" si="117">X83*1000000/X$8</f>
        <v>7804.8337804749499</v>
      </c>
      <c r="Y115" s="65">
        <f t="shared" si="117"/>
        <v>10293.857127194846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4492.3455925659709</v>
      </c>
      <c r="C117" s="65">
        <f t="shared" ref="C117:W117" si="122">C85*1000000/C$8</f>
        <v>4288.3344857880975</v>
      </c>
      <c r="D117" s="65">
        <f t="shared" si="122"/>
        <v>4155.8717435207336</v>
      </c>
      <c r="E117" s="65">
        <f t="shared" si="122"/>
        <v>4293.6903131051067</v>
      </c>
      <c r="F117" s="65">
        <f t="shared" si="122"/>
        <v>4160.4702554881678</v>
      </c>
      <c r="G117" s="65">
        <f t="shared" si="122"/>
        <v>4017.7837964985497</v>
      </c>
      <c r="H117" s="65">
        <f t="shared" si="122"/>
        <v>3881.6028248918919</v>
      </c>
      <c r="I117" s="65">
        <f t="shared" si="122"/>
        <v>3804.242325789151</v>
      </c>
      <c r="J117" s="65">
        <f t="shared" si="122"/>
        <v>3490.3726059423984</v>
      </c>
      <c r="K117" s="65">
        <f t="shared" si="122"/>
        <v>3430.9473959940879</v>
      </c>
      <c r="L117" s="65">
        <f t="shared" si="122"/>
        <v>3330.7701429445224</v>
      </c>
      <c r="M117" s="65">
        <f t="shared" si="122"/>
        <v>2793.0497803620151</v>
      </c>
      <c r="N117" s="65">
        <f t="shared" si="122"/>
        <v>2598.8444982370675</v>
      </c>
      <c r="O117" s="65">
        <f t="shared" si="122"/>
        <v>2260.7874835865564</v>
      </c>
      <c r="P117" s="65">
        <f t="shared" si="122"/>
        <v>1988.1639648483522</v>
      </c>
      <c r="Q117" s="65">
        <f t="shared" si="122"/>
        <v>1836.0269633668051</v>
      </c>
      <c r="R117" s="65">
        <f t="shared" si="122"/>
        <v>1899.4668537493501</v>
      </c>
      <c r="S117" s="65">
        <f t="shared" si="122"/>
        <v>1653.9244522635063</v>
      </c>
      <c r="T117" s="65">
        <f t="shared" si="122"/>
        <v>1926.3566270853332</v>
      </c>
      <c r="U117" s="65">
        <f t="shared" si="122"/>
        <v>1886.3766828145092</v>
      </c>
      <c r="V117" s="65">
        <f t="shared" si="122"/>
        <v>1712.9926887723827</v>
      </c>
      <c r="W117" s="65">
        <f t="shared" si="122"/>
        <v>1417.8978560228559</v>
      </c>
      <c r="X117" s="65">
        <f t="shared" ref="X117:Y117" si="123">X85*1000000/X$8</f>
        <v>1499.529143643761</v>
      </c>
      <c r="Y117" s="65">
        <f t="shared" si="123"/>
        <v>1190.6469837793134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3600.7434974617695</v>
      </c>
      <c r="C118" s="67">
        <f t="shared" ref="C118:W118" si="125">C86*1000000/C$8</f>
        <v>4143.7130703445018</v>
      </c>
      <c r="D118" s="67">
        <f t="shared" si="125"/>
        <v>2408.9462082484529</v>
      </c>
      <c r="E118" s="67">
        <f t="shared" si="125"/>
        <v>1616.5426700441465</v>
      </c>
      <c r="F118" s="67">
        <f t="shared" si="125"/>
        <v>1704.0610188566266</v>
      </c>
      <c r="G118" s="67">
        <f t="shared" si="125"/>
        <v>1349.6611311666372</v>
      </c>
      <c r="H118" s="67">
        <f t="shared" si="125"/>
        <v>861.33041591386211</v>
      </c>
      <c r="I118" s="67">
        <f t="shared" si="125"/>
        <v>1954.2288367962813</v>
      </c>
      <c r="J118" s="67">
        <f t="shared" si="125"/>
        <v>1172.7127696133311</v>
      </c>
      <c r="K118" s="67">
        <f t="shared" si="125"/>
        <v>1444.7551027069492</v>
      </c>
      <c r="L118" s="67">
        <f t="shared" si="125"/>
        <v>1869.431984683227</v>
      </c>
      <c r="M118" s="67">
        <f t="shared" si="125"/>
        <v>877.34063528771367</v>
      </c>
      <c r="N118" s="67">
        <f t="shared" si="125"/>
        <v>1476.8077444219512</v>
      </c>
      <c r="O118" s="67">
        <f t="shared" si="125"/>
        <v>1266.7877776468256</v>
      </c>
      <c r="P118" s="67">
        <f t="shared" si="125"/>
        <v>1528.116658028604</v>
      </c>
      <c r="Q118" s="67">
        <f t="shared" si="125"/>
        <v>1741.3147289457661</v>
      </c>
      <c r="R118" s="67">
        <f t="shared" si="125"/>
        <v>1776.2477479363586</v>
      </c>
      <c r="S118" s="67">
        <f t="shared" si="125"/>
        <v>1703.0441939817297</v>
      </c>
      <c r="T118" s="67">
        <f t="shared" si="125"/>
        <v>1693.9184203958162</v>
      </c>
      <c r="U118" s="67">
        <f t="shared" si="125"/>
        <v>2081.2381931524887</v>
      </c>
      <c r="V118" s="67">
        <f t="shared" si="125"/>
        <v>1736.7471466522557</v>
      </c>
      <c r="W118" s="67">
        <f t="shared" si="125"/>
        <v>1302.7205388828386</v>
      </c>
      <c r="X118" s="67">
        <f t="shared" ref="X118:Y118" si="126">X86*1000000/X$8</f>
        <v>1484.9949304966885</v>
      </c>
      <c r="Y118" s="67">
        <f t="shared" si="126"/>
        <v>959.50275860665488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0.59576580484108921</v>
      </c>
      <c r="C121" s="86">
        <f t="shared" ref="C121:W121" si="131">IF(C107=0,"",C107/C100)</f>
        <v>0.5725396593270442</v>
      </c>
      <c r="D121" s="86">
        <f t="shared" si="131"/>
        <v>0.59673642230512236</v>
      </c>
      <c r="E121" s="86">
        <f t="shared" si="131"/>
        <v>0.59830725691452402</v>
      </c>
      <c r="F121" s="86">
        <f t="shared" si="131"/>
        <v>0.60847276336434253</v>
      </c>
      <c r="G121" s="86">
        <f t="shared" si="131"/>
        <v>0.61279368189695205</v>
      </c>
      <c r="H121" s="86">
        <f t="shared" si="131"/>
        <v>0.63895879083414808</v>
      </c>
      <c r="I121" s="86">
        <f t="shared" si="131"/>
        <v>0.66655031194135761</v>
      </c>
      <c r="J121" s="86">
        <f t="shared" si="131"/>
        <v>0.65303711497673567</v>
      </c>
      <c r="K121" s="86">
        <f t="shared" si="131"/>
        <v>0.66397383881900185</v>
      </c>
      <c r="L121" s="86">
        <f t="shared" si="131"/>
        <v>0.67757194026021905</v>
      </c>
      <c r="M121" s="86">
        <f t="shared" si="131"/>
        <v>0.70229206756373608</v>
      </c>
      <c r="N121" s="86">
        <f t="shared" si="131"/>
        <v>0.73744441481621459</v>
      </c>
      <c r="O121" s="86">
        <f t="shared" si="131"/>
        <v>0.74933920219568695</v>
      </c>
      <c r="P121" s="86">
        <f t="shared" si="131"/>
        <v>0.75615115046799708</v>
      </c>
      <c r="Q121" s="86">
        <f t="shared" si="131"/>
        <v>0.76492943391464319</v>
      </c>
      <c r="R121" s="86">
        <f t="shared" si="131"/>
        <v>0.75482227593228512</v>
      </c>
      <c r="S121" s="86">
        <f t="shared" si="131"/>
        <v>0.79224749060485433</v>
      </c>
      <c r="T121" s="86">
        <f t="shared" si="131"/>
        <v>0.800785332930671</v>
      </c>
      <c r="U121" s="86">
        <f t="shared" si="131"/>
        <v>0.8173086951871209</v>
      </c>
      <c r="V121" s="86">
        <f t="shared" si="131"/>
        <v>0.82413732039325605</v>
      </c>
      <c r="W121" s="86">
        <f t="shared" si="131"/>
        <v>0.85969186606545633</v>
      </c>
      <c r="X121" s="86">
        <f t="shared" ref="X121:Y121" si="132">IF(X107=0,"",X107/X100)</f>
        <v>0.84120320187784103</v>
      </c>
      <c r="Y121" s="86">
        <f t="shared" si="132"/>
        <v>0.86237111548961498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0.58142259634783766</v>
      </c>
      <c r="C122" s="75">
        <f t="shared" ref="C122:W122" si="134">IF(C108=0,"",C108/C101)</f>
        <v>0.55872869076931553</v>
      </c>
      <c r="D122" s="75">
        <f t="shared" si="134"/>
        <v>0.58105638182959229</v>
      </c>
      <c r="E122" s="75">
        <f t="shared" si="134"/>
        <v>0.56538644495914459</v>
      </c>
      <c r="F122" s="75">
        <f t="shared" si="134"/>
        <v>0.58281613090170592</v>
      </c>
      <c r="G122" s="75">
        <f t="shared" si="134"/>
        <v>0.57739601432796095</v>
      </c>
      <c r="H122" s="75">
        <f t="shared" si="134"/>
        <v>0.59590383780608247</v>
      </c>
      <c r="I122" s="75">
        <f t="shared" si="134"/>
        <v>0.62450059007268355</v>
      </c>
      <c r="J122" s="75">
        <f t="shared" si="134"/>
        <v>0.61370146662819947</v>
      </c>
      <c r="K122" s="75">
        <f t="shared" si="134"/>
        <v>0.6251980888037022</v>
      </c>
      <c r="L122" s="75">
        <f t="shared" si="134"/>
        <v>0.64424722301788517</v>
      </c>
      <c r="M122" s="75">
        <f t="shared" si="134"/>
        <v>0.66361697554042398</v>
      </c>
      <c r="N122" s="75">
        <f t="shared" si="134"/>
        <v>0.69374196420526923</v>
      </c>
      <c r="O122" s="75">
        <f t="shared" si="134"/>
        <v>0.70139430217562504</v>
      </c>
      <c r="P122" s="75">
        <f t="shared" si="134"/>
        <v>0.71100959328838831</v>
      </c>
      <c r="Q122" s="75">
        <f t="shared" si="134"/>
        <v>0.7099044819514152</v>
      </c>
      <c r="R122" s="75">
        <f t="shared" si="134"/>
        <v>0.71000114223582589</v>
      </c>
      <c r="S122" s="75">
        <f t="shared" si="134"/>
        <v>0.74266236268918495</v>
      </c>
      <c r="T122" s="75">
        <f t="shared" si="134"/>
        <v>0.75927031559242308</v>
      </c>
      <c r="U122" s="75">
        <f t="shared" si="134"/>
        <v>0.77408216508178562</v>
      </c>
      <c r="V122" s="75">
        <f t="shared" si="134"/>
        <v>0.7779168758150381</v>
      </c>
      <c r="W122" s="75">
        <f t="shared" si="134"/>
        <v>0.80772537162029534</v>
      </c>
      <c r="X122" s="75">
        <f t="shared" ref="X122:Y122" si="135">IF(X108=0,"",X108/X101)</f>
        <v>0.78551039895679664</v>
      </c>
      <c r="Y122" s="75">
        <f t="shared" si="135"/>
        <v>0.80620625719260774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1.7555510331145958</v>
      </c>
      <c r="C123" s="76">
        <f t="shared" ref="C123:W123" si="137">IF(C109=0,"",C109/C102)</f>
        <v>1.818133476153156</v>
      </c>
      <c r="D123" s="76">
        <f t="shared" si="137"/>
        <v>1.90334528330835</v>
      </c>
      <c r="E123" s="76">
        <f t="shared" si="137"/>
        <v>1.9848106986109666</v>
      </c>
      <c r="F123" s="76">
        <f t="shared" si="137"/>
        <v>2.0785018477835724</v>
      </c>
      <c r="G123" s="76">
        <f t="shared" si="137"/>
        <v>2.1780499780048688</v>
      </c>
      <c r="H123" s="76">
        <f t="shared" si="137"/>
        <v>2.2977803871243614</v>
      </c>
      <c r="I123" s="76">
        <f t="shared" si="137"/>
        <v>2.4256113005044648</v>
      </c>
      <c r="J123" s="76">
        <f t="shared" si="137"/>
        <v>2.5551122981097736</v>
      </c>
      <c r="K123" s="76">
        <f t="shared" si="137"/>
        <v>2.5995007657316664</v>
      </c>
      <c r="L123" s="76">
        <f t="shared" si="137"/>
        <v>2.6672665852964217</v>
      </c>
      <c r="M123" s="76">
        <f t="shared" si="137"/>
        <v>2.757750761052677</v>
      </c>
      <c r="N123" s="76">
        <f t="shared" si="137"/>
        <v>2.8506733950747245</v>
      </c>
      <c r="O123" s="76">
        <f t="shared" si="137"/>
        <v>2.9523529227298564</v>
      </c>
      <c r="P123" s="76">
        <f t="shared" si="137"/>
        <v>3.0667874550325958</v>
      </c>
      <c r="Q123" s="76">
        <f t="shared" si="137"/>
        <v>3.1816116455971328</v>
      </c>
      <c r="R123" s="76">
        <f t="shared" si="137"/>
        <v>3.3145569314495886</v>
      </c>
      <c r="S123" s="76">
        <f t="shared" si="137"/>
        <v>3.4298235019833303</v>
      </c>
      <c r="T123" s="76">
        <f t="shared" si="137"/>
        <v>3.5336313129332737</v>
      </c>
      <c r="U123" s="76">
        <f t="shared" si="137"/>
        <v>3.6152781598481449</v>
      </c>
      <c r="V123" s="76">
        <f t="shared" si="137"/>
        <v>3.7003706688134197</v>
      </c>
      <c r="W123" s="76">
        <f t="shared" si="137"/>
        <v>3.7779540136029031</v>
      </c>
      <c r="X123" s="76">
        <f t="shared" ref="X123:Y123" si="138">IF(X109=0,"",X109/X102)</f>
        <v>3.8401102513195275</v>
      </c>
      <c r="Y123" s="76">
        <f t="shared" si="138"/>
        <v>3.8897979961668288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0.58113501862334982</v>
      </c>
      <c r="C124" s="76">
        <f t="shared" ref="C124:W124" si="140">IF(C110=0,"",C110/C103)</f>
        <v>0.58844285120562778</v>
      </c>
      <c r="D124" s="76">
        <f t="shared" si="140"/>
        <v>0.58989673308157498</v>
      </c>
      <c r="E124" s="76">
        <f t="shared" si="140"/>
        <v>0.58670091241231859</v>
      </c>
      <c r="F124" s="76">
        <f t="shared" si="140"/>
        <v>0.58983455355385062</v>
      </c>
      <c r="G124" s="76">
        <f t="shared" si="140"/>
        <v>0.59392409743639818</v>
      </c>
      <c r="H124" s="76">
        <f t="shared" si="140"/>
        <v>0.59612819532380257</v>
      </c>
      <c r="I124" s="76">
        <f t="shared" si="140"/>
        <v>0.59849198713279095</v>
      </c>
      <c r="J124" s="76">
        <f t="shared" si="140"/>
        <v>0.60768613037834729</v>
      </c>
      <c r="K124" s="76">
        <f t="shared" si="140"/>
        <v>0.61485702621808891</v>
      </c>
      <c r="L124" s="76">
        <f t="shared" si="140"/>
        <v>0.62357636731811894</v>
      </c>
      <c r="M124" s="76">
        <f t="shared" si="140"/>
        <v>0.64368540081161119</v>
      </c>
      <c r="N124" s="76">
        <f t="shared" si="140"/>
        <v>0.65591287468943205</v>
      </c>
      <c r="O124" s="76">
        <f t="shared" si="140"/>
        <v>0.67436263146309805</v>
      </c>
      <c r="P124" s="76">
        <f t="shared" si="140"/>
        <v>0.68927663438278941</v>
      </c>
      <c r="Q124" s="76">
        <f t="shared" si="140"/>
        <v>0.69964294930554793</v>
      </c>
      <c r="R124" s="76">
        <f t="shared" si="140"/>
        <v>0.70379016721659349</v>
      </c>
      <c r="S124" s="76">
        <f t="shared" si="140"/>
        <v>0.72506901773741128</v>
      </c>
      <c r="T124" s="76">
        <f t="shared" si="140"/>
        <v>0.73311656566526096</v>
      </c>
      <c r="U124" s="76">
        <f t="shared" si="140"/>
        <v>0.74750761546063971</v>
      </c>
      <c r="V124" s="76">
        <f t="shared" si="140"/>
        <v>0.76596297695941351</v>
      </c>
      <c r="W124" s="76">
        <f t="shared" si="140"/>
        <v>0.79016151060211015</v>
      </c>
      <c r="X124" s="76">
        <f t="shared" ref="X124:Y124" si="141">IF(X110=0,"",X110/X103)</f>
        <v>0.80681517795069602</v>
      </c>
      <c r="Y124" s="76">
        <f t="shared" si="141"/>
        <v>0.83040057735175277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0.65624729150134975</v>
      </c>
      <c r="C125" s="56">
        <f t="shared" ref="C125:W125" si="143">IF(C111=0,"",C111/C104)</f>
        <v>0.6439224198866873</v>
      </c>
      <c r="D125" s="56">
        <f t="shared" si="143"/>
        <v>0.69775983848727874</v>
      </c>
      <c r="E125" s="56">
        <f t="shared" si="143"/>
        <v>0.72460484436885408</v>
      </c>
      <c r="F125" s="56">
        <f t="shared" si="143"/>
        <v>0.72091041579547421</v>
      </c>
      <c r="G125" s="56">
        <f t="shared" si="143"/>
        <v>0.73516850756851881</v>
      </c>
      <c r="H125" s="56">
        <f t="shared" si="143"/>
        <v>0.75749227591809909</v>
      </c>
      <c r="I125" s="56">
        <f t="shared" si="143"/>
        <v>0.71001504233240953</v>
      </c>
      <c r="J125" s="56">
        <f t="shared" si="143"/>
        <v>0.74399829541622042</v>
      </c>
      <c r="K125" s="56">
        <f t="shared" si="143"/>
        <v>0.73292120043630726</v>
      </c>
      <c r="L125" s="56">
        <f t="shared" si="143"/>
        <v>0.71671538076460339</v>
      </c>
      <c r="M125" s="56">
        <f t="shared" si="143"/>
        <v>0.76250937927788509</v>
      </c>
      <c r="N125" s="56">
        <f t="shared" si="143"/>
        <v>0.73793167283632888</v>
      </c>
      <c r="O125" s="56">
        <f t="shared" si="143"/>
        <v>0.74939239876840846</v>
      </c>
      <c r="P125" s="56">
        <f t="shared" si="143"/>
        <v>0.74071933286672675</v>
      </c>
      <c r="Q125" s="56">
        <f t="shared" si="143"/>
        <v>0.737969062298103</v>
      </c>
      <c r="R125" s="56">
        <f t="shared" si="143"/>
        <v>0.74142197325781889</v>
      </c>
      <c r="S125" s="56">
        <f t="shared" si="143"/>
        <v>0.75045407146862386</v>
      </c>
      <c r="T125" s="56">
        <f t="shared" si="143"/>
        <v>0.75833870719872709</v>
      </c>
      <c r="U125" s="56">
        <f t="shared" si="143"/>
        <v>0.749212889405382</v>
      </c>
      <c r="V125" s="56">
        <f t="shared" si="143"/>
        <v>0.7641842909578036</v>
      </c>
      <c r="W125" s="56">
        <f t="shared" si="143"/>
        <v>0.79330493754917908</v>
      </c>
      <c r="X125" s="56">
        <f t="shared" ref="X125:Y125" si="144">IF(X111=0,"",X111/X104)</f>
        <v>0.79284062293871793</v>
      </c>
      <c r="Y125" s="56">
        <f t="shared" si="144"/>
        <v>0.82754956764855914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368.19776555783346</v>
      </c>
      <c r="C129" s="82">
        <f t="shared" ref="C129:W129" si="146">IF(C99=0,0,C99/C$26)</f>
        <v>473.47380538999664</v>
      </c>
      <c r="D129" s="82">
        <f t="shared" si="146"/>
        <v>441.93212029844682</v>
      </c>
      <c r="E129" s="82">
        <f t="shared" si="146"/>
        <v>305.77903402813354</v>
      </c>
      <c r="F129" s="82">
        <f t="shared" si="146"/>
        <v>316.86824285035783</v>
      </c>
      <c r="G129" s="82">
        <f t="shared" si="146"/>
        <v>269.79615460039577</v>
      </c>
      <c r="H129" s="82">
        <f t="shared" si="146"/>
        <v>236.40334779768102</v>
      </c>
      <c r="I129" s="82">
        <f t="shared" si="146"/>
        <v>194.81030817412952</v>
      </c>
      <c r="J129" s="82">
        <f t="shared" si="146"/>
        <v>244.56470390953572</v>
      </c>
      <c r="K129" s="82">
        <f t="shared" si="146"/>
        <v>240.27694622617662</v>
      </c>
      <c r="L129" s="82">
        <f t="shared" si="146"/>
        <v>258.9968057897334</v>
      </c>
      <c r="M129" s="82">
        <f t="shared" si="146"/>
        <v>251.33436156308792</v>
      </c>
      <c r="N129" s="82">
        <f t="shared" si="146"/>
        <v>218.1260520246731</v>
      </c>
      <c r="O129" s="82">
        <f t="shared" si="146"/>
        <v>221.8995558131158</v>
      </c>
      <c r="P129" s="82">
        <f t="shared" si="146"/>
        <v>200.73505898858645</v>
      </c>
      <c r="Q129" s="82">
        <f t="shared" si="146"/>
        <v>211.71482671196085</v>
      </c>
      <c r="R129" s="82">
        <f t="shared" si="146"/>
        <v>224.59287437326924</v>
      </c>
      <c r="S129" s="82">
        <f t="shared" si="146"/>
        <v>217.02372132268948</v>
      </c>
      <c r="T129" s="82">
        <f t="shared" si="146"/>
        <v>213.77034284478137</v>
      </c>
      <c r="U129" s="82">
        <f t="shared" si="146"/>
        <v>204.1398726031629</v>
      </c>
      <c r="V129" s="82">
        <f t="shared" si="146"/>
        <v>185.60712680864677</v>
      </c>
      <c r="W129" s="82">
        <f t="shared" si="146"/>
        <v>182.04304228143471</v>
      </c>
      <c r="X129" s="82">
        <f t="shared" ref="X129:Y129" si="147">IF(X99=0,0,X99/X$26)</f>
        <v>204.94258470558421</v>
      </c>
      <c r="Y129" s="82">
        <f t="shared" si="147"/>
        <v>204.12437333358244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313.82571721804692</v>
      </c>
      <c r="C130" s="64">
        <f t="shared" ref="C130:W130" si="149">IF(C100=0,0,C100/C$26)</f>
        <v>418.23903929037658</v>
      </c>
      <c r="D130" s="64">
        <f t="shared" si="149"/>
        <v>386.19904180654078</v>
      </c>
      <c r="E130" s="64">
        <f t="shared" si="149"/>
        <v>249.05135374155375</v>
      </c>
      <c r="F130" s="64">
        <f t="shared" si="149"/>
        <v>259.49558555095905</v>
      </c>
      <c r="G130" s="64">
        <f t="shared" si="149"/>
        <v>211.60424615707038</v>
      </c>
      <c r="H130" s="64">
        <f t="shared" si="149"/>
        <v>177.82117868481629</v>
      </c>
      <c r="I130" s="64">
        <f t="shared" si="149"/>
        <v>136.39290624798511</v>
      </c>
      <c r="J130" s="64">
        <f t="shared" si="149"/>
        <v>185.75892511875674</v>
      </c>
      <c r="K130" s="64">
        <f t="shared" si="149"/>
        <v>180.61318539115277</v>
      </c>
      <c r="L130" s="64">
        <f t="shared" si="149"/>
        <v>198.73454646387603</v>
      </c>
      <c r="M130" s="64">
        <f t="shared" si="149"/>
        <v>190.80443059958171</v>
      </c>
      <c r="N130" s="64">
        <f t="shared" si="149"/>
        <v>157.06864962832853</v>
      </c>
      <c r="O130" s="64">
        <f t="shared" si="149"/>
        <v>160.49198063454244</v>
      </c>
      <c r="P130" s="64">
        <f t="shared" si="149"/>
        <v>138.95815712455592</v>
      </c>
      <c r="Q130" s="64">
        <f t="shared" si="149"/>
        <v>149.08163607730552</v>
      </c>
      <c r="R130" s="64">
        <f t="shared" si="149"/>
        <v>161.8544144464434</v>
      </c>
      <c r="S130" s="64">
        <f t="shared" si="149"/>
        <v>156.27258633920047</v>
      </c>
      <c r="T130" s="64">
        <f t="shared" si="149"/>
        <v>154.32752486546258</v>
      </c>
      <c r="U130" s="64">
        <f t="shared" si="149"/>
        <v>145.55281822655579</v>
      </c>
      <c r="V130" s="64">
        <f t="shared" si="149"/>
        <v>131.64298846644874</v>
      </c>
      <c r="W130" s="64">
        <f t="shared" si="149"/>
        <v>127.84039103989775</v>
      </c>
      <c r="X130" s="64">
        <f t="shared" ref="X130:Y130" si="150">IF(X100=0,0,X100/X$26)</f>
        <v>151.37565058869617</v>
      </c>
      <c r="Y130" s="64">
        <f t="shared" si="150"/>
        <v>151.54048723386433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261.00190508898555</v>
      </c>
      <c r="C131" s="65">
        <f t="shared" ref="C131:W131" si="152">IF(C101=0,0,C101/C$26)</f>
        <v>364.50279879843947</v>
      </c>
      <c r="D131" s="65">
        <f t="shared" si="152"/>
        <v>335.35287979951909</v>
      </c>
      <c r="E131" s="65">
        <f t="shared" si="152"/>
        <v>199.58762695227867</v>
      </c>
      <c r="F131" s="65">
        <f t="shared" si="152"/>
        <v>211.52745538332181</v>
      </c>
      <c r="G131" s="65">
        <f t="shared" si="152"/>
        <v>164.72804883599127</v>
      </c>
      <c r="H131" s="65">
        <f t="shared" si="152"/>
        <v>132.30374001624057</v>
      </c>
      <c r="I131" s="65">
        <f t="shared" si="152"/>
        <v>90.847150375263695</v>
      </c>
      <c r="J131" s="65">
        <f t="shared" si="152"/>
        <v>142.15656717699792</v>
      </c>
      <c r="K131" s="65">
        <f t="shared" si="152"/>
        <v>136.19812663200983</v>
      </c>
      <c r="L131" s="65">
        <f t="shared" si="152"/>
        <v>153.36476459144433</v>
      </c>
      <c r="M131" s="65">
        <f t="shared" si="152"/>
        <v>146.82487154584607</v>
      </c>
      <c r="N131" s="65">
        <f t="shared" si="152"/>
        <v>111.44248223684031</v>
      </c>
      <c r="O131" s="65">
        <f t="shared" si="152"/>
        <v>114.91495854866359</v>
      </c>
      <c r="P131" s="65">
        <f t="shared" si="152"/>
        <v>93.128597467723139</v>
      </c>
      <c r="Q131" s="65">
        <f t="shared" si="152"/>
        <v>101.13041816232337</v>
      </c>
      <c r="R131" s="65">
        <f t="shared" si="152"/>
        <v>113.59617328476621</v>
      </c>
      <c r="S131" s="65">
        <f t="shared" si="152"/>
        <v>107.94739685983727</v>
      </c>
      <c r="T131" s="65">
        <f t="shared" si="152"/>
        <v>106.58925172529078</v>
      </c>
      <c r="U131" s="65">
        <f t="shared" si="152"/>
        <v>97.179867575809283</v>
      </c>
      <c r="V131" s="65">
        <f t="shared" si="152"/>
        <v>86.541219848444371</v>
      </c>
      <c r="W131" s="65">
        <f t="shared" si="152"/>
        <v>83.370143326203234</v>
      </c>
      <c r="X131" s="65">
        <f t="shared" ref="X131:Y131" si="153">IF(X101=0,0,X101/X$26)</f>
        <v>106.37108719161915</v>
      </c>
      <c r="Y131" s="65">
        <f t="shared" si="153"/>
        <v>108.15853656251515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2.1771457831908276</v>
      </c>
      <c r="C132" s="65">
        <f t="shared" ref="C132:W132" si="155">IF(C102=0,0,C102/C$26)</f>
        <v>2.1488928246764023</v>
      </c>
      <c r="D132" s="65">
        <f t="shared" si="155"/>
        <v>2.1921023280135934</v>
      </c>
      <c r="E132" s="65">
        <f t="shared" si="155"/>
        <v>2.8077475099158629</v>
      </c>
      <c r="F132" s="65">
        <f t="shared" si="155"/>
        <v>2.2252521114451715</v>
      </c>
      <c r="G132" s="65">
        <f t="shared" si="155"/>
        <v>2.2732571467558298</v>
      </c>
      <c r="H132" s="65">
        <f t="shared" si="155"/>
        <v>2.5040436096299921</v>
      </c>
      <c r="I132" s="65">
        <f t="shared" si="155"/>
        <v>2.468689553647943</v>
      </c>
      <c r="J132" s="65">
        <f t="shared" si="155"/>
        <v>2.4801868559353828</v>
      </c>
      <c r="K132" s="65">
        <f t="shared" si="155"/>
        <v>2.53251820416394</v>
      </c>
      <c r="L132" s="65">
        <f t="shared" si="155"/>
        <v>2.7288588918824468</v>
      </c>
      <c r="M132" s="65">
        <f t="shared" si="155"/>
        <v>2.7546468912369231</v>
      </c>
      <c r="N132" s="65">
        <f t="shared" si="155"/>
        <v>3.0999123257593886</v>
      </c>
      <c r="O132" s="65">
        <f t="shared" si="155"/>
        <v>3.2043273083641153</v>
      </c>
      <c r="P132" s="65">
        <f t="shared" si="155"/>
        <v>2.5725128190405657</v>
      </c>
      <c r="Q132" s="65">
        <f t="shared" si="155"/>
        <v>3.1367802375564735</v>
      </c>
      <c r="R132" s="65">
        <f t="shared" si="155"/>
        <v>2.5419775150520447</v>
      </c>
      <c r="S132" s="65">
        <f t="shared" si="155"/>
        <v>2.9484406574762994</v>
      </c>
      <c r="T132" s="65">
        <f t="shared" si="155"/>
        <v>2.5104387555070269</v>
      </c>
      <c r="U132" s="65">
        <f t="shared" si="155"/>
        <v>2.6271111612787759</v>
      </c>
      <c r="V132" s="65">
        <f t="shared" si="155"/>
        <v>2.2714969161641445</v>
      </c>
      <c r="W132" s="65">
        <f t="shared" si="155"/>
        <v>2.4608534547786474</v>
      </c>
      <c r="X132" s="65">
        <f t="shared" ref="X132:Y132" si="156">IF(X102=0,0,X102/X$26)</f>
        <v>2.5701866451868582</v>
      </c>
      <c r="Y132" s="65">
        <f t="shared" si="156"/>
        <v>2.4593437097696951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24.557936827394272</v>
      </c>
      <c r="C133" s="65">
        <f t="shared" ref="C133:W133" si="158">IF(C103=0,0,C103/C$26)</f>
        <v>23.881912566509587</v>
      </c>
      <c r="D133" s="65">
        <f t="shared" si="158"/>
        <v>23.372893887930896</v>
      </c>
      <c r="E133" s="65">
        <f t="shared" si="158"/>
        <v>23.31262370903384</v>
      </c>
      <c r="F133" s="65">
        <f t="shared" si="158"/>
        <v>22.790809218847663</v>
      </c>
      <c r="G133" s="65">
        <f t="shared" si="158"/>
        <v>22.553235026711967</v>
      </c>
      <c r="H133" s="65">
        <f t="shared" si="158"/>
        <v>22.036861700592098</v>
      </c>
      <c r="I133" s="65">
        <f t="shared" si="158"/>
        <v>21.473686765157012</v>
      </c>
      <c r="J133" s="65">
        <f t="shared" si="158"/>
        <v>21.026753956278011</v>
      </c>
      <c r="K133" s="65">
        <f t="shared" si="158"/>
        <v>21.24491491110987</v>
      </c>
      <c r="L133" s="65">
        <f t="shared" si="158"/>
        <v>21.34305343672499</v>
      </c>
      <c r="M133" s="65">
        <f t="shared" si="158"/>
        <v>20.753815009789356</v>
      </c>
      <c r="N133" s="65">
        <f t="shared" si="158"/>
        <v>20.74202846691184</v>
      </c>
      <c r="O133" s="65">
        <f t="shared" si="158"/>
        <v>20.683056403568884</v>
      </c>
      <c r="P133" s="65">
        <f t="shared" si="158"/>
        <v>20.851098033892129</v>
      </c>
      <c r="Q133" s="65">
        <f t="shared" si="158"/>
        <v>21.074161818708227</v>
      </c>
      <c r="R133" s="65">
        <f t="shared" si="158"/>
        <v>21.329481176960517</v>
      </c>
      <c r="S133" s="65">
        <f t="shared" si="158"/>
        <v>20.787877414357741</v>
      </c>
      <c r="T133" s="65">
        <f t="shared" si="158"/>
        <v>20.451033791368342</v>
      </c>
      <c r="U133" s="65">
        <f t="shared" si="158"/>
        <v>20.365371229439369</v>
      </c>
      <c r="V133" s="65">
        <f t="shared" si="158"/>
        <v>19.353058757536754</v>
      </c>
      <c r="W133" s="65">
        <f t="shared" si="158"/>
        <v>19.115043866730968</v>
      </c>
      <c r="X133" s="65">
        <f t="shared" ref="X133:Y133" si="159">IF(X103=0,0,X103/X$26)</f>
        <v>19.219863673217915</v>
      </c>
      <c r="Y133" s="65">
        <f t="shared" si="159"/>
        <v>19.015768307203391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26.088729518476278</v>
      </c>
      <c r="C134" s="67">
        <f t="shared" ref="C134:W134" si="161">IF(C104=0,0,C104/C$26)</f>
        <v>27.705435100751181</v>
      </c>
      <c r="D134" s="67">
        <f t="shared" si="161"/>
        <v>25.281165791077171</v>
      </c>
      <c r="E134" s="67">
        <f t="shared" si="161"/>
        <v>23.343355570325425</v>
      </c>
      <c r="F134" s="67">
        <f t="shared" si="161"/>
        <v>22.952068837344388</v>
      </c>
      <c r="G134" s="67">
        <f t="shared" si="161"/>
        <v>22.04970514761126</v>
      </c>
      <c r="H134" s="67">
        <f t="shared" si="161"/>
        <v>20.976533358353628</v>
      </c>
      <c r="I134" s="67">
        <f t="shared" si="161"/>
        <v>21.603379553916469</v>
      </c>
      <c r="J134" s="67">
        <f t="shared" si="161"/>
        <v>20.095417129545403</v>
      </c>
      <c r="K134" s="67">
        <f t="shared" si="161"/>
        <v>20.637625643869171</v>
      </c>
      <c r="L134" s="67">
        <f t="shared" si="161"/>
        <v>21.29786954382433</v>
      </c>
      <c r="M134" s="67">
        <f t="shared" si="161"/>
        <v>20.471097152709376</v>
      </c>
      <c r="N134" s="67">
        <f t="shared" si="161"/>
        <v>21.784226598816979</v>
      </c>
      <c r="O134" s="67">
        <f t="shared" si="161"/>
        <v>21.689638373945829</v>
      </c>
      <c r="P134" s="67">
        <f t="shared" si="161"/>
        <v>22.405948803900102</v>
      </c>
      <c r="Q134" s="67">
        <f t="shared" si="161"/>
        <v>23.740275858717439</v>
      </c>
      <c r="R134" s="67">
        <f t="shared" si="161"/>
        <v>24.386782469664631</v>
      </c>
      <c r="S134" s="67">
        <f t="shared" si="161"/>
        <v>24.588871407529155</v>
      </c>
      <c r="T134" s="67">
        <f t="shared" si="161"/>
        <v>24.776800593296432</v>
      </c>
      <c r="U134" s="67">
        <f t="shared" si="161"/>
        <v>25.380468260028369</v>
      </c>
      <c r="V134" s="67">
        <f t="shared" si="161"/>
        <v>23.477212944303474</v>
      </c>
      <c r="W134" s="67">
        <f t="shared" si="161"/>
        <v>22.894350392184883</v>
      </c>
      <c r="X134" s="67">
        <f t="shared" ref="X134:Y134" si="162">IF(X104=0,0,X104/X$26)</f>
        <v>23.214513078672251</v>
      </c>
      <c r="Y134" s="67">
        <f t="shared" si="162"/>
        <v>21.906838654376088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54.372048339786502</v>
      </c>
      <c r="C135" s="68">
        <f t="shared" ref="C135:W135" si="164">IF(C105=0,0,C105/C$26)</f>
        <v>55.234766099620082</v>
      </c>
      <c r="D135" s="68">
        <f t="shared" si="164"/>
        <v>55.733078491906092</v>
      </c>
      <c r="E135" s="68">
        <f t="shared" si="164"/>
        <v>56.727680286579762</v>
      </c>
      <c r="F135" s="68">
        <f t="shared" si="164"/>
        <v>57.372657299398796</v>
      </c>
      <c r="G135" s="68">
        <f t="shared" si="164"/>
        <v>58.191908443325438</v>
      </c>
      <c r="H135" s="68">
        <f t="shared" si="164"/>
        <v>58.582169112864733</v>
      </c>
      <c r="I135" s="68">
        <f t="shared" si="164"/>
        <v>58.417401926144429</v>
      </c>
      <c r="J135" s="68">
        <f t="shared" si="164"/>
        <v>58.805778790779051</v>
      </c>
      <c r="K135" s="68">
        <f t="shared" si="164"/>
        <v>59.663760835023872</v>
      </c>
      <c r="L135" s="68">
        <f t="shared" si="164"/>
        <v>60.262259325857343</v>
      </c>
      <c r="M135" s="68">
        <f t="shared" si="164"/>
        <v>60.529930963506189</v>
      </c>
      <c r="N135" s="68">
        <f t="shared" si="164"/>
        <v>61.057402396344564</v>
      </c>
      <c r="O135" s="68">
        <f t="shared" si="164"/>
        <v>61.407575178573332</v>
      </c>
      <c r="P135" s="68">
        <f t="shared" si="164"/>
        <v>61.776901864030513</v>
      </c>
      <c r="Q135" s="68">
        <f t="shared" si="164"/>
        <v>62.633190634655314</v>
      </c>
      <c r="R135" s="68">
        <f t="shared" si="164"/>
        <v>62.738459926825847</v>
      </c>
      <c r="S135" s="68">
        <f t="shared" si="164"/>
        <v>60.751134983488996</v>
      </c>
      <c r="T135" s="68">
        <f t="shared" si="164"/>
        <v>59.442817979318804</v>
      </c>
      <c r="U135" s="68">
        <f t="shared" si="164"/>
        <v>58.587054376607078</v>
      </c>
      <c r="V135" s="68">
        <f t="shared" si="164"/>
        <v>53.964138342198019</v>
      </c>
      <c r="W135" s="68">
        <f t="shared" si="164"/>
        <v>54.202651241536984</v>
      </c>
      <c r="X135" s="68">
        <f t="shared" ref="X135:Y135" si="165">IF(X105=0,0,X105/X$26)</f>
        <v>53.566934116888056</v>
      </c>
      <c r="Y135" s="68">
        <f t="shared" si="165"/>
        <v>52.583886099718114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186.96663099824181</v>
      </c>
      <c r="C137" s="85">
        <f t="shared" ref="C137:W137" si="167">IF(C107=0,0,C107/C$26)</f>
        <v>239.45843707258248</v>
      </c>
      <c r="D137" s="85">
        <f t="shared" si="167"/>
        <v>230.4590345053015</v>
      </c>
      <c r="E137" s="85">
        <f t="shared" si="167"/>
        <v>149.00923228795779</v>
      </c>
      <c r="F137" s="85">
        <f t="shared" si="167"/>
        <v>157.89599602104019</v>
      </c>
      <c r="G137" s="85">
        <f t="shared" si="167"/>
        <v>129.66974510762012</v>
      </c>
      <c r="H137" s="85">
        <f t="shared" si="167"/>
        <v>113.6204053171532</v>
      </c>
      <c r="I137" s="85">
        <f t="shared" si="167"/>
        <v>90.912734206182805</v>
      </c>
      <c r="J137" s="85">
        <f t="shared" si="167"/>
        <v>121.30747254073236</v>
      </c>
      <c r="K137" s="85">
        <f t="shared" si="167"/>
        <v>119.92243004549177</v>
      </c>
      <c r="L137" s="85">
        <f t="shared" si="167"/>
        <v>134.65695224426315</v>
      </c>
      <c r="M137" s="85">
        <f t="shared" si="167"/>
        <v>134.00043806610162</v>
      </c>
      <c r="N137" s="85">
        <f t="shared" si="167"/>
        <v>115.82939841113577</v>
      </c>
      <c r="O137" s="85">
        <f t="shared" si="167"/>
        <v>120.26293272749368</v>
      </c>
      <c r="P137" s="85">
        <f t="shared" si="167"/>
        <v>105.07337037664568</v>
      </c>
      <c r="Q137" s="85">
        <f t="shared" si="167"/>
        <v>114.03693149168215</v>
      </c>
      <c r="R137" s="85">
        <f t="shared" si="167"/>
        <v>122.17131748215172</v>
      </c>
      <c r="S137" s="85">
        <f t="shared" si="167"/>
        <v>123.80656437756201</v>
      </c>
      <c r="T137" s="85">
        <f t="shared" si="167"/>
        <v>123.58321837975586</v>
      </c>
      <c r="U137" s="85">
        <f t="shared" si="167"/>
        <v>118.96158394555449</v>
      </c>
      <c r="V137" s="85">
        <f t="shared" si="167"/>
        <v>108.49189976329937</v>
      </c>
      <c r="W137" s="85">
        <f t="shared" si="167"/>
        <v>109.90334433162735</v>
      </c>
      <c r="X137" s="85">
        <f t="shared" ref="X137:Y137" si="168">IF(X107=0,0,X107/X$26)</f>
        <v>127.33768196155251</v>
      </c>
      <c r="Y137" s="85">
        <f t="shared" si="168"/>
        <v>130.68413901770734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151.75240530856988</v>
      </c>
      <c r="C138" s="65">
        <f t="shared" ref="C138:W138" si="170">IF(C108=0,0,C108/C$26)</f>
        <v>203.65817155440331</v>
      </c>
      <c r="D138" s="65">
        <f t="shared" si="170"/>
        <v>194.85893097244272</v>
      </c>
      <c r="E138" s="65">
        <f t="shared" si="170"/>
        <v>112.84413886038078</v>
      </c>
      <c r="F138" s="65">
        <f t="shared" si="170"/>
        <v>123.28161312599083</v>
      </c>
      <c r="G138" s="65">
        <f t="shared" si="170"/>
        <v>95.113318845923075</v>
      </c>
      <c r="H138" s="65">
        <f t="shared" si="170"/>
        <v>78.840306431775929</v>
      </c>
      <c r="I138" s="65">
        <f t="shared" si="170"/>
        <v>56.734099015773985</v>
      </c>
      <c r="J138" s="65">
        <f t="shared" si="170"/>
        <v>87.24169376735378</v>
      </c>
      <c r="K138" s="65">
        <f t="shared" si="170"/>
        <v>85.150808468977161</v>
      </c>
      <c r="L138" s="65">
        <f t="shared" si="170"/>
        <v>98.8048236968297</v>
      </c>
      <c r="M138" s="65">
        <f t="shared" si="170"/>
        <v>97.435477189365628</v>
      </c>
      <c r="N138" s="65">
        <f t="shared" si="170"/>
        <v>77.312326522896427</v>
      </c>
      <c r="O138" s="65">
        <f t="shared" si="170"/>
        <v>80.600697160780783</v>
      </c>
      <c r="P138" s="65">
        <f t="shared" si="170"/>
        <v>66.215326209043866</v>
      </c>
      <c r="Q138" s="65">
        <f t="shared" si="170"/>
        <v>71.792937115054158</v>
      </c>
      <c r="R138" s="65">
        <f t="shared" si="170"/>
        <v>80.653412785802828</v>
      </c>
      <c r="S138" s="65">
        <f t="shared" si="170"/>
        <v>80.168468798073846</v>
      </c>
      <c r="T138" s="65">
        <f t="shared" si="170"/>
        <v>80.930054796221768</v>
      </c>
      <c r="U138" s="65">
        <f t="shared" si="170"/>
        <v>75.225202295443665</v>
      </c>
      <c r="V138" s="65">
        <f t="shared" si="170"/>
        <v>67.321875373724211</v>
      </c>
      <c r="W138" s="65">
        <f t="shared" si="170"/>
        <v>67.340180000194792</v>
      </c>
      <c r="X138" s="65">
        <f t="shared" ref="X138:Y138" si="171">IF(X108=0,0,X108/X$26)</f>
        <v>83.55559513735696</v>
      </c>
      <c r="Y138" s="65">
        <f t="shared" si="171"/>
        <v>87.198088945495158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3.8220905289217435</v>
      </c>
      <c r="C139" s="65">
        <f t="shared" ref="C139:W139" si="173">IF(C109=0,0,C109/C$26)</f>
        <v>3.9069739812094819</v>
      </c>
      <c r="D139" s="65">
        <f t="shared" si="173"/>
        <v>4.1723276265539271</v>
      </c>
      <c r="E139" s="65">
        <f t="shared" si="173"/>
        <v>5.5728472966793055</v>
      </c>
      <c r="F139" s="65">
        <f t="shared" si="173"/>
        <v>4.6251906254230848</v>
      </c>
      <c r="G139" s="65">
        <f t="shared" si="173"/>
        <v>4.9512676784909457</v>
      </c>
      <c r="H139" s="65">
        <f t="shared" si="173"/>
        <v>5.7537422947118859</v>
      </c>
      <c r="I139" s="65">
        <f t="shared" si="173"/>
        <v>5.9880812787657742</v>
      </c>
      <c r="J139" s="65">
        <f t="shared" si="173"/>
        <v>6.3371559372107091</v>
      </c>
      <c r="K139" s="65">
        <f t="shared" si="173"/>
        <v>6.5832830109535472</v>
      </c>
      <c r="L139" s="65">
        <f t="shared" si="173"/>
        <v>7.2785941383070716</v>
      </c>
      <c r="M139" s="65">
        <f t="shared" si="173"/>
        <v>7.5966295607400154</v>
      </c>
      <c r="N139" s="65">
        <f t="shared" si="173"/>
        <v>8.8368375941065018</v>
      </c>
      <c r="O139" s="65">
        <f t="shared" si="173"/>
        <v>9.4603050942318898</v>
      </c>
      <c r="P139" s="65">
        <f t="shared" si="173"/>
        <v>7.8893500413441444</v>
      </c>
      <c r="Q139" s="65">
        <f t="shared" si="173"/>
        <v>9.9800165334886177</v>
      </c>
      <c r="R139" s="65">
        <f t="shared" si="173"/>
        <v>8.4255291921047544</v>
      </c>
      <c r="S139" s="65">
        <f t="shared" si="173"/>
        <v>10.112631061215394</v>
      </c>
      <c r="T139" s="65">
        <f t="shared" si="173"/>
        <v>8.8709649956608683</v>
      </c>
      <c r="U139" s="65">
        <f t="shared" si="173"/>
        <v>9.4977376048644562</v>
      </c>
      <c r="V139" s="65">
        <f t="shared" si="173"/>
        <v>8.4053805628739351</v>
      </c>
      <c r="W139" s="65">
        <f t="shared" si="173"/>
        <v>9.2969911863695618</v>
      </c>
      <c r="X139" s="65">
        <f t="shared" ref="X139:Y139" si="174">IF(X109=0,0,X109/X$26)</f>
        <v>9.8698000839865987</v>
      </c>
      <c r="Y139" s="65">
        <f t="shared" si="174"/>
        <v>9.5663502341476558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14.271477075538817</v>
      </c>
      <c r="C140" s="65">
        <f t="shared" ref="C140:W140" si="176">IF(C110=0,0,C110/C$26)</f>
        <v>14.053140722880412</v>
      </c>
      <c r="D140" s="65">
        <f t="shared" si="176"/>
        <v>13.787593747152748</v>
      </c>
      <c r="E140" s="65">
        <f t="shared" si="176"/>
        <v>13.677537600815205</v>
      </c>
      <c r="F140" s="65">
        <f t="shared" si="176"/>
        <v>13.442806780729995</v>
      </c>
      <c r="G140" s="65">
        <f t="shared" si="176"/>
        <v>13.394909757510865</v>
      </c>
      <c r="H140" s="65">
        <f t="shared" si="176"/>
        <v>13.136794596174191</v>
      </c>
      <c r="I140" s="65">
        <f t="shared" si="176"/>
        <v>12.851829463145933</v>
      </c>
      <c r="J140" s="65">
        <f t="shared" si="176"/>
        <v>12.777666746108189</v>
      </c>
      <c r="K140" s="65">
        <f t="shared" si="176"/>
        <v>13.062585204501348</v>
      </c>
      <c r="L140" s="65">
        <f t="shared" si="176"/>
        <v>13.309023729549462</v>
      </c>
      <c r="M140" s="65">
        <f t="shared" si="176"/>
        <v>13.358927732946293</v>
      </c>
      <c r="N140" s="65">
        <f t="shared" si="176"/>
        <v>13.60496351862218</v>
      </c>
      <c r="O140" s="65">
        <f t="shared" si="176"/>
        <v>13.947880343010393</v>
      </c>
      <c r="P140" s="65">
        <f t="shared" si="176"/>
        <v>14.372174675986765</v>
      </c>
      <c r="Q140" s="65">
        <f t="shared" si="176"/>
        <v>14.744388728983395</v>
      </c>
      <c r="R140" s="65">
        <f t="shared" si="176"/>
        <v>15.011479124176226</v>
      </c>
      <c r="S140" s="65">
        <f t="shared" si="176"/>
        <v>15.072645857674086</v>
      </c>
      <c r="T140" s="65">
        <f t="shared" si="176"/>
        <v>14.99299165743216</v>
      </c>
      <c r="U140" s="65">
        <f t="shared" si="176"/>
        <v>15.223270085688938</v>
      </c>
      <c r="V140" s="65">
        <f t="shared" si="176"/>
        <v>14.823726499193301</v>
      </c>
      <c r="W140" s="65">
        <f t="shared" si="176"/>
        <v>15.103971936961742</v>
      </c>
      <c r="X140" s="65">
        <f t="shared" ref="X140:Y140" si="177">IF(X110=0,0,X110/X$26)</f>
        <v>15.506877729695429</v>
      </c>
      <c r="Y140" s="65">
        <f t="shared" si="177"/>
        <v>15.790704981088858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17.120658085211371</v>
      </c>
      <c r="C141" s="68">
        <f t="shared" ref="C141:W141" si="179">IF(C111=0,0,C111/C$26)</f>
        <v>17.840150814089267</v>
      </c>
      <c r="D141" s="68">
        <f t="shared" si="179"/>
        <v>17.640182159152122</v>
      </c>
      <c r="E141" s="68">
        <f t="shared" si="179"/>
        <v>16.914708530082478</v>
      </c>
      <c r="F141" s="68">
        <f t="shared" si="179"/>
        <v>16.546385488896288</v>
      </c>
      <c r="G141" s="68">
        <f t="shared" si="179"/>
        <v>16.210248825695256</v>
      </c>
      <c r="H141" s="68">
        <f t="shared" si="179"/>
        <v>15.889561994491213</v>
      </c>
      <c r="I141" s="68">
        <f t="shared" si="179"/>
        <v>15.338724448497111</v>
      </c>
      <c r="J141" s="68">
        <f t="shared" si="179"/>
        <v>14.950956090059695</v>
      </c>
      <c r="K141" s="68">
        <f t="shared" si="179"/>
        <v>15.12575336105971</v>
      </c>
      <c r="L141" s="68">
        <f t="shared" si="179"/>
        <v>15.264510679576905</v>
      </c>
      <c r="M141" s="68">
        <f t="shared" si="179"/>
        <v>15.609403583049708</v>
      </c>
      <c r="N141" s="68">
        <f t="shared" si="179"/>
        <v>16.075270775510663</v>
      </c>
      <c r="O141" s="68">
        <f t="shared" si="179"/>
        <v>16.254050129470588</v>
      </c>
      <c r="P141" s="68">
        <f t="shared" si="179"/>
        <v>16.596519450270918</v>
      </c>
      <c r="Q141" s="68">
        <f t="shared" si="179"/>
        <v>17.519589114156002</v>
      </c>
      <c r="R141" s="68">
        <f t="shared" si="179"/>
        <v>18.080896380067934</v>
      </c>
      <c r="S141" s="68">
        <f t="shared" si="179"/>
        <v>18.452818660598684</v>
      </c>
      <c r="T141" s="68">
        <f t="shared" si="179"/>
        <v>18.789206930441072</v>
      </c>
      <c r="U141" s="68">
        <f t="shared" si="179"/>
        <v>19.015373959557444</v>
      </c>
      <c r="V141" s="68">
        <f t="shared" si="179"/>
        <v>17.940917327507918</v>
      </c>
      <c r="W141" s="68">
        <f t="shared" si="179"/>
        <v>18.162201208101251</v>
      </c>
      <c r="X141" s="68">
        <f t="shared" ref="X141:Y141" si="180">IF(X111=0,0,X111/X$26)</f>
        <v>18.405409010513523</v>
      </c>
      <c r="Y141" s="68">
        <f t="shared" si="180"/>
        <v>18.128994856975673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50.950961227051998</v>
      </c>
      <c r="C143" s="82">
        <f t="shared" ref="C143:W143" si="182">IF(C113=0,0,C113/C$26)</f>
        <v>76.548508645576817</v>
      </c>
      <c r="D143" s="82">
        <f t="shared" si="182"/>
        <v>62.686141039726152</v>
      </c>
      <c r="E143" s="82">
        <f t="shared" si="182"/>
        <v>43.905567741318016</v>
      </c>
      <c r="F143" s="82">
        <f t="shared" si="182"/>
        <v>43.086191252894913</v>
      </c>
      <c r="G143" s="82">
        <f t="shared" si="182"/>
        <v>36.507687288767073</v>
      </c>
      <c r="H143" s="82">
        <f t="shared" si="182"/>
        <v>28.51297133977727</v>
      </c>
      <c r="I143" s="82">
        <f t="shared" si="182"/>
        <v>19.7631209308406</v>
      </c>
      <c r="J143" s="82">
        <f t="shared" si="182"/>
        <v>28.53157716204537</v>
      </c>
      <c r="K143" s="82">
        <f t="shared" si="182"/>
        <v>27.08620256780792</v>
      </c>
      <c r="L143" s="82">
        <f t="shared" si="182"/>
        <v>28.776759761711663</v>
      </c>
      <c r="M143" s="82">
        <f t="shared" si="182"/>
        <v>23.970066482550823</v>
      </c>
      <c r="N143" s="82">
        <f t="shared" si="182"/>
        <v>16.98130050183638</v>
      </c>
      <c r="O143" s="82">
        <f t="shared" si="182"/>
        <v>16.691552416475229</v>
      </c>
      <c r="P143" s="82">
        <f t="shared" si="182"/>
        <v>13.631986530041187</v>
      </c>
      <c r="Q143" s="82">
        <f t="shared" si="182"/>
        <v>15.314889779753379</v>
      </c>
      <c r="R143" s="82">
        <f t="shared" si="182"/>
        <v>17.705657969391549</v>
      </c>
      <c r="S143" s="82">
        <f t="shared" si="182"/>
        <v>13.835789338520513</v>
      </c>
      <c r="T143" s="82">
        <f t="shared" si="182"/>
        <v>13.055775256882281</v>
      </c>
      <c r="U143" s="82">
        <f t="shared" si="182"/>
        <v>12.388079335696926</v>
      </c>
      <c r="V143" s="82">
        <f t="shared" si="182"/>
        <v>11.96090729932363</v>
      </c>
      <c r="W143" s="82">
        <f t="shared" si="182"/>
        <v>8.9675751388494795</v>
      </c>
      <c r="X143" s="82">
        <f t="shared" ref="X143:Y143" si="183">IF(X113=0,0,X113/X$26)</f>
        <v>11.988175394017109</v>
      </c>
      <c r="Y143" s="82">
        <f t="shared" si="183"/>
        <v>13.826674299534238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50.950961227051998</v>
      </c>
      <c r="C144" s="64">
        <f t="shared" ref="C144:W144" si="185">IF(C114=0,0,C114/C$26)</f>
        <v>76.548508645576817</v>
      </c>
      <c r="D144" s="64">
        <f t="shared" si="185"/>
        <v>62.686141039726152</v>
      </c>
      <c r="E144" s="64">
        <f t="shared" si="185"/>
        <v>43.905567741318016</v>
      </c>
      <c r="F144" s="64">
        <f t="shared" si="185"/>
        <v>43.086191252894913</v>
      </c>
      <c r="G144" s="64">
        <f t="shared" si="185"/>
        <v>36.507687288767073</v>
      </c>
      <c r="H144" s="64">
        <f t="shared" si="185"/>
        <v>28.51297133977727</v>
      </c>
      <c r="I144" s="64">
        <f t="shared" si="185"/>
        <v>19.7631209308406</v>
      </c>
      <c r="J144" s="64">
        <f t="shared" si="185"/>
        <v>28.53157716204537</v>
      </c>
      <c r="K144" s="64">
        <f t="shared" si="185"/>
        <v>27.08620256780792</v>
      </c>
      <c r="L144" s="64">
        <f t="shared" si="185"/>
        <v>28.776759761711663</v>
      </c>
      <c r="M144" s="64">
        <f t="shared" si="185"/>
        <v>23.970066482550823</v>
      </c>
      <c r="N144" s="64">
        <f t="shared" si="185"/>
        <v>16.98130050183638</v>
      </c>
      <c r="O144" s="64">
        <f t="shared" si="185"/>
        <v>16.691552416475229</v>
      </c>
      <c r="P144" s="64">
        <f t="shared" si="185"/>
        <v>13.631986530041187</v>
      </c>
      <c r="Q144" s="64">
        <f t="shared" si="185"/>
        <v>15.314889779753379</v>
      </c>
      <c r="R144" s="64">
        <f t="shared" si="185"/>
        <v>17.705657969391549</v>
      </c>
      <c r="S144" s="64">
        <f t="shared" si="185"/>
        <v>13.835789338520513</v>
      </c>
      <c r="T144" s="64">
        <f t="shared" si="185"/>
        <v>13.055775256882281</v>
      </c>
      <c r="U144" s="64">
        <f t="shared" si="185"/>
        <v>12.388079335696926</v>
      </c>
      <c r="V144" s="64">
        <f t="shared" si="185"/>
        <v>11.96090729932363</v>
      </c>
      <c r="W144" s="64">
        <f t="shared" si="185"/>
        <v>8.9675751388494795</v>
      </c>
      <c r="X144" s="64">
        <f t="shared" ref="X144:Y144" si="186">IF(X114=0,0,X114/X$26)</f>
        <v>11.988175394017109</v>
      </c>
      <c r="Y144" s="64">
        <f t="shared" si="186"/>
        <v>13.826674299534238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41.958640015910063</v>
      </c>
      <c r="C145" s="65">
        <f t="shared" ref="C145:W145" si="188">IF(C115=0,0,C115/C$26)</f>
        <v>67.179566916540594</v>
      </c>
      <c r="D145" s="65">
        <f t="shared" si="188"/>
        <v>55.391898871093723</v>
      </c>
      <c r="E145" s="65">
        <f t="shared" si="188"/>
        <v>37.338642204485517</v>
      </c>
      <c r="F145" s="65">
        <f t="shared" si="188"/>
        <v>36.570045392511815</v>
      </c>
      <c r="G145" s="65">
        <f t="shared" si="188"/>
        <v>30.543859591361315</v>
      </c>
      <c r="H145" s="65">
        <f t="shared" si="188"/>
        <v>23.243045516659762</v>
      </c>
      <c r="I145" s="65">
        <f t="shared" si="188"/>
        <v>13.364819639079005</v>
      </c>
      <c r="J145" s="65">
        <f t="shared" si="188"/>
        <v>23.350371189205664</v>
      </c>
      <c r="K145" s="65">
        <f t="shared" si="188"/>
        <v>21.668755347028991</v>
      </c>
      <c r="L145" s="65">
        <f t="shared" si="188"/>
        <v>22.998757397680837</v>
      </c>
      <c r="M145" s="65">
        <f t="shared" si="188"/>
        <v>19.891854909606678</v>
      </c>
      <c r="N145" s="65">
        <f t="shared" si="188"/>
        <v>12.452798009993025</v>
      </c>
      <c r="O145" s="65">
        <f t="shared" si="188"/>
        <v>12.772024348438137</v>
      </c>
      <c r="P145" s="65">
        <f t="shared" si="188"/>
        <v>9.7250080601779025</v>
      </c>
      <c r="Q145" s="65">
        <f t="shared" si="188"/>
        <v>11.340065677183853</v>
      </c>
      <c r="R145" s="65">
        <f t="shared" si="188"/>
        <v>13.621530634185206</v>
      </c>
      <c r="S145" s="65">
        <f t="shared" si="188"/>
        <v>10.105824176025806</v>
      </c>
      <c r="T145" s="65">
        <f t="shared" si="188"/>
        <v>9.033247426347673</v>
      </c>
      <c r="U145" s="65">
        <f t="shared" si="188"/>
        <v>7.979618362400263</v>
      </c>
      <c r="V145" s="65">
        <f t="shared" si="188"/>
        <v>8.1278630377407026</v>
      </c>
      <c r="W145" s="65">
        <f t="shared" si="188"/>
        <v>5.9446658111764865</v>
      </c>
      <c r="X145" s="65">
        <f t="shared" ref="X145:Y145" si="189">IF(X115=0,0,X115/X$26)</f>
        <v>8.6720375338610562</v>
      </c>
      <c r="Y145" s="65">
        <f t="shared" si="189"/>
        <v>11.437619030216494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4.9914951028510792</v>
      </c>
      <c r="C147" s="65">
        <f t="shared" ref="C147:W147" si="194">IF(C117=0,0,C117/C$26)</f>
        <v>4.764816095320108</v>
      </c>
      <c r="D147" s="65">
        <f t="shared" si="194"/>
        <v>4.6176352705785932</v>
      </c>
      <c r="E147" s="65">
        <f t="shared" si="194"/>
        <v>4.7707670145612298</v>
      </c>
      <c r="F147" s="65">
        <f t="shared" si="194"/>
        <v>4.6227447283201863</v>
      </c>
      <c r="G147" s="65">
        <f t="shared" si="194"/>
        <v>4.4642042183317221</v>
      </c>
      <c r="H147" s="65">
        <f t="shared" si="194"/>
        <v>4.3128920276576581</v>
      </c>
      <c r="I147" s="65">
        <f t="shared" si="194"/>
        <v>4.2269359175435008</v>
      </c>
      <c r="J147" s="65">
        <f t="shared" si="194"/>
        <v>3.8781917843804425</v>
      </c>
      <c r="K147" s="65">
        <f t="shared" si="194"/>
        <v>3.8121637733267644</v>
      </c>
      <c r="L147" s="65">
        <f t="shared" si="194"/>
        <v>3.7008557143828025</v>
      </c>
      <c r="M147" s="65">
        <f t="shared" si="194"/>
        <v>3.1033886448466834</v>
      </c>
      <c r="N147" s="65">
        <f t="shared" si="194"/>
        <v>2.8876049980411862</v>
      </c>
      <c r="O147" s="65">
        <f t="shared" si="194"/>
        <v>2.5119860928739519</v>
      </c>
      <c r="P147" s="65">
        <f t="shared" si="194"/>
        <v>2.2090710720537245</v>
      </c>
      <c r="Q147" s="65">
        <f t="shared" si="194"/>
        <v>2.0400299592964504</v>
      </c>
      <c r="R147" s="65">
        <f t="shared" si="194"/>
        <v>2.1105187263881668</v>
      </c>
      <c r="S147" s="65">
        <f t="shared" si="194"/>
        <v>1.8376938358483403</v>
      </c>
      <c r="T147" s="65">
        <f t="shared" si="194"/>
        <v>2.140396252317037</v>
      </c>
      <c r="U147" s="65">
        <f t="shared" si="194"/>
        <v>2.0959740920161209</v>
      </c>
      <c r="V147" s="65">
        <f t="shared" si="194"/>
        <v>1.9033252097470919</v>
      </c>
      <c r="W147" s="65">
        <f t="shared" si="194"/>
        <v>1.5754420622476177</v>
      </c>
      <c r="X147" s="65">
        <f t="shared" ref="X147:Y147" si="195">IF(X117=0,0,X117/X$26)</f>
        <v>1.6661434929375123</v>
      </c>
      <c r="Y147" s="65">
        <f t="shared" si="195"/>
        <v>1.3229410930881258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4.0008261082908554</v>
      </c>
      <c r="C148" s="67">
        <f t="shared" ref="C148:W148" si="197">IF(C118=0,0,C118/C$26)</f>
        <v>4.6041256337161132</v>
      </c>
      <c r="D148" s="67">
        <f t="shared" si="197"/>
        <v>2.6766068980538367</v>
      </c>
      <c r="E148" s="67">
        <f t="shared" si="197"/>
        <v>1.7961585222712739</v>
      </c>
      <c r="F148" s="67">
        <f t="shared" si="197"/>
        <v>1.8934011320629185</v>
      </c>
      <c r="G148" s="67">
        <f t="shared" si="197"/>
        <v>1.4996234790740415</v>
      </c>
      <c r="H148" s="67">
        <f t="shared" si="197"/>
        <v>0.95703379545984679</v>
      </c>
      <c r="I148" s="67">
        <f t="shared" si="197"/>
        <v>2.1713653742180905</v>
      </c>
      <c r="J148" s="67">
        <f t="shared" si="197"/>
        <v>1.3030141884592568</v>
      </c>
      <c r="K148" s="67">
        <f t="shared" si="197"/>
        <v>1.6052834474521658</v>
      </c>
      <c r="L148" s="67">
        <f t="shared" si="197"/>
        <v>2.07714664964803</v>
      </c>
      <c r="M148" s="67">
        <f t="shared" si="197"/>
        <v>0.97482292809745963</v>
      </c>
      <c r="N148" s="67">
        <f t="shared" si="197"/>
        <v>1.6408974938021679</v>
      </c>
      <c r="O148" s="67">
        <f t="shared" si="197"/>
        <v>1.4075419751631397</v>
      </c>
      <c r="P148" s="67">
        <f t="shared" si="197"/>
        <v>1.69790739780956</v>
      </c>
      <c r="Q148" s="67">
        <f t="shared" si="197"/>
        <v>1.9347941432730735</v>
      </c>
      <c r="R148" s="67">
        <f t="shared" si="197"/>
        <v>1.9736086088181761</v>
      </c>
      <c r="S148" s="67">
        <f t="shared" si="197"/>
        <v>1.8922713266463662</v>
      </c>
      <c r="T148" s="67">
        <f t="shared" si="197"/>
        <v>1.8821315782175736</v>
      </c>
      <c r="U148" s="67">
        <f t="shared" si="197"/>
        <v>2.3124868812805426</v>
      </c>
      <c r="V148" s="67">
        <f t="shared" si="197"/>
        <v>1.9297190518358396</v>
      </c>
      <c r="W148" s="67">
        <f t="shared" si="197"/>
        <v>1.4474672654253764</v>
      </c>
      <c r="X148" s="67">
        <f t="shared" ref="X148:Y148" si="198">IF(X118=0,0,X118/X$26)</f>
        <v>1.6499943672185429</v>
      </c>
      <c r="Y148" s="67">
        <f t="shared" si="198"/>
        <v>1.0661141762296165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13878.475722188077</v>
      </c>
      <c r="C153" s="82">
        <f t="shared" ref="C153:W153" si="203">IF(C99=0,0,C99/C$23)</f>
        <v>17986.06634880399</v>
      </c>
      <c r="D153" s="82">
        <f t="shared" si="203"/>
        <v>16751.419112522264</v>
      </c>
      <c r="E153" s="82">
        <f t="shared" si="203"/>
        <v>11765.887133875178</v>
      </c>
      <c r="F153" s="82">
        <f t="shared" si="203"/>
        <v>12409.603532506577</v>
      </c>
      <c r="G153" s="82">
        <f t="shared" si="203"/>
        <v>10884.541841631677</v>
      </c>
      <c r="H153" s="82">
        <f t="shared" si="203"/>
        <v>9729.2216178851413</v>
      </c>
      <c r="I153" s="82">
        <f t="shared" si="203"/>
        <v>8175.6451697447274</v>
      </c>
      <c r="J153" s="82">
        <f t="shared" si="203"/>
        <v>10280.086477320896</v>
      </c>
      <c r="K153" s="82">
        <f t="shared" si="203"/>
        <v>10066.127061186909</v>
      </c>
      <c r="L153" s="82">
        <f t="shared" si="203"/>
        <v>10931.064817133223</v>
      </c>
      <c r="M153" s="82">
        <f t="shared" si="203"/>
        <v>10696.034290586202</v>
      </c>
      <c r="N153" s="82">
        <f t="shared" si="203"/>
        <v>9289.3957353891292</v>
      </c>
      <c r="O153" s="82">
        <f t="shared" si="203"/>
        <v>9507.446693169386</v>
      </c>
      <c r="P153" s="82">
        <f t="shared" si="203"/>
        <v>8627.3003401275109</v>
      </c>
      <c r="Q153" s="82">
        <f t="shared" si="203"/>
        <v>9032.9434438330882</v>
      </c>
      <c r="R153" s="82">
        <f t="shared" si="203"/>
        <v>9478.12147255132</v>
      </c>
      <c r="S153" s="82">
        <f t="shared" si="203"/>
        <v>9004.8290698676374</v>
      </c>
      <c r="T153" s="82">
        <f t="shared" si="203"/>
        <v>8750.3898917832739</v>
      </c>
      <c r="U153" s="82">
        <f t="shared" si="203"/>
        <v>8285.0810603098544</v>
      </c>
      <c r="V153" s="82">
        <f t="shared" si="203"/>
        <v>7650.7549753382445</v>
      </c>
      <c r="W153" s="82">
        <f t="shared" si="203"/>
        <v>7491.0066465200025</v>
      </c>
      <c r="X153" s="82">
        <f t="shared" ref="X153:Y153" si="204">IF(X99=0,0,X99/X$23)</f>
        <v>8256.9405494876446</v>
      </c>
      <c r="Y153" s="82">
        <f t="shared" si="204"/>
        <v>8132.7206610544235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11829.030496179945</v>
      </c>
      <c r="C154" s="64">
        <f t="shared" ref="C154:W154" si="206">IF(C100=0,0,C100/C$23)</f>
        <v>15887.837985335953</v>
      </c>
      <c r="D154" s="64">
        <f t="shared" si="206"/>
        <v>14638.859030628846</v>
      </c>
      <c r="E154" s="64">
        <f t="shared" si="206"/>
        <v>9583.0969182548215</v>
      </c>
      <c r="F154" s="64">
        <f t="shared" si="206"/>
        <v>10162.701399659707</v>
      </c>
      <c r="G154" s="64">
        <f t="shared" si="206"/>
        <v>8536.8721232329335</v>
      </c>
      <c r="H154" s="64">
        <f t="shared" si="206"/>
        <v>7318.262080022464</v>
      </c>
      <c r="I154" s="64">
        <f t="shared" si="206"/>
        <v>5724.0297785323673</v>
      </c>
      <c r="J154" s="64">
        <f t="shared" si="206"/>
        <v>7808.2314562503752</v>
      </c>
      <c r="K154" s="64">
        <f t="shared" si="206"/>
        <v>7566.5822361570517</v>
      </c>
      <c r="L154" s="64">
        <f t="shared" si="206"/>
        <v>8387.6718177128805</v>
      </c>
      <c r="M154" s="64">
        <f t="shared" si="206"/>
        <v>8120.0625326220006</v>
      </c>
      <c r="N154" s="64">
        <f t="shared" si="206"/>
        <v>6689.1269083973648</v>
      </c>
      <c r="O154" s="64">
        <f t="shared" si="206"/>
        <v>6876.3947948105633</v>
      </c>
      <c r="P154" s="64">
        <f t="shared" si="206"/>
        <v>5972.2191144115877</v>
      </c>
      <c r="Q154" s="64">
        <f t="shared" si="206"/>
        <v>6360.6597993844171</v>
      </c>
      <c r="R154" s="64">
        <f t="shared" si="206"/>
        <v>6830.4740534307857</v>
      </c>
      <c r="S154" s="64">
        <f t="shared" si="206"/>
        <v>6484.1203519788296</v>
      </c>
      <c r="T154" s="64">
        <f t="shared" si="206"/>
        <v>6317.1813060487057</v>
      </c>
      <c r="U154" s="64">
        <f t="shared" si="206"/>
        <v>5907.3069958645419</v>
      </c>
      <c r="V154" s="64">
        <f t="shared" si="206"/>
        <v>5426.3447007421564</v>
      </c>
      <c r="W154" s="64">
        <f t="shared" si="206"/>
        <v>5260.5867654808717</v>
      </c>
      <c r="X154" s="64">
        <f t="shared" ref="X154:Y154" si="207">IF(X100=0,0,X100/X$23)</f>
        <v>6098.7800526984456</v>
      </c>
      <c r="Y154" s="64">
        <f t="shared" si="207"/>
        <v>6037.674146335482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9837.942926498723</v>
      </c>
      <c r="C155" s="65">
        <f t="shared" ref="C155:W155" si="209">IF(C101=0,0,C101/C$23)</f>
        <v>13846.534800617705</v>
      </c>
      <c r="D155" s="65">
        <f t="shared" si="209"/>
        <v>12711.537320073787</v>
      </c>
      <c r="E155" s="65">
        <f t="shared" si="209"/>
        <v>7679.8119907149485</v>
      </c>
      <c r="F155" s="65">
        <f t="shared" si="209"/>
        <v>8284.1115093589542</v>
      </c>
      <c r="G155" s="65">
        <f t="shared" si="209"/>
        <v>6645.7186637865561</v>
      </c>
      <c r="H155" s="65">
        <f t="shared" si="209"/>
        <v>5444.9838358240468</v>
      </c>
      <c r="I155" s="65">
        <f t="shared" si="209"/>
        <v>3812.6014640185826</v>
      </c>
      <c r="J155" s="65">
        <f t="shared" si="209"/>
        <v>5975.4403662401737</v>
      </c>
      <c r="K155" s="65">
        <f t="shared" si="209"/>
        <v>5705.8642941254238</v>
      </c>
      <c r="L155" s="65">
        <f t="shared" si="209"/>
        <v>6472.821845434165</v>
      </c>
      <c r="M155" s="65">
        <f t="shared" si="209"/>
        <v>6248.424811468064</v>
      </c>
      <c r="N155" s="65">
        <f t="shared" si="209"/>
        <v>4746.0324414388788</v>
      </c>
      <c r="O155" s="65">
        <f t="shared" si="209"/>
        <v>4923.6143742862405</v>
      </c>
      <c r="P155" s="65">
        <f t="shared" si="209"/>
        <v>4002.5314195591964</v>
      </c>
      <c r="Q155" s="65">
        <f t="shared" si="209"/>
        <v>4314.7915613595005</v>
      </c>
      <c r="R155" s="65">
        <f t="shared" si="209"/>
        <v>4793.9113483208002</v>
      </c>
      <c r="S155" s="65">
        <f t="shared" si="209"/>
        <v>4478.9935926620537</v>
      </c>
      <c r="T155" s="65">
        <f t="shared" si="209"/>
        <v>4363.0818871210722</v>
      </c>
      <c r="U155" s="65">
        <f t="shared" si="209"/>
        <v>3944.0755499094134</v>
      </c>
      <c r="V155" s="65">
        <f t="shared" si="209"/>
        <v>3567.2427008146619</v>
      </c>
      <c r="W155" s="65">
        <f t="shared" si="209"/>
        <v>3430.6518389887656</v>
      </c>
      <c r="X155" s="65">
        <f t="shared" ref="X155:Y155" si="210">IF(X101=0,0,X101/X$23)</f>
        <v>4285.5892755881414</v>
      </c>
      <c r="Y155" s="65">
        <f t="shared" si="210"/>
        <v>4309.2510247852015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82.063140306950217</v>
      </c>
      <c r="C156" s="65">
        <f t="shared" ref="C156:W156" si="212">IF(C102=0,0,C102/C$23)</f>
        <v>81.630976161950045</v>
      </c>
      <c r="D156" s="65">
        <f t="shared" si="212"/>
        <v>83.091549917876634</v>
      </c>
      <c r="E156" s="65">
        <f t="shared" si="212"/>
        <v>108.03762398912426</v>
      </c>
      <c r="F156" s="65">
        <f t="shared" si="212"/>
        <v>87.148198300038416</v>
      </c>
      <c r="G156" s="65">
        <f t="shared" si="212"/>
        <v>91.711323933805886</v>
      </c>
      <c r="H156" s="65">
        <f t="shared" si="212"/>
        <v>103.05435792639076</v>
      </c>
      <c r="I156" s="65">
        <f t="shared" si="212"/>
        <v>103.60401363792595</v>
      </c>
      <c r="J156" s="65">
        <f t="shared" si="212"/>
        <v>104.2527190201637</v>
      </c>
      <c r="K156" s="65">
        <f t="shared" si="212"/>
        <v>106.09694533027094</v>
      </c>
      <c r="L156" s="65">
        <f t="shared" si="212"/>
        <v>115.17259192838971</v>
      </c>
      <c r="M156" s="65">
        <f t="shared" si="212"/>
        <v>117.22948435656318</v>
      </c>
      <c r="N156" s="65">
        <f t="shared" si="212"/>
        <v>132.01684104992739</v>
      </c>
      <c r="O156" s="65">
        <f t="shared" si="212"/>
        <v>137.29171723712878</v>
      </c>
      <c r="P156" s="65">
        <f t="shared" si="212"/>
        <v>110.56285250078298</v>
      </c>
      <c r="Q156" s="65">
        <f t="shared" si="212"/>
        <v>133.83266028944678</v>
      </c>
      <c r="R156" s="65">
        <f t="shared" si="212"/>
        <v>107.27487118809931</v>
      </c>
      <c r="S156" s="65">
        <f t="shared" si="212"/>
        <v>122.33779782876873</v>
      </c>
      <c r="T156" s="65">
        <f t="shared" si="212"/>
        <v>102.76129802570479</v>
      </c>
      <c r="U156" s="65">
        <f t="shared" si="212"/>
        <v>106.62213436348632</v>
      </c>
      <c r="V156" s="65">
        <f t="shared" si="212"/>
        <v>93.631460341094481</v>
      </c>
      <c r="W156" s="65">
        <f t="shared" si="212"/>
        <v>101.2632471685436</v>
      </c>
      <c r="X156" s="65">
        <f t="shared" ref="X156:Y156" si="213">IF(X102=0,0,X102/X$23)</f>
        <v>103.55035953548571</v>
      </c>
      <c r="Y156" s="65">
        <f t="shared" si="213"/>
        <v>97.985140502511726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925.66213575374252</v>
      </c>
      <c r="C157" s="65">
        <f t="shared" ref="C157:W157" si="215">IF(C103=0,0,C103/C$23)</f>
        <v>907.21315322558792</v>
      </c>
      <c r="D157" s="65">
        <f t="shared" si="215"/>
        <v>885.94859573644896</v>
      </c>
      <c r="E157" s="65">
        <f t="shared" si="215"/>
        <v>897.03239539228184</v>
      </c>
      <c r="F157" s="65">
        <f t="shared" si="215"/>
        <v>892.56311723374722</v>
      </c>
      <c r="G157" s="65">
        <f t="shared" si="215"/>
        <v>909.87816589154374</v>
      </c>
      <c r="H157" s="65">
        <f t="shared" si="215"/>
        <v>906.93094342824247</v>
      </c>
      <c r="I157" s="65">
        <f t="shared" si="215"/>
        <v>901.19072816846676</v>
      </c>
      <c r="J157" s="65">
        <f t="shared" si="215"/>
        <v>883.8431938561481</v>
      </c>
      <c r="K157" s="65">
        <f t="shared" si="215"/>
        <v>890.03134199163685</v>
      </c>
      <c r="L157" s="65">
        <f t="shared" si="215"/>
        <v>900.79219240172938</v>
      </c>
      <c r="M157" s="65">
        <f t="shared" si="215"/>
        <v>883.21992912007397</v>
      </c>
      <c r="N157" s="65">
        <f t="shared" si="215"/>
        <v>883.34661997208786</v>
      </c>
      <c r="O157" s="65">
        <f t="shared" si="215"/>
        <v>886.18048597789902</v>
      </c>
      <c r="P157" s="65">
        <f t="shared" si="215"/>
        <v>896.1498109309241</v>
      </c>
      <c r="Q157" s="65">
        <f t="shared" si="215"/>
        <v>899.14209028716823</v>
      </c>
      <c r="R157" s="65">
        <f t="shared" si="215"/>
        <v>900.13280299239045</v>
      </c>
      <c r="S157" s="65">
        <f t="shared" si="215"/>
        <v>862.53835157181481</v>
      </c>
      <c r="T157" s="65">
        <f t="shared" si="215"/>
        <v>837.13445458824265</v>
      </c>
      <c r="U157" s="65">
        <f t="shared" si="215"/>
        <v>826.53500909744901</v>
      </c>
      <c r="V157" s="65">
        <f t="shared" si="215"/>
        <v>797.73612750272821</v>
      </c>
      <c r="W157" s="65">
        <f t="shared" si="215"/>
        <v>786.57727787713486</v>
      </c>
      <c r="X157" s="65">
        <f t="shared" ref="X157:Y157" si="216">IF(X103=0,0,X103/X$23)</f>
        <v>774.34990852193255</v>
      </c>
      <c r="Y157" s="65">
        <f t="shared" si="216"/>
        <v>757.62599670097302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983.36229362052791</v>
      </c>
      <c r="C158" s="67">
        <f t="shared" ref="C158:W158" si="218">IF(C104=0,0,C104/C$23)</f>
        <v>1052.459055330713</v>
      </c>
      <c r="D158" s="67">
        <f t="shared" si="218"/>
        <v>958.28156490073184</v>
      </c>
      <c r="E158" s="67">
        <f t="shared" si="218"/>
        <v>898.21490815846926</v>
      </c>
      <c r="F158" s="67">
        <f t="shared" si="218"/>
        <v>898.87857476696763</v>
      </c>
      <c r="G158" s="67">
        <f t="shared" si="218"/>
        <v>889.56396962102599</v>
      </c>
      <c r="H158" s="67">
        <f t="shared" si="218"/>
        <v>863.29294284378523</v>
      </c>
      <c r="I158" s="67">
        <f t="shared" si="218"/>
        <v>906.63357270739243</v>
      </c>
      <c r="J158" s="67">
        <f t="shared" si="218"/>
        <v>844.69517713388893</v>
      </c>
      <c r="K158" s="67">
        <f t="shared" si="218"/>
        <v>864.58965470972146</v>
      </c>
      <c r="L158" s="67">
        <f t="shared" si="218"/>
        <v>898.88518794859908</v>
      </c>
      <c r="M158" s="67">
        <f t="shared" si="218"/>
        <v>871.18830767729935</v>
      </c>
      <c r="N158" s="67">
        <f t="shared" si="218"/>
        <v>927.73100593647052</v>
      </c>
      <c r="O158" s="67">
        <f t="shared" si="218"/>
        <v>929.30821730929517</v>
      </c>
      <c r="P158" s="67">
        <f t="shared" si="218"/>
        <v>962.97503142068422</v>
      </c>
      <c r="Q158" s="67">
        <f t="shared" si="218"/>
        <v>1012.8934874483006</v>
      </c>
      <c r="R158" s="67">
        <f t="shared" si="218"/>
        <v>1029.1550309294964</v>
      </c>
      <c r="S158" s="67">
        <f t="shared" si="218"/>
        <v>1020.2506099161924</v>
      </c>
      <c r="T158" s="67">
        <f t="shared" si="218"/>
        <v>1014.2036663136862</v>
      </c>
      <c r="U158" s="67">
        <f t="shared" si="218"/>
        <v>1030.074302494193</v>
      </c>
      <c r="V158" s="67">
        <f t="shared" si="218"/>
        <v>967.73441208367126</v>
      </c>
      <c r="W158" s="67">
        <f t="shared" si="218"/>
        <v>942.09440144642667</v>
      </c>
      <c r="X158" s="67">
        <f t="shared" ref="X158:Y158" si="219">IF(X104=0,0,X104/X$23)</f>
        <v>935.29050905288648</v>
      </c>
      <c r="Y158" s="67">
        <f t="shared" si="219"/>
        <v>872.81198434679493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2049.445226008133</v>
      </c>
      <c r="C159" s="68">
        <f t="shared" ref="C159:W159" si="221">IF(C105=0,0,C105/C$23)</f>
        <v>2098.2283634680362</v>
      </c>
      <c r="D159" s="68">
        <f t="shared" si="221"/>
        <v>2112.560081893419</v>
      </c>
      <c r="E159" s="68">
        <f t="shared" si="221"/>
        <v>2182.790215620355</v>
      </c>
      <c r="F159" s="68">
        <f t="shared" si="221"/>
        <v>2246.9021328468684</v>
      </c>
      <c r="G159" s="68">
        <f t="shared" si="221"/>
        <v>2347.6697183987449</v>
      </c>
      <c r="H159" s="68">
        <f t="shared" si="221"/>
        <v>2410.9595378626773</v>
      </c>
      <c r="I159" s="68">
        <f t="shared" si="221"/>
        <v>2451.6153912123605</v>
      </c>
      <c r="J159" s="68">
        <f t="shared" si="221"/>
        <v>2471.855021070523</v>
      </c>
      <c r="K159" s="68">
        <f t="shared" si="221"/>
        <v>2499.5448250298591</v>
      </c>
      <c r="L159" s="68">
        <f t="shared" si="221"/>
        <v>2543.3929994203413</v>
      </c>
      <c r="M159" s="68">
        <f t="shared" si="221"/>
        <v>2575.9717579642011</v>
      </c>
      <c r="N159" s="68">
        <f t="shared" si="221"/>
        <v>2600.2688269917639</v>
      </c>
      <c r="O159" s="68">
        <f t="shared" si="221"/>
        <v>2631.0518983588213</v>
      </c>
      <c r="P159" s="68">
        <f t="shared" si="221"/>
        <v>2655.0812257159237</v>
      </c>
      <c r="Q159" s="68">
        <f t="shared" si="221"/>
        <v>2672.2836444486716</v>
      </c>
      <c r="R159" s="68">
        <f t="shared" si="221"/>
        <v>2647.6474191205339</v>
      </c>
      <c r="S159" s="68">
        <f t="shared" si="221"/>
        <v>2520.7087178888078</v>
      </c>
      <c r="T159" s="68">
        <f t="shared" si="221"/>
        <v>2433.2085857345683</v>
      </c>
      <c r="U159" s="68">
        <f t="shared" si="221"/>
        <v>2377.7740644453124</v>
      </c>
      <c r="V159" s="68">
        <f t="shared" si="221"/>
        <v>2224.4102745960872</v>
      </c>
      <c r="W159" s="68">
        <f t="shared" si="221"/>
        <v>2230.4198810391313</v>
      </c>
      <c r="X159" s="68">
        <f t="shared" ref="X159:Y159" si="222">IF(X105=0,0,X105/X$23)</f>
        <v>2158.160496789199</v>
      </c>
      <c r="Y159" s="68">
        <f t="shared" si="222"/>
        <v>2095.046514718942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7047.3318740464338</v>
      </c>
      <c r="C161" s="85">
        <f t="shared" ref="C161:W161" si="224">IF(C107=0,0,C107/C$23)</f>
        <v>9096.4173475675198</v>
      </c>
      <c r="D161" s="85">
        <f t="shared" si="224"/>
        <v>8735.5403645664883</v>
      </c>
      <c r="E161" s="85">
        <f t="shared" si="224"/>
        <v>5733.636429907071</v>
      </c>
      <c r="F161" s="85">
        <f t="shared" si="224"/>
        <v>6183.727003897613</v>
      </c>
      <c r="G161" s="85">
        <f t="shared" si="224"/>
        <v>5231.3413002793604</v>
      </c>
      <c r="H161" s="85">
        <f t="shared" si="224"/>
        <v>4676.0678896585514</v>
      </c>
      <c r="I161" s="85">
        <f t="shared" si="224"/>
        <v>3815.3538344423696</v>
      </c>
      <c r="J161" s="85">
        <f t="shared" si="224"/>
        <v>5099.0649432603404</v>
      </c>
      <c r="K161" s="85">
        <f t="shared" si="224"/>
        <v>5024.0126540808642</v>
      </c>
      <c r="L161" s="85">
        <f t="shared" si="224"/>
        <v>5683.2510677936752</v>
      </c>
      <c r="M161" s="85">
        <f t="shared" si="224"/>
        <v>5702.655504781932</v>
      </c>
      <c r="N161" s="85">
        <f t="shared" si="224"/>
        <v>4932.8592785944893</v>
      </c>
      <c r="O161" s="85">
        <f t="shared" si="224"/>
        <v>5152.7521895259224</v>
      </c>
      <c r="P161" s="85">
        <f t="shared" si="224"/>
        <v>4515.9003542092851</v>
      </c>
      <c r="Q161" s="85">
        <f t="shared" si="224"/>
        <v>4865.4558996667492</v>
      </c>
      <c r="R161" s="85">
        <f t="shared" si="224"/>
        <v>5155.7939707070464</v>
      </c>
      <c r="S161" s="85">
        <f t="shared" si="224"/>
        <v>5137.0280776350928</v>
      </c>
      <c r="T161" s="85">
        <f t="shared" si="224"/>
        <v>5058.7061353476247</v>
      </c>
      <c r="U161" s="85">
        <f t="shared" si="224"/>
        <v>4828.0933728597993</v>
      </c>
      <c r="V161" s="85">
        <f t="shared" si="224"/>
        <v>4472.0531811997853</v>
      </c>
      <c r="W161" s="85">
        <f t="shared" si="224"/>
        <v>4522.4836530154944</v>
      </c>
      <c r="X161" s="85">
        <f t="shared" ref="X161:Y161" si="225">IF(X107=0,0,X107/X$23)</f>
        <v>5130.3133078786404</v>
      </c>
      <c r="Y161" s="85">
        <f t="shared" si="225"/>
        <v>5206.7157885381384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5720.0023190467318</v>
      </c>
      <c r="C162" s="65">
        <f t="shared" ref="C162:W162" si="227">IF(C108=0,0,C108/C$23)</f>
        <v>7736.4562608408951</v>
      </c>
      <c r="D162" s="65">
        <f t="shared" si="227"/>
        <v>7386.1198826939071</v>
      </c>
      <c r="E162" s="65">
        <f t="shared" si="227"/>
        <v>4342.061599384936</v>
      </c>
      <c r="F162" s="65">
        <f t="shared" si="227"/>
        <v>4828.1138178428764</v>
      </c>
      <c r="G162" s="65">
        <f t="shared" si="227"/>
        <v>3837.2114688152997</v>
      </c>
      <c r="H162" s="65">
        <f t="shared" si="227"/>
        <v>3244.686764559633</v>
      </c>
      <c r="I162" s="65">
        <f t="shared" si="227"/>
        <v>2380.9718639915823</v>
      </c>
      <c r="J162" s="65">
        <f t="shared" si="227"/>
        <v>3667.1365165109401</v>
      </c>
      <c r="K162" s="65">
        <f t="shared" si="227"/>
        <v>3567.2954516605005</v>
      </c>
      <c r="L162" s="65">
        <f t="shared" si="227"/>
        <v>4170.0974990104642</v>
      </c>
      <c r="M162" s="65">
        <f t="shared" si="227"/>
        <v>4146.5607752781807</v>
      </c>
      <c r="N162" s="65">
        <f t="shared" si="227"/>
        <v>3292.5218681057372</v>
      </c>
      <c r="O162" s="65">
        <f t="shared" si="227"/>
        <v>3453.3950682343743</v>
      </c>
      <c r="P162" s="65">
        <f t="shared" si="227"/>
        <v>2845.8382367447794</v>
      </c>
      <c r="Q162" s="65">
        <f t="shared" si="227"/>
        <v>3063.0898680952537</v>
      </c>
      <c r="R162" s="65">
        <f t="shared" si="227"/>
        <v>3403.6825330850565</v>
      </c>
      <c r="S162" s="65">
        <f t="shared" si="227"/>
        <v>3326.3799639961212</v>
      </c>
      <c r="T162" s="65">
        <f t="shared" si="227"/>
        <v>3312.7585613900014</v>
      </c>
      <c r="U162" s="65">
        <f t="shared" si="227"/>
        <v>3053.038540920013</v>
      </c>
      <c r="V162" s="65">
        <f t="shared" si="227"/>
        <v>2775.0182970917404</v>
      </c>
      <c r="W162" s="65">
        <f t="shared" si="227"/>
        <v>2771.0245315470502</v>
      </c>
      <c r="X162" s="65">
        <f t="shared" ref="X162:Y162" si="228">IF(X108=0,0,X108/X$23)</f>
        <v>3366.3749416322103</v>
      </c>
      <c r="Y162" s="65">
        <f t="shared" si="228"/>
        <v>3474.1451399954872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144.06603074649448</v>
      </c>
      <c r="C163" s="65">
        <f t="shared" ref="C163:W163" si="230">IF(C109=0,0,C109/C$23)</f>
        <v>148.41601045110164</v>
      </c>
      <c r="D163" s="65">
        <f t="shared" si="230"/>
        <v>158.15190961897082</v>
      </c>
      <c r="E163" s="65">
        <f t="shared" si="230"/>
        <v>214.43423194612262</v>
      </c>
      <c r="F163" s="65">
        <f t="shared" si="230"/>
        <v>181.13769119763904</v>
      </c>
      <c r="G163" s="65">
        <f t="shared" si="230"/>
        <v>199.75184707682331</v>
      </c>
      <c r="H163" s="65">
        <f t="shared" si="230"/>
        <v>236.79628245095466</v>
      </c>
      <c r="I163" s="65">
        <f t="shared" si="230"/>
        <v>251.30306625777189</v>
      </c>
      <c r="J163" s="65">
        <f t="shared" si="230"/>
        <v>266.37740447980292</v>
      </c>
      <c r="K163" s="65">
        <f t="shared" si="230"/>
        <v>275.79909062783008</v>
      </c>
      <c r="L163" s="65">
        <f t="shared" si="230"/>
        <v>307.19600599257427</v>
      </c>
      <c r="M163" s="65">
        <f t="shared" si="230"/>
        <v>323.28969970212501</v>
      </c>
      <c r="N163" s="65">
        <f t="shared" si="230"/>
        <v>376.33689648283678</v>
      </c>
      <c r="O163" s="65">
        <f t="shared" si="230"/>
        <v>405.33360265163816</v>
      </c>
      <c r="P163" s="65">
        <f t="shared" si="230"/>
        <v>339.07276904202047</v>
      </c>
      <c r="Q163" s="65">
        <f t="shared" si="230"/>
        <v>425.80355053814878</v>
      </c>
      <c r="R163" s="65">
        <f t="shared" si="230"/>
        <v>355.56866786687635</v>
      </c>
      <c r="S163" s="65">
        <f t="shared" si="230"/>
        <v>419.59705417399624</v>
      </c>
      <c r="T163" s="65">
        <f t="shared" si="230"/>
        <v>363.12054046129867</v>
      </c>
      <c r="U163" s="65">
        <f t="shared" si="230"/>
        <v>385.46867372070648</v>
      </c>
      <c r="V163" s="65">
        <f t="shared" si="230"/>
        <v>346.47110952435298</v>
      </c>
      <c r="W163" s="65">
        <f t="shared" si="230"/>
        <v>382.56789107086212</v>
      </c>
      <c r="X163" s="65">
        <f t="shared" ref="X163:Y163" si="231">IF(X109=0,0,X109/X$23)</f>
        <v>397.64479718004145</v>
      </c>
      <c r="Y163" s="65">
        <f t="shared" si="231"/>
        <v>381.14240318079527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537.93468250018088</v>
      </c>
      <c r="C164" s="65">
        <f t="shared" ref="C164:W164" si="233">IF(C110=0,0,C110/C$23)</f>
        <v>533.84309453531296</v>
      </c>
      <c r="D164" s="65">
        <f t="shared" si="233"/>
        <v>522.6181823031402</v>
      </c>
      <c r="E164" s="65">
        <f t="shared" si="233"/>
        <v>526.28972484005953</v>
      </c>
      <c r="F164" s="65">
        <f t="shared" si="233"/>
        <v>526.46456777220044</v>
      </c>
      <c r="G164" s="65">
        <f t="shared" si="233"/>
        <v>540.39856845422048</v>
      </c>
      <c r="H164" s="65">
        <f t="shared" si="233"/>
        <v>540.64710658919182</v>
      </c>
      <c r="I164" s="65">
        <f t="shared" si="233"/>
        <v>539.35542968719244</v>
      </c>
      <c r="J164" s="65">
        <f t="shared" si="233"/>
        <v>537.09925033568209</v>
      </c>
      <c r="K164" s="65">
        <f t="shared" si="233"/>
        <v>547.24202417787262</v>
      </c>
      <c r="L164" s="65">
        <f t="shared" si="233"/>
        <v>561.71272304639444</v>
      </c>
      <c r="M164" s="65">
        <f t="shared" si="233"/>
        <v>568.51577408045762</v>
      </c>
      <c r="N164" s="65">
        <f t="shared" si="233"/>
        <v>579.39842085308544</v>
      </c>
      <c r="O164" s="65">
        <f t="shared" si="233"/>
        <v>597.60700447530303</v>
      </c>
      <c r="P164" s="65">
        <f t="shared" si="233"/>
        <v>617.6951255812404</v>
      </c>
      <c r="Q164" s="65">
        <f t="shared" si="233"/>
        <v>629.0784238932697</v>
      </c>
      <c r="R164" s="65">
        <f t="shared" si="233"/>
        <v>633.50461593515547</v>
      </c>
      <c r="S164" s="65">
        <f t="shared" si="233"/>
        <v>625.39983533502175</v>
      </c>
      <c r="T164" s="65">
        <f t="shared" si="233"/>
        <v>613.71713634779383</v>
      </c>
      <c r="U164" s="65">
        <f t="shared" si="233"/>
        <v>617.84121374517224</v>
      </c>
      <c r="V164" s="65">
        <f t="shared" si="233"/>
        <v>611.03633905006393</v>
      </c>
      <c r="W164" s="65">
        <f t="shared" si="233"/>
        <v>621.52309009269266</v>
      </c>
      <c r="X164" s="65">
        <f t="shared" ref="X164:Y164" si="234">IF(X110=0,0,X110/X$23)</f>
        <v>624.75725924022811</v>
      </c>
      <c r="Y164" s="65">
        <f t="shared" si="234"/>
        <v>629.13306507718517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645.32884175302638</v>
      </c>
      <c r="C165" s="68">
        <f t="shared" ref="C165:W165" si="236">IF(C111=0,0,C111/C$23)</f>
        <v>677.70198174020959</v>
      </c>
      <c r="D165" s="68">
        <f t="shared" si="236"/>
        <v>668.65038995047144</v>
      </c>
      <c r="E165" s="68">
        <f t="shared" si="236"/>
        <v>650.85087373595218</v>
      </c>
      <c r="F165" s="68">
        <f t="shared" si="236"/>
        <v>648.01092708489784</v>
      </c>
      <c r="G165" s="68">
        <f t="shared" si="236"/>
        <v>653.97941593301687</v>
      </c>
      <c r="H165" s="68">
        <f t="shared" si="236"/>
        <v>653.93773605877232</v>
      </c>
      <c r="I165" s="68">
        <f t="shared" si="236"/>
        <v>643.72347450582288</v>
      </c>
      <c r="J165" s="68">
        <f t="shared" si="236"/>
        <v>628.45177193391567</v>
      </c>
      <c r="K165" s="68">
        <f t="shared" si="236"/>
        <v>633.67608761466147</v>
      </c>
      <c r="L165" s="68">
        <f t="shared" si="236"/>
        <v>644.24483974424231</v>
      </c>
      <c r="M165" s="68">
        <f t="shared" si="236"/>
        <v>664.28925572116873</v>
      </c>
      <c r="N165" s="68">
        <f t="shared" si="236"/>
        <v>684.60209315282987</v>
      </c>
      <c r="O165" s="68">
        <f t="shared" si="236"/>
        <v>696.41651416460616</v>
      </c>
      <c r="P165" s="68">
        <f t="shared" si="236"/>
        <v>713.29422284124439</v>
      </c>
      <c r="Q165" s="68">
        <f t="shared" si="236"/>
        <v>747.48405714007777</v>
      </c>
      <c r="R165" s="68">
        <f t="shared" si="236"/>
        <v>763.03815381995889</v>
      </c>
      <c r="S165" s="68">
        <f t="shared" si="236"/>
        <v>765.65122412995333</v>
      </c>
      <c r="T165" s="68">
        <f t="shared" si="236"/>
        <v>769.10989714852997</v>
      </c>
      <c r="U165" s="68">
        <f t="shared" si="236"/>
        <v>771.74494447390794</v>
      </c>
      <c r="V165" s="68">
        <f t="shared" si="236"/>
        <v>739.52743553362734</v>
      </c>
      <c r="W165" s="68">
        <f t="shared" si="236"/>
        <v>747.36814030488881</v>
      </c>
      <c r="X165" s="68">
        <f t="shared" ref="X165:Y165" si="237">IF(X111=0,0,X111/X$23)</f>
        <v>741.53630982616119</v>
      </c>
      <c r="Y165" s="68">
        <f t="shared" si="237"/>
        <v>722.29518028467112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1920.4942141364472</v>
      </c>
      <c r="C167" s="82">
        <f t="shared" ref="C167:W167" si="239">IF(C113=0,0,C113/C$23)</f>
        <v>2907.8832656165123</v>
      </c>
      <c r="D167" s="82">
        <f t="shared" si="239"/>
        <v>2376.1156360257105</v>
      </c>
      <c r="E167" s="82">
        <f t="shared" si="239"/>
        <v>1689.415875862599</v>
      </c>
      <c r="F167" s="82">
        <f t="shared" si="239"/>
        <v>1687.3970908680944</v>
      </c>
      <c r="G167" s="82">
        <f t="shared" si="239"/>
        <v>1472.8506802639479</v>
      </c>
      <c r="H167" s="82">
        <f t="shared" si="239"/>
        <v>1173.456381787423</v>
      </c>
      <c r="I167" s="82">
        <f t="shared" si="239"/>
        <v>829.40305208533584</v>
      </c>
      <c r="J167" s="82">
        <f t="shared" si="239"/>
        <v>1199.3025807545571</v>
      </c>
      <c r="K167" s="82">
        <f t="shared" si="239"/>
        <v>1134.7453883317992</v>
      </c>
      <c r="L167" s="82">
        <f t="shared" si="239"/>
        <v>1214.5347708948871</v>
      </c>
      <c r="M167" s="82">
        <f t="shared" si="239"/>
        <v>1020.0939157324058</v>
      </c>
      <c r="N167" s="82">
        <f t="shared" si="239"/>
        <v>723.18743680042803</v>
      </c>
      <c r="O167" s="82">
        <f t="shared" si="239"/>
        <v>715.16161555336021</v>
      </c>
      <c r="P167" s="82">
        <f t="shared" si="239"/>
        <v>585.88291761194034</v>
      </c>
      <c r="Q167" s="82">
        <f t="shared" si="239"/>
        <v>653.41920250705914</v>
      </c>
      <c r="R167" s="82">
        <f t="shared" si="239"/>
        <v>747.20258803238653</v>
      </c>
      <c r="S167" s="82">
        <f t="shared" si="239"/>
        <v>574.07972400779533</v>
      </c>
      <c r="T167" s="82">
        <f t="shared" si="239"/>
        <v>534.41989340948396</v>
      </c>
      <c r="U167" s="82">
        <f t="shared" si="239"/>
        <v>502.77410370152387</v>
      </c>
      <c r="V167" s="82">
        <f t="shared" si="239"/>
        <v>493.03048112049464</v>
      </c>
      <c r="W167" s="82">
        <f t="shared" si="239"/>
        <v>369.01253750987115</v>
      </c>
      <c r="X167" s="82">
        <f t="shared" ref="X167:Y167" si="240">IF(X113=0,0,X113/X$23)</f>
        <v>482.99211053393509</v>
      </c>
      <c r="Y167" s="82">
        <f t="shared" si="240"/>
        <v>550.88217988416147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1920.4942141364472</v>
      </c>
      <c r="C168" s="64">
        <f t="shared" ref="C168:W168" si="242">IF(C114=0,0,C114/C$23)</f>
        <v>2907.8832656165123</v>
      </c>
      <c r="D168" s="64">
        <f t="shared" si="242"/>
        <v>2376.1156360257105</v>
      </c>
      <c r="E168" s="64">
        <f t="shared" si="242"/>
        <v>1689.415875862599</v>
      </c>
      <c r="F168" s="64">
        <f t="shared" si="242"/>
        <v>1687.3970908680944</v>
      </c>
      <c r="G168" s="64">
        <f t="shared" si="242"/>
        <v>1472.8506802639479</v>
      </c>
      <c r="H168" s="64">
        <f t="shared" si="242"/>
        <v>1173.456381787423</v>
      </c>
      <c r="I168" s="64">
        <f t="shared" si="242"/>
        <v>829.40305208533584</v>
      </c>
      <c r="J168" s="64">
        <f t="shared" si="242"/>
        <v>1199.3025807545571</v>
      </c>
      <c r="K168" s="64">
        <f t="shared" si="242"/>
        <v>1134.7453883317992</v>
      </c>
      <c r="L168" s="64">
        <f t="shared" si="242"/>
        <v>1214.5347708948871</v>
      </c>
      <c r="M168" s="64">
        <f t="shared" si="242"/>
        <v>1020.0939157324058</v>
      </c>
      <c r="N168" s="64">
        <f t="shared" si="242"/>
        <v>723.18743680042803</v>
      </c>
      <c r="O168" s="64">
        <f t="shared" si="242"/>
        <v>715.16161555336021</v>
      </c>
      <c r="P168" s="64">
        <f t="shared" si="242"/>
        <v>585.88291761194034</v>
      </c>
      <c r="Q168" s="64">
        <f t="shared" si="242"/>
        <v>653.41920250705914</v>
      </c>
      <c r="R168" s="64">
        <f t="shared" si="242"/>
        <v>747.20258803238653</v>
      </c>
      <c r="S168" s="64">
        <f t="shared" si="242"/>
        <v>574.07972400779533</v>
      </c>
      <c r="T168" s="64">
        <f t="shared" si="242"/>
        <v>534.41989340948396</v>
      </c>
      <c r="U168" s="64">
        <f t="shared" si="242"/>
        <v>502.77410370152387</v>
      </c>
      <c r="V168" s="64">
        <f t="shared" si="242"/>
        <v>493.03048112049464</v>
      </c>
      <c r="W168" s="64">
        <f t="shared" si="242"/>
        <v>369.01253750987115</v>
      </c>
      <c r="X168" s="64">
        <f t="shared" ref="X168:Y168" si="243">IF(X114=0,0,X114/X$23)</f>
        <v>482.99211053393509</v>
      </c>
      <c r="Y168" s="64">
        <f t="shared" si="243"/>
        <v>550.88217988416147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1581.5467155662864</v>
      </c>
      <c r="C169" s="65">
        <f t="shared" ref="C169:W169" si="245">IF(C115=0,0,C115/C$23)</f>
        <v>2551.9809841424121</v>
      </c>
      <c r="D169" s="65">
        <f t="shared" si="245"/>
        <v>2099.6276821913571</v>
      </c>
      <c r="E169" s="65">
        <f t="shared" si="245"/>
        <v>1436.7311065208758</v>
      </c>
      <c r="F169" s="65">
        <f t="shared" si="245"/>
        <v>1432.2033675717969</v>
      </c>
      <c r="G169" s="65">
        <f t="shared" si="245"/>
        <v>1232.2485404564309</v>
      </c>
      <c r="H169" s="65">
        <f t="shared" si="245"/>
        <v>956.57165185201654</v>
      </c>
      <c r="I169" s="65">
        <f t="shared" si="245"/>
        <v>560.8841962771254</v>
      </c>
      <c r="J169" s="65">
        <f t="shared" si="245"/>
        <v>981.51463095577606</v>
      </c>
      <c r="K169" s="65">
        <f t="shared" si="245"/>
        <v>907.78765090366483</v>
      </c>
      <c r="L169" s="65">
        <f t="shared" si="245"/>
        <v>970.67184694034916</v>
      </c>
      <c r="M169" s="65">
        <f t="shared" si="245"/>
        <v>846.53750045678589</v>
      </c>
      <c r="N169" s="65">
        <f t="shared" si="245"/>
        <v>530.33082318203117</v>
      </c>
      <c r="O169" s="65">
        <f t="shared" si="245"/>
        <v>547.22660535159002</v>
      </c>
      <c r="P169" s="65">
        <f t="shared" si="245"/>
        <v>417.9666759162688</v>
      </c>
      <c r="Q169" s="65">
        <f t="shared" si="245"/>
        <v>483.83088469621811</v>
      </c>
      <c r="R169" s="65">
        <f t="shared" si="245"/>
        <v>574.84691957908569</v>
      </c>
      <c r="S169" s="65">
        <f t="shared" si="245"/>
        <v>419.31462035866542</v>
      </c>
      <c r="T169" s="65">
        <f t="shared" si="245"/>
        <v>369.76334470719405</v>
      </c>
      <c r="U169" s="65">
        <f t="shared" si="245"/>
        <v>323.85532585954417</v>
      </c>
      <c r="V169" s="65">
        <f t="shared" si="245"/>
        <v>335.03179346648636</v>
      </c>
      <c r="W169" s="65">
        <f t="shared" si="245"/>
        <v>244.62089044863617</v>
      </c>
      <c r="X169" s="65">
        <f t="shared" ref="X169:Y169" si="246">IF(X115=0,0,X115/X$23)</f>
        <v>349.38809063466016</v>
      </c>
      <c r="Y169" s="65">
        <f t="shared" si="246"/>
        <v>455.69747052351391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188.1443889193248</v>
      </c>
      <c r="C171" s="65">
        <f t="shared" ref="C171:W171" si="251">IF(C117=0,0,C117/C$23)</f>
        <v>181.00325182654183</v>
      </c>
      <c r="D171" s="65">
        <f t="shared" si="251"/>
        <v>175.03127782155693</v>
      </c>
      <c r="E171" s="65">
        <f t="shared" si="251"/>
        <v>183.57146824584956</v>
      </c>
      <c r="F171" s="65">
        <f t="shared" si="251"/>
        <v>181.04190181510188</v>
      </c>
      <c r="G171" s="65">
        <f t="shared" si="251"/>
        <v>180.10196504093904</v>
      </c>
      <c r="H171" s="65">
        <f t="shared" si="251"/>
        <v>177.49783470495751</v>
      </c>
      <c r="I171" s="65">
        <f t="shared" si="251"/>
        <v>177.39270853262917</v>
      </c>
      <c r="J171" s="65">
        <f t="shared" si="251"/>
        <v>163.01676522305351</v>
      </c>
      <c r="K171" s="65">
        <f t="shared" si="251"/>
        <v>159.70622867929711</v>
      </c>
      <c r="L171" s="65">
        <f t="shared" si="251"/>
        <v>156.1961104864711</v>
      </c>
      <c r="M171" s="65">
        <f t="shared" si="251"/>
        <v>132.07088420324848</v>
      </c>
      <c r="N171" s="65">
        <f t="shared" si="251"/>
        <v>122.97524896869241</v>
      </c>
      <c r="O171" s="65">
        <f t="shared" si="251"/>
        <v>107.62785794891761</v>
      </c>
      <c r="P171" s="65">
        <f t="shared" si="251"/>
        <v>94.942655793767329</v>
      </c>
      <c r="Q171" s="65">
        <f t="shared" si="251"/>
        <v>87.03913434990848</v>
      </c>
      <c r="R171" s="65">
        <f t="shared" si="251"/>
        <v>89.066729808869525</v>
      </c>
      <c r="S171" s="65">
        <f t="shared" si="251"/>
        <v>76.250277037497384</v>
      </c>
      <c r="T171" s="65">
        <f t="shared" si="251"/>
        <v>87.614125895307865</v>
      </c>
      <c r="U171" s="65">
        <f t="shared" si="251"/>
        <v>85.065769029944306</v>
      </c>
      <c r="V171" s="65">
        <f t="shared" si="251"/>
        <v>78.455364664805984</v>
      </c>
      <c r="W171" s="65">
        <f t="shared" si="251"/>
        <v>64.828882288502882</v>
      </c>
      <c r="X171" s="65">
        <f t="shared" ref="X171:Y171" si="252">IF(X117=0,0,X117/X$23)</f>
        <v>67.127326357594598</v>
      </c>
      <c r="Y171" s="65">
        <f t="shared" si="252"/>
        <v>52.708602042016118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150.80310965083623</v>
      </c>
      <c r="C172" s="67">
        <f t="shared" ref="C172:W172" si="254">IF(C118=0,0,C118/C$23)</f>
        <v>174.89902964755819</v>
      </c>
      <c r="D172" s="67">
        <f t="shared" si="254"/>
        <v>101.45667601279705</v>
      </c>
      <c r="E172" s="67">
        <f t="shared" si="254"/>
        <v>69.113301095873794</v>
      </c>
      <c r="F172" s="67">
        <f t="shared" si="254"/>
        <v>74.151821481195839</v>
      </c>
      <c r="G172" s="67">
        <f t="shared" si="254"/>
        <v>60.500174766578105</v>
      </c>
      <c r="H172" s="67">
        <f t="shared" si="254"/>
        <v>39.386895230448786</v>
      </c>
      <c r="I172" s="67">
        <f t="shared" si="254"/>
        <v>91.126147275581175</v>
      </c>
      <c r="J172" s="67">
        <f t="shared" si="254"/>
        <v>54.771184575727261</v>
      </c>
      <c r="K172" s="67">
        <f t="shared" si="254"/>
        <v>67.251508748837438</v>
      </c>
      <c r="L172" s="67">
        <f t="shared" si="254"/>
        <v>87.666813468066991</v>
      </c>
      <c r="M172" s="67">
        <f t="shared" si="254"/>
        <v>41.485531072371259</v>
      </c>
      <c r="N172" s="67">
        <f t="shared" si="254"/>
        <v>69.881364649704381</v>
      </c>
      <c r="O172" s="67">
        <f t="shared" si="254"/>
        <v>60.307152252852426</v>
      </c>
      <c r="P172" s="67">
        <f t="shared" si="254"/>
        <v>72.973585901904272</v>
      </c>
      <c r="Q172" s="67">
        <f t="shared" si="254"/>
        <v>82.549183460932397</v>
      </c>
      <c r="R172" s="67">
        <f t="shared" si="254"/>
        <v>83.288938644431326</v>
      </c>
      <c r="S172" s="67">
        <f t="shared" si="254"/>
        <v>78.514826611632429</v>
      </c>
      <c r="T172" s="67">
        <f t="shared" si="254"/>
        <v>77.042422806982046</v>
      </c>
      <c r="U172" s="67">
        <f t="shared" si="254"/>
        <v>93.853008812035384</v>
      </c>
      <c r="V172" s="67">
        <f t="shared" si="254"/>
        <v>79.543322989202451</v>
      </c>
      <c r="W172" s="67">
        <f t="shared" si="254"/>
        <v>59.562764772732137</v>
      </c>
      <c r="X172" s="67">
        <f t="shared" ref="X172:Y172" si="255">IF(X118=0,0,X118/X$23)</f>
        <v>66.476693541680376</v>
      </c>
      <c r="Y172" s="67">
        <f t="shared" si="255"/>
        <v>42.476107318631342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20442.166422701332</v>
      </c>
      <c r="C3" s="124">
        <f t="shared" si="0"/>
        <v>20980.473114583663</v>
      </c>
      <c r="D3" s="124">
        <f t="shared" si="0"/>
        <v>21754.077411397753</v>
      </c>
      <c r="E3" s="124">
        <f t="shared" si="0"/>
        <v>22303.789181581462</v>
      </c>
      <c r="F3" s="124">
        <f t="shared" si="0"/>
        <v>23158.560025492108</v>
      </c>
      <c r="G3" s="124">
        <f t="shared" si="0"/>
        <v>23912.086139419822</v>
      </c>
      <c r="H3" s="124">
        <f t="shared" si="0"/>
        <v>25138.039380696791</v>
      </c>
      <c r="I3" s="124">
        <f t="shared" si="0"/>
        <v>26687.881627892588</v>
      </c>
      <c r="J3" s="124">
        <f t="shared" si="0"/>
        <v>27544.090028273153</v>
      </c>
      <c r="K3" s="124">
        <f t="shared" si="0"/>
        <v>27805.881201491473</v>
      </c>
      <c r="L3" s="124">
        <f t="shared" si="0"/>
        <v>28093.323733954465</v>
      </c>
      <c r="M3" s="124">
        <f t="shared" si="0"/>
        <v>28258.788071910145</v>
      </c>
      <c r="N3" s="124">
        <f t="shared" si="0"/>
        <v>28324.328207252795</v>
      </c>
      <c r="O3" s="124">
        <f t="shared" si="0"/>
        <v>28429.088712660687</v>
      </c>
      <c r="P3" s="124">
        <f t="shared" si="0"/>
        <v>28795.623729156803</v>
      </c>
      <c r="Q3" s="124">
        <f t="shared" si="0"/>
        <v>29044.380886635598</v>
      </c>
      <c r="R3" s="124">
        <f t="shared" si="0"/>
        <v>29362.289438705662</v>
      </c>
      <c r="S3" s="124">
        <f t="shared" si="0"/>
        <v>29807.198296364011</v>
      </c>
      <c r="T3" s="124">
        <f t="shared" si="0"/>
        <v>30261.301487380719</v>
      </c>
      <c r="U3" s="124">
        <f t="shared" si="0"/>
        <v>30639.658183836345</v>
      </c>
      <c r="V3" s="124">
        <f t="shared" si="0"/>
        <v>30966.872222222242</v>
      </c>
      <c r="W3" s="124">
        <f t="shared" si="0"/>
        <v>31265.500612908334</v>
      </c>
      <c r="X3" s="124">
        <f t="shared" si="0"/>
        <v>31540.94857410128</v>
      </c>
      <c r="Y3" s="124">
        <f t="shared" si="0"/>
        <v>31795.676507315242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20442.166422701332</v>
      </c>
      <c r="C4" s="139">
        <f t="shared" si="1"/>
        <v>20980.473114583663</v>
      </c>
      <c r="D4" s="139">
        <f t="shared" si="1"/>
        <v>21754.077411397753</v>
      </c>
      <c r="E4" s="139">
        <f t="shared" si="1"/>
        <v>22303.789181581462</v>
      </c>
      <c r="F4" s="139">
        <f t="shared" si="1"/>
        <v>23158.560025492108</v>
      </c>
      <c r="G4" s="139">
        <f t="shared" si="1"/>
        <v>23912.086139419822</v>
      </c>
      <c r="H4" s="139">
        <f t="shared" si="1"/>
        <v>25138.039380696791</v>
      </c>
      <c r="I4" s="139">
        <f t="shared" si="1"/>
        <v>26687.881627892588</v>
      </c>
      <c r="J4" s="139">
        <f t="shared" si="1"/>
        <v>27544.090028273153</v>
      </c>
      <c r="K4" s="139">
        <f t="shared" si="1"/>
        <v>27805.881201491473</v>
      </c>
      <c r="L4" s="139">
        <f t="shared" si="1"/>
        <v>28093.323733954465</v>
      </c>
      <c r="M4" s="139">
        <f t="shared" si="1"/>
        <v>28258.788071910145</v>
      </c>
      <c r="N4" s="139">
        <f t="shared" si="1"/>
        <v>28324.328207252795</v>
      </c>
      <c r="O4" s="139">
        <f t="shared" si="1"/>
        <v>28429.088712660687</v>
      </c>
      <c r="P4" s="139">
        <f t="shared" si="1"/>
        <v>28795.623729156803</v>
      </c>
      <c r="Q4" s="139">
        <f t="shared" si="1"/>
        <v>29044.380886635598</v>
      </c>
      <c r="R4" s="139">
        <f t="shared" ref="R4:W4" si="2">SUM(R5:R14)</f>
        <v>29362.289438705662</v>
      </c>
      <c r="S4" s="139">
        <f t="shared" si="2"/>
        <v>29807.198296364011</v>
      </c>
      <c r="T4" s="139">
        <f t="shared" si="2"/>
        <v>30261.301487380719</v>
      </c>
      <c r="U4" s="139">
        <f t="shared" si="2"/>
        <v>30639.658183836345</v>
      </c>
      <c r="V4" s="139">
        <f t="shared" si="2"/>
        <v>30966.872222222242</v>
      </c>
      <c r="W4" s="139">
        <f t="shared" si="2"/>
        <v>31265.500612908334</v>
      </c>
      <c r="X4" s="139">
        <f t="shared" ref="X4:Y4" si="3">SUM(X5:X14)</f>
        <v>31540.94857410128</v>
      </c>
      <c r="Y4" s="139">
        <f t="shared" si="3"/>
        <v>31795.676507315242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9853.5054288877163</v>
      </c>
      <c r="C7" s="140">
        <v>10112.463113044951</v>
      </c>
      <c r="D7" s="140">
        <v>10411.481986815856</v>
      </c>
      <c r="E7" s="140">
        <v>11252.382687691135</v>
      </c>
      <c r="F7" s="140">
        <v>11812.57446161213</v>
      </c>
      <c r="G7" s="140">
        <v>12553.989743617158</v>
      </c>
      <c r="H7" s="140">
        <v>12929.103404278763</v>
      </c>
      <c r="I7" s="140">
        <v>13175.872012946518</v>
      </c>
      <c r="J7" s="140">
        <v>13673.609660918255</v>
      </c>
      <c r="K7" s="140">
        <v>13326.460688553789</v>
      </c>
      <c r="L7" s="140">
        <v>11864.614438353776</v>
      </c>
      <c r="M7" s="140">
        <v>10292.73164551996</v>
      </c>
      <c r="N7" s="140">
        <v>8892.2343650953826</v>
      </c>
      <c r="O7" s="140">
        <v>7770.4779104649524</v>
      </c>
      <c r="P7" s="140">
        <v>7038.8453384172935</v>
      </c>
      <c r="Q7" s="140">
        <v>6636.5061184431979</v>
      </c>
      <c r="R7" s="140">
        <v>6460.4346109319968</v>
      </c>
      <c r="S7" s="140">
        <v>6035.9522607667959</v>
      </c>
      <c r="T7" s="140">
        <v>6173.5229015670611</v>
      </c>
      <c r="U7" s="140">
        <v>6155.6054784172466</v>
      </c>
      <c r="V7" s="140">
        <v>5901.0198414581464</v>
      </c>
      <c r="W7" s="140">
        <v>6053.8586700994529</v>
      </c>
      <c r="X7" s="140">
        <v>6376.6815550423707</v>
      </c>
      <c r="Y7" s="140">
        <v>6836.9389709364641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1329.4457395979912</v>
      </c>
      <c r="C9" s="140">
        <v>2165.3753629111311</v>
      </c>
      <c r="D9" s="140">
        <v>2543.3851901521784</v>
      </c>
      <c r="E9" s="140">
        <v>2567.0771296675607</v>
      </c>
      <c r="F9" s="140">
        <v>2362.2255129011146</v>
      </c>
      <c r="G9" s="140">
        <v>1778.5096217850728</v>
      </c>
      <c r="H9" s="140">
        <v>1357.4469759947999</v>
      </c>
      <c r="I9" s="140">
        <v>1178.6263893083024</v>
      </c>
      <c r="J9" s="140">
        <v>1138.6430634535523</v>
      </c>
      <c r="K9" s="140">
        <v>1429.2842962382338</v>
      </c>
      <c r="L9" s="140">
        <v>1654.3689288619448</v>
      </c>
      <c r="M9" s="140">
        <v>2064.0580318316524</v>
      </c>
      <c r="N9" s="140">
        <v>2044.58634772039</v>
      </c>
      <c r="O9" s="140">
        <v>2804.2596292359704</v>
      </c>
      <c r="P9" s="140">
        <v>3675.3677920775972</v>
      </c>
      <c r="Q9" s="140">
        <v>4487.7481528269382</v>
      </c>
      <c r="R9" s="140">
        <v>4706.4757554970056</v>
      </c>
      <c r="S9" s="140">
        <v>4210.2239912957048</v>
      </c>
      <c r="T9" s="140">
        <v>3289.5846987089171</v>
      </c>
      <c r="U9" s="140">
        <v>3005.999635486457</v>
      </c>
      <c r="V9" s="140">
        <v>2972.8890889574191</v>
      </c>
      <c r="W9" s="140">
        <v>3515.2150044863888</v>
      </c>
      <c r="X9" s="140">
        <v>4149.2862905557249</v>
      </c>
      <c r="Y9" s="140">
        <v>5456.0953461145527</v>
      </c>
      <c r="DA9" s="170" t="s">
        <v>251</v>
      </c>
    </row>
    <row r="10" spans="1:105" ht="12" customHeight="1" x14ac:dyDescent="0.25">
      <c r="A10" s="131" t="s">
        <v>128</v>
      </c>
      <c r="B10" s="140">
        <v>53.706182793732026</v>
      </c>
      <c r="C10" s="140">
        <v>50.965959343932404</v>
      </c>
      <c r="D10" s="140">
        <v>46.525445634232348</v>
      </c>
      <c r="E10" s="140">
        <v>42.912367456849651</v>
      </c>
      <c r="F10" s="140">
        <v>37.81884323977679</v>
      </c>
      <c r="G10" s="140">
        <v>34.098702878732801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137.11839550333445</v>
      </c>
      <c r="W10" s="140">
        <v>0</v>
      </c>
      <c r="X10" s="140">
        <v>1108.8316566618716</v>
      </c>
      <c r="Y10" s="140">
        <v>1585.7004627316574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1224.8077612960362</v>
      </c>
      <c r="M11" s="140">
        <v>1548.9410462653123</v>
      </c>
      <c r="N11" s="140">
        <v>1686.9289716188064</v>
      </c>
      <c r="O11" s="140">
        <v>1644.8393446241146</v>
      </c>
      <c r="P11" s="140">
        <v>1628.8006188941654</v>
      </c>
      <c r="Q11" s="140">
        <v>1578.4306131931457</v>
      </c>
      <c r="R11" s="140">
        <v>1524.6260196142887</v>
      </c>
      <c r="S11" s="140">
        <v>1510.986935960005</v>
      </c>
      <c r="T11" s="140">
        <v>1563.3016674077492</v>
      </c>
      <c r="U11" s="140">
        <v>1515.9731089681595</v>
      </c>
      <c r="V11" s="140">
        <v>1499.2967118016174</v>
      </c>
      <c r="W11" s="140">
        <v>1430.1426458273329</v>
      </c>
      <c r="X11" s="140">
        <v>1377.0133531914137</v>
      </c>
      <c r="Y11" s="140">
        <v>1391.6520125198238</v>
      </c>
      <c r="DA11" s="170" t="s">
        <v>253</v>
      </c>
    </row>
    <row r="12" spans="1:105" ht="12" customHeight="1" x14ac:dyDescent="0.25">
      <c r="A12" s="131" t="s">
        <v>162</v>
      </c>
      <c r="B12" s="140">
        <v>4345.1056154119751</v>
      </c>
      <c r="C12" s="140">
        <v>3626.3774485446247</v>
      </c>
      <c r="D12" s="140">
        <v>3196.3865580438728</v>
      </c>
      <c r="E12" s="140">
        <v>2786.2017863973547</v>
      </c>
      <c r="F12" s="140">
        <v>2796.0896273948547</v>
      </c>
      <c r="G12" s="140">
        <v>2827.6995224565785</v>
      </c>
      <c r="H12" s="140">
        <v>3030.4350475130873</v>
      </c>
      <c r="I12" s="140">
        <v>2804.25684211321</v>
      </c>
      <c r="J12" s="140">
        <v>2625.1676348217338</v>
      </c>
      <c r="K12" s="140">
        <v>3026.283869141821</v>
      </c>
      <c r="L12" s="140">
        <v>3711.8189972849727</v>
      </c>
      <c r="M12" s="140">
        <v>4573.774595303963</v>
      </c>
      <c r="N12" s="140">
        <v>5372.491874860988</v>
      </c>
      <c r="O12" s="140">
        <v>5751.1938644264555</v>
      </c>
      <c r="P12" s="140">
        <v>5678.1766847316285</v>
      </c>
      <c r="Q12" s="140">
        <v>5640.6828917087214</v>
      </c>
      <c r="R12" s="140">
        <v>5558.7518998390733</v>
      </c>
      <c r="S12" s="140">
        <v>5893.8753381541837</v>
      </c>
      <c r="T12" s="140">
        <v>6170.0533387303076</v>
      </c>
      <c r="U12" s="140">
        <v>6434.2291414581259</v>
      </c>
      <c r="V12" s="140">
        <v>6611.8069437355916</v>
      </c>
      <c r="W12" s="140">
        <v>6519.8093495391286</v>
      </c>
      <c r="X12" s="140">
        <v>5475.9094476743221</v>
      </c>
      <c r="Y12" s="140">
        <v>4528.6039740982596</v>
      </c>
      <c r="DA12" s="170" t="s">
        <v>254</v>
      </c>
    </row>
    <row r="13" spans="1:105" ht="12" customHeight="1" x14ac:dyDescent="0.25">
      <c r="A13" s="131" t="s">
        <v>77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899.07370069528429</v>
      </c>
      <c r="DA13" s="170" t="s">
        <v>255</v>
      </c>
    </row>
    <row r="14" spans="1:105" ht="12" customHeight="1" x14ac:dyDescent="0.25">
      <c r="A14" s="60" t="s">
        <v>76</v>
      </c>
      <c r="B14" s="141">
        <v>4860.403456009919</v>
      </c>
      <c r="C14" s="141">
        <v>5025.2912307390243</v>
      </c>
      <c r="D14" s="141">
        <v>5556.2982307516168</v>
      </c>
      <c r="E14" s="141">
        <v>5655.215210368563</v>
      </c>
      <c r="F14" s="141">
        <v>6149.8515803442333</v>
      </c>
      <c r="G14" s="141">
        <v>6717.788548682277</v>
      </c>
      <c r="H14" s="141">
        <v>7821.0539529101425</v>
      </c>
      <c r="I14" s="141">
        <v>9529.1263835245572</v>
      </c>
      <c r="J14" s="141">
        <v>10106.669669079613</v>
      </c>
      <c r="K14" s="141">
        <v>10023.852347557631</v>
      </c>
      <c r="L14" s="141">
        <v>9637.7136081577337</v>
      </c>
      <c r="M14" s="141">
        <v>9779.2827529892584</v>
      </c>
      <c r="N14" s="141">
        <v>10328.086647957231</v>
      </c>
      <c r="O14" s="141">
        <v>10458.317963909194</v>
      </c>
      <c r="P14" s="141">
        <v>10774.433295036122</v>
      </c>
      <c r="Q14" s="141">
        <v>10701.013110463593</v>
      </c>
      <c r="R14" s="141">
        <v>11112.001152823297</v>
      </c>
      <c r="S14" s="141">
        <v>12156.159770187323</v>
      </c>
      <c r="T14" s="141">
        <v>13064.838880966683</v>
      </c>
      <c r="U14" s="141">
        <v>13527.850819506355</v>
      </c>
      <c r="V14" s="141">
        <v>13844.741240766134</v>
      </c>
      <c r="W14" s="141">
        <v>13746.474942956034</v>
      </c>
      <c r="X14" s="141">
        <v>13053.226270975574</v>
      </c>
      <c r="Y14" s="141">
        <v>11097.612040219201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15581.762966691414</v>
      </c>
      <c r="C15" s="143">
        <f t="shared" si="4"/>
        <v>15955.181883844638</v>
      </c>
      <c r="D15" s="143">
        <f t="shared" si="4"/>
        <v>16197.779180646137</v>
      </c>
      <c r="E15" s="143">
        <f t="shared" si="4"/>
        <v>16648.5739712129</v>
      </c>
      <c r="F15" s="143">
        <f t="shared" si="4"/>
        <v>17008.708445147873</v>
      </c>
      <c r="G15" s="143">
        <f t="shared" si="4"/>
        <v>17194.297590737544</v>
      </c>
      <c r="H15" s="143">
        <f t="shared" si="4"/>
        <v>17316.985427786651</v>
      </c>
      <c r="I15" s="143">
        <f t="shared" si="4"/>
        <v>17158.755244368029</v>
      </c>
      <c r="J15" s="143">
        <f t="shared" si="4"/>
        <v>17437.42035919354</v>
      </c>
      <c r="K15" s="143">
        <f t="shared" si="4"/>
        <v>17782.028853933843</v>
      </c>
      <c r="L15" s="143">
        <f t="shared" si="4"/>
        <v>18455.610125796731</v>
      </c>
      <c r="M15" s="143">
        <f t="shared" si="4"/>
        <v>18479.505318920885</v>
      </c>
      <c r="N15" s="143">
        <f t="shared" si="4"/>
        <v>17996.241559295566</v>
      </c>
      <c r="O15" s="143">
        <f t="shared" si="4"/>
        <v>17970.770748751493</v>
      </c>
      <c r="P15" s="143">
        <f t="shared" si="4"/>
        <v>18021.190434120683</v>
      </c>
      <c r="Q15" s="143">
        <f t="shared" si="4"/>
        <v>18343.367776172003</v>
      </c>
      <c r="R15" s="143">
        <f t="shared" ref="R15:W15" si="5">SUM(R5:R12)</f>
        <v>18250.288285882365</v>
      </c>
      <c r="S15" s="143">
        <f t="shared" si="5"/>
        <v>17651.03852617669</v>
      </c>
      <c r="T15" s="143">
        <f t="shared" si="5"/>
        <v>17196.462606414036</v>
      </c>
      <c r="U15" s="143">
        <f t="shared" si="5"/>
        <v>17111.80736432999</v>
      </c>
      <c r="V15" s="143">
        <f t="shared" si="5"/>
        <v>17122.13098145611</v>
      </c>
      <c r="W15" s="143">
        <f t="shared" si="5"/>
        <v>17519.025669952302</v>
      </c>
      <c r="X15" s="143">
        <f t="shared" ref="X15:Y15" si="6">SUM(X5:X12)</f>
        <v>18487.722303125705</v>
      </c>
      <c r="Y15" s="143">
        <f t="shared" si="6"/>
        <v>19798.990766400755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3195.2394268940225</v>
      </c>
      <c r="C16" s="139">
        <f t="shared" si="7"/>
        <v>3397.0277292909655</v>
      </c>
      <c r="D16" s="139">
        <f t="shared" si="7"/>
        <v>3786.1592681891811</v>
      </c>
      <c r="E16" s="139">
        <f t="shared" si="7"/>
        <v>4090.4758211735511</v>
      </c>
      <c r="F16" s="139">
        <f t="shared" si="7"/>
        <v>4490.9789746254319</v>
      </c>
      <c r="G16" s="139">
        <f t="shared" si="7"/>
        <v>4912.0546772879779</v>
      </c>
      <c r="H16" s="139">
        <f t="shared" si="7"/>
        <v>5597.2266165023257</v>
      </c>
      <c r="I16" s="139">
        <f t="shared" si="7"/>
        <v>6421.0436943516142</v>
      </c>
      <c r="J16" s="139">
        <f t="shared" si="7"/>
        <v>7166.5592958129146</v>
      </c>
      <c r="K16" s="139">
        <f t="shared" si="7"/>
        <v>7528.2080926739327</v>
      </c>
      <c r="L16" s="139">
        <f t="shared" si="7"/>
        <v>8017.0793289225785</v>
      </c>
      <c r="M16" s="139">
        <f t="shared" si="7"/>
        <v>8428.9305529744779</v>
      </c>
      <c r="N16" s="139">
        <f t="shared" si="7"/>
        <v>8685.6128073105956</v>
      </c>
      <c r="O16" s="139">
        <f t="shared" si="7"/>
        <v>8998.2150346807211</v>
      </c>
      <c r="P16" s="139">
        <f t="shared" si="7"/>
        <v>9361.568263475172</v>
      </c>
      <c r="Q16" s="139">
        <f t="shared" si="7"/>
        <v>9533.66139502845</v>
      </c>
      <c r="R16" s="139">
        <f t="shared" ref="R16:W16" si="8">SUM(R17:R18)</f>
        <v>9870.2546821846627</v>
      </c>
      <c r="S16" s="139">
        <f t="shared" si="8"/>
        <v>9950.6508802270055</v>
      </c>
      <c r="T16" s="139">
        <f t="shared" si="8"/>
        <v>10122.007736264106</v>
      </c>
      <c r="U16" s="139">
        <f t="shared" si="8"/>
        <v>10226.509827706406</v>
      </c>
      <c r="V16" s="139">
        <f t="shared" si="8"/>
        <v>10358.226802854086</v>
      </c>
      <c r="W16" s="139">
        <f t="shared" si="8"/>
        <v>10527.183041844033</v>
      </c>
      <c r="X16" s="139">
        <f t="shared" ref="X16:Y16" si="9">SUM(X17:X18)</f>
        <v>10657.667240917923</v>
      </c>
      <c r="Y16" s="139">
        <f t="shared" si="9"/>
        <v>10713.599886845401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3195.2394268940225</v>
      </c>
      <c r="C18" s="140">
        <v>3397.0277292909655</v>
      </c>
      <c r="D18" s="140">
        <v>3786.1592681891811</v>
      </c>
      <c r="E18" s="140">
        <v>4090.4758211735511</v>
      </c>
      <c r="F18" s="140">
        <v>4490.9789746254319</v>
      </c>
      <c r="G18" s="140">
        <v>4912.0546772879779</v>
      </c>
      <c r="H18" s="140">
        <v>5597.2266165023257</v>
      </c>
      <c r="I18" s="140">
        <v>6421.0436943516142</v>
      </c>
      <c r="J18" s="140">
        <v>7166.5592958129146</v>
      </c>
      <c r="K18" s="140">
        <v>7528.2080926739327</v>
      </c>
      <c r="L18" s="140">
        <v>8017.0793289225785</v>
      </c>
      <c r="M18" s="140">
        <v>8428.9305529744779</v>
      </c>
      <c r="N18" s="140">
        <v>8685.6128073105956</v>
      </c>
      <c r="O18" s="140">
        <v>8998.2150346807211</v>
      </c>
      <c r="P18" s="140">
        <v>9361.568263475172</v>
      </c>
      <c r="Q18" s="140">
        <v>9533.66139502845</v>
      </c>
      <c r="R18" s="140">
        <v>9870.2546821846627</v>
      </c>
      <c r="S18" s="140">
        <v>9950.6508802270055</v>
      </c>
      <c r="T18" s="140">
        <v>10122.007736264106</v>
      </c>
      <c r="U18" s="140">
        <v>10226.509827706406</v>
      </c>
      <c r="V18" s="140">
        <v>10358.226802854086</v>
      </c>
      <c r="W18" s="140">
        <v>10527.183041844033</v>
      </c>
      <c r="X18" s="140">
        <v>10657.667240917923</v>
      </c>
      <c r="Y18" s="140">
        <v>10713.599886845401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20442.166422701335</v>
      </c>
      <c r="C19" s="139">
        <f t="shared" si="10"/>
        <v>20980.473114583667</v>
      </c>
      <c r="D19" s="139">
        <f t="shared" si="10"/>
        <v>21754.077411397753</v>
      </c>
      <c r="E19" s="139">
        <f t="shared" si="10"/>
        <v>22303.789181581447</v>
      </c>
      <c r="F19" s="139">
        <f t="shared" si="10"/>
        <v>23158.560025492112</v>
      </c>
      <c r="G19" s="139">
        <f t="shared" si="10"/>
        <v>23912.086139419825</v>
      </c>
      <c r="H19" s="139">
        <f t="shared" si="10"/>
        <v>25138.039380696788</v>
      </c>
      <c r="I19" s="139">
        <f t="shared" si="10"/>
        <v>26687.881627892588</v>
      </c>
      <c r="J19" s="139">
        <f t="shared" si="10"/>
        <v>27544.09002827316</v>
      </c>
      <c r="K19" s="139">
        <f t="shared" si="10"/>
        <v>27805.881201491466</v>
      </c>
      <c r="L19" s="139">
        <f t="shared" si="10"/>
        <v>28093.32373395445</v>
      </c>
      <c r="M19" s="139">
        <f t="shared" si="10"/>
        <v>28258.788071910138</v>
      </c>
      <c r="N19" s="139">
        <f t="shared" si="10"/>
        <v>28324.328207252809</v>
      </c>
      <c r="O19" s="139">
        <f t="shared" si="10"/>
        <v>28429.088712660687</v>
      </c>
      <c r="P19" s="139">
        <f t="shared" si="10"/>
        <v>28795.623729156818</v>
      </c>
      <c r="Q19" s="139">
        <f t="shared" si="10"/>
        <v>29044.380886635598</v>
      </c>
      <c r="R19" s="139">
        <f t="shared" ref="R19:W19" si="11">SUM(R20:R26)</f>
        <v>29362.289438705666</v>
      </c>
      <c r="S19" s="139">
        <f t="shared" si="11"/>
        <v>29807.198296364018</v>
      </c>
      <c r="T19" s="139">
        <f t="shared" si="11"/>
        <v>30261.301487380711</v>
      </c>
      <c r="U19" s="139">
        <f t="shared" si="11"/>
        <v>30639.658183836335</v>
      </c>
      <c r="V19" s="139">
        <f t="shared" si="11"/>
        <v>30966.87222222222</v>
      </c>
      <c r="W19" s="139">
        <f t="shared" si="11"/>
        <v>31265.500612908345</v>
      </c>
      <c r="X19" s="139">
        <f t="shared" ref="X19:Y19" si="12">SUM(X20:X26)</f>
        <v>31540.948574101269</v>
      </c>
      <c r="Y19" s="139">
        <f t="shared" si="12"/>
        <v>31795.676507315238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7854.4332526651333</v>
      </c>
      <c r="C21" s="140">
        <v>7662.3038782395379</v>
      </c>
      <c r="D21" s="140">
        <v>7814.0679594631238</v>
      </c>
      <c r="E21" s="140">
        <v>7696.7686140680171</v>
      </c>
      <c r="F21" s="140">
        <v>7608.308507510199</v>
      </c>
      <c r="G21" s="140">
        <v>7422.3521195829308</v>
      </c>
      <c r="H21" s="140">
        <v>7256.8119964652915</v>
      </c>
      <c r="I21" s="140">
        <v>7064.1331699833299</v>
      </c>
      <c r="J21" s="140">
        <v>6768.4656183628131</v>
      </c>
      <c r="K21" s="140">
        <v>6406.0398940716932</v>
      </c>
      <c r="L21" s="140">
        <v>6055.7509161068338</v>
      </c>
      <c r="M21" s="140">
        <v>5634.1536366733335</v>
      </c>
      <c r="N21" s="140">
        <v>5317.6093414179513</v>
      </c>
      <c r="O21" s="140">
        <v>4954.0402237141907</v>
      </c>
      <c r="P21" s="140">
        <v>4564.8287470134846</v>
      </c>
      <c r="Q21" s="140">
        <v>4434.4695478410122</v>
      </c>
      <c r="R21" s="140">
        <v>4577.9616693476737</v>
      </c>
      <c r="S21" s="140">
        <v>4650.5270302853905</v>
      </c>
      <c r="T21" s="140">
        <v>4843.3311827151192</v>
      </c>
      <c r="U21" s="140">
        <v>4976.3310151531614</v>
      </c>
      <c r="V21" s="140">
        <v>4916.4815972042252</v>
      </c>
      <c r="W21" s="140">
        <v>4747.1515845718432</v>
      </c>
      <c r="X21" s="140">
        <v>3863.8899680011541</v>
      </c>
      <c r="Y21" s="140">
        <v>3050.6496212185871</v>
      </c>
      <c r="DA21" s="170" t="s">
        <v>262</v>
      </c>
    </row>
    <row r="22" spans="1:105" ht="12" customHeight="1" x14ac:dyDescent="0.25">
      <c r="A22" s="131" t="s">
        <v>161</v>
      </c>
      <c r="B22" s="140">
        <v>7287.3457822772179</v>
      </c>
      <c r="C22" s="140">
        <v>7614.7041571340797</v>
      </c>
      <c r="D22" s="140">
        <v>8113.3256636228434</v>
      </c>
      <c r="E22" s="140">
        <v>8681.2748036310732</v>
      </c>
      <c r="F22" s="140">
        <v>9321.0616110368483</v>
      </c>
      <c r="G22" s="140">
        <v>9779.4503627755312</v>
      </c>
      <c r="H22" s="140">
        <v>10502.972062970839</v>
      </c>
      <c r="I22" s="140">
        <v>11447.745997334705</v>
      </c>
      <c r="J22" s="140">
        <v>11456.471199516007</v>
      </c>
      <c r="K22" s="140">
        <v>10792.354614727268</v>
      </c>
      <c r="L22" s="140">
        <v>9993.4592287065316</v>
      </c>
      <c r="M22" s="140">
        <v>8685.3825549578105</v>
      </c>
      <c r="N22" s="140">
        <v>7466.605106415238</v>
      </c>
      <c r="O22" s="140">
        <v>6201.1674360974703</v>
      </c>
      <c r="P22" s="140">
        <v>5318.6807411399823</v>
      </c>
      <c r="Q22" s="140">
        <v>4758.7853161524818</v>
      </c>
      <c r="R22" s="140">
        <v>4751.3904966804275</v>
      </c>
      <c r="S22" s="140">
        <v>4564.080886843587</v>
      </c>
      <c r="T22" s="140">
        <v>4770.763641262929</v>
      </c>
      <c r="U22" s="140">
        <v>4712.4958165807229</v>
      </c>
      <c r="V22" s="140">
        <v>4970.9287108695808</v>
      </c>
      <c r="W22" s="140">
        <v>4990.2385488628706</v>
      </c>
      <c r="X22" s="140">
        <v>5008.3761014988095</v>
      </c>
      <c r="Y22" s="140">
        <v>5057.6001695929135</v>
      </c>
      <c r="DA22" s="170" t="s">
        <v>263</v>
      </c>
    </row>
    <row r="23" spans="1:105" ht="12" customHeight="1" x14ac:dyDescent="0.25">
      <c r="A23" s="131" t="s">
        <v>149</v>
      </c>
      <c r="B23" s="140">
        <v>693.27230670939173</v>
      </c>
      <c r="C23" s="140">
        <v>705.12471789054723</v>
      </c>
      <c r="D23" s="140">
        <v>721.04815952041747</v>
      </c>
      <c r="E23" s="140">
        <v>744.5116845736062</v>
      </c>
      <c r="F23" s="140">
        <v>775.79417540776058</v>
      </c>
      <c r="G23" s="140">
        <v>811.7513062974549</v>
      </c>
      <c r="H23" s="140">
        <v>855.10777968801858</v>
      </c>
      <c r="I23" s="140">
        <v>948.93859087153203</v>
      </c>
      <c r="J23" s="140">
        <v>1083.2250156922344</v>
      </c>
      <c r="K23" s="140">
        <v>1280.2164455146544</v>
      </c>
      <c r="L23" s="140">
        <v>1386.7328369861293</v>
      </c>
      <c r="M23" s="140">
        <v>1418.9191545603931</v>
      </c>
      <c r="N23" s="140">
        <v>1400.6202417191957</v>
      </c>
      <c r="O23" s="140">
        <v>1367.3252294586262</v>
      </c>
      <c r="P23" s="140">
        <v>1368.2220419150865</v>
      </c>
      <c r="Q23" s="140">
        <v>1353.6546063003811</v>
      </c>
      <c r="R23" s="140">
        <v>1332.2604993416603</v>
      </c>
      <c r="S23" s="140">
        <v>1119.3074029738073</v>
      </c>
      <c r="T23" s="140">
        <v>849.93404597155643</v>
      </c>
      <c r="U23" s="140">
        <v>685.54878565034255</v>
      </c>
      <c r="V23" s="140">
        <v>611.12243862584376</v>
      </c>
      <c r="W23" s="140">
        <v>623.29235539502508</v>
      </c>
      <c r="X23" s="140">
        <v>729.98925179643504</v>
      </c>
      <c r="Y23" s="140">
        <v>793.77973880135789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2690.7037803435351</v>
      </c>
      <c r="C25" s="140">
        <v>2722.9711830065075</v>
      </c>
      <c r="D25" s="140">
        <v>2663.783549663231</v>
      </c>
      <c r="E25" s="140">
        <v>2628.6723827266178</v>
      </c>
      <c r="F25" s="140">
        <v>2448.6198248450783</v>
      </c>
      <c r="G25" s="140">
        <v>2261.7639505607349</v>
      </c>
      <c r="H25" s="140">
        <v>2050.181841209157</v>
      </c>
      <c r="I25" s="140">
        <v>1973.1163980621907</v>
      </c>
      <c r="J25" s="140">
        <v>2020.3936554711763</v>
      </c>
      <c r="K25" s="140">
        <v>2333.2007406422886</v>
      </c>
      <c r="L25" s="140">
        <v>2810.1913864078278</v>
      </c>
      <c r="M25" s="140">
        <v>3352.5563371606081</v>
      </c>
      <c r="N25" s="140">
        <v>3824.5558394783084</v>
      </c>
      <c r="O25" s="140">
        <v>4182.487941625498</v>
      </c>
      <c r="P25" s="140">
        <v>4402.0588902754607</v>
      </c>
      <c r="Q25" s="140">
        <v>4567.016257068798</v>
      </c>
      <c r="R25" s="140">
        <v>4816.770617332937</v>
      </c>
      <c r="S25" s="140">
        <v>5271.6342090322014</v>
      </c>
      <c r="T25" s="140">
        <v>5602.2191510371813</v>
      </c>
      <c r="U25" s="140">
        <v>5604.054142980106</v>
      </c>
      <c r="V25" s="140">
        <v>5713.3033090003573</v>
      </c>
      <c r="W25" s="140">
        <v>5853.4028674394531</v>
      </c>
      <c r="X25" s="140">
        <v>5871.7614257103205</v>
      </c>
      <c r="Y25" s="140">
        <v>5771.3704318950322</v>
      </c>
      <c r="DA25" s="170" t="s">
        <v>266</v>
      </c>
    </row>
    <row r="26" spans="1:105" ht="12" customHeight="1" x14ac:dyDescent="0.25">
      <c r="A26" s="131" t="s">
        <v>24</v>
      </c>
      <c r="B26" s="141">
        <v>1916.411300706056</v>
      </c>
      <c r="C26" s="141">
        <v>2275.3691783129948</v>
      </c>
      <c r="D26" s="141">
        <v>2441.8520791281367</v>
      </c>
      <c r="E26" s="141">
        <v>2552.5616965821359</v>
      </c>
      <c r="F26" s="141">
        <v>3004.7759066922231</v>
      </c>
      <c r="G26" s="141">
        <v>3636.768400203172</v>
      </c>
      <c r="H26" s="141">
        <v>4472.9657003634829</v>
      </c>
      <c r="I26" s="141">
        <v>5253.9474716408322</v>
      </c>
      <c r="J26" s="141">
        <v>6215.53453923093</v>
      </c>
      <c r="K26" s="141">
        <v>6994.0695065355585</v>
      </c>
      <c r="L26" s="141">
        <v>7847.1893657471319</v>
      </c>
      <c r="M26" s="141">
        <v>9167.7763885579898</v>
      </c>
      <c r="N26" s="141">
        <v>10314.937678222113</v>
      </c>
      <c r="O26" s="141">
        <v>11724.067881764902</v>
      </c>
      <c r="P26" s="141">
        <v>13141.833308812804</v>
      </c>
      <c r="Q26" s="141">
        <v>13930.455159272928</v>
      </c>
      <c r="R26" s="141">
        <v>13883.90615600297</v>
      </c>
      <c r="S26" s="141">
        <v>14201.64876722903</v>
      </c>
      <c r="T26" s="141">
        <v>14195.053466393927</v>
      </c>
      <c r="U26" s="141">
        <v>14661.228423472001</v>
      </c>
      <c r="V26" s="141">
        <v>14755.036166522212</v>
      </c>
      <c r="W26" s="141">
        <v>15051.415256639153</v>
      </c>
      <c r="X26" s="141">
        <v>16066.93182709455</v>
      </c>
      <c r="Y26" s="141">
        <v>17122.276545807348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20442.166422701332</v>
      </c>
      <c r="C29" s="139">
        <f t="shared" si="13"/>
        <v>20980.473114583667</v>
      </c>
      <c r="D29" s="139">
        <f t="shared" si="13"/>
        <v>21754.077411397753</v>
      </c>
      <c r="E29" s="139">
        <f t="shared" si="13"/>
        <v>22303.789181581451</v>
      </c>
      <c r="F29" s="139">
        <f t="shared" si="13"/>
        <v>23158.560025492108</v>
      </c>
      <c r="G29" s="139">
        <f t="shared" si="13"/>
        <v>23912.086139419818</v>
      </c>
      <c r="H29" s="139">
        <f t="shared" si="13"/>
        <v>25138.039380696791</v>
      </c>
      <c r="I29" s="139">
        <f t="shared" si="13"/>
        <v>26687.881627892588</v>
      </c>
      <c r="J29" s="139">
        <f t="shared" si="13"/>
        <v>27544.090028273153</v>
      </c>
      <c r="K29" s="139">
        <f t="shared" si="13"/>
        <v>27805.88120149148</v>
      </c>
      <c r="L29" s="139">
        <f t="shared" si="13"/>
        <v>28093.32373395445</v>
      </c>
      <c r="M29" s="139">
        <f t="shared" si="13"/>
        <v>28258.788071910138</v>
      </c>
      <c r="N29" s="139">
        <f t="shared" si="13"/>
        <v>28324.328207252791</v>
      </c>
      <c r="O29" s="139">
        <f t="shared" si="13"/>
        <v>28429.088712660712</v>
      </c>
      <c r="P29" s="139">
        <f t="shared" si="13"/>
        <v>28795.623729156814</v>
      </c>
      <c r="Q29" s="139">
        <f t="shared" si="13"/>
        <v>29044.380886635583</v>
      </c>
      <c r="R29" s="139">
        <f t="shared" ref="R29:W29" si="14">SUM(R30:R33)</f>
        <v>29362.28943870564</v>
      </c>
      <c r="S29" s="139">
        <f t="shared" si="14"/>
        <v>29807.198296364008</v>
      </c>
      <c r="T29" s="139">
        <f t="shared" si="14"/>
        <v>30261.301487380704</v>
      </c>
      <c r="U29" s="139">
        <f t="shared" si="14"/>
        <v>30639.658183836335</v>
      </c>
      <c r="V29" s="139">
        <f t="shared" si="14"/>
        <v>30966.872222222224</v>
      </c>
      <c r="W29" s="139">
        <f t="shared" si="14"/>
        <v>31265.500612908305</v>
      </c>
      <c r="X29" s="139">
        <f t="shared" ref="X29:Y29" si="15">SUM(X30:X33)</f>
        <v>31540.948574101269</v>
      </c>
      <c r="Y29" s="139">
        <f t="shared" si="15"/>
        <v>31795.676507315231</v>
      </c>
      <c r="DA29" s="169" t="s">
        <v>269</v>
      </c>
    </row>
    <row r="30" spans="1:105" ht="12" customHeight="1" x14ac:dyDescent="0.25">
      <c r="A30" s="131" t="s">
        <v>52</v>
      </c>
      <c r="B30" s="140">
        <v>11730.548439651464</v>
      </c>
      <c r="C30" s="140">
        <v>9859.7027864220672</v>
      </c>
      <c r="D30" s="140">
        <v>6577.9216078199934</v>
      </c>
      <c r="E30" s="140">
        <v>4619.8348742373082</v>
      </c>
      <c r="F30" s="140">
        <v>3857.6463553157605</v>
      </c>
      <c r="G30" s="140">
        <v>4218.5980823380924</v>
      </c>
      <c r="H30" s="140">
        <v>4873.1993077931338</v>
      </c>
      <c r="I30" s="140">
        <v>6596.0416406484992</v>
      </c>
      <c r="J30" s="140">
        <v>6832.0459462003464</v>
      </c>
      <c r="K30" s="140">
        <v>7004.723616989033</v>
      </c>
      <c r="L30" s="140">
        <v>6946.329636931926</v>
      </c>
      <c r="M30" s="140">
        <v>5686.6169205535034</v>
      </c>
      <c r="N30" s="140">
        <v>5692.8019416980978</v>
      </c>
      <c r="O30" s="140">
        <v>5078.3420000575334</v>
      </c>
      <c r="P30" s="140">
        <v>5056.2437808470822</v>
      </c>
      <c r="Q30" s="140">
        <v>4927.5261056149839</v>
      </c>
      <c r="R30" s="140">
        <v>4947.4827116235947</v>
      </c>
      <c r="S30" s="140">
        <v>5544.2157423026583</v>
      </c>
      <c r="T30" s="140">
        <v>6448.2488815619035</v>
      </c>
      <c r="U30" s="140">
        <v>7043.6645398312694</v>
      </c>
      <c r="V30" s="140">
        <v>6991.5103476001286</v>
      </c>
      <c r="W30" s="140">
        <v>6069.324239937142</v>
      </c>
      <c r="X30" s="140">
        <v>5286.7901969201721</v>
      </c>
      <c r="Y30" s="140">
        <v>4370.4425924276848</v>
      </c>
      <c r="DA30" s="170" t="s">
        <v>270</v>
      </c>
    </row>
    <row r="31" spans="1:105" ht="12" customHeight="1" x14ac:dyDescent="0.25">
      <c r="A31" s="131" t="s">
        <v>149</v>
      </c>
      <c r="B31" s="140">
        <v>1325.9266094113098</v>
      </c>
      <c r="C31" s="140">
        <v>2841.8985326206662</v>
      </c>
      <c r="D31" s="140">
        <v>3371.4698417733975</v>
      </c>
      <c r="E31" s="140">
        <v>3482.9408549794493</v>
      </c>
      <c r="F31" s="140">
        <v>3045.608320641039</v>
      </c>
      <c r="G31" s="140">
        <v>2280.5687267541512</v>
      </c>
      <c r="H31" s="140">
        <v>1469.3416008867007</v>
      </c>
      <c r="I31" s="140">
        <v>1129.2682470203845</v>
      </c>
      <c r="J31" s="140">
        <v>1061.6003596939202</v>
      </c>
      <c r="K31" s="140">
        <v>1114.4717113779295</v>
      </c>
      <c r="L31" s="140">
        <v>1270.5423915617328</v>
      </c>
      <c r="M31" s="140">
        <v>1470.7428235080149</v>
      </c>
      <c r="N31" s="140">
        <v>1763.2572892077974</v>
      </c>
      <c r="O31" s="140">
        <v>2374.4443097830776</v>
      </c>
      <c r="P31" s="140">
        <v>3230.1851314969213</v>
      </c>
      <c r="Q31" s="140">
        <v>3792.8150875812998</v>
      </c>
      <c r="R31" s="140">
        <v>3769.1736003278879</v>
      </c>
      <c r="S31" s="140">
        <v>3390.1991730315463</v>
      </c>
      <c r="T31" s="140">
        <v>2590.2769165277846</v>
      </c>
      <c r="U31" s="140">
        <v>2146.3109694390196</v>
      </c>
      <c r="V31" s="140">
        <v>1910.9627855293056</v>
      </c>
      <c r="W31" s="140">
        <v>1822.9637567885443</v>
      </c>
      <c r="X31" s="140">
        <v>1827.1282296704339</v>
      </c>
      <c r="Y31" s="140">
        <v>1881.533174923348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7385.6913736385595</v>
      </c>
      <c r="C33" s="152">
        <v>8278.8717955409338</v>
      </c>
      <c r="D33" s="152">
        <v>11804.685961804364</v>
      </c>
      <c r="E33" s="152">
        <v>14201.013452364694</v>
      </c>
      <c r="F33" s="152">
        <v>16255.305349535309</v>
      </c>
      <c r="G33" s="152">
        <v>17412.919330327575</v>
      </c>
      <c r="H33" s="152">
        <v>18795.498472016956</v>
      </c>
      <c r="I33" s="152">
        <v>18962.571740223706</v>
      </c>
      <c r="J33" s="152">
        <v>19650.443722378888</v>
      </c>
      <c r="K33" s="152">
        <v>19686.685873124519</v>
      </c>
      <c r="L33" s="152">
        <v>19876.451705460793</v>
      </c>
      <c r="M33" s="152">
        <v>21101.428327848618</v>
      </c>
      <c r="N33" s="152">
        <v>20868.268976346895</v>
      </c>
      <c r="O33" s="152">
        <v>20976.3024028201</v>
      </c>
      <c r="P33" s="152">
        <v>20509.194816812811</v>
      </c>
      <c r="Q33" s="152">
        <v>20324.039693439299</v>
      </c>
      <c r="R33" s="152">
        <v>20645.633126754157</v>
      </c>
      <c r="S33" s="152">
        <v>20872.783381029803</v>
      </c>
      <c r="T33" s="152">
        <v>21222.775689291015</v>
      </c>
      <c r="U33" s="152">
        <v>21449.682674566044</v>
      </c>
      <c r="V33" s="152">
        <v>22064.399089092789</v>
      </c>
      <c r="W33" s="152">
        <v>23373.21261618262</v>
      </c>
      <c r="X33" s="152">
        <v>24427.030147510664</v>
      </c>
      <c r="Y33" s="152">
        <v>25543.700739964199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496.45311996435339</v>
      </c>
      <c r="C3" s="125">
        <f t="shared" si="0"/>
        <v>679.05138670429426</v>
      </c>
      <c r="D3" s="125">
        <f t="shared" si="0"/>
        <v>650.15163082548656</v>
      </c>
      <c r="E3" s="125">
        <f t="shared" si="0"/>
        <v>429.86328463587063</v>
      </c>
      <c r="F3" s="125">
        <f t="shared" si="0"/>
        <v>465.05500300076488</v>
      </c>
      <c r="G3" s="125">
        <f t="shared" si="0"/>
        <v>391.5656978002902</v>
      </c>
      <c r="H3" s="125">
        <f t="shared" si="0"/>
        <v>345.92160045148319</v>
      </c>
      <c r="I3" s="125">
        <f t="shared" si="0"/>
        <v>281.68821695162768</v>
      </c>
      <c r="J3" s="125">
        <f t="shared" si="0"/>
        <v>395.95051602095089</v>
      </c>
      <c r="K3" s="125">
        <f t="shared" si="0"/>
        <v>388.64126386658756</v>
      </c>
      <c r="L3" s="125">
        <f t="shared" si="0"/>
        <v>432.05524985702976</v>
      </c>
      <c r="M3" s="125">
        <f t="shared" si="0"/>
        <v>417.25810582506955</v>
      </c>
      <c r="N3" s="125">
        <f t="shared" si="0"/>
        <v>344.28010187691268</v>
      </c>
      <c r="O3" s="125">
        <f t="shared" si="0"/>
        <v>353.08483917601245</v>
      </c>
      <c r="P3" s="125">
        <f t="shared" si="0"/>
        <v>309.65160154687766</v>
      </c>
      <c r="Q3" s="125">
        <f t="shared" si="0"/>
        <v>335.08043330084706</v>
      </c>
      <c r="R3" s="125">
        <f t="shared" ref="R3:W3" si="1">SUM(R4,R16,R19,R29)</f>
        <v>367.77081234031164</v>
      </c>
      <c r="S3" s="125">
        <f t="shared" si="1"/>
        <v>360.4680285785376</v>
      </c>
      <c r="T3" s="125">
        <f t="shared" si="1"/>
        <v>361.40469320546049</v>
      </c>
      <c r="U3" s="125">
        <f t="shared" si="1"/>
        <v>345.11777629752032</v>
      </c>
      <c r="V3" s="125">
        <f t="shared" si="1"/>
        <v>315.46985748175354</v>
      </c>
      <c r="W3" s="125">
        <f t="shared" si="1"/>
        <v>309.31164591325262</v>
      </c>
      <c r="X3" s="125">
        <f t="shared" ref="X3:Y3" si="2">SUM(X4,X16,X19,X29)</f>
        <v>369.48223985642926</v>
      </c>
      <c r="Y3" s="125">
        <f t="shared" si="2"/>
        <v>372.87180385760928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412.88907501496357</v>
      </c>
      <c r="C4" s="130">
        <f t="shared" si="3"/>
        <v>591.80542161161156</v>
      </c>
      <c r="D4" s="130">
        <f t="shared" si="3"/>
        <v>564.55402034088661</v>
      </c>
      <c r="E4" s="130">
        <f t="shared" si="3"/>
        <v>344.48876348376382</v>
      </c>
      <c r="F4" s="130">
        <f t="shared" si="3"/>
        <v>379.08892048846388</v>
      </c>
      <c r="G4" s="130">
        <f t="shared" si="3"/>
        <v>304.82305795445404</v>
      </c>
      <c r="H4" s="130">
        <f t="shared" si="3"/>
        <v>257.37497541423505</v>
      </c>
      <c r="I4" s="130">
        <f t="shared" si="3"/>
        <v>187.62392054185344</v>
      </c>
      <c r="J4" s="130">
        <f t="shared" si="3"/>
        <v>303.01083026570444</v>
      </c>
      <c r="K4" s="130">
        <f t="shared" si="3"/>
        <v>293.06947859809293</v>
      </c>
      <c r="L4" s="130">
        <f t="shared" si="3"/>
        <v>333.41989535204169</v>
      </c>
      <c r="M4" s="130">
        <f t="shared" si="3"/>
        <v>321.08199792171484</v>
      </c>
      <c r="N4" s="130">
        <f t="shared" si="3"/>
        <v>244.27171958697195</v>
      </c>
      <c r="O4" s="130">
        <f t="shared" si="3"/>
        <v>252.81468580331168</v>
      </c>
      <c r="P4" s="130">
        <f t="shared" si="3"/>
        <v>207.52591968995657</v>
      </c>
      <c r="Q4" s="130">
        <f t="shared" si="3"/>
        <v>227.3038130608879</v>
      </c>
      <c r="R4" s="130">
        <f t="shared" ref="R4:W4" si="4">SUM(R5:R15)</f>
        <v>258.11688282072242</v>
      </c>
      <c r="S4" s="130">
        <f t="shared" si="4"/>
        <v>248.99815282886706</v>
      </c>
      <c r="T4" s="130">
        <f t="shared" si="4"/>
        <v>249.61105189991443</v>
      </c>
      <c r="U4" s="130">
        <f t="shared" si="4"/>
        <v>230.4215075138392</v>
      </c>
      <c r="V4" s="130">
        <f t="shared" si="4"/>
        <v>207.38777362870312</v>
      </c>
      <c r="W4" s="130">
        <f t="shared" si="4"/>
        <v>201.71524854147006</v>
      </c>
      <c r="X4" s="130">
        <f t="shared" ref="X4:Y4" si="5">SUM(X5:X15)</f>
        <v>259.6337482195953</v>
      </c>
      <c r="Y4" s="130">
        <f t="shared" si="5"/>
        <v>266.12867205861761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235.76821235489081</v>
      </c>
      <c r="C7" s="132">
        <v>354.52266035406933</v>
      </c>
      <c r="D7" s="132">
        <v>287.45129439706727</v>
      </c>
      <c r="E7" s="132">
        <v>211.89148094938383</v>
      </c>
      <c r="F7" s="132">
        <v>208.8335999051256</v>
      </c>
      <c r="G7" s="132">
        <v>197.12648744053033</v>
      </c>
      <c r="H7" s="132">
        <v>161.59830664137777</v>
      </c>
      <c r="I7" s="132">
        <v>96.90771725719209</v>
      </c>
      <c r="J7" s="132">
        <v>179.32670248062217</v>
      </c>
      <c r="K7" s="132">
        <v>164.40235743836789</v>
      </c>
      <c r="L7" s="132">
        <v>173.0566090822407</v>
      </c>
      <c r="M7" s="132">
        <v>136.99808908941677</v>
      </c>
      <c r="N7" s="132">
        <v>95.761937760841263</v>
      </c>
      <c r="O7" s="132">
        <v>86.068657435099865</v>
      </c>
      <c r="P7" s="132">
        <v>60.467153871032622</v>
      </c>
      <c r="Q7" s="132">
        <v>65.566341572636873</v>
      </c>
      <c r="R7" s="132">
        <v>77.036949411081707</v>
      </c>
      <c r="S7" s="132">
        <v>57.856628641025644</v>
      </c>
      <c r="T7" s="132">
        <v>63.576626978802892</v>
      </c>
      <c r="U7" s="132">
        <v>53.200100518405115</v>
      </c>
      <c r="V7" s="132">
        <v>59.148880237261203</v>
      </c>
      <c r="W7" s="132">
        <v>40.275132728882284</v>
      </c>
      <c r="X7" s="132">
        <v>47.131156010076893</v>
      </c>
      <c r="Y7" s="132">
        <v>69.54276474520212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17.602483528182844</v>
      </c>
      <c r="C9" s="132">
        <v>71.912896325400851</v>
      </c>
      <c r="D9" s="132">
        <v>82.03544367868659</v>
      </c>
      <c r="E9" s="132">
        <v>39.637029637422039</v>
      </c>
      <c r="F9" s="132">
        <v>50.070957413107564</v>
      </c>
      <c r="G9" s="132">
        <v>20.670233825186511</v>
      </c>
      <c r="H9" s="132">
        <v>11.555491856396996</v>
      </c>
      <c r="I9" s="132">
        <v>10.028975560688551</v>
      </c>
      <c r="J9" s="132">
        <v>11.217711613187866</v>
      </c>
      <c r="K9" s="132">
        <v>15.239608050534795</v>
      </c>
      <c r="L9" s="132">
        <v>20.910740828517891</v>
      </c>
      <c r="M9" s="132">
        <v>36.365542828335194</v>
      </c>
      <c r="N9" s="132">
        <v>10.091116919624039</v>
      </c>
      <c r="O9" s="132">
        <v>27.100288609834148</v>
      </c>
      <c r="P9" s="132">
        <v>28.78780555250027</v>
      </c>
      <c r="Q9" s="132">
        <v>40.876771308511223</v>
      </c>
      <c r="R9" s="132">
        <v>52.568077053365457</v>
      </c>
      <c r="S9" s="132">
        <v>39.666488779073113</v>
      </c>
      <c r="T9" s="132">
        <v>21.565568401480505</v>
      </c>
      <c r="U9" s="132">
        <v>23.96622827763883</v>
      </c>
      <c r="V9" s="132">
        <v>20.306376652040072</v>
      </c>
      <c r="W9" s="132">
        <v>19.79903641413955</v>
      </c>
      <c r="X9" s="132">
        <v>45.007223889676162</v>
      </c>
      <c r="Y9" s="132">
        <v>49.812699063767234</v>
      </c>
      <c r="DA9" s="156" t="s">
        <v>279</v>
      </c>
    </row>
    <row r="10" spans="1:105" ht="12" customHeight="1" x14ac:dyDescent="0.25">
      <c r="A10" s="131" t="s">
        <v>128</v>
      </c>
      <c r="B10" s="132">
        <v>1.0748065348237317</v>
      </c>
      <c r="C10" s="132">
        <v>1.8391229578675841</v>
      </c>
      <c r="D10" s="132">
        <v>1.6718830610490112</v>
      </c>
      <c r="E10" s="132">
        <v>0.66878761822871879</v>
      </c>
      <c r="F10" s="132">
        <v>0.69269131556319874</v>
      </c>
      <c r="G10" s="132">
        <v>0.93147033533963886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1.7763568394002505E-15</v>
      </c>
      <c r="W10" s="132">
        <v>0</v>
      </c>
      <c r="X10" s="132">
        <v>17.317970765262242</v>
      </c>
      <c r="Y10" s="132">
        <v>22.25374032674118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15.118916595012895</v>
      </c>
      <c r="M11" s="132">
        <v>15.118916595012902</v>
      </c>
      <c r="N11" s="132">
        <v>10.867497850386924</v>
      </c>
      <c r="O11" s="132">
        <v>10.93912295786758</v>
      </c>
      <c r="P11" s="132">
        <v>10.963026655202063</v>
      </c>
      <c r="Q11" s="132">
        <v>8.2879621668099794</v>
      </c>
      <c r="R11" s="132">
        <v>8.5984522785898534</v>
      </c>
      <c r="S11" s="132">
        <v>11.193551160791056</v>
      </c>
      <c r="T11" s="132">
        <v>10.722957867583832</v>
      </c>
      <c r="U11" s="132">
        <v>11.792261392949261</v>
      </c>
      <c r="V11" s="132">
        <v>8.3130696474634505</v>
      </c>
      <c r="W11" s="132">
        <v>7.9566638005159147</v>
      </c>
      <c r="X11" s="132">
        <v>9.7840928632846147</v>
      </c>
      <c r="Y11" s="132">
        <v>10.432330180567501</v>
      </c>
      <c r="DA11" s="156" t="s">
        <v>281</v>
      </c>
    </row>
    <row r="12" spans="1:105" ht="12" customHeight="1" x14ac:dyDescent="0.25">
      <c r="A12" s="131" t="s">
        <v>162</v>
      </c>
      <c r="B12" s="132">
        <v>71.44718853123365</v>
      </c>
      <c r="C12" s="132">
        <v>62.637954812647614</v>
      </c>
      <c r="D12" s="132">
        <v>59.281882476181316</v>
      </c>
      <c r="E12" s="132">
        <v>28.190045732125157</v>
      </c>
      <c r="F12" s="132">
        <v>32.187105320130023</v>
      </c>
      <c r="G12" s="132">
        <v>22.119470718113117</v>
      </c>
      <c r="H12" s="132">
        <v>28.51787922574745</v>
      </c>
      <c r="I12" s="132">
        <v>15.370786513983186</v>
      </c>
      <c r="J12" s="132">
        <v>14.20415609183812</v>
      </c>
      <c r="K12" s="132">
        <v>24.280213040125652</v>
      </c>
      <c r="L12" s="132">
        <v>33.29458972359209</v>
      </c>
      <c r="M12" s="132">
        <v>38.64714671215566</v>
      </c>
      <c r="N12" s="132">
        <v>41.137051239255676</v>
      </c>
      <c r="O12" s="132">
        <v>44.375620825180938</v>
      </c>
      <c r="P12" s="132">
        <v>32.725583579622111</v>
      </c>
      <c r="Q12" s="132">
        <v>37.474561244219949</v>
      </c>
      <c r="R12" s="132">
        <v>35.821946750797949</v>
      </c>
      <c r="S12" s="132">
        <v>43.452838368051253</v>
      </c>
      <c r="T12" s="132">
        <v>46.559894016847927</v>
      </c>
      <c r="U12" s="132">
        <v>39.622657624269664</v>
      </c>
      <c r="V12" s="132">
        <v>40.010637702000537</v>
      </c>
      <c r="W12" s="132">
        <v>46.687329240826415</v>
      </c>
      <c r="X12" s="132">
        <v>34.846097516330339</v>
      </c>
      <c r="Y12" s="132">
        <v>33.385093114354547</v>
      </c>
      <c r="DA12" s="156" t="s">
        <v>282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2.195545314990762</v>
      </c>
      <c r="DA13" s="156" t="s">
        <v>283</v>
      </c>
    </row>
    <row r="14" spans="1:105" ht="12" customHeight="1" x14ac:dyDescent="0.25">
      <c r="A14" s="60" t="s">
        <v>76</v>
      </c>
      <c r="B14" s="65">
        <v>84.312788151293276</v>
      </c>
      <c r="C14" s="65">
        <v>96.600953943759805</v>
      </c>
      <c r="D14" s="65">
        <v>130.38725725977653</v>
      </c>
      <c r="E14" s="65">
        <v>61.644483859895729</v>
      </c>
      <c r="F14" s="65">
        <v>84.773603411583892</v>
      </c>
      <c r="G14" s="65">
        <v>61.889995749954785</v>
      </c>
      <c r="H14" s="65">
        <v>54.020222362765729</v>
      </c>
      <c r="I14" s="65">
        <v>64.288354064260247</v>
      </c>
      <c r="J14" s="65">
        <v>96.482807359331474</v>
      </c>
      <c r="K14" s="65">
        <v>87.43250196503665</v>
      </c>
      <c r="L14" s="65">
        <v>89.108069063986136</v>
      </c>
      <c r="M14" s="65">
        <v>92.175515765465477</v>
      </c>
      <c r="N14" s="65">
        <v>85.271243561693666</v>
      </c>
      <c r="O14" s="65">
        <v>83.085953737104205</v>
      </c>
      <c r="P14" s="65">
        <v>73.588684620290024</v>
      </c>
      <c r="Q14" s="65">
        <v>73.91777315418615</v>
      </c>
      <c r="R14" s="65">
        <v>82.671766493496349</v>
      </c>
      <c r="S14" s="65">
        <v>95.672211132794345</v>
      </c>
      <c r="T14" s="65">
        <v>106.14031447748852</v>
      </c>
      <c r="U14" s="65">
        <v>100.86502736379543</v>
      </c>
      <c r="V14" s="65">
        <v>78.602252873775242</v>
      </c>
      <c r="W14" s="65">
        <v>86.145734599883994</v>
      </c>
      <c r="X14" s="65">
        <v>104.27199257966915</v>
      </c>
      <c r="Y14" s="65">
        <v>76.863754458510655</v>
      </c>
      <c r="DA14" s="109" t="s">
        <v>284</v>
      </c>
    </row>
    <row r="15" spans="1:105" ht="12" customHeight="1" x14ac:dyDescent="0.25">
      <c r="A15" s="133" t="s">
        <v>80</v>
      </c>
      <c r="B15" s="134">
        <v>2.6835959145392527</v>
      </c>
      <c r="C15" s="134">
        <v>4.2918332178663681</v>
      </c>
      <c r="D15" s="134">
        <v>3.7262594681259809</v>
      </c>
      <c r="E15" s="134">
        <v>2.4569356867083174</v>
      </c>
      <c r="F15" s="134">
        <v>2.5309631229536338</v>
      </c>
      <c r="G15" s="134">
        <v>2.0853998853296476</v>
      </c>
      <c r="H15" s="134">
        <v>1.68307532794709</v>
      </c>
      <c r="I15" s="134">
        <v>1.0280871457293685</v>
      </c>
      <c r="J15" s="134">
        <v>1.7794527207248148</v>
      </c>
      <c r="K15" s="134">
        <v>1.7147981040279212</v>
      </c>
      <c r="L15" s="134">
        <v>1.9309700586919716</v>
      </c>
      <c r="M15" s="134">
        <v>1.7767869313288276</v>
      </c>
      <c r="N15" s="134">
        <v>1.14287225517038</v>
      </c>
      <c r="O15" s="134">
        <v>1.2450422382249384</v>
      </c>
      <c r="P15" s="134">
        <v>0.99366541130946595</v>
      </c>
      <c r="Q15" s="134">
        <v>1.1804036145237158</v>
      </c>
      <c r="R15" s="134">
        <v>1.4196908333910832</v>
      </c>
      <c r="S15" s="134">
        <v>1.1564347471316723</v>
      </c>
      <c r="T15" s="134">
        <v>1.0456901577107545</v>
      </c>
      <c r="U15" s="134">
        <v>0.97523233678092858</v>
      </c>
      <c r="V15" s="134">
        <v>1.0065565161626167</v>
      </c>
      <c r="W15" s="134">
        <v>0.85135175722192857</v>
      </c>
      <c r="X15" s="134">
        <v>1.2752145952958684</v>
      </c>
      <c r="Y15" s="134">
        <v>1.6427448544836192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3.444111675307171</v>
      </c>
      <c r="C16" s="130">
        <f t="shared" si="6"/>
        <v>3.4889345933637581</v>
      </c>
      <c r="D16" s="130">
        <f t="shared" si="6"/>
        <v>3.6903222152692727</v>
      </c>
      <c r="E16" s="130">
        <f t="shared" si="6"/>
        <v>4.846179508396073</v>
      </c>
      <c r="F16" s="130">
        <f t="shared" si="6"/>
        <v>3.9879854802476746</v>
      </c>
      <c r="G16" s="130">
        <f t="shared" si="6"/>
        <v>4.2065768391444029</v>
      </c>
      <c r="H16" s="130">
        <f t="shared" si="6"/>
        <v>4.8712013914767667</v>
      </c>
      <c r="I16" s="130">
        <f t="shared" si="6"/>
        <v>5.098511188769919</v>
      </c>
      <c r="J16" s="130">
        <f t="shared" si="6"/>
        <v>5.2865899434343548</v>
      </c>
      <c r="K16" s="130">
        <f t="shared" si="6"/>
        <v>5.4494419856437952</v>
      </c>
      <c r="L16" s="130">
        <f t="shared" si="6"/>
        <v>5.9326263668564412</v>
      </c>
      <c r="M16" s="130">
        <f t="shared" si="6"/>
        <v>6.0239625486817951</v>
      </c>
      <c r="N16" s="130">
        <f t="shared" si="6"/>
        <v>6.7947240512180169</v>
      </c>
      <c r="O16" s="130">
        <f t="shared" si="6"/>
        <v>7.0495696287614962</v>
      </c>
      <c r="P16" s="130">
        <f t="shared" si="6"/>
        <v>5.7325365484068902</v>
      </c>
      <c r="Q16" s="130">
        <f t="shared" si="6"/>
        <v>7.0503229561079426</v>
      </c>
      <c r="R16" s="130">
        <f t="shared" ref="R16:W16" si="7">SUM(R17:R18)</f>
        <v>5.775963163308333</v>
      </c>
      <c r="S16" s="130">
        <f t="shared" si="7"/>
        <v>6.8010558734490232</v>
      </c>
      <c r="T16" s="130">
        <f t="shared" si="7"/>
        <v>5.8789535375238744</v>
      </c>
      <c r="U16" s="130">
        <f t="shared" si="7"/>
        <v>6.2290979529897461</v>
      </c>
      <c r="V16" s="130">
        <f t="shared" si="7"/>
        <v>5.4434255615154079</v>
      </c>
      <c r="W16" s="130">
        <f t="shared" si="7"/>
        <v>5.954069963782759</v>
      </c>
      <c r="X16" s="130">
        <f t="shared" ref="X16:Y16" si="8">SUM(X17:X18)</f>
        <v>6.2733888496571382</v>
      </c>
      <c r="Y16" s="130">
        <f t="shared" si="8"/>
        <v>6.0513196315153923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3.444111675307171</v>
      </c>
      <c r="C18" s="132">
        <v>3.4889345933637581</v>
      </c>
      <c r="D18" s="132">
        <v>3.6903222152692727</v>
      </c>
      <c r="E18" s="132">
        <v>4.846179508396073</v>
      </c>
      <c r="F18" s="132">
        <v>3.9879854802476746</v>
      </c>
      <c r="G18" s="132">
        <v>4.2065768391444029</v>
      </c>
      <c r="H18" s="132">
        <v>4.8712013914767667</v>
      </c>
      <c r="I18" s="132">
        <v>5.098511188769919</v>
      </c>
      <c r="J18" s="132">
        <v>5.2865899434343548</v>
      </c>
      <c r="K18" s="132">
        <v>5.4494419856437952</v>
      </c>
      <c r="L18" s="132">
        <v>5.9326263668564412</v>
      </c>
      <c r="M18" s="132">
        <v>6.0239625486817951</v>
      </c>
      <c r="N18" s="132">
        <v>6.7947240512180169</v>
      </c>
      <c r="O18" s="132">
        <v>7.0495696287614962</v>
      </c>
      <c r="P18" s="132">
        <v>5.7325365484068902</v>
      </c>
      <c r="Q18" s="132">
        <v>7.0503229561079426</v>
      </c>
      <c r="R18" s="132">
        <v>5.775963163308333</v>
      </c>
      <c r="S18" s="132">
        <v>6.8010558734490232</v>
      </c>
      <c r="T18" s="132">
        <v>5.8789535375238744</v>
      </c>
      <c r="U18" s="132">
        <v>6.2290979529897461</v>
      </c>
      <c r="V18" s="132">
        <v>5.4434255615154079</v>
      </c>
      <c r="W18" s="132">
        <v>5.954069963782759</v>
      </c>
      <c r="X18" s="132">
        <v>6.2733888496571382</v>
      </c>
      <c r="Y18" s="132">
        <v>6.0513196315153923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38.849156359535826</v>
      </c>
      <c r="C19" s="130">
        <f t="shared" si="9"/>
        <v>38.774586592763796</v>
      </c>
      <c r="D19" s="130">
        <f t="shared" si="9"/>
        <v>39.347391975046492</v>
      </c>
      <c r="E19" s="130">
        <f t="shared" si="9"/>
        <v>40.237649185575712</v>
      </c>
      <c r="F19" s="130">
        <f t="shared" si="9"/>
        <v>40.844547806689619</v>
      </c>
      <c r="G19" s="130">
        <f t="shared" si="9"/>
        <v>41.733913053584274</v>
      </c>
      <c r="H19" s="130">
        <f t="shared" si="9"/>
        <v>42.869058257163175</v>
      </c>
      <c r="I19" s="130">
        <f t="shared" si="9"/>
        <v>44.348967278818449</v>
      </c>
      <c r="J19" s="130">
        <f t="shared" si="9"/>
        <v>44.819133583548009</v>
      </c>
      <c r="K19" s="130">
        <f t="shared" si="9"/>
        <v>45.714550484841283</v>
      </c>
      <c r="L19" s="130">
        <f t="shared" si="9"/>
        <v>46.400479682038167</v>
      </c>
      <c r="M19" s="130">
        <f t="shared" si="9"/>
        <v>45.385201551224284</v>
      </c>
      <c r="N19" s="130">
        <f t="shared" si="9"/>
        <v>45.464627668348442</v>
      </c>
      <c r="O19" s="130">
        <f t="shared" si="9"/>
        <v>45.503043921876355</v>
      </c>
      <c r="P19" s="130">
        <f t="shared" si="9"/>
        <v>46.464173344053933</v>
      </c>
      <c r="Q19" s="130">
        <f t="shared" si="9"/>
        <v>47.366929016013707</v>
      </c>
      <c r="R19" s="130">
        <f t="shared" ref="R19:W19" si="10">SUM(R20:R27)</f>
        <v>48.465533955787194</v>
      </c>
      <c r="S19" s="130">
        <f t="shared" si="10"/>
        <v>47.950605831921003</v>
      </c>
      <c r="T19" s="130">
        <f t="shared" si="10"/>
        <v>47.892296591598218</v>
      </c>
      <c r="U19" s="130">
        <f t="shared" si="10"/>
        <v>48.287980389618369</v>
      </c>
      <c r="V19" s="130">
        <f t="shared" si="10"/>
        <v>46.377758201927733</v>
      </c>
      <c r="W19" s="130">
        <f t="shared" si="10"/>
        <v>46.249120735850582</v>
      </c>
      <c r="X19" s="130">
        <f t="shared" ref="X19:Y19" si="11">SUM(X20:X27)</f>
        <v>46.91242119917311</v>
      </c>
      <c r="Y19" s="130">
        <f t="shared" si="11"/>
        <v>46.789105405890524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16.540874332046332</v>
      </c>
      <c r="C21" s="132">
        <v>13.856359903177704</v>
      </c>
      <c r="D21" s="132">
        <v>15.092917136430458</v>
      </c>
      <c r="E21" s="132">
        <v>14.440724803180622</v>
      </c>
      <c r="F21" s="132">
        <v>13.895985192356388</v>
      </c>
      <c r="G21" s="132">
        <v>13.321755808368428</v>
      </c>
      <c r="H21" s="132">
        <v>12.797553843776569</v>
      </c>
      <c r="I21" s="132">
        <v>12.405854099055009</v>
      </c>
      <c r="J21" s="132">
        <v>11.519763067718729</v>
      </c>
      <c r="K21" s="132">
        <v>11.020282278457952</v>
      </c>
      <c r="L21" s="132">
        <v>10.821226010053088</v>
      </c>
      <c r="M21" s="132">
        <v>9.5202840252181371</v>
      </c>
      <c r="N21" s="132">
        <v>9.4567243882026943</v>
      </c>
      <c r="O21" s="132">
        <v>8.7711597142503681</v>
      </c>
      <c r="P21" s="132">
        <v>8.2712618102644626</v>
      </c>
      <c r="Q21" s="132">
        <v>8.048035970934281</v>
      </c>
      <c r="R21" s="132">
        <v>6.3589676002660003</v>
      </c>
      <c r="S21" s="132">
        <v>7.2014111041031263</v>
      </c>
      <c r="T21" s="132">
        <v>9.8132289728453781</v>
      </c>
      <c r="U21" s="132">
        <v>11.548989768121436</v>
      </c>
      <c r="V21" s="132">
        <v>8.9803993502460493</v>
      </c>
      <c r="W21" s="132">
        <v>6.5105130040299963</v>
      </c>
      <c r="X21" s="132">
        <v>7.4639779325966717</v>
      </c>
      <c r="Y21" s="132">
        <v>3.7841739475107143</v>
      </c>
      <c r="DA21" s="156" t="s">
        <v>289</v>
      </c>
    </row>
    <row r="22" spans="1:105" ht="12" customHeight="1" x14ac:dyDescent="0.25">
      <c r="A22" s="131" t="s">
        <v>161</v>
      </c>
      <c r="B22" s="132">
        <v>14.487333646828839</v>
      </c>
      <c r="C22" s="132">
        <v>16.116032681184336</v>
      </c>
      <c r="D22" s="132">
        <v>15.216633375933586</v>
      </c>
      <c r="E22" s="132">
        <v>17.512818276755588</v>
      </c>
      <c r="F22" s="132">
        <v>18.172762949560568</v>
      </c>
      <c r="G22" s="132">
        <v>18.582454949839459</v>
      </c>
      <c r="H22" s="132">
        <v>19.554401871089961</v>
      </c>
      <c r="I22" s="132">
        <v>21.160984376513902</v>
      </c>
      <c r="J22" s="132">
        <v>20.140709385241955</v>
      </c>
      <c r="K22" s="132">
        <v>19.802801632999312</v>
      </c>
      <c r="L22" s="132">
        <v>19.28844680769906</v>
      </c>
      <c r="M22" s="132">
        <v>15.665109534830943</v>
      </c>
      <c r="N22" s="132">
        <v>14.166953038814848</v>
      </c>
      <c r="O22" s="132">
        <v>11.621540329302567</v>
      </c>
      <c r="P22" s="132">
        <v>9.7454858538168967</v>
      </c>
      <c r="Q22" s="132">
        <v>8.7177512906477226</v>
      </c>
      <c r="R22" s="132">
        <v>10.474142592357687</v>
      </c>
      <c r="S22" s="132">
        <v>8.2120729926802678</v>
      </c>
      <c r="T22" s="132">
        <v>9.6154624451008139</v>
      </c>
      <c r="U22" s="132">
        <v>7.9023070482329603</v>
      </c>
      <c r="V22" s="132">
        <v>8.7865453861265941</v>
      </c>
      <c r="W22" s="132">
        <v>8.1645061361220481</v>
      </c>
      <c r="X22" s="132">
        <v>7.9145017715223824</v>
      </c>
      <c r="Y22" s="132">
        <v>8.0700469486930295</v>
      </c>
      <c r="DA22" s="156" t="s">
        <v>290</v>
      </c>
    </row>
    <row r="23" spans="1:105" ht="12" customHeight="1" x14ac:dyDescent="0.25">
      <c r="A23" s="131" t="s">
        <v>149</v>
      </c>
      <c r="B23" s="132">
        <v>1.3902765362819129</v>
      </c>
      <c r="C23" s="132">
        <v>1.4105629615792279</v>
      </c>
      <c r="D23" s="132">
        <v>1.3753348146028488</v>
      </c>
      <c r="E23" s="132">
        <v>1.3879782022755074</v>
      </c>
      <c r="F23" s="132">
        <v>1.4318210914228882</v>
      </c>
      <c r="G23" s="132">
        <v>1.4601405340415263</v>
      </c>
      <c r="H23" s="132">
        <v>1.4612953957418056</v>
      </c>
      <c r="I23" s="132">
        <v>1.5327449373400421</v>
      </c>
      <c r="J23" s="132">
        <v>1.6030137443886667</v>
      </c>
      <c r="K23" s="132">
        <v>2.2914384090238515</v>
      </c>
      <c r="L23" s="132">
        <v>2.4107972393082049</v>
      </c>
      <c r="M23" s="132">
        <v>2.3313660360542974</v>
      </c>
      <c r="N23" s="132">
        <v>2.311787542124276</v>
      </c>
      <c r="O23" s="132">
        <v>2.2911358958641084</v>
      </c>
      <c r="P23" s="132">
        <v>2.3125639180834541</v>
      </c>
      <c r="Q23" s="132">
        <v>2.2107624175716976</v>
      </c>
      <c r="R23" s="132">
        <v>2.8207475434075664</v>
      </c>
      <c r="S23" s="132">
        <v>2.0790605869965826</v>
      </c>
      <c r="T23" s="132">
        <v>1.1250051457812007</v>
      </c>
      <c r="U23" s="132">
        <v>1.2106000973527036</v>
      </c>
      <c r="V23" s="132">
        <v>0.97620257364902685</v>
      </c>
      <c r="W23" s="132">
        <v>0.8477417308667432</v>
      </c>
      <c r="X23" s="132">
        <v>1.3705249012836693</v>
      </c>
      <c r="Y23" s="132">
        <v>1.2653839797222093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3.2877211850174137</v>
      </c>
      <c r="C25" s="132">
        <v>4.3344441555381152</v>
      </c>
      <c r="D25" s="132">
        <v>3.6539730698203949</v>
      </c>
      <c r="E25" s="132">
        <v>3.2659301922084665</v>
      </c>
      <c r="F25" s="132">
        <v>3.2098852215724598</v>
      </c>
      <c r="G25" s="132">
        <v>2.9354733919470739</v>
      </c>
      <c r="H25" s="132">
        <v>2.3649238696953629</v>
      </c>
      <c r="I25" s="132">
        <v>2.3515694619411414</v>
      </c>
      <c r="J25" s="132">
        <v>2.1568069348170829</v>
      </c>
      <c r="K25" s="132">
        <v>2.6377577251365989</v>
      </c>
      <c r="L25" s="132">
        <v>3.3921686598988821</v>
      </c>
      <c r="M25" s="132">
        <v>4.1540570711633427</v>
      </c>
      <c r="N25" s="132">
        <v>4.7452359490504374</v>
      </c>
      <c r="O25" s="132">
        <v>5.2804410836754654</v>
      </c>
      <c r="P25" s="132">
        <v>5.8241154745481554</v>
      </c>
      <c r="Q25" s="132">
        <v>5.9237190653243479</v>
      </c>
      <c r="R25" s="132">
        <v>5.7850179955476966</v>
      </c>
      <c r="S25" s="132">
        <v>7.2250636095927776</v>
      </c>
      <c r="T25" s="132">
        <v>8.0610862067118507</v>
      </c>
      <c r="U25" s="132">
        <v>6.9752787471834594</v>
      </c>
      <c r="V25" s="132">
        <v>7.1056133728060162</v>
      </c>
      <c r="W25" s="132">
        <v>7.9374343017359204</v>
      </c>
      <c r="X25" s="132">
        <v>8.0822773761890403</v>
      </c>
      <c r="Y25" s="132">
        <v>7.5499025864193694</v>
      </c>
      <c r="DA25" s="156" t="s">
        <v>293</v>
      </c>
    </row>
    <row r="26" spans="1:105" ht="12" customHeight="1" x14ac:dyDescent="0.25">
      <c r="A26" s="131" t="s">
        <v>24</v>
      </c>
      <c r="B26" s="65">
        <v>3.1429506593613348</v>
      </c>
      <c r="C26" s="65">
        <v>3.057186891284414</v>
      </c>
      <c r="D26" s="65">
        <v>4.0085335782592075</v>
      </c>
      <c r="E26" s="65">
        <v>3.6301977111555317</v>
      </c>
      <c r="F26" s="65">
        <v>4.1340933517773095</v>
      </c>
      <c r="G26" s="65">
        <v>5.4340883693877835</v>
      </c>
      <c r="H26" s="65">
        <v>6.6908832768594753</v>
      </c>
      <c r="I26" s="65">
        <v>6.8978144039683533</v>
      </c>
      <c r="J26" s="65">
        <v>9.3988404513815755</v>
      </c>
      <c r="K26" s="65">
        <v>9.9622704392235644</v>
      </c>
      <c r="L26" s="65">
        <v>10.487840965078933</v>
      </c>
      <c r="M26" s="65">
        <v>13.71438488395756</v>
      </c>
      <c r="N26" s="65">
        <v>14.783926750156194</v>
      </c>
      <c r="O26" s="65">
        <v>17.538766898783848</v>
      </c>
      <c r="P26" s="65">
        <v>20.310746287340962</v>
      </c>
      <c r="Q26" s="65">
        <v>22.466660271535655</v>
      </c>
      <c r="R26" s="65">
        <v>23.026658224208241</v>
      </c>
      <c r="S26" s="65">
        <v>23.232997538548251</v>
      </c>
      <c r="T26" s="65">
        <v>19.277513821158976</v>
      </c>
      <c r="U26" s="65">
        <v>20.650804728727813</v>
      </c>
      <c r="V26" s="65">
        <v>20.528997519100045</v>
      </c>
      <c r="W26" s="65">
        <v>22.788925563095869</v>
      </c>
      <c r="X26" s="65">
        <v>22.081139217581345</v>
      </c>
      <c r="Y26" s="65">
        <v>26.119597943545202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41.270776914546829</v>
      </c>
      <c r="C29" s="130">
        <f t="shared" si="12"/>
        <v>44.98244390655524</v>
      </c>
      <c r="D29" s="130">
        <f t="shared" si="12"/>
        <v>42.559896294284272</v>
      </c>
      <c r="E29" s="130">
        <f t="shared" si="12"/>
        <v>40.290692458135013</v>
      </c>
      <c r="F29" s="130">
        <f t="shared" si="12"/>
        <v>41.13354922536373</v>
      </c>
      <c r="G29" s="130">
        <f t="shared" si="12"/>
        <v>40.802149953107488</v>
      </c>
      <c r="H29" s="130">
        <f t="shared" si="12"/>
        <v>40.806365388608256</v>
      </c>
      <c r="I29" s="130">
        <f t="shared" si="12"/>
        <v>44.616817942185889</v>
      </c>
      <c r="J29" s="130">
        <f t="shared" si="12"/>
        <v>42.833962228264063</v>
      </c>
      <c r="K29" s="130">
        <f t="shared" si="12"/>
        <v>44.407792798009631</v>
      </c>
      <c r="L29" s="130">
        <f t="shared" si="12"/>
        <v>46.30224845609348</v>
      </c>
      <c r="M29" s="130">
        <f t="shared" si="12"/>
        <v>44.766943803448626</v>
      </c>
      <c r="N29" s="130">
        <f t="shared" si="12"/>
        <v>47.749030570374245</v>
      </c>
      <c r="O29" s="130">
        <f t="shared" si="12"/>
        <v>47.717539822062932</v>
      </c>
      <c r="P29" s="130">
        <f t="shared" si="12"/>
        <v>49.928971964460239</v>
      </c>
      <c r="Q29" s="130">
        <f t="shared" si="12"/>
        <v>53.359368267837525</v>
      </c>
      <c r="R29" s="130">
        <f t="shared" ref="R29:W29" si="13">SUM(R30:R33)</f>
        <v>55.412432400493671</v>
      </c>
      <c r="S29" s="130">
        <f t="shared" si="13"/>
        <v>56.718214044300524</v>
      </c>
      <c r="T29" s="130">
        <f t="shared" si="13"/>
        <v>58.022391176423987</v>
      </c>
      <c r="U29" s="130">
        <f t="shared" si="13"/>
        <v>60.179190441073018</v>
      </c>
      <c r="V29" s="130">
        <f t="shared" si="13"/>
        <v>56.260900089607262</v>
      </c>
      <c r="W29" s="130">
        <f t="shared" si="13"/>
        <v>55.393206672149219</v>
      </c>
      <c r="X29" s="130">
        <f t="shared" ref="X29:Y29" si="14">SUM(X30:X33)</f>
        <v>56.662681588003665</v>
      </c>
      <c r="Y29" s="130">
        <f t="shared" si="14"/>
        <v>53.902706761585719</v>
      </c>
      <c r="DA29" s="155" t="s">
        <v>217</v>
      </c>
    </row>
    <row r="30" spans="1:105" ht="12" customHeight="1" x14ac:dyDescent="0.25">
      <c r="A30" s="131" t="s">
        <v>52</v>
      </c>
      <c r="B30" s="132">
        <v>27.519056880335437</v>
      </c>
      <c r="C30" s="132">
        <v>25.684568729668378</v>
      </c>
      <c r="D30" s="132">
        <v>12.020840387215291</v>
      </c>
      <c r="E30" s="132">
        <v>7.0243654805682976</v>
      </c>
      <c r="F30" s="132">
        <v>8.6988557362764478</v>
      </c>
      <c r="G30" s="132">
        <v>8.1433344753804917</v>
      </c>
      <c r="H30" s="132">
        <v>6.4080351502045092</v>
      </c>
      <c r="I30" s="132">
        <v>18.390964473601908</v>
      </c>
      <c r="J30" s="132">
        <v>11.577829365643263</v>
      </c>
      <c r="K30" s="132">
        <v>13.177224170381248</v>
      </c>
      <c r="L30" s="132">
        <v>17.775764531649401</v>
      </c>
      <c r="M30" s="132">
        <v>6.9779962843261396</v>
      </c>
      <c r="N30" s="132">
        <v>13.640868045159289</v>
      </c>
      <c r="O30" s="132">
        <v>9.9268626417255525</v>
      </c>
      <c r="P30" s="132">
        <v>10.426760545711458</v>
      </c>
      <c r="Q30" s="132">
        <v>11.749900400518856</v>
      </c>
      <c r="R30" s="132">
        <v>10.139312709278281</v>
      </c>
      <c r="S30" s="132">
        <v>11.886035155570145</v>
      </c>
      <c r="T30" s="132">
        <v>15.500614535323143</v>
      </c>
      <c r="U30" s="132">
        <v>19.704234651483059</v>
      </c>
      <c r="V30" s="132">
        <v>16.830606668670526</v>
      </c>
      <c r="W30" s="132">
        <v>12.376761286597679</v>
      </c>
      <c r="X30" s="132">
        <v>14.031034965081748</v>
      </c>
      <c r="Y30" s="132">
        <v>7.9504778151719941</v>
      </c>
      <c r="DA30" s="156" t="s">
        <v>296</v>
      </c>
    </row>
    <row r="31" spans="1:105" ht="12" customHeight="1" x14ac:dyDescent="0.25">
      <c r="A31" s="131" t="s">
        <v>149</v>
      </c>
      <c r="B31" s="132">
        <v>0.39915739039336295</v>
      </c>
      <c r="C31" s="132">
        <v>8.2472199907499153</v>
      </c>
      <c r="D31" s="132">
        <v>8.9102877147930997</v>
      </c>
      <c r="E31" s="132">
        <v>7.6255510597005642</v>
      </c>
      <c r="F31" s="132">
        <v>7.2079695608177774</v>
      </c>
      <c r="G31" s="132">
        <v>4.8424545315716161</v>
      </c>
      <c r="H31" s="132">
        <v>2.2120175629944674</v>
      </c>
      <c r="I31" s="132">
        <v>1.7443844030892115</v>
      </c>
      <c r="J31" s="132">
        <v>0.84840619874332335</v>
      </c>
      <c r="K31" s="132">
        <v>2.5224359136141774</v>
      </c>
      <c r="L31" s="132">
        <v>2.5956588367310784</v>
      </c>
      <c r="M31" s="132">
        <v>2.8527042052579663</v>
      </c>
      <c r="N31" s="132">
        <v>2.8498040507194333</v>
      </c>
      <c r="O31" s="132">
        <v>4.4268042131323542</v>
      </c>
      <c r="P31" s="132">
        <v>7.3347122147129333</v>
      </c>
      <c r="Q31" s="132">
        <v>8.5700759041836196</v>
      </c>
      <c r="R31" s="132">
        <v>11.010315557999132</v>
      </c>
      <c r="S31" s="132">
        <v>8.3783543312647915</v>
      </c>
      <c r="T31" s="132">
        <v>4.5510429617666777</v>
      </c>
      <c r="U31" s="132">
        <v>5.0973762681726882</v>
      </c>
      <c r="V31" s="132">
        <v>4.3911095103384117</v>
      </c>
      <c r="W31" s="132">
        <v>3.7514161800151959</v>
      </c>
      <c r="X31" s="132">
        <v>4.3929304867702106</v>
      </c>
      <c r="Y31" s="132">
        <v>4.2397157527272311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13.352562643818027</v>
      </c>
      <c r="C33" s="68">
        <v>11.050655186136941</v>
      </c>
      <c r="D33" s="68">
        <v>21.628768192275878</v>
      </c>
      <c r="E33" s="68">
        <v>25.640775917866154</v>
      </c>
      <c r="F33" s="68">
        <v>25.226723928269504</v>
      </c>
      <c r="G33" s="68">
        <v>27.816360946155378</v>
      </c>
      <c r="H33" s="68">
        <v>32.186312675409283</v>
      </c>
      <c r="I33" s="68">
        <v>24.481469065494771</v>
      </c>
      <c r="J33" s="68">
        <v>30.407726663877476</v>
      </c>
      <c r="K33" s="68">
        <v>28.708132714014205</v>
      </c>
      <c r="L33" s="68">
        <v>25.930825087713</v>
      </c>
      <c r="M33" s="68">
        <v>34.936243313864516</v>
      </c>
      <c r="N33" s="68">
        <v>31.258358474495523</v>
      </c>
      <c r="O33" s="68">
        <v>33.363872967205026</v>
      </c>
      <c r="P33" s="68">
        <v>32.167499204035849</v>
      </c>
      <c r="Q33" s="68">
        <v>33.039391963135046</v>
      </c>
      <c r="R33" s="68">
        <v>34.262804133216257</v>
      </c>
      <c r="S33" s="68">
        <v>36.453824557465587</v>
      </c>
      <c r="T33" s="68">
        <v>37.970733679334167</v>
      </c>
      <c r="U33" s="68">
        <v>35.377579521417267</v>
      </c>
      <c r="V33" s="68">
        <v>35.039183910598325</v>
      </c>
      <c r="W33" s="68">
        <v>39.265029205536344</v>
      </c>
      <c r="X33" s="68">
        <v>38.238716136151709</v>
      </c>
      <c r="Y33" s="68">
        <v>41.712513193686497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295.76979258143285</v>
      </c>
      <c r="C3" s="125">
        <f t="shared" si="0"/>
        <v>388.78384960923364</v>
      </c>
      <c r="D3" s="125">
        <f t="shared" si="0"/>
        <v>387.9691581346417</v>
      </c>
      <c r="E3" s="125">
        <f t="shared" si="0"/>
        <v>257.19032267875497</v>
      </c>
      <c r="F3" s="125">
        <f t="shared" si="0"/>
        <v>282.97330279228805</v>
      </c>
      <c r="G3" s="125">
        <f t="shared" si="0"/>
        <v>239.9489856595892</v>
      </c>
      <c r="H3" s="125">
        <f t="shared" si="0"/>
        <v>221.02964754789301</v>
      </c>
      <c r="I3" s="125">
        <f t="shared" si="0"/>
        <v>187.75936887931223</v>
      </c>
      <c r="J3" s="125">
        <f t="shared" si="0"/>
        <v>258.57038265587147</v>
      </c>
      <c r="K3" s="125">
        <f t="shared" si="0"/>
        <v>258.04763189296682</v>
      </c>
      <c r="L3" s="125">
        <f t="shared" si="0"/>
        <v>292.74851394524137</v>
      </c>
      <c r="M3" s="125">
        <f t="shared" si="0"/>
        <v>293.03705784761632</v>
      </c>
      <c r="N3" s="125">
        <f t="shared" si="0"/>
        <v>253.88743826148664</v>
      </c>
      <c r="O3" s="125">
        <f t="shared" si="0"/>
        <v>264.5803116955455</v>
      </c>
      <c r="P3" s="125">
        <f t="shared" si="0"/>
        <v>234.14341475392939</v>
      </c>
      <c r="Q3" s="125">
        <f t="shared" si="0"/>
        <v>256.3128861606902</v>
      </c>
      <c r="R3" s="125">
        <f t="shared" ref="R3:W3" si="1">SUM(R4,R16,R19,R29)</f>
        <v>277.60160159217941</v>
      </c>
      <c r="S3" s="125">
        <f t="shared" si="1"/>
        <v>285.57989108462539</v>
      </c>
      <c r="T3" s="125">
        <f t="shared" si="1"/>
        <v>289.40757757124175</v>
      </c>
      <c r="U3" s="125">
        <f t="shared" si="1"/>
        <v>282.06775943160699</v>
      </c>
      <c r="V3" s="125">
        <f t="shared" si="1"/>
        <v>259.99048300985476</v>
      </c>
      <c r="W3" s="125">
        <f t="shared" si="1"/>
        <v>265.91270607094179</v>
      </c>
      <c r="X3" s="125">
        <f t="shared" ref="X3:Y3" si="2">SUM(X4,X16,X19,X29)</f>
        <v>310.80964320422464</v>
      </c>
      <c r="Y3" s="125">
        <f t="shared" si="2"/>
        <v>321.55387342731154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240.0630379988572</v>
      </c>
      <c r="C4" s="130">
        <f t="shared" si="3"/>
        <v>330.65866840723851</v>
      </c>
      <c r="D4" s="130">
        <f t="shared" si="3"/>
        <v>328.03771640662563</v>
      </c>
      <c r="E4" s="130">
        <f t="shared" si="3"/>
        <v>194.7692773144569</v>
      </c>
      <c r="F4" s="130">
        <f t="shared" si="3"/>
        <v>220.93913790679096</v>
      </c>
      <c r="G4" s="130">
        <f t="shared" si="3"/>
        <v>176.00361873816286</v>
      </c>
      <c r="H4" s="130">
        <f t="shared" si="3"/>
        <v>153.37073560458876</v>
      </c>
      <c r="I4" s="130">
        <f t="shared" si="3"/>
        <v>117.17124909013776</v>
      </c>
      <c r="J4" s="130">
        <f t="shared" si="3"/>
        <v>185.95819093829118</v>
      </c>
      <c r="K4" s="130">
        <f t="shared" si="3"/>
        <v>183.22647790622523</v>
      </c>
      <c r="L4" s="130">
        <f t="shared" si="3"/>
        <v>214.80484167946682</v>
      </c>
      <c r="M4" s="130">
        <f t="shared" si="3"/>
        <v>213.07546436128513</v>
      </c>
      <c r="N4" s="130">
        <f t="shared" si="3"/>
        <v>169.46154254606469</v>
      </c>
      <c r="O4" s="130">
        <f t="shared" si="3"/>
        <v>177.32278012876361</v>
      </c>
      <c r="P4" s="130">
        <f t="shared" si="3"/>
        <v>147.55291975555477</v>
      </c>
      <c r="Q4" s="130">
        <f t="shared" si="3"/>
        <v>161.36399565657084</v>
      </c>
      <c r="R4" s="130">
        <f t="shared" ref="R4:W4" si="4">SUM(R5:R15)</f>
        <v>183.2632816330638</v>
      </c>
      <c r="S4" s="130">
        <f t="shared" si="4"/>
        <v>184.9215564851292</v>
      </c>
      <c r="T4" s="130">
        <f t="shared" si="4"/>
        <v>189.52226215140482</v>
      </c>
      <c r="U4" s="130">
        <f t="shared" si="4"/>
        <v>178.36517941772161</v>
      </c>
      <c r="V4" s="130">
        <f t="shared" si="4"/>
        <v>161.33044894347714</v>
      </c>
      <c r="W4" s="130">
        <f t="shared" si="4"/>
        <v>162.93052408963914</v>
      </c>
      <c r="X4" s="130">
        <f t="shared" ref="X4:Y4" si="5">SUM(X5:X15)</f>
        <v>203.94500914662277</v>
      </c>
      <c r="Y4" s="130">
        <f t="shared" si="5"/>
        <v>214.55460063201713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110.64944515604448</v>
      </c>
      <c r="C7" s="132">
        <v>168.14138146798246</v>
      </c>
      <c r="D7" s="132">
        <v>137.88291282253081</v>
      </c>
      <c r="E7" s="132">
        <v>103.29176268022725</v>
      </c>
      <c r="F7" s="132">
        <v>103.16992023336442</v>
      </c>
      <c r="G7" s="132">
        <v>98.818443520653076</v>
      </c>
      <c r="H7" s="132">
        <v>81.998303701619548</v>
      </c>
      <c r="I7" s="132">
        <v>49.757189107013033</v>
      </c>
      <c r="J7" s="132">
        <v>93.379072734765671</v>
      </c>
      <c r="K7" s="132">
        <v>86.476763008376935</v>
      </c>
      <c r="L7" s="132">
        <v>91.710469421936537</v>
      </c>
      <c r="M7" s="132">
        <v>73.201836907996551</v>
      </c>
      <c r="N7" s="132">
        <v>51.681459012924549</v>
      </c>
      <c r="O7" s="132">
        <v>46.962129461122309</v>
      </c>
      <c r="P7" s="132">
        <v>33.023000399399763</v>
      </c>
      <c r="Q7" s="132">
        <v>35.857212018916748</v>
      </c>
      <c r="R7" s="132">
        <v>42.900546961460144</v>
      </c>
      <c r="S7" s="132">
        <v>33.029262592558055</v>
      </c>
      <c r="T7" s="132">
        <v>38.106500308413274</v>
      </c>
      <c r="U7" s="132">
        <v>33.417548663945212</v>
      </c>
      <c r="V7" s="132">
        <v>38.67765436983651</v>
      </c>
      <c r="W7" s="132">
        <v>27.557444581038705</v>
      </c>
      <c r="X7" s="132">
        <v>33.435019470744777</v>
      </c>
      <c r="Y7" s="132">
        <v>50.674326338294733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8.9293779389771171</v>
      </c>
      <c r="C9" s="132">
        <v>37.997673994952159</v>
      </c>
      <c r="D9" s="132">
        <v>43.93550541859323</v>
      </c>
      <c r="E9" s="132">
        <v>21.337374650317084</v>
      </c>
      <c r="F9" s="132">
        <v>27.022052444848367</v>
      </c>
      <c r="G9" s="132">
        <v>11.176510615330114</v>
      </c>
      <c r="H9" s="132">
        <v>6.248118840388412</v>
      </c>
      <c r="I9" s="132">
        <v>5.4227229727001145</v>
      </c>
      <c r="J9" s="132">
        <v>6.0654791805856512</v>
      </c>
      <c r="K9" s="132">
        <v>8.4197182505900798</v>
      </c>
      <c r="L9" s="132">
        <v>11.839619642068314</v>
      </c>
      <c r="M9" s="132">
        <v>21.20724219614565</v>
      </c>
      <c r="N9" s="132">
        <v>5.9557146756063508</v>
      </c>
      <c r="O9" s="132">
        <v>16.743403993664291</v>
      </c>
      <c r="P9" s="132">
        <v>18.385814567373782</v>
      </c>
      <c r="Q9" s="132">
        <v>27.070195393585958</v>
      </c>
      <c r="R9" s="132">
        <v>35.59671856918979</v>
      </c>
      <c r="S9" s="132">
        <v>27.230422439498135</v>
      </c>
      <c r="T9" s="132">
        <v>14.8893780306115</v>
      </c>
      <c r="U9" s="132">
        <v>16.56778343574647</v>
      </c>
      <c r="V9" s="132">
        <v>14.037738722934488</v>
      </c>
      <c r="W9" s="132">
        <v>14.002076116964282</v>
      </c>
      <c r="X9" s="132">
        <v>32.600740434032772</v>
      </c>
      <c r="Y9" s="132">
        <v>37.348074449701478</v>
      </c>
      <c r="DA9" s="156" t="s">
        <v>307</v>
      </c>
    </row>
    <row r="10" spans="1:105" ht="12" customHeight="1" x14ac:dyDescent="0.25">
      <c r="A10" s="131" t="s">
        <v>128</v>
      </c>
      <c r="B10" s="132">
        <v>0.497104730462332</v>
      </c>
      <c r="C10" s="132">
        <v>0.85235082725074474</v>
      </c>
      <c r="D10" s="132">
        <v>0.77498487991138154</v>
      </c>
      <c r="E10" s="132">
        <v>0.31024911298474522</v>
      </c>
      <c r="F10" s="132">
        <v>0.32144183563667877</v>
      </c>
      <c r="G10" s="132">
        <v>0.43238638513000371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8.9334952830924872E-16</v>
      </c>
      <c r="W10" s="132">
        <v>0</v>
      </c>
      <c r="X10" s="132">
        <v>8.7963582397125766</v>
      </c>
      <c r="Y10" s="132">
        <v>11.333798329140908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13.416393341009385</v>
      </c>
      <c r="M11" s="132">
        <v>13.432252095878345</v>
      </c>
      <c r="N11" s="132">
        <v>9.6632802155073154</v>
      </c>
      <c r="O11" s="132">
        <v>9.7270217911875942</v>
      </c>
      <c r="P11" s="132">
        <v>9.7482768575908061</v>
      </c>
      <c r="Q11" s="132">
        <v>7.3696208472652653</v>
      </c>
      <c r="R11" s="132">
        <v>7.6457073392869077</v>
      </c>
      <c r="S11" s="132">
        <v>9.953258271357095</v>
      </c>
      <c r="T11" s="132">
        <v>9.5510118869899099</v>
      </c>
      <c r="U11" s="132">
        <v>10.511296828056576</v>
      </c>
      <c r="V11" s="132">
        <v>7.4279375776178842</v>
      </c>
      <c r="W11" s="132">
        <v>7.1243968085161811</v>
      </c>
      <c r="X11" s="132">
        <v>8.7935435023508788</v>
      </c>
      <c r="Y11" s="132">
        <v>9.4419529732715564</v>
      </c>
      <c r="DA11" s="156" t="s">
        <v>309</v>
      </c>
    </row>
    <row r="12" spans="1:105" ht="12" customHeight="1" x14ac:dyDescent="0.25">
      <c r="A12" s="131" t="s">
        <v>162</v>
      </c>
      <c r="B12" s="132">
        <v>57.409681066839475</v>
      </c>
      <c r="C12" s="132">
        <v>50.331231814687492</v>
      </c>
      <c r="D12" s="132">
        <v>47.63454008426978</v>
      </c>
      <c r="E12" s="132">
        <v>22.651437628416094</v>
      </c>
      <c r="F12" s="132">
        <v>25.866899689514906</v>
      </c>
      <c r="G12" s="132">
        <v>17.822901627228664</v>
      </c>
      <c r="H12" s="132">
        <v>23.16715944318981</v>
      </c>
      <c r="I12" s="132">
        <v>12.523238512796089</v>
      </c>
      <c r="J12" s="132">
        <v>11.622036166669915</v>
      </c>
      <c r="K12" s="132">
        <v>20.104082845915602</v>
      </c>
      <c r="L12" s="132">
        <v>27.895413055290813</v>
      </c>
      <c r="M12" s="132">
        <v>32.710418676038621</v>
      </c>
      <c r="N12" s="132">
        <v>35.113802955530275</v>
      </c>
      <c r="O12" s="132">
        <v>38.103073529456189</v>
      </c>
      <c r="P12" s="132">
        <v>28.103621110410284</v>
      </c>
      <c r="Q12" s="132">
        <v>32.198963159695083</v>
      </c>
      <c r="R12" s="132">
        <v>30.799637592165869</v>
      </c>
      <c r="S12" s="132">
        <v>37.529523499270596</v>
      </c>
      <c r="T12" s="132">
        <v>40.403390618338399</v>
      </c>
      <c r="U12" s="132">
        <v>34.570734406446547</v>
      </c>
      <c r="V12" s="132">
        <v>35.111294006182916</v>
      </c>
      <c r="W12" s="132">
        <v>41.178111487062303</v>
      </c>
      <c r="X12" s="132">
        <v>30.817936820048239</v>
      </c>
      <c r="Y12" s="132">
        <v>29.575836704807529</v>
      </c>
      <c r="DA12" s="156" t="s">
        <v>310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9.1038858137009893</v>
      </c>
      <c r="DA13" s="156" t="s">
        <v>311</v>
      </c>
    </row>
    <row r="14" spans="1:105" ht="12" customHeight="1" x14ac:dyDescent="0.25">
      <c r="A14" s="60" t="s">
        <v>76</v>
      </c>
      <c r="B14" s="65">
        <v>59.89383319199456</v>
      </c>
      <c r="C14" s="65">
        <v>69.04419708449926</v>
      </c>
      <c r="D14" s="65">
        <v>94.083513733194451</v>
      </c>
      <c r="E14" s="65">
        <v>44.721517555803409</v>
      </c>
      <c r="F14" s="65">
        <v>62.027860580472968</v>
      </c>
      <c r="G14" s="65">
        <v>45.667976704491323</v>
      </c>
      <c r="H14" s="65">
        <v>40.274078291443914</v>
      </c>
      <c r="I14" s="65">
        <v>48.440011351899159</v>
      </c>
      <c r="J14" s="65">
        <v>73.11215013554515</v>
      </c>
      <c r="K14" s="65">
        <v>66.511115697314708</v>
      </c>
      <c r="L14" s="65">
        <v>68.0119761604698</v>
      </c>
      <c r="M14" s="65">
        <v>70.746927553897166</v>
      </c>
      <c r="N14" s="65">
        <v>65.904413431325821</v>
      </c>
      <c r="O14" s="65">
        <v>64.542109115108317</v>
      </c>
      <c r="P14" s="65">
        <v>57.298541409470658</v>
      </c>
      <c r="Q14" s="65">
        <v>57.687600622584071</v>
      </c>
      <c r="R14" s="65">
        <v>64.90098033756999</v>
      </c>
      <c r="S14" s="65">
        <v>76.022654935313653</v>
      </c>
      <c r="T14" s="65">
        <v>85.526291149340963</v>
      </c>
      <c r="U14" s="65">
        <v>82.322583746745877</v>
      </c>
      <c r="V14" s="65">
        <v>65.069267750742725</v>
      </c>
      <c r="W14" s="65">
        <v>72.21714333883574</v>
      </c>
      <c r="X14" s="65">
        <v>88.22619608443766</v>
      </c>
      <c r="Y14" s="65">
        <v>65.433981168616313</v>
      </c>
      <c r="DA14" s="109" t="s">
        <v>312</v>
      </c>
    </row>
    <row r="15" spans="1:105" ht="12" customHeight="1" x14ac:dyDescent="0.25">
      <c r="A15" s="133" t="s">
        <v>80</v>
      </c>
      <c r="B15" s="134">
        <v>2.6835959145392527</v>
      </c>
      <c r="C15" s="134">
        <v>4.2918332178663681</v>
      </c>
      <c r="D15" s="134">
        <v>3.7262594681259809</v>
      </c>
      <c r="E15" s="134">
        <v>2.4569356867083174</v>
      </c>
      <c r="F15" s="134">
        <v>2.5309631229536338</v>
      </c>
      <c r="G15" s="134">
        <v>2.0853998853296476</v>
      </c>
      <c r="H15" s="134">
        <v>1.68307532794709</v>
      </c>
      <c r="I15" s="134">
        <v>1.0280871457293685</v>
      </c>
      <c r="J15" s="134">
        <v>1.7794527207248148</v>
      </c>
      <c r="K15" s="134">
        <v>1.7147981040279212</v>
      </c>
      <c r="L15" s="134">
        <v>1.9309700586919716</v>
      </c>
      <c r="M15" s="134">
        <v>1.7767869313288276</v>
      </c>
      <c r="N15" s="134">
        <v>1.14287225517038</v>
      </c>
      <c r="O15" s="134">
        <v>1.2450422382249384</v>
      </c>
      <c r="P15" s="134">
        <v>0.99366541130946595</v>
      </c>
      <c r="Q15" s="134">
        <v>1.1804036145237158</v>
      </c>
      <c r="R15" s="134">
        <v>1.4196908333910832</v>
      </c>
      <c r="S15" s="134">
        <v>1.1564347471316723</v>
      </c>
      <c r="T15" s="134">
        <v>1.0456901577107545</v>
      </c>
      <c r="U15" s="134">
        <v>0.97523233678092858</v>
      </c>
      <c r="V15" s="134">
        <v>1.0065565161626167</v>
      </c>
      <c r="W15" s="134">
        <v>0.85135175722192857</v>
      </c>
      <c r="X15" s="134">
        <v>1.2752145952958684</v>
      </c>
      <c r="Y15" s="134">
        <v>1.6427448544836192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6.046313809747546</v>
      </c>
      <c r="C16" s="130">
        <f t="shared" si="6"/>
        <v>6.3433487803034474</v>
      </c>
      <c r="D16" s="130">
        <f t="shared" si="6"/>
        <v>7.0239573823207913</v>
      </c>
      <c r="E16" s="130">
        <f t="shared" si="6"/>
        <v>9.6187489356537608</v>
      </c>
      <c r="F16" s="130">
        <f t="shared" si="6"/>
        <v>8.2890351896288479</v>
      </c>
      <c r="G16" s="130">
        <f t="shared" si="6"/>
        <v>9.1621345919742581</v>
      </c>
      <c r="H16" s="130">
        <f t="shared" si="6"/>
        <v>11.192951019068213</v>
      </c>
      <c r="I16" s="130">
        <f t="shared" si="6"/>
        <v>12.367006355228767</v>
      </c>
      <c r="J16" s="130">
        <f t="shared" si="6"/>
        <v>13.507830979532567</v>
      </c>
      <c r="K16" s="130">
        <f t="shared" si="6"/>
        <v>14.165828614491341</v>
      </c>
      <c r="L16" s="130">
        <f t="shared" si="6"/>
        <v>15.823896071364704</v>
      </c>
      <c r="M16" s="130">
        <f t="shared" si="6"/>
        <v>16.61258730318005</v>
      </c>
      <c r="N16" s="130">
        <f t="shared" si="6"/>
        <v>19.369539079681552</v>
      </c>
      <c r="O16" s="130">
        <f t="shared" si="6"/>
        <v>20.81281749746163</v>
      </c>
      <c r="P16" s="130">
        <f t="shared" si="6"/>
        <v>17.580471172170103</v>
      </c>
      <c r="Q16" s="130">
        <f t="shared" si="6"/>
        <v>22.431389622373828</v>
      </c>
      <c r="R16" s="130">
        <f t="shared" ref="R16:W16" si="7">SUM(R17:R18)</f>
        <v>19.144758738741128</v>
      </c>
      <c r="S16" s="130">
        <f t="shared" si="7"/>
        <v>23.326421273057228</v>
      </c>
      <c r="T16" s="130">
        <f t="shared" si="7"/>
        <v>20.774054307474213</v>
      </c>
      <c r="U16" s="130">
        <f t="shared" si="7"/>
        <v>22.519921784998616</v>
      </c>
      <c r="V16" s="130">
        <f t="shared" si="7"/>
        <v>20.142692285700846</v>
      </c>
      <c r="W16" s="130">
        <f t="shared" si="7"/>
        <v>22.494202516945556</v>
      </c>
      <c r="X16" s="130">
        <f t="shared" ref="X16:Y16" si="8">SUM(X17:X18)</f>
        <v>24.090504832081994</v>
      </c>
      <c r="Y16" s="130">
        <f t="shared" si="8"/>
        <v>23.538410976833578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6.046313809747546</v>
      </c>
      <c r="C18" s="132">
        <v>6.3433487803034474</v>
      </c>
      <c r="D18" s="132">
        <v>7.0239573823207913</v>
      </c>
      <c r="E18" s="132">
        <v>9.6187489356537608</v>
      </c>
      <c r="F18" s="132">
        <v>8.2890351896288479</v>
      </c>
      <c r="G18" s="132">
        <v>9.1621345919742581</v>
      </c>
      <c r="H18" s="132">
        <v>11.192951019068213</v>
      </c>
      <c r="I18" s="132">
        <v>12.367006355228767</v>
      </c>
      <c r="J18" s="132">
        <v>13.507830979532567</v>
      </c>
      <c r="K18" s="132">
        <v>14.165828614491341</v>
      </c>
      <c r="L18" s="132">
        <v>15.823896071364704</v>
      </c>
      <c r="M18" s="132">
        <v>16.61258730318005</v>
      </c>
      <c r="N18" s="132">
        <v>19.369539079681552</v>
      </c>
      <c r="O18" s="132">
        <v>20.81281749746163</v>
      </c>
      <c r="P18" s="132">
        <v>17.580471172170103</v>
      </c>
      <c r="Q18" s="132">
        <v>22.431389622373828</v>
      </c>
      <c r="R18" s="132">
        <v>19.144758738741128</v>
      </c>
      <c r="S18" s="132">
        <v>23.326421273057228</v>
      </c>
      <c r="T18" s="132">
        <v>20.774054307474213</v>
      </c>
      <c r="U18" s="132">
        <v>22.519921784998616</v>
      </c>
      <c r="V18" s="132">
        <v>20.142692285700846</v>
      </c>
      <c r="W18" s="132">
        <v>22.494202516945556</v>
      </c>
      <c r="X18" s="132">
        <v>24.090504832081994</v>
      </c>
      <c r="Y18" s="132">
        <v>23.538410976833578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22.576605204500286</v>
      </c>
      <c r="C19" s="130">
        <f t="shared" si="9"/>
        <v>22.81662828896544</v>
      </c>
      <c r="D19" s="130">
        <f t="shared" si="9"/>
        <v>23.210897981360102</v>
      </c>
      <c r="E19" s="130">
        <f t="shared" si="9"/>
        <v>23.607465490504048</v>
      </c>
      <c r="F19" s="130">
        <f t="shared" si="9"/>
        <v>24.091525620667685</v>
      </c>
      <c r="G19" s="130">
        <f t="shared" si="9"/>
        <v>24.786776642839161</v>
      </c>
      <c r="H19" s="130">
        <f t="shared" si="9"/>
        <v>25.555454334073637</v>
      </c>
      <c r="I19" s="130">
        <f t="shared" si="9"/>
        <v>26.542501553987183</v>
      </c>
      <c r="J19" s="130">
        <f t="shared" si="9"/>
        <v>27.235965854296516</v>
      </c>
      <c r="K19" s="130">
        <f t="shared" si="9"/>
        <v>28.107912566006203</v>
      </c>
      <c r="L19" s="130">
        <f t="shared" si="9"/>
        <v>28.934242561943552</v>
      </c>
      <c r="M19" s="130">
        <f t="shared" si="9"/>
        <v>29.213791651415566</v>
      </c>
      <c r="N19" s="130">
        <f t="shared" si="9"/>
        <v>29.820834630631129</v>
      </c>
      <c r="O19" s="130">
        <f t="shared" si="9"/>
        <v>30.685552438737467</v>
      </c>
      <c r="P19" s="130">
        <f t="shared" si="9"/>
        <v>32.026669021968019</v>
      </c>
      <c r="Q19" s="130">
        <f t="shared" si="9"/>
        <v>33.139937916310373</v>
      </c>
      <c r="R19" s="130">
        <f t="shared" ref="R19:W19" si="10">SUM(R20:R27)</f>
        <v>34.109566246984969</v>
      </c>
      <c r="S19" s="130">
        <f t="shared" si="10"/>
        <v>34.767498670464747</v>
      </c>
      <c r="T19" s="130">
        <f t="shared" si="10"/>
        <v>35.110635999054566</v>
      </c>
      <c r="U19" s="130">
        <f t="shared" si="10"/>
        <v>36.095633076453737</v>
      </c>
      <c r="V19" s="130">
        <f t="shared" si="10"/>
        <v>35.523645737052405</v>
      </c>
      <c r="W19" s="130">
        <f t="shared" si="10"/>
        <v>36.544275104659064</v>
      </c>
      <c r="X19" s="130">
        <f t="shared" ref="X19:Y19" si="11">SUM(X20:X27)</f>
        <v>37.849653457908843</v>
      </c>
      <c r="Y19" s="130">
        <f t="shared" si="11"/>
        <v>38.85370014282352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9.3315396069198702</v>
      </c>
      <c r="C21" s="132">
        <v>7.8333582522639214</v>
      </c>
      <c r="D21" s="132">
        <v>8.5669505098826857</v>
      </c>
      <c r="E21" s="132">
        <v>8.2218928384311454</v>
      </c>
      <c r="F21" s="132">
        <v>7.9401977544934033</v>
      </c>
      <c r="G21" s="132">
        <v>7.6389480573924109</v>
      </c>
      <c r="H21" s="132">
        <v>7.368899713343172</v>
      </c>
      <c r="I21" s="132">
        <v>7.1763484979856544</v>
      </c>
      <c r="J21" s="132">
        <v>6.6954424388087261</v>
      </c>
      <c r="K21" s="132">
        <v>6.4390665791883954</v>
      </c>
      <c r="L21" s="132">
        <v>6.3652949003201433</v>
      </c>
      <c r="M21" s="132">
        <v>5.646858941601276</v>
      </c>
      <c r="N21" s="132">
        <v>5.6861967375514793</v>
      </c>
      <c r="O21" s="132">
        <v>5.3540311969327679</v>
      </c>
      <c r="P21" s="132">
        <v>5.0574739392762762</v>
      </c>
      <c r="Q21" s="132">
        <v>4.9527501839391057</v>
      </c>
      <c r="R21" s="132">
        <v>4.015316633718764</v>
      </c>
      <c r="S21" s="132">
        <v>4.682271286828958</v>
      </c>
      <c r="T21" s="132">
        <v>6.6095097522917152</v>
      </c>
      <c r="U21" s="132">
        <v>8.012512337140846</v>
      </c>
      <c r="V21" s="132">
        <v>6.3770409959304288</v>
      </c>
      <c r="W21" s="132">
        <v>4.7129473599310536</v>
      </c>
      <c r="X21" s="132">
        <v>5.4780084449884683</v>
      </c>
      <c r="Y21" s="132">
        <v>2.8026147081187283</v>
      </c>
      <c r="DA21" s="156" t="s">
        <v>319</v>
      </c>
    </row>
    <row r="22" spans="1:105" ht="12" customHeight="1" x14ac:dyDescent="0.25">
      <c r="A22" s="131" t="s">
        <v>161</v>
      </c>
      <c r="B22" s="132">
        <v>7.7021757187810094</v>
      </c>
      <c r="C22" s="132">
        <v>8.6066612005436429</v>
      </c>
      <c r="D22" s="132">
        <v>8.1694840340688923</v>
      </c>
      <c r="E22" s="132">
        <v>9.4543759801708287</v>
      </c>
      <c r="F22" s="132">
        <v>9.8665742311070339</v>
      </c>
      <c r="G22" s="132">
        <v>10.140100346113135</v>
      </c>
      <c r="H22" s="132">
        <v>10.734706787375</v>
      </c>
      <c r="I22" s="132">
        <v>11.693744835167234</v>
      </c>
      <c r="J22" s="132">
        <v>11.175549620546834</v>
      </c>
      <c r="K22" s="132">
        <v>11.014605599271613</v>
      </c>
      <c r="L22" s="132">
        <v>10.756295028203571</v>
      </c>
      <c r="M22" s="132">
        <v>8.7620714284441963</v>
      </c>
      <c r="N22" s="132">
        <v>7.9509208357503418</v>
      </c>
      <c r="O22" s="132">
        <v>6.5451174980508444</v>
      </c>
      <c r="P22" s="132">
        <v>5.4896009146926428</v>
      </c>
      <c r="Q22" s="132">
        <v>4.912460174567606</v>
      </c>
      <c r="R22" s="132">
        <v>5.9866206196054561</v>
      </c>
      <c r="S22" s="132">
        <v>4.8105182083011817</v>
      </c>
      <c r="T22" s="132">
        <v>5.923455124361217</v>
      </c>
      <c r="U22" s="132">
        <v>5.0906115967386549</v>
      </c>
      <c r="V22" s="132">
        <v>6.0135799314314777</v>
      </c>
      <c r="W22" s="132">
        <v>5.8688669806553859</v>
      </c>
      <c r="X22" s="132">
        <v>5.9408705425619832</v>
      </c>
      <c r="Y22" s="132">
        <v>6.2456291575577074</v>
      </c>
      <c r="DA22" s="156" t="s">
        <v>320</v>
      </c>
    </row>
    <row r="23" spans="1:105" ht="12" customHeight="1" x14ac:dyDescent="0.25">
      <c r="A23" s="131" t="s">
        <v>149</v>
      </c>
      <c r="B23" s="132">
        <v>0.75574556648733171</v>
      </c>
      <c r="C23" s="132">
        <v>0.77346981721492802</v>
      </c>
      <c r="D23" s="132">
        <v>0.76155086614647782</v>
      </c>
      <c r="E23" s="132">
        <v>0.77716724942669058</v>
      </c>
      <c r="F23" s="132">
        <v>0.81165799240569125</v>
      </c>
      <c r="G23" s="132">
        <v>0.83852655188715108</v>
      </c>
      <c r="H23" s="132">
        <v>0.85081120638031815</v>
      </c>
      <c r="I23" s="132">
        <v>0.90826378160232268</v>
      </c>
      <c r="J23" s="132">
        <v>0.96789536782614527</v>
      </c>
      <c r="K23" s="132">
        <v>1.4111395299554466</v>
      </c>
      <c r="L23" s="132">
        <v>1.505272899174666</v>
      </c>
      <c r="M23" s="132">
        <v>1.47241374711394</v>
      </c>
      <c r="N23" s="132">
        <v>1.4759372934039601</v>
      </c>
      <c r="O23" s="132">
        <v>1.4779880618391636</v>
      </c>
      <c r="P23" s="132">
        <v>1.5015100980749432</v>
      </c>
      <c r="Q23" s="132">
        <v>1.4467533077052039</v>
      </c>
      <c r="R23" s="132">
        <v>1.8653215582126341</v>
      </c>
      <c r="S23" s="132">
        <v>1.3809505070351364</v>
      </c>
      <c r="T23" s="132">
        <v>0.74946981458167794</v>
      </c>
      <c r="U23" s="132">
        <v>0.80822969521523358</v>
      </c>
      <c r="V23" s="132">
        <v>0.6536681132109855</v>
      </c>
      <c r="W23" s="132">
        <v>0.57945674758412635</v>
      </c>
      <c r="X23" s="132">
        <v>0.98683930121680452</v>
      </c>
      <c r="Y23" s="132">
        <v>0.95252415558074144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2.666922677592015</v>
      </c>
      <c r="C25" s="132">
        <v>3.5263170772836179</v>
      </c>
      <c r="D25" s="132">
        <v>2.9789962137662909</v>
      </c>
      <c r="E25" s="132">
        <v>2.6698040508066914</v>
      </c>
      <c r="F25" s="132">
        <v>2.6268773095174147</v>
      </c>
      <c r="G25" s="132">
        <v>2.4052452436812488</v>
      </c>
      <c r="H25" s="132">
        <v>1.9397908611422017</v>
      </c>
      <c r="I25" s="132">
        <v>1.9366802515962835</v>
      </c>
      <c r="J25" s="132">
        <v>1.7886949182627681</v>
      </c>
      <c r="K25" s="132">
        <v>2.2113312098362532</v>
      </c>
      <c r="L25" s="132">
        <v>2.8739169808786369</v>
      </c>
      <c r="M25" s="132">
        <v>3.551908415230399</v>
      </c>
      <c r="N25" s="132">
        <v>4.0899300715638081</v>
      </c>
      <c r="O25" s="132">
        <v>4.5815632882537809</v>
      </c>
      <c r="P25" s="132">
        <v>5.0666800614500476</v>
      </c>
      <c r="Q25" s="132">
        <v>5.1688212528486845</v>
      </c>
      <c r="R25" s="132">
        <v>5.0700578661967715</v>
      </c>
      <c r="S25" s="132">
        <v>6.3749845130124605</v>
      </c>
      <c r="T25" s="132">
        <v>7.1511912874052141</v>
      </c>
      <c r="U25" s="132">
        <v>6.2067953591112506</v>
      </c>
      <c r="V25" s="132">
        <v>6.3501831607307668</v>
      </c>
      <c r="W25" s="132">
        <v>7.1326836681887213</v>
      </c>
      <c r="X25" s="132">
        <v>7.3021892588819188</v>
      </c>
      <c r="Y25" s="132">
        <v>6.8608310365893717</v>
      </c>
      <c r="DA25" s="156" t="s">
        <v>323</v>
      </c>
    </row>
    <row r="26" spans="1:105" ht="12" customHeight="1" x14ac:dyDescent="0.25">
      <c r="A26" s="131" t="s">
        <v>24</v>
      </c>
      <c r="B26" s="65">
        <v>2.1202216347200591</v>
      </c>
      <c r="C26" s="65">
        <v>2.0768219416593294</v>
      </c>
      <c r="D26" s="65">
        <v>2.7339163574957559</v>
      </c>
      <c r="E26" s="65">
        <v>2.4842253716686917</v>
      </c>
      <c r="F26" s="65">
        <v>2.8462183331441402</v>
      </c>
      <c r="G26" s="65">
        <v>3.7639564437652147</v>
      </c>
      <c r="H26" s="65">
        <v>4.6612457658329438</v>
      </c>
      <c r="I26" s="65">
        <v>4.8274641876356919</v>
      </c>
      <c r="J26" s="65">
        <v>6.6083835088520448</v>
      </c>
      <c r="K26" s="65">
        <v>7.0317696477544933</v>
      </c>
      <c r="L26" s="65">
        <v>7.4334627533665332</v>
      </c>
      <c r="M26" s="65">
        <v>9.7805391190257538</v>
      </c>
      <c r="N26" s="65">
        <v>10.617849692361538</v>
      </c>
      <c r="O26" s="65">
        <v>12.726852393660915</v>
      </c>
      <c r="P26" s="65">
        <v>14.911404008474108</v>
      </c>
      <c r="Q26" s="65">
        <v>16.659152997249773</v>
      </c>
      <c r="R26" s="65">
        <v>17.172249569251338</v>
      </c>
      <c r="S26" s="65">
        <v>17.518774155287012</v>
      </c>
      <c r="T26" s="65">
        <v>14.677010020414739</v>
      </c>
      <c r="U26" s="65">
        <v>15.977484088247746</v>
      </c>
      <c r="V26" s="65">
        <v>16.129173535748745</v>
      </c>
      <c r="W26" s="65">
        <v>18.25032034829978</v>
      </c>
      <c r="X26" s="65">
        <v>18.141745910259672</v>
      </c>
      <c r="Y26" s="65">
        <v>21.992101084976969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27.083835568327785</v>
      </c>
      <c r="C29" s="130">
        <f t="shared" si="12"/>
        <v>28.965204132726225</v>
      </c>
      <c r="D29" s="130">
        <f t="shared" si="12"/>
        <v>29.696586364335122</v>
      </c>
      <c r="E29" s="130">
        <f t="shared" si="12"/>
        <v>29.194830938140271</v>
      </c>
      <c r="F29" s="130">
        <f t="shared" si="12"/>
        <v>29.653604075200573</v>
      </c>
      <c r="G29" s="130">
        <f t="shared" si="12"/>
        <v>29.99645568661294</v>
      </c>
      <c r="H29" s="130">
        <f t="shared" si="12"/>
        <v>30.910506590162409</v>
      </c>
      <c r="I29" s="130">
        <f t="shared" si="12"/>
        <v>31.67861187995852</v>
      </c>
      <c r="J29" s="130">
        <f t="shared" si="12"/>
        <v>31.868394883751218</v>
      </c>
      <c r="K29" s="130">
        <f t="shared" si="12"/>
        <v>32.547412806244033</v>
      </c>
      <c r="L29" s="130">
        <f t="shared" si="12"/>
        <v>33.185533632466303</v>
      </c>
      <c r="M29" s="130">
        <f t="shared" si="12"/>
        <v>34.135214531735585</v>
      </c>
      <c r="N29" s="130">
        <f t="shared" si="12"/>
        <v>35.235522005109274</v>
      </c>
      <c r="O29" s="130">
        <f t="shared" si="12"/>
        <v>35.759161630582824</v>
      </c>
      <c r="P29" s="130">
        <f t="shared" si="12"/>
        <v>36.983354804236498</v>
      </c>
      <c r="Q29" s="130">
        <f t="shared" si="12"/>
        <v>39.377562965435189</v>
      </c>
      <c r="R29" s="130">
        <f t="shared" ref="R29:W29" si="13">SUM(R30:R33)</f>
        <v>41.083994973389487</v>
      </c>
      <c r="S29" s="130">
        <f t="shared" si="13"/>
        <v>42.564414655974204</v>
      </c>
      <c r="T29" s="130">
        <f t="shared" si="13"/>
        <v>44.000625113308189</v>
      </c>
      <c r="U29" s="130">
        <f t="shared" si="13"/>
        <v>45.087025152433036</v>
      </c>
      <c r="V29" s="130">
        <f t="shared" si="13"/>
        <v>42.993696043624361</v>
      </c>
      <c r="W29" s="130">
        <f t="shared" si="13"/>
        <v>43.943704359698046</v>
      </c>
      <c r="X29" s="130">
        <f t="shared" ref="X29:Y29" si="14">SUM(X30:X33)</f>
        <v>44.92447576761105</v>
      </c>
      <c r="Y29" s="130">
        <f t="shared" si="14"/>
        <v>44.607161675637322</v>
      </c>
      <c r="DA29" s="155" t="s">
        <v>326</v>
      </c>
    </row>
    <row r="30" spans="1:105" ht="12" customHeight="1" x14ac:dyDescent="0.25">
      <c r="A30" s="131" t="s">
        <v>52</v>
      </c>
      <c r="B30" s="132">
        <v>16.347927621388468</v>
      </c>
      <c r="C30" s="132">
        <v>15.258134477684106</v>
      </c>
      <c r="D30" s="132">
        <v>7.1410815222699409</v>
      </c>
      <c r="E30" s="132">
        <v>4.1728835025799187</v>
      </c>
      <c r="F30" s="132">
        <v>5.1676285486064897</v>
      </c>
      <c r="G30" s="132">
        <v>4.843170006495721</v>
      </c>
      <c r="H30" s="132">
        <v>3.8177573404492762</v>
      </c>
      <c r="I30" s="132">
        <v>11.007953260568307</v>
      </c>
      <c r="J30" s="132">
        <v>6.951196946482348</v>
      </c>
      <c r="K30" s="132">
        <v>7.9351456684664852</v>
      </c>
      <c r="L30" s="132">
        <v>10.72350200630054</v>
      </c>
      <c r="M30" s="132">
        <v>4.2096334182214914</v>
      </c>
      <c r="N30" s="132">
        <v>8.2291818029333665</v>
      </c>
      <c r="O30" s="132">
        <v>5.9886366201365213</v>
      </c>
      <c r="P30" s="132">
        <v>6.2902562531373754</v>
      </c>
      <c r="Q30" s="132">
        <v>7.0889976906978633</v>
      </c>
      <c r="R30" s="132">
        <v>6.1244681190480819</v>
      </c>
      <c r="S30" s="132">
        <v>7.210911847882139</v>
      </c>
      <c r="T30" s="132">
        <v>9.4684768348298824</v>
      </c>
      <c r="U30" s="132">
        <v>12.120405611100214</v>
      </c>
      <c r="V30" s="132">
        <v>10.392129733469481</v>
      </c>
      <c r="W30" s="132">
        <v>7.6549552734466033</v>
      </c>
      <c r="X30" s="132">
        <v>8.6836879990028155</v>
      </c>
      <c r="Y30" s="132">
        <v>4.9205105999765717</v>
      </c>
      <c r="DA30" s="156" t="s">
        <v>327</v>
      </c>
    </row>
    <row r="31" spans="1:105" ht="12" customHeight="1" x14ac:dyDescent="0.25">
      <c r="A31" s="131" t="s">
        <v>149</v>
      </c>
      <c r="B31" s="132">
        <v>0.24005530285191773</v>
      </c>
      <c r="C31" s="132">
        <v>4.9913527969528557</v>
      </c>
      <c r="D31" s="132">
        <v>5.3998024528051873</v>
      </c>
      <c r="E31" s="132">
        <v>4.6242663167611493</v>
      </c>
      <c r="F31" s="132">
        <v>4.3724773699058961</v>
      </c>
      <c r="G31" s="132">
        <v>2.9381442654988175</v>
      </c>
      <c r="H31" s="132">
        <v>1.3421347945595565</v>
      </c>
      <c r="I31" s="132">
        <v>1.0583998254081171</v>
      </c>
      <c r="J31" s="132">
        <v>0.51485197467495736</v>
      </c>
      <c r="K31" s="132">
        <v>1.5344430684776031</v>
      </c>
      <c r="L31" s="132">
        <v>1.582210855349103</v>
      </c>
      <c r="M31" s="132">
        <v>1.7401864853854292</v>
      </c>
      <c r="N31" s="132">
        <v>1.7412295037153702</v>
      </c>
      <c r="O31" s="132">
        <v>2.7116816776585835</v>
      </c>
      <c r="P31" s="132">
        <v>4.4970730110478101</v>
      </c>
      <c r="Q31" s="132">
        <v>5.2579297142559174</v>
      </c>
      <c r="R31" s="132">
        <v>6.7557483769017477</v>
      </c>
      <c r="S31" s="132">
        <v>5.1409698593547954</v>
      </c>
      <c r="T31" s="132">
        <v>2.7925686483970655</v>
      </c>
      <c r="U31" s="132">
        <v>3.1278180802913003</v>
      </c>
      <c r="V31" s="132">
        <v>2.694531206105927</v>
      </c>
      <c r="W31" s="132">
        <v>2.3022146041959641</v>
      </c>
      <c r="X31" s="132">
        <v>2.7045131984234478</v>
      </c>
      <c r="Y31" s="132">
        <v>2.6275451552714144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10.495852644087398</v>
      </c>
      <c r="C33" s="68">
        <v>8.7157168580892623</v>
      </c>
      <c r="D33" s="68">
        <v>17.155702389259993</v>
      </c>
      <c r="E33" s="68">
        <v>20.397681118799202</v>
      </c>
      <c r="F33" s="68">
        <v>20.113498156688188</v>
      </c>
      <c r="G33" s="68">
        <v>22.215141414618401</v>
      </c>
      <c r="H33" s="68">
        <v>25.750614455153578</v>
      </c>
      <c r="I33" s="68">
        <v>19.612258793982097</v>
      </c>
      <c r="J33" s="68">
        <v>24.402345962593913</v>
      </c>
      <c r="K33" s="68">
        <v>23.077824069299947</v>
      </c>
      <c r="L33" s="68">
        <v>20.879820770816661</v>
      </c>
      <c r="M33" s="68">
        <v>28.185394628128666</v>
      </c>
      <c r="N33" s="68">
        <v>25.265110698460536</v>
      </c>
      <c r="O33" s="68">
        <v>27.058843332787717</v>
      </c>
      <c r="P33" s="68">
        <v>26.196025540051316</v>
      </c>
      <c r="Q33" s="68">
        <v>27.030635560481411</v>
      </c>
      <c r="R33" s="68">
        <v>28.203778477439659</v>
      </c>
      <c r="S33" s="68">
        <v>30.21253294873727</v>
      </c>
      <c r="T33" s="68">
        <v>31.739579630081241</v>
      </c>
      <c r="U33" s="68">
        <v>29.83880146104152</v>
      </c>
      <c r="V33" s="68">
        <v>29.907035104048955</v>
      </c>
      <c r="W33" s="68">
        <v>33.986534482055475</v>
      </c>
      <c r="X33" s="68">
        <v>33.536274570184787</v>
      </c>
      <c r="Y33" s="68">
        <v>37.059105920389335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0.59576580484108932</v>
      </c>
      <c r="C3" s="126">
        <f>IF(SER_hh_tes!C3=0,"",SER_hh_tes!C3/SER_hh_fec!C3)</f>
        <v>0.57253965932704431</v>
      </c>
      <c r="D3" s="126">
        <f>IF(SER_hh_tes!D3=0,"",SER_hh_tes!D3/SER_hh_fec!D3)</f>
        <v>0.59673642230512258</v>
      </c>
      <c r="E3" s="126">
        <f>IF(SER_hh_tes!E3=0,"",SER_hh_tes!E3/SER_hh_fec!E3)</f>
        <v>0.59830725691452391</v>
      </c>
      <c r="F3" s="126">
        <f>IF(SER_hh_tes!F3=0,"",SER_hh_tes!F3/SER_hh_fec!F3)</f>
        <v>0.60847276336434264</v>
      </c>
      <c r="G3" s="126">
        <f>IF(SER_hh_tes!G3=0,"",SER_hh_tes!G3/SER_hh_fec!G3)</f>
        <v>0.61279368189695238</v>
      </c>
      <c r="H3" s="126">
        <f>IF(SER_hh_tes!H3=0,"",SER_hh_tes!H3/SER_hh_fec!H3)</f>
        <v>0.63895879083414808</v>
      </c>
      <c r="I3" s="126">
        <f>IF(SER_hh_tes!I3=0,"",SER_hh_tes!I3/SER_hh_fec!I3)</f>
        <v>0.66655031194135761</v>
      </c>
      <c r="J3" s="126">
        <f>IF(SER_hh_tes!J3=0,"",SER_hh_tes!J3/SER_hh_fec!J3)</f>
        <v>0.65303711497673556</v>
      </c>
      <c r="K3" s="126">
        <f>IF(SER_hh_tes!K3=0,"",SER_hh_tes!K3/SER_hh_fec!K3)</f>
        <v>0.66397383881900196</v>
      </c>
      <c r="L3" s="126">
        <f>IF(SER_hh_tes!L3=0,"",SER_hh_tes!L3/SER_hh_fec!L3)</f>
        <v>0.67757194026021905</v>
      </c>
      <c r="M3" s="126">
        <f>IF(SER_hh_tes!M3=0,"",SER_hh_tes!M3/SER_hh_fec!M3)</f>
        <v>0.70229206756373619</v>
      </c>
      <c r="N3" s="126">
        <f>IF(SER_hh_tes!N3=0,"",SER_hh_tes!N3/SER_hh_fec!N3)</f>
        <v>0.7374444148162147</v>
      </c>
      <c r="O3" s="126">
        <f>IF(SER_hh_tes!O3=0,"",SER_hh_tes!O3/SER_hh_fec!O3)</f>
        <v>0.74933920219568662</v>
      </c>
      <c r="P3" s="126">
        <f>IF(SER_hh_tes!P3=0,"",SER_hh_tes!P3/SER_hh_fec!P3)</f>
        <v>0.75615115046799719</v>
      </c>
      <c r="Q3" s="126">
        <f>IF(SER_hh_tes!Q3=0,"",SER_hh_tes!Q3/SER_hh_fec!Q3)</f>
        <v>0.76492943391464285</v>
      </c>
      <c r="R3" s="126">
        <f>IF(SER_hh_tes!R3=0,"",SER_hh_tes!R3/SER_hh_fec!R3)</f>
        <v>0.75482227593228524</v>
      </c>
      <c r="S3" s="126">
        <f>IF(SER_hh_tes!S3=0,"",SER_hh_tes!S3/SER_hh_fec!S3)</f>
        <v>0.79224749060485444</v>
      </c>
      <c r="T3" s="126">
        <f>IF(SER_hh_tes!T3=0,"",SER_hh_tes!T3/SER_hh_fec!T3)</f>
        <v>0.80078533293067111</v>
      </c>
      <c r="U3" s="126">
        <f>IF(SER_hh_tes!U3=0,"",SER_hh_tes!U3/SER_hh_fec!U3)</f>
        <v>0.81730869518712079</v>
      </c>
      <c r="V3" s="126">
        <f>IF(SER_hh_tes!V3=0,"",SER_hh_tes!V3/SER_hh_fec!V3)</f>
        <v>0.82413732039325616</v>
      </c>
      <c r="W3" s="126">
        <f>IF(SER_hh_tes!W3=0,"",SER_hh_tes!W3/SER_hh_fec!W3)</f>
        <v>0.85969186606545622</v>
      </c>
      <c r="X3" s="126">
        <f>IF(SER_hh_tes!X3=0,"",SER_hh_tes!X3/SER_hh_fec!X3)</f>
        <v>0.8412032018778407</v>
      </c>
      <c r="Y3" s="126">
        <f>IF(SER_hh_tes!Y3=0,"",SER_hh_tes!Y3/SER_hh_fec!Y3)</f>
        <v>0.86237111548961531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0.58142259634783755</v>
      </c>
      <c r="C4" s="135">
        <f>IF(SER_hh_tes!C4=0,"",SER_hh_tes!C4/SER_hh_fec!C4)</f>
        <v>0.55872869076931553</v>
      </c>
      <c r="D4" s="135">
        <f>IF(SER_hh_tes!D4=0,"",SER_hh_tes!D4/SER_hh_fec!D4)</f>
        <v>0.58105638182959229</v>
      </c>
      <c r="E4" s="135">
        <f>IF(SER_hh_tes!E4=0,"",SER_hh_tes!E4/SER_hh_fec!E4)</f>
        <v>0.56538644495914481</v>
      </c>
      <c r="F4" s="135">
        <f>IF(SER_hh_tes!F4=0,"",SER_hh_tes!F4/SER_hh_fec!F4)</f>
        <v>0.58281613090170592</v>
      </c>
      <c r="G4" s="135">
        <f>IF(SER_hh_tes!G4=0,"",SER_hh_tes!G4/SER_hh_fec!G4)</f>
        <v>0.57739601432796106</v>
      </c>
      <c r="H4" s="135">
        <f>IF(SER_hh_tes!H4=0,"",SER_hh_tes!H4/SER_hh_fec!H4)</f>
        <v>0.59590383780608236</v>
      </c>
      <c r="I4" s="135">
        <f>IF(SER_hh_tes!I4=0,"",SER_hh_tes!I4/SER_hh_fec!I4)</f>
        <v>0.62450059007268355</v>
      </c>
      <c r="J4" s="135">
        <f>IF(SER_hh_tes!J4=0,"",SER_hh_tes!J4/SER_hh_fec!J4)</f>
        <v>0.61370146662819935</v>
      </c>
      <c r="K4" s="135">
        <f>IF(SER_hh_tes!K4=0,"",SER_hh_tes!K4/SER_hh_fec!K4)</f>
        <v>0.62519808880370231</v>
      </c>
      <c r="L4" s="135">
        <f>IF(SER_hh_tes!L4=0,"",SER_hh_tes!L4/SER_hh_fec!L4)</f>
        <v>0.6442472230178854</v>
      </c>
      <c r="M4" s="135">
        <f>IF(SER_hh_tes!M4=0,"",SER_hh_tes!M4/SER_hh_fec!M4)</f>
        <v>0.66361697554042409</v>
      </c>
      <c r="N4" s="135">
        <f>IF(SER_hh_tes!N4=0,"",SER_hh_tes!N4/SER_hh_fec!N4)</f>
        <v>0.69374196420526935</v>
      </c>
      <c r="O4" s="135">
        <f>IF(SER_hh_tes!O4=0,"",SER_hh_tes!O4/SER_hh_fec!O4)</f>
        <v>0.70139430217562471</v>
      </c>
      <c r="P4" s="135">
        <f>IF(SER_hh_tes!P4=0,"",SER_hh_tes!P4/SER_hh_fec!P4)</f>
        <v>0.71100959328838842</v>
      </c>
      <c r="Q4" s="135">
        <f>IF(SER_hh_tes!Q4=0,"",SER_hh_tes!Q4/SER_hh_fec!Q4)</f>
        <v>0.70990448195141465</v>
      </c>
      <c r="R4" s="135">
        <f>IF(SER_hh_tes!R4=0,"",SER_hh_tes!R4/SER_hh_fec!R4)</f>
        <v>0.71000114223582611</v>
      </c>
      <c r="S4" s="135">
        <f>IF(SER_hh_tes!S4=0,"",SER_hh_tes!S4/SER_hh_fec!S4)</f>
        <v>0.74266236268918506</v>
      </c>
      <c r="T4" s="135">
        <f>IF(SER_hh_tes!T4=0,"",SER_hh_tes!T4/SER_hh_fec!T4)</f>
        <v>0.75927031559242342</v>
      </c>
      <c r="U4" s="135">
        <f>IF(SER_hh_tes!U4=0,"",SER_hh_tes!U4/SER_hh_fec!U4)</f>
        <v>0.77408216508178573</v>
      </c>
      <c r="V4" s="135">
        <f>IF(SER_hh_tes!V4=0,"",SER_hh_tes!V4/SER_hh_fec!V4)</f>
        <v>0.77791687581503843</v>
      </c>
      <c r="W4" s="135">
        <f>IF(SER_hh_tes!W4=0,"",SER_hh_tes!W4/SER_hh_fec!W4)</f>
        <v>0.80772537162029534</v>
      </c>
      <c r="X4" s="135">
        <f>IF(SER_hh_tes!X4=0,"",SER_hh_tes!X4/SER_hh_fec!X4)</f>
        <v>0.78551039895679653</v>
      </c>
      <c r="Y4" s="135">
        <f>IF(SER_hh_tes!Y4=0,"",SER_hh_tes!Y4/SER_hh_fec!Y4)</f>
        <v>0.80620625719260808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0.46931451891185855</v>
      </c>
      <c r="C7" s="136">
        <f>IF(SER_hh_tes!C7=0,"",SER_hh_tes!C7/SER_hh_fec!C7)</f>
        <v>0.47427541387638261</v>
      </c>
      <c r="D7" s="136">
        <f>IF(SER_hh_tes!D7=0,"",SER_hh_tes!D7/SER_hh_fec!D7)</f>
        <v>0.47967400220528478</v>
      </c>
      <c r="E7" s="136">
        <f>IF(SER_hh_tes!E7=0,"",SER_hh_tes!E7/SER_hh_fec!E7)</f>
        <v>0.48747482540320419</v>
      </c>
      <c r="F7" s="136">
        <f>IF(SER_hh_tes!F7=0,"",SER_hh_tes!F7/SER_hh_fec!F7)</f>
        <v>0.49402931463248806</v>
      </c>
      <c r="G7" s="136">
        <f>IF(SER_hh_tes!G7=0,"",SER_hh_tes!G7/SER_hh_fec!G7)</f>
        <v>0.50129459923778585</v>
      </c>
      <c r="H7" s="136">
        <f>IF(SER_hh_tes!H7=0,"",SER_hh_tes!H7/SER_hh_fec!H7)</f>
        <v>0.50742056278839509</v>
      </c>
      <c r="I7" s="136">
        <f>IF(SER_hh_tes!I7=0,"",SER_hh_tes!I7/SER_hh_fec!I7)</f>
        <v>0.5134491918219265</v>
      </c>
      <c r="J7" s="136">
        <f>IF(SER_hh_tes!J7=0,"",SER_hh_tes!J7/SER_hh_fec!J7)</f>
        <v>0.52072040272338194</v>
      </c>
      <c r="K7" s="136">
        <f>IF(SER_hh_tes!K7=0,"",SER_hh_tes!K7/SER_hh_fec!K7)</f>
        <v>0.52600683077671706</v>
      </c>
      <c r="L7" s="136">
        <f>IF(SER_hh_tes!L7=0,"",SER_hh_tes!L7/SER_hh_fec!L7)</f>
        <v>0.52994491171587388</v>
      </c>
      <c r="M7" s="136">
        <f>IF(SER_hh_tes!M7=0,"",SER_hh_tes!M7/SER_hh_fec!M7)</f>
        <v>0.53432743036451202</v>
      </c>
      <c r="N7" s="136">
        <f>IF(SER_hh_tes!N7=0,"",SER_hh_tes!N7/SER_hh_fec!N7)</f>
        <v>0.53968685493807966</v>
      </c>
      <c r="O7" s="136">
        <f>IF(SER_hh_tes!O7=0,"",SER_hh_tes!O7/SER_hh_fec!O7)</f>
        <v>0.54563566878609837</v>
      </c>
      <c r="P7" s="136">
        <f>IF(SER_hh_tes!P7=0,"",SER_hh_tes!P7/SER_hh_fec!P7)</f>
        <v>0.54613121811277698</v>
      </c>
      <c r="Q7" s="136">
        <f>IF(SER_hh_tes!Q7=0,"",SER_hh_tes!Q7/SER_hh_fec!Q7)</f>
        <v>0.54688444038307016</v>
      </c>
      <c r="R7" s="136">
        <f>IF(SER_hh_tes!R7=0,"",SER_hh_tes!R7/SER_hh_fec!R7)</f>
        <v>0.55688273340804084</v>
      </c>
      <c r="S7" s="136">
        <f>IF(SER_hh_tes!S7=0,"",SER_hh_tes!S7/SER_hh_fec!S7)</f>
        <v>0.57088121738806752</v>
      </c>
      <c r="T7" s="136">
        <f>IF(SER_hh_tes!T7=0,"",SER_hh_tes!T7/SER_hh_fec!T7)</f>
        <v>0.59937908189307332</v>
      </c>
      <c r="U7" s="136">
        <f>IF(SER_hh_tes!U7=0,"",SER_hh_tes!U7/SER_hh_fec!U7)</f>
        <v>0.62814822412570581</v>
      </c>
      <c r="V7" s="136">
        <f>IF(SER_hh_tes!V7=0,"",SER_hh_tes!V7/SER_hh_fec!V7)</f>
        <v>0.65390340805591929</v>
      </c>
      <c r="W7" s="136">
        <f>IF(SER_hh_tes!W7=0,"",SER_hh_tes!W7/SER_hh_fec!W7)</f>
        <v>0.68422976446894701</v>
      </c>
      <c r="X7" s="136">
        <f>IF(SER_hh_tes!X7=0,"",SER_hh_tes!X7/SER_hh_fec!X7)</f>
        <v>0.70940376390505233</v>
      </c>
      <c r="Y7" s="136">
        <f>IF(SER_hh_tes!Y7=0,"",SER_hh_tes!Y7/SER_hh_fec!Y7)</f>
        <v>0.72867862708594489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0.50727943728397984</v>
      </c>
      <c r="C9" s="136">
        <f>IF(SER_hh_tes!C9=0,"",SER_hh_tes!C9/SER_hh_fec!C9)</f>
        <v>0.52838469782965392</v>
      </c>
      <c r="D9" s="136">
        <f>IF(SER_hh_tes!D9=0,"",SER_hh_tes!D9/SER_hh_fec!D9)</f>
        <v>0.53556735294415181</v>
      </c>
      <c r="E9" s="136">
        <f>IF(SER_hh_tes!E9=0,"",SER_hh_tes!E9/SER_hh_fec!E9)</f>
        <v>0.53831921426756157</v>
      </c>
      <c r="F9" s="136">
        <f>IF(SER_hh_tes!F9=0,"",SER_hh_tes!F9/SER_hh_fec!F9)</f>
        <v>0.53967516981759445</v>
      </c>
      <c r="G9" s="136">
        <f>IF(SER_hh_tes!G9=0,"",SER_hh_tes!G9/SER_hh_fec!G9)</f>
        <v>0.54070557255678586</v>
      </c>
      <c r="H9" s="136">
        <f>IF(SER_hh_tes!H9=0,"",SER_hh_tes!H9/SER_hh_fec!H9)</f>
        <v>0.54070557255678564</v>
      </c>
      <c r="I9" s="136">
        <f>IF(SER_hh_tes!I9=0,"",SER_hh_tes!I9/SER_hh_fec!I9)</f>
        <v>0.54070557255678575</v>
      </c>
      <c r="J9" s="136">
        <f>IF(SER_hh_tes!J9=0,"",SER_hh_tes!J9/SER_hh_fec!J9)</f>
        <v>0.54070557255678586</v>
      </c>
      <c r="K9" s="136">
        <f>IF(SER_hh_tes!K9=0,"",SER_hh_tes!K9/SER_hh_fec!K9)</f>
        <v>0.55248916000136972</v>
      </c>
      <c r="L9" s="136">
        <f>IF(SER_hh_tes!L9=0,"",SER_hh_tes!L9/SER_hh_fec!L9)</f>
        <v>0.56619800030812595</v>
      </c>
      <c r="M9" s="136">
        <f>IF(SER_hh_tes!M9=0,"",SER_hh_tes!M9/SER_hh_fec!M9)</f>
        <v>0.58316858616012335</v>
      </c>
      <c r="N9" s="136">
        <f>IF(SER_hh_tes!N9=0,"",SER_hh_tes!N9/SER_hh_fec!N9)</f>
        <v>0.5901938034257006</v>
      </c>
      <c r="O9" s="136">
        <f>IF(SER_hh_tes!O9=0,"",SER_hh_tes!O9/SER_hh_fec!O9)</f>
        <v>0.61783120595949848</v>
      </c>
      <c r="P9" s="136">
        <f>IF(SER_hh_tes!P9=0,"",SER_hh_tes!P9/SER_hh_fec!P9)</f>
        <v>0.63866676234989861</v>
      </c>
      <c r="Q9" s="136">
        <f>IF(SER_hh_tes!Q9=0,"",SER_hh_tes!Q9/SER_hh_fec!Q9)</f>
        <v>0.66223907923837155</v>
      </c>
      <c r="R9" s="136">
        <f>IF(SER_hh_tes!R9=0,"",SER_hh_tes!R9/SER_hh_fec!R9)</f>
        <v>0.677154664285192</v>
      </c>
      <c r="S9" s="136">
        <f>IF(SER_hh_tes!S9=0,"",SER_hh_tes!S9/SER_hh_fec!S9)</f>
        <v>0.68648431655145925</v>
      </c>
      <c r="T9" s="136">
        <f>IF(SER_hh_tes!T9=0,"",SER_hh_tes!T9/SER_hh_fec!T9)</f>
        <v>0.69042363054939582</v>
      </c>
      <c r="U9" s="136">
        <f>IF(SER_hh_tes!U9=0,"",SER_hh_tes!U9/SER_hh_fec!U9)</f>
        <v>0.69129707202216217</v>
      </c>
      <c r="V9" s="136">
        <f>IF(SER_hh_tes!V9=0,"",SER_hh_tes!V9/SER_hh_fec!V9)</f>
        <v>0.69129707202216173</v>
      </c>
      <c r="W9" s="136">
        <f>IF(SER_hh_tes!W9=0,"",SER_hh_tes!W9/SER_hh_fec!W9)</f>
        <v>0.70720997851009815</v>
      </c>
      <c r="X9" s="136">
        <f>IF(SER_hh_tes!X9=0,"",SER_hh_tes!X9/SER_hh_fec!X9)</f>
        <v>0.72434461885374779</v>
      </c>
      <c r="Y9" s="136">
        <f>IF(SER_hh_tes!Y9=0,"",SER_hh_tes!Y9/SER_hh_fec!Y9)</f>
        <v>0.74977014198509317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0.46250624122215372</v>
      </c>
      <c r="C10" s="136">
        <f>IF(SER_hh_tes!C10=0,"",SER_hh_tes!C10/SER_hh_fec!C10)</f>
        <v>0.46345505264043013</v>
      </c>
      <c r="D10" s="136">
        <f>IF(SER_hh_tes!D10=0,"",SER_hh_tes!D10/SER_hh_fec!D10)</f>
        <v>0.46354012309038095</v>
      </c>
      <c r="E10" s="136">
        <f>IF(SER_hh_tes!E10=0,"",SER_hh_tes!E10/SER_hh_fec!E10)</f>
        <v>0.46389781229269572</v>
      </c>
      <c r="F10" s="136">
        <f>IF(SER_hh_tes!F10=0,"",SER_hh_tes!F10/SER_hh_fec!F10)</f>
        <v>0.4640477344159103</v>
      </c>
      <c r="G10" s="136">
        <f>IF(SER_hh_tes!G10=0,"",SER_hh_tes!G10/SER_hh_fec!G10)</f>
        <v>0.46419769768872365</v>
      </c>
      <c r="H10" s="136" t="str">
        <f>IF(SER_hh_tes!H10=0,"",SER_hh_tes!H10/SER_hh_fec!H10)</f>
        <v/>
      </c>
      <c r="I10" s="136" t="str">
        <f>IF(SER_hh_tes!I10=0,"",SER_hh_tes!I10/SER_hh_fec!I10)</f>
        <v/>
      </c>
      <c r="J10" s="136" t="str">
        <f>IF(SER_hh_tes!J10=0,"",SER_hh_tes!J10/SER_hh_fec!J10)</f>
        <v/>
      </c>
      <c r="K10" s="136" t="str">
        <f>IF(SER_hh_tes!K10=0,"",SER_hh_tes!K10/SER_hh_fec!K10)</f>
        <v/>
      </c>
      <c r="L10" s="136" t="str">
        <f>IF(SER_hh_tes!L10=0,"",SER_hh_tes!L10/SER_hh_fec!L10)</f>
        <v/>
      </c>
      <c r="M10" s="136" t="str">
        <f>IF(SER_hh_tes!M10=0,"",SER_hh_tes!M10/SER_hh_fec!M10)</f>
        <v/>
      </c>
      <c r="N10" s="136" t="str">
        <f>IF(SER_hh_tes!N10=0,"",SER_hh_tes!N10/SER_hh_fec!N10)</f>
        <v/>
      </c>
      <c r="O10" s="136" t="str">
        <f>IF(SER_hh_tes!O10=0,"",SER_hh_tes!O10/SER_hh_fec!O10)</f>
        <v/>
      </c>
      <c r="P10" s="136" t="str">
        <f>IF(SER_hh_tes!P10=0,"",SER_hh_tes!P10/SER_hh_fec!P10)</f>
        <v/>
      </c>
      <c r="Q10" s="136" t="str">
        <f>IF(SER_hh_tes!Q10=0,"",SER_hh_tes!Q10/SER_hh_fec!Q10)</f>
        <v/>
      </c>
      <c r="R10" s="136" t="str">
        <f>IF(SER_hh_tes!R10=0,"",SER_hh_tes!R10/SER_hh_fec!R10)</f>
        <v/>
      </c>
      <c r="S10" s="136" t="str">
        <f>IF(SER_hh_tes!S10=0,"",SER_hh_tes!S10/SER_hh_fec!S10)</f>
        <v/>
      </c>
      <c r="T10" s="136" t="str">
        <f>IF(SER_hh_tes!T10=0,"",SER_hh_tes!T10/SER_hh_fec!T10)</f>
        <v/>
      </c>
      <c r="U10" s="136" t="str">
        <f>IF(SER_hh_tes!U10=0,"",SER_hh_tes!U10/SER_hh_fec!U10)</f>
        <v/>
      </c>
      <c r="V10" s="136">
        <f>IF(SER_hh_tes!V10=0,"",SER_hh_tes!V10/SER_hh_fec!V10)</f>
        <v>0.50291107535064261</v>
      </c>
      <c r="W10" s="136" t="str">
        <f>IF(SER_hh_tes!W10=0,"",SER_hh_tes!W10/SER_hh_fec!W10)</f>
        <v/>
      </c>
      <c r="X10" s="136">
        <f>IF(SER_hh_tes!X10=0,"",SER_hh_tes!X10/SER_hh_fec!X10)</f>
        <v>0.50793238763036885</v>
      </c>
      <c r="Y10" s="136">
        <f>IF(SER_hh_tes!Y10=0,"",SER_hh_tes!Y10/SER_hh_fec!Y10)</f>
        <v>0.50929857914813825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>
        <f>IF(SER_hh_tes!L11=0,"",SER_hh_tes!L11/SER_hh_fec!L11)</f>
        <v>0.88739118684171447</v>
      </c>
      <c r="M11" s="136">
        <f>IF(SER_hh_tes!M11=0,"",SER_hh_tes!M11/SER_hh_fec!M11)</f>
        <v>0.88844012145083751</v>
      </c>
      <c r="N11" s="136">
        <f>IF(SER_hh_tes!N11=0,"",SER_hh_tes!N11/SER_hh_fec!N11)</f>
        <v>0.88919090194835104</v>
      </c>
      <c r="O11" s="136">
        <f>IF(SER_hh_tes!O11=0,"",SER_hh_tes!O11/SER_hh_fec!O11)</f>
        <v>0.88919576355906804</v>
      </c>
      <c r="P11" s="136">
        <f>IF(SER_hh_tes!P11=0,"",SER_hh_tes!P11/SER_hh_fec!P11)</f>
        <v>0.88919576355906738</v>
      </c>
      <c r="Q11" s="136">
        <f>IF(SER_hh_tes!Q11=0,"",SER_hh_tes!Q11/SER_hh_fec!Q11)</f>
        <v>0.88919576355906771</v>
      </c>
      <c r="R11" s="136">
        <f>IF(SER_hh_tes!R11=0,"",SER_hh_tes!R11/SER_hh_fec!R11)</f>
        <v>0.88919576355906738</v>
      </c>
      <c r="S11" s="136">
        <f>IF(SER_hh_tes!S11=0,"",SER_hh_tes!S11/SER_hh_fec!S11)</f>
        <v>0.88919576355906793</v>
      </c>
      <c r="T11" s="136">
        <f>IF(SER_hh_tes!T11=0,"",SER_hh_tes!T11/SER_hh_fec!T11)</f>
        <v>0.89070683713709375</v>
      </c>
      <c r="U11" s="136">
        <f>IF(SER_hh_tes!U11=0,"",SER_hh_tes!U11/SER_hh_fec!U11)</f>
        <v>0.89137244145057803</v>
      </c>
      <c r="V11" s="136">
        <f>IF(SER_hh_tes!V11=0,"",SER_hh_tes!V11/SER_hh_fec!V11)</f>
        <v>0.89352524309529335</v>
      </c>
      <c r="W11" s="136">
        <f>IF(SER_hh_tes!W11=0,"",SER_hh_tes!W11/SER_hh_fec!W11)</f>
        <v>0.89540000522005603</v>
      </c>
      <c r="X11" s="136">
        <f>IF(SER_hh_tes!X11=0,"",SER_hh_tes!X11/SER_hh_fec!X11)</f>
        <v>0.89875920284333866</v>
      </c>
      <c r="Y11" s="136">
        <f>IF(SER_hh_tes!Y11=0,"",SER_hh_tes!Y11/SER_hh_fec!Y11)</f>
        <v>0.90506653929140979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0.80352610434408378</v>
      </c>
      <c r="C12" s="136">
        <f>IF(SER_hh_tes!C12=0,"",SER_hh_tes!C12/SER_hh_fec!C12)</f>
        <v>0.80352610434408378</v>
      </c>
      <c r="D12" s="136">
        <f>IF(SER_hh_tes!D12=0,"",SER_hh_tes!D12/SER_hh_fec!D12)</f>
        <v>0.80352610434408378</v>
      </c>
      <c r="E12" s="136">
        <f>IF(SER_hh_tes!E12=0,"",SER_hh_tes!E12/SER_hh_fec!E12)</f>
        <v>0.80352610434408389</v>
      </c>
      <c r="F12" s="136">
        <f>IF(SER_hh_tes!F12=0,"",SER_hh_tes!F12/SER_hh_fec!F12)</f>
        <v>0.80364168918717838</v>
      </c>
      <c r="G12" s="136">
        <f>IF(SER_hh_tes!G12=0,"",SER_hh_tes!G12/SER_hh_fec!G12)</f>
        <v>0.80575624319228878</v>
      </c>
      <c r="H12" s="136">
        <f>IF(SER_hh_tes!H12=0,"",SER_hh_tes!H12/SER_hh_fec!H12)</f>
        <v>0.81237315228803109</v>
      </c>
      <c r="I12" s="136">
        <f>IF(SER_hh_tes!I12=0,"",SER_hh_tes!I12/SER_hh_fec!I12)</f>
        <v>0.81474285661331569</v>
      </c>
      <c r="J12" s="136">
        <f>IF(SER_hh_tes!J12=0,"",SER_hh_tes!J12/SER_hh_fec!J12)</f>
        <v>0.81821377430145792</v>
      </c>
      <c r="K12" s="136">
        <f>IF(SER_hh_tes!K12=0,"",SER_hh_tes!K12/SER_hh_fec!K12)</f>
        <v>0.82800273674252578</v>
      </c>
      <c r="L12" s="136">
        <f>IF(SER_hh_tes!L12=0,"",SER_hh_tes!L12/SER_hh_fec!L12)</f>
        <v>0.83783621563969912</v>
      </c>
      <c r="M12" s="136">
        <f>IF(SER_hh_tes!M12=0,"",SER_hh_tes!M12/SER_hh_fec!M12)</f>
        <v>0.84638638188909909</v>
      </c>
      <c r="N12" s="136">
        <f>IF(SER_hh_tes!N12=0,"",SER_hh_tes!N12/SER_hh_fec!N12)</f>
        <v>0.85358094218533531</v>
      </c>
      <c r="O12" s="136">
        <f>IF(SER_hh_tes!O12=0,"",SER_hh_tes!O12/SER_hh_fec!O12)</f>
        <v>0.85864879906839764</v>
      </c>
      <c r="P12" s="136">
        <f>IF(SER_hh_tes!P12=0,"",SER_hh_tes!P12/SER_hh_fec!P12)</f>
        <v>0.85876607951187534</v>
      </c>
      <c r="Q12" s="136">
        <f>IF(SER_hh_tes!Q12=0,"",SER_hh_tes!Q12/SER_hh_fec!Q12)</f>
        <v>0.85922188521050213</v>
      </c>
      <c r="R12" s="136">
        <f>IF(SER_hh_tes!R12=0,"",SER_hh_tes!R12/SER_hh_fec!R12)</f>
        <v>0.85979798380108396</v>
      </c>
      <c r="S12" s="136">
        <f>IF(SER_hh_tes!S12=0,"",SER_hh_tes!S12/SER_hh_fec!S12)</f>
        <v>0.86368405169279383</v>
      </c>
      <c r="T12" s="136">
        <f>IF(SER_hh_tes!T12=0,"",SER_hh_tes!T12/SER_hh_fec!T12)</f>
        <v>0.86777239234518522</v>
      </c>
      <c r="U12" s="136">
        <f>IF(SER_hh_tes!U12=0,"",SER_hh_tes!U12/SER_hh_fec!U12)</f>
        <v>0.87249913254862765</v>
      </c>
      <c r="V12" s="136">
        <f>IF(SER_hh_tes!V12=0,"",SER_hh_tes!V12/SER_hh_fec!V12)</f>
        <v>0.8775489725430532</v>
      </c>
      <c r="W12" s="136">
        <f>IF(SER_hh_tes!W12=0,"",SER_hh_tes!W12/SER_hh_fec!W12)</f>
        <v>0.88199758171331644</v>
      </c>
      <c r="X12" s="136">
        <f>IF(SER_hh_tes!X12=0,"",SER_hh_tes!X12/SER_hh_fec!X12)</f>
        <v>0.88440138255383305</v>
      </c>
      <c r="Y12" s="136">
        <f>IF(SER_hh_tes!Y12=0,"",SER_hh_tes!Y12/SER_hh_fec!Y12)</f>
        <v>0.88589948224798698</v>
      </c>
      <c r="DA12" s="163" t="s">
        <v>339</v>
      </c>
    </row>
    <row r="13" spans="1:105" ht="12" customHeight="1" x14ac:dyDescent="0.25">
      <c r="A13" s="131" t="s">
        <v>77</v>
      </c>
      <c r="B13" s="136" t="str">
        <f>IF(SER_hh_tes!B13=0,"",SER_hh_tes!B13/SER_hh_fec!B13)</f>
        <v/>
      </c>
      <c r="C13" s="136" t="str">
        <f>IF(SER_hh_tes!C13=0,"",SER_hh_tes!C13/SER_hh_fec!C13)</f>
        <v/>
      </c>
      <c r="D13" s="136" t="str">
        <f>IF(SER_hh_tes!D13=0,"",SER_hh_tes!D13/SER_hh_fec!D13)</f>
        <v/>
      </c>
      <c r="E13" s="136" t="str">
        <f>IF(SER_hh_tes!E13=0,"",SER_hh_tes!E13/SER_hh_fec!E13)</f>
        <v/>
      </c>
      <c r="F13" s="136" t="str">
        <f>IF(SER_hh_tes!F13=0,"",SER_hh_tes!F13/SER_hh_fec!F13)</f>
        <v/>
      </c>
      <c r="G13" s="136" t="str">
        <f>IF(SER_hh_tes!G13=0,"",SER_hh_tes!G13/SER_hh_fec!G13)</f>
        <v/>
      </c>
      <c r="H13" s="136" t="str">
        <f>IF(SER_hh_tes!H13=0,"",SER_hh_tes!H13/SER_hh_fec!H13)</f>
        <v/>
      </c>
      <c r="I13" s="136" t="str">
        <f>IF(SER_hh_tes!I13=0,"",SER_hh_tes!I13/SER_hh_fec!I13)</f>
        <v/>
      </c>
      <c r="J13" s="136" t="str">
        <f>IF(SER_hh_tes!J13=0,"",SER_hh_tes!J13/SER_hh_fec!J13)</f>
        <v/>
      </c>
      <c r="K13" s="136" t="str">
        <f>IF(SER_hh_tes!K13=0,"",SER_hh_tes!K13/SER_hh_fec!K13)</f>
        <v/>
      </c>
      <c r="L13" s="136" t="str">
        <f>IF(SER_hh_tes!L13=0,"",SER_hh_tes!L13/SER_hh_fec!L13)</f>
        <v/>
      </c>
      <c r="M13" s="136" t="str">
        <f>IF(SER_hh_tes!M13=0,"",SER_hh_tes!M13/SER_hh_fec!M13)</f>
        <v/>
      </c>
      <c r="N13" s="136" t="str">
        <f>IF(SER_hh_tes!N13=0,"",SER_hh_tes!N13/SER_hh_fec!N13)</f>
        <v/>
      </c>
      <c r="O13" s="136" t="str">
        <f>IF(SER_hh_tes!O13=0,"",SER_hh_tes!O13/SER_hh_fec!O13)</f>
        <v/>
      </c>
      <c r="P13" s="136" t="str">
        <f>IF(SER_hh_tes!P13=0,"",SER_hh_tes!P13/SER_hh_fec!P13)</f>
        <v/>
      </c>
      <c r="Q13" s="136" t="str">
        <f>IF(SER_hh_tes!Q13=0,"",SER_hh_tes!Q13/SER_hh_fec!Q13)</f>
        <v/>
      </c>
      <c r="R13" s="136" t="str">
        <f>IF(SER_hh_tes!R13=0,"",SER_hh_tes!R13/SER_hh_fec!R13)</f>
        <v/>
      </c>
      <c r="S13" s="136" t="str">
        <f>IF(SER_hh_tes!S13=0,"",SER_hh_tes!S13/SER_hh_fec!S13)</f>
        <v/>
      </c>
      <c r="T13" s="136" t="str">
        <f>IF(SER_hh_tes!T13=0,"",SER_hh_tes!T13/SER_hh_fec!T13)</f>
        <v/>
      </c>
      <c r="U13" s="136" t="str">
        <f>IF(SER_hh_tes!U13=0,"",SER_hh_tes!U13/SER_hh_fec!U13)</f>
        <v/>
      </c>
      <c r="V13" s="136" t="str">
        <f>IF(SER_hh_tes!V13=0,"",SER_hh_tes!V13/SER_hh_fec!V13)</f>
        <v/>
      </c>
      <c r="W13" s="136" t="str">
        <f>IF(SER_hh_tes!W13=0,"",SER_hh_tes!W13/SER_hh_fec!W13)</f>
        <v/>
      </c>
      <c r="X13" s="136" t="str">
        <f>IF(SER_hh_tes!X13=0,"",SER_hh_tes!X13/SER_hh_fec!X13)</f>
        <v/>
      </c>
      <c r="Y13" s="136">
        <f>IF(SER_hh_tes!Y13=0,"",SER_hh_tes!Y13/SER_hh_fec!Y13)</f>
        <v>4.1465260368535342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0.71037661670634533</v>
      </c>
      <c r="C14" s="137">
        <f>IF(SER_hh_tes!C14=0,"",SER_hh_tes!C14/SER_hh_fec!C14)</f>
        <v>0.71473618288175667</v>
      </c>
      <c r="D14" s="137">
        <f>IF(SER_hh_tes!D14=0,"",SER_hh_tes!D14/SER_hh_fec!D14)</f>
        <v>0.72156985053951661</v>
      </c>
      <c r="E14" s="137">
        <f>IF(SER_hh_tes!E14=0,"",SER_hh_tes!E14/SER_hh_fec!E14)</f>
        <v>0.7254747668493019</v>
      </c>
      <c r="F14" s="137">
        <f>IF(SER_hh_tes!F14=0,"",SER_hh_tes!F14/SER_hh_fec!F14)</f>
        <v>0.73168838039503659</v>
      </c>
      <c r="G14" s="137">
        <f>IF(SER_hh_tes!G14=0,"",SER_hh_tes!G14/SER_hh_fec!G14)</f>
        <v>0.73788947876159272</v>
      </c>
      <c r="H14" s="137">
        <f>IF(SER_hh_tes!H14=0,"",SER_hh_tes!H14/SER_hh_fec!H14)</f>
        <v>0.74553706982153123</v>
      </c>
      <c r="I14" s="137">
        <f>IF(SER_hh_tes!I14=0,"",SER_hh_tes!I14/SER_hh_fec!I14)</f>
        <v>0.75348034736556369</v>
      </c>
      <c r="J14" s="137">
        <f>IF(SER_hh_tes!J14=0,"",SER_hh_tes!J14/SER_hh_fec!J14)</f>
        <v>0.75777386807634184</v>
      </c>
      <c r="K14" s="137">
        <f>IF(SER_hh_tes!K14=0,"",SER_hh_tes!K14/SER_hh_fec!K14)</f>
        <v>0.76071385586005325</v>
      </c>
      <c r="L14" s="137">
        <f>IF(SER_hh_tes!L14=0,"",SER_hh_tes!L14/SER_hh_fec!L14)</f>
        <v>0.76325272082410633</v>
      </c>
      <c r="M14" s="137">
        <f>IF(SER_hh_tes!M14=0,"",SER_hh_tes!M14/SER_hh_fec!M14)</f>
        <v>0.76752407585012117</v>
      </c>
      <c r="N14" s="137">
        <f>IF(SER_hh_tes!N14=0,"",SER_hh_tes!N14/SER_hh_fec!N14)</f>
        <v>0.77287970338610157</v>
      </c>
      <c r="O14" s="137">
        <f>IF(SER_hh_tes!O14=0,"",SER_hh_tes!O14/SER_hh_fec!O14)</f>
        <v>0.77681131661951841</v>
      </c>
      <c r="P14" s="137">
        <f>IF(SER_hh_tes!P14=0,"",SER_hh_tes!P14/SER_hh_fec!P14)</f>
        <v>0.77863249907407894</v>
      </c>
      <c r="Q14" s="137">
        <f>IF(SER_hh_tes!Q14=0,"",SER_hh_tes!Q14/SER_hh_fec!Q14)</f>
        <v>0.78042936307419153</v>
      </c>
      <c r="R14" s="137">
        <f>IF(SER_hh_tes!R14=0,"",SER_hh_tes!R14/SER_hh_fec!R14)</f>
        <v>0.78504407357348105</v>
      </c>
      <c r="S14" s="137">
        <f>IF(SER_hh_tes!S14=0,"",SER_hh_tes!S14/SER_hh_fec!S14)</f>
        <v>0.79461584544955444</v>
      </c>
      <c r="T14" s="137">
        <f>IF(SER_hh_tes!T14=0,"",SER_hh_tes!T14/SER_hh_fec!T14)</f>
        <v>0.80578516815569057</v>
      </c>
      <c r="U14" s="137">
        <f>IF(SER_hh_tes!U14=0,"",SER_hh_tes!U14/SER_hh_fec!U14)</f>
        <v>0.81616578013535346</v>
      </c>
      <c r="V14" s="137">
        <f>IF(SER_hh_tes!V14=0,"",SER_hh_tes!V14/SER_hh_fec!V14)</f>
        <v>0.82782955159358229</v>
      </c>
      <c r="W14" s="137">
        <f>IF(SER_hh_tes!W14=0,"",SER_hh_tes!W14/SER_hh_fec!W14)</f>
        <v>0.83831362834455403</v>
      </c>
      <c r="X14" s="137">
        <f>IF(SER_hh_tes!X14=0,"",SER_hh_tes!X14/SER_hh_fec!X14)</f>
        <v>0.84611595023494279</v>
      </c>
      <c r="Y14" s="137">
        <f>IF(SER_hh_tes!Y14=0,"",SER_hh_tes!Y14/SER_hh_fec!Y14)</f>
        <v>0.85129826964068112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1.755551033114596</v>
      </c>
      <c r="C16" s="135">
        <f>IF(SER_hh_tes!C16=0,"",SER_hh_tes!C16/SER_hh_fec!C16)</f>
        <v>1.818133476153156</v>
      </c>
      <c r="D16" s="135">
        <f>IF(SER_hh_tes!D16=0,"",SER_hh_tes!D16/SER_hh_fec!D16)</f>
        <v>1.90334528330835</v>
      </c>
      <c r="E16" s="135">
        <f>IF(SER_hh_tes!E16=0,"",SER_hh_tes!E16/SER_hh_fec!E16)</f>
        <v>1.9848106986109666</v>
      </c>
      <c r="F16" s="135">
        <f>IF(SER_hh_tes!F16=0,"",SER_hh_tes!F16/SER_hh_fec!F16)</f>
        <v>2.0785018477835719</v>
      </c>
      <c r="G16" s="135">
        <f>IF(SER_hh_tes!G16=0,"",SER_hh_tes!G16/SER_hh_fec!G16)</f>
        <v>2.1780499780048688</v>
      </c>
      <c r="H16" s="135">
        <f>IF(SER_hh_tes!H16=0,"",SER_hh_tes!H16/SER_hh_fec!H16)</f>
        <v>2.2977803871243614</v>
      </c>
      <c r="I16" s="135">
        <f>IF(SER_hh_tes!I16=0,"",SER_hh_tes!I16/SER_hh_fec!I16)</f>
        <v>2.4256113005044648</v>
      </c>
      <c r="J16" s="135">
        <f>IF(SER_hh_tes!J16=0,"",SER_hh_tes!J16/SER_hh_fec!J16)</f>
        <v>2.5551122981097727</v>
      </c>
      <c r="K16" s="135">
        <f>IF(SER_hh_tes!K16=0,"",SER_hh_tes!K16/SER_hh_fec!K16)</f>
        <v>2.5995007657316669</v>
      </c>
      <c r="L16" s="135">
        <f>IF(SER_hh_tes!L16=0,"",SER_hh_tes!L16/SER_hh_fec!L16)</f>
        <v>2.667266585296423</v>
      </c>
      <c r="M16" s="135">
        <f>IF(SER_hh_tes!M16=0,"",SER_hh_tes!M16/SER_hh_fec!M16)</f>
        <v>2.7577507610526779</v>
      </c>
      <c r="N16" s="135">
        <f>IF(SER_hh_tes!N16=0,"",SER_hh_tes!N16/SER_hh_fec!N16)</f>
        <v>2.8506733950747245</v>
      </c>
      <c r="O16" s="135">
        <f>IF(SER_hh_tes!O16=0,"",SER_hh_tes!O16/SER_hh_fec!O16)</f>
        <v>2.9523529227298559</v>
      </c>
      <c r="P16" s="135">
        <f>IF(SER_hh_tes!P16=0,"",SER_hh_tes!P16/SER_hh_fec!P16)</f>
        <v>3.0667874550325949</v>
      </c>
      <c r="Q16" s="135">
        <f>IF(SER_hh_tes!Q16=0,"",SER_hh_tes!Q16/SER_hh_fec!Q16)</f>
        <v>3.1816116455971319</v>
      </c>
      <c r="R16" s="135">
        <f>IF(SER_hh_tes!R16=0,"",SER_hh_tes!R16/SER_hh_fec!R16)</f>
        <v>3.3145569314495886</v>
      </c>
      <c r="S16" s="135">
        <f>IF(SER_hh_tes!S16=0,"",SER_hh_tes!S16/SER_hh_fec!S16)</f>
        <v>3.4298235019833307</v>
      </c>
      <c r="T16" s="135">
        <f>IF(SER_hh_tes!T16=0,"",SER_hh_tes!T16/SER_hh_fec!T16)</f>
        <v>3.5336313129332755</v>
      </c>
      <c r="U16" s="135">
        <f>IF(SER_hh_tes!U16=0,"",SER_hh_tes!U16/SER_hh_fec!U16)</f>
        <v>3.6152781598481449</v>
      </c>
      <c r="V16" s="135">
        <f>IF(SER_hh_tes!V16=0,"",SER_hh_tes!V16/SER_hh_fec!V16)</f>
        <v>3.7003706688134219</v>
      </c>
      <c r="W16" s="135">
        <f>IF(SER_hh_tes!W16=0,"",SER_hh_tes!W16/SER_hh_fec!W16)</f>
        <v>3.7779540136029013</v>
      </c>
      <c r="X16" s="135">
        <f>IF(SER_hh_tes!X16=0,"",SER_hh_tes!X16/SER_hh_fec!X16)</f>
        <v>3.8401102513195275</v>
      </c>
      <c r="Y16" s="135">
        <f>IF(SER_hh_tes!Y16=0,"",SER_hh_tes!Y16/SER_hh_fec!Y16)</f>
        <v>3.889797996166831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1.755551033114596</v>
      </c>
      <c r="C18" s="136">
        <f>IF(SER_hh_tes!C18=0,"",SER_hh_tes!C18/SER_hh_fec!C18)</f>
        <v>1.818133476153156</v>
      </c>
      <c r="D18" s="136">
        <f>IF(SER_hh_tes!D18=0,"",SER_hh_tes!D18/SER_hh_fec!D18)</f>
        <v>1.90334528330835</v>
      </c>
      <c r="E18" s="136">
        <f>IF(SER_hh_tes!E18=0,"",SER_hh_tes!E18/SER_hh_fec!E18)</f>
        <v>1.9848106986109666</v>
      </c>
      <c r="F18" s="136">
        <f>IF(SER_hh_tes!F18=0,"",SER_hh_tes!F18/SER_hh_fec!F18)</f>
        <v>2.0785018477835719</v>
      </c>
      <c r="G18" s="136">
        <f>IF(SER_hh_tes!G18=0,"",SER_hh_tes!G18/SER_hh_fec!G18)</f>
        <v>2.1780499780048688</v>
      </c>
      <c r="H18" s="136">
        <f>IF(SER_hh_tes!H18=0,"",SER_hh_tes!H18/SER_hh_fec!H18)</f>
        <v>2.2977803871243614</v>
      </c>
      <c r="I18" s="136">
        <f>IF(SER_hh_tes!I18=0,"",SER_hh_tes!I18/SER_hh_fec!I18)</f>
        <v>2.4256113005044648</v>
      </c>
      <c r="J18" s="136">
        <f>IF(SER_hh_tes!J18=0,"",SER_hh_tes!J18/SER_hh_fec!J18)</f>
        <v>2.5551122981097727</v>
      </c>
      <c r="K18" s="136">
        <f>IF(SER_hh_tes!K18=0,"",SER_hh_tes!K18/SER_hh_fec!K18)</f>
        <v>2.5995007657316669</v>
      </c>
      <c r="L18" s="136">
        <f>IF(SER_hh_tes!L18=0,"",SER_hh_tes!L18/SER_hh_fec!L18)</f>
        <v>2.667266585296423</v>
      </c>
      <c r="M18" s="136">
        <f>IF(SER_hh_tes!M18=0,"",SER_hh_tes!M18/SER_hh_fec!M18)</f>
        <v>2.7577507610526779</v>
      </c>
      <c r="N18" s="136">
        <f>IF(SER_hh_tes!N18=0,"",SER_hh_tes!N18/SER_hh_fec!N18)</f>
        <v>2.8506733950747245</v>
      </c>
      <c r="O18" s="136">
        <f>IF(SER_hh_tes!O18=0,"",SER_hh_tes!O18/SER_hh_fec!O18)</f>
        <v>2.9523529227298559</v>
      </c>
      <c r="P18" s="136">
        <f>IF(SER_hh_tes!P18=0,"",SER_hh_tes!P18/SER_hh_fec!P18)</f>
        <v>3.0667874550325949</v>
      </c>
      <c r="Q18" s="136">
        <f>IF(SER_hh_tes!Q18=0,"",SER_hh_tes!Q18/SER_hh_fec!Q18)</f>
        <v>3.1816116455971319</v>
      </c>
      <c r="R18" s="136">
        <f>IF(SER_hh_tes!R18=0,"",SER_hh_tes!R18/SER_hh_fec!R18)</f>
        <v>3.3145569314495886</v>
      </c>
      <c r="S18" s="136">
        <f>IF(SER_hh_tes!S18=0,"",SER_hh_tes!S18/SER_hh_fec!S18)</f>
        <v>3.4298235019833307</v>
      </c>
      <c r="T18" s="136">
        <f>IF(SER_hh_tes!T18=0,"",SER_hh_tes!T18/SER_hh_fec!T18)</f>
        <v>3.5336313129332755</v>
      </c>
      <c r="U18" s="136">
        <f>IF(SER_hh_tes!U18=0,"",SER_hh_tes!U18/SER_hh_fec!U18)</f>
        <v>3.6152781598481449</v>
      </c>
      <c r="V18" s="136">
        <f>IF(SER_hh_tes!V18=0,"",SER_hh_tes!V18/SER_hh_fec!V18)</f>
        <v>3.7003706688134219</v>
      </c>
      <c r="W18" s="136">
        <f>IF(SER_hh_tes!W18=0,"",SER_hh_tes!W18/SER_hh_fec!W18)</f>
        <v>3.7779540136029013</v>
      </c>
      <c r="X18" s="136">
        <f>IF(SER_hh_tes!X18=0,"",SER_hh_tes!X18/SER_hh_fec!X18)</f>
        <v>3.8401102513195275</v>
      </c>
      <c r="Y18" s="136">
        <f>IF(SER_hh_tes!Y18=0,"",SER_hh_tes!Y18/SER_hh_fec!Y18)</f>
        <v>3.889797996166831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0.58113501862334993</v>
      </c>
      <c r="C19" s="135">
        <f>IF(SER_hh_tes!C19=0,"",SER_hh_tes!C19/SER_hh_fec!C19)</f>
        <v>0.58844285120562789</v>
      </c>
      <c r="D19" s="135">
        <f>IF(SER_hh_tes!D19=0,"",SER_hh_tes!D19/SER_hh_fec!D19)</f>
        <v>0.58989673308157486</v>
      </c>
      <c r="E19" s="135">
        <f>IF(SER_hh_tes!E19=0,"",SER_hh_tes!E19/SER_hh_fec!E19)</f>
        <v>0.58670091241231836</v>
      </c>
      <c r="F19" s="135">
        <f>IF(SER_hh_tes!F19=0,"",SER_hh_tes!F19/SER_hh_fec!F19)</f>
        <v>0.58983455355385073</v>
      </c>
      <c r="G19" s="135">
        <f>IF(SER_hh_tes!G19=0,"",SER_hh_tes!G19/SER_hh_fec!G19)</f>
        <v>0.59392409743639829</v>
      </c>
      <c r="H19" s="135">
        <f>IF(SER_hh_tes!H19=0,"",SER_hh_tes!H19/SER_hh_fec!H19)</f>
        <v>0.59612819532380246</v>
      </c>
      <c r="I19" s="135">
        <f>IF(SER_hh_tes!I19=0,"",SER_hh_tes!I19/SER_hh_fec!I19)</f>
        <v>0.59849198713279106</v>
      </c>
      <c r="J19" s="135">
        <f>IF(SER_hh_tes!J19=0,"",SER_hh_tes!J19/SER_hh_fec!J19)</f>
        <v>0.60768613037834718</v>
      </c>
      <c r="K19" s="135">
        <f>IF(SER_hh_tes!K19=0,"",SER_hh_tes!K19/SER_hh_fec!K19)</f>
        <v>0.6148570262180888</v>
      </c>
      <c r="L19" s="135">
        <f>IF(SER_hh_tes!L19=0,"",SER_hh_tes!L19/SER_hh_fec!L19)</f>
        <v>0.62357636731811905</v>
      </c>
      <c r="M19" s="135">
        <f>IF(SER_hh_tes!M19=0,"",SER_hh_tes!M19/SER_hh_fec!M19)</f>
        <v>0.6436854008116113</v>
      </c>
      <c r="N19" s="135">
        <f>IF(SER_hh_tes!N19=0,"",SER_hh_tes!N19/SER_hh_fec!N19)</f>
        <v>0.65591287468943238</v>
      </c>
      <c r="O19" s="135">
        <f>IF(SER_hh_tes!O19=0,"",SER_hh_tes!O19/SER_hh_fec!O19)</f>
        <v>0.67436263146309805</v>
      </c>
      <c r="P19" s="135">
        <f>IF(SER_hh_tes!P19=0,"",SER_hh_tes!P19/SER_hh_fec!P19)</f>
        <v>0.68927663438278952</v>
      </c>
      <c r="Q19" s="135">
        <f>IF(SER_hh_tes!Q19=0,"",SER_hh_tes!Q19/SER_hh_fec!Q19)</f>
        <v>0.69964294930554805</v>
      </c>
      <c r="R19" s="135">
        <f>IF(SER_hh_tes!R19=0,"",SER_hh_tes!R19/SER_hh_fec!R19)</f>
        <v>0.70379016721659371</v>
      </c>
      <c r="S19" s="135">
        <f>IF(SER_hh_tes!S19=0,"",SER_hh_tes!S19/SER_hh_fec!S19)</f>
        <v>0.72506901773741128</v>
      </c>
      <c r="T19" s="135">
        <f>IF(SER_hh_tes!T19=0,"",SER_hh_tes!T19/SER_hh_fec!T19)</f>
        <v>0.73311656566526096</v>
      </c>
      <c r="U19" s="135">
        <f>IF(SER_hh_tes!U19=0,"",SER_hh_tes!U19/SER_hh_fec!U19)</f>
        <v>0.74750761546063926</v>
      </c>
      <c r="V19" s="135">
        <f>IF(SER_hh_tes!V19=0,"",SER_hh_tes!V19/SER_hh_fec!V19)</f>
        <v>0.76596297695941307</v>
      </c>
      <c r="W19" s="135">
        <f>IF(SER_hh_tes!W19=0,"",SER_hh_tes!W19/SER_hh_fec!W19)</f>
        <v>0.79016151060211004</v>
      </c>
      <c r="X19" s="135">
        <f>IF(SER_hh_tes!X19=0,"",SER_hh_tes!X19/SER_hh_fec!X19)</f>
        <v>0.80681517795069568</v>
      </c>
      <c r="Y19" s="135">
        <f>IF(SER_hh_tes!Y19=0,"",SER_hh_tes!Y19/SER_hh_fec!Y19)</f>
        <v>0.83040057735175299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0.56415032359208006</v>
      </c>
      <c r="C21" s="136">
        <f>IF(SER_hh_tes!C21=0,"",SER_hh_tes!C21/SER_hh_fec!C21)</f>
        <v>0.56532583643901191</v>
      </c>
      <c r="D21" s="136">
        <f>IF(SER_hh_tes!D21=0,"",SER_hh_tes!D21/SER_hh_fec!D21)</f>
        <v>0.56761396305583955</v>
      </c>
      <c r="E21" s="136">
        <f>IF(SER_hh_tes!E21=0,"",SER_hh_tes!E21/SER_hh_fec!E21)</f>
        <v>0.56935458230048419</v>
      </c>
      <c r="F21" s="136">
        <f>IF(SER_hh_tes!F21=0,"",SER_hh_tes!F21/SER_hh_fec!F21)</f>
        <v>0.57140228955201966</v>
      </c>
      <c r="G21" s="136">
        <f>IF(SER_hh_tes!G21=0,"",SER_hh_tes!G21/SER_hh_fec!G21)</f>
        <v>0.57341901227417746</v>
      </c>
      <c r="H21" s="136">
        <f>IF(SER_hh_tes!H21=0,"",SER_hh_tes!H21/SER_hh_fec!H21)</f>
        <v>0.57580532993238054</v>
      </c>
      <c r="I21" s="136">
        <f>IF(SER_hh_tes!I21=0,"",SER_hh_tes!I21/SER_hh_fec!I21)</f>
        <v>0.57846468616234159</v>
      </c>
      <c r="J21" s="136">
        <f>IF(SER_hh_tes!J21=0,"",SER_hh_tes!J21/SER_hh_fec!J21)</f>
        <v>0.58121355443247247</v>
      </c>
      <c r="K21" s="136">
        <f>IF(SER_hh_tes!K21=0,"",SER_hh_tes!K21/SER_hh_fec!K21)</f>
        <v>0.58429234537623864</v>
      </c>
      <c r="L21" s="136">
        <f>IF(SER_hh_tes!L21=0,"",SER_hh_tes!L21/SER_hh_fec!L21)</f>
        <v>0.58822308067558005</v>
      </c>
      <c r="M21" s="136">
        <f>IF(SER_hh_tes!M21=0,"",SER_hh_tes!M21/SER_hh_fec!M21)</f>
        <v>0.59313975577234845</v>
      </c>
      <c r="N21" s="136">
        <f>IF(SER_hh_tes!N21=0,"",SER_hh_tes!N21/SER_hh_fec!N21)</f>
        <v>0.60128608005590545</v>
      </c>
      <c r="O21" s="136">
        <f>IF(SER_hh_tes!O21=0,"",SER_hh_tes!O21/SER_hh_fec!O21)</f>
        <v>0.61041314619253317</v>
      </c>
      <c r="P21" s="136">
        <f>IF(SER_hh_tes!P21=0,"",SER_hh_tes!P21/SER_hh_fec!P21)</f>
        <v>0.61145131846752299</v>
      </c>
      <c r="Q21" s="136">
        <f>IF(SER_hh_tes!Q21=0,"",SER_hh_tes!Q21/SER_hh_fec!Q21)</f>
        <v>0.61539861424900544</v>
      </c>
      <c r="R21" s="136">
        <f>IF(SER_hh_tes!R21=0,"",SER_hh_tes!R21/SER_hh_fec!R21)</f>
        <v>0.63144159337292427</v>
      </c>
      <c r="S21" s="136">
        <f>IF(SER_hh_tes!S21=0,"",SER_hh_tes!S21/SER_hh_fec!S21)</f>
        <v>0.65018802831033407</v>
      </c>
      <c r="T21" s="136">
        <f>IF(SER_hh_tes!T21=0,"",SER_hh_tes!T21/SER_hh_fec!T21)</f>
        <v>0.67353057495969815</v>
      </c>
      <c r="U21" s="136">
        <f>IF(SER_hh_tes!U21=0,"",SER_hh_tes!U21/SER_hh_fec!U21)</f>
        <v>0.69378469442043378</v>
      </c>
      <c r="V21" s="136">
        <f>IF(SER_hh_tes!V21=0,"",SER_hh_tes!V21/SER_hh_fec!V21)</f>
        <v>0.71010661633390582</v>
      </c>
      <c r="W21" s="136">
        <f>IF(SER_hh_tes!W21=0,"",SER_hh_tes!W21/SER_hh_fec!W21)</f>
        <v>0.72389800266334581</v>
      </c>
      <c r="X21" s="136">
        <f>IF(SER_hh_tes!X21=0,"",SER_hh_tes!X21/SER_hh_fec!X21)</f>
        <v>0.73392613087250957</v>
      </c>
      <c r="Y21" s="136">
        <f>IF(SER_hh_tes!Y21=0,"",SER_hh_tes!Y21/SER_hh_fec!Y21)</f>
        <v>0.74061466174469326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0.53164894980291655</v>
      </c>
      <c r="C22" s="136">
        <f>IF(SER_hh_tes!C22=0,"",SER_hh_tes!C22/SER_hh_fec!C22)</f>
        <v>0.53404341941996836</v>
      </c>
      <c r="D22" s="136">
        <f>IF(SER_hh_tes!D22=0,"",SER_hh_tes!D22/SER_hh_fec!D22)</f>
        <v>0.53687854811496172</v>
      </c>
      <c r="E22" s="136">
        <f>IF(SER_hh_tes!E22=0,"",SER_hh_tes!E22/SER_hh_fec!E22)</f>
        <v>0.53985462709445409</v>
      </c>
      <c r="F22" s="136">
        <f>IF(SER_hh_tes!F22=0,"",SER_hh_tes!F22/SER_hh_fec!F22)</f>
        <v>0.54293198334739823</v>
      </c>
      <c r="G22" s="136">
        <f>IF(SER_hh_tes!G22=0,"",SER_hh_tes!G22/SER_hh_fec!G22)</f>
        <v>0.54568141687870686</v>
      </c>
      <c r="H22" s="136">
        <f>IF(SER_hh_tes!H22=0,"",SER_hh_tes!H22/SER_hh_fec!H22)</f>
        <v>0.54896625619859207</v>
      </c>
      <c r="I22" s="136">
        <f>IF(SER_hh_tes!I22=0,"",SER_hh_tes!I22/SER_hh_fec!I22)</f>
        <v>0.55260873629989804</v>
      </c>
      <c r="J22" s="136">
        <f>IF(SER_hh_tes!J22=0,"",SER_hh_tes!J22/SER_hh_fec!J22)</f>
        <v>0.55487368427726202</v>
      </c>
      <c r="K22" s="136">
        <f>IF(SER_hh_tes!K22=0,"",SER_hh_tes!K22/SER_hh_fec!K22)</f>
        <v>0.55621450961347396</v>
      </c>
      <c r="L22" s="136">
        <f>IF(SER_hh_tes!L22=0,"",SER_hh_tes!L22/SER_hh_fec!L22)</f>
        <v>0.55765480421731795</v>
      </c>
      <c r="M22" s="136">
        <f>IF(SER_hh_tes!M22=0,"",SER_hh_tes!M22/SER_hh_fec!M22)</f>
        <v>0.55933674826607305</v>
      </c>
      <c r="N22" s="136">
        <f>IF(SER_hh_tes!N22=0,"",SER_hh_tes!N22/SER_hh_fec!N22)</f>
        <v>0.56123012576990128</v>
      </c>
      <c r="O22" s="136">
        <f>IF(SER_hh_tes!O22=0,"",SER_hh_tes!O22/SER_hh_fec!O22)</f>
        <v>0.56318846836059899</v>
      </c>
      <c r="P22" s="136">
        <f>IF(SER_hh_tes!P22=0,"",SER_hh_tes!P22/SER_hh_fec!P22)</f>
        <v>0.56329679166714886</v>
      </c>
      <c r="Q22" s="136">
        <f>IF(SER_hh_tes!Q22=0,"",SER_hh_tes!Q22/SER_hh_fec!Q22)</f>
        <v>0.56350083992848277</v>
      </c>
      <c r="R22" s="136">
        <f>IF(SER_hh_tes!R22=0,"",SER_hh_tes!R22/SER_hh_fec!R22)</f>
        <v>0.57156187886667786</v>
      </c>
      <c r="S22" s="136">
        <f>IF(SER_hh_tes!S22=0,"",SER_hh_tes!S22/SER_hh_fec!S22)</f>
        <v>0.58578609963513217</v>
      </c>
      <c r="T22" s="136">
        <f>IF(SER_hh_tes!T22=0,"",SER_hh_tes!T22/SER_hh_fec!T22)</f>
        <v>0.61603434657261691</v>
      </c>
      <c r="U22" s="136">
        <f>IF(SER_hh_tes!U22=0,"",SER_hh_tes!U22/SER_hh_fec!U22)</f>
        <v>0.64419309015295345</v>
      </c>
      <c r="V22" s="136">
        <f>IF(SER_hh_tes!V22=0,"",SER_hh_tes!V22/SER_hh_fec!V22)</f>
        <v>0.68440776973923612</v>
      </c>
      <c r="W22" s="136">
        <f>IF(SER_hh_tes!W22=0,"",SER_hh_tes!W22/SER_hh_fec!W22)</f>
        <v>0.7188269422310658</v>
      </c>
      <c r="X22" s="136">
        <f>IF(SER_hh_tes!X22=0,"",SER_hh_tes!X22/SER_hh_fec!X22)</f>
        <v>0.75063102063330966</v>
      </c>
      <c r="Y22" s="136">
        <f>IF(SER_hh_tes!Y22=0,"",SER_hh_tes!Y22/SER_hh_fec!Y22)</f>
        <v>0.77392723949012554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0.54359370007672025</v>
      </c>
      <c r="C23" s="136">
        <f>IF(SER_hh_tes!C23=0,"",SER_hh_tes!C23/SER_hh_fec!C23)</f>
        <v>0.54834122140068975</v>
      </c>
      <c r="D23" s="136">
        <f>IF(SER_hh_tes!D23=0,"",SER_hh_tes!D23/SER_hh_fec!D23)</f>
        <v>0.55372034362875378</v>
      </c>
      <c r="E23" s="136">
        <f>IF(SER_hh_tes!E23=0,"",SER_hh_tes!E23/SER_hh_fec!E23)</f>
        <v>0.55992756093184404</v>
      </c>
      <c r="F23" s="136">
        <f>IF(SER_hh_tes!F23=0,"",SER_hh_tes!F23/SER_hh_fec!F23)</f>
        <v>0.56687109672277358</v>
      </c>
      <c r="G23" s="136">
        <f>IF(SER_hh_tes!G23=0,"",SER_hh_tes!G23/SER_hh_fec!G23)</f>
        <v>0.57427797690554583</v>
      </c>
      <c r="H23" s="136">
        <f>IF(SER_hh_tes!H23=0,"",SER_hh_tes!H23/SER_hh_fec!H23)</f>
        <v>0.58223081305776381</v>
      </c>
      <c r="I23" s="136">
        <f>IF(SER_hh_tes!I23=0,"",SER_hh_tes!I23/SER_hh_fec!I23)</f>
        <v>0.59257333655170497</v>
      </c>
      <c r="J23" s="136">
        <f>IF(SER_hh_tes!J23=0,"",SER_hh_tes!J23/SER_hh_fec!J23)</f>
        <v>0.60379729819176731</v>
      </c>
      <c r="K23" s="136">
        <f>IF(SER_hh_tes!K23=0,"",SER_hh_tes!K23/SER_hh_fec!K23)</f>
        <v>0.61583131556068715</v>
      </c>
      <c r="L23" s="136">
        <f>IF(SER_hh_tes!L23=0,"",SER_hh_tes!L23/SER_hh_fec!L23)</f>
        <v>0.62438801348827433</v>
      </c>
      <c r="M23" s="136">
        <f>IF(SER_hh_tes!M23=0,"",SER_hh_tes!M23/SER_hh_fec!M23)</f>
        <v>0.6315669544564162</v>
      </c>
      <c r="N23" s="136">
        <f>IF(SER_hh_tes!N23=0,"",SER_hh_tes!N23/SER_hh_fec!N23)</f>
        <v>0.63843985076921805</v>
      </c>
      <c r="O23" s="136">
        <f>IF(SER_hh_tes!O23=0,"",SER_hh_tes!O23/SER_hh_fec!O23)</f>
        <v>0.64508965378578575</v>
      </c>
      <c r="P23" s="136">
        <f>IF(SER_hh_tes!P23=0,"",SER_hh_tes!P23/SER_hh_fec!P23)</f>
        <v>0.6492837176666344</v>
      </c>
      <c r="Q23" s="136">
        <f>IF(SER_hh_tes!Q23=0,"",SER_hh_tes!Q23/SER_hh_fec!Q23)</f>
        <v>0.65441374261026131</v>
      </c>
      <c r="R23" s="136">
        <f>IF(SER_hh_tes!R23=0,"",SER_hh_tes!R23/SER_hh_fec!R23)</f>
        <v>0.66128624753112697</v>
      </c>
      <c r="S23" s="136">
        <f>IF(SER_hh_tes!S23=0,"",SER_hh_tes!S23/SER_hh_fec!S23)</f>
        <v>0.66421850121744741</v>
      </c>
      <c r="T23" s="136">
        <f>IF(SER_hh_tes!T23=0,"",SER_hh_tes!T23/SER_hh_fec!T23)</f>
        <v>0.66619234355701373</v>
      </c>
      <c r="U23" s="136">
        <f>IF(SER_hh_tes!U23=0,"",SER_hh_tes!U23/SER_hh_fec!U23)</f>
        <v>0.66762731721452939</v>
      </c>
      <c r="V23" s="136">
        <f>IF(SER_hh_tes!V23=0,"",SER_hh_tes!V23/SER_hh_fec!V23)</f>
        <v>0.66960293985661845</v>
      </c>
      <c r="W23" s="136">
        <f>IF(SER_hh_tes!W23=0,"",SER_hh_tes!W23/SER_hh_fec!W23)</f>
        <v>0.68352981395841106</v>
      </c>
      <c r="X23" s="136">
        <f>IF(SER_hh_tes!X23=0,"",SER_hh_tes!X23/SER_hh_fec!X23)</f>
        <v>0.72004478013679662</v>
      </c>
      <c r="Y23" s="136">
        <f>IF(SER_hh_tes!Y23=0,"",SER_hh_tes!Y23/SER_hh_fec!Y23)</f>
        <v>0.7527550299711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0.8111766562643874</v>
      </c>
      <c r="C25" s="136">
        <f>IF(SER_hh_tes!C25=0,"",SER_hh_tes!C25/SER_hh_fec!C25)</f>
        <v>0.8135569292727064</v>
      </c>
      <c r="D25" s="136">
        <f>IF(SER_hh_tes!D25=0,"",SER_hh_tes!D25/SER_hh_fec!D25)</f>
        <v>0.81527590839981712</v>
      </c>
      <c r="E25" s="136">
        <f>IF(SER_hh_tes!E25=0,"",SER_hh_tes!E25/SER_hh_fec!E25)</f>
        <v>0.81747125433851775</v>
      </c>
      <c r="F25" s="136">
        <f>IF(SER_hh_tes!F25=0,"",SER_hh_tes!F25/SER_hh_fec!F25)</f>
        <v>0.81837110307344851</v>
      </c>
      <c r="G25" s="136">
        <f>IF(SER_hh_tes!G25=0,"",SER_hh_tes!G25/SER_hh_fec!G25)</f>
        <v>0.81937218381184873</v>
      </c>
      <c r="H25" s="136">
        <f>IF(SER_hh_tes!H25=0,"",SER_hh_tes!H25/SER_hh_fec!H25)</f>
        <v>0.82023395594213155</v>
      </c>
      <c r="I25" s="136">
        <f>IF(SER_hh_tes!I25=0,"",SER_hh_tes!I25/SER_hh_fec!I25)</f>
        <v>0.82356923022704132</v>
      </c>
      <c r="J25" s="136">
        <f>IF(SER_hh_tes!J25=0,"",SER_hh_tes!J25/SER_hh_fec!J25)</f>
        <v>0.8293254669150375</v>
      </c>
      <c r="K25" s="136">
        <f>IF(SER_hh_tes!K25=0,"",SER_hh_tes!K25/SER_hh_fec!K25)</f>
        <v>0.83833749732331353</v>
      </c>
      <c r="L25" s="136">
        <f>IF(SER_hh_tes!L25=0,"",SER_hh_tes!L25/SER_hh_fec!L25)</f>
        <v>0.84722113462492343</v>
      </c>
      <c r="M25" s="136">
        <f>IF(SER_hh_tes!M25=0,"",SER_hh_tes!M25/SER_hh_fec!M25)</f>
        <v>0.85504564679360262</v>
      </c>
      <c r="N25" s="136">
        <f>IF(SER_hh_tes!N25=0,"",SER_hh_tes!N25/SER_hh_fec!N25)</f>
        <v>0.86190236175342094</v>
      </c>
      <c r="O25" s="136">
        <f>IF(SER_hh_tes!O25=0,"",SER_hh_tes!O25/SER_hh_fec!O25)</f>
        <v>0.86764783768116038</v>
      </c>
      <c r="P25" s="136">
        <f>IF(SER_hh_tes!P25=0,"",SER_hh_tes!P25/SER_hh_fec!P25)</f>
        <v>0.86994842111078319</v>
      </c>
      <c r="Q25" s="136">
        <f>IF(SER_hh_tes!Q25=0,"",SER_hh_tes!Q25/SER_hh_fec!Q25)</f>
        <v>0.87256353582083157</v>
      </c>
      <c r="R25" s="136">
        <f>IF(SER_hh_tes!R25=0,"",SER_hh_tes!R25/SER_hh_fec!R25)</f>
        <v>0.87641177090526301</v>
      </c>
      <c r="S25" s="136">
        <f>IF(SER_hh_tes!S25=0,"",SER_hh_tes!S25/SER_hh_fec!S25)</f>
        <v>0.88234302941614795</v>
      </c>
      <c r="T25" s="136">
        <f>IF(SER_hh_tes!T25=0,"",SER_hh_tes!T25/SER_hh_fec!T25)</f>
        <v>0.88712502310804753</v>
      </c>
      <c r="U25" s="136">
        <f>IF(SER_hh_tes!U25=0,"",SER_hh_tes!U25/SER_hh_fec!U25)</f>
        <v>0.8898275730726154</v>
      </c>
      <c r="V25" s="136">
        <f>IF(SER_hh_tes!V25=0,"",SER_hh_tes!V25/SER_hh_fec!V25)</f>
        <v>0.89368543256710731</v>
      </c>
      <c r="W25" s="136">
        <f>IF(SER_hh_tes!W25=0,"",SER_hh_tes!W25/SER_hh_fec!W25)</f>
        <v>0.89861325423869021</v>
      </c>
      <c r="X25" s="136">
        <f>IF(SER_hh_tes!X25=0,"",SER_hh_tes!X25/SER_hh_fec!X25)</f>
        <v>0.90348164496243144</v>
      </c>
      <c r="Y25" s="136">
        <f>IF(SER_hh_tes!Y25=0,"",SER_hh_tes!Y25/SER_hh_fec!Y25)</f>
        <v>0.90873106746178589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0.67459590191304497</v>
      </c>
      <c r="C26" s="137">
        <f>IF(SER_hh_tes!C26=0,"",SER_hh_tes!C26/SER_hh_fec!C26)</f>
        <v>0.67932449520179494</v>
      </c>
      <c r="D26" s="137">
        <f>IF(SER_hh_tes!D26=0,"",SER_hh_tes!D26/SER_hh_fec!D26)</f>
        <v>0.68202406294498807</v>
      </c>
      <c r="E26" s="137">
        <f>IF(SER_hh_tes!E26=0,"",SER_hh_tes!E26/SER_hh_fec!E26)</f>
        <v>0.68432233430006095</v>
      </c>
      <c r="F26" s="137">
        <f>IF(SER_hh_tes!F26=0,"",SER_hh_tes!F26/SER_hh_fec!F26)</f>
        <v>0.68847461606557769</v>
      </c>
      <c r="G26" s="137">
        <f>IF(SER_hh_tes!G26=0,"",SER_hh_tes!G26/SER_hh_fec!G26)</f>
        <v>0.69265646561233052</v>
      </c>
      <c r="H26" s="137">
        <f>IF(SER_hh_tes!H26=0,"",SER_hh_tes!H26/SER_hh_fec!H26)</f>
        <v>0.69665626688690496</v>
      </c>
      <c r="I26" s="137">
        <f>IF(SER_hh_tes!I26=0,"",SER_hh_tes!I26/SER_hh_fec!I26)</f>
        <v>0.6998541719038458</v>
      </c>
      <c r="J26" s="137">
        <f>IF(SER_hh_tes!J26=0,"",SER_hh_tes!J26/SER_hh_fec!J26)</f>
        <v>0.7031062547593997</v>
      </c>
      <c r="K26" s="137">
        <f>IF(SER_hh_tes!K26=0,"",SER_hh_tes!K26/SER_hh_fec!K26)</f>
        <v>0.7058400683511793</v>
      </c>
      <c r="L26" s="137">
        <f>IF(SER_hh_tes!L26=0,"",SER_hh_tes!L26/SER_hh_fec!L26)</f>
        <v>0.70876959119779981</v>
      </c>
      <c r="M26" s="137">
        <f>IF(SER_hh_tes!M26=0,"",SER_hh_tes!M26/SER_hh_fec!M26)</f>
        <v>0.71315915382151529</v>
      </c>
      <c r="N26" s="137">
        <f>IF(SER_hh_tes!N26=0,"",SER_hh_tes!N26/SER_hh_fec!N26)</f>
        <v>0.71820226600144377</v>
      </c>
      <c r="O26" s="137">
        <f>IF(SER_hh_tes!O26=0,"",SER_hh_tes!O26/SER_hh_fec!O26)</f>
        <v>0.72564123048715612</v>
      </c>
      <c r="P26" s="137">
        <f>IF(SER_hh_tes!P26=0,"",SER_hh_tes!P26/SER_hh_fec!P26)</f>
        <v>0.73416327482599242</v>
      </c>
      <c r="Q26" s="137">
        <f>IF(SER_hh_tes!Q26=0,"",SER_hh_tes!Q26/SER_hh_fec!Q26)</f>
        <v>0.74150553735644642</v>
      </c>
      <c r="R26" s="137">
        <f>IF(SER_hh_tes!R26=0,"",SER_hh_tes!R26/SER_hh_fec!R26)</f>
        <v>0.74575517654567514</v>
      </c>
      <c r="S26" s="137">
        <f>IF(SER_hh_tes!S26=0,"",SER_hh_tes!S26/SER_hh_fec!S26)</f>
        <v>0.75404708868151071</v>
      </c>
      <c r="T26" s="137">
        <f>IF(SER_hh_tes!T26=0,"",SER_hh_tes!T26/SER_hh_fec!T26)</f>
        <v>0.76135388393835679</v>
      </c>
      <c r="U26" s="137">
        <f>IF(SER_hh_tes!U26=0,"",SER_hh_tes!U26/SER_hh_fec!U26)</f>
        <v>0.77369789207396344</v>
      </c>
      <c r="V26" s="137">
        <f>IF(SER_hh_tes!V26=0,"",SER_hh_tes!V26/SER_hh_fec!V26)</f>
        <v>0.78567760168231626</v>
      </c>
      <c r="W26" s="137">
        <f>IF(SER_hh_tes!W26=0,"",SER_hh_tes!W26/SER_hh_fec!W26)</f>
        <v>0.80084163238718653</v>
      </c>
      <c r="X26" s="137">
        <f>IF(SER_hh_tes!X26=0,"",SER_hh_tes!X26/SER_hh_fec!X26)</f>
        <v>0.82159465286170263</v>
      </c>
      <c r="Y26" s="137">
        <f>IF(SER_hh_tes!Y26=0,"",SER_hh_tes!Y26/SER_hh_fec!Y26)</f>
        <v>0.84197701406088299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0.65624729150134964</v>
      </c>
      <c r="C29" s="135">
        <f>IF(SER_hh_tes!C29=0,"",SER_hh_tes!C29/SER_hh_fec!C29)</f>
        <v>0.64392241988668741</v>
      </c>
      <c r="D29" s="135">
        <f>IF(SER_hh_tes!D29=0,"",SER_hh_tes!D29/SER_hh_fec!D29)</f>
        <v>0.69775983848727863</v>
      </c>
      <c r="E29" s="135">
        <f>IF(SER_hh_tes!E29=0,"",SER_hh_tes!E29/SER_hh_fec!E29)</f>
        <v>0.72460484436885375</v>
      </c>
      <c r="F29" s="135">
        <f>IF(SER_hh_tes!F29=0,"",SER_hh_tes!F29/SER_hh_fec!F29)</f>
        <v>0.72091041579547421</v>
      </c>
      <c r="G29" s="135">
        <f>IF(SER_hh_tes!G29=0,"",SER_hh_tes!G29/SER_hh_fec!G29)</f>
        <v>0.73516850756851881</v>
      </c>
      <c r="H29" s="135">
        <f>IF(SER_hh_tes!H29=0,"",SER_hh_tes!H29/SER_hh_fec!H29)</f>
        <v>0.75749227591809898</v>
      </c>
      <c r="I29" s="135">
        <f>IF(SER_hh_tes!I29=0,"",SER_hh_tes!I29/SER_hh_fec!I29)</f>
        <v>0.71001504233240942</v>
      </c>
      <c r="J29" s="135">
        <f>IF(SER_hh_tes!J29=0,"",SER_hh_tes!J29/SER_hh_fec!J29)</f>
        <v>0.74399829541622009</v>
      </c>
      <c r="K29" s="135">
        <f>IF(SER_hh_tes!K29=0,"",SER_hh_tes!K29/SER_hh_fec!K29)</f>
        <v>0.7329212004363076</v>
      </c>
      <c r="L29" s="135">
        <f>IF(SER_hh_tes!L29=0,"",SER_hh_tes!L29/SER_hh_fec!L29)</f>
        <v>0.71671538076460328</v>
      </c>
      <c r="M29" s="135">
        <f>IF(SER_hh_tes!M29=0,"",SER_hh_tes!M29/SER_hh_fec!M29)</f>
        <v>0.76250937927788531</v>
      </c>
      <c r="N29" s="135">
        <f>IF(SER_hh_tes!N29=0,"",SER_hh_tes!N29/SER_hh_fec!N29)</f>
        <v>0.73793167283632888</v>
      </c>
      <c r="O29" s="135">
        <f>IF(SER_hh_tes!O29=0,"",SER_hh_tes!O29/SER_hh_fec!O29)</f>
        <v>0.74939239876840902</v>
      </c>
      <c r="P29" s="135">
        <f>IF(SER_hh_tes!P29=0,"",SER_hh_tes!P29/SER_hh_fec!P29)</f>
        <v>0.74071933286672687</v>
      </c>
      <c r="Q29" s="135">
        <f>IF(SER_hh_tes!Q29=0,"",SER_hh_tes!Q29/SER_hh_fec!Q29)</f>
        <v>0.73796906229810255</v>
      </c>
      <c r="R29" s="135">
        <f>IF(SER_hh_tes!R29=0,"",SER_hh_tes!R29/SER_hh_fec!R29)</f>
        <v>0.74142197325781833</v>
      </c>
      <c r="S29" s="135">
        <f>IF(SER_hh_tes!S29=0,"",SER_hh_tes!S29/SER_hh_fec!S29)</f>
        <v>0.75045407146862375</v>
      </c>
      <c r="T29" s="135">
        <f>IF(SER_hh_tes!T29=0,"",SER_hh_tes!T29/SER_hh_fec!T29)</f>
        <v>0.75833870719872698</v>
      </c>
      <c r="U29" s="135">
        <f>IF(SER_hh_tes!U29=0,"",SER_hh_tes!U29/SER_hh_fec!U29)</f>
        <v>0.74921288940538155</v>
      </c>
      <c r="V29" s="135">
        <f>IF(SER_hh_tes!V29=0,"",SER_hh_tes!V29/SER_hh_fec!V29)</f>
        <v>0.76418429095780371</v>
      </c>
      <c r="W29" s="135">
        <f>IF(SER_hh_tes!W29=0,"",SER_hh_tes!W29/SER_hh_fec!W29)</f>
        <v>0.79330493754917797</v>
      </c>
      <c r="X29" s="135">
        <f>IF(SER_hh_tes!X29=0,"",SER_hh_tes!X29/SER_hh_fec!X29)</f>
        <v>0.79284062293871793</v>
      </c>
      <c r="Y29" s="135">
        <f>IF(SER_hh_tes!Y29=0,"",SER_hh_tes!Y29/SER_hh_fec!Y29)</f>
        <v>0.82754956764855903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0.59405842621991767</v>
      </c>
      <c r="C30" s="136">
        <f>IF(SER_hh_tes!C30=0,"",SER_hh_tes!C30/SER_hh_fec!C30)</f>
        <v>0.59405842621991767</v>
      </c>
      <c r="D30" s="136">
        <f>IF(SER_hh_tes!D30=0,"",SER_hh_tes!D30/SER_hh_fec!D30)</f>
        <v>0.59405842621991767</v>
      </c>
      <c r="E30" s="136">
        <f>IF(SER_hh_tes!E30=0,"",SER_hh_tes!E30/SER_hh_fec!E30)</f>
        <v>0.59405842621991767</v>
      </c>
      <c r="F30" s="136">
        <f>IF(SER_hh_tes!F30=0,"",SER_hh_tes!F30/SER_hh_fec!F30)</f>
        <v>0.59405842621991767</v>
      </c>
      <c r="G30" s="136">
        <f>IF(SER_hh_tes!G30=0,"",SER_hh_tes!G30/SER_hh_fec!G30)</f>
        <v>0.59474040040206344</v>
      </c>
      <c r="H30" s="136">
        <f>IF(SER_hh_tes!H30=0,"",SER_hh_tes!H30/SER_hh_fec!H30)</f>
        <v>0.59577659156995022</v>
      </c>
      <c r="I30" s="136">
        <f>IF(SER_hh_tes!I30=0,"",SER_hh_tes!I30/SER_hh_fec!I30)</f>
        <v>0.59855225517775013</v>
      </c>
      <c r="J30" s="136">
        <f>IF(SER_hh_tes!J30=0,"",SER_hh_tes!J30/SER_hh_fec!J30)</f>
        <v>0.60038861577194613</v>
      </c>
      <c r="K30" s="136">
        <f>IF(SER_hh_tes!K30=0,"",SER_hh_tes!K30/SER_hh_fec!K30)</f>
        <v>0.6021864366778017</v>
      </c>
      <c r="L30" s="136">
        <f>IF(SER_hh_tes!L30=0,"",SER_hh_tes!L30/SER_hh_fec!L30)</f>
        <v>0.60326530469097717</v>
      </c>
      <c r="M30" s="136">
        <f>IF(SER_hh_tes!M30=0,"",SER_hh_tes!M30/SER_hh_fec!M30)</f>
        <v>0.60327252218191929</v>
      </c>
      <c r="N30" s="136">
        <f>IF(SER_hh_tes!N30=0,"",SER_hh_tes!N30/SER_hh_fec!N30)</f>
        <v>0.60327405673084289</v>
      </c>
      <c r="O30" s="136">
        <f>IF(SER_hh_tes!O30=0,"",SER_hh_tes!O30/SER_hh_fec!O30)</f>
        <v>0.60327586230160002</v>
      </c>
      <c r="P30" s="136">
        <f>IF(SER_hh_tes!P30=0,"",SER_hh_tes!P30/SER_hh_fec!P30)</f>
        <v>0.60328001449352997</v>
      </c>
      <c r="Q30" s="136">
        <f>IF(SER_hh_tes!Q30=0,"",SER_hh_tes!Q30/SER_hh_fec!Q30)</f>
        <v>0.60332406650739145</v>
      </c>
      <c r="R30" s="136">
        <f>IF(SER_hh_tes!R30=0,"",SER_hh_tes!R30/SER_hh_fec!R30)</f>
        <v>0.6040318801336213</v>
      </c>
      <c r="S30" s="136">
        <f>IF(SER_hh_tes!S30=0,"",SER_hh_tes!S30/SER_hh_fec!S30)</f>
        <v>0.60667091704695941</v>
      </c>
      <c r="T30" s="136">
        <f>IF(SER_hh_tes!T30=0,"",SER_hh_tes!T30/SER_hh_fec!T30)</f>
        <v>0.61084525476411977</v>
      </c>
      <c r="U30" s="136">
        <f>IF(SER_hh_tes!U30=0,"",SER_hh_tes!U30/SER_hh_fec!U30)</f>
        <v>0.61511679217583615</v>
      </c>
      <c r="V30" s="136">
        <f>IF(SER_hh_tes!V30=0,"",SER_hh_tes!V30/SER_hh_fec!V30)</f>
        <v>0.61745425688154176</v>
      </c>
      <c r="W30" s="136">
        <f>IF(SER_hh_tes!W30=0,"",SER_hh_tes!W30/SER_hh_fec!W30)</f>
        <v>0.61849421639373958</v>
      </c>
      <c r="X30" s="136">
        <f>IF(SER_hh_tes!X30=0,"",SER_hh_tes!X30/SER_hh_fec!X30)</f>
        <v>0.61889148025170093</v>
      </c>
      <c r="Y30" s="136">
        <f>IF(SER_hh_tes!Y30=0,"",SER_hh_tes!Y30/SER_hh_fec!Y30)</f>
        <v>0.61889495378336901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0.60140513148296526</v>
      </c>
      <c r="C31" s="136">
        <f>IF(SER_hh_tes!C31=0,"",SER_hh_tes!C31/SER_hh_fec!C31)</f>
        <v>0.60521640050237036</v>
      </c>
      <c r="D31" s="136">
        <f>IF(SER_hh_tes!D31=0,"",SER_hh_tes!D31/SER_hh_fec!D31)</f>
        <v>0.60601886556820039</v>
      </c>
      <c r="E31" s="136">
        <f>IF(SER_hh_tes!E31=0,"",SER_hh_tes!E31/SER_hh_fec!E31)</f>
        <v>0.60641733044047474</v>
      </c>
      <c r="F31" s="136">
        <f>IF(SER_hh_tes!F31=0,"",SER_hh_tes!F31/SER_hh_fec!F31)</f>
        <v>0.60661706920552239</v>
      </c>
      <c r="G31" s="136">
        <f>IF(SER_hh_tes!G31=0,"",SER_hh_tes!G31/SER_hh_fec!G31)</f>
        <v>0.60674689795078862</v>
      </c>
      <c r="H31" s="136">
        <f>IF(SER_hh_tes!H31=0,"",SER_hh_tes!H31/SER_hh_fec!H31)</f>
        <v>0.60674689795078873</v>
      </c>
      <c r="I31" s="136">
        <f>IF(SER_hh_tes!I31=0,"",SER_hh_tes!I31/SER_hh_fec!I31)</f>
        <v>0.60674689795078862</v>
      </c>
      <c r="J31" s="136">
        <f>IF(SER_hh_tes!J31=0,"",SER_hh_tes!J31/SER_hh_fec!J31)</f>
        <v>0.60684607849113625</v>
      </c>
      <c r="K31" s="136">
        <f>IF(SER_hh_tes!K31=0,"",SER_hh_tes!K31/SER_hh_fec!K31)</f>
        <v>0.60831795971340819</v>
      </c>
      <c r="L31" s="136">
        <f>IF(SER_hh_tes!L31=0,"",SER_hh_tes!L31/SER_hh_fec!L31)</f>
        <v>0.60956040638287745</v>
      </c>
      <c r="M31" s="136">
        <f>IF(SER_hh_tes!M31=0,"",SER_hh_tes!M31/SER_hh_fec!M31)</f>
        <v>0.61001294216834734</v>
      </c>
      <c r="N31" s="136">
        <f>IF(SER_hh_tes!N31=0,"",SER_hh_tes!N31/SER_hh_fec!N31)</f>
        <v>0.61099972935886471</v>
      </c>
      <c r="O31" s="136">
        <f>IF(SER_hh_tes!O31=0,"",SER_hh_tes!O31/SER_hh_fec!O31)</f>
        <v>0.61255965863912232</v>
      </c>
      <c r="P31" s="136">
        <f>IF(SER_hh_tes!P31=0,"",SER_hh_tes!P31/SER_hh_fec!P31)</f>
        <v>0.61312194390217356</v>
      </c>
      <c r="Q31" s="136">
        <f>IF(SER_hh_tes!Q31=0,"",SER_hh_tes!Q31/SER_hh_fec!Q31)</f>
        <v>0.61352195395249354</v>
      </c>
      <c r="R31" s="136">
        <f>IF(SER_hh_tes!R31=0,"",SER_hh_tes!R31/SER_hh_fec!R31)</f>
        <v>0.61358353821145595</v>
      </c>
      <c r="S31" s="136">
        <f>IF(SER_hh_tes!S31=0,"",SER_hh_tes!S31/SER_hh_fec!S31)</f>
        <v>0.61360138949610621</v>
      </c>
      <c r="T31" s="136">
        <f>IF(SER_hh_tes!T31=0,"",SER_hh_tes!T31/SER_hh_fec!T31)</f>
        <v>0.61361069799987411</v>
      </c>
      <c r="U31" s="136">
        <f>IF(SER_hh_tes!U31=0,"",SER_hh_tes!U31/SER_hh_fec!U31)</f>
        <v>0.61361334061622319</v>
      </c>
      <c r="V31" s="136">
        <f>IF(SER_hh_tes!V31=0,"",SER_hh_tes!V31/SER_hh_fec!V31)</f>
        <v>0.61363334249850365</v>
      </c>
      <c r="W31" s="136">
        <f>IF(SER_hh_tes!W31=0,"",SER_hh_tes!W31/SER_hh_fec!W31)</f>
        <v>0.61369213484243135</v>
      </c>
      <c r="X31" s="136">
        <f>IF(SER_hh_tes!X31=0,"",SER_hh_tes!X31/SER_hh_fec!X31)</f>
        <v>0.61565126208310927</v>
      </c>
      <c r="Y31" s="136">
        <f>IF(SER_hh_tes!Y31=0,"",SER_hh_tes!Y31/SER_hh_fec!Y31)</f>
        <v>0.61974559345900138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0.78605530069890894</v>
      </c>
      <c r="C33" s="149">
        <f>IF(SER_hh_tes!C33=0,"",SER_hh_tes!C33/SER_hh_fec!C33)</f>
        <v>0.78870589221018661</v>
      </c>
      <c r="D33" s="149">
        <f>IF(SER_hh_tes!D33=0,"",SER_hh_tes!D33/SER_hh_fec!D33)</f>
        <v>0.79318906360033403</v>
      </c>
      <c r="E33" s="149">
        <f>IF(SER_hh_tes!E33=0,"",SER_hh_tes!E33/SER_hh_fec!E33)</f>
        <v>0.79551731133792902</v>
      </c>
      <c r="F33" s="149">
        <f>IF(SER_hh_tes!F33=0,"",SER_hh_tes!F33/SER_hh_fec!F33)</f>
        <v>0.79730916364247573</v>
      </c>
      <c r="G33" s="149">
        <f>IF(SER_hh_tes!G33=0,"",SER_hh_tes!G33/SER_hh_fec!G33)</f>
        <v>0.79863579055580436</v>
      </c>
      <c r="H33" s="149">
        <f>IF(SER_hh_tes!H33=0,"",SER_hh_tes!H33/SER_hh_fec!H33)</f>
        <v>0.80004860186508242</v>
      </c>
      <c r="I33" s="149">
        <f>IF(SER_hh_tes!I33=0,"",SER_hh_tes!I33/SER_hh_fec!I33)</f>
        <v>0.80110628743372481</v>
      </c>
      <c r="J33" s="149">
        <f>IF(SER_hh_tes!J33=0,"",SER_hh_tes!J33/SER_hh_fec!J33)</f>
        <v>0.80250477887853455</v>
      </c>
      <c r="K33" s="149">
        <f>IF(SER_hh_tes!K33=0,"",SER_hh_tes!K33/SER_hh_fec!K33)</f>
        <v>0.80387757361990464</v>
      </c>
      <c r="L33" s="149">
        <f>IF(SER_hh_tes!L33=0,"",SER_hh_tes!L33/SER_hh_fec!L33)</f>
        <v>0.80521235634381361</v>
      </c>
      <c r="M33" s="149">
        <f>IF(SER_hh_tes!M33=0,"",SER_hh_tes!M33/SER_hh_fec!M33)</f>
        <v>0.80676661124990612</v>
      </c>
      <c r="N33" s="149">
        <f>IF(SER_hh_tes!N33=0,"",SER_hh_tes!N33/SER_hh_fec!N33)</f>
        <v>0.80826735412465667</v>
      </c>
      <c r="O33" s="149">
        <f>IF(SER_hh_tes!O33=0,"",SER_hh_tes!O33/SER_hh_fec!O33)</f>
        <v>0.81102225030604724</v>
      </c>
      <c r="P33" s="149">
        <f>IF(SER_hh_tes!P33=0,"",SER_hh_tes!P33/SER_hh_fec!P33)</f>
        <v>0.8143631363411884</v>
      </c>
      <c r="Q33" s="149">
        <f>IF(SER_hh_tes!Q33=0,"",SER_hh_tes!Q33/SER_hh_fec!Q33)</f>
        <v>0.81813356585502139</v>
      </c>
      <c r="R33" s="149">
        <f>IF(SER_hh_tes!R33=0,"",SER_hh_tes!R33/SER_hh_fec!R33)</f>
        <v>0.82316025179320795</v>
      </c>
      <c r="S33" s="149">
        <f>IF(SER_hh_tes!S33=0,"",SER_hh_tes!S33/SER_hh_fec!S33)</f>
        <v>0.82878911377626274</v>
      </c>
      <c r="T33" s="149">
        <f>IF(SER_hh_tes!T33=0,"",SER_hh_tes!T33/SER_hh_fec!T33)</f>
        <v>0.8358958743890621</v>
      </c>
      <c r="U33" s="149">
        <f>IF(SER_hh_tes!U33=0,"",SER_hh_tes!U33/SER_hh_fec!U33)</f>
        <v>0.84343818499446466</v>
      </c>
      <c r="V33" s="149">
        <f>IF(SER_hh_tes!V33=0,"",SER_hh_tes!V33/SER_hh_fec!V33)</f>
        <v>0.85353115473111674</v>
      </c>
      <c r="W33" s="149">
        <f>IF(SER_hh_tes!W33=0,"",SER_hh_tes!W33/SER_hh_fec!W33)</f>
        <v>0.86556753349526083</v>
      </c>
      <c r="X33" s="149">
        <f>IF(SER_hh_tes!X33=0,"",SER_hh_tes!X33/SER_hh_fec!X33)</f>
        <v>0.87702407295204321</v>
      </c>
      <c r="Y33" s="149">
        <f>IF(SER_hh_tes!Y33=0,"",SER_hh_tes!Y33/SER_hh_fec!Y33)</f>
        <v>0.88844097569260128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937.39322591999985</v>
      </c>
      <c r="C3" s="125">
        <f t="shared" si="0"/>
        <v>1445.4215348399998</v>
      </c>
      <c r="D3" s="125">
        <f t="shared" si="0"/>
        <v>1227.3112483200002</v>
      </c>
      <c r="E3" s="125">
        <f t="shared" si="0"/>
        <v>881.33447412000055</v>
      </c>
      <c r="F3" s="125">
        <f t="shared" si="0"/>
        <v>898.03273175999993</v>
      </c>
      <c r="G3" s="125">
        <f t="shared" si="0"/>
        <v>785.67746688000034</v>
      </c>
      <c r="H3" s="125">
        <f t="shared" si="0"/>
        <v>645.08417675999999</v>
      </c>
      <c r="I3" s="125">
        <f t="shared" si="0"/>
        <v>474.69224880000024</v>
      </c>
      <c r="J3" s="125">
        <f t="shared" si="0"/>
        <v>707.28869699999996</v>
      </c>
      <c r="K3" s="125">
        <f t="shared" si="0"/>
        <v>677.84015772000021</v>
      </c>
      <c r="L3" s="125">
        <f t="shared" si="0"/>
        <v>727.59134519999998</v>
      </c>
      <c r="M3" s="125">
        <f t="shared" si="0"/>
        <v>609.62852592000024</v>
      </c>
      <c r="N3" s="125">
        <f t="shared" si="0"/>
        <v>432.88553592000017</v>
      </c>
      <c r="O3" s="125">
        <f t="shared" si="0"/>
        <v>427.07306196000013</v>
      </c>
      <c r="P3" s="125">
        <f t="shared" si="0"/>
        <v>353.28739932000002</v>
      </c>
      <c r="Q3" s="125">
        <f t="shared" si="0"/>
        <v>400.33034279999993</v>
      </c>
      <c r="R3" s="125">
        <f t="shared" ref="R3:W3" si="1">SUM(R4,R16,R19,R29)</f>
        <v>467.89078860000012</v>
      </c>
      <c r="S3" s="125">
        <f t="shared" si="1"/>
        <v>371.16550475999998</v>
      </c>
      <c r="T3" s="125">
        <f t="shared" si="1"/>
        <v>355.57627608000007</v>
      </c>
      <c r="U3" s="125">
        <f t="shared" si="1"/>
        <v>341.60986476000028</v>
      </c>
      <c r="V3" s="125">
        <f t="shared" si="1"/>
        <v>333.35269920000002</v>
      </c>
      <c r="W3" s="125">
        <f t="shared" si="1"/>
        <v>252.33815340000007</v>
      </c>
      <c r="X3" s="125">
        <f t="shared" ref="X3:Y3" si="2">SUM(X4,X16,X19,X29)</f>
        <v>340.30658124000001</v>
      </c>
      <c r="Y3" s="125">
        <f t="shared" si="2"/>
        <v>395.66561688000007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771.95295186790429</v>
      </c>
      <c r="C4" s="130">
        <f t="shared" si="3"/>
        <v>1268.513187787669</v>
      </c>
      <c r="D4" s="130">
        <f t="shared" si="3"/>
        <v>1084.4996904054797</v>
      </c>
      <c r="E4" s="130">
        <f t="shared" si="3"/>
        <v>749.5138836498104</v>
      </c>
      <c r="F4" s="130">
        <f t="shared" si="3"/>
        <v>762.21863222171032</v>
      </c>
      <c r="G4" s="130">
        <f t="shared" si="3"/>
        <v>657.33066142107839</v>
      </c>
      <c r="H4" s="130">
        <f t="shared" si="3"/>
        <v>525.85613417260902</v>
      </c>
      <c r="I4" s="130">
        <f t="shared" si="3"/>
        <v>321.01085205528716</v>
      </c>
      <c r="J4" s="130">
        <f t="shared" si="3"/>
        <v>578.84825360616901</v>
      </c>
      <c r="K4" s="130">
        <f t="shared" si="3"/>
        <v>542.26695326730407</v>
      </c>
      <c r="L4" s="130">
        <f t="shared" si="3"/>
        <v>581.50038334655483</v>
      </c>
      <c r="M4" s="130">
        <f t="shared" si="3"/>
        <v>505.90774102298434</v>
      </c>
      <c r="N4" s="130">
        <f t="shared" si="3"/>
        <v>317.44542414030019</v>
      </c>
      <c r="O4" s="130">
        <f t="shared" si="3"/>
        <v>326.78731191780906</v>
      </c>
      <c r="P4" s="130">
        <f t="shared" si="3"/>
        <v>252.03390557751007</v>
      </c>
      <c r="Q4" s="130">
        <f t="shared" si="3"/>
        <v>296.42866812683201</v>
      </c>
      <c r="R4" s="130">
        <f t="shared" ref="R4:W4" si="4">SUM(R5:R15)</f>
        <v>359.96339257122764</v>
      </c>
      <c r="S4" s="130">
        <f t="shared" si="4"/>
        <v>271.10367464669156</v>
      </c>
      <c r="T4" s="130">
        <f t="shared" si="4"/>
        <v>246.0220414009315</v>
      </c>
      <c r="U4" s="130">
        <f t="shared" si="4"/>
        <v>220.04350115526722</v>
      </c>
      <c r="V4" s="130">
        <f t="shared" si="4"/>
        <v>226.52504651649534</v>
      </c>
      <c r="W4" s="130">
        <f t="shared" si="4"/>
        <v>167.27665730658634</v>
      </c>
      <c r="X4" s="130">
        <f t="shared" ref="X4:Y4" si="5">SUM(X5:X15)</f>
        <v>246.17186089936888</v>
      </c>
      <c r="Y4" s="130">
        <f t="shared" si="5"/>
        <v>327.30015122880866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732.03422163406526</v>
      </c>
      <c r="C7" s="132">
        <v>1102.1269624606186</v>
      </c>
      <c r="D7" s="132">
        <v>894.40737767742371</v>
      </c>
      <c r="E7" s="132">
        <v>658.56290409157475</v>
      </c>
      <c r="F7" s="132">
        <v>647.72219058697556</v>
      </c>
      <c r="G7" s="132">
        <v>611.40293131016244</v>
      </c>
      <c r="H7" s="132">
        <v>501.18359464325533</v>
      </c>
      <c r="I7" s="132">
        <v>300.49924132291108</v>
      </c>
      <c r="J7" s="132">
        <v>556.18323684282302</v>
      </c>
      <c r="K7" s="132">
        <v>509.88285458792848</v>
      </c>
      <c r="L7" s="132">
        <v>536.73065551512411</v>
      </c>
      <c r="M7" s="132">
        <v>424.86244872551214</v>
      </c>
      <c r="N7" s="132">
        <v>296.93540766596828</v>
      </c>
      <c r="O7" s="132">
        <v>266.86569991241362</v>
      </c>
      <c r="P7" s="132">
        <v>187.44261096979676</v>
      </c>
      <c r="Q7" s="132">
        <v>203.25864655480629</v>
      </c>
      <c r="R7" s="132">
        <v>238.84568714853162</v>
      </c>
      <c r="S7" s="132">
        <v>179.43806488581748</v>
      </c>
      <c r="T7" s="132">
        <v>197.16919219983885</v>
      </c>
      <c r="U7" s="132">
        <v>164.97562504910437</v>
      </c>
      <c r="V7" s="132">
        <v>183.43767009133992</v>
      </c>
      <c r="W7" s="132">
        <v>124.88362954099915</v>
      </c>
      <c r="X7" s="132">
        <v>146.07487529265143</v>
      </c>
      <c r="Y7" s="132">
        <v>215.63815684101218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39.91873023383905</v>
      </c>
      <c r="C9" s="132">
        <v>166.38622532705048</v>
      </c>
      <c r="D9" s="132">
        <v>190.09231272805596</v>
      </c>
      <c r="E9" s="132">
        <v>90.950979558235588</v>
      </c>
      <c r="F9" s="132">
        <v>114.49644163473481</v>
      </c>
      <c r="G9" s="132">
        <v>45.927730110915931</v>
      </c>
      <c r="H9" s="132">
        <v>24.672539529353717</v>
      </c>
      <c r="I9" s="132">
        <v>20.511610732376088</v>
      </c>
      <c r="J9" s="132">
        <v>22.66501676334596</v>
      </c>
      <c r="K9" s="132">
        <v>32.384098679375576</v>
      </c>
      <c r="L9" s="132">
        <v>44.769727831430714</v>
      </c>
      <c r="M9" s="132">
        <v>81.045292297472187</v>
      </c>
      <c r="N9" s="132">
        <v>20.510016474331902</v>
      </c>
      <c r="O9" s="132">
        <v>59.921612005395438</v>
      </c>
      <c r="P9" s="132">
        <v>64.591294607713309</v>
      </c>
      <c r="Q9" s="132">
        <v>93.170021572025718</v>
      </c>
      <c r="R9" s="132">
        <v>121.11770542269601</v>
      </c>
      <c r="S9" s="132">
        <v>91.665609760874091</v>
      </c>
      <c r="T9" s="132">
        <v>48.852849201092653</v>
      </c>
      <c r="U9" s="132">
        <v>55.067876106162856</v>
      </c>
      <c r="V9" s="132">
        <v>43.087376425155405</v>
      </c>
      <c r="W9" s="132">
        <v>42.393027765587206</v>
      </c>
      <c r="X9" s="132">
        <v>100.09698560671745</v>
      </c>
      <c r="Y9" s="132">
        <v>111.6619943877965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91.833276231522433</v>
      </c>
      <c r="C19" s="130">
        <f t="shared" si="9"/>
        <v>89.971286385419148</v>
      </c>
      <c r="D19" s="130">
        <f t="shared" si="9"/>
        <v>90.407155620390597</v>
      </c>
      <c r="E19" s="130">
        <f t="shared" si="9"/>
        <v>95.76556355449479</v>
      </c>
      <c r="F19" s="130">
        <f t="shared" si="9"/>
        <v>96.350500145997231</v>
      </c>
      <c r="G19" s="130">
        <f t="shared" si="9"/>
        <v>96.073592231438525</v>
      </c>
      <c r="H19" s="130">
        <f t="shared" si="9"/>
        <v>97.575884672356295</v>
      </c>
      <c r="I19" s="130">
        <f t="shared" si="9"/>
        <v>101.52716887447966</v>
      </c>
      <c r="J19" s="130">
        <f t="shared" si="9"/>
        <v>96.139137290295821</v>
      </c>
      <c r="K19" s="130">
        <f t="shared" si="9"/>
        <v>95.400515701578115</v>
      </c>
      <c r="L19" s="130">
        <f t="shared" si="9"/>
        <v>93.57240390913023</v>
      </c>
      <c r="M19" s="130">
        <f t="shared" si="9"/>
        <v>78.928201817545343</v>
      </c>
      <c r="N19" s="130">
        <f t="shared" si="9"/>
        <v>73.6105245276799</v>
      </c>
      <c r="O19" s="130">
        <f t="shared" si="9"/>
        <v>64.272127931355143</v>
      </c>
      <c r="P19" s="130">
        <f t="shared" si="9"/>
        <v>57.250421443641699</v>
      </c>
      <c r="Q19" s="130">
        <f t="shared" si="9"/>
        <v>53.326266442158435</v>
      </c>
      <c r="R19" s="130">
        <f t="shared" ref="R19:W19" si="10">SUM(R20:R27)</f>
        <v>55.772695539016006</v>
      </c>
      <c r="S19" s="130">
        <f t="shared" si="10"/>
        <v>49.298854115823566</v>
      </c>
      <c r="T19" s="130">
        <f t="shared" si="10"/>
        <v>58.294058664443078</v>
      </c>
      <c r="U19" s="130">
        <f t="shared" si="10"/>
        <v>57.79793676739564</v>
      </c>
      <c r="V19" s="130">
        <f t="shared" si="10"/>
        <v>53.046025710815258</v>
      </c>
      <c r="W19" s="130">
        <f t="shared" si="10"/>
        <v>44.331286286524033</v>
      </c>
      <c r="X19" s="130">
        <f t="shared" ref="X19:Y19" si="11">SUM(X20:X27)</f>
        <v>47.296571605033996</v>
      </c>
      <c r="Y19" s="130">
        <f t="shared" si="11"/>
        <v>37.857426330657653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43.698852904302719</v>
      </c>
      <c r="C21" s="132">
        <v>36.606712622496012</v>
      </c>
      <c r="D21" s="132">
        <v>39.873537069555248</v>
      </c>
      <c r="E21" s="132">
        <v>38.150529188358639</v>
      </c>
      <c r="F21" s="132">
        <v>36.71139751691873</v>
      </c>
      <c r="G21" s="132">
        <v>35.194357674858949</v>
      </c>
      <c r="H21" s="132">
        <v>33.809483811301085</v>
      </c>
      <c r="I21" s="132">
        <v>32.774663693353745</v>
      </c>
      <c r="J21" s="132">
        <v>30.433725671524538</v>
      </c>
      <c r="K21" s="132">
        <v>29.114161959215537</v>
      </c>
      <c r="L21" s="132">
        <v>28.588281016159765</v>
      </c>
      <c r="M21" s="132">
        <v>25.151360373930263</v>
      </c>
      <c r="N21" s="132">
        <v>24.983444024840566</v>
      </c>
      <c r="O21" s="132">
        <v>23.172270731214397</v>
      </c>
      <c r="P21" s="132">
        <v>21.851605055692829</v>
      </c>
      <c r="Q21" s="132">
        <v>21.261871228960928</v>
      </c>
      <c r="R21" s="132">
        <v>16.799570821288821</v>
      </c>
      <c r="S21" s="132">
        <v>19.025197714725813</v>
      </c>
      <c r="T21" s="132">
        <v>25.925283077074202</v>
      </c>
      <c r="U21" s="132">
        <v>30.510938837898795</v>
      </c>
      <c r="V21" s="132">
        <v>23.725054815754017</v>
      </c>
      <c r="W21" s="132">
        <v>17.199934198367131</v>
      </c>
      <c r="X21" s="132">
        <v>19.71886535197152</v>
      </c>
      <c r="Y21" s="132">
        <v>9.9972986540492901</v>
      </c>
      <c r="DA21" s="156" t="s">
        <v>372</v>
      </c>
    </row>
    <row r="22" spans="1:105" ht="12" customHeight="1" x14ac:dyDescent="0.25">
      <c r="A22" s="131" t="s">
        <v>161</v>
      </c>
      <c r="B22" s="132">
        <v>44.981568565934616</v>
      </c>
      <c r="C22" s="132">
        <v>50.100927619381366</v>
      </c>
      <c r="D22" s="132">
        <v>47.346696362576466</v>
      </c>
      <c r="E22" s="132">
        <v>54.430184788425805</v>
      </c>
      <c r="F22" s="132">
        <v>56.364980693024449</v>
      </c>
      <c r="G22" s="132">
        <v>57.634910329837901</v>
      </c>
      <c r="H22" s="132">
        <v>60.646337356744645</v>
      </c>
      <c r="I22" s="132">
        <v>65.617681757089102</v>
      </c>
      <c r="J22" s="132">
        <v>62.466575157176948</v>
      </c>
      <c r="K22" s="132">
        <v>61.417057412071749</v>
      </c>
      <c r="L22" s="132">
        <v>59.822625404875836</v>
      </c>
      <c r="M22" s="132">
        <v>48.58109219448805</v>
      </c>
      <c r="N22" s="132">
        <v>43.928413254031874</v>
      </c>
      <c r="O22" s="132">
        <v>36.033912767586472</v>
      </c>
      <c r="P22" s="132">
        <v>30.210109070203252</v>
      </c>
      <c r="Q22" s="132">
        <v>27.025426245193646</v>
      </c>
      <c r="R22" s="132">
        <v>32.474076451468441</v>
      </c>
      <c r="S22" s="132">
        <v>25.469138474182426</v>
      </c>
      <c r="T22" s="132">
        <v>29.820282280161205</v>
      </c>
      <c r="U22" s="132">
        <v>24.505368070895869</v>
      </c>
      <c r="V22" s="132">
        <v>27.249601468660131</v>
      </c>
      <c r="W22" s="132">
        <v>25.316196139000944</v>
      </c>
      <c r="X22" s="132">
        <v>24.529630867348516</v>
      </c>
      <c r="Y22" s="132">
        <v>25.02359599898794</v>
      </c>
      <c r="DA22" s="156" t="s">
        <v>373</v>
      </c>
    </row>
    <row r="23" spans="1:105" ht="12" customHeight="1" x14ac:dyDescent="0.25">
      <c r="A23" s="131" t="s">
        <v>149</v>
      </c>
      <c r="B23" s="132">
        <v>3.1528547612850999</v>
      </c>
      <c r="C23" s="132">
        <v>3.2636461435417621</v>
      </c>
      <c r="D23" s="132">
        <v>3.1869221882588756</v>
      </c>
      <c r="E23" s="132">
        <v>3.1848495777103509</v>
      </c>
      <c r="F23" s="132">
        <v>3.2741219360540379</v>
      </c>
      <c r="G23" s="132">
        <v>3.2443242267416768</v>
      </c>
      <c r="H23" s="132">
        <v>3.1200635043105711</v>
      </c>
      <c r="I23" s="132">
        <v>3.1348234240368056</v>
      </c>
      <c r="J23" s="132">
        <v>3.2388364615943384</v>
      </c>
      <c r="K23" s="132">
        <v>4.8692963302908376</v>
      </c>
      <c r="L23" s="132">
        <v>5.1614974880946276</v>
      </c>
      <c r="M23" s="132">
        <v>5.1957492491270347</v>
      </c>
      <c r="N23" s="132">
        <v>4.6986672488074461</v>
      </c>
      <c r="O23" s="132">
        <v>5.0659444325542697</v>
      </c>
      <c r="P23" s="132">
        <v>5.1887073177456209</v>
      </c>
      <c r="Q23" s="132">
        <v>5.0389689680038652</v>
      </c>
      <c r="R23" s="132">
        <v>6.4990482662587477</v>
      </c>
      <c r="S23" s="132">
        <v>4.80451792691533</v>
      </c>
      <c r="T23" s="132">
        <v>2.5484933072076688</v>
      </c>
      <c r="U23" s="132">
        <v>2.7816298586009829</v>
      </c>
      <c r="V23" s="132">
        <v>2.0713694264011089</v>
      </c>
      <c r="W23" s="132">
        <v>1.8151559491559555</v>
      </c>
      <c r="X23" s="132">
        <v>3.048075385713962</v>
      </c>
      <c r="Y23" s="132">
        <v>2.8365316776204228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73.606997820573156</v>
      </c>
      <c r="C29" s="130">
        <f t="shared" si="12"/>
        <v>86.937060666911748</v>
      </c>
      <c r="D29" s="130">
        <f t="shared" si="12"/>
        <v>52.404402294129937</v>
      </c>
      <c r="E29" s="130">
        <f t="shared" si="12"/>
        <v>36.055026915695436</v>
      </c>
      <c r="F29" s="130">
        <f t="shared" si="12"/>
        <v>39.463599392292423</v>
      </c>
      <c r="G29" s="130">
        <f t="shared" si="12"/>
        <v>32.273213227483424</v>
      </c>
      <c r="H29" s="130">
        <f t="shared" si="12"/>
        <v>21.652157915034611</v>
      </c>
      <c r="I29" s="130">
        <f t="shared" si="12"/>
        <v>52.154227870233377</v>
      </c>
      <c r="J29" s="130">
        <f t="shared" si="12"/>
        <v>32.301306103535154</v>
      </c>
      <c r="K29" s="130">
        <f t="shared" si="12"/>
        <v>40.172688751118031</v>
      </c>
      <c r="L29" s="130">
        <f t="shared" si="12"/>
        <v>52.518557944314892</v>
      </c>
      <c r="M29" s="130">
        <f t="shared" si="12"/>
        <v>24.792583079470504</v>
      </c>
      <c r="N29" s="130">
        <f t="shared" si="12"/>
        <v>41.829587252020048</v>
      </c>
      <c r="O29" s="130">
        <f t="shared" si="12"/>
        <v>36.01362211083589</v>
      </c>
      <c r="P29" s="130">
        <f t="shared" si="12"/>
        <v>44.003072298848274</v>
      </c>
      <c r="Q29" s="130">
        <f t="shared" si="12"/>
        <v>50.575408231009462</v>
      </c>
      <c r="R29" s="130">
        <f t="shared" ref="R29:W29" si="13">SUM(R30:R33)</f>
        <v>52.154700489756451</v>
      </c>
      <c r="S29" s="130">
        <f t="shared" si="13"/>
        <v>50.76297599748483</v>
      </c>
      <c r="T29" s="130">
        <f t="shared" si="13"/>
        <v>51.260176014625486</v>
      </c>
      <c r="U29" s="130">
        <f t="shared" si="13"/>
        <v>63.768426837337429</v>
      </c>
      <c r="V29" s="130">
        <f t="shared" si="13"/>
        <v>53.781626972689445</v>
      </c>
      <c r="W29" s="130">
        <f t="shared" si="13"/>
        <v>40.730209806889683</v>
      </c>
      <c r="X29" s="130">
        <f t="shared" ref="X29:Y29" si="14">SUM(X30:X33)</f>
        <v>46.838148735597159</v>
      </c>
      <c r="Y29" s="130">
        <f t="shared" si="14"/>
        <v>30.508039320533776</v>
      </c>
      <c r="DA29" s="155" t="s">
        <v>237</v>
      </c>
    </row>
    <row r="30" spans="1:105" ht="12" customHeight="1" x14ac:dyDescent="0.25">
      <c r="A30" s="131" t="s">
        <v>52</v>
      </c>
      <c r="B30" s="132">
        <v>72.701792815697303</v>
      </c>
      <c r="C30" s="132">
        <v>67.855312137503986</v>
      </c>
      <c r="D30" s="132">
        <v>31.757507210444775</v>
      </c>
      <c r="E30" s="132">
        <v>18.557466051641356</v>
      </c>
      <c r="F30" s="132">
        <v>22.981252963081253</v>
      </c>
      <c r="G30" s="132">
        <v>21.513637565141043</v>
      </c>
      <c r="H30" s="132">
        <v>16.929200948698909</v>
      </c>
      <c r="I30" s="132">
        <v>48.58655202664626</v>
      </c>
      <c r="J30" s="132">
        <v>30.587129328475463</v>
      </c>
      <c r="K30" s="132">
        <v>34.812523760784451</v>
      </c>
      <c r="L30" s="132">
        <v>46.961273263840233</v>
      </c>
      <c r="M30" s="132">
        <v>18.434964626069728</v>
      </c>
      <c r="N30" s="132">
        <v>36.03741097515941</v>
      </c>
      <c r="O30" s="132">
        <v>26.225488548785602</v>
      </c>
      <c r="P30" s="132">
        <v>27.54615422430717</v>
      </c>
      <c r="Q30" s="132">
        <v>31.041718771039076</v>
      </c>
      <c r="R30" s="132">
        <v>26.786754178711185</v>
      </c>
      <c r="S30" s="132">
        <v>31.401369205274229</v>
      </c>
      <c r="T30" s="132">
        <v>40.950620922925786</v>
      </c>
      <c r="U30" s="132">
        <v>52.056042162101278</v>
      </c>
      <c r="V30" s="132">
        <v>44.464288304245954</v>
      </c>
      <c r="W30" s="132">
        <v>32.697804241632845</v>
      </c>
      <c r="X30" s="132">
        <v>37.068181568028493</v>
      </c>
      <c r="Y30" s="132">
        <v>21.004135185950691</v>
      </c>
      <c r="DA30" s="156" t="s">
        <v>379</v>
      </c>
    </row>
    <row r="31" spans="1:105" ht="12" customHeight="1" x14ac:dyDescent="0.25">
      <c r="A31" s="131" t="s">
        <v>149</v>
      </c>
      <c r="B31" s="132">
        <v>0.90520500487585065</v>
      </c>
      <c r="C31" s="132">
        <v>19.081748529407761</v>
      </c>
      <c r="D31" s="132">
        <v>20.646895083685159</v>
      </c>
      <c r="E31" s="132">
        <v>17.497560864054083</v>
      </c>
      <c r="F31" s="132">
        <v>16.482346429211166</v>
      </c>
      <c r="G31" s="132">
        <v>10.75957566234238</v>
      </c>
      <c r="H31" s="132">
        <v>4.7229569663357021</v>
      </c>
      <c r="I31" s="132">
        <v>3.5676758435871196</v>
      </c>
      <c r="J31" s="132">
        <v>1.7141767750596935</v>
      </c>
      <c r="K31" s="132">
        <v>5.3601649903335815</v>
      </c>
      <c r="L31" s="132">
        <v>5.5572846804746581</v>
      </c>
      <c r="M31" s="132">
        <v>6.3576184534007734</v>
      </c>
      <c r="N31" s="132">
        <v>5.7921762768606389</v>
      </c>
      <c r="O31" s="132">
        <v>9.7881335620502892</v>
      </c>
      <c r="P31" s="132">
        <v>16.456918074541104</v>
      </c>
      <c r="Q31" s="132">
        <v>19.53368945997039</v>
      </c>
      <c r="R31" s="132">
        <v>25.367946311045269</v>
      </c>
      <c r="S31" s="132">
        <v>19.361606792210601</v>
      </c>
      <c r="T31" s="132">
        <v>10.309555091699703</v>
      </c>
      <c r="U31" s="132">
        <v>11.712384675236153</v>
      </c>
      <c r="V31" s="132">
        <v>9.3173386684434885</v>
      </c>
      <c r="W31" s="132">
        <v>8.0324055652568358</v>
      </c>
      <c r="X31" s="132">
        <v>9.7699671675686641</v>
      </c>
      <c r="Y31" s="132">
        <v>9.5039041345830864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282443.14549624221</v>
      </c>
      <c r="C3" s="125">
        <f>IF(SER_hh_fec!C3=0,0,11630*1000*SER_hh_fec!C3/SER_hh_num!C3)</f>
        <v>376415.13536133897</v>
      </c>
      <c r="D3" s="125">
        <f>IF(SER_hh_fec!D3=0,0,11630*1000*SER_hh_fec!D3/SER_hh_num!D3)</f>
        <v>347579.13762588653</v>
      </c>
      <c r="E3" s="125">
        <f>IF(SER_hh_fec!E3=0,0,11630*1000*SER_hh_fec!E3/SER_hh_num!E3)</f>
        <v>224146.21836739834</v>
      </c>
      <c r="F3" s="125">
        <f>IF(SER_hh_fec!F3=0,0,11630*1000*SER_hh_fec!F3/SER_hh_num!F3)</f>
        <v>233546.02699586307</v>
      </c>
      <c r="G3" s="125">
        <f>IF(SER_hh_fec!G3=0,0,11630*1000*SER_hh_fec!G3/SER_hh_num!G3)</f>
        <v>190443.82154136326</v>
      </c>
      <c r="H3" s="125">
        <f>IF(SER_hh_fec!H3=0,0,11630*1000*SER_hh_fec!H3/SER_hh_num!H3)</f>
        <v>160039.06081633468</v>
      </c>
      <c r="I3" s="125">
        <f>IF(SER_hh_fec!I3=0,0,11630*1000*SER_hh_fec!I3/SER_hh_num!I3)</f>
        <v>122753.61562318659</v>
      </c>
      <c r="J3" s="125">
        <f>IF(SER_hh_fec!J3=0,0,11630*1000*SER_hh_fec!J3/SER_hh_num!J3)</f>
        <v>167183.03260688108</v>
      </c>
      <c r="K3" s="125">
        <f>IF(SER_hh_fec!K3=0,0,11630*1000*SER_hh_fec!K3/SER_hh_num!K3)</f>
        <v>162551.86685203746</v>
      </c>
      <c r="L3" s="125">
        <f>IF(SER_hh_fec!L3=0,0,11630*1000*SER_hh_fec!L3/SER_hh_num!L3)</f>
        <v>178861.09181748843</v>
      </c>
      <c r="M3" s="125">
        <f>IF(SER_hh_fec!M3=0,0,11630*1000*SER_hh_fec!M3/SER_hh_num!M3)</f>
        <v>171723.98753962349</v>
      </c>
      <c r="N3" s="125">
        <f>IF(SER_hh_fec!N3=0,0,11630*1000*SER_hh_fec!N3/SER_hh_num!N3)</f>
        <v>141361.78466549568</v>
      </c>
      <c r="O3" s="125">
        <f>IF(SER_hh_fec!O3=0,0,11630*1000*SER_hh_fec!O3/SER_hh_num!O3)</f>
        <v>144442.78257108817</v>
      </c>
      <c r="P3" s="125">
        <f>IF(SER_hh_fec!P3=0,0,11630*1000*SER_hh_fec!P3/SER_hh_num!P3)</f>
        <v>125062.34141210037</v>
      </c>
      <c r="Q3" s="125">
        <f>IF(SER_hh_fec!Q3=0,0,11630*1000*SER_hh_fec!Q3/SER_hh_num!Q3)</f>
        <v>134173.47246957498</v>
      </c>
      <c r="R3" s="125">
        <f>IF(SER_hh_fec!R3=0,0,11630*1000*SER_hh_fec!R3/SER_hh_num!R3)</f>
        <v>145668.97300179905</v>
      </c>
      <c r="S3" s="125">
        <f>IF(SER_hh_fec!S3=0,0,11630*1000*SER_hh_fec!S3/SER_hh_num!S3)</f>
        <v>140645.32770528042</v>
      </c>
      <c r="T3" s="125">
        <f>IF(SER_hh_fec!T3=0,0,11630*1000*SER_hh_fec!T3/SER_hh_num!T3)</f>
        <v>138894.77237891627</v>
      </c>
      <c r="U3" s="125">
        <f>IF(SER_hh_fec!U3=0,0,11630*1000*SER_hh_fec!U3/SER_hh_num!U3)</f>
        <v>130997.53640390023</v>
      </c>
      <c r="V3" s="125">
        <f>IF(SER_hh_fec!V3=0,0,11630*1000*SER_hh_fec!V3/SER_hh_num!V3)</f>
        <v>118478.68961980382</v>
      </c>
      <c r="W3" s="125">
        <f>IF(SER_hh_fec!W3=0,0,11630*1000*SER_hh_fec!W3/SER_hh_num!W3)</f>
        <v>115056.35193590798</v>
      </c>
      <c r="X3" s="125">
        <f>IF(SER_hh_fec!X3=0,0,11630*1000*SER_hh_fec!X3/SER_hh_num!X3)</f>
        <v>136238.08552982661</v>
      </c>
      <c r="Y3" s="125">
        <f>IF(SER_hh_fec!Y3=0,0,11630*1000*SER_hh_fec!Y3/SER_hh_num!Y3)</f>
        <v>136386.43851047786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234901.71458008702</v>
      </c>
      <c r="C4" s="130">
        <f>IF(SER_hh_fec!C4=0,0,11630*1000*SER_hh_fec!C4/SER_hh_num!C4)</f>
        <v>328052.51891859557</v>
      </c>
      <c r="D4" s="130">
        <f>IF(SER_hh_fec!D4=0,0,11630*1000*SER_hh_fec!D4/SER_hh_num!D4)</f>
        <v>301817.59181956708</v>
      </c>
      <c r="E4" s="130">
        <f>IF(SER_hh_fec!E4=0,0,11630*1000*SER_hh_fec!E4/SER_hh_num!E4)</f>
        <v>179628.86425705074</v>
      </c>
      <c r="F4" s="130">
        <f>IF(SER_hh_fec!F4=0,0,11630*1000*SER_hh_fec!F4/SER_hh_num!F4)</f>
        <v>190374.70984498961</v>
      </c>
      <c r="G4" s="130">
        <f>IF(SER_hh_fec!G4=0,0,11630*1000*SER_hh_fec!G4/SER_hh_num!G4)</f>
        <v>148255.24395239213</v>
      </c>
      <c r="H4" s="130">
        <f>IF(SER_hh_fec!H4=0,0,11630*1000*SER_hh_fec!H4/SER_hh_num!H4)</f>
        <v>119073.36601461653</v>
      </c>
      <c r="I4" s="130">
        <f>IF(SER_hh_fec!I4=0,0,11630*1000*SER_hh_fec!I4/SER_hh_num!I4)</f>
        <v>81762.435337737319</v>
      </c>
      <c r="J4" s="130">
        <f>IF(SER_hh_fec!J4=0,0,11630*1000*SER_hh_fec!J4/SER_hh_num!J4)</f>
        <v>127940.91045929816</v>
      </c>
      <c r="K4" s="130">
        <f>IF(SER_hh_fec!K4=0,0,11630*1000*SER_hh_fec!K4/SER_hh_num!K4)</f>
        <v>122578.31396880883</v>
      </c>
      <c r="L4" s="130">
        <f>IF(SER_hh_fec!L4=0,0,11630*1000*SER_hh_fec!L4/SER_hh_num!L4)</f>
        <v>138028.28813229984</v>
      </c>
      <c r="M4" s="130">
        <f>IF(SER_hh_fec!M4=0,0,11630*1000*SER_hh_fec!M4/SER_hh_num!M4)</f>
        <v>132142.38439126141</v>
      </c>
      <c r="N4" s="130">
        <f>IF(SER_hh_fec!N4=0,0,11630*1000*SER_hh_fec!N4/SER_hh_num!N4)</f>
        <v>100298.23401315628</v>
      </c>
      <c r="O4" s="130">
        <f>IF(SER_hh_fec!O4=0,0,11630*1000*SER_hh_fec!O4/SER_hh_num!O4)</f>
        <v>103423.46269379724</v>
      </c>
      <c r="P4" s="130">
        <f>IF(SER_hh_fec!P4=0,0,11630*1000*SER_hh_fec!P4/SER_hh_num!P4)</f>
        <v>83815.737720950841</v>
      </c>
      <c r="Q4" s="130">
        <f>IF(SER_hh_fec!Q4=0,0,11630*1000*SER_hh_fec!Q4/SER_hh_num!Q4)</f>
        <v>91017.376346091056</v>
      </c>
      <c r="R4" s="130">
        <f>IF(SER_hh_fec!R4=0,0,11630*1000*SER_hh_fec!R4/SER_hh_num!R4)</f>
        <v>102236.55595628958</v>
      </c>
      <c r="S4" s="130">
        <f>IF(SER_hh_fec!S4=0,0,11630*1000*SER_hh_fec!S4/SER_hh_num!S4)</f>
        <v>97152.657173853542</v>
      </c>
      <c r="T4" s="130">
        <f>IF(SER_hh_fec!T4=0,0,11630*1000*SER_hh_fec!T4/SER_hh_num!T4)</f>
        <v>95930.326552761675</v>
      </c>
      <c r="U4" s="130">
        <f>IF(SER_hh_fec!U4=0,0,11630*1000*SER_hh_fec!U4/SER_hh_num!U4)</f>
        <v>87461.880818228368</v>
      </c>
      <c r="V4" s="130">
        <f>IF(SER_hh_fec!V4=0,0,11630*1000*SER_hh_fec!V4/SER_hh_num!V4)</f>
        <v>77887.097863599905</v>
      </c>
      <c r="W4" s="130">
        <f>IF(SER_hh_fec!W4=0,0,11630*1000*SER_hh_fec!W4/SER_hh_num!W4)</f>
        <v>75033.128993582912</v>
      </c>
      <c r="X4" s="130">
        <f>IF(SER_hh_fec!X4=0,0,11630*1000*SER_hh_fec!X4/SER_hh_num!X4)</f>
        <v>95733.978472457253</v>
      </c>
      <c r="Y4" s="130">
        <f>IF(SER_hh_fec!Y4=0,0,11630*1000*SER_hh_fec!Y4/SER_hh_num!Y4)</f>
        <v>97342.68290626361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278275.0087749128</v>
      </c>
      <c r="C7" s="132">
        <f>IF(SER_hh_fec!C7=0,0,11630*1000*SER_hh_fec!C7/SER_hh_num!C7)</f>
        <v>407724.45781276381</v>
      </c>
      <c r="D7" s="132">
        <f>IF(SER_hh_fec!D7=0,0,11630*1000*SER_hh_fec!D7/SER_hh_num!D7)</f>
        <v>321093.43876993062</v>
      </c>
      <c r="E7" s="132">
        <f>IF(SER_hh_fec!E7=0,0,11630*1000*SER_hh_fec!E7/SER_hh_num!E7)</f>
        <v>219002.32082730386</v>
      </c>
      <c r="F7" s="132">
        <f>IF(SER_hh_fec!F7=0,0,11630*1000*SER_hh_fec!F7/SER_hh_num!F7)</f>
        <v>205605.87997048252</v>
      </c>
      <c r="G7" s="132">
        <f>IF(SER_hh_fec!G7=0,0,11630*1000*SER_hh_fec!G7/SER_hh_num!G7)</f>
        <v>182617.72518166888</v>
      </c>
      <c r="H7" s="132">
        <f>IF(SER_hh_fec!H7=0,0,11630*1000*SER_hh_fec!H7/SER_hh_num!H7)</f>
        <v>145361.07009688375</v>
      </c>
      <c r="I7" s="132">
        <f>IF(SER_hh_fec!I7=0,0,11630*1000*SER_hh_fec!I7/SER_hh_num!I7)</f>
        <v>85537.924973294037</v>
      </c>
      <c r="J7" s="132">
        <f>IF(SER_hh_fec!J7=0,0,11630*1000*SER_hh_fec!J7/SER_hh_num!J7)</f>
        <v>152525.16354994287</v>
      </c>
      <c r="K7" s="132">
        <f>IF(SER_hh_fec!K7=0,0,11630*1000*SER_hh_fec!K7/SER_hh_num!K7)</f>
        <v>143473.90966683684</v>
      </c>
      <c r="L7" s="132">
        <f>IF(SER_hh_fec!L7=0,0,11630*1000*SER_hh_fec!L7/SER_hh_num!L7)</f>
        <v>169634.53587841289</v>
      </c>
      <c r="M7" s="132">
        <f>IF(SER_hh_fec!M7=0,0,11630*1000*SER_hh_fec!M7/SER_hh_num!M7)</f>
        <v>154797.36876297707</v>
      </c>
      <c r="N7" s="132">
        <f>IF(SER_hh_fec!N7=0,0,11630*1000*SER_hh_fec!N7/SER_hh_num!N7)</f>
        <v>125245.38720326875</v>
      </c>
      <c r="O7" s="132">
        <f>IF(SER_hh_fec!O7=0,0,11630*1000*SER_hh_fec!O7/SER_hh_num!O7)</f>
        <v>128818.13673546845</v>
      </c>
      <c r="P7" s="132">
        <f>IF(SER_hh_fec!P7=0,0,11630*1000*SER_hh_fec!P7/SER_hh_num!P7)</f>
        <v>99907.437329519948</v>
      </c>
      <c r="Q7" s="132">
        <f>IF(SER_hh_fec!Q7=0,0,11630*1000*SER_hh_fec!Q7/SER_hh_num!Q7)</f>
        <v>114900.30128513524</v>
      </c>
      <c r="R7" s="132">
        <f>IF(SER_hh_fec!R7=0,0,11630*1000*SER_hh_fec!R7/SER_hh_num!R7)</f>
        <v>138681.02931261307</v>
      </c>
      <c r="S7" s="132">
        <f>IF(SER_hh_fec!S7=0,0,11630*1000*SER_hh_fec!S7/SER_hh_num!S7)</f>
        <v>111477.45409928868</v>
      </c>
      <c r="T7" s="132">
        <f>IF(SER_hh_fec!T7=0,0,11630*1000*SER_hh_fec!T7/SER_hh_num!T7)</f>
        <v>119768.9202020766</v>
      </c>
      <c r="U7" s="132">
        <f>IF(SER_hh_fec!U7=0,0,11630*1000*SER_hh_fec!U7/SER_hh_num!U7)</f>
        <v>100512.80433718415</v>
      </c>
      <c r="V7" s="132">
        <f>IF(SER_hh_fec!V7=0,0,11630*1000*SER_hh_fec!V7/SER_hh_num!V7)</f>
        <v>116573.3204837635</v>
      </c>
      <c r="W7" s="132">
        <f>IF(SER_hh_fec!W7=0,0,11630*1000*SER_hh_fec!W7/SER_hh_num!W7)</f>
        <v>77372.105819114877</v>
      </c>
      <c r="X7" s="132">
        <f>IF(SER_hh_fec!X7=0,0,11630*1000*SER_hh_fec!X7/SER_hh_num!X7)</f>
        <v>85959.341024918423</v>
      </c>
      <c r="Y7" s="132">
        <f>IF(SER_hh_fec!Y7=0,0,11630*1000*SER_hh_fec!Y7/SER_hh_num!Y7)</f>
        <v>118295.97388901669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153986.64069935677</v>
      </c>
      <c r="C9" s="132">
        <f>IF(SER_hh_fec!C9=0,0,11630*1000*SER_hh_fec!C9/SER_hh_num!C9)</f>
        <v>386236.49210639711</v>
      </c>
      <c r="D9" s="132">
        <f>IF(SER_hh_fec!D9=0,0,11630*1000*SER_hh_fec!D9/SER_hh_num!D9)</f>
        <v>375119.03964732925</v>
      </c>
      <c r="E9" s="132">
        <f>IF(SER_hh_fec!E9=0,0,11630*1000*SER_hh_fec!E9/SER_hh_num!E9)</f>
        <v>179573.3557654793</v>
      </c>
      <c r="F9" s="132">
        <f>IF(SER_hh_fec!F9=0,0,11630*1000*SER_hh_fec!F9/SER_hh_num!F9)</f>
        <v>246515.51324550348</v>
      </c>
      <c r="G9" s="132">
        <f>IF(SER_hh_fec!G9=0,0,11630*1000*SER_hh_fec!G9/SER_hh_num!G9)</f>
        <v>135166.44298254466</v>
      </c>
      <c r="H9" s="132">
        <f>IF(SER_hh_fec!H9=0,0,11630*1000*SER_hh_fec!H9/SER_hh_num!H9)</f>
        <v>99002.298186571585</v>
      </c>
      <c r="I9" s="132">
        <f>IF(SER_hh_fec!I9=0,0,11630*1000*SER_hh_fec!I9/SER_hh_num!I9)</f>
        <v>98960.100358229989</v>
      </c>
      <c r="J9" s="132">
        <f>IF(SER_hh_fec!J9=0,0,11630*1000*SER_hh_fec!J9/SER_hh_num!J9)</f>
        <v>114576.71877056731</v>
      </c>
      <c r="K9" s="132">
        <f>IF(SER_hh_fec!K9=0,0,11630*1000*SER_hh_fec!K9/SER_hh_num!K9)</f>
        <v>124003.77034449539</v>
      </c>
      <c r="L9" s="132">
        <f>IF(SER_hh_fec!L9=0,0,11630*1000*SER_hh_fec!L9/SER_hh_num!L9)</f>
        <v>146999.80856323079</v>
      </c>
      <c r="M9" s="132">
        <f>IF(SER_hh_fec!M9=0,0,11630*1000*SER_hh_fec!M9/SER_hh_num!M9)</f>
        <v>204902.7966128586</v>
      </c>
      <c r="N9" s="132">
        <f>IF(SER_hh_fec!N9=0,0,11630*1000*SER_hh_fec!N9/SER_hh_num!N9)</f>
        <v>57400.211982280758</v>
      </c>
      <c r="O9" s="132">
        <f>IF(SER_hh_fec!O9=0,0,11630*1000*SER_hh_fec!O9/SER_hh_num!O9)</f>
        <v>112392.00295382136</v>
      </c>
      <c r="P9" s="132">
        <f>IF(SER_hh_fec!P9=0,0,11630*1000*SER_hh_fec!P9/SER_hh_num!P9)</f>
        <v>91093.51703447412</v>
      </c>
      <c r="Q9" s="132">
        <f>IF(SER_hh_fec!Q9=0,0,11630*1000*SER_hh_fec!Q9/SER_hh_num!Q9)</f>
        <v>105932.15887538651</v>
      </c>
      <c r="R9" s="132">
        <f>IF(SER_hh_fec!R9=0,0,11630*1000*SER_hh_fec!R9/SER_hh_num!R9)</f>
        <v>129899.05141157574</v>
      </c>
      <c r="S9" s="132">
        <f>IF(SER_hh_fec!S9=0,0,11630*1000*SER_hh_fec!S9/SER_hh_num!S9)</f>
        <v>109571.66779115896</v>
      </c>
      <c r="T9" s="132">
        <f>IF(SER_hh_fec!T9=0,0,11630*1000*SER_hh_fec!T9/SER_hh_num!T9)</f>
        <v>76242.925317488931</v>
      </c>
      <c r="U9" s="132">
        <f>IF(SER_hh_fec!U9=0,0,11630*1000*SER_hh_fec!U9/SER_hh_num!U9)</f>
        <v>92723.642271444754</v>
      </c>
      <c r="V9" s="132">
        <f>IF(SER_hh_fec!V9=0,0,11630*1000*SER_hh_fec!V9/SER_hh_num!V9)</f>
        <v>79438.940840557087</v>
      </c>
      <c r="W9" s="132">
        <f>IF(SER_hh_fec!W9=0,0,11630*1000*SER_hh_fec!W9/SER_hh_num!W9)</f>
        <v>65504.611582097772</v>
      </c>
      <c r="X9" s="132">
        <f>IF(SER_hh_fec!X9=0,0,11630*1000*SER_hh_fec!X9/SER_hh_num!X9)</f>
        <v>126150.37314449297</v>
      </c>
      <c r="Y9" s="132">
        <f>IF(SER_hh_fec!Y9=0,0,11630*1000*SER_hh_fec!Y9/SER_hh_num!Y9)</f>
        <v>106178.80615377535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232747.87649698422</v>
      </c>
      <c r="C10" s="132">
        <f>IF(SER_hh_fec!C10=0,0,11630*1000*SER_hh_fec!C10/SER_hh_num!C10)</f>
        <v>419672.2729314504</v>
      </c>
      <c r="D10" s="132">
        <f>IF(SER_hh_fec!D10=0,0,11630*1000*SER_hh_fec!D10/SER_hh_num!D10)</f>
        <v>417921.84330403392</v>
      </c>
      <c r="E10" s="132">
        <f>IF(SER_hh_fec!E10=0,0,11630*1000*SER_hh_fec!E10/SER_hh_num!E10)</f>
        <v>181253.10862471373</v>
      </c>
      <c r="F10" s="132">
        <f>IF(SER_hh_fec!F10=0,0,11630*1000*SER_hh_fec!F10/SER_hh_num!F10)</f>
        <v>213015.50523171286</v>
      </c>
      <c r="G10" s="132">
        <f>IF(SER_hh_fec!G10=0,0,11630*1000*SER_hh_fec!G10/SER_hh_num!G10)</f>
        <v>317695.36919119849</v>
      </c>
      <c r="H10" s="132">
        <f>IF(SER_hh_fec!H10=0,0,11630*1000*SER_hh_fec!H10/SER_hh_num!H10)</f>
        <v>0</v>
      </c>
      <c r="I10" s="132">
        <f>IF(SER_hh_fec!I10=0,0,11630*1000*SER_hh_fec!I10/SER_hh_num!I10)</f>
        <v>0</v>
      </c>
      <c r="J10" s="132">
        <f>IF(SER_hh_fec!J10=0,0,11630*1000*SER_hh_fec!J10/SER_hh_num!J10)</f>
        <v>0</v>
      </c>
      <c r="K10" s="132">
        <f>IF(SER_hh_fec!K10=0,0,11630*1000*SER_hh_fec!K10/SER_hh_num!K10)</f>
        <v>0</v>
      </c>
      <c r="L10" s="132">
        <f>IF(SER_hh_fec!L10=0,0,11630*1000*SER_hh_fec!L10/SER_hh_num!L10)</f>
        <v>0</v>
      </c>
      <c r="M10" s="132">
        <f>IF(SER_hh_fec!M10=0,0,11630*1000*SER_hh_fec!M10/SER_hh_num!M10)</f>
        <v>0</v>
      </c>
      <c r="N10" s="132">
        <f>IF(SER_hh_fec!N10=0,0,11630*1000*SER_hh_fec!N10/SER_hh_num!N10)</f>
        <v>0</v>
      </c>
      <c r="O10" s="132">
        <f>IF(SER_hh_fec!O10=0,0,11630*1000*SER_hh_fec!O10/SER_hh_num!O10)</f>
        <v>0</v>
      </c>
      <c r="P10" s="132">
        <f>IF(SER_hh_fec!P10=0,0,11630*1000*SER_hh_fec!P10/SER_hh_num!P10)</f>
        <v>0</v>
      </c>
      <c r="Q10" s="132">
        <f>IF(SER_hh_fec!Q10=0,0,11630*1000*SER_hh_fec!Q10/SER_hh_num!Q10)</f>
        <v>0</v>
      </c>
      <c r="R10" s="132">
        <f>IF(SER_hh_fec!R10=0,0,11630*1000*SER_hh_fec!R10/SER_hh_num!R10)</f>
        <v>0</v>
      </c>
      <c r="S10" s="132">
        <f>IF(SER_hh_fec!S10=0,0,11630*1000*SER_hh_fec!S10/SER_hh_num!S10)</f>
        <v>0</v>
      </c>
      <c r="T10" s="132">
        <f>IF(SER_hh_fec!T10=0,0,11630*1000*SER_hh_fec!T10/SER_hh_num!T10)</f>
        <v>0</v>
      </c>
      <c r="U10" s="132">
        <f>IF(SER_hh_fec!U10=0,0,11630*1000*SER_hh_fec!U10/SER_hh_num!U10)</f>
        <v>0</v>
      </c>
      <c r="V10" s="132">
        <f>IF(SER_hh_fec!V10=0,0,11630*1000*SER_hh_fec!V10/SER_hh_num!V10)</f>
        <v>1.5066563436940543E-10</v>
      </c>
      <c r="W10" s="132">
        <f>IF(SER_hh_fec!W10=0,0,11630*1000*SER_hh_fec!W10/SER_hh_num!W10)</f>
        <v>0</v>
      </c>
      <c r="X10" s="132">
        <f>IF(SER_hh_fec!X10=0,0,11630*1000*SER_hh_fec!X10/SER_hh_num!X10)</f>
        <v>181639.83575860105</v>
      </c>
      <c r="Y10" s="132">
        <f>IF(SER_hh_fec!Y10=0,0,11630*1000*SER_hh_fec!Y10/SER_hh_num!Y10)</f>
        <v>163215.56692627241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143559.67161241814</v>
      </c>
      <c r="M11" s="132">
        <f>IF(SER_hh_fec!M11=0,0,11630*1000*SER_hh_fec!M11/SER_hh_num!M11)</f>
        <v>113518.20033690443</v>
      </c>
      <c r="N11" s="132">
        <f>IF(SER_hh_fec!N11=0,0,11630*1000*SER_hh_fec!N11/SER_hh_num!N11)</f>
        <v>74922.538012205012</v>
      </c>
      <c r="O11" s="132">
        <f>IF(SER_hh_fec!O11=0,0,11630*1000*SER_hh_fec!O11/SER_hh_num!O11)</f>
        <v>77346.155669126005</v>
      </c>
      <c r="P11" s="132">
        <f>IF(SER_hh_fec!P11=0,0,11630*1000*SER_hh_fec!P11/SER_hh_num!P11)</f>
        <v>78278.457486443629</v>
      </c>
      <c r="Q11" s="132">
        <f>IF(SER_hh_fec!Q11=0,0,11630*1000*SER_hh_fec!Q11/SER_hh_num!Q11)</f>
        <v>61066.352359326265</v>
      </c>
      <c r="R11" s="132">
        <f>IF(SER_hh_fec!R11=0,0,11630*1000*SER_hh_fec!R11/SER_hh_num!R11)</f>
        <v>65589.855291397136</v>
      </c>
      <c r="S11" s="132">
        <f>IF(SER_hh_fec!S11=0,0,11630*1000*SER_hh_fec!S11/SER_hh_num!S11)</f>
        <v>86156.271044983936</v>
      </c>
      <c r="T11" s="132">
        <f>IF(SER_hh_fec!T11=0,0,11630*1000*SER_hh_fec!T11/SER_hh_num!T11)</f>
        <v>79772.191509773984</v>
      </c>
      <c r="U11" s="132">
        <f>IF(SER_hh_fec!U11=0,0,11630*1000*SER_hh_fec!U11/SER_hh_num!U11)</f>
        <v>90465.984646222627</v>
      </c>
      <c r="V11" s="132">
        <f>IF(SER_hh_fec!V11=0,0,11630*1000*SER_hh_fec!V11/SER_hh_num!V11)</f>
        <v>64484.234000502809</v>
      </c>
      <c r="W11" s="132">
        <f>IF(SER_hh_fec!W11=0,0,11630*1000*SER_hh_fec!W11/SER_hh_num!W11)</f>
        <v>64704.03513243136</v>
      </c>
      <c r="X11" s="132">
        <f>IF(SER_hh_fec!X11=0,0,11630*1000*SER_hh_fec!X11/SER_hh_num!X11)</f>
        <v>82634.638027495341</v>
      </c>
      <c r="Y11" s="132">
        <f>IF(SER_hh_fec!Y11=0,0,11630*1000*SER_hh_fec!Y11/SER_hh_num!Y11)</f>
        <v>87182.714434706242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191233.74117097585</v>
      </c>
      <c r="C12" s="132">
        <f>IF(SER_hh_fec!C12=0,0,11630*1000*SER_hh_fec!C12/SER_hh_num!C12)</f>
        <v>200883.50559411643</v>
      </c>
      <c r="D12" s="132">
        <f>IF(SER_hh_fec!D12=0,0,11630*1000*SER_hh_fec!D12/SER_hh_num!D12)</f>
        <v>215696.15585541626</v>
      </c>
      <c r="E12" s="132">
        <f>IF(SER_hh_fec!E12=0,0,11630*1000*SER_hh_fec!E12/SER_hh_num!E12)</f>
        <v>117669.23467827364</v>
      </c>
      <c r="F12" s="132">
        <f>IF(SER_hh_fec!F12=0,0,11630*1000*SER_hh_fec!F12/SER_hh_num!F12)</f>
        <v>133878.41047923948</v>
      </c>
      <c r="G12" s="132">
        <f>IF(SER_hh_fec!G12=0,0,11630*1000*SER_hh_fec!G12/SER_hh_num!G12)</f>
        <v>90974.816245033275</v>
      </c>
      <c r="H12" s="132">
        <f>IF(SER_hh_fec!H12=0,0,11630*1000*SER_hh_fec!H12/SER_hh_num!H12)</f>
        <v>109444.00067825922</v>
      </c>
      <c r="I12" s="132">
        <f>IF(SER_hh_fec!I12=0,0,11630*1000*SER_hh_fec!I12/SER_hh_num!I12)</f>
        <v>63746.745473896815</v>
      </c>
      <c r="J12" s="132">
        <f>IF(SER_hh_fec!J12=0,0,11630*1000*SER_hh_fec!J12/SER_hh_num!J12)</f>
        <v>62927.156786806532</v>
      </c>
      <c r="K12" s="132">
        <f>IF(SER_hh_fec!K12=0,0,11630*1000*SER_hh_fec!K12/SER_hh_num!K12)</f>
        <v>93308.787234403411</v>
      </c>
      <c r="L12" s="132">
        <f>IF(SER_hh_fec!L12=0,0,11630*1000*SER_hh_fec!L12/SER_hh_num!L12)</f>
        <v>104319.76310499165</v>
      </c>
      <c r="M12" s="132">
        <f>IF(SER_hh_fec!M12=0,0,11630*1000*SER_hh_fec!M12/SER_hh_num!M12)</f>
        <v>98270.325066707795</v>
      </c>
      <c r="N12" s="132">
        <f>IF(SER_hh_fec!N12=0,0,11630*1000*SER_hh_fec!N12/SER_hh_num!N12)</f>
        <v>89050.6522962257</v>
      </c>
      <c r="O12" s="132">
        <f>IF(SER_hh_fec!O12=0,0,11630*1000*SER_hh_fec!O12/SER_hh_num!O12)</f>
        <v>89735.884820207124</v>
      </c>
      <c r="P12" s="132">
        <f>IF(SER_hh_fec!P12=0,0,11630*1000*SER_hh_fec!P12/SER_hh_num!P12)</f>
        <v>67028.301189432546</v>
      </c>
      <c r="Q12" s="132">
        <f>IF(SER_hh_fec!Q12=0,0,11630*1000*SER_hh_fec!Q12/SER_hh_num!Q12)</f>
        <v>77265.316210366349</v>
      </c>
      <c r="R12" s="132">
        <f>IF(SER_hh_fec!R12=0,0,11630*1000*SER_hh_fec!R12/SER_hh_num!R12)</f>
        <v>74946.543436097767</v>
      </c>
      <c r="S12" s="132">
        <f>IF(SER_hh_fec!S12=0,0,11630*1000*SER_hh_fec!S12/SER_hh_num!S12)</f>
        <v>85742.653386133767</v>
      </c>
      <c r="T12" s="132">
        <f>IF(SER_hh_fec!T12=0,0,11630*1000*SER_hh_fec!T12/SER_hh_num!T12)</f>
        <v>87761.245760538455</v>
      </c>
      <c r="U12" s="132">
        <f>IF(SER_hh_fec!U12=0,0,11630*1000*SER_hh_fec!U12/SER_hh_num!U12)</f>
        <v>71618.759301106737</v>
      </c>
      <c r="V12" s="132">
        <f>IF(SER_hh_fec!V12=0,0,11630*1000*SER_hh_fec!V12/SER_hh_num!V12)</f>
        <v>70377.692578447241</v>
      </c>
      <c r="W12" s="132">
        <f>IF(SER_hh_fec!W12=0,0,11630*1000*SER_hh_fec!W12/SER_hh_num!W12)</f>
        <v>83280.600698729453</v>
      </c>
      <c r="X12" s="132">
        <f>IF(SER_hh_fec!X12=0,0,11630*1000*SER_hh_fec!X12/SER_hh_num!X12)</f>
        <v>74007.818790181089</v>
      </c>
      <c r="Y12" s="132">
        <f>IF(SER_hh_fec!Y12=0,0,11630*1000*SER_hh_fec!Y12/SER_hh_num!Y12)</f>
        <v>85736.936844263546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0</v>
      </c>
      <c r="C13" s="132">
        <f>IF(SER_hh_fec!C13=0,0,11630*1000*SER_hh_fec!C13/SER_hh_num!C13)</f>
        <v>0</v>
      </c>
      <c r="D13" s="132">
        <f>IF(SER_hh_fec!D13=0,0,11630*1000*SER_hh_fec!D13/SER_hh_num!D13)</f>
        <v>0</v>
      </c>
      <c r="E13" s="132">
        <f>IF(SER_hh_fec!E13=0,0,11630*1000*SER_hh_fec!E13/SER_hh_num!E13)</f>
        <v>0</v>
      </c>
      <c r="F13" s="132">
        <f>IF(SER_hh_fec!F13=0,0,11630*1000*SER_hh_fec!F13/SER_hh_num!F13)</f>
        <v>0</v>
      </c>
      <c r="G13" s="132">
        <f>IF(SER_hh_fec!G13=0,0,11630*1000*SER_hh_fec!G13/SER_hh_num!G13)</f>
        <v>0</v>
      </c>
      <c r="H13" s="132">
        <f>IF(SER_hh_fec!H13=0,0,11630*1000*SER_hh_fec!H13/SER_hh_num!H13)</f>
        <v>0</v>
      </c>
      <c r="I13" s="132">
        <f>IF(SER_hh_fec!I13=0,0,11630*1000*SER_hh_fec!I13/SER_hh_num!I13)</f>
        <v>0</v>
      </c>
      <c r="J13" s="132">
        <f>IF(SER_hh_fec!J13=0,0,11630*1000*SER_hh_fec!J13/SER_hh_num!J13)</f>
        <v>0</v>
      </c>
      <c r="K13" s="132">
        <f>IF(SER_hh_fec!K13=0,0,11630*1000*SER_hh_fec!K13/SER_hh_num!K13)</f>
        <v>0</v>
      </c>
      <c r="L13" s="132">
        <f>IF(SER_hh_fec!L13=0,0,11630*1000*SER_hh_fec!L13/SER_hh_num!L13)</f>
        <v>0</v>
      </c>
      <c r="M13" s="132">
        <f>IF(SER_hh_fec!M13=0,0,11630*1000*SER_hh_fec!M13/SER_hh_num!M13)</f>
        <v>0</v>
      </c>
      <c r="N13" s="132">
        <f>IF(SER_hh_fec!N13=0,0,11630*1000*SER_hh_fec!N13/SER_hh_num!N13)</f>
        <v>0</v>
      </c>
      <c r="O13" s="132">
        <f>IF(SER_hh_fec!O13=0,0,11630*1000*SER_hh_fec!O13/SER_hh_num!O13)</f>
        <v>0</v>
      </c>
      <c r="P13" s="132">
        <f>IF(SER_hh_fec!P13=0,0,11630*1000*SER_hh_fec!P13/SER_hh_num!P13)</f>
        <v>0</v>
      </c>
      <c r="Q13" s="132">
        <f>IF(SER_hh_fec!Q13=0,0,11630*1000*SER_hh_fec!Q13/SER_hh_num!Q13)</f>
        <v>0</v>
      </c>
      <c r="R13" s="132">
        <f>IF(SER_hh_fec!R13=0,0,11630*1000*SER_hh_fec!R13/SER_hh_num!R13)</f>
        <v>0</v>
      </c>
      <c r="S13" s="132">
        <f>IF(SER_hh_fec!S13=0,0,11630*1000*SER_hh_fec!S13/SER_hh_num!S13)</f>
        <v>0</v>
      </c>
      <c r="T13" s="132">
        <f>IF(SER_hh_fec!T13=0,0,11630*1000*SER_hh_fec!T13/SER_hh_num!T13)</f>
        <v>0</v>
      </c>
      <c r="U13" s="132">
        <f>IF(SER_hh_fec!U13=0,0,11630*1000*SER_hh_fec!U13/SER_hh_num!U13)</f>
        <v>0</v>
      </c>
      <c r="V13" s="132">
        <f>IF(SER_hh_fec!V13=0,0,11630*1000*SER_hh_fec!V13/SER_hh_num!V13)</f>
        <v>0</v>
      </c>
      <c r="W13" s="132">
        <f>IF(SER_hh_fec!W13=0,0,11630*1000*SER_hh_fec!W13/SER_hh_num!W13)</f>
        <v>0</v>
      </c>
      <c r="X13" s="132">
        <f>IF(SER_hh_fec!X13=0,0,11630*1000*SER_hh_fec!X13/SER_hh_num!X13)</f>
        <v>0</v>
      </c>
      <c r="Y13" s="132">
        <f>IF(SER_hh_fec!Y13=0,0,11630*1000*SER_hh_fec!Y13/SER_hh_num!Y13)</f>
        <v>28400.554919575672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201744.10109660242</v>
      </c>
      <c r="C14" s="65">
        <f>IF(SER_hh_fec!C14=0,0,11630*1000*SER_hh_fec!C14/SER_hh_num!C14)</f>
        <v>223562.98227927936</v>
      </c>
      <c r="D14" s="65">
        <f>IF(SER_hh_fec!D14=0,0,11630*1000*SER_hh_fec!D14/SER_hh_num!D14)</f>
        <v>272916.20049092878</v>
      </c>
      <c r="E14" s="65">
        <f>IF(SER_hh_fec!E14=0,0,11630*1000*SER_hh_fec!E14/SER_hh_num!E14)</f>
        <v>126772.42520782223</v>
      </c>
      <c r="F14" s="65">
        <f>IF(SER_hh_fec!F14=0,0,11630*1000*SER_hh_fec!F14/SER_hh_num!F14)</f>
        <v>160315.57750561758</v>
      </c>
      <c r="G14" s="65">
        <f>IF(SER_hh_fec!G14=0,0,11630*1000*SER_hh_fec!G14/SER_hh_num!G14)</f>
        <v>107145.47582971516</v>
      </c>
      <c r="H14" s="65">
        <f>IF(SER_hh_fec!H14=0,0,11630*1000*SER_hh_fec!H14/SER_hh_num!H14)</f>
        <v>80328.711432197379</v>
      </c>
      <c r="I14" s="65">
        <f>IF(SER_hh_fec!I14=0,0,11630*1000*SER_hh_fec!I14/SER_hh_num!I14)</f>
        <v>78461.920607962704</v>
      </c>
      <c r="J14" s="65">
        <f>IF(SER_hh_fec!J14=0,0,11630*1000*SER_hh_fec!J14/SER_hh_num!J14)</f>
        <v>111025.20279474132</v>
      </c>
      <c r="K14" s="65">
        <f>IF(SER_hh_fec!K14=0,0,11630*1000*SER_hh_fec!K14/SER_hh_num!K14)</f>
        <v>101442.03671367277</v>
      </c>
      <c r="L14" s="65">
        <f>IF(SER_hh_fec!L14=0,0,11630*1000*SER_hh_fec!L14/SER_hh_num!L14)</f>
        <v>107528.28786455863</v>
      </c>
      <c r="M14" s="65">
        <f>IF(SER_hh_fec!M14=0,0,11630*1000*SER_hh_fec!M14/SER_hh_num!M14)</f>
        <v>109619.61888510505</v>
      </c>
      <c r="N14" s="65">
        <f>IF(SER_hh_fec!N14=0,0,11630*1000*SER_hh_fec!N14/SER_hh_num!N14)</f>
        <v>96020.162923269469</v>
      </c>
      <c r="O14" s="65">
        <f>IF(SER_hh_fec!O14=0,0,11630*1000*SER_hh_fec!O14/SER_hh_num!O14)</f>
        <v>92394.364495046815</v>
      </c>
      <c r="P14" s="65">
        <f>IF(SER_hh_fec!P14=0,0,11630*1000*SER_hh_fec!P14/SER_hh_num!P14)</f>
        <v>79432.150044333612</v>
      </c>
      <c r="Q14" s="65">
        <f>IF(SER_hh_fec!Q14=0,0,11630*1000*SER_hh_fec!Q14/SER_hh_num!Q14)</f>
        <v>80334.795678606752</v>
      </c>
      <c r="R14" s="65">
        <f>IF(SER_hh_fec!R14=0,0,11630*1000*SER_hh_fec!R14/SER_hh_num!R14)</f>
        <v>86525.6069627994</v>
      </c>
      <c r="S14" s="65">
        <f>IF(SER_hh_fec!S14=0,0,11630*1000*SER_hh_fec!S14/SER_hh_num!S14)</f>
        <v>91531.193774138112</v>
      </c>
      <c r="T14" s="65">
        <f>IF(SER_hh_fec!T14=0,0,11630*1000*SER_hh_fec!T14/SER_hh_num!T14)</f>
        <v>94483.51170801853</v>
      </c>
      <c r="U14" s="65">
        <f>IF(SER_hh_fec!U14=0,0,11630*1000*SER_hh_fec!U14/SER_hh_num!U14)</f>
        <v>86714.459221375932</v>
      </c>
      <c r="V14" s="65">
        <f>IF(SER_hh_fec!V14=0,0,11630*1000*SER_hh_fec!V14/SER_hh_num!V14)</f>
        <v>66028.261924483581</v>
      </c>
      <c r="W14" s="65">
        <f>IF(SER_hh_fec!W14=0,0,11630*1000*SER_hh_fec!W14/SER_hh_num!W14)</f>
        <v>72882.313287889963</v>
      </c>
      <c r="X14" s="65">
        <f>IF(SER_hh_fec!X14=0,0,11630*1000*SER_hh_fec!X14/SER_hh_num!X14)</f>
        <v>92902.953532492349</v>
      </c>
      <c r="Y14" s="65">
        <f>IF(SER_hh_fec!Y14=0,0,11630*1000*SER_hh_fec!Y14/SER_hh_num!Y14)</f>
        <v>80551.154709028924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2002.9967438734948</v>
      </c>
      <c r="C15" s="134">
        <f>IF(SER_hh_fec!C15=0,0,11630*1000*SER_hh_fec!C15/SER_hh_num!C15)</f>
        <v>3128.3893024325926</v>
      </c>
      <c r="D15" s="134">
        <f>IF(SER_hh_fec!D15=0,0,11630*1000*SER_hh_fec!D15/SER_hh_num!D15)</f>
        <v>2675.4530439633054</v>
      </c>
      <c r="E15" s="134">
        <f>IF(SER_hh_fec!E15=0,0,11630*1000*SER_hh_fec!E15/SER_hh_num!E15)</f>
        <v>1716.312885765796</v>
      </c>
      <c r="F15" s="134">
        <f>IF(SER_hh_fec!F15=0,0,11630*1000*SER_hh_fec!F15/SER_hh_num!F15)</f>
        <v>1730.5900218630534</v>
      </c>
      <c r="G15" s="134">
        <f>IF(SER_hh_fec!G15=0,0,11630*1000*SER_hh_fec!G15/SER_hh_num!G15)</f>
        <v>1410.5374493139425</v>
      </c>
      <c r="H15" s="134">
        <f>IF(SER_hh_fec!H15=0,0,11630*1000*SER_hh_fec!H15/SER_hh_num!H15)</f>
        <v>1130.3448943611259</v>
      </c>
      <c r="I15" s="134">
        <f>IF(SER_hh_fec!I15=0,0,11630*1000*SER_hh_fec!I15/SER_hh_num!I15)</f>
        <v>696.82522622129341</v>
      </c>
      <c r="J15" s="134">
        <f>IF(SER_hh_fec!J15=0,0,11630*1000*SER_hh_fec!J15/SER_hh_num!J15)</f>
        <v>1186.8174716060303</v>
      </c>
      <c r="K15" s="134">
        <f>IF(SER_hh_fec!K15=0,0,11630*1000*SER_hh_fec!K15/SER_hh_num!K15)</f>
        <v>1121.531300711662</v>
      </c>
      <c r="L15" s="134">
        <f>IF(SER_hh_fec!L15=0,0,11630*1000*SER_hh_fec!L15/SER_hh_num!L15)</f>
        <v>1216.8214233783372</v>
      </c>
      <c r="M15" s="134">
        <f>IF(SER_hh_fec!M15=0,0,11630*1000*SER_hh_fec!M15/SER_hh_num!M15)</f>
        <v>1118.2134832471233</v>
      </c>
      <c r="N15" s="134">
        <f>IF(SER_hh_fec!N15=0,0,11630*1000*SER_hh_fec!N15/SER_hh_num!N15)</f>
        <v>738.57667912698321</v>
      </c>
      <c r="O15" s="134">
        <f>IF(SER_hh_fec!O15=0,0,11630*1000*SER_hh_fec!O15/SER_hh_num!O15)</f>
        <v>805.74402917927216</v>
      </c>
      <c r="P15" s="134">
        <f>IF(SER_hh_fec!P15=0,0,11630*1000*SER_hh_fec!P15/SER_hh_num!P15)</f>
        <v>641.26333805611125</v>
      </c>
      <c r="Q15" s="134">
        <f>IF(SER_hh_fec!Q15=0,0,11630*1000*SER_hh_fec!Q15/SER_hh_num!Q15)</f>
        <v>748.39550754379911</v>
      </c>
      <c r="R15" s="134">
        <f>IF(SER_hh_fec!R15=0,0,11630*1000*SER_hh_fec!R15/SER_hh_num!R15)</f>
        <v>904.69827838886783</v>
      </c>
      <c r="S15" s="134">
        <f>IF(SER_hh_fec!S15=0,0,11630*1000*SER_hh_fec!S15/SER_hh_num!S15)</f>
        <v>761.9572122737045</v>
      </c>
      <c r="T15" s="134">
        <f>IF(SER_hh_fec!T15=0,0,11630*1000*SER_hh_fec!T15/SER_hh_num!T15)</f>
        <v>707.20222016125888</v>
      </c>
      <c r="U15" s="134">
        <f>IF(SER_hh_fec!U15=0,0,11630*1000*SER_hh_fec!U15/SER_hh_num!U15)</f>
        <v>662.81438513647572</v>
      </c>
      <c r="V15" s="134">
        <f>IF(SER_hh_fec!V15=0,0,11630*1000*SER_hh_fec!V15/SER_hh_num!V15)</f>
        <v>683.69131714092873</v>
      </c>
      <c r="W15" s="134">
        <f>IF(SER_hh_fec!W15=0,0,11630*1000*SER_hh_fec!W15/SER_hh_num!W15)</f>
        <v>565.16961177088035</v>
      </c>
      <c r="X15" s="134">
        <f>IF(SER_hh_fec!X15=0,0,11630*1000*SER_hh_fec!X15/SER_hh_num!X15)</f>
        <v>802.19431578023682</v>
      </c>
      <c r="Y15" s="134">
        <f>IF(SER_hh_fec!Y15=0,0,11630*1000*SER_hh_fec!Y15/SER_hh_num!Y15)</f>
        <v>964.95436979879958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12535.84268104705</v>
      </c>
      <c r="C16" s="130">
        <f>IF(SER_hh_fec!C16=0,0,11630*1000*SER_hh_fec!C16/SER_hh_num!C16)</f>
        <v>11944.650604688964</v>
      </c>
      <c r="D16" s="130">
        <f>IF(SER_hh_fec!D16=0,0,11630*1000*SER_hh_fec!D16/SER_hh_num!D16)</f>
        <v>11335.615943094857</v>
      </c>
      <c r="E16" s="130">
        <f>IF(SER_hh_fec!E16=0,0,11630*1000*SER_hh_fec!E16/SER_hh_num!E16)</f>
        <v>13778.60917571111</v>
      </c>
      <c r="F16" s="130">
        <f>IF(SER_hh_fec!F16=0,0,11630*1000*SER_hh_fec!F16/SER_hh_num!F16)</f>
        <v>10327.430031922779</v>
      </c>
      <c r="G16" s="130">
        <f>IF(SER_hh_fec!G16=0,0,11630*1000*SER_hh_fec!G16/SER_hh_num!G16)</f>
        <v>9959.6791675495515</v>
      </c>
      <c r="H16" s="130">
        <f>IF(SER_hh_fec!H16=0,0,11630*1000*SER_hh_fec!H16/SER_hh_num!H16)</f>
        <v>10121.454081535177</v>
      </c>
      <c r="I16" s="130">
        <f>IF(SER_hh_fec!I16=0,0,11630*1000*SER_hh_fec!I16/SER_hh_num!I16)</f>
        <v>9234.5867662533838</v>
      </c>
      <c r="J16" s="130">
        <f>IF(SER_hh_fec!J16=0,0,11630*1000*SER_hh_fec!J16/SER_hh_num!J16)</f>
        <v>8579.1575153872254</v>
      </c>
      <c r="K16" s="130">
        <f>IF(SER_hh_fec!K16=0,0,11630*1000*SER_hh_fec!K16/SER_hh_num!K16)</f>
        <v>8418.6050004001099</v>
      </c>
      <c r="L16" s="130">
        <f>IF(SER_hh_fec!L16=0,0,11630*1000*SER_hh_fec!L16/SER_hh_num!L16)</f>
        <v>8606.1821039524257</v>
      </c>
      <c r="M16" s="130">
        <f>IF(SER_hh_fec!M16=0,0,11630*1000*SER_hh_fec!M16/SER_hh_num!M16)</f>
        <v>8311.6931621231979</v>
      </c>
      <c r="N16" s="130">
        <f>IF(SER_hh_fec!N16=0,0,11630*1000*SER_hh_fec!N16/SER_hh_num!N16)</f>
        <v>9098.107694733173</v>
      </c>
      <c r="O16" s="130">
        <f>IF(SER_hh_fec!O16=0,0,11630*1000*SER_hh_fec!O16/SER_hh_num!O16)</f>
        <v>9111.4175941012381</v>
      </c>
      <c r="P16" s="130">
        <f>IF(SER_hh_fec!P16=0,0,11630*1000*SER_hh_fec!P16/SER_hh_num!P16)</f>
        <v>7121.6059298619402</v>
      </c>
      <c r="Q16" s="130">
        <f>IF(SER_hh_fec!Q16=0,0,11630*1000*SER_hh_fec!Q16/SER_hh_num!Q16)</f>
        <v>8600.6050122876932</v>
      </c>
      <c r="R16" s="130">
        <f>IF(SER_hh_fec!R16=0,0,11630*1000*SER_hh_fec!R16/SER_hh_num!R16)</f>
        <v>6805.7465336251744</v>
      </c>
      <c r="S16" s="130">
        <f>IF(SER_hh_fec!S16=0,0,11630*1000*SER_hh_fec!S16/SER_hh_num!S16)</f>
        <v>7948.8548799742148</v>
      </c>
      <c r="T16" s="130">
        <f>IF(SER_hh_fec!T16=0,0,11630*1000*SER_hh_fec!T16/SER_hh_num!T16)</f>
        <v>6754.8090678142389</v>
      </c>
      <c r="U16" s="130">
        <f>IF(SER_hh_fec!U16=0,0,11630*1000*SER_hh_fec!U16/SER_hh_num!U16)</f>
        <v>7083.9817703004665</v>
      </c>
      <c r="V16" s="130">
        <f>IF(SER_hh_fec!V16=0,0,11630*1000*SER_hh_fec!V16/SER_hh_num!V16)</f>
        <v>6111.7641547470939</v>
      </c>
      <c r="W16" s="130">
        <f>IF(SER_hh_fec!W16=0,0,11630*1000*SER_hh_fec!W16/SER_hh_num!W16)</f>
        <v>6577.8122602743106</v>
      </c>
      <c r="X16" s="130">
        <f>IF(SER_hh_fec!X16=0,0,11630*1000*SER_hh_fec!X16/SER_hh_num!X16)</f>
        <v>6845.7299962790612</v>
      </c>
      <c r="Y16" s="130">
        <f>IF(SER_hh_fec!Y16=0,0,11630*1000*SER_hh_fec!Y16/SER_hh_num!Y16)</f>
        <v>6568.9262300093551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12535.84268104705</v>
      </c>
      <c r="C18" s="132">
        <f>IF(SER_hh_fec!C18=0,0,11630*1000*SER_hh_fec!C18/SER_hh_num!C18)</f>
        <v>11944.650604688964</v>
      </c>
      <c r="D18" s="132">
        <f>IF(SER_hh_fec!D18=0,0,11630*1000*SER_hh_fec!D18/SER_hh_num!D18)</f>
        <v>11335.615943094857</v>
      </c>
      <c r="E18" s="132">
        <f>IF(SER_hh_fec!E18=0,0,11630*1000*SER_hh_fec!E18/SER_hh_num!E18)</f>
        <v>13778.60917571111</v>
      </c>
      <c r="F18" s="132">
        <f>IF(SER_hh_fec!F18=0,0,11630*1000*SER_hh_fec!F18/SER_hh_num!F18)</f>
        <v>10327.430031922779</v>
      </c>
      <c r="G18" s="132">
        <f>IF(SER_hh_fec!G18=0,0,11630*1000*SER_hh_fec!G18/SER_hh_num!G18)</f>
        <v>9959.6791675495515</v>
      </c>
      <c r="H18" s="132">
        <f>IF(SER_hh_fec!H18=0,0,11630*1000*SER_hh_fec!H18/SER_hh_num!H18)</f>
        <v>10121.454081535177</v>
      </c>
      <c r="I18" s="132">
        <f>IF(SER_hh_fec!I18=0,0,11630*1000*SER_hh_fec!I18/SER_hh_num!I18)</f>
        <v>9234.5867662533838</v>
      </c>
      <c r="J18" s="132">
        <f>IF(SER_hh_fec!J18=0,0,11630*1000*SER_hh_fec!J18/SER_hh_num!J18)</f>
        <v>8579.1575153872254</v>
      </c>
      <c r="K18" s="132">
        <f>IF(SER_hh_fec!K18=0,0,11630*1000*SER_hh_fec!K18/SER_hh_num!K18)</f>
        <v>8418.6050004001099</v>
      </c>
      <c r="L18" s="132">
        <f>IF(SER_hh_fec!L18=0,0,11630*1000*SER_hh_fec!L18/SER_hh_num!L18)</f>
        <v>8606.1821039524257</v>
      </c>
      <c r="M18" s="132">
        <f>IF(SER_hh_fec!M18=0,0,11630*1000*SER_hh_fec!M18/SER_hh_num!M18)</f>
        <v>8311.6931621231979</v>
      </c>
      <c r="N18" s="132">
        <f>IF(SER_hh_fec!N18=0,0,11630*1000*SER_hh_fec!N18/SER_hh_num!N18)</f>
        <v>9098.107694733173</v>
      </c>
      <c r="O18" s="132">
        <f>IF(SER_hh_fec!O18=0,0,11630*1000*SER_hh_fec!O18/SER_hh_num!O18)</f>
        <v>9111.4175941012381</v>
      </c>
      <c r="P18" s="132">
        <f>IF(SER_hh_fec!P18=0,0,11630*1000*SER_hh_fec!P18/SER_hh_num!P18)</f>
        <v>7121.6059298619402</v>
      </c>
      <c r="Q18" s="132">
        <f>IF(SER_hh_fec!Q18=0,0,11630*1000*SER_hh_fec!Q18/SER_hh_num!Q18)</f>
        <v>8600.6050122876932</v>
      </c>
      <c r="R18" s="132">
        <f>IF(SER_hh_fec!R18=0,0,11630*1000*SER_hh_fec!R18/SER_hh_num!R18)</f>
        <v>6805.7465336251744</v>
      </c>
      <c r="S18" s="132">
        <f>IF(SER_hh_fec!S18=0,0,11630*1000*SER_hh_fec!S18/SER_hh_num!S18)</f>
        <v>7948.8548799742148</v>
      </c>
      <c r="T18" s="132">
        <f>IF(SER_hh_fec!T18=0,0,11630*1000*SER_hh_fec!T18/SER_hh_num!T18)</f>
        <v>6754.8090678142389</v>
      </c>
      <c r="U18" s="132">
        <f>IF(SER_hh_fec!U18=0,0,11630*1000*SER_hh_fec!U18/SER_hh_num!U18)</f>
        <v>7083.9817703004665</v>
      </c>
      <c r="V18" s="132">
        <f>IF(SER_hh_fec!V18=0,0,11630*1000*SER_hh_fec!V18/SER_hh_num!V18)</f>
        <v>6111.7641547470939</v>
      </c>
      <c r="W18" s="132">
        <f>IF(SER_hh_fec!W18=0,0,11630*1000*SER_hh_fec!W18/SER_hh_num!W18)</f>
        <v>6577.8122602743106</v>
      </c>
      <c r="X18" s="132">
        <f>IF(SER_hh_fec!X18=0,0,11630*1000*SER_hh_fec!X18/SER_hh_num!X18)</f>
        <v>6845.7299962790612</v>
      </c>
      <c r="Y18" s="132">
        <f>IF(SER_hh_fec!Y18=0,0,11630*1000*SER_hh_fec!Y18/SER_hh_num!Y18)</f>
        <v>6568.9262300093551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22102.143144654838</v>
      </c>
      <c r="C19" s="130">
        <f>IF(SER_hh_fec!C19=0,0,11630*1000*SER_hh_fec!C19/SER_hh_num!C19)</f>
        <v>21493.721309858625</v>
      </c>
      <c r="D19" s="130">
        <f>IF(SER_hh_fec!D19=0,0,11630*1000*SER_hh_fec!D19/SER_hh_num!D19)</f>
        <v>21035.604499137804</v>
      </c>
      <c r="E19" s="130">
        <f>IF(SER_hh_fec!E19=0,0,11630*1000*SER_hh_fec!E19/SER_hh_num!E19)</f>
        <v>20981.361338130464</v>
      </c>
      <c r="F19" s="130">
        <f>IF(SER_hh_fec!F19=0,0,11630*1000*SER_hh_fec!F19/SER_hh_num!F19)</f>
        <v>20511.728296962894</v>
      </c>
      <c r="G19" s="130">
        <f>IF(SER_hh_fec!G19=0,0,11630*1000*SER_hh_fec!G19/SER_hh_num!G19)</f>
        <v>20297.911524040763</v>
      </c>
      <c r="H19" s="130">
        <f>IF(SER_hh_fec!H19=0,0,11630*1000*SER_hh_fec!H19/SER_hh_num!H19)</f>
        <v>19833.175530532892</v>
      </c>
      <c r="I19" s="130">
        <f>IF(SER_hh_fec!I19=0,0,11630*1000*SER_hh_fec!I19/SER_hh_num!I19)</f>
        <v>19326.31808864131</v>
      </c>
      <c r="J19" s="130">
        <f>IF(SER_hh_fec!J19=0,0,11630*1000*SER_hh_fec!J19/SER_hh_num!J19)</f>
        <v>18924.07856065021</v>
      </c>
      <c r="K19" s="130">
        <f>IF(SER_hh_fec!K19=0,0,11630*1000*SER_hh_fec!K19/SER_hh_num!K19)</f>
        <v>19120.423419998882</v>
      </c>
      <c r="L19" s="130">
        <f>IF(SER_hh_fec!L19=0,0,11630*1000*SER_hh_fec!L19/SER_hh_num!L19)</f>
        <v>19208.748093052491</v>
      </c>
      <c r="M19" s="130">
        <f>IF(SER_hh_fec!M19=0,0,11630*1000*SER_hh_fec!M19/SER_hh_num!M19)</f>
        <v>18678.433508810416</v>
      </c>
      <c r="N19" s="130">
        <f>IF(SER_hh_fec!N19=0,0,11630*1000*SER_hh_fec!N19/SER_hh_num!N19)</f>
        <v>18667.825620220647</v>
      </c>
      <c r="O19" s="130">
        <f>IF(SER_hh_fec!O19=0,0,11630*1000*SER_hh_fec!O19/SER_hh_num!O19)</f>
        <v>18614.750763211992</v>
      </c>
      <c r="P19" s="130">
        <f>IF(SER_hh_fec!P19=0,0,11630*1000*SER_hh_fec!P19/SER_hh_num!P19)</f>
        <v>18765.98823050291</v>
      </c>
      <c r="Q19" s="130">
        <f>IF(SER_hh_fec!Q19=0,0,11630*1000*SER_hh_fec!Q19/SER_hh_num!Q19)</f>
        <v>18966.745636837404</v>
      </c>
      <c r="R19" s="130">
        <f>IF(SER_hh_fec!R19=0,0,11630*1000*SER_hh_fec!R19/SER_hh_num!R19)</f>
        <v>19196.533059264464</v>
      </c>
      <c r="S19" s="130">
        <f>IF(SER_hh_fec!S19=0,0,11630*1000*SER_hh_fec!S19/SER_hh_num!S19)</f>
        <v>18709.089672921964</v>
      </c>
      <c r="T19" s="130">
        <f>IF(SER_hh_fec!T19=0,0,11630*1000*SER_hh_fec!T19/SER_hh_num!T19)</f>
        <v>18405.930412231512</v>
      </c>
      <c r="U19" s="130">
        <f>IF(SER_hh_fec!U19=0,0,11630*1000*SER_hh_fec!U19/SER_hh_num!U19)</f>
        <v>18328.834106495444</v>
      </c>
      <c r="V19" s="130">
        <f>IF(SER_hh_fec!V19=0,0,11630*1000*SER_hh_fec!V19/SER_hh_num!V19)</f>
        <v>17417.752881783079</v>
      </c>
      <c r="W19" s="130">
        <f>IF(SER_hh_fec!W19=0,0,11630*1000*SER_hh_fec!W19/SER_hh_num!W19)</f>
        <v>17203.539480057872</v>
      </c>
      <c r="X19" s="130">
        <f>IF(SER_hh_fec!X19=0,0,11630*1000*SER_hh_fec!X19/SER_hh_num!X19)</f>
        <v>17297.877305896131</v>
      </c>
      <c r="Y19" s="130">
        <f>IF(SER_hh_fec!Y19=0,0,11630*1000*SER_hh_fec!Y19/SER_hh_num!Y19)</f>
        <v>17114.191476483047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24491.947705638027</v>
      </c>
      <c r="C21" s="132">
        <f>IF(SER_hh_fec!C21=0,0,11630*1000*SER_hh_fec!C21/SER_hh_num!C21)</f>
        <v>21031.463673949431</v>
      </c>
      <c r="D21" s="132">
        <f>IF(SER_hh_fec!D21=0,0,11630*1000*SER_hh_fec!D21/SER_hh_num!D21)</f>
        <v>22463.411785933113</v>
      </c>
      <c r="E21" s="132">
        <f>IF(SER_hh_fec!E21=0,0,11630*1000*SER_hh_fec!E21/SER_hh_num!E21)</f>
        <v>21820.277818151189</v>
      </c>
      <c r="F21" s="132">
        <f>IF(SER_hh_fec!F21=0,0,11630*1000*SER_hh_fec!F21/SER_hh_num!F21)</f>
        <v>21241.292677285423</v>
      </c>
      <c r="G21" s="132">
        <f>IF(SER_hh_fec!G21=0,0,11630*1000*SER_hh_fec!G21/SER_hh_num!G21)</f>
        <v>20873.709244075933</v>
      </c>
      <c r="H21" s="132">
        <f>IF(SER_hh_fec!H21=0,0,11630*1000*SER_hh_fec!H21/SER_hh_num!H21)</f>
        <v>20509.770857453324</v>
      </c>
      <c r="I21" s="132">
        <f>IF(SER_hh_fec!I21=0,0,11630*1000*SER_hh_fec!I21/SER_hh_num!I21)</f>
        <v>20424.315298171288</v>
      </c>
      <c r="J21" s="132">
        <f>IF(SER_hh_fec!J21=0,0,11630*1000*SER_hh_fec!J21/SER_hh_num!J21)</f>
        <v>19793.975774080278</v>
      </c>
      <c r="K21" s="132">
        <f>IF(SER_hh_fec!K21=0,0,11630*1000*SER_hh_fec!K21/SER_hh_num!K21)</f>
        <v>20007.037892017164</v>
      </c>
      <c r="L21" s="132">
        <f>IF(SER_hh_fec!L21=0,0,11630*1000*SER_hh_fec!L21/SER_hh_num!L21)</f>
        <v>20782.040120273861</v>
      </c>
      <c r="M21" s="132">
        <f>IF(SER_hh_fec!M21=0,0,11630*1000*SER_hh_fec!M21/SER_hh_num!M21)</f>
        <v>19651.736596707666</v>
      </c>
      <c r="N21" s="132">
        <f>IF(SER_hh_fec!N21=0,0,11630*1000*SER_hh_fec!N21/SER_hh_num!N21)</f>
        <v>20682.546906589887</v>
      </c>
      <c r="O21" s="132">
        <f>IF(SER_hh_fec!O21=0,0,11630*1000*SER_hh_fec!O21/SER_hh_num!O21)</f>
        <v>20590.988944424218</v>
      </c>
      <c r="P21" s="132">
        <f>IF(SER_hh_fec!P21=0,0,11630*1000*SER_hh_fec!P21/SER_hh_num!P21)</f>
        <v>21073.03037738505</v>
      </c>
      <c r="Q21" s="132">
        <f>IF(SER_hh_fec!Q21=0,0,11630*1000*SER_hh_fec!Q21/SER_hh_num!Q21)</f>
        <v>21107.069815720257</v>
      </c>
      <c r="R21" s="132">
        <f>IF(SER_hh_fec!R21=0,0,11630*1000*SER_hh_fec!R21/SER_hh_num!R21)</f>
        <v>16154.524334763948</v>
      </c>
      <c r="S21" s="132">
        <f>IF(SER_hh_fec!S21=0,0,11630*1000*SER_hh_fec!S21/SER_hh_num!S21)</f>
        <v>18009.230049691741</v>
      </c>
      <c r="T21" s="132">
        <f>IF(SER_hh_fec!T21=0,0,11630*1000*SER_hh_fec!T21/SER_hh_num!T21)</f>
        <v>23563.916785515565</v>
      </c>
      <c r="U21" s="132">
        <f>IF(SER_hh_fec!U21=0,0,11630*1000*SER_hh_fec!U21/SER_hh_num!U21)</f>
        <v>26990.718783428511</v>
      </c>
      <c r="V21" s="132">
        <f>IF(SER_hh_fec!V21=0,0,11630*1000*SER_hh_fec!V21/SER_hh_num!V21)</f>
        <v>21243.249339680817</v>
      </c>
      <c r="W21" s="132">
        <f>IF(SER_hh_fec!W21=0,0,11630*1000*SER_hh_fec!W21/SER_hh_num!W21)</f>
        <v>15950.041806743355</v>
      </c>
      <c r="X21" s="132">
        <f>IF(SER_hh_fec!X21=0,0,11630*1000*SER_hh_fec!X21/SER_hh_num!X21)</f>
        <v>22465.977052914197</v>
      </c>
      <c r="Y21" s="132">
        <f>IF(SER_hh_fec!Y21=0,0,11630*1000*SER_hh_fec!Y21/SER_hh_num!Y21)</f>
        <v>14426.416820680235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23120.58400225504</v>
      </c>
      <c r="C22" s="132">
        <f>IF(SER_hh_fec!C22=0,0,11630*1000*SER_hh_fec!C22/SER_hh_num!C22)</f>
        <v>24614.14865429467</v>
      </c>
      <c r="D22" s="132">
        <f>IF(SER_hh_fec!D22=0,0,11630*1000*SER_hh_fec!D22/SER_hh_num!D22)</f>
        <v>21812.195577896407</v>
      </c>
      <c r="E22" s="132">
        <f>IF(SER_hh_fec!E22=0,0,11630*1000*SER_hh_fec!E22/SER_hh_num!E22)</f>
        <v>23461.309676947185</v>
      </c>
      <c r="F22" s="132">
        <f>IF(SER_hh_fec!F22=0,0,11630*1000*SER_hh_fec!F22/SER_hh_num!F22)</f>
        <v>22674.373577054335</v>
      </c>
      <c r="G22" s="132">
        <f>IF(SER_hh_fec!G22=0,0,11630*1000*SER_hh_fec!G22/SER_hh_num!G22)</f>
        <v>22098.782963227499</v>
      </c>
      <c r="H22" s="132">
        <f>IF(SER_hh_fec!H22=0,0,11630*1000*SER_hh_fec!H22/SER_hh_num!H22)</f>
        <v>21652.699102433828</v>
      </c>
      <c r="I22" s="132">
        <f>IF(SER_hh_fec!I22=0,0,11630*1000*SER_hh_fec!I22/SER_hh_num!I22)</f>
        <v>21497.878128686196</v>
      </c>
      <c r="J22" s="132">
        <f>IF(SER_hh_fec!J22=0,0,11630*1000*SER_hh_fec!J22/SER_hh_num!J22)</f>
        <v>20445.776545945449</v>
      </c>
      <c r="K22" s="132">
        <f>IF(SER_hh_fec!K22=0,0,11630*1000*SER_hh_fec!K22/SER_hh_num!K22)</f>
        <v>21339.790176789149</v>
      </c>
      <c r="L22" s="132">
        <f>IF(SER_hh_fec!L22=0,0,11630*1000*SER_hh_fec!L22/SER_hh_num!L22)</f>
        <v>22447.145802042236</v>
      </c>
      <c r="M22" s="132">
        <f>IF(SER_hh_fec!M22=0,0,11630*1000*SER_hh_fec!M22/SER_hh_num!M22)</f>
        <v>20976.073619933813</v>
      </c>
      <c r="N22" s="132">
        <f>IF(SER_hh_fec!N22=0,0,11630*1000*SER_hh_fec!N22/SER_hh_num!N22)</f>
        <v>22066.47619543385</v>
      </c>
      <c r="O22" s="132">
        <f>IF(SER_hh_fec!O22=0,0,11630*1000*SER_hh_fec!O22/SER_hh_num!O22)</f>
        <v>21795.656289333649</v>
      </c>
      <c r="P22" s="132">
        <f>IF(SER_hh_fec!P22=0,0,11630*1000*SER_hh_fec!P22/SER_hh_num!P22)</f>
        <v>21309.795792630659</v>
      </c>
      <c r="Q22" s="132">
        <f>IF(SER_hh_fec!Q22=0,0,11630*1000*SER_hh_fec!Q22/SER_hh_num!Q22)</f>
        <v>21305.320743530752</v>
      </c>
      <c r="R22" s="132">
        <f>IF(SER_hh_fec!R22=0,0,11630*1000*SER_hh_fec!R22/SER_hh_num!R22)</f>
        <v>25637.606177439171</v>
      </c>
      <c r="S22" s="132">
        <f>IF(SER_hh_fec!S22=0,0,11630*1000*SER_hh_fec!S22/SER_hh_num!S22)</f>
        <v>20925.660888302427</v>
      </c>
      <c r="T22" s="132">
        <f>IF(SER_hh_fec!T22=0,0,11630*1000*SER_hh_fec!T22/SER_hh_num!T22)</f>
        <v>23440.236541862952</v>
      </c>
      <c r="U22" s="132">
        <f>IF(SER_hh_fec!U22=0,0,11630*1000*SER_hh_fec!U22/SER_hh_num!U22)</f>
        <v>19502.156510694283</v>
      </c>
      <c r="V22" s="132">
        <f>IF(SER_hh_fec!V22=0,0,11630*1000*SER_hh_fec!V22/SER_hh_num!V22)</f>
        <v>20557.028431569739</v>
      </c>
      <c r="W22" s="132">
        <f>IF(SER_hh_fec!W22=0,0,11630*1000*SER_hh_fec!W22/SER_hh_num!W22)</f>
        <v>19027.789039210656</v>
      </c>
      <c r="X22" s="132">
        <f>IF(SER_hh_fec!X22=0,0,11630*1000*SER_hh_fec!X22/SER_hh_num!X22)</f>
        <v>18378.343346710655</v>
      </c>
      <c r="Y22" s="132">
        <f>IF(SER_hh_fec!Y22=0,0,11630*1000*SER_hh_fec!Y22/SER_hh_num!Y22)</f>
        <v>18557.150202890454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23322.604928075383</v>
      </c>
      <c r="C23" s="132">
        <f>IF(SER_hh_fec!C23=0,0,11630*1000*SER_hh_fec!C23/SER_hh_num!C23)</f>
        <v>23265.171149074449</v>
      </c>
      <c r="D23" s="132">
        <f>IF(SER_hh_fec!D23=0,0,11630*1000*SER_hh_fec!D23/SER_hh_num!D23)</f>
        <v>22183.18385899466</v>
      </c>
      <c r="E23" s="132">
        <f>IF(SER_hh_fec!E23=0,0,11630*1000*SER_hh_fec!E23/SER_hh_num!E23)</f>
        <v>21681.575758893618</v>
      </c>
      <c r="F23" s="132">
        <f>IF(SER_hh_fec!F23=0,0,11630*1000*SER_hh_fec!F23/SER_hh_num!F23)</f>
        <v>21464.558282479742</v>
      </c>
      <c r="G23" s="132">
        <f>IF(SER_hh_fec!G23=0,0,11630*1000*SER_hh_fec!G23/SER_hh_num!G23)</f>
        <v>20919.503644975153</v>
      </c>
      <c r="H23" s="132">
        <f>IF(SER_hh_fec!H23=0,0,11630*1000*SER_hh_fec!H23/SER_hh_num!H23)</f>
        <v>19874.53027111703</v>
      </c>
      <c r="I23" s="132">
        <f>IF(SER_hh_fec!I23=0,0,11630*1000*SER_hh_fec!I23/SER_hh_num!I23)</f>
        <v>18785.012847768103</v>
      </c>
      <c r="J23" s="132">
        <f>IF(SER_hh_fec!J23=0,0,11630*1000*SER_hh_fec!J23/SER_hh_num!J23)</f>
        <v>17210.689909451881</v>
      </c>
      <c r="K23" s="132">
        <f>IF(SER_hh_fec!K23=0,0,11630*1000*SER_hh_fec!K23/SER_hh_num!K23)</f>
        <v>20816.346165772124</v>
      </c>
      <c r="L23" s="132">
        <f>IF(SER_hh_fec!L23=0,0,11630*1000*SER_hh_fec!L23/SER_hh_num!L23)</f>
        <v>20218.438004316809</v>
      </c>
      <c r="M23" s="132">
        <f>IF(SER_hh_fec!M23=0,0,11630*1000*SER_hh_fec!M23/SER_hh_num!M23)</f>
        <v>19108.760997529716</v>
      </c>
      <c r="N23" s="132">
        <f>IF(SER_hh_fec!N23=0,0,11630*1000*SER_hh_fec!N23/SER_hh_num!N23)</f>
        <v>19195.845036413233</v>
      </c>
      <c r="O23" s="132">
        <f>IF(SER_hh_fec!O23=0,0,11630*1000*SER_hh_fec!O23/SER_hh_num!O23)</f>
        <v>19487.61706053626</v>
      </c>
      <c r="P23" s="132">
        <f>IF(SER_hh_fec!P23=0,0,11630*1000*SER_hh_fec!P23/SER_hh_num!P23)</f>
        <v>19656.983693718124</v>
      </c>
      <c r="Q23" s="132">
        <f>IF(SER_hh_fec!Q23=0,0,11630*1000*SER_hh_fec!Q23/SER_hh_num!Q23)</f>
        <v>18993.890167174177</v>
      </c>
      <c r="R23" s="132">
        <f>IF(SER_hh_fec!R23=0,0,11630*1000*SER_hh_fec!R23/SER_hh_num!R23)</f>
        <v>24623.78337122568</v>
      </c>
      <c r="S23" s="132">
        <f>IF(SER_hh_fec!S23=0,0,11630*1000*SER_hh_fec!S23/SER_hh_num!S23)</f>
        <v>21602.17520453233</v>
      </c>
      <c r="T23" s="132">
        <f>IF(SER_hh_fec!T23=0,0,11630*1000*SER_hh_fec!T23/SER_hh_num!T23)</f>
        <v>15393.911924635646</v>
      </c>
      <c r="U23" s="132">
        <f>IF(SER_hh_fec!U23=0,0,11630*1000*SER_hh_fec!U23/SER_hh_num!U23)</f>
        <v>20537.238817884714</v>
      </c>
      <c r="V23" s="132">
        <f>IF(SER_hh_fec!V23=0,0,11630*1000*SER_hh_fec!V23/SER_hh_num!V23)</f>
        <v>18577.678078826255</v>
      </c>
      <c r="W23" s="132">
        <f>IF(SER_hh_fec!W23=0,0,11630*1000*SER_hh_fec!W23/SER_hh_num!W23)</f>
        <v>15817.996554332387</v>
      </c>
      <c r="X23" s="132">
        <f>IF(SER_hh_fec!X23=0,0,11630*1000*SER_hh_fec!X23/SER_hh_num!X23)</f>
        <v>21834.848338799766</v>
      </c>
      <c r="Y23" s="132">
        <f>IF(SER_hh_fec!Y23=0,0,11630*1000*SER_hh_fec!Y23/SER_hh_num!Y23)</f>
        <v>18539.671605112679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14210.481904801398</v>
      </c>
      <c r="C25" s="132">
        <f>IF(SER_hh_fec!C25=0,0,11630*1000*SER_hh_fec!C25/SER_hh_num!C25)</f>
        <v>18512.713554775732</v>
      </c>
      <c r="D25" s="132">
        <f>IF(SER_hh_fec!D25=0,0,11630*1000*SER_hh_fec!D25/SER_hh_num!D25)</f>
        <v>15953.138087133135</v>
      </c>
      <c r="E25" s="132">
        <f>IF(SER_hh_fec!E25=0,0,11630*1000*SER_hh_fec!E25/SER_hh_num!E25)</f>
        <v>14449.411187554091</v>
      </c>
      <c r="F25" s="132">
        <f>IF(SER_hh_fec!F25=0,0,11630*1000*SER_hh_fec!F25/SER_hh_num!F25)</f>
        <v>15245.717096670816</v>
      </c>
      <c r="G25" s="132">
        <f>IF(SER_hh_fec!G25=0,0,11630*1000*SER_hh_fec!G25/SER_hh_num!G25)</f>
        <v>15094.216856662082</v>
      </c>
      <c r="H25" s="132">
        <f>IF(SER_hh_fec!H25=0,0,11630*1000*SER_hh_fec!H25/SER_hh_num!H25)</f>
        <v>13415.426891273075</v>
      </c>
      <c r="I25" s="132">
        <f>IF(SER_hh_fec!I25=0,0,11630*1000*SER_hh_fec!I25/SER_hh_num!I25)</f>
        <v>13860.68904461736</v>
      </c>
      <c r="J25" s="132">
        <f>IF(SER_hh_fec!J25=0,0,11630*1000*SER_hh_fec!J25/SER_hh_num!J25)</f>
        <v>12415.236300112469</v>
      </c>
      <c r="K25" s="132">
        <f>IF(SER_hh_fec!K25=0,0,11630*1000*SER_hh_fec!K25/SER_hh_num!K25)</f>
        <v>13148.085292864163</v>
      </c>
      <c r="L25" s="132">
        <f>IF(SER_hh_fec!L25=0,0,11630*1000*SER_hh_fec!L25/SER_hh_num!L25)</f>
        <v>14038.517698630047</v>
      </c>
      <c r="M25" s="132">
        <f>IF(SER_hh_fec!M25=0,0,11630*1000*SER_hh_fec!M25/SER_hh_num!M25)</f>
        <v>14410.401758840077</v>
      </c>
      <c r="N25" s="132">
        <f>IF(SER_hh_fec!N25=0,0,11630*1000*SER_hh_fec!N25/SER_hh_num!N25)</f>
        <v>14429.674033726338</v>
      </c>
      <c r="O25" s="132">
        <f>IF(SER_hh_fec!O25=0,0,11630*1000*SER_hh_fec!O25/SER_hh_num!O25)</f>
        <v>14683.014191614968</v>
      </c>
      <c r="P25" s="132">
        <f>IF(SER_hh_fec!P25=0,0,11630*1000*SER_hh_fec!P25/SER_hh_num!P25)</f>
        <v>15386.996098263588</v>
      </c>
      <c r="Q25" s="132">
        <f>IF(SER_hh_fec!Q25=0,0,11630*1000*SER_hh_fec!Q25/SER_hh_num!Q25)</f>
        <v>15084.871358425813</v>
      </c>
      <c r="R25" s="132">
        <f>IF(SER_hh_fec!R25=0,0,11630*1000*SER_hh_fec!R25/SER_hh_num!R25)</f>
        <v>13967.814669462659</v>
      </c>
      <c r="S25" s="132">
        <f>IF(SER_hh_fec!S25=0,0,11630*1000*SER_hh_fec!S25/SER_hh_num!S25)</f>
        <v>15939.5524134802</v>
      </c>
      <c r="T25" s="132">
        <f>IF(SER_hh_fec!T25=0,0,11630*1000*SER_hh_fec!T25/SER_hh_num!T25)</f>
        <v>16734.517171949992</v>
      </c>
      <c r="U25" s="132">
        <f>IF(SER_hh_fec!U25=0,0,11630*1000*SER_hh_fec!U25/SER_hh_num!U25)</f>
        <v>14475.679527715016</v>
      </c>
      <c r="V25" s="132">
        <f>IF(SER_hh_fec!V25=0,0,11630*1000*SER_hh_fec!V25/SER_hh_num!V25)</f>
        <v>14464.186313292892</v>
      </c>
      <c r="W25" s="132">
        <f>IF(SER_hh_fec!W25=0,0,11630*1000*SER_hh_fec!W25/SER_hh_num!W25)</f>
        <v>15770.717140057441</v>
      </c>
      <c r="X25" s="132">
        <f>IF(SER_hh_fec!X25=0,0,11630*1000*SER_hh_fec!X25/SER_hh_num!X25)</f>
        <v>16008.294457179434</v>
      </c>
      <c r="Y25" s="132">
        <f>IF(SER_hh_fec!Y25=0,0,11630*1000*SER_hh_fec!Y25/SER_hh_num!Y25)</f>
        <v>15213.954487275274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19073.419236729311</v>
      </c>
      <c r="C26" s="65">
        <f>IF(SER_hh_fec!C26=0,0,11630*1000*SER_hh_fec!C26/SER_hh_num!C26)</f>
        <v>15626.072412565156</v>
      </c>
      <c r="D26" s="65">
        <f>IF(SER_hh_fec!D26=0,0,11630*1000*SER_hh_fec!D26/SER_hh_num!D26)</f>
        <v>19091.756586582422</v>
      </c>
      <c r="E26" s="65">
        <f>IF(SER_hh_fec!E26=0,0,11630*1000*SER_hh_fec!E26/SER_hh_num!E26)</f>
        <v>16539.932976848348</v>
      </c>
      <c r="F26" s="65">
        <f>IF(SER_hh_fec!F26=0,0,11630*1000*SER_hh_fec!F26/SER_hh_num!F26)</f>
        <v>16001.02875362108</v>
      </c>
      <c r="G26" s="65">
        <f>IF(SER_hh_fec!G26=0,0,11630*1000*SER_hh_fec!G26/SER_hh_num!G26)</f>
        <v>17377.638821446333</v>
      </c>
      <c r="H26" s="65">
        <f>IF(SER_hh_fec!H26=0,0,11630*1000*SER_hh_fec!H26/SER_hh_num!H26)</f>
        <v>17396.729088164546</v>
      </c>
      <c r="I26" s="65">
        <f>IF(SER_hh_fec!I26=0,0,11630*1000*SER_hh_fec!I26/SER_hh_num!I26)</f>
        <v>15268.820625094369</v>
      </c>
      <c r="J26" s="65">
        <f>IF(SER_hh_fec!J26=0,0,11630*1000*SER_hh_fec!J26/SER_hh_num!J26)</f>
        <v>17586.341731292647</v>
      </c>
      <c r="K26" s="65">
        <f>IF(SER_hh_fec!K26=0,0,11630*1000*SER_hh_fec!K26/SER_hh_num!K26)</f>
        <v>16565.635371496435</v>
      </c>
      <c r="L26" s="65">
        <f>IF(SER_hh_fec!L26=0,0,11630*1000*SER_hh_fec!L26/SER_hh_num!L26)</f>
        <v>15543.602268129394</v>
      </c>
      <c r="M26" s="65">
        <f>IF(SER_hh_fec!M26=0,0,11630*1000*SER_hh_fec!M26/SER_hh_num!M26)</f>
        <v>17397.707954514597</v>
      </c>
      <c r="N26" s="65">
        <f>IF(SER_hh_fec!N26=0,0,11630*1000*SER_hh_fec!N26/SER_hh_num!N26)</f>
        <v>16668.74521862857</v>
      </c>
      <c r="O26" s="65">
        <f>IF(SER_hh_fec!O26=0,0,11630*1000*SER_hh_fec!O26/SER_hh_num!O26)</f>
        <v>17398.044867183959</v>
      </c>
      <c r="P26" s="65">
        <f>IF(SER_hh_fec!P26=0,0,11630*1000*SER_hh_fec!P26/SER_hh_num!P26)</f>
        <v>17974.202972379222</v>
      </c>
      <c r="Q26" s="65">
        <f>IF(SER_hh_fec!Q26=0,0,11630*1000*SER_hh_fec!Q26/SER_hh_num!Q26)</f>
        <v>18756.548581546638</v>
      </c>
      <c r="R26" s="65">
        <f>IF(SER_hh_fec!R26=0,0,11630*1000*SER_hh_fec!R26/SER_hh_num!R26)</f>
        <v>19288.522418581277</v>
      </c>
      <c r="S26" s="65">
        <f>IF(SER_hh_fec!S26=0,0,11630*1000*SER_hh_fec!S26/SER_hh_num!S26)</f>
        <v>19025.943100128963</v>
      </c>
      <c r="T26" s="65">
        <f>IF(SER_hh_fec!T26=0,0,11630*1000*SER_hh_fec!T26/SER_hh_num!T26)</f>
        <v>15794.057153138248</v>
      </c>
      <c r="U26" s="65">
        <f>IF(SER_hh_fec!U26=0,0,11630*1000*SER_hh_fec!U26/SER_hh_num!U26)</f>
        <v>16381.22345946158</v>
      </c>
      <c r="V26" s="65">
        <f>IF(SER_hh_fec!V26=0,0,11630*1000*SER_hh_fec!V26/SER_hh_num!V26)</f>
        <v>16181.067836949116</v>
      </c>
      <c r="W26" s="65">
        <f>IF(SER_hh_fec!W26=0,0,11630*1000*SER_hh_fec!W26/SER_hh_num!W26)</f>
        <v>17608.656712989061</v>
      </c>
      <c r="X26" s="65">
        <f>IF(SER_hh_fec!X26=0,0,11630*1000*SER_hh_fec!X26/SER_hh_num!X26)</f>
        <v>15983.365826411795</v>
      </c>
      <c r="Y26" s="65">
        <f>IF(SER_hh_fec!Y26=0,0,11630*1000*SER_hh_fec!Y26/SER_hh_num!Y26)</f>
        <v>17741.269583559766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23479.856566628652</v>
      </c>
      <c r="C29" s="130">
        <f>IF(SER_hh_fec!C29=0,0,11630*1000*SER_hh_fec!C29/SER_hh_num!C29)</f>
        <v>24934.891590676059</v>
      </c>
      <c r="D29" s="130">
        <f>IF(SER_hh_fec!D29=0,0,11630*1000*SER_hh_fec!D29/SER_hh_num!D29)</f>
        <v>22753.04921196945</v>
      </c>
      <c r="E29" s="130">
        <f>IF(SER_hh_fec!E29=0,0,11630*1000*SER_hh_fec!E29/SER_hh_num!E29)</f>
        <v>21009.020013292891</v>
      </c>
      <c r="F29" s="130">
        <f>IF(SER_hh_fec!F29=0,0,11630*1000*SER_hh_fec!F29/SER_hh_num!F29)</f>
        <v>20656.861953609947</v>
      </c>
      <c r="G29" s="130">
        <f>IF(SER_hh_fec!G29=0,0,11630*1000*SER_hh_fec!G29/SER_hh_num!G29)</f>
        <v>19844.734632850133</v>
      </c>
      <c r="H29" s="130">
        <f>IF(SER_hh_fec!H29=0,0,11630*1000*SER_hh_fec!H29/SER_hh_num!H29)</f>
        <v>18878.880022518264</v>
      </c>
      <c r="I29" s="130">
        <f>IF(SER_hh_fec!I29=0,0,11630*1000*SER_hh_fec!I29/SER_hh_num!I29)</f>
        <v>19443.041598524822</v>
      </c>
      <c r="J29" s="130">
        <f>IF(SER_hh_fec!J29=0,0,11630*1000*SER_hh_fec!J29/SER_hh_num!J29)</f>
        <v>18085.875416590869</v>
      </c>
      <c r="K29" s="130">
        <f>IF(SER_hh_fec!K29=0,0,11630*1000*SER_hh_fec!K29/SER_hh_num!K29)</f>
        <v>18573.863079482246</v>
      </c>
      <c r="L29" s="130">
        <f>IF(SER_hh_fec!L29=0,0,11630*1000*SER_hh_fec!L29/SER_hh_num!L29)</f>
        <v>19168.082589441899</v>
      </c>
      <c r="M29" s="130">
        <f>IF(SER_hh_fec!M29=0,0,11630*1000*SER_hh_fec!M29/SER_hh_num!M29)</f>
        <v>18423.987437438438</v>
      </c>
      <c r="N29" s="130">
        <f>IF(SER_hh_fec!N29=0,0,11630*1000*SER_hh_fec!N29/SER_hh_num!N29)</f>
        <v>19605.803938935282</v>
      </c>
      <c r="O29" s="130">
        <f>IF(SER_hh_fec!O29=0,0,11630*1000*SER_hh_fec!O29/SER_hh_num!O29)</f>
        <v>19520.674536551229</v>
      </c>
      <c r="P29" s="130">
        <f>IF(SER_hh_fec!P29=0,0,11630*1000*SER_hh_fec!P29/SER_hh_num!P29)</f>
        <v>20165.353923510087</v>
      </c>
      <c r="Q29" s="130">
        <f>IF(SER_hh_fec!Q29=0,0,11630*1000*SER_hh_fec!Q29/SER_hh_num!Q29)</f>
        <v>21366.248272845711</v>
      </c>
      <c r="R29" s="130">
        <f>IF(SER_hh_fec!R29=0,0,11630*1000*SER_hh_fec!R29/SER_hh_num!R29)</f>
        <v>21948.104222698177</v>
      </c>
      <c r="S29" s="130">
        <f>IF(SER_hh_fec!S29=0,0,11630*1000*SER_hh_fec!S29/SER_hh_num!S29)</f>
        <v>22129.984266776242</v>
      </c>
      <c r="T29" s="130">
        <f>IF(SER_hh_fec!T29=0,0,11630*1000*SER_hh_fec!T29/SER_hh_num!T29)</f>
        <v>22299.120533966798</v>
      </c>
      <c r="U29" s="130">
        <f>IF(SER_hh_fec!U29=0,0,11630*1000*SER_hh_fec!U29/SER_hh_num!U29)</f>
        <v>22842.421434025542</v>
      </c>
      <c r="V29" s="130">
        <f>IF(SER_hh_fec!V29=0,0,11630*1000*SER_hh_fec!V29/SER_hh_num!V29)</f>
        <v>21129.491649873125</v>
      </c>
      <c r="W29" s="130">
        <f>IF(SER_hh_fec!W29=0,0,11630*1000*SER_hh_fec!W29/SER_hh_num!W29)</f>
        <v>20604.915352966422</v>
      </c>
      <c r="X29" s="130">
        <f>IF(SER_hh_fec!X29=0,0,11630*1000*SER_hh_fec!X29/SER_hh_num!X29)</f>
        <v>20893.061770805027</v>
      </c>
      <c r="Y29" s="130">
        <f>IF(SER_hh_fec!Y29=0,0,11630*1000*SER_hh_fec!Y29/SER_hh_num!Y29)</f>
        <v>19716.154788938482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27283.177181766132</v>
      </c>
      <c r="C30" s="132">
        <f>IF(SER_hh_fec!C30=0,0,11630*1000*SER_hh_fec!C30/SER_hh_num!C30)</f>
        <v>30296.20068643479</v>
      </c>
      <c r="D30" s="132">
        <f>IF(SER_hh_fec!D30=0,0,11630*1000*SER_hh_fec!D30/SER_hh_num!D30)</f>
        <v>21253.27452019394</v>
      </c>
      <c r="E30" s="132">
        <f>IF(SER_hh_fec!E30=0,0,11630*1000*SER_hh_fec!E30/SER_hh_num!E30)</f>
        <v>17683.179759210791</v>
      </c>
      <c r="F30" s="132">
        <f>IF(SER_hh_fec!F30=0,0,11630*1000*SER_hh_fec!F30/SER_hh_num!F30)</f>
        <v>26225.237591695779</v>
      </c>
      <c r="G30" s="132">
        <f>IF(SER_hh_fec!G30=0,0,11630*1000*SER_hh_fec!G30/SER_hh_num!G30)</f>
        <v>22449.870336115371</v>
      </c>
      <c r="H30" s="132">
        <f>IF(SER_hh_fec!H30=0,0,11630*1000*SER_hh_fec!H30/SER_hh_num!H30)</f>
        <v>15292.920336276555</v>
      </c>
      <c r="I30" s="132">
        <f>IF(SER_hh_fec!I30=0,0,11630*1000*SER_hh_fec!I30/SER_hh_num!I30)</f>
        <v>32426.556483497519</v>
      </c>
      <c r="J30" s="132">
        <f>IF(SER_hh_fec!J30=0,0,11630*1000*SER_hh_fec!J30/SER_hh_num!J30)</f>
        <v>19708.613873903621</v>
      </c>
      <c r="K30" s="132">
        <f>IF(SER_hh_fec!K30=0,0,11630*1000*SER_hh_fec!K30/SER_hh_num!K30)</f>
        <v>21878.253230412054</v>
      </c>
      <c r="L30" s="132">
        <f>IF(SER_hh_fec!L30=0,0,11630*1000*SER_hh_fec!L30/SER_hh_num!L30)</f>
        <v>29761.349130904844</v>
      </c>
      <c r="M30" s="132">
        <f>IF(SER_hh_fec!M30=0,0,11630*1000*SER_hh_fec!M30/SER_hh_num!M30)</f>
        <v>14271.068004140134</v>
      </c>
      <c r="N30" s="132">
        <f>IF(SER_hh_fec!N30=0,0,11630*1000*SER_hh_fec!N30/SER_hh_num!N30)</f>
        <v>27867.348449835765</v>
      </c>
      <c r="O30" s="132">
        <f>IF(SER_hh_fec!O30=0,0,11630*1000*SER_hh_fec!O30/SER_hh_num!O30)</f>
        <v>22733.682080088391</v>
      </c>
      <c r="P30" s="132">
        <f>IF(SER_hh_fec!P30=0,0,11630*1000*SER_hh_fec!P30/SER_hh_num!P30)</f>
        <v>23982.867599455181</v>
      </c>
      <c r="Q30" s="132">
        <f>IF(SER_hh_fec!Q30=0,0,11630*1000*SER_hh_fec!Q30/SER_hh_num!Q30)</f>
        <v>27732.241033146067</v>
      </c>
      <c r="R30" s="132">
        <f>IF(SER_hh_fec!R30=0,0,11630*1000*SER_hh_fec!R30/SER_hh_num!R30)</f>
        <v>23834.384813890341</v>
      </c>
      <c r="S30" s="132">
        <f>IF(SER_hh_fec!S30=0,0,11630*1000*SER_hh_fec!S30/SER_hh_num!S30)</f>
        <v>24933.118638321303</v>
      </c>
      <c r="T30" s="132">
        <f>IF(SER_hh_fec!T30=0,0,11630*1000*SER_hh_fec!T30/SER_hh_num!T30)</f>
        <v>27956.760099827658</v>
      </c>
      <c r="U30" s="132">
        <f>IF(SER_hh_fec!U30=0,0,11630*1000*SER_hh_fec!U30/SER_hh_num!U30)</f>
        <v>32534.236646403024</v>
      </c>
      <c r="V30" s="132">
        <f>IF(SER_hh_fec!V30=0,0,11630*1000*SER_hh_fec!V30/SER_hh_num!V30)</f>
        <v>27996.805529126756</v>
      </c>
      <c r="W30" s="132">
        <f>IF(SER_hh_fec!W30=0,0,11630*1000*SER_hh_fec!W30/SER_hh_num!W30)</f>
        <v>23716.270225929096</v>
      </c>
      <c r="X30" s="132">
        <f>IF(SER_hh_fec!X30=0,0,11630*1000*SER_hh_fec!X30/SER_hh_num!X30)</f>
        <v>30865.78634025652</v>
      </c>
      <c r="Y30" s="132">
        <f>IF(SER_hh_fec!Y30=0,0,11630*1000*SER_hh_fec!Y30/SER_hh_num!Y30)</f>
        <v>21156.680367030869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3501.0990935130822</v>
      </c>
      <c r="C31" s="132">
        <f>IF(SER_hh_fec!C31=0,0,11630*1000*SER_hh_fec!C31/SER_hh_num!C31)</f>
        <v>33750.384607846296</v>
      </c>
      <c r="D31" s="132">
        <f>IF(SER_hh_fec!D31=0,0,11630*1000*SER_hh_fec!D31/SER_hh_num!D31)</f>
        <v>30736.340820576937</v>
      </c>
      <c r="E31" s="132">
        <f>IF(SER_hh_fec!E31=0,0,11630*1000*SER_hh_fec!E31/SER_hh_num!E31)</f>
        <v>25462.723174735289</v>
      </c>
      <c r="F31" s="132">
        <f>IF(SER_hh_fec!F31=0,0,11630*1000*SER_hh_fec!F31/SER_hh_num!F31)</f>
        <v>27524.447390092009</v>
      </c>
      <c r="G31" s="132">
        <f>IF(SER_hh_fec!G31=0,0,11630*1000*SER_hh_fec!G31/SER_hh_num!G31)</f>
        <v>24694.606017128393</v>
      </c>
      <c r="H31" s="132">
        <f>IF(SER_hh_fec!H31=0,0,11630*1000*SER_hh_fec!H31/SER_hh_num!H31)</f>
        <v>17508.361732970043</v>
      </c>
      <c r="I31" s="132">
        <f>IF(SER_hh_fec!I31=0,0,11630*1000*SER_hh_fec!I31/SER_hh_num!I31)</f>
        <v>17964.899536895708</v>
      </c>
      <c r="J31" s="132">
        <f>IF(SER_hh_fec!J31=0,0,11630*1000*SER_hh_fec!J31/SER_hh_num!J31)</f>
        <v>9294.4242165005362</v>
      </c>
      <c r="K31" s="132">
        <f>IF(SER_hh_fec!K31=0,0,11630*1000*SER_hh_fec!K31/SER_hh_num!K31)</f>
        <v>26322.722574144143</v>
      </c>
      <c r="L31" s="132">
        <f>IF(SER_hh_fec!L31=0,0,11630*1000*SER_hh_fec!L31/SER_hh_num!L31)</f>
        <v>23759.547474898794</v>
      </c>
      <c r="M31" s="132">
        <f>IF(SER_hh_fec!M31=0,0,11630*1000*SER_hh_fec!M31/SER_hh_num!M31)</f>
        <v>22557.954644998033</v>
      </c>
      <c r="N31" s="132">
        <f>IF(SER_hh_fec!N31=0,0,11630*1000*SER_hh_fec!N31/SER_hh_num!N31)</f>
        <v>18796.588173900429</v>
      </c>
      <c r="O31" s="132">
        <f>IF(SER_hh_fec!O31=0,0,11630*1000*SER_hh_fec!O31/SER_hh_num!O31)</f>
        <v>21682.434406487591</v>
      </c>
      <c r="P31" s="132">
        <f>IF(SER_hh_fec!P31=0,0,11630*1000*SER_hh_fec!P31/SER_hh_num!P31)</f>
        <v>26407.99198328943</v>
      </c>
      <c r="Q31" s="132">
        <f>IF(SER_hh_fec!Q31=0,0,11630*1000*SER_hh_fec!Q31/SER_hh_num!Q31)</f>
        <v>26278.629583604517</v>
      </c>
      <c r="R31" s="132">
        <f>IF(SER_hh_fec!R31=0,0,11630*1000*SER_hh_fec!R31/SER_hh_num!R31)</f>
        <v>33972.956281024191</v>
      </c>
      <c r="S31" s="132">
        <f>IF(SER_hh_fec!S31=0,0,11630*1000*SER_hh_fec!S31/SER_hh_num!S31)</f>
        <v>28741.751118261756</v>
      </c>
      <c r="T31" s="132">
        <f>IF(SER_hh_fec!T31=0,0,11630*1000*SER_hh_fec!T31/SER_hh_num!T31)</f>
        <v>20433.57963298235</v>
      </c>
      <c r="U31" s="132">
        <f>IF(SER_hh_fec!U31=0,0,11630*1000*SER_hh_fec!U31/SER_hh_num!U31)</f>
        <v>27620.641576622518</v>
      </c>
      <c r="V31" s="132">
        <f>IF(SER_hh_fec!V31=0,0,11630*1000*SER_hh_fec!V31/SER_hh_num!V31)</f>
        <v>26724.017857360082</v>
      </c>
      <c r="W31" s="132">
        <f>IF(SER_hh_fec!W31=0,0,11630*1000*SER_hh_fec!W31/SER_hh_num!W31)</f>
        <v>23932.988251196206</v>
      </c>
      <c r="X31" s="132">
        <f>IF(SER_hh_fec!X31=0,0,11630*1000*SER_hh_fec!X31/SER_hh_num!X31)</f>
        <v>27961.793119661234</v>
      </c>
      <c r="Y31" s="132">
        <f>IF(SER_hh_fec!Y31=0,0,11630*1000*SER_hh_fec!Y31/SER_hh_num!Y31)</f>
        <v>26206.231631406899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21025.8316644363</v>
      </c>
      <c r="C33" s="68">
        <f>IF(SER_hh_fec!C33=0,0,11630*1000*SER_hh_fec!C33/SER_hh_num!C33)</f>
        <v>15523.748040644143</v>
      </c>
      <c r="D33" s="68">
        <f>IF(SER_hh_fec!D33=0,0,11630*1000*SER_hh_fec!D33/SER_hh_num!D33)</f>
        <v>21308.705279417682</v>
      </c>
      <c r="E33" s="68">
        <f>IF(SER_hh_fec!E33=0,0,11630*1000*SER_hh_fec!E33/SER_hh_num!E33)</f>
        <v>20998.657942622252</v>
      </c>
      <c r="F33" s="68">
        <f>IF(SER_hh_fec!F33=0,0,11630*1000*SER_hh_fec!F33/SER_hh_num!F33)</f>
        <v>18048.679675781139</v>
      </c>
      <c r="G33" s="68">
        <f>IF(SER_hh_fec!G33=0,0,11630*1000*SER_hh_fec!G33/SER_hh_num!G33)</f>
        <v>18578.405588794583</v>
      </c>
      <c r="H33" s="68">
        <f>IF(SER_hh_fec!H33=0,0,11630*1000*SER_hh_fec!H33/SER_hh_num!H33)</f>
        <v>19915.769564308914</v>
      </c>
      <c r="I33" s="68">
        <f>IF(SER_hh_fec!I33=0,0,11630*1000*SER_hh_fec!I33/SER_hh_num!I33)</f>
        <v>15014.81387293859</v>
      </c>
      <c r="J33" s="68">
        <f>IF(SER_hh_fec!J33=0,0,11630*1000*SER_hh_fec!J33/SER_hh_num!J33)</f>
        <v>17996.634890139929</v>
      </c>
      <c r="K33" s="68">
        <f>IF(SER_hh_fec!K33=0,0,11630*1000*SER_hh_fec!K33/SER_hh_num!K33)</f>
        <v>16959.461110708271</v>
      </c>
      <c r="L33" s="68">
        <f>IF(SER_hh_fec!L33=0,0,11630*1000*SER_hh_fec!L33/SER_hh_num!L33)</f>
        <v>15172.501623478818</v>
      </c>
      <c r="M33" s="68">
        <f>IF(SER_hh_fec!M33=0,0,11630*1000*SER_hh_fec!M33/SER_hh_num!M33)</f>
        <v>19255.024040435146</v>
      </c>
      <c r="N33" s="68">
        <f>IF(SER_hh_fec!N33=0,0,11630*1000*SER_hh_fec!N33/SER_hh_num!N33)</f>
        <v>17420.453487082745</v>
      </c>
      <c r="O33" s="68">
        <f>IF(SER_hh_fec!O33=0,0,11630*1000*SER_hh_fec!O33/SER_hh_num!O33)</f>
        <v>18498.104916547542</v>
      </c>
      <c r="P33" s="68">
        <f>IF(SER_hh_fec!P33=0,0,11630*1000*SER_hh_fec!P33/SER_hh_num!P33)</f>
        <v>18240.989911327702</v>
      </c>
      <c r="Q33" s="68">
        <f>IF(SER_hh_fec!Q33=0,0,11630*1000*SER_hh_fec!Q33/SER_hh_num!Q33)</f>
        <v>18906.090242251288</v>
      </c>
      <c r="R33" s="68">
        <f>IF(SER_hh_fec!R33=0,0,11630*1000*SER_hh_fec!R33/SER_hh_num!R33)</f>
        <v>19300.760098896142</v>
      </c>
      <c r="S33" s="68">
        <f>IF(SER_hh_fec!S33=0,0,11630*1000*SER_hh_fec!S33/SER_hh_num!S33)</f>
        <v>20311.521078144197</v>
      </c>
      <c r="T33" s="68">
        <f>IF(SER_hh_fec!T33=0,0,11630*1000*SER_hh_fec!T33/SER_hh_num!T33)</f>
        <v>20807.816996034453</v>
      </c>
      <c r="U33" s="68">
        <f>IF(SER_hh_fec!U33=0,0,11630*1000*SER_hh_fec!U33/SER_hh_num!U33)</f>
        <v>19181.694017410766</v>
      </c>
      <c r="V33" s="68">
        <f>IF(SER_hh_fec!V33=0,0,11630*1000*SER_hh_fec!V33/SER_hh_num!V33)</f>
        <v>18468.923954593578</v>
      </c>
      <c r="W33" s="68">
        <f>IF(SER_hh_fec!W33=0,0,11630*1000*SER_hh_fec!W33/SER_hh_num!W33)</f>
        <v>19537.420771341509</v>
      </c>
      <c r="X33" s="68">
        <f>IF(SER_hh_fec!X33=0,0,11630*1000*SER_hh_fec!X33/SER_hh_num!X33)</f>
        <v>18205.908208156241</v>
      </c>
      <c r="Y33" s="68">
        <f>IF(SER_hh_fec!Y33=0,0,11630*1000*SER_hh_fec!Y33/SER_hh_num!Y33)</f>
        <v>18991.630593431932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168269.96789841764</v>
      </c>
      <c r="C3" s="125">
        <f>IF(SER_hh_tes!C3=0,0,11630*1000*SER_hh_tes!C3/SER_hh_num!C3)</f>
        <v>215512.59336532425</v>
      </c>
      <c r="D3" s="125">
        <f>IF(SER_hh_tes!D3=0,0,11630*1000*SER_hh_tes!D3/SER_hh_num!D3)</f>
        <v>207413.13105477131</v>
      </c>
      <c r="E3" s="125">
        <f>IF(SER_hh_tes!E3=0,0,11630*1000*SER_hh_tes!E3/SER_hh_num!E3)</f>
        <v>134108.30905916198</v>
      </c>
      <c r="F3" s="125">
        <f>IF(SER_hh_tes!F3=0,0,11630*1000*SER_hh_tes!F3/SER_hh_num!F3)</f>
        <v>142106.39641893617</v>
      </c>
      <c r="G3" s="125">
        <f>IF(SER_hh_tes!G3=0,0,11630*1000*SER_hh_tes!G3/SER_hh_num!G3)</f>
        <v>116702.77059685814</v>
      </c>
      <c r="H3" s="125">
        <f>IF(SER_hh_tes!H3=0,0,11630*1000*SER_hh_tes!H3/SER_hh_num!H3)</f>
        <v>102258.36478543788</v>
      </c>
      <c r="I3" s="125">
        <f>IF(SER_hh_tes!I3=0,0,11630*1000*SER_hh_tes!I3/SER_hh_num!I3)</f>
        <v>81821.46078556453</v>
      </c>
      <c r="J3" s="125">
        <f>IF(SER_hh_tes!J3=0,0,11630*1000*SER_hh_tes!J3/SER_hh_num!J3)</f>
        <v>109176.72528665913</v>
      </c>
      <c r="K3" s="125">
        <f>IF(SER_hh_tes!K3=0,0,11630*1000*SER_hh_tes!K3/SER_hh_num!K3)</f>
        <v>107930.18704094259</v>
      </c>
      <c r="L3" s="125">
        <f>IF(SER_hh_tes!L3=0,0,11630*1000*SER_hh_tes!L3/SER_hh_num!L3)</f>
        <v>121191.2570198368</v>
      </c>
      <c r="M3" s="125">
        <f>IF(SER_hh_tes!M3=0,0,11630*1000*SER_hh_tes!M3/SER_hh_num!M3)</f>
        <v>120600.39425949146</v>
      </c>
      <c r="N3" s="125">
        <f>IF(SER_hh_tes!N3=0,0,11630*1000*SER_hh_tes!N3/SER_hh_num!N3)</f>
        <v>104246.45857002219</v>
      </c>
      <c r="O3" s="125">
        <f>IF(SER_hh_tes!O3=0,0,11630*1000*SER_hh_tes!O3/SER_hh_num!O3)</f>
        <v>108236.63945474425</v>
      </c>
      <c r="P3" s="125">
        <f>IF(SER_hh_tes!P3=0,0,11630*1000*SER_hh_tes!P3/SER_hh_num!P3)</f>
        <v>94566.033338981142</v>
      </c>
      <c r="Q3" s="125">
        <f>IF(SER_hh_tes!Q3=0,0,11630*1000*SER_hh_tes!Q3/SER_hh_num!Q3)</f>
        <v>102633.23834251393</v>
      </c>
      <c r="R3" s="125">
        <f>IF(SER_hh_tes!R3=0,0,11630*1000*SER_hh_tes!R3/SER_hh_num!R3)</f>
        <v>109954.18573393657</v>
      </c>
      <c r="S3" s="125">
        <f>IF(SER_hh_tes!S3=0,0,11630*1000*SER_hh_tes!S3/SER_hh_num!S3)</f>
        <v>111425.90793980582</v>
      </c>
      <c r="T3" s="125">
        <f>IF(SER_hh_tes!T3=0,0,11630*1000*SER_hh_tes!T3/SER_hh_num!T3)</f>
        <v>111224.89654178025</v>
      </c>
      <c r="U3" s="125">
        <f>IF(SER_hh_tes!U3=0,0,11630*1000*SER_hh_tes!U3/SER_hh_num!U3)</f>
        <v>107065.42555099905</v>
      </c>
      <c r="V3" s="125">
        <f>IF(SER_hh_tes!V3=0,0,11630*1000*SER_hh_tes!V3/SER_hh_num!V3)</f>
        <v>97642.709786969397</v>
      </c>
      <c r="W3" s="125">
        <f>IF(SER_hh_tes!W3=0,0,11630*1000*SER_hh_tes!W3/SER_hh_num!W3)</f>
        <v>98913.009898464603</v>
      </c>
      <c r="X3" s="125">
        <f>IF(SER_hh_tes!X3=0,0,11630*1000*SER_hh_tes!X3/SER_hh_num!X3)</f>
        <v>114603.91376539726</v>
      </c>
      <c r="Y3" s="125">
        <f>IF(SER_hh_tes!Y3=0,0,11630*1000*SER_hh_tes!Y3/SER_hh_num!Y3)</f>
        <v>117615.72511593663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136577.16477771287</v>
      </c>
      <c r="C4" s="130">
        <f>IF(SER_hh_tes!C4=0,0,11630*1000*SER_hh_tes!C4/SER_hh_num!C4)</f>
        <v>183292.35439896301</v>
      </c>
      <c r="D4" s="130">
        <f>IF(SER_hh_tes!D4=0,0,11630*1000*SER_hh_tes!D4/SER_hh_num!D4)</f>
        <v>175373.03787519841</v>
      </c>
      <c r="E4" s="130">
        <f>IF(SER_hh_tes!E4=0,0,11630*1000*SER_hh_tes!E4/SER_hh_num!E4)</f>
        <v>101559.72497434272</v>
      </c>
      <c r="F4" s="130">
        <f>IF(SER_hh_tes!F4=0,0,11630*1000*SER_hh_tes!F4/SER_hh_num!F4)</f>
        <v>110953.45181339174</v>
      </c>
      <c r="G4" s="130">
        <f>IF(SER_hh_tes!G4=0,0,11630*1000*SER_hh_tes!G4/SER_hh_num!G4)</f>
        <v>85601.986961330782</v>
      </c>
      <c r="H4" s="130">
        <f>IF(SER_hh_tes!H4=0,0,11630*1000*SER_hh_tes!H4/SER_hh_num!H4)</f>
        <v>70956.27578859833</v>
      </c>
      <c r="I4" s="130">
        <f>IF(SER_hh_tes!I4=0,0,11630*1000*SER_hh_tes!I4/SER_hh_num!I4)</f>
        <v>51060.68911419659</v>
      </c>
      <c r="J4" s="130">
        <f>IF(SER_hh_tes!J4=0,0,11630*1000*SER_hh_tes!J4/SER_hh_num!J4)</f>
        <v>78517.524390618404</v>
      </c>
      <c r="K4" s="130">
        <f>IF(SER_hh_tes!K4=0,0,11630*1000*SER_hh_tes!K4/SER_hh_num!K4)</f>
        <v>76635.72762207943</v>
      </c>
      <c r="L4" s="130">
        <f>IF(SER_hh_tes!L4=0,0,11630*1000*SER_hh_tes!L4/SER_hh_num!L4)</f>
        <v>88924.341327146729</v>
      </c>
      <c r="M4" s="130">
        <f>IF(SER_hh_tes!M4=0,0,11630*1000*SER_hh_tes!M4/SER_hh_num!M4)</f>
        <v>87691.929470429051</v>
      </c>
      <c r="N4" s="130">
        <f>IF(SER_hh_tes!N4=0,0,11630*1000*SER_hh_tes!N4/SER_hh_num!N4)</f>
        <v>69581.093870606783</v>
      </c>
      <c r="O4" s="130">
        <f>IF(SER_hh_tes!O4=0,0,11630*1000*SER_hh_tes!O4/SER_hh_num!O4)</f>
        <v>72540.627444702666</v>
      </c>
      <c r="P4" s="130">
        <f>IF(SER_hh_tes!P4=0,0,11630*1000*SER_hh_tes!P4/SER_hh_num!P4)</f>
        <v>59593.793588139488</v>
      </c>
      <c r="Q4" s="130">
        <f>IF(SER_hh_tes!Q4=0,0,11630*1000*SER_hh_tes!Q4/SER_hh_num!Q4)</f>
        <v>64613.643403548725</v>
      </c>
      <c r="R4" s="130">
        <f>IF(SER_hh_tes!R4=0,0,11630*1000*SER_hh_tes!R4/SER_hh_num!R4)</f>
        <v>72588.071507222543</v>
      </c>
      <c r="S4" s="130">
        <f>IF(SER_hh_tes!S4=0,0,11630*1000*SER_hh_tes!S4/SER_hh_num!S4)</f>
        <v>72151.621918266464</v>
      </c>
      <c r="T4" s="130">
        <f>IF(SER_hh_tes!T4=0,0,11630*1000*SER_hh_tes!T4/SER_hh_num!T4)</f>
        <v>72837.049316599587</v>
      </c>
      <c r="U4" s="130">
        <f>IF(SER_hh_tes!U4=0,0,11630*1000*SER_hh_tes!U4/SER_hh_num!U4)</f>
        <v>67702.682065899324</v>
      </c>
      <c r="V4" s="130">
        <f>IF(SER_hh_tes!V4=0,0,11630*1000*SER_hh_tes!V4/SER_hh_num!V4)</f>
        <v>60589.68783635179</v>
      </c>
      <c r="W4" s="130">
        <f>IF(SER_hh_tes!W4=0,0,11630*1000*SER_hh_tes!W4/SER_hh_num!W4)</f>
        <v>60606.162000175318</v>
      </c>
      <c r="X4" s="130">
        <f>IF(SER_hh_tes!X4=0,0,11630*1000*SER_hh_tes!X4/SER_hh_num!X4)</f>
        <v>75200.035623621268</v>
      </c>
      <c r="Y4" s="130">
        <f>IF(SER_hh_tes!Y4=0,0,11630*1000*SER_hh_tes!Y4/SER_hh_num!Y4)</f>
        <v>78478.280050945643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130598.50186839141</v>
      </c>
      <c r="C7" s="132">
        <f>IF(SER_hh_tes!C7=0,0,11630*1000*SER_hh_tes!C7/SER_hh_num!C7)</f>
        <v>193373.68597667228</v>
      </c>
      <c r="D7" s="132">
        <f>IF(SER_hh_tes!D7=0,0,11630*1000*SER_hh_tes!D7/SER_hh_num!D7)</f>
        <v>154020.17485663015</v>
      </c>
      <c r="E7" s="132">
        <f>IF(SER_hh_tes!E7=0,0,11630*1000*SER_hh_tes!E7/SER_hh_num!E7)</f>
        <v>106758.11810818646</v>
      </c>
      <c r="F7" s="132">
        <f>IF(SER_hh_tes!F7=0,0,11630*1000*SER_hh_tes!F7/SER_hh_num!F7)</f>
        <v>101575.33196622708</v>
      </c>
      <c r="G7" s="132">
        <f>IF(SER_hh_tes!G7=0,0,11630*1000*SER_hh_tes!G7/SER_hh_num!G7)</f>
        <v>91545.279358660802</v>
      </c>
      <c r="H7" s="132">
        <f>IF(SER_hh_tes!H7=0,0,11630*1000*SER_hh_tes!H7/SER_hh_num!H7)</f>
        <v>73759.19599608409</v>
      </c>
      <c r="I7" s="132">
        <f>IF(SER_hh_tes!I7=0,0,11630*1000*SER_hh_tes!I7/SER_hh_num!I7)</f>
        <v>43919.378447662406</v>
      </c>
      <c r="J7" s="132">
        <f>IF(SER_hh_tes!J7=0,0,11630*1000*SER_hh_tes!J7/SER_hh_num!J7)</f>
        <v>79422.964589175943</v>
      </c>
      <c r="K7" s="132">
        <f>IF(SER_hh_tes!K7=0,0,11630*1000*SER_hh_tes!K7/SER_hh_num!K7)</f>
        <v>75468.256522997835</v>
      </c>
      <c r="L7" s="132">
        <f>IF(SER_hh_tes!L7=0,0,11630*1000*SER_hh_tes!L7/SER_hh_num!L7)</f>
        <v>89896.959140048755</v>
      </c>
      <c r="M7" s="132">
        <f>IF(SER_hh_tes!M7=0,0,11630*1000*SER_hh_tes!M7/SER_hh_num!M7)</f>
        <v>82712.480278309318</v>
      </c>
      <c r="N7" s="132">
        <f>IF(SER_hh_tes!N7=0,0,11630*1000*SER_hh_tes!N7/SER_hh_num!N7)</f>
        <v>67593.289115234118</v>
      </c>
      <c r="O7" s="132">
        <f>IF(SER_hh_tes!O7=0,0,11630*1000*SER_hh_tes!O7/SER_hh_num!O7)</f>
        <v>70287.770189436385</v>
      </c>
      <c r="P7" s="132">
        <f>IF(SER_hh_tes!P7=0,0,11630*1000*SER_hh_tes!P7/SER_hh_num!P7)</f>
        <v>54562.570447296654</v>
      </c>
      <c r="Q7" s="132">
        <f>IF(SER_hh_tes!Q7=0,0,11630*1000*SER_hh_tes!Q7/SER_hh_num!Q7)</f>
        <v>62837.186968167342</v>
      </c>
      <c r="R7" s="132">
        <f>IF(SER_hh_tes!R7=0,0,11630*1000*SER_hh_tes!R7/SER_hh_num!R7)</f>
        <v>77229.070675448602</v>
      </c>
      <c r="S7" s="132">
        <f>IF(SER_hh_tes!S7=0,0,11630*1000*SER_hh_tes!S7/SER_hh_num!S7)</f>
        <v>63640.384707524339</v>
      </c>
      <c r="T7" s="132">
        <f>IF(SER_hh_tes!T7=0,0,11630*1000*SER_hh_tes!T7/SER_hh_num!T7)</f>
        <v>71786.985430045417</v>
      </c>
      <c r="U7" s="132">
        <f>IF(SER_hh_tes!U7=0,0,11630*1000*SER_hh_tes!U7/SER_hh_num!U7)</f>
        <v>63136.939546296751</v>
      </c>
      <c r="V7" s="132">
        <f>IF(SER_hh_tes!V7=0,0,11630*1000*SER_hh_tes!V7/SER_hh_num!V7)</f>
        <v>76227.691552727862</v>
      </c>
      <c r="W7" s="132">
        <f>IF(SER_hh_tes!W7=0,0,11630*1000*SER_hh_tes!W7/SER_hh_num!W7)</f>
        <v>52940.297741079426</v>
      </c>
      <c r="X7" s="132">
        <f>IF(SER_hh_tes!X7=0,0,11630*1000*SER_hh_tes!X7/SER_hh_num!X7)</f>
        <v>60979.880065875106</v>
      </c>
      <c r="Y7" s="132">
        <f>IF(SER_hh_tes!Y7=0,0,11630*1000*SER_hh_tes!Y7/SER_hh_num!Y7)</f>
        <v>86199.747843243487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78114.256443220089</v>
      </c>
      <c r="C9" s="132">
        <f>IF(SER_hh_tes!C9=0,0,11630*1000*SER_hh_tes!C9/SER_hh_num!C9)</f>
        <v>204081.45217242415</v>
      </c>
      <c r="D9" s="132">
        <f>IF(SER_hh_tes!D9=0,0,11630*1000*SER_hh_tes!D9/SER_hh_num!D9)</f>
        <v>200901.51110287246</v>
      </c>
      <c r="E9" s="132">
        <f>IF(SER_hh_tes!E9=0,0,11630*1000*SER_hh_tes!E9/SER_hh_num!E9)</f>
        <v>96667.787779062128</v>
      </c>
      <c r="F9" s="132">
        <f>IF(SER_hh_tes!F9=0,0,11630*1000*SER_hh_tes!F9/SER_hh_num!F9)</f>
        <v>133038.30147343854</v>
      </c>
      <c r="G9" s="132">
        <f>IF(SER_hh_tes!G9=0,0,11630*1000*SER_hh_tes!G9/SER_hh_num!G9)</f>
        <v>73085.248943340965</v>
      </c>
      <c r="H9" s="132">
        <f>IF(SER_hh_tes!H9=0,0,11630*1000*SER_hh_tes!H9/SER_hh_num!H9)</f>
        <v>53531.094325407816</v>
      </c>
      <c r="I9" s="132">
        <f>IF(SER_hh_tes!I9=0,0,11630*1000*SER_hh_tes!I9/SER_hh_num!I9)</f>
        <v>53508.277724473723</v>
      </c>
      <c r="J9" s="132">
        <f>IF(SER_hh_tes!J9=0,0,11630*1000*SER_hh_tes!J9/SER_hh_num!J9)</f>
        <v>61952.270324517434</v>
      </c>
      <c r="K9" s="132">
        <f>IF(SER_hh_tes!K9=0,0,11630*1000*SER_hh_tes!K9/SER_hh_num!K9)</f>
        <v>68510.738914633024</v>
      </c>
      <c r="L9" s="132">
        <f>IF(SER_hh_tes!L9=0,0,11630*1000*SER_hh_tes!L9/SER_hh_num!L9)</f>
        <v>83230.997654178602</v>
      </c>
      <c r="M9" s="132">
        <f>IF(SER_hh_tes!M9=0,0,11630*1000*SER_hh_tes!M9/SER_hh_num!M9)</f>
        <v>119492.87420097606</v>
      </c>
      <c r="N9" s="132">
        <f>IF(SER_hh_tes!N9=0,0,11630*1000*SER_hh_tes!N9/SER_hh_num!N9)</f>
        <v>33877.249427263741</v>
      </c>
      <c r="O9" s="132">
        <f>IF(SER_hh_tes!O9=0,0,11630*1000*SER_hh_tes!O9/SER_hh_num!O9)</f>
        <v>69439.28672516295</v>
      </c>
      <c r="P9" s="132">
        <f>IF(SER_hh_tes!P9=0,0,11630*1000*SER_hh_tes!P9/SER_hh_num!P9)</f>
        <v>58178.401595472926</v>
      </c>
      <c r="Q9" s="132">
        <f>IF(SER_hh_tes!Q9=0,0,11630*1000*SER_hh_tes!Q9/SER_hh_num!Q9)</f>
        <v>70152.415355368852</v>
      </c>
      <c r="R9" s="132">
        <f>IF(SER_hh_tes!R9=0,0,11630*1000*SER_hh_tes!R9/SER_hh_num!R9)</f>
        <v>87961.74854957046</v>
      </c>
      <c r="S9" s="132">
        <f>IF(SER_hh_tes!S9=0,0,11630*1000*SER_hh_tes!S9/SER_hh_num!S9)</f>
        <v>75219.231477017311</v>
      </c>
      <c r="T9" s="132">
        <f>IF(SER_hh_tes!T9=0,0,11630*1000*SER_hh_tes!T9/SER_hh_num!T9)</f>
        <v>52639.917301407142</v>
      </c>
      <c r="U9" s="132">
        <f>IF(SER_hh_tes!U9=0,0,11630*1000*SER_hh_tes!U9/SER_hh_num!U9)</f>
        <v>64099.582409480157</v>
      </c>
      <c r="V9" s="132">
        <f>IF(SER_hh_tes!V9=0,0,11630*1000*SER_hh_tes!V9/SER_hh_num!V9)</f>
        <v>54915.907207618831</v>
      </c>
      <c r="W9" s="132">
        <f>IF(SER_hh_tes!W9=0,0,11630*1000*SER_hh_tes!W9/SER_hh_num!W9)</f>
        <v>46325.514949287695</v>
      </c>
      <c r="X9" s="132">
        <f>IF(SER_hh_tes!X9=0,0,11630*1000*SER_hh_tes!X9/SER_hh_num!X9)</f>
        <v>91376.343953605814</v>
      </c>
      <c r="Y9" s="132">
        <f>IF(SER_hh_tes!Y9=0,0,11630*1000*SER_hh_tes!Y9/SER_hh_num!Y9)</f>
        <v>79609.69856572384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107647.34551105821</v>
      </c>
      <c r="C10" s="132">
        <f>IF(SER_hh_tes!C10=0,0,11630*1000*SER_hh_tes!C10/SER_hh_num!C10)</f>
        <v>194499.23534317428</v>
      </c>
      <c r="D10" s="132">
        <f>IF(SER_hh_tes!D10=0,0,11630*1000*SER_hh_tes!D10/SER_hh_num!D10)</f>
        <v>193723.54268731078</v>
      </c>
      <c r="E10" s="132">
        <f>IF(SER_hh_tes!E10=0,0,11630*1000*SER_hh_tes!E10/SER_hh_num!E10)</f>
        <v>84082.920562255022</v>
      </c>
      <c r="F10" s="132">
        <f>IF(SER_hh_tes!F10=0,0,11630*1000*SER_hh_tes!F10/SER_hh_num!F10)</f>
        <v>98849.362598236854</v>
      </c>
      <c r="G10" s="132">
        <f>IF(SER_hh_tes!G10=0,0,11630*1000*SER_hh_tes!G10/SER_hh_num!G10)</f>
        <v>147473.45894492339</v>
      </c>
      <c r="H10" s="132">
        <f>IF(SER_hh_tes!H10=0,0,11630*1000*SER_hh_tes!H10/SER_hh_num!H10)</f>
        <v>0</v>
      </c>
      <c r="I10" s="132">
        <f>IF(SER_hh_tes!I10=0,0,11630*1000*SER_hh_tes!I10/SER_hh_num!I10)</f>
        <v>0</v>
      </c>
      <c r="J10" s="132">
        <f>IF(SER_hh_tes!J10=0,0,11630*1000*SER_hh_tes!J10/SER_hh_num!J10)</f>
        <v>0</v>
      </c>
      <c r="K10" s="132">
        <f>IF(SER_hh_tes!K10=0,0,11630*1000*SER_hh_tes!K10/SER_hh_num!K10)</f>
        <v>0</v>
      </c>
      <c r="L10" s="132">
        <f>IF(SER_hh_tes!L10=0,0,11630*1000*SER_hh_tes!L10/SER_hh_num!L10)</f>
        <v>0</v>
      </c>
      <c r="M10" s="132">
        <f>IF(SER_hh_tes!M10=0,0,11630*1000*SER_hh_tes!M10/SER_hh_num!M10)</f>
        <v>0</v>
      </c>
      <c r="N10" s="132">
        <f>IF(SER_hh_tes!N10=0,0,11630*1000*SER_hh_tes!N10/SER_hh_num!N10)</f>
        <v>0</v>
      </c>
      <c r="O10" s="132">
        <f>IF(SER_hh_tes!O10=0,0,11630*1000*SER_hh_tes!O10/SER_hh_num!O10)</f>
        <v>0</v>
      </c>
      <c r="P10" s="132">
        <f>IF(SER_hh_tes!P10=0,0,11630*1000*SER_hh_tes!P10/SER_hh_num!P10)</f>
        <v>0</v>
      </c>
      <c r="Q10" s="132">
        <f>IF(SER_hh_tes!Q10=0,0,11630*1000*SER_hh_tes!Q10/SER_hh_num!Q10)</f>
        <v>0</v>
      </c>
      <c r="R10" s="132">
        <f>IF(SER_hh_tes!R10=0,0,11630*1000*SER_hh_tes!R10/SER_hh_num!R10)</f>
        <v>0</v>
      </c>
      <c r="S10" s="132">
        <f>IF(SER_hh_tes!S10=0,0,11630*1000*SER_hh_tes!S10/SER_hh_num!S10)</f>
        <v>0</v>
      </c>
      <c r="T10" s="132">
        <f>IF(SER_hh_tes!T10=0,0,11630*1000*SER_hh_tes!T10/SER_hh_num!T10)</f>
        <v>0</v>
      </c>
      <c r="U10" s="132">
        <f>IF(SER_hh_tes!U10=0,0,11630*1000*SER_hh_tes!U10/SER_hh_num!U10)</f>
        <v>0</v>
      </c>
      <c r="V10" s="132">
        <f>IF(SER_hh_tes!V10=0,0,11630*1000*SER_hh_tes!V10/SER_hh_num!V10)</f>
        <v>7.5771416199104419E-11</v>
      </c>
      <c r="W10" s="132">
        <f>IF(SER_hh_tes!W10=0,0,11630*1000*SER_hh_tes!W10/SER_hh_num!W10)</f>
        <v>0</v>
      </c>
      <c r="X10" s="132">
        <f>IF(SER_hh_tes!X10=0,0,11630*1000*SER_hh_tes!X10/SER_hh_num!X10)</f>
        <v>92260.755465654292</v>
      </c>
      <c r="Y10" s="132">
        <f>IF(SER_hh_tes!Y10=0,0,11630*1000*SER_hh_tes!Y10/SER_hh_num!Y10)</f>
        <v>83125.456330408386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127393.5873747505</v>
      </c>
      <c r="M11" s="132">
        <f>IF(SER_hh_tes!M11=0,0,11630*1000*SER_hh_tes!M11/SER_hh_num!M11)</f>
        <v>100854.12369419986</v>
      </c>
      <c r="N11" s="132">
        <f>IF(SER_hh_tes!N11=0,0,11630*1000*SER_hh_tes!N11/SER_hh_num!N11)</f>
        <v>66620.43915133219</v>
      </c>
      <c r="O11" s="132">
        <f>IF(SER_hh_tes!O11=0,0,11630*1000*SER_hh_tes!O11/SER_hh_num!O11)</f>
        <v>68775.873948567038</v>
      </c>
      <c r="P11" s="132">
        <f>IF(SER_hh_tes!P11=0,0,11630*1000*SER_hh_tes!P11/SER_hh_num!P11)</f>
        <v>69604.872774884236</v>
      </c>
      <c r="Q11" s="132">
        <f>IF(SER_hh_tes!Q11=0,0,11630*1000*SER_hh_tes!Q11/SER_hh_num!Q11)</f>
        <v>54299.941813918194</v>
      </c>
      <c r="R11" s="132">
        <f>IF(SER_hh_tes!R11=0,0,11630*1000*SER_hh_tes!R11/SER_hh_num!R11)</f>
        <v>58322.221457562613</v>
      </c>
      <c r="S11" s="132">
        <f>IF(SER_hh_tes!S11=0,0,11630*1000*SER_hh_tes!S11/SER_hh_num!S11)</f>
        <v>76609.791217246515</v>
      </c>
      <c r="T11" s="132">
        <f>IF(SER_hh_tes!T11=0,0,11630*1000*SER_hh_tes!T11/SER_hh_num!T11)</f>
        <v>71053.636391165317</v>
      </c>
      <c r="U11" s="132">
        <f>IF(SER_hh_tes!U11=0,0,11630*1000*SER_hh_tes!U11/SER_hh_num!U11)</f>
        <v>80638.885602333961</v>
      </c>
      <c r="V11" s="132">
        <f>IF(SER_hh_tes!V11=0,0,11630*1000*SER_hh_tes!V11/SER_hh_num!V11)</f>
        <v>57618.290861113062</v>
      </c>
      <c r="W11" s="132">
        <f>IF(SER_hh_tes!W11=0,0,11630*1000*SER_hh_tes!W11/SER_hh_num!W11)</f>
        <v>57935.993395337733</v>
      </c>
      <c r="X11" s="132">
        <f>IF(SER_hh_tes!X11=0,0,11630*1000*SER_hh_tes!X11/SER_hh_num!X11)</f>
        <v>74268.641400839551</v>
      </c>
      <c r="Y11" s="132">
        <f>IF(SER_hh_tes!Y11=0,0,11630*1000*SER_hh_tes!Y11/SER_hh_num!Y11)</f>
        <v>78906.157639450816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153661.30306225904</v>
      </c>
      <c r="C12" s="132">
        <f>IF(SER_hh_tes!C12=0,0,11630*1000*SER_hh_tes!C12/SER_hh_num!C12)</f>
        <v>161415.14067702333</v>
      </c>
      <c r="D12" s="132">
        <f>IF(SER_hh_tes!D12=0,0,11630*1000*SER_hh_tes!D12/SER_hh_num!D12)</f>
        <v>173317.49183649695</v>
      </c>
      <c r="E12" s="132">
        <f>IF(SER_hh_tes!E12=0,0,11630*1000*SER_hh_tes!E12/SER_hh_num!E12)</f>
        <v>94550.301742182986</v>
      </c>
      <c r="F12" s="132">
        <f>IF(SER_hh_tes!F12=0,0,11630*1000*SER_hh_tes!F12/SER_hh_num!F12)</f>
        <v>107590.27194323046</v>
      </c>
      <c r="G12" s="132">
        <f>IF(SER_hh_tes!G12=0,0,11630*1000*SER_hh_tes!G12/SER_hh_num!G12)</f>
        <v>73303.52616270681</v>
      </c>
      <c r="H12" s="132">
        <f>IF(SER_hh_tes!H12=0,0,11630*1000*SER_hh_tes!H12/SER_hh_num!H12)</f>
        <v>88909.367830010844</v>
      </c>
      <c r="I12" s="132">
        <f>IF(SER_hh_tes!I12=0,0,11630*1000*SER_hh_tes!I12/SER_hh_num!I12)</f>
        <v>51937.205507204642</v>
      </c>
      <c r="J12" s="132">
        <f>IF(SER_hh_tes!J12=0,0,11630*1000*SER_hh_tes!J12/SER_hh_num!J12)</f>
        <v>51487.866460592581</v>
      </c>
      <c r="K12" s="132">
        <f>IF(SER_hh_tes!K12=0,0,11630*1000*SER_hh_tes!K12/SER_hh_num!K12)</f>
        <v>77259.931192212083</v>
      </c>
      <c r="L12" s="132">
        <f>IF(SER_hh_tes!L12=0,0,11630*1000*SER_hh_tes!L12/SER_hh_num!L12)</f>
        <v>87402.875536316104</v>
      </c>
      <c r="M12" s="132">
        <f>IF(SER_hh_tes!M12=0,0,11630*1000*SER_hh_tes!M12/SER_hh_num!M12)</f>
        <v>83174.664880276454</v>
      </c>
      <c r="N12" s="132">
        <f>IF(SER_hh_tes!N12=0,0,11630*1000*SER_hh_tes!N12/SER_hh_num!N12)</f>
        <v>76011.939689231018</v>
      </c>
      <c r="O12" s="132">
        <f>IF(SER_hh_tes!O12=0,0,11630*1000*SER_hh_tes!O12/SER_hh_num!O12)</f>
        <v>77051.609734210899</v>
      </c>
      <c r="P12" s="132">
        <f>IF(SER_hh_tes!P12=0,0,11630*1000*SER_hh_tes!P12/SER_hh_num!P12)</f>
        <v>57561.631428790155</v>
      </c>
      <c r="Q12" s="132">
        <f>IF(SER_hh_tes!Q12=0,0,11630*1000*SER_hh_tes!Q12/SER_hh_num!Q12)</f>
        <v>66388.050655656538</v>
      </c>
      <c r="R12" s="132">
        <f>IF(SER_hh_tes!R12=0,0,11630*1000*SER_hh_tes!R12/SER_hh_num!R12)</f>
        <v>64438.886939217235</v>
      </c>
      <c r="S12" s="132">
        <f>IF(SER_hh_tes!S12=0,0,11630*1000*SER_hh_tes!S12/SER_hh_num!S12)</f>
        <v>74054.562279426857</v>
      </c>
      <c r="T12" s="132">
        <f>IF(SER_hh_tes!T12=0,0,11630*1000*SER_hh_tes!T12/SER_hh_num!T12)</f>
        <v>76156.786188816201</v>
      </c>
      <c r="U12" s="132">
        <f>IF(SER_hh_tes!U12=0,0,11630*1000*SER_hh_tes!U12/SER_hh_num!U12)</f>
        <v>62487.305364424588</v>
      </c>
      <c r="V12" s="132">
        <f>IF(SER_hh_tes!V12=0,0,11630*1000*SER_hh_tes!V12/SER_hh_num!V12)</f>
        <v>61759.871812167228</v>
      </c>
      <c r="W12" s="132">
        <f>IF(SER_hh_tes!W12=0,0,11630*1000*SER_hh_tes!W12/SER_hh_num!W12)</f>
        <v>73453.288419911711</v>
      </c>
      <c r="X12" s="132">
        <f>IF(SER_hh_tes!X12=0,0,11630*1000*SER_hh_tes!X12/SER_hh_num!X12)</f>
        <v>65452.61725782969</v>
      </c>
      <c r="Y12" s="132">
        <f>IF(SER_hh_tes!Y12=0,0,11630*1000*SER_hh_tes!Y12/SER_hh_num!Y12)</f>
        <v>75954.307959861442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0</v>
      </c>
      <c r="C13" s="132">
        <f>IF(SER_hh_tes!C13=0,0,11630*1000*SER_hh_tes!C13/SER_hh_num!C13)</f>
        <v>0</v>
      </c>
      <c r="D13" s="132">
        <f>IF(SER_hh_tes!D13=0,0,11630*1000*SER_hh_tes!D13/SER_hh_num!D13)</f>
        <v>0</v>
      </c>
      <c r="E13" s="132">
        <f>IF(SER_hh_tes!E13=0,0,11630*1000*SER_hh_tes!E13/SER_hh_num!E13)</f>
        <v>0</v>
      </c>
      <c r="F13" s="132">
        <f>IF(SER_hh_tes!F13=0,0,11630*1000*SER_hh_tes!F13/SER_hh_num!F13)</f>
        <v>0</v>
      </c>
      <c r="G13" s="132">
        <f>IF(SER_hh_tes!G13=0,0,11630*1000*SER_hh_tes!G13/SER_hh_num!G13)</f>
        <v>0</v>
      </c>
      <c r="H13" s="132">
        <f>IF(SER_hh_tes!H13=0,0,11630*1000*SER_hh_tes!H13/SER_hh_num!H13)</f>
        <v>0</v>
      </c>
      <c r="I13" s="132">
        <f>IF(SER_hh_tes!I13=0,0,11630*1000*SER_hh_tes!I13/SER_hh_num!I13)</f>
        <v>0</v>
      </c>
      <c r="J13" s="132">
        <f>IF(SER_hh_tes!J13=0,0,11630*1000*SER_hh_tes!J13/SER_hh_num!J13)</f>
        <v>0</v>
      </c>
      <c r="K13" s="132">
        <f>IF(SER_hh_tes!K13=0,0,11630*1000*SER_hh_tes!K13/SER_hh_num!K13)</f>
        <v>0</v>
      </c>
      <c r="L13" s="132">
        <f>IF(SER_hh_tes!L13=0,0,11630*1000*SER_hh_tes!L13/SER_hh_num!L13)</f>
        <v>0</v>
      </c>
      <c r="M13" s="132">
        <f>IF(SER_hh_tes!M13=0,0,11630*1000*SER_hh_tes!M13/SER_hh_num!M13)</f>
        <v>0</v>
      </c>
      <c r="N13" s="132">
        <f>IF(SER_hh_tes!N13=0,0,11630*1000*SER_hh_tes!N13/SER_hh_num!N13)</f>
        <v>0</v>
      </c>
      <c r="O13" s="132">
        <f>IF(SER_hh_tes!O13=0,0,11630*1000*SER_hh_tes!O13/SER_hh_num!O13)</f>
        <v>0</v>
      </c>
      <c r="P13" s="132">
        <f>IF(SER_hh_tes!P13=0,0,11630*1000*SER_hh_tes!P13/SER_hh_num!P13)</f>
        <v>0</v>
      </c>
      <c r="Q13" s="132">
        <f>IF(SER_hh_tes!Q13=0,0,11630*1000*SER_hh_tes!Q13/SER_hh_num!Q13)</f>
        <v>0</v>
      </c>
      <c r="R13" s="132">
        <f>IF(SER_hh_tes!R13=0,0,11630*1000*SER_hh_tes!R13/SER_hh_num!R13)</f>
        <v>0</v>
      </c>
      <c r="S13" s="132">
        <f>IF(SER_hh_tes!S13=0,0,11630*1000*SER_hh_tes!S13/SER_hh_num!S13)</f>
        <v>0</v>
      </c>
      <c r="T13" s="132">
        <f>IF(SER_hh_tes!T13=0,0,11630*1000*SER_hh_tes!T13/SER_hh_num!T13)</f>
        <v>0</v>
      </c>
      <c r="U13" s="132">
        <f>IF(SER_hh_tes!U13=0,0,11630*1000*SER_hh_tes!U13/SER_hh_num!U13)</f>
        <v>0</v>
      </c>
      <c r="V13" s="132">
        <f>IF(SER_hh_tes!V13=0,0,11630*1000*SER_hh_tes!V13/SER_hh_num!V13)</f>
        <v>0</v>
      </c>
      <c r="W13" s="132">
        <f>IF(SER_hh_tes!W13=0,0,11630*1000*SER_hh_tes!W13/SER_hh_num!W13)</f>
        <v>0</v>
      </c>
      <c r="X13" s="132">
        <f>IF(SER_hh_tes!X13=0,0,11630*1000*SER_hh_tes!X13/SER_hh_num!X13)</f>
        <v>0</v>
      </c>
      <c r="Y13" s="132">
        <f>IF(SER_hh_tes!Y13=0,0,11630*1000*SER_hh_tes!Y13/SER_hh_num!Y13)</f>
        <v>117763.64043510926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143314.29197746731</v>
      </c>
      <c r="C14" s="65">
        <f>IF(SER_hh_tes!C14=0,0,11630*1000*SER_hh_tes!C14/SER_hh_num!C14)</f>
        <v>159788.55258795395</v>
      </c>
      <c r="D14" s="65">
        <f>IF(SER_hh_tes!D14=0,0,11630*1000*SER_hh_tes!D14/SER_hh_num!D14)</f>
        <v>196928.10199805224</v>
      </c>
      <c r="E14" s="65">
        <f>IF(SER_hh_tes!E14=0,0,11630*1000*SER_hh_tes!E14/SER_hh_num!E14)</f>
        <v>91970.195620565399</v>
      </c>
      <c r="F14" s="65">
        <f>IF(SER_hh_tes!F14=0,0,11630*1000*SER_hh_tes!F14/SER_hh_num!F14)</f>
        <v>117301.04525718027</v>
      </c>
      <c r="G14" s="65">
        <f>IF(SER_hh_tes!G14=0,0,11630*1000*SER_hh_tes!G14/SER_hh_num!G14)</f>
        <v>79061.51931165134</v>
      </c>
      <c r="H14" s="65">
        <f>IF(SER_hh_tes!H14=0,0,11630*1000*SER_hh_tes!H14/SER_hh_num!H14)</f>
        <v>59888.032143699769</v>
      </c>
      <c r="I14" s="65">
        <f>IF(SER_hh_tes!I14=0,0,11630*1000*SER_hh_tes!I14/SER_hh_num!I14)</f>
        <v>59119.515194657019</v>
      </c>
      <c r="J14" s="65">
        <f>IF(SER_hh_tes!J14=0,0,11630*1000*SER_hh_tes!J14/SER_hh_num!J14)</f>
        <v>84131.9973757314</v>
      </c>
      <c r="K14" s="65">
        <f>IF(SER_hh_tes!K14=0,0,11630*1000*SER_hh_tes!K14/SER_hh_num!K14)</f>
        <v>77168.362894755104</v>
      </c>
      <c r="L14" s="65">
        <f>IF(SER_hh_tes!L14=0,0,11630*1000*SER_hh_tes!L14/SER_hh_num!L14)</f>
        <v>82071.258278182111</v>
      </c>
      <c r="M14" s="65">
        <f>IF(SER_hh_tes!M14=0,0,11630*1000*SER_hh_tes!M14/SER_hh_num!M14)</f>
        <v>84135.696679832748</v>
      </c>
      <c r="N14" s="65">
        <f>IF(SER_hh_tes!N14=0,0,11630*1000*SER_hh_tes!N14/SER_hh_num!N14)</f>
        <v>74212.03503922165</v>
      </c>
      <c r="O14" s="65">
        <f>IF(SER_hh_tes!O14=0,0,11630*1000*SER_hh_tes!O14/SER_hh_num!O14)</f>
        <v>71772.987931621014</v>
      </c>
      <c r="P14" s="65">
        <f>IF(SER_hh_tes!P14=0,0,11630*1000*SER_hh_tes!P14/SER_hh_num!P14)</f>
        <v>61848.453495846683</v>
      </c>
      <c r="Q14" s="65">
        <f>IF(SER_hh_tes!Q14=0,0,11630*1000*SER_hh_tes!Q14/SER_hh_num!Q14)</f>
        <v>62695.633424150394</v>
      </c>
      <c r="R14" s="65">
        <f>IF(SER_hh_tes!R14=0,0,11630*1000*SER_hh_tes!R14/SER_hh_num!R14)</f>
        <v>67926.414958494002</v>
      </c>
      <c r="S14" s="65">
        <f>IF(SER_hh_tes!S14=0,0,11630*1000*SER_hh_tes!S14/SER_hh_num!S14)</f>
        <v>72732.136925843763</v>
      </c>
      <c r="T14" s="65">
        <f>IF(SER_hh_tes!T14=0,0,11630*1000*SER_hh_tes!T14/SER_hh_num!T14)</f>
        <v>76133.412369585873</v>
      </c>
      <c r="U14" s="65">
        <f>IF(SER_hh_tes!U14=0,0,11630*1000*SER_hh_tes!U14/SER_hh_num!U14)</f>
        <v>70773.374259429591</v>
      </c>
      <c r="V14" s="65">
        <f>IF(SER_hh_tes!V14=0,0,11630*1000*SER_hh_tes!V14/SER_hh_num!V14)</f>
        <v>54660.146461448843</v>
      </c>
      <c r="W14" s="65">
        <f>IF(SER_hh_tes!W14=0,0,11630*1000*SER_hh_tes!W14/SER_hh_num!W14)</f>
        <v>61098.236494515528</v>
      </c>
      <c r="X14" s="65">
        <f>IF(SER_hh_tes!X14=0,0,11630*1000*SER_hh_tes!X14/SER_hh_num!X14)</f>
        <v>78606.670807777497</v>
      </c>
      <c r="Y14" s="65">
        <f>IF(SER_hh_tes!Y14=0,0,11630*1000*SER_hh_tes!Y14/SER_hh_num!Y14)</f>
        <v>68573.058621355129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2002.9967438734948</v>
      </c>
      <c r="C15" s="134">
        <f>IF(SER_hh_tes!C15=0,0,11630*1000*SER_hh_tes!C15/SER_hh_num!C15)</f>
        <v>3128.3893024325926</v>
      </c>
      <c r="D15" s="134">
        <f>IF(SER_hh_tes!D15=0,0,11630*1000*SER_hh_tes!D15/SER_hh_num!D15)</f>
        <v>2675.4530439633054</v>
      </c>
      <c r="E15" s="134">
        <f>IF(SER_hh_tes!E15=0,0,11630*1000*SER_hh_tes!E15/SER_hh_num!E15)</f>
        <v>1716.312885765796</v>
      </c>
      <c r="F15" s="134">
        <f>IF(SER_hh_tes!F15=0,0,11630*1000*SER_hh_tes!F15/SER_hh_num!F15)</f>
        <v>1730.5900218630534</v>
      </c>
      <c r="G15" s="134">
        <f>IF(SER_hh_tes!G15=0,0,11630*1000*SER_hh_tes!G15/SER_hh_num!G15)</f>
        <v>1410.5374493139425</v>
      </c>
      <c r="H15" s="134">
        <f>IF(SER_hh_tes!H15=0,0,11630*1000*SER_hh_tes!H15/SER_hh_num!H15)</f>
        <v>1130.3448943611259</v>
      </c>
      <c r="I15" s="134">
        <f>IF(SER_hh_tes!I15=0,0,11630*1000*SER_hh_tes!I15/SER_hh_num!I15)</f>
        <v>696.82522622129341</v>
      </c>
      <c r="J15" s="134">
        <f>IF(SER_hh_tes!J15=0,0,11630*1000*SER_hh_tes!J15/SER_hh_num!J15)</f>
        <v>1186.8174716060303</v>
      </c>
      <c r="K15" s="134">
        <f>IF(SER_hh_tes!K15=0,0,11630*1000*SER_hh_tes!K15/SER_hh_num!K15)</f>
        <v>1121.531300711662</v>
      </c>
      <c r="L15" s="134">
        <f>IF(SER_hh_tes!L15=0,0,11630*1000*SER_hh_tes!L15/SER_hh_num!L15)</f>
        <v>1216.8214233783372</v>
      </c>
      <c r="M15" s="134">
        <f>IF(SER_hh_tes!M15=0,0,11630*1000*SER_hh_tes!M15/SER_hh_num!M15)</f>
        <v>1118.2134832471233</v>
      </c>
      <c r="N15" s="134">
        <f>IF(SER_hh_tes!N15=0,0,11630*1000*SER_hh_tes!N15/SER_hh_num!N15)</f>
        <v>738.57667912698321</v>
      </c>
      <c r="O15" s="134">
        <f>IF(SER_hh_tes!O15=0,0,11630*1000*SER_hh_tes!O15/SER_hh_num!O15)</f>
        <v>805.74402917927216</v>
      </c>
      <c r="P15" s="134">
        <f>IF(SER_hh_tes!P15=0,0,11630*1000*SER_hh_tes!P15/SER_hh_num!P15)</f>
        <v>641.26333805611125</v>
      </c>
      <c r="Q15" s="134">
        <f>IF(SER_hh_tes!Q15=0,0,11630*1000*SER_hh_tes!Q15/SER_hh_num!Q15)</f>
        <v>748.39550754379911</v>
      </c>
      <c r="R15" s="134">
        <f>IF(SER_hh_tes!R15=0,0,11630*1000*SER_hh_tes!R15/SER_hh_num!R15)</f>
        <v>904.69827838886783</v>
      </c>
      <c r="S15" s="134">
        <f>IF(SER_hh_tes!S15=0,0,11630*1000*SER_hh_tes!S15/SER_hh_num!S15)</f>
        <v>761.9572122737045</v>
      </c>
      <c r="T15" s="134">
        <f>IF(SER_hh_tes!T15=0,0,11630*1000*SER_hh_tes!T15/SER_hh_num!T15)</f>
        <v>707.20222016125888</v>
      </c>
      <c r="U15" s="134">
        <f>IF(SER_hh_tes!U15=0,0,11630*1000*SER_hh_tes!U15/SER_hh_num!U15)</f>
        <v>662.81438513647572</v>
      </c>
      <c r="V15" s="134">
        <f>IF(SER_hh_tes!V15=0,0,11630*1000*SER_hh_tes!V15/SER_hh_num!V15)</f>
        <v>683.69131714092873</v>
      </c>
      <c r="W15" s="134">
        <f>IF(SER_hh_tes!W15=0,0,11630*1000*SER_hh_tes!W15/SER_hh_num!W15)</f>
        <v>565.16961177088035</v>
      </c>
      <c r="X15" s="134">
        <f>IF(SER_hh_tes!X15=0,0,11630*1000*SER_hh_tes!X15/SER_hh_num!X15)</f>
        <v>802.19431578023682</v>
      </c>
      <c r="Y15" s="134">
        <f>IF(SER_hh_tes!Y15=0,0,11630*1000*SER_hh_tes!Y15/SER_hh_num!Y15)</f>
        <v>964.95436979879958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22007.311569674192</v>
      </c>
      <c r="C16" s="130">
        <f>IF(SER_hh_tes!C16=0,0,11630*1000*SER_hh_tes!C16/SER_hh_num!C16)</f>
        <v>21716.969125338044</v>
      </c>
      <c r="D16" s="130">
        <f>IF(SER_hh_tes!D16=0,0,11630*1000*SER_hh_tes!D16/SER_hh_num!D16)</f>
        <v>21575.591138684529</v>
      </c>
      <c r="E16" s="130">
        <f>IF(SER_hh_tes!E16=0,0,11630*1000*SER_hh_tes!E16/SER_hh_num!E16)</f>
        <v>27347.930903930646</v>
      </c>
      <c r="F16" s="130">
        <f>IF(SER_hh_tes!F16=0,0,11630*1000*SER_hh_tes!F16/SER_hh_num!F16)</f>
        <v>21465.582404207053</v>
      </c>
      <c r="G16" s="130">
        <f>IF(SER_hh_tes!G16=0,0,11630*1000*SER_hh_tes!G16/SER_hh_num!G16)</f>
        <v>21692.678991816851</v>
      </c>
      <c r="H16" s="130">
        <f>IF(SER_hh_tes!H16=0,0,11630*1000*SER_hh_tes!H16/SER_hh_num!H16)</f>
        <v>23256.878677731347</v>
      </c>
      <c r="I16" s="130">
        <f>IF(SER_hh_tes!I16=0,0,11630*1000*SER_hh_tes!I16/SER_hh_num!I16)</f>
        <v>22399.518015713187</v>
      </c>
      <c r="J16" s="130">
        <f>IF(SER_hh_tes!J16=0,0,11630*1000*SER_hh_tes!J16/SER_hh_num!J16)</f>
        <v>21920.71087498678</v>
      </c>
      <c r="K16" s="130">
        <f>IF(SER_hh_tes!K16=0,0,11630*1000*SER_hh_tes!K16/SER_hh_num!K16)</f>
        <v>21884.170144932523</v>
      </c>
      <c r="L16" s="130">
        <f>IF(SER_hh_tes!L16=0,0,11630*1000*SER_hh_tes!L16/SER_hh_num!L16)</f>
        <v>22954.981952848371</v>
      </c>
      <c r="M16" s="130">
        <f>IF(SER_hh_tes!M16=0,0,11630*1000*SER_hh_tes!M16/SER_hh_num!M16)</f>
        <v>22921.578143481587</v>
      </c>
      <c r="N16" s="130">
        <f>IF(SER_hh_tes!N16=0,0,11630*1000*SER_hh_tes!N16/SER_hh_num!N16)</f>
        <v>25935.733550900495</v>
      </c>
      <c r="O16" s="130">
        <f>IF(SER_hh_tes!O16=0,0,11630*1000*SER_hh_tes!O16/SER_hh_num!O16)</f>
        <v>26900.120364157021</v>
      </c>
      <c r="P16" s="130">
        <f>IF(SER_hh_tes!P16=0,0,11630*1000*SER_hh_tes!P16/SER_hh_num!P16)</f>
        <v>21840.451725386338</v>
      </c>
      <c r="Q16" s="130">
        <f>IF(SER_hh_tes!Q16=0,0,11630*1000*SER_hh_tes!Q16/SER_hh_num!Q16)</f>
        <v>27363.785066275592</v>
      </c>
      <c r="R16" s="130">
        <f>IF(SER_hh_tes!R16=0,0,11630*1000*SER_hh_tes!R16/SER_hh_num!R16)</f>
        <v>22558.034346716333</v>
      </c>
      <c r="S16" s="130">
        <f>IF(SER_hh_tes!S16=0,0,11630*1000*SER_hh_tes!S16/SER_hh_num!S16)</f>
        <v>27263.169281190447</v>
      </c>
      <c r="T16" s="130">
        <f>IF(SER_hh_tes!T16=0,0,11630*1000*SER_hh_tes!T16/SER_hh_num!T16)</f>
        <v>23869.004834914023</v>
      </c>
      <c r="U16" s="130">
        <f>IF(SER_hh_tes!U16=0,0,11630*1000*SER_hh_tes!U16/SER_hh_num!U16)</f>
        <v>25610.564578929676</v>
      </c>
      <c r="V16" s="130">
        <f>IF(SER_hh_tes!V16=0,0,11630*1000*SER_hh_tes!V16/SER_hh_num!V16)</f>
        <v>22615.792812931402</v>
      </c>
      <c r="W16" s="130">
        <f>IF(SER_hh_tes!W16=0,0,11630*1000*SER_hh_tes!W16/SER_hh_num!W16)</f>
        <v>24850.672229429703</v>
      </c>
      <c r="X16" s="130">
        <f>IF(SER_hh_tes!X16=0,0,11630*1000*SER_hh_tes!X16/SER_hh_num!X16)</f>
        <v>26288.357936476808</v>
      </c>
      <c r="Y16" s="130">
        <f>IF(SER_hh_tes!Y16=0,0,11630*1000*SER_hh_tes!Y16/SER_hh_num!Y16)</f>
        <v>25551.796086458122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22007.311569674192</v>
      </c>
      <c r="C18" s="132">
        <f>IF(SER_hh_tes!C18=0,0,11630*1000*SER_hh_tes!C18/SER_hh_num!C18)</f>
        <v>21716.969125338044</v>
      </c>
      <c r="D18" s="132">
        <f>IF(SER_hh_tes!D18=0,0,11630*1000*SER_hh_tes!D18/SER_hh_num!D18)</f>
        <v>21575.591138684529</v>
      </c>
      <c r="E18" s="132">
        <f>IF(SER_hh_tes!E18=0,0,11630*1000*SER_hh_tes!E18/SER_hh_num!E18)</f>
        <v>27347.930903930646</v>
      </c>
      <c r="F18" s="132">
        <f>IF(SER_hh_tes!F18=0,0,11630*1000*SER_hh_tes!F18/SER_hh_num!F18)</f>
        <v>21465.582404207053</v>
      </c>
      <c r="G18" s="132">
        <f>IF(SER_hh_tes!G18=0,0,11630*1000*SER_hh_tes!G18/SER_hh_num!G18)</f>
        <v>21692.678991816851</v>
      </c>
      <c r="H18" s="132">
        <f>IF(SER_hh_tes!H18=0,0,11630*1000*SER_hh_tes!H18/SER_hh_num!H18)</f>
        <v>23256.878677731347</v>
      </c>
      <c r="I18" s="132">
        <f>IF(SER_hh_tes!I18=0,0,11630*1000*SER_hh_tes!I18/SER_hh_num!I18)</f>
        <v>22399.518015713187</v>
      </c>
      <c r="J18" s="132">
        <f>IF(SER_hh_tes!J18=0,0,11630*1000*SER_hh_tes!J18/SER_hh_num!J18)</f>
        <v>21920.71087498678</v>
      </c>
      <c r="K18" s="132">
        <f>IF(SER_hh_tes!K18=0,0,11630*1000*SER_hh_tes!K18/SER_hh_num!K18)</f>
        <v>21884.170144932523</v>
      </c>
      <c r="L18" s="132">
        <f>IF(SER_hh_tes!L18=0,0,11630*1000*SER_hh_tes!L18/SER_hh_num!L18)</f>
        <v>22954.981952848371</v>
      </c>
      <c r="M18" s="132">
        <f>IF(SER_hh_tes!M18=0,0,11630*1000*SER_hh_tes!M18/SER_hh_num!M18)</f>
        <v>22921.578143481587</v>
      </c>
      <c r="N18" s="132">
        <f>IF(SER_hh_tes!N18=0,0,11630*1000*SER_hh_tes!N18/SER_hh_num!N18)</f>
        <v>25935.733550900495</v>
      </c>
      <c r="O18" s="132">
        <f>IF(SER_hh_tes!O18=0,0,11630*1000*SER_hh_tes!O18/SER_hh_num!O18)</f>
        <v>26900.120364157021</v>
      </c>
      <c r="P18" s="132">
        <f>IF(SER_hh_tes!P18=0,0,11630*1000*SER_hh_tes!P18/SER_hh_num!P18)</f>
        <v>21840.451725386338</v>
      </c>
      <c r="Q18" s="132">
        <f>IF(SER_hh_tes!Q18=0,0,11630*1000*SER_hh_tes!Q18/SER_hh_num!Q18)</f>
        <v>27363.785066275592</v>
      </c>
      <c r="R18" s="132">
        <f>IF(SER_hh_tes!R18=0,0,11630*1000*SER_hh_tes!R18/SER_hh_num!R18)</f>
        <v>22558.034346716333</v>
      </c>
      <c r="S18" s="132">
        <f>IF(SER_hh_tes!S18=0,0,11630*1000*SER_hh_tes!S18/SER_hh_num!S18)</f>
        <v>27263.169281190447</v>
      </c>
      <c r="T18" s="132">
        <f>IF(SER_hh_tes!T18=0,0,11630*1000*SER_hh_tes!T18/SER_hh_num!T18)</f>
        <v>23869.004834914023</v>
      </c>
      <c r="U18" s="132">
        <f>IF(SER_hh_tes!U18=0,0,11630*1000*SER_hh_tes!U18/SER_hh_num!U18)</f>
        <v>25610.564578929676</v>
      </c>
      <c r="V18" s="132">
        <f>IF(SER_hh_tes!V18=0,0,11630*1000*SER_hh_tes!V18/SER_hh_num!V18)</f>
        <v>22615.792812931402</v>
      </c>
      <c r="W18" s="132">
        <f>IF(SER_hh_tes!W18=0,0,11630*1000*SER_hh_tes!W18/SER_hh_num!W18)</f>
        <v>24850.672229429703</v>
      </c>
      <c r="X18" s="132">
        <f>IF(SER_hh_tes!X18=0,0,11630*1000*SER_hh_tes!X18/SER_hh_num!X18)</f>
        <v>26288.357936476808</v>
      </c>
      <c r="Y18" s="132">
        <f>IF(SER_hh_tes!Y18=0,0,11630*1000*SER_hh_tes!Y18/SER_hh_num!Y18)</f>
        <v>25551.796086458122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12844.329367984936</v>
      </c>
      <c r="C19" s="130">
        <f>IF(SER_hh_tes!C19=0,0,11630*1000*SER_hh_tes!C19/SER_hh_num!C19)</f>
        <v>12647.826650592373</v>
      </c>
      <c r="D19" s="130">
        <f>IF(SER_hh_tes!D19=0,0,11630*1000*SER_hh_tes!D19/SER_hh_num!D19)</f>
        <v>12408.83437243747</v>
      </c>
      <c r="E19" s="130">
        <f>IF(SER_hh_tes!E19=0,0,11630*1000*SER_hh_tes!E19/SER_hh_num!E19)</f>
        <v>12309.783840733684</v>
      </c>
      <c r="F19" s="130">
        <f>IF(SER_hh_tes!F19=0,0,11630*1000*SER_hh_tes!F19/SER_hh_num!F19)</f>
        <v>12098.526102656997</v>
      </c>
      <c r="G19" s="130">
        <f>IF(SER_hh_tes!G19=0,0,11630*1000*SER_hh_tes!G19/SER_hh_num!G19)</f>
        <v>12055.418781759779</v>
      </c>
      <c r="H19" s="130">
        <f>IF(SER_hh_tes!H19=0,0,11630*1000*SER_hh_tes!H19/SER_hh_num!H19)</f>
        <v>11823.115136556773</v>
      </c>
      <c r="I19" s="130">
        <f>IF(SER_hh_tes!I19=0,0,11630*1000*SER_hh_tes!I19/SER_hh_num!I19)</f>
        <v>11566.646516831341</v>
      </c>
      <c r="J19" s="130">
        <f>IF(SER_hh_tes!J19=0,0,11630*1000*SER_hh_tes!J19/SER_hh_num!J19)</f>
        <v>11499.90007149737</v>
      </c>
      <c r="K19" s="130">
        <f>IF(SER_hh_tes!K19=0,0,11630*1000*SER_hh_tes!K19/SER_hh_num!K19)</f>
        <v>11756.326684051213</v>
      </c>
      <c r="L19" s="130">
        <f>IF(SER_hh_tes!L19=0,0,11630*1000*SER_hh_tes!L19/SER_hh_num!L19)</f>
        <v>11978.12135659452</v>
      </c>
      <c r="M19" s="130">
        <f>IF(SER_hh_tes!M19=0,0,11630*1000*SER_hh_tes!M19/SER_hh_num!M19)</f>
        <v>12023.034959651663</v>
      </c>
      <c r="N19" s="130">
        <f>IF(SER_hh_tes!N19=0,0,11630*1000*SER_hh_tes!N19/SER_hh_num!N19)</f>
        <v>12244.467166759961</v>
      </c>
      <c r="O19" s="130">
        <f>IF(SER_hh_tes!O19=0,0,11630*1000*SER_hh_tes!O19/SER_hh_num!O19)</f>
        <v>12553.092308709354</v>
      </c>
      <c r="P19" s="130">
        <f>IF(SER_hh_tes!P19=0,0,11630*1000*SER_hh_tes!P19/SER_hh_num!P19)</f>
        <v>12934.957208388088</v>
      </c>
      <c r="Q19" s="130">
        <f>IF(SER_hh_tes!Q19=0,0,11630*1000*SER_hh_tes!Q19/SER_hh_num!Q19)</f>
        <v>13269.949856085057</v>
      </c>
      <c r="R19" s="130">
        <f>IF(SER_hh_tes!R19=0,0,11630*1000*SER_hh_tes!R19/SER_hh_num!R19)</f>
        <v>13510.331211758605</v>
      </c>
      <c r="S19" s="130">
        <f>IF(SER_hh_tes!S19=0,0,11630*1000*SER_hh_tes!S19/SER_hh_num!S19)</f>
        <v>13565.381271906675</v>
      </c>
      <c r="T19" s="130">
        <f>IF(SER_hh_tes!T19=0,0,11630*1000*SER_hh_tes!T19/SER_hh_num!T19)</f>
        <v>13493.692491688946</v>
      </c>
      <c r="U19" s="130">
        <f>IF(SER_hh_tes!U19=0,0,11630*1000*SER_hh_tes!U19/SER_hh_num!U19)</f>
        <v>13700.943077120046</v>
      </c>
      <c r="V19" s="130">
        <f>IF(SER_hh_tes!V19=0,0,11630*1000*SER_hh_tes!V19/SER_hh_num!V19)</f>
        <v>13341.353849273966</v>
      </c>
      <c r="W19" s="130">
        <f>IF(SER_hh_tes!W19=0,0,11630*1000*SER_hh_tes!W19/SER_hh_num!W19)</f>
        <v>13593.574743265564</v>
      </c>
      <c r="X19" s="130">
        <f>IF(SER_hh_tes!X19=0,0,11630*1000*SER_hh_tes!X19/SER_hh_num!X19)</f>
        <v>13956.189956725888</v>
      </c>
      <c r="Y19" s="130">
        <f>IF(SER_hh_tes!Y19=0,0,11630*1000*SER_hh_tes!Y19/SER_hh_num!Y19)</f>
        <v>14211.634482979976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13817.140223535998</v>
      </c>
      <c r="C21" s="132">
        <f>IF(SER_hh_tes!C21=0,0,11630*1000*SER_hh_tes!C21/SER_hh_num!C21)</f>
        <v>11889.629793012156</v>
      </c>
      <c r="D21" s="132">
        <f>IF(SER_hh_tes!D21=0,0,11630*1000*SER_hh_tes!D21/SER_hh_num!D21)</f>
        <v>12750.546187568747</v>
      </c>
      <c r="E21" s="132">
        <f>IF(SER_hh_tes!E21=0,0,11630*1000*SER_hh_tes!E21/SER_hh_num!E21)</f>
        <v>12423.475162833993</v>
      </c>
      <c r="F21" s="132">
        <f>IF(SER_hh_tes!F21=0,0,11630*1000*SER_hh_tes!F21/SER_hh_num!F21)</f>
        <v>12137.323268845443</v>
      </c>
      <c r="G21" s="132">
        <f>IF(SER_hh_tes!G21=0,0,11630*1000*SER_hh_tes!G21/SER_hh_num!G21)</f>
        <v>11969.38173723639</v>
      </c>
      <c r="H21" s="132">
        <f>IF(SER_hh_tes!H21=0,0,11630*1000*SER_hh_tes!H21/SER_hh_num!H21)</f>
        <v>11809.635375413432</v>
      </c>
      <c r="I21" s="132">
        <f>IF(SER_hh_tes!I21=0,0,11630*1000*SER_hh_tes!I21/SER_hh_num!I21)</f>
        <v>11814.745139037364</v>
      </c>
      <c r="J21" s="132">
        <f>IF(SER_hh_tes!J21=0,0,11630*1000*SER_hh_tes!J21/SER_hh_num!J21)</f>
        <v>11504.527016003452</v>
      </c>
      <c r="K21" s="132">
        <f>IF(SER_hh_tes!K21=0,0,11630*1000*SER_hh_tes!K21/SER_hh_num!K21)</f>
        <v>11689.959093957985</v>
      </c>
      <c r="L21" s="132">
        <f>IF(SER_hh_tes!L21=0,0,11630*1000*SER_hh_tes!L21/SER_hh_num!L21)</f>
        <v>12224.475662270996</v>
      </c>
      <c r="M21" s="132">
        <f>IF(SER_hh_tes!M21=0,0,11630*1000*SER_hh_tes!M21/SER_hh_num!M21)</f>
        <v>11656.226245473707</v>
      </c>
      <c r="N21" s="132">
        <f>IF(SER_hh_tes!N21=0,0,11630*1000*SER_hh_tes!N21/SER_hh_num!N21)</f>
        <v>12436.127555035828</v>
      </c>
      <c r="O21" s="132">
        <f>IF(SER_hh_tes!O21=0,0,11630*1000*SER_hh_tes!O21/SER_hh_num!O21)</f>
        <v>12569.010344781655</v>
      </c>
      <c r="P21" s="132">
        <f>IF(SER_hh_tes!P21=0,0,11630*1000*SER_hh_tes!P21/SER_hh_num!P21)</f>
        <v>12885.132208358253</v>
      </c>
      <c r="Q21" s="132">
        <f>IF(SER_hh_tes!Q21=0,0,11630*1000*SER_hh_tes!Q21/SER_hh_num!Q21)</f>
        <v>12989.261515451257</v>
      </c>
      <c r="R21" s="132">
        <f>IF(SER_hh_tes!R21=0,0,11630*1000*SER_hh_tes!R21/SER_hh_num!R21)</f>
        <v>10200.638586125027</v>
      </c>
      <c r="S21" s="132">
        <f>IF(SER_hh_tes!S21=0,0,11630*1000*SER_hh_tes!S21/SER_hh_num!S21)</f>
        <v>11709.385777396295</v>
      </c>
      <c r="T21" s="132">
        <f>IF(SER_hh_tes!T21=0,0,11630*1000*SER_hh_tes!T21/SER_hh_num!T21)</f>
        <v>15871.01842085078</v>
      </c>
      <c r="U21" s="132">
        <f>IF(SER_hh_tes!U21=0,0,11630*1000*SER_hh_tes!U21/SER_hh_num!U21)</f>
        <v>18725.74758334881</v>
      </c>
      <c r="V21" s="132">
        <f>IF(SER_hh_tes!V21=0,0,11630*1000*SER_hh_tes!V21/SER_hh_num!V21)</f>
        <v>15084.971908538226</v>
      </c>
      <c r="W21" s="132">
        <f>IF(SER_hh_tes!W21=0,0,11630*1000*SER_hh_tes!W21/SER_hh_num!W21)</f>
        <v>11546.203406298378</v>
      </c>
      <c r="X21" s="132">
        <f>IF(SER_hh_tes!X21=0,0,11630*1000*SER_hh_tes!X21/SER_hh_num!X21)</f>
        <v>16488.367614715899</v>
      </c>
      <c r="Y21" s="132">
        <f>IF(SER_hh_tes!Y21=0,0,11630*1000*SER_hh_tes!Y21/SER_hh_num!Y21)</f>
        <v>10684.415813836044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12292.034203629008</v>
      </c>
      <c r="C22" s="132">
        <f>IF(SER_hh_tes!C22=0,0,11630*1000*SER_hh_tes!C22/SER_hh_num!C22)</f>
        <v>13145.024113450936</v>
      </c>
      <c r="D22" s="132">
        <f>IF(SER_hh_tes!D22=0,0,11630*1000*SER_hh_tes!D22/SER_hh_num!D22)</f>
        <v>11710.499893060611</v>
      </c>
      <c r="E22" s="132">
        <f>IF(SER_hh_tes!E22=0,0,11630*1000*SER_hh_tes!E22/SER_hh_num!E22)</f>
        <v>12665.696586795832</v>
      </c>
      <c r="F22" s="132">
        <f>IF(SER_hh_tes!F22=0,0,11630*1000*SER_hh_tes!F22/SER_hh_num!F22)</f>
        <v>12310.642617349949</v>
      </c>
      <c r="G22" s="132">
        <f>IF(SER_hh_tes!G22=0,0,11630*1000*SER_hh_tes!G22/SER_hh_num!G22)</f>
        <v>12058.89519866901</v>
      </c>
      <c r="H22" s="132">
        <f>IF(SER_hh_tes!H22=0,0,11630*1000*SER_hh_tes!H22/SER_hh_num!H22)</f>
        <v>11886.601162857713</v>
      </c>
      <c r="I22" s="132">
        <f>IF(SER_hh_tes!I22=0,0,11630*1000*SER_hh_tes!I22/SER_hh_num!I22)</f>
        <v>11879.915265822496</v>
      </c>
      <c r="J22" s="132">
        <f>IF(SER_hh_tes!J22=0,0,11630*1000*SER_hh_tes!J22/SER_hh_num!J22)</f>
        <v>11344.823359958387</v>
      </c>
      <c r="K22" s="132">
        <f>IF(SER_hh_tes!K22=0,0,11630*1000*SER_hh_tes!K22/SER_hh_num!K22)</f>
        <v>11869.500928437204</v>
      </c>
      <c r="L22" s="132">
        <f>IF(SER_hh_tes!L22=0,0,11630*1000*SER_hh_tes!L22/SER_hh_num!L22)</f>
        <v>12517.758697475454</v>
      </c>
      <c r="M22" s="132">
        <f>IF(SER_hh_tes!M22=0,0,11630*1000*SER_hh_tes!M22/SER_hh_num!M22)</f>
        <v>11732.688809963534</v>
      </c>
      <c r="N22" s="132">
        <f>IF(SER_hh_tes!N22=0,0,11630*1000*SER_hh_tes!N22/SER_hh_num!N22)</f>
        <v>12384.371210461872</v>
      </c>
      <c r="O22" s="132">
        <f>IF(SER_hh_tes!O22=0,0,11630*1000*SER_hh_tes!O22/SER_hh_num!O22)</f>
        <v>12275.062282503875</v>
      </c>
      <c r="P22" s="132">
        <f>IF(SER_hh_tes!P22=0,0,11630*1000*SER_hh_tes!P22/SER_hh_num!P22)</f>
        <v>12003.739601070958</v>
      </c>
      <c r="Q22" s="132">
        <f>IF(SER_hh_tes!Q22=0,0,11630*1000*SER_hh_tes!Q22/SER_hh_num!Q22)</f>
        <v>12005.566133925304</v>
      </c>
      <c r="R22" s="132">
        <f>IF(SER_hh_tes!R22=0,0,11630*1000*SER_hh_tes!R22/SER_hh_num!R22)</f>
        <v>14653.478356421081</v>
      </c>
      <c r="S22" s="132">
        <f>IF(SER_hh_tes!S22=0,0,11630*1000*SER_hh_tes!S22/SER_hh_num!S22)</f>
        <v>12257.961274046116</v>
      </c>
      <c r="T22" s="132">
        <f>IF(SER_hh_tes!T22=0,0,11630*1000*SER_hh_tes!T22/SER_hh_num!T22)</f>
        <v>14439.990801574122</v>
      </c>
      <c r="U22" s="132">
        <f>IF(SER_hh_tes!U22=0,0,11630*1000*SER_hh_tes!U22/SER_hh_num!U22)</f>
        <v>12563.154467270691</v>
      </c>
      <c r="V22" s="132">
        <f>IF(SER_hh_tes!V22=0,0,11630*1000*SER_hh_tes!V22/SER_hh_num!V22)</f>
        <v>14069.389981316715</v>
      </c>
      <c r="W22" s="132">
        <f>IF(SER_hh_tes!W22=0,0,11630*1000*SER_hh_tes!W22/SER_hh_num!W22)</f>
        <v>13677.687412473586</v>
      </c>
      <c r="X22" s="132">
        <f>IF(SER_hh_tes!X22=0,0,11630*1000*SER_hh_tes!X22/SER_hh_num!X22)</f>
        <v>13795.354623890818</v>
      </c>
      <c r="Y22" s="132">
        <f>IF(SER_hh_tes!Y22=0,0,11630*1000*SER_hh_tes!Y22/SER_hh_num!Y22)</f>
        <v>14361.884029326631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12678.021108280047</v>
      </c>
      <c r="C23" s="132">
        <f>IF(SER_hh_tes!C23=0,0,11630*1000*SER_hh_tes!C23/SER_hh_num!C23)</f>
        <v>12757.252363979571</v>
      </c>
      <c r="D23" s="132">
        <f>IF(SER_hh_tes!D23=0,0,11630*1000*SER_hh_tes!D23/SER_hh_num!D23)</f>
        <v>12283.280189182347</v>
      </c>
      <c r="E23" s="132">
        <f>IF(SER_hh_tes!E23=0,0,11630*1000*SER_hh_tes!E23/SER_hh_num!E23)</f>
        <v>12140.111831836301</v>
      </c>
      <c r="F23" s="132">
        <f>IF(SER_hh_tes!F23=0,0,11630*1000*SER_hh_tes!F23/SER_hh_num!F23)</f>
        <v>12167.637694259183</v>
      </c>
      <c r="G23" s="132">
        <f>IF(SER_hh_tes!G23=0,0,11630*1000*SER_hh_tes!G23/SER_hh_num!G23)</f>
        <v>12013.610231104525</v>
      </c>
      <c r="H23" s="132">
        <f>IF(SER_hh_tes!H23=0,0,11630*1000*SER_hh_tes!H23/SER_hh_num!H23)</f>
        <v>11571.563918893609</v>
      </c>
      <c r="I23" s="132">
        <f>IF(SER_hh_tes!I23=0,0,11630*1000*SER_hh_tes!I23/SER_hh_num!I23)</f>
        <v>11131.49774036859</v>
      </c>
      <c r="J23" s="132">
        <f>IF(SER_hh_tes!J23=0,0,11630*1000*SER_hh_tes!J23/SER_hh_num!J23)</f>
        <v>10391.768067343359</v>
      </c>
      <c r="K23" s="132">
        <f>IF(SER_hh_tes!K23=0,0,11630*1000*SER_hh_tes!K23/SER_hh_num!K23)</f>
        <v>12819.357844434113</v>
      </c>
      <c r="L23" s="132">
        <f>IF(SER_hh_tes!L23=0,0,11630*1000*SER_hh_tes!L23/SER_hh_num!L23)</f>
        <v>12624.150341351202</v>
      </c>
      <c r="M23" s="132">
        <f>IF(SER_hh_tes!M23=0,0,11630*1000*SER_hh_tes!M23/SER_hh_num!M23)</f>
        <v>12068.461986645392</v>
      </c>
      <c r="N23" s="132">
        <f>IF(SER_hh_tes!N23=0,0,11630*1000*SER_hh_tes!N23/SER_hh_num!N23)</f>
        <v>12255.392440436701</v>
      </c>
      <c r="O23" s="132">
        <f>IF(SER_hh_tes!O23=0,0,11630*1000*SER_hh_tes!O23/SER_hh_num!O23)</f>
        <v>12571.260142691308</v>
      </c>
      <c r="P23" s="132">
        <f>IF(SER_hh_tes!P23=0,0,11630*1000*SER_hh_tes!P23/SER_hh_num!P23)</f>
        <v>12762.959450769715</v>
      </c>
      <c r="Q23" s="132">
        <f>IF(SER_hh_tes!Q23=0,0,11630*1000*SER_hh_tes!Q23/SER_hh_num!Q23)</f>
        <v>12429.862751028697</v>
      </c>
      <c r="R23" s="132">
        <f>IF(SER_hh_tes!R23=0,0,11630*1000*SER_hh_tes!R23/SER_hh_num!R23)</f>
        <v>16283.369305577191</v>
      </c>
      <c r="S23" s="132">
        <f>IF(SER_hh_tes!S23=0,0,11630*1000*SER_hh_tes!S23/SER_hh_num!S23)</f>
        <v>14348.564437391167</v>
      </c>
      <c r="T23" s="132">
        <f>IF(SER_hh_tes!T23=0,0,11630*1000*SER_hh_tes!T23/SER_hh_num!T23)</f>
        <v>10255.306261583282</v>
      </c>
      <c r="U23" s="132">
        <f>IF(SER_hh_tes!U23=0,0,11630*1000*SER_hh_tes!U23/SER_hh_num!U23)</f>
        <v>13711.221654978466</v>
      </c>
      <c r="V23" s="132">
        <f>IF(SER_hh_tes!V23=0,0,11630*1000*SER_hh_tes!V23/SER_hh_num!V23)</f>
        <v>12439.667857291917</v>
      </c>
      <c r="W23" s="132">
        <f>IF(SER_hh_tes!W23=0,0,11630*1000*SER_hh_tes!W23/SER_hh_num!W23)</f>
        <v>10812.072241977603</v>
      </c>
      <c r="X23" s="132">
        <f>IF(SER_hh_tes!X23=0,0,11630*1000*SER_hh_tes!X23/SER_hh_num!X23)</f>
        <v>15722.068571431375</v>
      </c>
      <c r="Y23" s="132">
        <f>IF(SER_hh_tes!Y23=0,0,11630*1000*SER_hh_tes!Y23/SER_hh_num!Y23)</f>
        <v>13955.831054760945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11527.21119544238</v>
      </c>
      <c r="C25" s="132">
        <f>IF(SER_hh_tes!C25=0,0,11630*1000*SER_hh_tes!C25/SER_hh_num!C25)</f>
        <v>15061.14639212855</v>
      </c>
      <c r="D25" s="132">
        <f>IF(SER_hh_tes!D25=0,0,11630*1000*SER_hh_tes!D25/SER_hh_num!D25)</f>
        <v>13006.209145815186</v>
      </c>
      <c r="E25" s="132">
        <f>IF(SER_hh_tes!E25=0,0,11630*1000*SER_hh_tes!E25/SER_hh_num!E25)</f>
        <v>11811.978287942855</v>
      </c>
      <c r="F25" s="132">
        <f>IF(SER_hh_tes!F25=0,0,11630*1000*SER_hh_tes!F25/SER_hh_num!F25)</f>
        <v>12476.654317548229</v>
      </c>
      <c r="G25" s="132">
        <f>IF(SER_hh_tes!G25=0,0,11630*1000*SER_hh_tes!G25/SER_hh_num!G25)</f>
        <v>12367.781428772829</v>
      </c>
      <c r="H25" s="132">
        <f>IF(SER_hh_tes!H25=0,0,11630*1000*SER_hh_tes!H25/SER_hh_num!H25)</f>
        <v>11003.788669681366</v>
      </c>
      <c r="I25" s="132">
        <f>IF(SER_hh_tes!I25=0,0,11630*1000*SER_hh_tes!I25/SER_hh_num!I25)</f>
        <v>11415.237006891904</v>
      </c>
      <c r="J25" s="132">
        <f>IF(SER_hh_tes!J25=0,0,11630*1000*SER_hh_tes!J25/SER_hh_num!J25)</f>
        <v>10296.271641451294</v>
      </c>
      <c r="K25" s="132">
        <f>IF(SER_hh_tes!K25=0,0,11630*1000*SER_hh_tes!K25/SER_hh_num!K25)</f>
        <v>11022.532919013209</v>
      </c>
      <c r="L25" s="132">
        <f>IF(SER_hh_tes!L25=0,0,11630*1000*SER_hh_tes!L25/SER_hh_num!L25)</f>
        <v>11893.728893085417</v>
      </c>
      <c r="M25" s="132">
        <f>IF(SER_hh_tes!M25=0,0,11630*1000*SER_hh_tes!M25/SER_hh_num!M25)</f>
        <v>12321.551292443082</v>
      </c>
      <c r="N25" s="132">
        <f>IF(SER_hh_tes!N25=0,0,11630*1000*SER_hh_tes!N25/SER_hh_num!N25)</f>
        <v>12436.970129000745</v>
      </c>
      <c r="O25" s="132">
        <f>IF(SER_hh_tes!O25=0,0,11630*1000*SER_hh_tes!O25/SER_hh_num!O25)</f>
        <v>12739.685513996517</v>
      </c>
      <c r="P25" s="132">
        <f>IF(SER_hh_tes!P25=0,0,11630*1000*SER_hh_tes!P25/SER_hh_num!P25)</f>
        <v>13385.892961322188</v>
      </c>
      <c r="Q25" s="132">
        <f>IF(SER_hh_tes!Q25=0,0,11630*1000*SER_hh_tes!Q25/SER_hh_num!Q25)</f>
        <v>13162.508689910417</v>
      </c>
      <c r="R25" s="132">
        <f>IF(SER_hh_tes!R25=0,0,11630*1000*SER_hh_tes!R25/SER_hh_num!R25)</f>
        <v>12241.55719014028</v>
      </c>
      <c r="S25" s="132">
        <f>IF(SER_hh_tes!S25=0,0,11630*1000*SER_hh_tes!S25/SER_hh_num!S25)</f>
        <v>14064.152964047591</v>
      </c>
      <c r="T25" s="132">
        <f>IF(SER_hh_tes!T25=0,0,11630*1000*SER_hh_tes!T25/SER_hh_num!T25)</f>
        <v>14845.608932868156</v>
      </c>
      <c r="U25" s="132">
        <f>IF(SER_hh_tes!U25=0,0,11630*1000*SER_hh_tes!U25/SER_hh_num!U25)</f>
        <v>12880.858782723595</v>
      </c>
      <c r="V25" s="132">
        <f>IF(SER_hh_tes!V25=0,0,11630*1000*SER_hh_tes!V25/SER_hh_num!V25)</f>
        <v>12926.432602126393</v>
      </c>
      <c r="W25" s="132">
        <f>IF(SER_hh_tes!W25=0,0,11630*1000*SER_hh_tes!W25/SER_hh_num!W25)</f>
        <v>14171.775450904906</v>
      </c>
      <c r="X25" s="132">
        <f>IF(SER_hh_tes!X25=0,0,11630*1000*SER_hh_tes!X25/SER_hh_num!X25)</f>
        <v>14463.200209215451</v>
      </c>
      <c r="Y25" s="132">
        <f>IF(SER_hh_tes!Y25=0,0,11630*1000*SER_hh_tes!Y25/SER_hh_num!Y25)</f>
        <v>13825.393101536689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12866.850452567029</v>
      </c>
      <c r="C26" s="65">
        <f>IF(SER_hh_tes!C26=0,0,11630*1000*SER_hh_tes!C26/SER_hh_num!C26)</f>
        <v>10615.17375365252</v>
      </c>
      <c r="D26" s="65">
        <f>IF(SER_hh_tes!D26=0,0,11630*1000*SER_hh_tes!D26/SER_hh_num!D26)</f>
        <v>13021.037395937679</v>
      </c>
      <c r="E26" s="65">
        <f>IF(SER_hh_tes!E26=0,0,11630*1000*SER_hh_tes!E26/SER_hh_num!E26)</f>
        <v>11318.645543883416</v>
      </c>
      <c r="F26" s="65">
        <f>IF(SER_hh_tes!F26=0,0,11630*1000*SER_hh_tes!F26/SER_hh_num!F26)</f>
        <v>11016.302127803541</v>
      </c>
      <c r="G26" s="65">
        <f>IF(SER_hh_tes!G26=0,0,11630*1000*SER_hh_tes!G26/SER_hh_num!G26)</f>
        <v>12036.733886750644</v>
      </c>
      <c r="H26" s="65">
        <f>IF(SER_hh_tes!H26=0,0,11630*1000*SER_hh_tes!H26/SER_hh_num!H26)</f>
        <v>12119.540342603541</v>
      </c>
      <c r="I26" s="65">
        <f>IF(SER_hh_tes!I26=0,0,11630*1000*SER_hh_tes!I26/SER_hh_num!I26)</f>
        <v>10685.947814523781</v>
      </c>
      <c r="J26" s="65">
        <f>IF(SER_hh_tes!J26=0,0,11630*1000*SER_hh_tes!J26/SER_hh_num!J26)</f>
        <v>12365.06686960811</v>
      </c>
      <c r="K26" s="65">
        <f>IF(SER_hh_tes!K26=0,0,11630*1000*SER_hh_tes!K26/SER_hh_num!K26)</f>
        <v>11692.689202897755</v>
      </c>
      <c r="L26" s="65">
        <f>IF(SER_hh_tes!L26=0,0,11630*1000*SER_hh_tes!L26/SER_hh_num!L26)</f>
        <v>11016.832625323266</v>
      </c>
      <c r="M26" s="65">
        <f>IF(SER_hh_tes!M26=0,0,11630*1000*SER_hh_tes!M26/SER_hh_num!M26)</f>
        <v>12407.334683275474</v>
      </c>
      <c r="N26" s="65">
        <f>IF(SER_hh_tes!N26=0,0,11630*1000*SER_hh_tes!N26/SER_hh_num!N26)</f>
        <v>11971.530587419769</v>
      </c>
      <c r="O26" s="65">
        <f>IF(SER_hh_tes!O26=0,0,11630*1000*SER_hh_tes!O26/SER_hh_num!O26)</f>
        <v>12624.738685494118</v>
      </c>
      <c r="P26" s="65">
        <f>IF(SER_hh_tes!P26=0,0,11630*1000*SER_hh_tes!P26/SER_hh_num!P26)</f>
        <v>13195.999716589018</v>
      </c>
      <c r="Q26" s="65">
        <f>IF(SER_hh_tes!Q26=0,0,11630*1000*SER_hh_tes!Q26/SER_hh_num!Q26)</f>
        <v>13908.084634912033</v>
      </c>
      <c r="R26" s="65">
        <f>IF(SER_hh_tes!R26=0,0,11630*1000*SER_hh_tes!R26/SER_hh_num!R26)</f>
        <v>14384.515441574291</v>
      </c>
      <c r="S26" s="65">
        <f>IF(SER_hh_tes!S26=0,0,11630*1000*SER_hh_tes!S26/SER_hh_num!S26)</f>
        <v>14346.457004072321</v>
      </c>
      <c r="T26" s="65">
        <f>IF(SER_hh_tes!T26=0,0,11630*1000*SER_hh_tes!T26/SER_hh_num!T26)</f>
        <v>12024.866756686191</v>
      </c>
      <c r="U26" s="65">
        <f>IF(SER_hh_tes!U26=0,0,11630*1000*SER_hh_tes!U26/SER_hh_num!U26)</f>
        <v>12674.118060177983</v>
      </c>
      <c r="V26" s="65">
        <f>IF(SER_hh_tes!V26=0,0,11630*1000*SER_hh_tes!V26/SER_hh_num!V26)</f>
        <v>12713.102570793046</v>
      </c>
      <c r="W26" s="65">
        <f>IF(SER_hh_tes!W26=0,0,11630*1000*SER_hh_tes!W26/SER_hh_num!W26)</f>
        <v>14101.745386175748</v>
      </c>
      <c r="X26" s="65">
        <f>IF(SER_hh_tes!X26=0,0,11630*1000*SER_hh_tes!X26/SER_hh_num!X26)</f>
        <v>13131.847897712398</v>
      </c>
      <c r="Y26" s="65">
        <f>IF(SER_hh_tes!Y26=0,0,11630*1000*SER_hh_tes!Y26/SER_hh_num!Y26)</f>
        <v>14937.741189614817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15408.592276690235</v>
      </c>
      <c r="C29" s="130">
        <f>IF(SER_hh_tes!C29=0,0,11630*1000*SER_hh_tes!C29/SER_hh_num!C29)</f>
        <v>16056.135732680339</v>
      </c>
      <c r="D29" s="130">
        <f>IF(SER_hh_tes!D29=0,0,11630*1000*SER_hh_tes!D29/SER_hh_num!D29)</f>
        <v>15876.163943236908</v>
      </c>
      <c r="E29" s="130">
        <f>IF(SER_hh_tes!E29=0,0,11630*1000*SER_hh_tes!E29/SER_hh_num!E29)</f>
        <v>15223.23767707423</v>
      </c>
      <c r="F29" s="130">
        <f>IF(SER_hh_tes!F29=0,0,11630*1000*SER_hh_tes!F29/SER_hh_num!F29)</f>
        <v>14891.746940006658</v>
      </c>
      <c r="G29" s="130">
        <f>IF(SER_hh_tes!G29=0,0,11630*1000*SER_hh_tes!G29/SER_hh_num!G29)</f>
        <v>14589.223943125729</v>
      </c>
      <c r="H29" s="130">
        <f>IF(SER_hh_tes!H29=0,0,11630*1000*SER_hh_tes!H29/SER_hh_num!H29)</f>
        <v>14300.605795042091</v>
      </c>
      <c r="I29" s="130">
        <f>IF(SER_hh_tes!I29=0,0,11630*1000*SER_hh_tes!I29/SER_hh_num!I29)</f>
        <v>13804.852003647398</v>
      </c>
      <c r="J29" s="130">
        <f>IF(SER_hh_tes!J29=0,0,11630*1000*SER_hh_tes!J29/SER_hh_num!J29)</f>
        <v>13455.860481053724</v>
      </c>
      <c r="K29" s="130">
        <f>IF(SER_hh_tes!K29=0,0,11630*1000*SER_hh_tes!K29/SER_hh_num!K29)</f>
        <v>13613.178024953739</v>
      </c>
      <c r="L29" s="130">
        <f>IF(SER_hh_tes!L29=0,0,11630*1000*SER_hh_tes!L29/SER_hh_num!L29)</f>
        <v>13738.059611619214</v>
      </c>
      <c r="M29" s="130">
        <f>IF(SER_hh_tes!M29=0,0,11630*1000*SER_hh_tes!M29/SER_hh_num!M29)</f>
        <v>14048.463224744737</v>
      </c>
      <c r="N29" s="130">
        <f>IF(SER_hh_tes!N29=0,0,11630*1000*SER_hh_tes!N29/SER_hh_num!N29)</f>
        <v>14467.743697959599</v>
      </c>
      <c r="O29" s="130">
        <f>IF(SER_hh_tes!O29=0,0,11630*1000*SER_hh_tes!O29/SER_hh_num!O29)</f>
        <v>14628.645116523527</v>
      </c>
      <c r="P29" s="130">
        <f>IF(SER_hh_tes!P29=0,0,11630*1000*SER_hh_tes!P29/SER_hh_num!P29)</f>
        <v>14936.867505243827</v>
      </c>
      <c r="Q29" s="130">
        <f>IF(SER_hh_tes!Q29=0,0,11630*1000*SER_hh_tes!Q29/SER_hh_num!Q29)</f>
        <v>15767.630202740402</v>
      </c>
      <c r="R29" s="130">
        <f>IF(SER_hh_tes!R29=0,0,11630*1000*SER_hh_tes!R29/SER_hh_num!R29)</f>
        <v>16272.806742061139</v>
      </c>
      <c r="S29" s="130">
        <f>IF(SER_hh_tes!S29=0,0,11630*1000*SER_hh_tes!S29/SER_hh_num!S29)</f>
        <v>16607.536794538817</v>
      </c>
      <c r="T29" s="130">
        <f>IF(SER_hh_tes!T29=0,0,11630*1000*SER_hh_tes!T29/SER_hh_num!T29)</f>
        <v>16910.286237396966</v>
      </c>
      <c r="U29" s="130">
        <f>IF(SER_hh_tes!U29=0,0,11630*1000*SER_hh_tes!U29/SER_hh_num!U29)</f>
        <v>17113.836563601697</v>
      </c>
      <c r="V29" s="130">
        <f>IF(SER_hh_tes!V29=0,0,11630*1000*SER_hh_tes!V29/SER_hh_num!V29)</f>
        <v>16146.825594757127</v>
      </c>
      <c r="W29" s="130">
        <f>IF(SER_hh_tes!W29=0,0,11630*1000*SER_hh_tes!W29/SER_hh_num!W29)</f>
        <v>16345.981087291126</v>
      </c>
      <c r="X29" s="130">
        <f>IF(SER_hh_tes!X29=0,0,11630*1000*SER_hh_tes!X29/SER_hh_num!X29)</f>
        <v>16564.868109462172</v>
      </c>
      <c r="Y29" s="130">
        <f>IF(SER_hh_tes!Y29=0,0,11630*1000*SER_hh_tes!Y29/SER_hh_num!Y29)</f>
        <v>16316.095371278105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16207.80129887916</v>
      </c>
      <c r="C30" s="132">
        <f>IF(SER_hh_tes!C30=0,0,11630*1000*SER_hh_tes!C30/SER_hh_num!C30)</f>
        <v>17997.713300226242</v>
      </c>
      <c r="D30" s="132">
        <f>IF(SER_hh_tes!D30=0,0,11630*1000*SER_hh_tes!D30/SER_hh_num!D30)</f>
        <v>12625.686813486287</v>
      </c>
      <c r="E30" s="132">
        <f>IF(SER_hh_tes!E30=0,0,11630*1000*SER_hh_tes!E30/SER_hh_num!E30)</f>
        <v>10504.841938320666</v>
      </c>
      <c r="F30" s="132">
        <f>IF(SER_hh_tes!F30=0,0,11630*1000*SER_hh_tes!F30/SER_hh_num!F30)</f>
        <v>15579.323370966216</v>
      </c>
      <c r="G30" s="132">
        <f>IF(SER_hh_tes!G30=0,0,11630*1000*SER_hh_tes!G30/SER_hh_num!G30)</f>
        <v>13351.844872675661</v>
      </c>
      <c r="H30" s="132">
        <f>IF(SER_hh_tes!H30=0,0,11630*1000*SER_hh_tes!H30/SER_hh_num!H30)</f>
        <v>9111.1639530976208</v>
      </c>
      <c r="I30" s="132">
        <f>IF(SER_hh_tes!I30=0,0,11630*1000*SER_hh_tes!I30/SER_hh_num!I30)</f>
        <v>19408.988510846135</v>
      </c>
      <c r="J30" s="132">
        <f>IF(SER_hh_tes!J30=0,0,11630*1000*SER_hh_tes!J30/SER_hh_num!J30)</f>
        <v>11832.827402536768</v>
      </c>
      <c r="K30" s="132">
        <f>IF(SER_hh_tes!K30=0,0,11630*1000*SER_hh_tes!K30/SER_hh_num!K30)</f>
        <v>13174.787353556438</v>
      </c>
      <c r="L30" s="132">
        <f>IF(SER_hh_tes!L30=0,0,11630*1000*SER_hh_tes!L30/SER_hh_num!L30)</f>
        <v>17953.98935146986</v>
      </c>
      <c r="M30" s="132">
        <f>IF(SER_hh_tes!M30=0,0,11630*1000*SER_hh_tes!M30/SER_hh_num!M30)</f>
        <v>8609.3431890873071</v>
      </c>
      <c r="N30" s="132">
        <f>IF(SER_hh_tes!N30=0,0,11630*1000*SER_hh_tes!N30/SER_hh_num!N30)</f>
        <v>16811.648349664389</v>
      </c>
      <c r="O30" s="132">
        <f>IF(SER_hh_tes!O30=0,0,11630*1000*SER_hh_tes!O30/SER_hh_num!O30)</f>
        <v>13714.681660155755</v>
      </c>
      <c r="P30" s="132">
        <f>IF(SER_hh_tes!P30=0,0,11630*1000*SER_hh_tes!P30/SER_hh_num!P30)</f>
        <v>14468.384712995732</v>
      </c>
      <c r="Q30" s="132">
        <f>IF(SER_hh_tes!Q30=0,0,11630*1000*SER_hh_tes!Q30/SER_hh_num!Q30)</f>
        <v>16731.528433480828</v>
      </c>
      <c r="R30" s="132">
        <f>IF(SER_hh_tes!R30=0,0,11630*1000*SER_hh_tes!R30/SER_hh_num!R30)</f>
        <v>14396.728270962414</v>
      </c>
      <c r="S30" s="132">
        <f>IF(SER_hh_tes!S30=0,0,11630*1000*SER_hh_tes!S30/SER_hh_num!S30)</f>
        <v>15126.197949151021</v>
      </c>
      <c r="T30" s="132">
        <f>IF(SER_hh_tes!T30=0,0,11630*1000*SER_hh_tes!T30/SER_hh_num!T30)</f>
        <v>17077.254245558601</v>
      </c>
      <c r="U30" s="132">
        <f>IF(SER_hh_tes!U30=0,0,11630*1000*SER_hh_tes!U30/SER_hh_num!U30)</f>
        <v>20012.355281824959</v>
      </c>
      <c r="V30" s="132">
        <f>IF(SER_hh_tes!V30=0,0,11630*1000*SER_hh_tes!V30/SER_hh_num!V30)</f>
        <v>17286.746753044001</v>
      </c>
      <c r="W30" s="132">
        <f>IF(SER_hh_tes!W30=0,0,11630*1000*SER_hh_tes!W30/SER_hh_num!W30)</f>
        <v>14668.375969168195</v>
      </c>
      <c r="X30" s="132">
        <f>IF(SER_hh_tes!X30=0,0,11630*1000*SER_hh_tes!X30/SER_hh_num!X30)</f>
        <v>19102.572197254089</v>
      </c>
      <c r="Y30" s="132">
        <f>IF(SER_hh_tes!Y30=0,0,11630*1000*SER_hh_tes!Y30/SER_hh_num!Y30)</f>
        <v>13093.76271796308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2105.5789606691255</v>
      </c>
      <c r="C31" s="132">
        <f>IF(SER_hh_tes!C31=0,0,11630*1000*SER_hh_tes!C31/SER_hh_num!C31)</f>
        <v>20426.28628793134</v>
      </c>
      <c r="D31" s="132">
        <f>IF(SER_hh_tes!D31=0,0,11630*1000*SER_hh_tes!D31/SER_hh_num!D31)</f>
        <v>18626.802395803606</v>
      </c>
      <c r="E31" s="132">
        <f>IF(SER_hh_tes!E31=0,0,11630*1000*SER_hh_tes!E31/SER_hh_num!E31)</f>
        <v>15441.036613367784</v>
      </c>
      <c r="F31" s="132">
        <f>IF(SER_hh_tes!F31=0,0,11630*1000*SER_hh_tes!F31/SER_hh_num!F31)</f>
        <v>16696.799607279201</v>
      </c>
      <c r="G31" s="132">
        <f>IF(SER_hh_tes!G31=0,0,11630*1000*SER_hh_tes!G31/SER_hh_num!G31)</f>
        <v>14983.375597009532</v>
      </c>
      <c r="H31" s="132">
        <f>IF(SER_hh_tes!H31=0,0,11630*1000*SER_hh_tes!H31/SER_hh_num!H31)</f>
        <v>10623.14416967987</v>
      </c>
      <c r="I31" s="132">
        <f>IF(SER_hh_tes!I31=0,0,11630*1000*SER_hh_tes!I31/SER_hh_num!I31)</f>
        <v>10900.147066009027</v>
      </c>
      <c r="J31" s="132">
        <f>IF(SER_hh_tes!J31=0,0,11630*1000*SER_hh_tes!J31/SER_hh_num!J31)</f>
        <v>5640.2848876164016</v>
      </c>
      <c r="K31" s="132">
        <f>IF(SER_hh_tes!K31=0,0,11630*1000*SER_hh_tes!K31/SER_hh_num!K31)</f>
        <v>16012.584890405436</v>
      </c>
      <c r="L31" s="132">
        <f>IF(SER_hh_tes!L31=0,0,11630*1000*SER_hh_tes!L31/SER_hh_num!L31)</f>
        <v>14482.879414272578</v>
      </c>
      <c r="M31" s="132">
        <f>IF(SER_hh_tes!M31=0,0,11630*1000*SER_hh_tes!M31/SER_hh_num!M31)</f>
        <v>13760.644282295387</v>
      </c>
      <c r="N31" s="132">
        <f>IF(SER_hh_tes!N31=0,0,11630*1000*SER_hh_tes!N31/SER_hh_num!N31)</f>
        <v>11484.710287123198</v>
      </c>
      <c r="O31" s="132">
        <f>IF(SER_hh_tes!O31=0,0,11630*1000*SER_hh_tes!O31/SER_hh_num!O31)</f>
        <v>13281.784618503198</v>
      </c>
      <c r="P31" s="132">
        <f>IF(SER_hh_tes!P31=0,0,11630*1000*SER_hh_tes!P31/SER_hh_num!P31)</f>
        <v>16191.319379347431</v>
      </c>
      <c r="Q31" s="132">
        <f>IF(SER_hh_tes!Q31=0,0,11630*1000*SER_hh_tes!Q31/SER_hh_num!Q31)</f>
        <v>16122.516169326844</v>
      </c>
      <c r="R31" s="132">
        <f>IF(SER_hh_tes!R31=0,0,11630*1000*SER_hh_tes!R31/SER_hh_num!R31)</f>
        <v>20845.246718413931</v>
      </c>
      <c r="S31" s="132">
        <f>IF(SER_hh_tes!S31=0,0,11630*1000*SER_hh_tes!S31/SER_hh_num!S31)</f>
        <v>17635.978422716678</v>
      </c>
      <c r="T31" s="132">
        <f>IF(SER_hh_tes!T31=0,0,11630*1000*SER_hh_tes!T31/SER_hh_num!T31)</f>
        <v>12538.263061230313</v>
      </c>
      <c r="U31" s="132">
        <f>IF(SER_hh_tes!U31=0,0,11630*1000*SER_hh_tes!U31/SER_hh_num!U31)</f>
        <v>16948.394147794686</v>
      </c>
      <c r="V31" s="132">
        <f>IF(SER_hh_tes!V31=0,0,11630*1000*SER_hh_tes!V31/SER_hh_num!V31)</f>
        <v>16398.748402801564</v>
      </c>
      <c r="W31" s="132">
        <f>IF(SER_hh_tes!W31=0,0,11630*1000*SER_hh_tes!W31/SER_hh_num!W31)</f>
        <v>14687.486653035427</v>
      </c>
      <c r="X31" s="132">
        <f>IF(SER_hh_tes!X31=0,0,11630*1000*SER_hh_tes!X31/SER_hh_num!X31)</f>
        <v>17214.713224226241</v>
      </c>
      <c r="Y31" s="132">
        <f>IF(SER_hh_tes!Y31=0,0,11630*1000*SER_hh_tes!Y31/SER_hh_num!Y31)</f>
        <v>16241.196574730322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16527.466431433117</v>
      </c>
      <c r="C33" s="68">
        <f>IF(SER_hh_tes!C33=0,0,11630*1000*SER_hh_tes!C33/SER_hh_num!C33)</f>
        <v>12243.671548842376</v>
      </c>
      <c r="D33" s="68">
        <f>IF(SER_hh_tes!D33=0,0,11630*1000*SER_hh_tes!D33/SER_hh_num!D33)</f>
        <v>16901.831987116806</v>
      </c>
      <c r="E33" s="68">
        <f>IF(SER_hh_tes!E33=0,0,11630*1000*SER_hh_tes!E33/SER_hh_num!E33)</f>
        <v>16704.795908219705</v>
      </c>
      <c r="F33" s="68">
        <f>IF(SER_hh_tes!F33=0,0,11630*1000*SER_hh_tes!F33/SER_hh_num!F33)</f>
        <v>14390.377697148009</v>
      </c>
      <c r="G33" s="68">
        <f>IF(SER_hh_tes!G33=0,0,11630*1000*SER_hh_tes!G33/SER_hh_num!G33)</f>
        <v>14837.379634673334</v>
      </c>
      <c r="H33" s="68">
        <f>IF(SER_hh_tes!H33=0,0,11630*1000*SER_hh_tes!H33/SER_hh_num!H33)</f>
        <v>15933.583594992508</v>
      </c>
      <c r="I33" s="68">
        <f>IF(SER_hh_tes!I33=0,0,11630*1000*SER_hh_tes!I33/SER_hh_num!I33)</f>
        <v>12028.461798258222</v>
      </c>
      <c r="J33" s="68">
        <f>IF(SER_hh_tes!J33=0,0,11630*1000*SER_hh_tes!J33/SER_hh_num!J33)</f>
        <v>14442.385503069463</v>
      </c>
      <c r="K33" s="68">
        <f>IF(SER_hh_tes!K33=0,0,11630*1000*SER_hh_tes!K33/SER_hh_num!K33)</f>
        <v>13633.330447577298</v>
      </c>
      <c r="L33" s="68">
        <f>IF(SER_hh_tes!L33=0,0,11630*1000*SER_hh_tes!L33/SER_hh_num!L33)</f>
        <v>12217.085783871715</v>
      </c>
      <c r="M33" s="68">
        <f>IF(SER_hh_tes!M33=0,0,11630*1000*SER_hh_tes!M33/SER_hh_num!M33)</f>
        <v>15534.310494637339</v>
      </c>
      <c r="N33" s="68">
        <f>IF(SER_hh_tes!N33=0,0,11630*1000*SER_hh_tes!N33/SER_hh_num!N33)</f>
        <v>14080.383847656018</v>
      </c>
      <c r="O33" s="68">
        <f>IF(SER_hh_tes!O33=0,0,11630*1000*SER_hh_tes!O33/SER_hh_num!O33)</f>
        <v>15002.374675815739</v>
      </c>
      <c r="P33" s="68">
        <f>IF(SER_hh_tes!P33=0,0,11630*1000*SER_hh_tes!P33/SER_hh_num!P33)</f>
        <v>14854.789754156807</v>
      </c>
      <c r="Q33" s="68">
        <f>IF(SER_hh_tes!Q33=0,0,11630*1000*SER_hh_tes!Q33/SER_hh_num!Q33)</f>
        <v>15467.707026269873</v>
      </c>
      <c r="R33" s="68">
        <f>IF(SER_hh_tes!R33=0,0,11630*1000*SER_hh_tes!R33/SER_hh_num!R33)</f>
        <v>15887.618542807651</v>
      </c>
      <c r="S33" s="68">
        <f>IF(SER_hh_tes!S33=0,0,11630*1000*SER_hh_tes!S33/SER_hh_num!S33)</f>
        <v>16833.967553803013</v>
      </c>
      <c r="T33" s="68">
        <f>IF(SER_hh_tes!T33=0,0,11630*1000*SER_hh_tes!T33/SER_hh_num!T33)</f>
        <v>17393.168382027805</v>
      </c>
      <c r="U33" s="68">
        <f>IF(SER_hh_tes!U33=0,0,11630*1000*SER_hh_tes!U33/SER_hh_num!U33)</f>
        <v>16178.573187164116</v>
      </c>
      <c r="V33" s="68">
        <f>IF(SER_hh_tes!V33=0,0,11630*1000*SER_hh_tes!V33/SER_hh_num!V33)</f>
        <v>15763.801989605439</v>
      </c>
      <c r="W33" s="68">
        <f>IF(SER_hh_tes!W33=0,0,11630*1000*SER_hh_tes!W33/SER_hh_num!W33)</f>
        <v>16910.957107909147</v>
      </c>
      <c r="X33" s="68">
        <f>IF(SER_hh_tes!X33=0,0,11630*1000*SER_hh_tes!X33/SER_hh_num!X33)</f>
        <v>15967.019768508222</v>
      </c>
      <c r="Y33" s="68">
        <f>IF(SER_hh_tes!Y33=0,0,11630*1000*SER_hh_tes!Y33/SER_hh_num!Y33)</f>
        <v>16872.94281442212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45855.865104346798</v>
      </c>
      <c r="C3" s="125">
        <f>IF(SER_hh_emi!C3=0,0,1000000*SER_hh_emi!C3/SER_hh_num!C3)</f>
        <v>68893.657781019152</v>
      </c>
      <c r="D3" s="125">
        <f>IF(SER_hh_emi!D3=0,0,1000000*SER_hh_emi!D3/SER_hh_num!D3)</f>
        <v>56417.526935753529</v>
      </c>
      <c r="E3" s="125">
        <f>IF(SER_hh_emi!E3=0,0,1000000*SER_hh_emi!E3/SER_hh_num!E3)</f>
        <v>39515.010967186208</v>
      </c>
      <c r="F3" s="125">
        <f>IF(SER_hh_emi!F3=0,0,1000000*SER_hh_emi!F3/SER_hh_num!F3)</f>
        <v>38777.572127605425</v>
      </c>
      <c r="G3" s="125">
        <f>IF(SER_hh_emi!G3=0,0,1000000*SER_hh_emi!G3/SER_hh_num!G3)</f>
        <v>32856.918559890364</v>
      </c>
      <c r="H3" s="125">
        <f>IF(SER_hh_emi!H3=0,0,1000000*SER_hh_emi!H3/SER_hh_num!H3)</f>
        <v>25661.674205799543</v>
      </c>
      <c r="I3" s="125">
        <f>IF(SER_hh_emi!I3=0,0,1000000*SER_hh_emi!I3/SER_hh_num!I3)</f>
        <v>17786.80883775654</v>
      </c>
      <c r="J3" s="125">
        <f>IF(SER_hh_emi!J3=0,0,1000000*SER_hh_emi!J3/SER_hh_num!J3)</f>
        <v>25678.419445840835</v>
      </c>
      <c r="K3" s="125">
        <f>IF(SER_hh_emi!K3=0,0,1000000*SER_hh_emi!K3/SER_hh_num!K3)</f>
        <v>24377.582311027123</v>
      </c>
      <c r="L3" s="125">
        <f>IF(SER_hh_emi!L3=0,0,1000000*SER_hh_emi!L3/SER_hh_num!L3)</f>
        <v>25899.08378554049</v>
      </c>
      <c r="M3" s="125">
        <f>IF(SER_hh_emi!M3=0,0,1000000*SER_hh_emi!M3/SER_hh_num!M3)</f>
        <v>21573.059834295735</v>
      </c>
      <c r="N3" s="125">
        <f>IF(SER_hh_emi!N3=0,0,1000000*SER_hh_emi!N3/SER_hh_num!N3)</f>
        <v>15283.170451652742</v>
      </c>
      <c r="O3" s="125">
        <f>IF(SER_hh_emi!O3=0,0,1000000*SER_hh_emi!O3/SER_hh_num!O3)</f>
        <v>15022.397174827707</v>
      </c>
      <c r="P3" s="125">
        <f>IF(SER_hh_emi!P3=0,0,1000000*SER_hh_emi!P3/SER_hh_num!P3)</f>
        <v>12268.78787703707</v>
      </c>
      <c r="Q3" s="125">
        <f>IF(SER_hh_emi!Q3=0,0,1000000*SER_hh_emi!Q3/SER_hh_num!Q3)</f>
        <v>13783.400801778043</v>
      </c>
      <c r="R3" s="125">
        <f>IF(SER_hh_emi!R3=0,0,1000000*SER_hh_emi!R3/SER_hh_num!R3)</f>
        <v>15935.092172452392</v>
      </c>
      <c r="S3" s="125">
        <f>IF(SER_hh_emi!S3=0,0,1000000*SER_hh_emi!S3/SER_hh_num!S3)</f>
        <v>12452.210404668462</v>
      </c>
      <c r="T3" s="125">
        <f>IF(SER_hh_emi!T3=0,0,1000000*SER_hh_emi!T3/SER_hh_num!T3)</f>
        <v>11750.19773119405</v>
      </c>
      <c r="U3" s="125">
        <f>IF(SER_hh_emi!U3=0,0,1000000*SER_hh_emi!U3/SER_hh_num!U3)</f>
        <v>11149.271402127235</v>
      </c>
      <c r="V3" s="125">
        <f>IF(SER_hh_emi!V3=0,0,1000000*SER_hh_emi!V3/SER_hh_num!V3)</f>
        <v>10764.816569391262</v>
      </c>
      <c r="W3" s="125">
        <f>IF(SER_hh_emi!W3=0,0,1000000*SER_hh_emi!W3/SER_hh_num!W3)</f>
        <v>8070.8176249645358</v>
      </c>
      <c r="X3" s="125">
        <f>IF(SER_hh_emi!X3=0,0,1000000*SER_hh_emi!X3/SER_hh_num!X3)</f>
        <v>10789.357854615399</v>
      </c>
      <c r="Y3" s="125">
        <f>IF(SER_hh_emi!Y3=0,0,1000000*SER_hh_emi!Y3/SER_hh_num!Y3)</f>
        <v>12444.00686958081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37762.776014319061</v>
      </c>
      <c r="C4" s="130">
        <f>IF(SER_hh_emi!C4=0,0,1000000*SER_hh_emi!C4/SER_hh_num!C4)</f>
        <v>60461.61022488655</v>
      </c>
      <c r="D4" s="130">
        <f>IF(SER_hh_emi!D4=0,0,1000000*SER_hh_emi!D4/SER_hh_num!D4)</f>
        <v>49852.708983984347</v>
      </c>
      <c r="E4" s="130">
        <f>IF(SER_hh_emi!E4=0,0,1000000*SER_hh_emi!E4/SER_hh_num!E4)</f>
        <v>33604.777984036962</v>
      </c>
      <c r="F4" s="130">
        <f>IF(SER_hh_emi!F4=0,0,1000000*SER_hh_emi!F4/SER_hh_num!F4)</f>
        <v>32913.040853260631</v>
      </c>
      <c r="G4" s="130">
        <f>IF(SER_hh_emi!G4=0,0,1000000*SER_hh_emi!G4/SER_hh_num!G4)</f>
        <v>27489.473632225181</v>
      </c>
      <c r="H4" s="130">
        <f>IF(SER_hh_emi!H4=0,0,1000000*SER_hh_emi!H4/SER_hh_num!H4)</f>
        <v>20918.740964993787</v>
      </c>
      <c r="I4" s="130">
        <f>IF(SER_hh_emi!I4=0,0,1000000*SER_hh_emi!I4/SER_hh_num!I4)</f>
        <v>12028.337675171106</v>
      </c>
      <c r="J4" s="130">
        <f>IF(SER_hh_emi!J4=0,0,1000000*SER_hh_emi!J4/SER_hh_num!J4)</f>
        <v>21015.334070285106</v>
      </c>
      <c r="K4" s="130">
        <f>IF(SER_hh_emi!K4=0,0,1000000*SER_hh_emi!K4/SER_hh_num!K4)</f>
        <v>19501.879812326089</v>
      </c>
      <c r="L4" s="130">
        <f>IF(SER_hh_emi!L4=0,0,1000000*SER_hh_emi!L4/SER_hh_num!L4)</f>
        <v>20698.881657912745</v>
      </c>
      <c r="M4" s="130">
        <f>IF(SER_hh_emi!M4=0,0,1000000*SER_hh_emi!M4/SER_hh_num!M4)</f>
        <v>17902.669418646008</v>
      </c>
      <c r="N4" s="130">
        <f>IF(SER_hh_emi!N4=0,0,1000000*SER_hh_emi!N4/SER_hh_num!N4)</f>
        <v>11207.518208993723</v>
      </c>
      <c r="O4" s="130">
        <f>IF(SER_hh_emi!O4=0,0,1000000*SER_hh_emi!O4/SER_hh_num!O4)</f>
        <v>11494.821913594322</v>
      </c>
      <c r="P4" s="130">
        <f>IF(SER_hh_emi!P4=0,0,1000000*SER_hh_emi!P4/SER_hh_num!P4)</f>
        <v>8752.5072541601148</v>
      </c>
      <c r="Q4" s="130">
        <f>IF(SER_hh_emi!Q4=0,0,1000000*SER_hh_emi!Q4/SER_hh_num!Q4)</f>
        <v>10206.05910946547</v>
      </c>
      <c r="R4" s="130">
        <f>IF(SER_hh_emi!R4=0,0,1000000*SER_hh_emi!R4/SER_hh_num!R4)</f>
        <v>12259.377570766683</v>
      </c>
      <c r="S4" s="130">
        <f>IF(SER_hh_emi!S4=0,0,1000000*SER_hh_emi!S4/SER_hh_num!S4)</f>
        <v>9095.2417584232244</v>
      </c>
      <c r="T4" s="130">
        <f>IF(SER_hh_emi!T4=0,0,1000000*SER_hh_emi!T4/SER_hh_num!T4)</f>
        <v>8129.9226837129027</v>
      </c>
      <c r="U4" s="130">
        <f>IF(SER_hh_emi!U4=0,0,1000000*SER_hh_emi!U4/SER_hh_num!U4)</f>
        <v>7181.6565261602373</v>
      </c>
      <c r="V4" s="130">
        <f>IF(SER_hh_emi!V4=0,0,1000000*SER_hh_emi!V4/SER_hh_num!V4)</f>
        <v>7315.0767339666272</v>
      </c>
      <c r="W4" s="130">
        <f>IF(SER_hh_emi!W4=0,0,1000000*SER_hh_emi!W4/SER_hh_num!W4)</f>
        <v>5350.1992300588399</v>
      </c>
      <c r="X4" s="130">
        <f>IF(SER_hh_emi!X4=0,0,1000000*SER_hh_emi!X4/SER_hh_num!X4)</f>
        <v>7804.8337804749499</v>
      </c>
      <c r="Y4" s="130">
        <f>IF(SER_hh_emi!Y4=0,0,1000000*SER_hh_emi!Y4/SER_hh_num!Y4)</f>
        <v>10293.857127194844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74291.756057488543</v>
      </c>
      <c r="C7" s="132">
        <f>IF(SER_hh_emi!C7=0,0,1000000*SER_hh_emi!C7/SER_hh_num!C7)</f>
        <v>108986.99457690865</v>
      </c>
      <c r="D7" s="132">
        <f>IF(SER_hh_emi!D7=0,0,1000000*SER_hh_emi!D7/SER_hh_num!D7)</f>
        <v>85905.866120694351</v>
      </c>
      <c r="E7" s="132">
        <f>IF(SER_hh_emi!E7=0,0,1000000*SER_hh_emi!E7/SER_hh_num!E7)</f>
        <v>58526.529213405614</v>
      </c>
      <c r="F7" s="132">
        <f>IF(SER_hh_emi!F7=0,0,1000000*SER_hh_emi!F7/SER_hh_num!F7)</f>
        <v>54833.278951333457</v>
      </c>
      <c r="G7" s="132">
        <f>IF(SER_hh_emi!G7=0,0,1000000*SER_hh_emi!G7/SER_hh_num!G7)</f>
        <v>48701.882333544112</v>
      </c>
      <c r="H7" s="132">
        <f>IF(SER_hh_emi!H7=0,0,1000000*SER_hh_emi!H7/SER_hh_num!H7)</f>
        <v>38763.986873010348</v>
      </c>
      <c r="I7" s="132">
        <f>IF(SER_hh_emi!I7=0,0,1000000*SER_hh_emi!I7/SER_hh_num!I7)</f>
        <v>22806.782050375314</v>
      </c>
      <c r="J7" s="132">
        <f>IF(SER_hh_emi!J7=0,0,1000000*SER_hh_emi!J7/SER_hh_num!J7)</f>
        <v>40675.670187697346</v>
      </c>
      <c r="K7" s="132">
        <f>IF(SER_hh_emi!K7=0,0,1000000*SER_hh_emi!K7/SER_hh_num!K7)</f>
        <v>38260.935630558772</v>
      </c>
      <c r="L7" s="132">
        <f>IF(SER_hh_emi!L7=0,0,1000000*SER_hh_emi!L7/SER_hh_num!L7)</f>
        <v>45237.934894881924</v>
      </c>
      <c r="M7" s="132">
        <f>IF(SER_hh_emi!M7=0,0,1000000*SER_hh_emi!M7/SER_hh_num!M7)</f>
        <v>41277.90982585647</v>
      </c>
      <c r="N7" s="132">
        <f>IF(SER_hh_emi!N7=0,0,1000000*SER_hh_emi!N7/SER_hh_num!N7)</f>
        <v>33392.665496033987</v>
      </c>
      <c r="O7" s="132">
        <f>IF(SER_hh_emi!O7=0,0,1000000*SER_hh_emi!O7/SER_hh_num!O7)</f>
        <v>34343.537551662062</v>
      </c>
      <c r="P7" s="132">
        <f>IF(SER_hh_emi!P7=0,0,1000000*SER_hh_emi!P7/SER_hh_num!P7)</f>
        <v>26629.738537761907</v>
      </c>
      <c r="Q7" s="132">
        <f>IF(SER_hh_emi!Q7=0,0,1000000*SER_hh_emi!Q7/SER_hh_num!Q7)</f>
        <v>30627.357667905988</v>
      </c>
      <c r="R7" s="132">
        <f>IF(SER_hh_emi!R7=0,0,1000000*SER_hh_emi!R7/SER_hh_num!R7)</f>
        <v>36970.529311506369</v>
      </c>
      <c r="S7" s="132">
        <f>IF(SER_hh_emi!S7=0,0,1000000*SER_hh_emi!S7/SER_hh_num!S7)</f>
        <v>29728.211412828834</v>
      </c>
      <c r="T7" s="132">
        <f>IF(SER_hh_emi!T7=0,0,1000000*SER_hh_emi!T7/SER_hh_num!T7)</f>
        <v>31937.873292701359</v>
      </c>
      <c r="U7" s="132">
        <f>IF(SER_hh_emi!U7=0,0,1000000*SER_hh_emi!U7/SER_hh_num!U7)</f>
        <v>26800.876961257683</v>
      </c>
      <c r="V7" s="132">
        <f>IF(SER_hh_emi!V7=0,0,1000000*SER_hh_emi!V7/SER_hh_num!V7)</f>
        <v>31085.757211419972</v>
      </c>
      <c r="W7" s="132">
        <f>IF(SER_hh_emi!W7=0,0,1000000*SER_hh_emi!W7/SER_hh_num!W7)</f>
        <v>20628.765279541549</v>
      </c>
      <c r="X7" s="132">
        <f>IF(SER_hh_emi!X7=0,0,1000000*SER_hh_emi!X7/SER_hh_num!X7)</f>
        <v>22907.663497347217</v>
      </c>
      <c r="Y7" s="132">
        <f>IF(SER_hh_emi!Y7=0,0,1000000*SER_hh_emi!Y7/SER_hh_num!Y7)</f>
        <v>31540.161139024465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30026.596080491414</v>
      </c>
      <c r="C9" s="132">
        <f>IF(SER_hh_emi!C9=0,0,1000000*SER_hh_emi!C9/SER_hh_num!C9)</f>
        <v>76839.437714559012</v>
      </c>
      <c r="D9" s="132">
        <f>IF(SER_hh_emi!D9=0,0,1000000*SER_hh_emi!D9/SER_hh_num!D9)</f>
        <v>74739.883468725457</v>
      </c>
      <c r="E9" s="132">
        <f>IF(SER_hh_emi!E9=0,0,1000000*SER_hh_emi!E9/SER_hh_num!E9)</f>
        <v>35429.780627594089</v>
      </c>
      <c r="F9" s="132">
        <f>IF(SER_hh_emi!F9=0,0,1000000*SER_hh_emi!F9/SER_hh_num!F9)</f>
        <v>48469.733736013441</v>
      </c>
      <c r="G9" s="132">
        <f>IF(SER_hh_emi!G9=0,0,1000000*SER_hh_emi!G9/SER_hh_num!G9)</f>
        <v>25823.717537619345</v>
      </c>
      <c r="H9" s="132">
        <f>IF(SER_hh_emi!H9=0,0,1000000*SER_hh_emi!H9/SER_hh_num!H9)</f>
        <v>18175.693022022122</v>
      </c>
      <c r="I9" s="132">
        <f>IF(SER_hh_emi!I9=0,0,1000000*SER_hh_emi!I9/SER_hh_num!I9)</f>
        <v>17402.979365169049</v>
      </c>
      <c r="J9" s="132">
        <f>IF(SER_hh_emi!J9=0,0,1000000*SER_hh_emi!J9/SER_hh_num!J9)</f>
        <v>19905.286819736128</v>
      </c>
      <c r="K9" s="132">
        <f>IF(SER_hh_emi!K9=0,0,1000000*SER_hh_emi!K9/SER_hh_num!K9)</f>
        <v>22657.562784820369</v>
      </c>
      <c r="L9" s="132">
        <f>IF(SER_hh_emi!L9=0,0,1000000*SER_hh_emi!L9/SER_hh_num!L9)</f>
        <v>27061.513940683235</v>
      </c>
      <c r="M9" s="132">
        <f>IF(SER_hh_emi!M9=0,0,1000000*SER_hh_emi!M9/SER_hh_num!M9)</f>
        <v>39265.026005859108</v>
      </c>
      <c r="N9" s="132">
        <f>IF(SER_hh_emi!N9=0,0,1000000*SER_hh_emi!N9/SER_hh_num!N9)</f>
        <v>10031.377005524628</v>
      </c>
      <c r="O9" s="132">
        <f>IF(SER_hh_emi!O9=0,0,1000000*SER_hh_emi!O9/SER_hh_num!O9)</f>
        <v>21368.068555664111</v>
      </c>
      <c r="P9" s="132">
        <f>IF(SER_hh_emi!P9=0,0,1000000*SER_hh_emi!P9/SER_hh_num!P9)</f>
        <v>17574.103671186986</v>
      </c>
      <c r="Q9" s="132">
        <f>IF(SER_hh_emi!Q9=0,0,1000000*SER_hh_emi!Q9/SER_hh_num!Q9)</f>
        <v>20760.9737443345</v>
      </c>
      <c r="R9" s="132">
        <f>IF(SER_hh_emi!R9=0,0,1000000*SER_hh_emi!R9/SER_hh_num!R9)</f>
        <v>25734.267361567643</v>
      </c>
      <c r="S9" s="132">
        <f>IF(SER_hh_emi!S9=0,0,1000000*SER_hh_emi!S9/SER_hh_num!S9)</f>
        <v>21772.145603270819</v>
      </c>
      <c r="T9" s="132">
        <f>IF(SER_hh_emi!T9=0,0,1000000*SER_hh_emi!T9/SER_hh_num!T9)</f>
        <v>14850.764967464198</v>
      </c>
      <c r="U9" s="132">
        <f>IF(SER_hh_emi!U9=0,0,1000000*SER_hh_emi!U9/SER_hh_num!U9)</f>
        <v>18319.322283367906</v>
      </c>
      <c r="V9" s="132">
        <f>IF(SER_hh_emi!V9=0,0,1000000*SER_hh_emi!V9/SER_hh_num!V9)</f>
        <v>14493.435555736116</v>
      </c>
      <c r="W9" s="132">
        <f>IF(SER_hh_emi!W9=0,0,1000000*SER_hh_emi!W9/SER_hh_num!W9)</f>
        <v>12059.867664277135</v>
      </c>
      <c r="X9" s="132">
        <f>IF(SER_hh_emi!X9=0,0,1000000*SER_hh_emi!X9/SER_hh_num!X9)</f>
        <v>24123.904353033013</v>
      </c>
      <c r="Y9" s="132">
        <f>IF(SER_hh_emi!Y9=0,0,1000000*SER_hh_emi!Y9/SER_hh_num!Y9)</f>
        <v>20465.550417353741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4492.3455925659709</v>
      </c>
      <c r="C19" s="130">
        <f>IF(SER_hh_emi!C19=0,0,1000000*SER_hh_emi!C19/SER_hh_num!C19)</f>
        <v>4288.3344857880975</v>
      </c>
      <c r="D19" s="130">
        <f>IF(SER_hh_emi!D19=0,0,1000000*SER_hh_emi!D19/SER_hh_num!D19)</f>
        <v>4155.8717435207336</v>
      </c>
      <c r="E19" s="130">
        <f>IF(SER_hh_emi!E19=0,0,1000000*SER_hh_emi!E19/SER_hh_num!E19)</f>
        <v>4293.6903131051085</v>
      </c>
      <c r="F19" s="130">
        <f>IF(SER_hh_emi!F19=0,0,1000000*SER_hh_emi!F19/SER_hh_num!F19)</f>
        <v>4160.4702554881669</v>
      </c>
      <c r="G19" s="130">
        <f>IF(SER_hh_emi!G19=0,0,1000000*SER_hh_emi!G19/SER_hh_num!G19)</f>
        <v>4017.7837964985488</v>
      </c>
      <c r="H19" s="130">
        <f>IF(SER_hh_emi!H19=0,0,1000000*SER_hh_emi!H19/SER_hh_num!H19)</f>
        <v>3881.6028248918924</v>
      </c>
      <c r="I19" s="130">
        <f>IF(SER_hh_emi!I19=0,0,1000000*SER_hh_emi!I19/SER_hh_num!I19)</f>
        <v>3804.242325789151</v>
      </c>
      <c r="J19" s="130">
        <f>IF(SER_hh_emi!J19=0,0,1000000*SER_hh_emi!J19/SER_hh_num!J19)</f>
        <v>3490.3726059423984</v>
      </c>
      <c r="K19" s="130">
        <f>IF(SER_hh_emi!K19=0,0,1000000*SER_hh_emi!K19/SER_hh_num!K19)</f>
        <v>3430.9473959940883</v>
      </c>
      <c r="L19" s="130">
        <f>IF(SER_hh_emi!L19=0,0,1000000*SER_hh_emi!L19/SER_hh_num!L19)</f>
        <v>3330.7701429445233</v>
      </c>
      <c r="M19" s="130">
        <f>IF(SER_hh_emi!M19=0,0,1000000*SER_hh_emi!M19/SER_hh_num!M19)</f>
        <v>2793.0497803620151</v>
      </c>
      <c r="N19" s="130">
        <f>IF(SER_hh_emi!N19=0,0,1000000*SER_hh_emi!N19/SER_hh_num!N19)</f>
        <v>2598.8444982370661</v>
      </c>
      <c r="O19" s="130">
        <f>IF(SER_hh_emi!O19=0,0,1000000*SER_hh_emi!O19/SER_hh_num!O19)</f>
        <v>2260.7874835865568</v>
      </c>
      <c r="P19" s="130">
        <f>IF(SER_hh_emi!P19=0,0,1000000*SER_hh_emi!P19/SER_hh_num!P19)</f>
        <v>1988.1639648483517</v>
      </c>
      <c r="Q19" s="130">
        <f>IF(SER_hh_emi!Q19=0,0,1000000*SER_hh_emi!Q19/SER_hh_num!Q19)</f>
        <v>1836.0269633668054</v>
      </c>
      <c r="R19" s="130">
        <f>IF(SER_hh_emi!R19=0,0,1000000*SER_hh_emi!R19/SER_hh_num!R19)</f>
        <v>1899.4668537493496</v>
      </c>
      <c r="S19" s="130">
        <f>IF(SER_hh_emi!S19=0,0,1000000*SER_hh_emi!S19/SER_hh_num!S19)</f>
        <v>1653.9244522635061</v>
      </c>
      <c r="T19" s="130">
        <f>IF(SER_hh_emi!T19=0,0,1000000*SER_hh_emi!T19/SER_hh_num!T19)</f>
        <v>1926.356627085333</v>
      </c>
      <c r="U19" s="130">
        <f>IF(SER_hh_emi!U19=0,0,1000000*SER_hh_emi!U19/SER_hh_num!U19)</f>
        <v>1886.3766828145099</v>
      </c>
      <c r="V19" s="130">
        <f>IF(SER_hh_emi!V19=0,0,1000000*SER_hh_emi!V19/SER_hh_num!V19)</f>
        <v>1712.992688772383</v>
      </c>
      <c r="W19" s="130">
        <f>IF(SER_hh_emi!W19=0,0,1000000*SER_hh_emi!W19/SER_hh_num!W19)</f>
        <v>1417.8978560228561</v>
      </c>
      <c r="X19" s="130">
        <f>IF(SER_hh_emi!X19=0,0,1000000*SER_hh_emi!X19/SER_hh_num!X19)</f>
        <v>1499.5291436437615</v>
      </c>
      <c r="Y19" s="130">
        <f>IF(SER_hh_emi!Y19=0,0,1000000*SER_hh_emi!Y19/SER_hh_num!Y19)</f>
        <v>1190.6469837793131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5563.5908408127352</v>
      </c>
      <c r="C21" s="132">
        <f>IF(SER_hh_emi!C21=0,0,1000000*SER_hh_emi!C21/SER_hh_num!C21)</f>
        <v>4777.5072881743536</v>
      </c>
      <c r="D21" s="132">
        <f>IF(SER_hh_emi!D21=0,0,1000000*SER_hh_emi!D21/SER_hh_num!D21)</f>
        <v>5102.7886212925659</v>
      </c>
      <c r="E21" s="132">
        <f>IF(SER_hh_emi!E21=0,0,1000000*SER_hh_emi!E21/SER_hh_num!E21)</f>
        <v>4956.6943091712255</v>
      </c>
      <c r="F21" s="132">
        <f>IF(SER_hh_emi!F21=0,0,1000000*SER_hh_emi!F21/SER_hh_num!F21)</f>
        <v>4825.1720445721576</v>
      </c>
      <c r="G21" s="132">
        <f>IF(SER_hh_emi!G21=0,0,1000000*SER_hh_emi!G21/SER_hh_num!G21)</f>
        <v>4741.6717918842896</v>
      </c>
      <c r="H21" s="132">
        <f>IF(SER_hh_emi!H21=0,0,1000000*SER_hh_emi!H21/SER_hh_num!H21)</f>
        <v>4658.9995479790969</v>
      </c>
      <c r="I21" s="132">
        <f>IF(SER_hh_emi!I21=0,0,1000000*SER_hh_emi!I21/SER_hh_num!I21)</f>
        <v>4639.5874631325914</v>
      </c>
      <c r="J21" s="132">
        <f>IF(SER_hh_emi!J21=0,0,1000000*SER_hh_emi!J21/SER_hh_num!J21)</f>
        <v>4496.3995368400774</v>
      </c>
      <c r="K21" s="132">
        <f>IF(SER_hh_emi!K21=0,0,1000000*SER_hh_emi!K21/SER_hh_num!K21)</f>
        <v>4544.7987275506193</v>
      </c>
      <c r="L21" s="132">
        <f>IF(SER_hh_emi!L21=0,0,1000000*SER_hh_emi!L21/SER_hh_num!L21)</f>
        <v>4720.8482337214118</v>
      </c>
      <c r="M21" s="132">
        <f>IF(SER_hh_emi!M21=0,0,1000000*SER_hh_emi!M21/SER_hh_num!M21)</f>
        <v>4464.0884853081143</v>
      </c>
      <c r="N21" s="132">
        <f>IF(SER_hh_emi!N21=0,0,1000000*SER_hh_emi!N21/SER_hh_num!N21)</f>
        <v>4698.2473553009595</v>
      </c>
      <c r="O21" s="132">
        <f>IF(SER_hh_emi!O21=0,0,1000000*SER_hh_emi!O21/SER_hh_num!O21)</f>
        <v>4677.4490486154064</v>
      </c>
      <c r="P21" s="132">
        <f>IF(SER_hh_emi!P21=0,0,1000000*SER_hh_emi!P21/SER_hh_num!P21)</f>
        <v>4786.9495805267888</v>
      </c>
      <c r="Q21" s="132">
        <f>IF(SER_hh_emi!Q21=0,0,1000000*SER_hh_emi!Q21/SER_hh_num!Q21)</f>
        <v>4794.6819793390141</v>
      </c>
      <c r="R21" s="132">
        <f>IF(SER_hh_emi!R21=0,0,1000000*SER_hh_emi!R21/SER_hh_num!R21)</f>
        <v>3669.6617478849789</v>
      </c>
      <c r="S21" s="132">
        <f>IF(SER_hh_emi!S21=0,0,1000000*SER_hh_emi!S21/SER_hh_num!S21)</f>
        <v>4090.9766980879776</v>
      </c>
      <c r="T21" s="132">
        <f>IF(SER_hh_emi!T21=0,0,1000000*SER_hh_emi!T21/SER_hh_num!T21)</f>
        <v>5352.7793369977162</v>
      </c>
      <c r="U21" s="132">
        <f>IF(SER_hh_emi!U21=0,0,1000000*SER_hh_emi!U21/SER_hh_num!U21)</f>
        <v>6131.2116788436206</v>
      </c>
      <c r="V21" s="132">
        <f>IF(SER_hh_emi!V21=0,0,1000000*SER_hh_emi!V21/SER_hh_num!V21)</f>
        <v>4825.6165200018968</v>
      </c>
      <c r="W21" s="132">
        <f>IF(SER_hh_emi!W21=0,0,1000000*SER_hh_emi!W21/SER_hh_num!W21)</f>
        <v>3623.2114968198202</v>
      </c>
      <c r="X21" s="132">
        <f>IF(SER_hh_emi!X21=0,0,1000000*SER_hh_emi!X21/SER_hh_num!X21)</f>
        <v>5103.3713473399894</v>
      </c>
      <c r="Y21" s="132">
        <f>IF(SER_hh_emi!Y21=0,0,1000000*SER_hh_emi!Y21/SER_hh_num!Y21)</f>
        <v>3277.1048449857221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6172.5585569617851</v>
      </c>
      <c r="C22" s="132">
        <f>IF(SER_hh_emi!C22=0,0,1000000*SER_hh_emi!C22/SER_hh_num!C22)</f>
        <v>6579.4975859229817</v>
      </c>
      <c r="D22" s="132">
        <f>IF(SER_hh_emi!D22=0,0,1000000*SER_hh_emi!D22/SER_hh_num!D22)</f>
        <v>5835.6706393361692</v>
      </c>
      <c r="E22" s="132">
        <f>IF(SER_hh_emi!E22=0,0,1000000*SER_hh_emi!E22/SER_hh_num!E22)</f>
        <v>6269.837785305398</v>
      </c>
      <c r="F22" s="132">
        <f>IF(SER_hh_emi!F22=0,0,1000000*SER_hh_emi!F22/SER_hh_num!F22)</f>
        <v>6047.0559089840162</v>
      </c>
      <c r="G22" s="132">
        <f>IF(SER_hh_emi!G22=0,0,1000000*SER_hh_emi!G22/SER_hh_num!G22)</f>
        <v>5893.471329351928</v>
      </c>
      <c r="H22" s="132">
        <f>IF(SER_hh_emi!H22=0,0,1000000*SER_hh_emi!H22/SER_hh_num!H22)</f>
        <v>5774.2072427821358</v>
      </c>
      <c r="I22" s="132">
        <f>IF(SER_hh_emi!I22=0,0,1000000*SER_hh_emi!I22/SER_hh_num!I22)</f>
        <v>5731.9302657803892</v>
      </c>
      <c r="J22" s="132">
        <f>IF(SER_hh_emi!J22=0,0,1000000*SER_hh_emi!J22/SER_hh_num!J22)</f>
        <v>5452.5144845487785</v>
      </c>
      <c r="K22" s="132">
        <f>IF(SER_hh_emi!K22=0,0,1000000*SER_hh_emi!K22/SER_hh_num!K22)</f>
        <v>5690.7931220367718</v>
      </c>
      <c r="L22" s="132">
        <f>IF(SER_hh_emi!L22=0,0,1000000*SER_hh_emi!L22/SER_hh_num!L22)</f>
        <v>5986.1779625851104</v>
      </c>
      <c r="M22" s="132">
        <f>IF(SER_hh_emi!M22=0,0,1000000*SER_hh_emi!M22/SER_hh_num!M22)</f>
        <v>5593.4314795100045</v>
      </c>
      <c r="N22" s="132">
        <f>IF(SER_hh_emi!N22=0,0,1000000*SER_hh_emi!N22/SER_hh_num!N22)</f>
        <v>5883.318138291389</v>
      </c>
      <c r="O22" s="132">
        <f>IF(SER_hh_emi!O22=0,0,1000000*SER_hh_emi!O22/SER_hh_num!O22)</f>
        <v>5810.8272577563876</v>
      </c>
      <c r="P22" s="132">
        <f>IF(SER_hh_emi!P22=0,0,1000000*SER_hh_emi!P22/SER_hh_num!P22)</f>
        <v>5680.0004626200125</v>
      </c>
      <c r="Q22" s="132">
        <f>IF(SER_hh_emi!Q22=0,0,1000000*SER_hh_emi!Q22/SER_hh_num!Q22)</f>
        <v>5679.0597704550228</v>
      </c>
      <c r="R22" s="132">
        <f>IF(SER_hh_emi!R22=0,0,1000000*SER_hh_emi!R22/SER_hh_num!R22)</f>
        <v>6834.6469258118332</v>
      </c>
      <c r="S22" s="132">
        <f>IF(SER_hh_emi!S22=0,0,1000000*SER_hh_emi!S22/SER_hh_num!S22)</f>
        <v>5580.3433606095214</v>
      </c>
      <c r="T22" s="132">
        <f>IF(SER_hh_emi!T22=0,0,1000000*SER_hh_emi!T22/SER_hh_num!T22)</f>
        <v>6250.6308261096547</v>
      </c>
      <c r="U22" s="132">
        <f>IF(SER_hh_emi!U22=0,0,1000000*SER_hh_emi!U22/SER_hh_num!U22)</f>
        <v>5200.0827214901155</v>
      </c>
      <c r="V22" s="132">
        <f>IF(SER_hh_emi!V22=0,0,1000000*SER_hh_emi!V22/SER_hh_num!V22)</f>
        <v>5481.7928507152683</v>
      </c>
      <c r="W22" s="132">
        <f>IF(SER_hh_emi!W22=0,0,1000000*SER_hh_emi!W22/SER_hh_num!W22)</f>
        <v>5073.1434762311646</v>
      </c>
      <c r="X22" s="132">
        <f>IF(SER_hh_emi!X22=0,0,1000000*SER_hh_emi!X22/SER_hh_num!X22)</f>
        <v>4897.7214111391841</v>
      </c>
      <c r="Y22" s="132">
        <f>IF(SER_hh_emi!Y22=0,0,1000000*SER_hh_emi!Y22/SER_hh_num!Y22)</f>
        <v>4947.7212828000374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4547.7869673607547</v>
      </c>
      <c r="C23" s="132">
        <f>IF(SER_hh_emi!C23=0,0,1000000*SER_hh_emi!C23/SER_hh_num!C23)</f>
        <v>4628.4665120027184</v>
      </c>
      <c r="D23" s="132">
        <f>IF(SER_hh_emi!D23=0,0,1000000*SER_hh_emi!D23/SER_hh_num!D23)</f>
        <v>4419.8465056461091</v>
      </c>
      <c r="E23" s="132">
        <f>IF(SER_hh_emi!E23=0,0,1000000*SER_hh_emi!E23/SER_hh_num!E23)</f>
        <v>4277.7697700397621</v>
      </c>
      <c r="F23" s="132">
        <f>IF(SER_hh_emi!F23=0,0,1000000*SER_hh_emi!F23/SER_hh_num!F23)</f>
        <v>4220.3486953651673</v>
      </c>
      <c r="G23" s="132">
        <f>IF(SER_hh_emi!G23=0,0,1000000*SER_hh_emi!G23/SER_hh_num!G23)</f>
        <v>3996.6972662349367</v>
      </c>
      <c r="H23" s="132">
        <f>IF(SER_hh_emi!H23=0,0,1000000*SER_hh_emi!H23/SER_hh_num!H23)</f>
        <v>3648.7371281417991</v>
      </c>
      <c r="I23" s="132">
        <f>IF(SER_hh_emi!I23=0,0,1000000*SER_hh_emi!I23/SER_hh_num!I23)</f>
        <v>3303.5050467888495</v>
      </c>
      <c r="J23" s="132">
        <f>IF(SER_hh_emi!J23=0,0,1000000*SER_hh_emi!J23/SER_hh_num!J23)</f>
        <v>2989.9941514225111</v>
      </c>
      <c r="K23" s="132">
        <f>IF(SER_hh_emi!K23=0,0,1000000*SER_hh_emi!K23/SER_hh_num!K23)</f>
        <v>3803.4945944889437</v>
      </c>
      <c r="L23" s="132">
        <f>IF(SER_hh_emi!L23=0,0,1000000*SER_hh_emi!L23/SER_hh_num!L23)</f>
        <v>3722.0561527283248</v>
      </c>
      <c r="M23" s="132">
        <f>IF(SER_hh_emi!M23=0,0,1000000*SER_hh_emi!M23/SER_hh_num!M23)</f>
        <v>3661.7655293664511</v>
      </c>
      <c r="N23" s="132">
        <f>IF(SER_hh_emi!N23=0,0,1000000*SER_hh_emi!N23/SER_hh_num!N23)</f>
        <v>3354.704657873609</v>
      </c>
      <c r="O23" s="132">
        <f>IF(SER_hh_emi!O23=0,0,1000000*SER_hh_emi!O23/SER_hh_num!O23)</f>
        <v>3705.0032599486676</v>
      </c>
      <c r="P23" s="132">
        <f>IF(SER_hh_emi!P23=0,0,1000000*SER_hh_emi!P23/SER_hh_num!P23)</f>
        <v>3792.2991727885337</v>
      </c>
      <c r="Q23" s="132">
        <f>IF(SER_hh_emi!Q23=0,0,1000000*SER_hh_emi!Q23/SER_hh_num!Q23)</f>
        <v>3722.4923880513866</v>
      </c>
      <c r="R23" s="132">
        <f>IF(SER_hh_emi!R23=0,0,1000000*SER_hh_emi!R23/SER_hh_num!R23)</f>
        <v>4878.2113328964324</v>
      </c>
      <c r="S23" s="132">
        <f>IF(SER_hh_emi!S23=0,0,1000000*SER_hh_emi!S23/SER_hh_num!S23)</f>
        <v>4292.4025286981505</v>
      </c>
      <c r="T23" s="132">
        <f>IF(SER_hh_emi!T23=0,0,1000000*SER_hh_emi!T23/SER_hh_num!T23)</f>
        <v>2998.4600796812365</v>
      </c>
      <c r="U23" s="132">
        <f>IF(SER_hh_emi!U23=0,0,1000000*SER_hh_emi!U23/SER_hh_num!U23)</f>
        <v>4057.5228442162629</v>
      </c>
      <c r="V23" s="132">
        <f>IF(SER_hh_emi!V23=0,0,1000000*SER_hh_emi!V23/SER_hh_num!V23)</f>
        <v>3389.4507802049357</v>
      </c>
      <c r="W23" s="132">
        <f>IF(SER_hh_emi!W23=0,0,1000000*SER_hh_emi!W23/SER_hh_num!W23)</f>
        <v>2912.2063401620912</v>
      </c>
      <c r="X23" s="132">
        <f>IF(SER_hh_emi!X23=0,0,1000000*SER_hh_emi!X23/SER_hh_num!X23)</f>
        <v>4175.5072122129668</v>
      </c>
      <c r="Y23" s="132">
        <f>IF(SER_hh_emi!Y23=0,0,1000000*SER_hh_emi!Y23/SER_hh_num!Y23)</f>
        <v>3573.4493323093757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3600.7434974617699</v>
      </c>
      <c r="C29" s="130">
        <f>IF(SER_hh_emi!C29=0,0,1000000*SER_hh_emi!C29/SER_hh_num!C29)</f>
        <v>4143.7130703445018</v>
      </c>
      <c r="D29" s="130">
        <f>IF(SER_hh_emi!D29=0,0,1000000*SER_hh_emi!D29/SER_hh_num!D29)</f>
        <v>2408.9462082484529</v>
      </c>
      <c r="E29" s="130">
        <f>IF(SER_hh_emi!E29=0,0,1000000*SER_hh_emi!E29/SER_hh_num!E29)</f>
        <v>1616.5426700441469</v>
      </c>
      <c r="F29" s="130">
        <f>IF(SER_hh_emi!F29=0,0,1000000*SER_hh_emi!F29/SER_hh_num!F29)</f>
        <v>1704.0610188566266</v>
      </c>
      <c r="G29" s="130">
        <f>IF(SER_hh_emi!G29=0,0,1000000*SER_hh_emi!G29/SER_hh_num!G29)</f>
        <v>1349.6611311666375</v>
      </c>
      <c r="H29" s="130">
        <f>IF(SER_hh_emi!H29=0,0,1000000*SER_hh_emi!H29/SER_hh_num!H29)</f>
        <v>861.33041591386211</v>
      </c>
      <c r="I29" s="130">
        <f>IF(SER_hh_emi!I29=0,0,1000000*SER_hh_emi!I29/SER_hh_num!I29)</f>
        <v>1954.2288367962813</v>
      </c>
      <c r="J29" s="130">
        <f>IF(SER_hh_emi!J29=0,0,1000000*SER_hh_emi!J29/SER_hh_num!J29)</f>
        <v>1172.7127696133314</v>
      </c>
      <c r="K29" s="130">
        <f>IF(SER_hh_emi!K29=0,0,1000000*SER_hh_emi!K29/SER_hh_num!K29)</f>
        <v>1444.7551027069485</v>
      </c>
      <c r="L29" s="130">
        <f>IF(SER_hh_emi!L29=0,0,1000000*SER_hh_emi!L29/SER_hh_num!L29)</f>
        <v>1869.4319846832275</v>
      </c>
      <c r="M29" s="130">
        <f>IF(SER_hh_emi!M29=0,0,1000000*SER_hh_emi!M29/SER_hh_num!M29)</f>
        <v>877.34063528771367</v>
      </c>
      <c r="N29" s="130">
        <f>IF(SER_hh_emi!N29=0,0,1000000*SER_hh_emi!N29/SER_hh_num!N29)</f>
        <v>1476.8077444219514</v>
      </c>
      <c r="O29" s="130">
        <f>IF(SER_hh_emi!O29=0,0,1000000*SER_hh_emi!O29/SER_hh_num!O29)</f>
        <v>1266.7877776468245</v>
      </c>
      <c r="P29" s="130">
        <f>IF(SER_hh_emi!P29=0,0,1000000*SER_hh_emi!P29/SER_hh_num!P29)</f>
        <v>1528.1166580286038</v>
      </c>
      <c r="Q29" s="130">
        <f>IF(SER_hh_emi!Q29=0,0,1000000*SER_hh_emi!Q29/SER_hh_num!Q29)</f>
        <v>1741.3147289457672</v>
      </c>
      <c r="R29" s="130">
        <f>IF(SER_hh_emi!R29=0,0,1000000*SER_hh_emi!R29/SER_hh_num!R29)</f>
        <v>1776.2477479363597</v>
      </c>
      <c r="S29" s="130">
        <f>IF(SER_hh_emi!S29=0,0,1000000*SER_hh_emi!S29/SER_hh_num!S29)</f>
        <v>1703.0441939817299</v>
      </c>
      <c r="T29" s="130">
        <f>IF(SER_hh_emi!T29=0,0,1000000*SER_hh_emi!T29/SER_hh_num!T29)</f>
        <v>1693.9184203958164</v>
      </c>
      <c r="U29" s="130">
        <f>IF(SER_hh_emi!U29=0,0,1000000*SER_hh_emi!U29/SER_hh_num!U29)</f>
        <v>2081.2381931524897</v>
      </c>
      <c r="V29" s="130">
        <f>IF(SER_hh_emi!V29=0,0,1000000*SER_hh_emi!V29/SER_hh_num!V29)</f>
        <v>1736.7471466522557</v>
      </c>
      <c r="W29" s="130">
        <f>IF(SER_hh_emi!W29=0,0,1000000*SER_hh_emi!W29/SER_hh_num!W29)</f>
        <v>1302.7205388828404</v>
      </c>
      <c r="X29" s="130">
        <f>IF(SER_hh_emi!X29=0,0,1000000*SER_hh_emi!X29/SER_hh_num!X29)</f>
        <v>1484.994930496689</v>
      </c>
      <c r="Y29" s="130">
        <f>IF(SER_hh_emi!Y29=0,0,1000000*SER_hh_emi!Y29/SER_hh_num!Y29)</f>
        <v>959.50275860665488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6197.6465286099956</v>
      </c>
      <c r="C30" s="132">
        <f>IF(SER_hh_emi!C30=0,0,1000000*SER_hh_emi!C30/SER_hh_num!C30)</f>
        <v>6882.0849479305271</v>
      </c>
      <c r="D30" s="132">
        <f>IF(SER_hh_emi!D30=0,0,1000000*SER_hh_emi!D30/SER_hh_num!D30)</f>
        <v>4827.8938400072566</v>
      </c>
      <c r="E30" s="132">
        <f>IF(SER_hh_emi!E30=0,0,1000000*SER_hh_emi!E30/SER_hh_num!E30)</f>
        <v>4016.9111141023241</v>
      </c>
      <c r="F30" s="132">
        <f>IF(SER_hh_emi!F30=0,0,1000000*SER_hh_emi!F30/SER_hh_num!F30)</f>
        <v>5957.3249713296136</v>
      </c>
      <c r="G30" s="132">
        <f>IF(SER_hh_emi!G30=0,0,1000000*SER_hh_emi!G30/SER_hh_num!G30)</f>
        <v>5099.7125455519672</v>
      </c>
      <c r="H30" s="132">
        <f>IF(SER_hh_emi!H30=0,0,1000000*SER_hh_emi!H30/SER_hh_num!H30)</f>
        <v>3473.939783588582</v>
      </c>
      <c r="I30" s="132">
        <f>IF(SER_hh_emi!I30=0,0,1000000*SER_hh_emi!I30/SER_hh_num!I30)</f>
        <v>7366.0165707912965</v>
      </c>
      <c r="J30" s="132">
        <f>IF(SER_hh_emi!J30=0,0,1000000*SER_hh_emi!J30/SER_hh_num!J30)</f>
        <v>4477.0087275959477</v>
      </c>
      <c r="K30" s="132">
        <f>IF(SER_hh_emi!K30=0,0,1000000*SER_hh_emi!K30/SER_hh_num!K30)</f>
        <v>4969.8640038204039</v>
      </c>
      <c r="L30" s="132">
        <f>IF(SER_hh_emi!L30=0,0,1000000*SER_hh_emi!L30/SER_hh_num!L30)</f>
        <v>6760.588068576345</v>
      </c>
      <c r="M30" s="132">
        <f>IF(SER_hh_emi!M30=0,0,1000000*SER_hh_emi!M30/SER_hh_num!M30)</f>
        <v>3241.8158078204733</v>
      </c>
      <c r="N30" s="132">
        <f>IF(SER_hh_emi!N30=0,0,1000000*SER_hh_emi!N30/SER_hh_num!N30)</f>
        <v>6330.3468738646943</v>
      </c>
      <c r="O30" s="132">
        <f>IF(SER_hh_emi!O30=0,0,1000000*SER_hh_emi!O30/SER_hh_num!O30)</f>
        <v>5164.1832213128791</v>
      </c>
      <c r="P30" s="132">
        <f>IF(SER_hh_emi!P30=0,0,1000000*SER_hh_emi!P30/SER_hh_num!P30)</f>
        <v>5447.9482038922397</v>
      </c>
      <c r="Q30" s="132">
        <f>IF(SER_hh_emi!Q30=0,0,1000000*SER_hh_emi!Q30/SER_hh_num!Q30)</f>
        <v>6299.6558730894612</v>
      </c>
      <c r="R30" s="132">
        <f>IF(SER_hh_emi!R30=0,0,1000000*SER_hh_emi!R30/SER_hh_num!R30)</f>
        <v>5414.2188543233306</v>
      </c>
      <c r="S30" s="132">
        <f>IF(SER_hh_emi!S30=0,0,1000000*SER_hh_emi!S30/SER_hh_num!S30)</f>
        <v>5663.8072298810675</v>
      </c>
      <c r="T30" s="132">
        <f>IF(SER_hh_emi!T30=0,0,1000000*SER_hh_emi!T30/SER_hh_num!T30)</f>
        <v>6350.6576242768515</v>
      </c>
      <c r="U30" s="132">
        <f>IF(SER_hh_emi!U30=0,0,1000000*SER_hh_emi!U30/SER_hh_num!U30)</f>
        <v>7390.4771965969121</v>
      </c>
      <c r="V30" s="132">
        <f>IF(SER_hh_emi!V30=0,0,1000000*SER_hh_emi!V30/SER_hh_num!V30)</f>
        <v>6359.7543439964365</v>
      </c>
      <c r="W30" s="132">
        <f>IF(SER_hh_emi!W30=0,0,1000000*SER_hh_emi!W30/SER_hh_num!W30)</f>
        <v>5387.3879445220555</v>
      </c>
      <c r="X30" s="132">
        <f>IF(SER_hh_emi!X30=0,0,1000000*SER_hh_emi!X30/SER_hh_num!X30)</f>
        <v>7011.4720250526725</v>
      </c>
      <c r="Y30" s="132">
        <f>IF(SER_hh_emi!Y30=0,0,1000000*SER_hh_emi!Y30/SER_hh_num!Y30)</f>
        <v>4805.9515121747336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682.69616014248868</v>
      </c>
      <c r="C31" s="132">
        <f>IF(SER_hh_emi!C31=0,0,1000000*SER_hh_emi!C31/SER_hh_num!C31)</f>
        <v>6714.4369548660361</v>
      </c>
      <c r="D31" s="132">
        <f>IF(SER_hh_emi!D31=0,0,1000000*SER_hh_emi!D31/SER_hh_num!D31)</f>
        <v>6124.0040850624564</v>
      </c>
      <c r="E31" s="132">
        <f>IF(SER_hh_emi!E31=0,0,1000000*SER_hh_emi!E31/SER_hh_num!E31)</f>
        <v>5023.7892610316303</v>
      </c>
      <c r="F31" s="132">
        <f>IF(SER_hh_emi!F31=0,0,1000000*SER_hh_emi!F31/SER_hh_num!F31)</f>
        <v>5411.8404909472947</v>
      </c>
      <c r="G31" s="132">
        <f>IF(SER_hh_emi!G31=0,0,1000000*SER_hh_emi!G31/SER_hh_num!G31)</f>
        <v>4717.9352834746996</v>
      </c>
      <c r="H31" s="132">
        <f>IF(SER_hh_emi!H31=0,0,1000000*SER_hh_emi!H31/SER_hh_num!H31)</f>
        <v>3214.335566001499</v>
      </c>
      <c r="I31" s="132">
        <f>IF(SER_hh_emi!I31=0,0,1000000*SER_hh_emi!I31/SER_hh_num!I31)</f>
        <v>3159.2811123491365</v>
      </c>
      <c r="J31" s="132">
        <f>IF(SER_hh_emi!J31=0,0,1000000*SER_hh_emi!J31/SER_hh_num!J31)</f>
        <v>1614.7100548778296</v>
      </c>
      <c r="K31" s="132">
        <f>IF(SER_hh_emi!K31=0,0,1000000*SER_hh_emi!K31/SER_hh_num!K31)</f>
        <v>4809.6016575479416</v>
      </c>
      <c r="L31" s="132">
        <f>IF(SER_hh_emi!L31=0,0,1000000*SER_hh_emi!L31/SER_hh_num!L31)</f>
        <v>4373.9466840171481</v>
      </c>
      <c r="M31" s="132">
        <f>IF(SER_hh_emi!M31=0,0,1000000*SER_hh_emi!M31/SER_hh_num!M31)</f>
        <v>4322.7261434032262</v>
      </c>
      <c r="N31" s="132">
        <f>IF(SER_hh_emi!N31=0,0,1000000*SER_hh_emi!N31/SER_hh_num!N31)</f>
        <v>3284.929722004988</v>
      </c>
      <c r="O31" s="132">
        <f>IF(SER_hh_emi!O31=0,0,1000000*SER_hh_emi!O31/SER_hh_num!O31)</f>
        <v>4122.2839052159134</v>
      </c>
      <c r="P31" s="132">
        <f>IF(SER_hh_emi!P31=0,0,1000000*SER_hh_emi!P31/SER_hh_num!P31)</f>
        <v>5094.729064929692</v>
      </c>
      <c r="Q31" s="132">
        <f>IF(SER_hh_emi!Q31=0,0,1000000*SER_hh_emi!Q31/SER_hh_num!Q31)</f>
        <v>5150.182386673413</v>
      </c>
      <c r="R31" s="132">
        <f>IF(SER_hh_emi!R31=0,0,1000000*SER_hh_emi!R31/SER_hh_num!R31)</f>
        <v>6730.3735516025217</v>
      </c>
      <c r="S31" s="132">
        <f>IF(SER_hh_emi!S31=0,0,1000000*SER_hh_emi!S31/SER_hh_num!S31)</f>
        <v>5711.0528921807509</v>
      </c>
      <c r="T31" s="132">
        <f>IF(SER_hh_emi!T31=0,0,1000000*SER_hh_emi!T31/SER_hh_num!T31)</f>
        <v>3980.0976590253754</v>
      </c>
      <c r="U31" s="132">
        <f>IF(SER_hh_emi!U31=0,0,1000000*SER_hh_emi!U31/SER_hh_num!U31)</f>
        <v>5456.984026083328</v>
      </c>
      <c r="V31" s="132">
        <f>IF(SER_hh_emi!V31=0,0,1000000*SER_hh_emi!V31/SER_hh_num!V31)</f>
        <v>4875.7300450844396</v>
      </c>
      <c r="W31" s="132">
        <f>IF(SER_hh_emi!W31=0,0,1000000*SER_hh_emi!W31/SER_hh_num!W31)</f>
        <v>4406.2343726499876</v>
      </c>
      <c r="X31" s="132">
        <f>IF(SER_hh_emi!X31=0,0,1000000*SER_hh_emi!X31/SER_hh_num!X31)</f>
        <v>5347.1710462986557</v>
      </c>
      <c r="Y31" s="132">
        <f>IF(SER_hh_emi!Y31=0,0,1000000*SER_hh_emi!Y31/SER_hh_num!Y31)</f>
        <v>5051.1488509737628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313.82571721804692</v>
      </c>
      <c r="C3" s="125">
        <f>IF(SER_hh_fech!C3=0,0,SER_hh_fech!C3/SER_summary!C$26)</f>
        <v>418.23903929037664</v>
      </c>
      <c r="D3" s="125">
        <f>IF(SER_hh_fech!D3=0,0,SER_hh_fech!D3/SER_summary!D$26)</f>
        <v>386.19904180654066</v>
      </c>
      <c r="E3" s="125">
        <f>IF(SER_hh_fech!E3=0,0,SER_hh_fech!E3/SER_summary!E$26)</f>
        <v>249.0513537415537</v>
      </c>
      <c r="F3" s="125">
        <f>IF(SER_hh_fech!F3=0,0,SER_hh_fech!F3/SER_summary!F$26)</f>
        <v>259.49558555095894</v>
      </c>
      <c r="G3" s="125">
        <f>IF(SER_hh_fech!G3=0,0,SER_hh_fech!G3/SER_summary!G$26)</f>
        <v>211.60424615707032</v>
      </c>
      <c r="H3" s="125">
        <f>IF(SER_hh_fech!H3=0,0,SER_hh_fech!H3/SER_summary!H$26)</f>
        <v>177.82117868481632</v>
      </c>
      <c r="I3" s="125">
        <f>IF(SER_hh_fech!I3=0,0,SER_hh_fech!I3/SER_summary!I$26)</f>
        <v>136.39290624798511</v>
      </c>
      <c r="J3" s="125">
        <f>IF(SER_hh_fech!J3=0,0,SER_hh_fech!J3/SER_summary!J$26)</f>
        <v>185.75892511875676</v>
      </c>
      <c r="K3" s="125">
        <f>IF(SER_hh_fech!K3=0,0,SER_hh_fech!K3/SER_summary!K$26)</f>
        <v>180.61318539115274</v>
      </c>
      <c r="L3" s="125">
        <f>IF(SER_hh_fech!L3=0,0,SER_hh_fech!L3/SER_summary!L$26)</f>
        <v>198.73454646387603</v>
      </c>
      <c r="M3" s="125">
        <f>IF(SER_hh_fech!M3=0,0,SER_hh_fech!M3/SER_summary!M$26)</f>
        <v>190.80443059958165</v>
      </c>
      <c r="N3" s="125">
        <f>IF(SER_hh_fech!N3=0,0,SER_hh_fech!N3/SER_summary!N$26)</f>
        <v>157.06864962832853</v>
      </c>
      <c r="O3" s="125">
        <f>IF(SER_hh_fech!O3=0,0,SER_hh_fech!O3/SER_summary!O$26)</f>
        <v>160.49198063454244</v>
      </c>
      <c r="P3" s="125">
        <f>IF(SER_hh_fech!P3=0,0,SER_hh_fech!P3/SER_summary!P$26)</f>
        <v>138.95815712455598</v>
      </c>
      <c r="Q3" s="125">
        <f>IF(SER_hh_fech!Q3=0,0,SER_hh_fech!Q3/SER_summary!Q$26)</f>
        <v>149.08163607730552</v>
      </c>
      <c r="R3" s="125">
        <f>IF(SER_hh_fech!R3=0,0,SER_hh_fech!R3/SER_summary!R$26)</f>
        <v>161.8544144464434</v>
      </c>
      <c r="S3" s="125">
        <f>IF(SER_hh_fech!S3=0,0,SER_hh_fech!S3/SER_summary!S$26)</f>
        <v>156.27258633920047</v>
      </c>
      <c r="T3" s="125">
        <f>IF(SER_hh_fech!T3=0,0,SER_hh_fech!T3/SER_summary!T$26)</f>
        <v>154.32752486546252</v>
      </c>
      <c r="U3" s="125">
        <f>IF(SER_hh_fech!U3=0,0,SER_hh_fech!U3/SER_summary!U$26)</f>
        <v>145.55281822655579</v>
      </c>
      <c r="V3" s="125">
        <f>IF(SER_hh_fech!V3=0,0,SER_hh_fech!V3/SER_summary!V$26)</f>
        <v>131.64298846644868</v>
      </c>
      <c r="W3" s="125">
        <f>IF(SER_hh_fech!W3=0,0,SER_hh_fech!W3/SER_summary!W$26)</f>
        <v>127.84039103989777</v>
      </c>
      <c r="X3" s="125">
        <f>IF(SER_hh_fech!X3=0,0,SER_hh_fech!X3/SER_summary!X$26)</f>
        <v>151.37565058869623</v>
      </c>
      <c r="Y3" s="125">
        <f>IF(SER_hh_fech!Y3=0,0,SER_hh_fech!Y3/SER_summary!Y$26)</f>
        <v>151.54048723386427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261.00190508898561</v>
      </c>
      <c r="C4" s="130">
        <f>IF(SER_hh_fech!C4=0,0,SER_hh_fech!C4/SER_summary!C$26)</f>
        <v>364.50279879843953</v>
      </c>
      <c r="D4" s="130">
        <f>IF(SER_hh_fech!D4=0,0,SER_hh_fech!D4/SER_summary!D$26)</f>
        <v>335.35287979951903</v>
      </c>
      <c r="E4" s="130">
        <f>IF(SER_hh_fech!E4=0,0,SER_hh_fech!E4/SER_summary!E$26)</f>
        <v>199.58762695227858</v>
      </c>
      <c r="F4" s="130">
        <f>IF(SER_hh_fech!F4=0,0,SER_hh_fech!F4/SER_summary!F$26)</f>
        <v>211.52745538332181</v>
      </c>
      <c r="G4" s="130">
        <f>IF(SER_hh_fech!G4=0,0,SER_hh_fech!G4/SER_summary!G$26)</f>
        <v>164.72804883599127</v>
      </c>
      <c r="H4" s="130">
        <f>IF(SER_hh_fech!H4=0,0,SER_hh_fech!H4/SER_summary!H$26)</f>
        <v>132.3037400162406</v>
      </c>
      <c r="I4" s="130">
        <f>IF(SER_hh_fech!I4=0,0,SER_hh_fech!I4/SER_summary!I$26)</f>
        <v>90.847150375263695</v>
      </c>
      <c r="J4" s="130">
        <f>IF(SER_hh_fech!J4=0,0,SER_hh_fech!J4/SER_summary!J$26)</f>
        <v>142.15656717699795</v>
      </c>
      <c r="K4" s="130">
        <f>IF(SER_hh_fech!K4=0,0,SER_hh_fech!K4/SER_summary!K$26)</f>
        <v>136.1981266320098</v>
      </c>
      <c r="L4" s="130">
        <f>IF(SER_hh_fech!L4=0,0,SER_hh_fech!L4/SER_summary!L$26)</f>
        <v>153.36476459144427</v>
      </c>
      <c r="M4" s="130">
        <f>IF(SER_hh_fech!M4=0,0,SER_hh_fech!M4/SER_summary!M$26)</f>
        <v>146.82487154584601</v>
      </c>
      <c r="N4" s="130">
        <f>IF(SER_hh_fech!N4=0,0,SER_hh_fech!N4/SER_summary!N$26)</f>
        <v>111.44248223684031</v>
      </c>
      <c r="O4" s="130">
        <f>IF(SER_hh_fech!O4=0,0,SER_hh_fech!O4/SER_summary!O$26)</f>
        <v>114.91495854866361</v>
      </c>
      <c r="P4" s="130">
        <f>IF(SER_hh_fech!P4=0,0,SER_hh_fech!P4/SER_summary!P$26)</f>
        <v>93.128597467723154</v>
      </c>
      <c r="Q4" s="130">
        <f>IF(SER_hh_fech!Q4=0,0,SER_hh_fech!Q4/SER_summary!Q$26)</f>
        <v>101.13041816232339</v>
      </c>
      <c r="R4" s="130">
        <f>IF(SER_hh_fech!R4=0,0,SER_hh_fech!R4/SER_summary!R$26)</f>
        <v>113.59617328476619</v>
      </c>
      <c r="S4" s="130">
        <f>IF(SER_hh_fech!S4=0,0,SER_hh_fech!S4/SER_summary!S$26)</f>
        <v>107.94739685983727</v>
      </c>
      <c r="T4" s="130">
        <f>IF(SER_hh_fech!T4=0,0,SER_hh_fech!T4/SER_summary!T$26)</f>
        <v>106.58925172529075</v>
      </c>
      <c r="U4" s="130">
        <f>IF(SER_hh_fech!U4=0,0,SER_hh_fech!U4/SER_summary!U$26)</f>
        <v>97.179867575809283</v>
      </c>
      <c r="V4" s="130">
        <f>IF(SER_hh_fech!V4=0,0,SER_hh_fech!V4/SER_summary!V$26)</f>
        <v>86.541219848444342</v>
      </c>
      <c r="W4" s="130">
        <f>IF(SER_hh_fech!W4=0,0,SER_hh_fech!W4/SER_summary!W$26)</f>
        <v>83.370143326203248</v>
      </c>
      <c r="X4" s="130">
        <f>IF(SER_hh_fech!X4=0,0,SER_hh_fech!X4/SER_summary!X$26)</f>
        <v>106.37108719161917</v>
      </c>
      <c r="Y4" s="130">
        <f>IF(SER_hh_fech!Y4=0,0,SER_hh_fech!Y4/SER_summary!Y$26)</f>
        <v>108.15853656251511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309.1944541943476</v>
      </c>
      <c r="C7" s="132">
        <f>IF(SER_hh_fech!C7=0,0,SER_hh_fech!C7/SER_summary!C$26)</f>
        <v>453.02717534751537</v>
      </c>
      <c r="D7" s="132">
        <f>IF(SER_hh_fech!D7=0,0,SER_hh_fech!D7/SER_summary!D$26)</f>
        <v>356.77048752214517</v>
      </c>
      <c r="E7" s="132">
        <f>IF(SER_hh_fech!E7=0,0,SER_hh_fech!E7/SER_summary!E$26)</f>
        <v>243.33591203033762</v>
      </c>
      <c r="F7" s="132">
        <f>IF(SER_hh_fech!F7=0,0,SER_hh_fech!F7/SER_summary!F$26)</f>
        <v>228.45097774498058</v>
      </c>
      <c r="G7" s="132">
        <f>IF(SER_hh_fech!G7=0,0,SER_hh_fech!G7/SER_summary!G$26)</f>
        <v>202.90858353518766</v>
      </c>
      <c r="H7" s="132">
        <f>IF(SER_hh_fech!H7=0,0,SER_hh_fech!H7/SER_summary!H$26)</f>
        <v>161.5123001076486</v>
      </c>
      <c r="I7" s="132">
        <f>IF(SER_hh_fech!I7=0,0,SER_hh_fech!I7/SER_summary!I$26)</f>
        <v>95.042138859215598</v>
      </c>
      <c r="J7" s="132">
        <f>IF(SER_hh_fech!J7=0,0,SER_hh_fech!J7/SER_summary!J$26)</f>
        <v>169.47240394438097</v>
      </c>
      <c r="K7" s="132">
        <f>IF(SER_hh_fech!K7=0,0,SER_hh_fech!K7/SER_summary!K$26)</f>
        <v>159.41545518537427</v>
      </c>
      <c r="L7" s="132">
        <f>IF(SER_hh_fech!L7=0,0,SER_hh_fech!L7/SER_summary!L$26)</f>
        <v>188.482817642681</v>
      </c>
      <c r="M7" s="132">
        <f>IF(SER_hh_fech!M7=0,0,SER_hh_fech!M7/SER_summary!M$26)</f>
        <v>171.99707640330786</v>
      </c>
      <c r="N7" s="132">
        <f>IF(SER_hh_fech!N7=0,0,SER_hh_fech!N7/SER_summary!N$26)</f>
        <v>139.16154133696529</v>
      </c>
      <c r="O7" s="132">
        <f>IF(SER_hh_fech!O7=0,0,SER_hh_fech!O7/SER_summary!O$26)</f>
        <v>143.13126303940942</v>
      </c>
      <c r="P7" s="132">
        <f>IF(SER_hh_fech!P7=0,0,SER_hh_fech!P7/SER_summary!P$26)</f>
        <v>111.00826369946661</v>
      </c>
      <c r="Q7" s="132">
        <f>IF(SER_hh_fech!Q7=0,0,SER_hh_fech!Q7/SER_summary!Q$26)</f>
        <v>127.66700142792804</v>
      </c>
      <c r="R7" s="132">
        <f>IF(SER_hh_fech!R7=0,0,SER_hh_fech!R7/SER_summary!R$26)</f>
        <v>154.09003256957007</v>
      </c>
      <c r="S7" s="132">
        <f>IF(SER_hh_fech!S7=0,0,SER_hh_fech!S7/SER_summary!S$26)</f>
        <v>123.86383788809853</v>
      </c>
      <c r="T7" s="132">
        <f>IF(SER_hh_fech!T7=0,0,SER_hh_fech!T7/SER_summary!T$26)</f>
        <v>133.07657800230731</v>
      </c>
      <c r="U7" s="132">
        <f>IF(SER_hh_fech!U7=0,0,SER_hh_fech!U7/SER_summary!U$26)</f>
        <v>111.68089370798238</v>
      </c>
      <c r="V7" s="132">
        <f>IF(SER_hh_fech!V7=0,0,SER_hh_fech!V7/SER_summary!V$26)</f>
        <v>129.52591164862611</v>
      </c>
      <c r="W7" s="132">
        <f>IF(SER_hh_fech!W7=0,0,SER_hh_fech!W7/SER_summary!W$26)</f>
        <v>85.969006465683208</v>
      </c>
      <c r="X7" s="132">
        <f>IF(SER_hh_fech!X7=0,0,SER_hh_fech!X7/SER_summary!X$26)</f>
        <v>95.51037891657603</v>
      </c>
      <c r="Y7" s="132">
        <f>IF(SER_hh_fech!Y7=0,0,SER_hh_fech!Y7/SER_summary!Y$26)</f>
        <v>131.4399709877963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171.09626744372977</v>
      </c>
      <c r="C9" s="132">
        <f>IF(SER_hh_fech!C9=0,0,SER_hh_fech!C9/SER_summary!C$26)</f>
        <v>429.15165789599678</v>
      </c>
      <c r="D9" s="132">
        <f>IF(SER_hh_fech!D9=0,0,SER_hh_fech!D9/SER_summary!D$26)</f>
        <v>416.79893294147701</v>
      </c>
      <c r="E9" s="132">
        <f>IF(SER_hh_fech!E9=0,0,SER_hh_fech!E9/SER_summary!E$26)</f>
        <v>199.52595085053255</v>
      </c>
      <c r="F9" s="132">
        <f>IF(SER_hh_fech!F9=0,0,SER_hh_fech!F9/SER_summary!F$26)</f>
        <v>273.90612582833722</v>
      </c>
      <c r="G9" s="132">
        <f>IF(SER_hh_fech!G9=0,0,SER_hh_fech!G9/SER_summary!G$26)</f>
        <v>150.18493664727185</v>
      </c>
      <c r="H9" s="132">
        <f>IF(SER_hh_fech!H9=0,0,SER_hh_fech!H9/SER_summary!H$26)</f>
        <v>110.00255354063509</v>
      </c>
      <c r="I9" s="132">
        <f>IF(SER_hh_fech!I9=0,0,SER_hh_fech!I9/SER_summary!I$26)</f>
        <v>109.95566706469999</v>
      </c>
      <c r="J9" s="132">
        <f>IF(SER_hh_fech!J9=0,0,SER_hh_fech!J9/SER_summary!J$26)</f>
        <v>127.30746530063035</v>
      </c>
      <c r="K9" s="132">
        <f>IF(SER_hh_fech!K9=0,0,SER_hh_fech!K9/SER_summary!K$26)</f>
        <v>137.78196704943932</v>
      </c>
      <c r="L9" s="132">
        <f>IF(SER_hh_fech!L9=0,0,SER_hh_fech!L9/SER_summary!L$26)</f>
        <v>163.333120625812</v>
      </c>
      <c r="M9" s="132">
        <f>IF(SER_hh_fech!M9=0,0,SER_hh_fech!M9/SER_summary!M$26)</f>
        <v>227.66977401428733</v>
      </c>
      <c r="N9" s="132">
        <f>IF(SER_hh_fech!N9=0,0,SER_hh_fech!N9/SER_summary!N$26)</f>
        <v>63.778013313645289</v>
      </c>
      <c r="O9" s="132">
        <f>IF(SER_hh_fech!O9=0,0,SER_hh_fech!O9/SER_summary!O$26)</f>
        <v>124.88000328202375</v>
      </c>
      <c r="P9" s="132">
        <f>IF(SER_hh_fech!P9=0,0,SER_hh_fech!P9/SER_summary!P$26)</f>
        <v>101.21501892719347</v>
      </c>
      <c r="Q9" s="132">
        <f>IF(SER_hh_fech!Q9=0,0,SER_hh_fech!Q9/SER_summary!Q$26)</f>
        <v>117.70239875042945</v>
      </c>
      <c r="R9" s="132">
        <f>IF(SER_hh_fech!R9=0,0,SER_hh_fech!R9/SER_summary!R$26)</f>
        <v>144.33227934619526</v>
      </c>
      <c r="S9" s="132">
        <f>IF(SER_hh_fech!S9=0,0,SER_hh_fech!S9/SER_summary!S$26)</f>
        <v>121.74629754573219</v>
      </c>
      <c r="T9" s="132">
        <f>IF(SER_hh_fech!T9=0,0,SER_hh_fech!T9/SER_summary!T$26)</f>
        <v>84.714361463876585</v>
      </c>
      <c r="U9" s="132">
        <f>IF(SER_hh_fech!U9=0,0,SER_hh_fech!U9/SER_summary!U$26)</f>
        <v>103.02626919049416</v>
      </c>
      <c r="V9" s="132">
        <f>IF(SER_hh_fech!V9=0,0,SER_hh_fech!V9/SER_summary!V$26)</f>
        <v>88.265489822841204</v>
      </c>
      <c r="W9" s="132">
        <f>IF(SER_hh_fech!W9=0,0,SER_hh_fech!W9/SER_summary!W$26)</f>
        <v>72.782901757886421</v>
      </c>
      <c r="X9" s="132">
        <f>IF(SER_hh_fech!X9=0,0,SER_hh_fech!X9/SER_summary!X$26)</f>
        <v>140.16708127165884</v>
      </c>
      <c r="Y9" s="132">
        <f>IF(SER_hh_fech!Y9=0,0,SER_hh_fech!Y9/SER_summary!Y$26)</f>
        <v>117.9764512819726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258.60875166331584</v>
      </c>
      <c r="C10" s="132">
        <f>IF(SER_hh_fech!C10=0,0,SER_hh_fech!C10/SER_summary!C$26)</f>
        <v>466.30252547938932</v>
      </c>
      <c r="D10" s="132">
        <f>IF(SER_hh_fech!D10=0,0,SER_hh_fech!D10/SER_summary!D$26)</f>
        <v>464.35760367114887</v>
      </c>
      <c r="E10" s="132">
        <f>IF(SER_hh_fech!E10=0,0,SER_hh_fech!E10/SER_summary!E$26)</f>
        <v>201.39234291634858</v>
      </c>
      <c r="F10" s="132">
        <f>IF(SER_hh_fech!F10=0,0,SER_hh_fech!F10/SER_summary!F$26)</f>
        <v>236.68389470190317</v>
      </c>
      <c r="G10" s="132">
        <f>IF(SER_hh_fech!G10=0,0,SER_hh_fech!G10/SER_summary!G$26)</f>
        <v>352.99485465688724</v>
      </c>
      <c r="H10" s="132">
        <f>IF(SER_hh_fech!H10=0,0,SER_hh_fech!H10/SER_summary!H$26)</f>
        <v>0</v>
      </c>
      <c r="I10" s="132">
        <f>IF(SER_hh_fech!I10=0,0,SER_hh_fech!I10/SER_summary!I$26)</f>
        <v>0</v>
      </c>
      <c r="J10" s="132">
        <f>IF(SER_hh_fech!J10=0,0,SER_hh_fech!J10/SER_summary!J$26)</f>
        <v>0</v>
      </c>
      <c r="K10" s="132">
        <f>IF(SER_hh_fech!K10=0,0,SER_hh_fech!K10/SER_summary!K$26)</f>
        <v>0</v>
      </c>
      <c r="L10" s="132">
        <f>IF(SER_hh_fech!L10=0,0,SER_hh_fech!L10/SER_summary!L$26)</f>
        <v>0</v>
      </c>
      <c r="M10" s="132">
        <f>IF(SER_hh_fech!M10=0,0,SER_hh_fech!M10/SER_summary!M$26)</f>
        <v>0</v>
      </c>
      <c r="N10" s="132">
        <f>IF(SER_hh_fech!N10=0,0,SER_hh_fech!N10/SER_summary!N$26)</f>
        <v>0</v>
      </c>
      <c r="O10" s="132">
        <f>IF(SER_hh_fech!O10=0,0,SER_hh_fech!O10/SER_summary!O$26)</f>
        <v>0</v>
      </c>
      <c r="P10" s="132">
        <f>IF(SER_hh_fech!P10=0,0,SER_hh_fech!P10/SER_summary!P$26)</f>
        <v>0</v>
      </c>
      <c r="Q10" s="132">
        <f>IF(SER_hh_fech!Q10=0,0,SER_hh_fech!Q10/SER_summary!Q$26)</f>
        <v>0</v>
      </c>
      <c r="R10" s="132">
        <f>IF(SER_hh_fech!R10=0,0,SER_hh_fech!R10/SER_summary!R$26)</f>
        <v>0</v>
      </c>
      <c r="S10" s="132">
        <f>IF(SER_hh_fech!S10=0,0,SER_hh_fech!S10/SER_summary!S$26)</f>
        <v>0</v>
      </c>
      <c r="T10" s="132">
        <f>IF(SER_hh_fech!T10=0,0,SER_hh_fech!T10/SER_summary!T$26)</f>
        <v>0</v>
      </c>
      <c r="U10" s="132">
        <f>IF(SER_hh_fech!U10=0,0,SER_hh_fech!U10/SER_summary!U$26)</f>
        <v>0</v>
      </c>
      <c r="V10" s="132">
        <f>IF(SER_hh_fech!V10=0,0,SER_hh_fech!V10/SER_summary!V$26)</f>
        <v>1.6740626041045047E-13</v>
      </c>
      <c r="W10" s="132">
        <f>IF(SER_hh_fech!W10=0,0,SER_hh_fech!W10/SER_summary!W$26)</f>
        <v>0</v>
      </c>
      <c r="X10" s="132">
        <f>IF(SER_hh_fech!X10=0,0,SER_hh_fech!X10/SER_summary!X$26)</f>
        <v>201.82203973177894</v>
      </c>
      <c r="Y10" s="132">
        <f>IF(SER_hh_fech!Y10=0,0,SER_hh_fech!Y10/SER_summary!Y$26)</f>
        <v>181.35062991808044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159.51074623602017</v>
      </c>
      <c r="M11" s="132">
        <f>IF(SER_hh_fech!M11=0,0,SER_hh_fech!M11/SER_summary!M$26)</f>
        <v>126.13133370767159</v>
      </c>
      <c r="N11" s="132">
        <f>IF(SER_hh_fech!N11=0,0,SER_hh_fech!N11/SER_summary!N$26)</f>
        <v>83.247264458005574</v>
      </c>
      <c r="O11" s="132">
        <f>IF(SER_hh_fech!O11=0,0,SER_hh_fech!O11/SER_summary!O$26)</f>
        <v>85.940172965695567</v>
      </c>
      <c r="P11" s="132">
        <f>IF(SER_hh_fech!P11=0,0,SER_hh_fech!P11/SER_summary!P$26)</f>
        <v>86.976063873826249</v>
      </c>
      <c r="Q11" s="132">
        <f>IF(SER_hh_fech!Q11=0,0,SER_hh_fech!Q11/SER_summary!Q$26)</f>
        <v>67.851502621473628</v>
      </c>
      <c r="R11" s="132">
        <f>IF(SER_hh_fech!R11=0,0,SER_hh_fech!R11/SER_summary!R$26)</f>
        <v>72.877616990441268</v>
      </c>
      <c r="S11" s="132">
        <f>IF(SER_hh_fech!S11=0,0,SER_hh_fech!S11/SER_summary!S$26)</f>
        <v>95.729190049982151</v>
      </c>
      <c r="T11" s="132">
        <f>IF(SER_hh_fech!T11=0,0,SER_hh_fech!T11/SER_summary!T$26)</f>
        <v>88.635768344193309</v>
      </c>
      <c r="U11" s="132">
        <f>IF(SER_hh_fech!U11=0,0,SER_hh_fech!U11/SER_summary!U$26)</f>
        <v>100.51776071802513</v>
      </c>
      <c r="V11" s="132">
        <f>IF(SER_hh_fech!V11=0,0,SER_hh_fech!V11/SER_summary!V$26)</f>
        <v>71.649148889447559</v>
      </c>
      <c r="W11" s="132">
        <f>IF(SER_hh_fech!W11=0,0,SER_hh_fech!W11/SER_summary!W$26)</f>
        <v>71.89337236936818</v>
      </c>
      <c r="X11" s="132">
        <f>IF(SER_hh_fech!X11=0,0,SER_hh_fech!X11/SER_summary!X$26)</f>
        <v>91.816264474994824</v>
      </c>
      <c r="Y11" s="132">
        <f>IF(SER_hh_fech!Y11=0,0,SER_hh_fech!Y11/SER_summary!Y$26)</f>
        <v>96.869682705229152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212.48193463441763</v>
      </c>
      <c r="C12" s="132">
        <f>IF(SER_hh_fech!C12=0,0,SER_hh_fech!C12/SER_summary!C$26)</f>
        <v>223.2038951045738</v>
      </c>
      <c r="D12" s="132">
        <f>IF(SER_hh_fech!D12=0,0,SER_hh_fech!D12/SER_summary!D$26)</f>
        <v>239.66239539490698</v>
      </c>
      <c r="E12" s="132">
        <f>IF(SER_hh_fech!E12=0,0,SER_hh_fech!E12/SER_summary!E$26)</f>
        <v>130.74359408697072</v>
      </c>
      <c r="F12" s="132">
        <f>IF(SER_hh_fech!F12=0,0,SER_hh_fech!F12/SER_summary!F$26)</f>
        <v>148.75378942137721</v>
      </c>
      <c r="G12" s="132">
        <f>IF(SER_hh_fech!G12=0,0,SER_hh_fech!G12/SER_summary!G$26)</f>
        <v>101.08312916114809</v>
      </c>
      <c r="H12" s="132">
        <f>IF(SER_hh_fech!H12=0,0,SER_hh_fech!H12/SER_summary!H$26)</f>
        <v>121.6044451980658</v>
      </c>
      <c r="I12" s="132">
        <f>IF(SER_hh_fech!I12=0,0,SER_hh_fech!I12/SER_summary!I$26)</f>
        <v>70.829717193218684</v>
      </c>
      <c r="J12" s="132">
        <f>IF(SER_hh_fech!J12=0,0,SER_hh_fech!J12/SER_summary!J$26)</f>
        <v>69.919063096451708</v>
      </c>
      <c r="K12" s="132">
        <f>IF(SER_hh_fech!K12=0,0,SER_hh_fech!K12/SER_summary!K$26)</f>
        <v>103.67643026044823</v>
      </c>
      <c r="L12" s="132">
        <f>IF(SER_hh_fech!L12=0,0,SER_hh_fech!L12/SER_summary!L$26)</f>
        <v>115.91084789443516</v>
      </c>
      <c r="M12" s="132">
        <f>IF(SER_hh_fech!M12=0,0,SER_hh_fech!M12/SER_summary!M$26)</f>
        <v>109.18925007411977</v>
      </c>
      <c r="N12" s="132">
        <f>IF(SER_hh_fech!N12=0,0,SER_hh_fech!N12/SER_summary!N$26)</f>
        <v>98.945169218028553</v>
      </c>
      <c r="O12" s="132">
        <f>IF(SER_hh_fech!O12=0,0,SER_hh_fech!O12/SER_summary!O$26)</f>
        <v>99.706538689119043</v>
      </c>
      <c r="P12" s="132">
        <f>IF(SER_hh_fech!P12=0,0,SER_hh_fech!P12/SER_summary!P$26)</f>
        <v>74.475890210480614</v>
      </c>
      <c r="Q12" s="132">
        <f>IF(SER_hh_fech!Q12=0,0,SER_hh_fech!Q12/SER_summary!Q$26)</f>
        <v>85.850351344851504</v>
      </c>
      <c r="R12" s="132">
        <f>IF(SER_hh_fech!R12=0,0,SER_hh_fech!R12/SER_summary!R$26)</f>
        <v>83.273937151219741</v>
      </c>
      <c r="S12" s="132">
        <f>IF(SER_hh_fech!S12=0,0,SER_hh_fech!S12/SER_summary!S$26)</f>
        <v>95.269614873481956</v>
      </c>
      <c r="T12" s="132">
        <f>IF(SER_hh_fech!T12=0,0,SER_hh_fech!T12/SER_summary!T$26)</f>
        <v>97.512495289487177</v>
      </c>
      <c r="U12" s="132">
        <f>IF(SER_hh_fech!U12=0,0,SER_hh_fech!U12/SER_summary!U$26)</f>
        <v>79.576399223451915</v>
      </c>
      <c r="V12" s="132">
        <f>IF(SER_hh_fech!V12=0,0,SER_hh_fech!V12/SER_summary!V$26)</f>
        <v>78.197436198274715</v>
      </c>
      <c r="W12" s="132">
        <f>IF(SER_hh_fech!W12=0,0,SER_hh_fech!W12/SER_summary!W$26)</f>
        <v>92.534000776366071</v>
      </c>
      <c r="X12" s="132">
        <f>IF(SER_hh_fech!X12=0,0,SER_hh_fech!X12/SER_summary!X$26)</f>
        <v>82.230909766867882</v>
      </c>
      <c r="Y12" s="132">
        <f>IF(SER_hh_fech!Y12=0,0,SER_hh_fech!Y12/SER_summary!Y$26)</f>
        <v>95.263263160292823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0</v>
      </c>
      <c r="C13" s="132">
        <f>IF(SER_hh_fech!C13=0,0,SER_hh_fech!C13/SER_summary!C$26)</f>
        <v>0</v>
      </c>
      <c r="D13" s="132">
        <f>IF(SER_hh_fech!D13=0,0,SER_hh_fech!D13/SER_summary!D$26)</f>
        <v>0</v>
      </c>
      <c r="E13" s="132">
        <f>IF(SER_hh_fech!E13=0,0,SER_hh_fech!E13/SER_summary!E$26)</f>
        <v>0</v>
      </c>
      <c r="F13" s="132">
        <f>IF(SER_hh_fech!F13=0,0,SER_hh_fech!F13/SER_summary!F$26)</f>
        <v>0</v>
      </c>
      <c r="G13" s="132">
        <f>IF(SER_hh_fech!G13=0,0,SER_hh_fech!G13/SER_summary!G$26)</f>
        <v>0</v>
      </c>
      <c r="H13" s="132">
        <f>IF(SER_hh_fech!H13=0,0,SER_hh_fech!H13/SER_summary!H$26)</f>
        <v>0</v>
      </c>
      <c r="I13" s="132">
        <f>IF(SER_hh_fech!I13=0,0,SER_hh_fech!I13/SER_summary!I$26)</f>
        <v>0</v>
      </c>
      <c r="J13" s="132">
        <f>IF(SER_hh_fech!J13=0,0,SER_hh_fech!J13/SER_summary!J$26)</f>
        <v>0</v>
      </c>
      <c r="K13" s="132">
        <f>IF(SER_hh_fech!K13=0,0,SER_hh_fech!K13/SER_summary!K$26)</f>
        <v>0</v>
      </c>
      <c r="L13" s="132">
        <f>IF(SER_hh_fech!L13=0,0,SER_hh_fech!L13/SER_summary!L$26)</f>
        <v>0</v>
      </c>
      <c r="M13" s="132">
        <f>IF(SER_hh_fech!M13=0,0,SER_hh_fech!M13/SER_summary!M$26)</f>
        <v>0</v>
      </c>
      <c r="N13" s="132">
        <f>IF(SER_hh_fech!N13=0,0,SER_hh_fech!N13/SER_summary!N$26)</f>
        <v>0</v>
      </c>
      <c r="O13" s="132">
        <f>IF(SER_hh_fech!O13=0,0,SER_hh_fech!O13/SER_summary!O$26)</f>
        <v>0</v>
      </c>
      <c r="P13" s="132">
        <f>IF(SER_hh_fech!P13=0,0,SER_hh_fech!P13/SER_summary!P$26)</f>
        <v>0</v>
      </c>
      <c r="Q13" s="132">
        <f>IF(SER_hh_fech!Q13=0,0,SER_hh_fech!Q13/SER_summary!Q$26)</f>
        <v>0</v>
      </c>
      <c r="R13" s="132">
        <f>IF(SER_hh_fech!R13=0,0,SER_hh_fech!R13/SER_summary!R$26)</f>
        <v>0</v>
      </c>
      <c r="S13" s="132">
        <f>IF(SER_hh_fech!S13=0,0,SER_hh_fech!S13/SER_summary!S$26)</f>
        <v>0</v>
      </c>
      <c r="T13" s="132">
        <f>IF(SER_hh_fech!T13=0,0,SER_hh_fech!T13/SER_summary!T$26)</f>
        <v>0</v>
      </c>
      <c r="U13" s="132">
        <f>IF(SER_hh_fech!U13=0,0,SER_hh_fech!U13/SER_summary!U$26)</f>
        <v>0</v>
      </c>
      <c r="V13" s="132">
        <f>IF(SER_hh_fech!V13=0,0,SER_hh_fech!V13/SER_summary!V$26)</f>
        <v>0</v>
      </c>
      <c r="W13" s="132">
        <f>IF(SER_hh_fech!W13=0,0,SER_hh_fech!W13/SER_summary!W$26)</f>
        <v>0</v>
      </c>
      <c r="X13" s="132">
        <f>IF(SER_hh_fech!X13=0,0,SER_hh_fech!X13/SER_summary!X$26)</f>
        <v>0</v>
      </c>
      <c r="Y13" s="132">
        <f>IF(SER_hh_fech!Y13=0,0,SER_hh_fech!Y13/SER_summary!Y$26)</f>
        <v>31.556172132861853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224.16011232955827</v>
      </c>
      <c r="C14" s="65">
        <f>IF(SER_hh_fech!C14=0,0,SER_hh_fech!C14/SER_summary!C$26)</f>
        <v>248.40331364364374</v>
      </c>
      <c r="D14" s="65">
        <f>IF(SER_hh_fech!D14=0,0,SER_hh_fech!D14/SER_summary!D$26)</f>
        <v>303.2402227676987</v>
      </c>
      <c r="E14" s="65">
        <f>IF(SER_hh_fech!E14=0,0,SER_hh_fech!E14/SER_summary!E$26)</f>
        <v>140.8582502309136</v>
      </c>
      <c r="F14" s="65">
        <f>IF(SER_hh_fech!F14=0,0,SER_hh_fech!F14/SER_summary!F$26)</f>
        <v>178.12841945068621</v>
      </c>
      <c r="G14" s="65">
        <f>IF(SER_hh_fech!G14=0,0,SER_hh_fech!G14/SER_summary!G$26)</f>
        <v>119.05052869968353</v>
      </c>
      <c r="H14" s="65">
        <f>IF(SER_hh_fech!H14=0,0,SER_hh_fech!H14/SER_summary!H$26)</f>
        <v>89.254123813552638</v>
      </c>
      <c r="I14" s="65">
        <f>IF(SER_hh_fech!I14=0,0,SER_hh_fech!I14/SER_summary!I$26)</f>
        <v>87.179911786625226</v>
      </c>
      <c r="J14" s="65">
        <f>IF(SER_hh_fech!J14=0,0,SER_hh_fech!J14/SER_summary!J$26)</f>
        <v>123.36133643860146</v>
      </c>
      <c r="K14" s="65">
        <f>IF(SER_hh_fech!K14=0,0,SER_hh_fech!K14/SER_summary!K$26)</f>
        <v>112.71337412630308</v>
      </c>
      <c r="L14" s="65">
        <f>IF(SER_hh_fech!L14=0,0,SER_hh_fech!L14/SER_summary!L$26)</f>
        <v>119.47587540506515</v>
      </c>
      <c r="M14" s="65">
        <f>IF(SER_hh_fech!M14=0,0,SER_hh_fech!M14/SER_summary!M$26)</f>
        <v>121.79957653900561</v>
      </c>
      <c r="N14" s="65">
        <f>IF(SER_hh_fech!N14=0,0,SER_hh_fech!N14/SER_summary!N$26)</f>
        <v>106.68906991474385</v>
      </c>
      <c r="O14" s="65">
        <f>IF(SER_hh_fech!O14=0,0,SER_hh_fech!O14/SER_summary!O$26)</f>
        <v>102.66040499449647</v>
      </c>
      <c r="P14" s="65">
        <f>IF(SER_hh_fech!P14=0,0,SER_hh_fech!P14/SER_summary!P$26)</f>
        <v>88.257944493704017</v>
      </c>
      <c r="Q14" s="65">
        <f>IF(SER_hh_fech!Q14=0,0,SER_hh_fech!Q14/SER_summary!Q$26)</f>
        <v>89.260884087340841</v>
      </c>
      <c r="R14" s="65">
        <f>IF(SER_hh_fech!R14=0,0,SER_hh_fech!R14/SER_summary!R$26)</f>
        <v>96.139563291999337</v>
      </c>
      <c r="S14" s="65">
        <f>IF(SER_hh_fech!S14=0,0,SER_hh_fech!S14/SER_summary!S$26)</f>
        <v>101.70132641570902</v>
      </c>
      <c r="T14" s="65">
        <f>IF(SER_hh_fech!T14=0,0,SER_hh_fech!T14/SER_summary!T$26)</f>
        <v>104.98167967557615</v>
      </c>
      <c r="U14" s="65">
        <f>IF(SER_hh_fech!U14=0,0,SER_hh_fech!U14/SER_summary!U$26)</f>
        <v>96.349399134862139</v>
      </c>
      <c r="V14" s="65">
        <f>IF(SER_hh_fech!V14=0,0,SER_hh_fech!V14/SER_summary!V$26)</f>
        <v>73.364735471648416</v>
      </c>
      <c r="W14" s="65">
        <f>IF(SER_hh_fech!W14=0,0,SER_hh_fech!W14/SER_summary!W$26)</f>
        <v>80.980348097655522</v>
      </c>
      <c r="X14" s="65">
        <f>IF(SER_hh_fech!X14=0,0,SER_hh_fech!X14/SER_summary!X$26)</f>
        <v>103.2255039249915</v>
      </c>
      <c r="Y14" s="65">
        <f>IF(SER_hh_fech!Y14=0,0,SER_hh_fech!Y14/SER_summary!Y$26)</f>
        <v>89.501283010032125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2.2255519376372166</v>
      </c>
      <c r="C15" s="134">
        <f>IF(SER_hh_fech!C15=0,0,SER_hh_fech!C15/SER_summary!C$26)</f>
        <v>3.4759881138139916</v>
      </c>
      <c r="D15" s="134">
        <f>IF(SER_hh_fech!D15=0,0,SER_hh_fech!D15/SER_summary!D$26)</f>
        <v>2.9727256044036729</v>
      </c>
      <c r="E15" s="134">
        <f>IF(SER_hh_fech!E15=0,0,SER_hh_fech!E15/SER_summary!E$26)</f>
        <v>1.9070143175175511</v>
      </c>
      <c r="F15" s="134">
        <f>IF(SER_hh_fech!F15=0,0,SER_hh_fech!F15/SER_summary!F$26)</f>
        <v>1.9228778020700592</v>
      </c>
      <c r="G15" s="134">
        <f>IF(SER_hh_fech!G15=0,0,SER_hh_fech!G15/SER_summary!G$26)</f>
        <v>1.5672638325710475</v>
      </c>
      <c r="H15" s="134">
        <f>IF(SER_hh_fech!H15=0,0,SER_hh_fech!H15/SER_summary!H$26)</f>
        <v>1.255938771512362</v>
      </c>
      <c r="I15" s="134">
        <f>IF(SER_hh_fech!I15=0,0,SER_hh_fech!I15/SER_summary!I$26)</f>
        <v>0.77425025135699266</v>
      </c>
      <c r="J15" s="134">
        <f>IF(SER_hh_fech!J15=0,0,SER_hh_fech!J15/SER_summary!J$26)</f>
        <v>1.3186860795622559</v>
      </c>
      <c r="K15" s="134">
        <f>IF(SER_hh_fech!K15=0,0,SER_hh_fech!K15/SER_summary!K$26)</f>
        <v>1.2461458896796245</v>
      </c>
      <c r="L15" s="134">
        <f>IF(SER_hh_fech!L15=0,0,SER_hh_fech!L15/SER_summary!L$26)</f>
        <v>1.352023803753708</v>
      </c>
      <c r="M15" s="134">
        <f>IF(SER_hh_fech!M15=0,0,SER_hh_fech!M15/SER_summary!M$26)</f>
        <v>1.2424594258301371</v>
      </c>
      <c r="N15" s="134">
        <f>IF(SER_hh_fech!N15=0,0,SER_hh_fech!N15/SER_summary!N$26)</f>
        <v>0.82064075458553687</v>
      </c>
      <c r="O15" s="134">
        <f>IF(SER_hh_fech!O15=0,0,SER_hh_fech!O15/SER_summary!O$26)</f>
        <v>0.89527114353252468</v>
      </c>
      <c r="P15" s="134">
        <f>IF(SER_hh_fech!P15=0,0,SER_hh_fech!P15/SER_summary!P$26)</f>
        <v>0.71251482006234579</v>
      </c>
      <c r="Q15" s="134">
        <f>IF(SER_hh_fech!Q15=0,0,SER_hh_fech!Q15/SER_summary!Q$26)</f>
        <v>0.83155056393755455</v>
      </c>
      <c r="R15" s="134">
        <f>IF(SER_hh_fech!R15=0,0,SER_hh_fech!R15/SER_summary!R$26)</f>
        <v>1.0052203093209642</v>
      </c>
      <c r="S15" s="134">
        <f>IF(SER_hh_fech!S15=0,0,SER_hh_fech!S15/SER_summary!S$26)</f>
        <v>0.8466191247485606</v>
      </c>
      <c r="T15" s="134">
        <f>IF(SER_hh_fech!T15=0,0,SER_hh_fech!T15/SER_summary!T$26)</f>
        <v>0.78578024462362095</v>
      </c>
      <c r="U15" s="134">
        <f>IF(SER_hh_fech!U15=0,0,SER_hh_fech!U15/SER_summary!U$26)</f>
        <v>0.73646042792941735</v>
      </c>
      <c r="V15" s="134">
        <f>IF(SER_hh_fech!V15=0,0,SER_hh_fech!V15/SER_summary!V$26)</f>
        <v>0.75965701904547633</v>
      </c>
      <c r="W15" s="134">
        <f>IF(SER_hh_fech!W15=0,0,SER_hh_fech!W15/SER_summary!W$26)</f>
        <v>0.62796623530097828</v>
      </c>
      <c r="X15" s="134">
        <f>IF(SER_hh_fech!X15=0,0,SER_hh_fech!X15/SER_summary!X$26)</f>
        <v>0.89132701753359644</v>
      </c>
      <c r="Y15" s="134">
        <f>IF(SER_hh_fech!Y15=0,0,SER_hh_fech!Y15/SER_summary!Y$26)</f>
        <v>1.0721715219986661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13.92871409005228</v>
      </c>
      <c r="C16" s="130">
        <f>IF(SER_hh_fech!C16=0,0,SER_hh_fech!C16/SER_summary!C$26)</f>
        <v>13.271834005209961</v>
      </c>
      <c r="D16" s="130">
        <f>IF(SER_hh_fech!D16=0,0,SER_hh_fech!D16/SER_summary!D$26)</f>
        <v>12.595128825660954</v>
      </c>
      <c r="E16" s="130">
        <f>IF(SER_hh_fech!E16=0,0,SER_hh_fech!E16/SER_summary!E$26)</f>
        <v>15.309565750790123</v>
      </c>
      <c r="F16" s="130">
        <f>IF(SER_hh_fech!F16=0,0,SER_hh_fech!F16/SER_summary!F$26)</f>
        <v>11.474922257691976</v>
      </c>
      <c r="G16" s="130">
        <f>IF(SER_hh_fech!G16=0,0,SER_hh_fech!G16/SER_summary!G$26)</f>
        <v>11.06631018616617</v>
      </c>
      <c r="H16" s="130">
        <f>IF(SER_hh_fech!H16=0,0,SER_hh_fech!H16/SER_summary!H$26)</f>
        <v>11.246060090594641</v>
      </c>
      <c r="I16" s="130">
        <f>IF(SER_hh_fech!I16=0,0,SER_hh_fech!I16/SER_summary!I$26)</f>
        <v>10.26065196250376</v>
      </c>
      <c r="J16" s="130">
        <f>IF(SER_hh_fech!J16=0,0,SER_hh_fech!J16/SER_summary!J$26)</f>
        <v>9.5323972393191401</v>
      </c>
      <c r="K16" s="130">
        <f>IF(SER_hh_fech!K16=0,0,SER_hh_fech!K16/SER_summary!K$26)</f>
        <v>9.3540055560001214</v>
      </c>
      <c r="L16" s="130">
        <f>IF(SER_hh_fech!L16=0,0,SER_hh_fech!L16/SER_summary!L$26)</f>
        <v>9.5624245599471394</v>
      </c>
      <c r="M16" s="130">
        <f>IF(SER_hh_fech!M16=0,0,SER_hh_fech!M16/SER_summary!M$26)</f>
        <v>9.2352146245813316</v>
      </c>
      <c r="N16" s="130">
        <f>IF(SER_hh_fech!N16=0,0,SER_hh_fech!N16/SER_summary!N$26)</f>
        <v>10.109008549703526</v>
      </c>
      <c r="O16" s="130">
        <f>IF(SER_hh_fech!O16=0,0,SER_hh_fech!O16/SER_summary!O$26)</f>
        <v>10.123797326779155</v>
      </c>
      <c r="P16" s="130">
        <f>IF(SER_hh_fech!P16=0,0,SER_hh_fech!P16/SER_summary!P$26)</f>
        <v>7.9128954776243781</v>
      </c>
      <c r="Q16" s="130">
        <f>IF(SER_hh_fech!Q16=0,0,SER_hh_fech!Q16/SER_summary!Q$26)</f>
        <v>9.5562277914307696</v>
      </c>
      <c r="R16" s="130">
        <f>IF(SER_hh_fech!R16=0,0,SER_hh_fech!R16/SER_summary!R$26)</f>
        <v>7.5619405929168604</v>
      </c>
      <c r="S16" s="130">
        <f>IF(SER_hh_fech!S16=0,0,SER_hh_fech!S16/SER_summary!S$26)</f>
        <v>8.8320609777491281</v>
      </c>
      <c r="T16" s="130">
        <f>IF(SER_hh_fech!T16=0,0,SER_hh_fech!T16/SER_summary!T$26)</f>
        <v>7.5053434086824877</v>
      </c>
      <c r="U16" s="130">
        <f>IF(SER_hh_fech!U16=0,0,SER_hh_fech!U16/SER_summary!U$26)</f>
        <v>7.8710908558894062</v>
      </c>
      <c r="V16" s="130">
        <f>IF(SER_hh_fech!V16=0,0,SER_hh_fech!V16/SER_summary!V$26)</f>
        <v>6.7908490608301042</v>
      </c>
      <c r="W16" s="130">
        <f>IF(SER_hh_fech!W16=0,0,SER_hh_fech!W16/SER_summary!W$26)</f>
        <v>7.3086802891936795</v>
      </c>
      <c r="X16" s="130">
        <f>IF(SER_hh_fech!X16=0,0,SER_hh_fech!X16/SER_summary!X$26)</f>
        <v>7.6063666625322899</v>
      </c>
      <c r="Y16" s="130">
        <f>IF(SER_hh_fech!Y16=0,0,SER_hh_fech!Y16/SER_summary!Y$26)</f>
        <v>7.2988069222326155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13.92871409005228</v>
      </c>
      <c r="C18" s="132">
        <f>IF(SER_hh_fech!C18=0,0,SER_hh_fech!C18/SER_summary!C$26)</f>
        <v>13.271834005209961</v>
      </c>
      <c r="D18" s="132">
        <f>IF(SER_hh_fech!D18=0,0,SER_hh_fech!D18/SER_summary!D$26)</f>
        <v>12.595128825660954</v>
      </c>
      <c r="E18" s="132">
        <f>IF(SER_hh_fech!E18=0,0,SER_hh_fech!E18/SER_summary!E$26)</f>
        <v>15.309565750790123</v>
      </c>
      <c r="F18" s="132">
        <f>IF(SER_hh_fech!F18=0,0,SER_hh_fech!F18/SER_summary!F$26)</f>
        <v>11.474922257691976</v>
      </c>
      <c r="G18" s="132">
        <f>IF(SER_hh_fech!G18=0,0,SER_hh_fech!G18/SER_summary!G$26)</f>
        <v>11.06631018616617</v>
      </c>
      <c r="H18" s="132">
        <f>IF(SER_hh_fech!H18=0,0,SER_hh_fech!H18/SER_summary!H$26)</f>
        <v>11.246060090594641</v>
      </c>
      <c r="I18" s="132">
        <f>IF(SER_hh_fech!I18=0,0,SER_hh_fech!I18/SER_summary!I$26)</f>
        <v>10.26065196250376</v>
      </c>
      <c r="J18" s="132">
        <f>IF(SER_hh_fech!J18=0,0,SER_hh_fech!J18/SER_summary!J$26)</f>
        <v>9.5323972393191401</v>
      </c>
      <c r="K18" s="132">
        <f>IF(SER_hh_fech!K18=0,0,SER_hh_fech!K18/SER_summary!K$26)</f>
        <v>9.3540055560001214</v>
      </c>
      <c r="L18" s="132">
        <f>IF(SER_hh_fech!L18=0,0,SER_hh_fech!L18/SER_summary!L$26)</f>
        <v>9.5624245599471394</v>
      </c>
      <c r="M18" s="132">
        <f>IF(SER_hh_fech!M18=0,0,SER_hh_fech!M18/SER_summary!M$26)</f>
        <v>9.2352146245813316</v>
      </c>
      <c r="N18" s="132">
        <f>IF(SER_hh_fech!N18=0,0,SER_hh_fech!N18/SER_summary!N$26)</f>
        <v>10.109008549703526</v>
      </c>
      <c r="O18" s="132">
        <f>IF(SER_hh_fech!O18=0,0,SER_hh_fech!O18/SER_summary!O$26)</f>
        <v>10.123797326779155</v>
      </c>
      <c r="P18" s="132">
        <f>IF(SER_hh_fech!P18=0,0,SER_hh_fech!P18/SER_summary!P$26)</f>
        <v>7.9128954776243781</v>
      </c>
      <c r="Q18" s="132">
        <f>IF(SER_hh_fech!Q18=0,0,SER_hh_fech!Q18/SER_summary!Q$26)</f>
        <v>9.5562277914307696</v>
      </c>
      <c r="R18" s="132">
        <f>IF(SER_hh_fech!R18=0,0,SER_hh_fech!R18/SER_summary!R$26)</f>
        <v>7.5619405929168604</v>
      </c>
      <c r="S18" s="132">
        <f>IF(SER_hh_fech!S18=0,0,SER_hh_fech!S18/SER_summary!S$26)</f>
        <v>8.8320609777491281</v>
      </c>
      <c r="T18" s="132">
        <f>IF(SER_hh_fech!T18=0,0,SER_hh_fech!T18/SER_summary!T$26)</f>
        <v>7.5053434086824877</v>
      </c>
      <c r="U18" s="132">
        <f>IF(SER_hh_fech!U18=0,0,SER_hh_fech!U18/SER_summary!U$26)</f>
        <v>7.8710908558894062</v>
      </c>
      <c r="V18" s="132">
        <f>IF(SER_hh_fech!V18=0,0,SER_hh_fech!V18/SER_summary!V$26)</f>
        <v>6.7908490608301042</v>
      </c>
      <c r="W18" s="132">
        <f>IF(SER_hh_fech!W18=0,0,SER_hh_fech!W18/SER_summary!W$26)</f>
        <v>7.3086802891936795</v>
      </c>
      <c r="X18" s="132">
        <f>IF(SER_hh_fech!X18=0,0,SER_hh_fech!X18/SER_summary!X$26)</f>
        <v>7.6063666625322899</v>
      </c>
      <c r="Y18" s="132">
        <f>IF(SER_hh_fech!Y18=0,0,SER_hh_fech!Y18/SER_summary!Y$26)</f>
        <v>7.2988069222326155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24.557936827394268</v>
      </c>
      <c r="C19" s="130">
        <f>IF(SER_hh_fech!C19=0,0,SER_hh_fech!C19/SER_summary!C$26)</f>
        <v>23.881912566509584</v>
      </c>
      <c r="D19" s="130">
        <f>IF(SER_hh_fech!D19=0,0,SER_hh_fech!D19/SER_summary!D$26)</f>
        <v>23.372893887930896</v>
      </c>
      <c r="E19" s="130">
        <f>IF(SER_hh_fech!E19=0,0,SER_hh_fech!E19/SER_summary!E$26)</f>
        <v>23.312623709033851</v>
      </c>
      <c r="F19" s="130">
        <f>IF(SER_hh_fech!F19=0,0,SER_hh_fech!F19/SER_summary!F$26)</f>
        <v>22.790809218847659</v>
      </c>
      <c r="G19" s="130">
        <f>IF(SER_hh_fech!G19=0,0,SER_hh_fech!G19/SER_summary!G$26)</f>
        <v>22.55323502671196</v>
      </c>
      <c r="H19" s="130">
        <f>IF(SER_hh_fech!H19=0,0,SER_hh_fech!H19/SER_summary!H$26)</f>
        <v>22.036861700592102</v>
      </c>
      <c r="I19" s="130">
        <f>IF(SER_hh_fech!I19=0,0,SER_hh_fech!I19/SER_summary!I$26)</f>
        <v>21.473686765157012</v>
      </c>
      <c r="J19" s="130">
        <f>IF(SER_hh_fech!J19=0,0,SER_hh_fech!J19/SER_summary!J$26)</f>
        <v>21.026753956278011</v>
      </c>
      <c r="K19" s="130">
        <f>IF(SER_hh_fech!K19=0,0,SER_hh_fech!K19/SER_summary!K$26)</f>
        <v>21.24491491110987</v>
      </c>
      <c r="L19" s="130">
        <f>IF(SER_hh_fech!L19=0,0,SER_hh_fech!L19/SER_summary!L$26)</f>
        <v>21.34305343672499</v>
      </c>
      <c r="M19" s="130">
        <f>IF(SER_hh_fech!M19=0,0,SER_hh_fech!M19/SER_summary!M$26)</f>
        <v>20.753815009789353</v>
      </c>
      <c r="N19" s="130">
        <f>IF(SER_hh_fech!N19=0,0,SER_hh_fech!N19/SER_summary!N$26)</f>
        <v>20.74202846691183</v>
      </c>
      <c r="O19" s="130">
        <f>IF(SER_hh_fech!O19=0,0,SER_hh_fech!O19/SER_summary!O$26)</f>
        <v>20.683056403568884</v>
      </c>
      <c r="P19" s="130">
        <f>IF(SER_hh_fech!P19=0,0,SER_hh_fech!P19/SER_summary!P$26)</f>
        <v>20.851098033892121</v>
      </c>
      <c r="Q19" s="130">
        <f>IF(SER_hh_fech!Q19=0,0,SER_hh_fech!Q19/SER_summary!Q$26)</f>
        <v>21.074161818708227</v>
      </c>
      <c r="R19" s="130">
        <f>IF(SER_hh_fech!R19=0,0,SER_hh_fech!R19/SER_summary!R$26)</f>
        <v>21.329481176960517</v>
      </c>
      <c r="S19" s="130">
        <f>IF(SER_hh_fech!S19=0,0,SER_hh_fech!S19/SER_summary!S$26)</f>
        <v>20.787877414357737</v>
      </c>
      <c r="T19" s="130">
        <f>IF(SER_hh_fech!T19=0,0,SER_hh_fech!T19/SER_summary!T$26)</f>
        <v>20.451033791368346</v>
      </c>
      <c r="U19" s="130">
        <f>IF(SER_hh_fech!U19=0,0,SER_hh_fech!U19/SER_summary!U$26)</f>
        <v>20.365371229439379</v>
      </c>
      <c r="V19" s="130">
        <f>IF(SER_hh_fech!V19=0,0,SER_hh_fech!V19/SER_summary!V$26)</f>
        <v>19.353058757536754</v>
      </c>
      <c r="W19" s="130">
        <f>IF(SER_hh_fech!W19=0,0,SER_hh_fech!W19/SER_summary!W$26)</f>
        <v>19.115043866730971</v>
      </c>
      <c r="X19" s="130">
        <f>IF(SER_hh_fech!X19=0,0,SER_hh_fech!X19/SER_summary!X$26)</f>
        <v>19.219863673217922</v>
      </c>
      <c r="Y19" s="130">
        <f>IF(SER_hh_fech!Y19=0,0,SER_hh_fech!Y19/SER_summary!Y$26)</f>
        <v>19.015768307203384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27.213275228486701</v>
      </c>
      <c r="C21" s="132">
        <f>IF(SER_hh_fech!C21=0,0,SER_hh_fech!C21/SER_summary!C$26)</f>
        <v>23.368292971054924</v>
      </c>
      <c r="D21" s="132">
        <f>IF(SER_hh_fech!D21=0,0,SER_hh_fech!D21/SER_summary!D$26)</f>
        <v>24.959346428814573</v>
      </c>
      <c r="E21" s="132">
        <f>IF(SER_hh_fech!E21=0,0,SER_hh_fech!E21/SER_summary!E$26)</f>
        <v>24.244753131279101</v>
      </c>
      <c r="F21" s="132">
        <f>IF(SER_hh_fech!F21=0,0,SER_hh_fech!F21/SER_summary!F$26)</f>
        <v>23.601436308094915</v>
      </c>
      <c r="G21" s="132">
        <f>IF(SER_hh_fech!G21=0,0,SER_hh_fech!G21/SER_summary!G$26)</f>
        <v>23.193010271195483</v>
      </c>
      <c r="H21" s="132">
        <f>IF(SER_hh_fech!H21=0,0,SER_hh_fech!H21/SER_summary!H$26)</f>
        <v>22.788634286059249</v>
      </c>
      <c r="I21" s="132">
        <f>IF(SER_hh_fech!I21=0,0,SER_hh_fech!I21/SER_summary!I$26)</f>
        <v>22.693683664634765</v>
      </c>
      <c r="J21" s="132">
        <f>IF(SER_hh_fech!J21=0,0,SER_hh_fech!J21/SER_summary!J$26)</f>
        <v>21.993306415644753</v>
      </c>
      <c r="K21" s="132">
        <f>IF(SER_hh_fech!K21=0,0,SER_hh_fech!K21/SER_summary!K$26)</f>
        <v>22.230042102241292</v>
      </c>
      <c r="L21" s="132">
        <f>IF(SER_hh_fech!L21=0,0,SER_hh_fech!L21/SER_summary!L$26)</f>
        <v>23.09115568919318</v>
      </c>
      <c r="M21" s="132">
        <f>IF(SER_hh_fech!M21=0,0,SER_hh_fech!M21/SER_summary!M$26)</f>
        <v>21.83526288523074</v>
      </c>
      <c r="N21" s="132">
        <f>IF(SER_hh_fech!N21=0,0,SER_hh_fech!N21/SER_summary!N$26)</f>
        <v>22.980607673988764</v>
      </c>
      <c r="O21" s="132">
        <f>IF(SER_hh_fech!O21=0,0,SER_hh_fech!O21/SER_summary!O$26)</f>
        <v>22.878876604915799</v>
      </c>
      <c r="P21" s="132">
        <f>IF(SER_hh_fech!P21=0,0,SER_hh_fech!P21/SER_summary!P$26)</f>
        <v>23.4144781970945</v>
      </c>
      <c r="Q21" s="132">
        <f>IF(SER_hh_fech!Q21=0,0,SER_hh_fech!Q21/SER_summary!Q$26)</f>
        <v>23.452299795244731</v>
      </c>
      <c r="R21" s="132">
        <f>IF(SER_hh_fech!R21=0,0,SER_hh_fech!R21/SER_summary!R$26)</f>
        <v>17.949471483071054</v>
      </c>
      <c r="S21" s="132">
        <f>IF(SER_hh_fech!S21=0,0,SER_hh_fech!S21/SER_summary!S$26)</f>
        <v>20.010255610768603</v>
      </c>
      <c r="T21" s="132">
        <f>IF(SER_hh_fech!T21=0,0,SER_hh_fech!T21/SER_summary!T$26)</f>
        <v>26.18212976168396</v>
      </c>
      <c r="U21" s="132">
        <f>IF(SER_hh_fech!U21=0,0,SER_hh_fech!U21/SER_summary!U$26)</f>
        <v>29.989687537142785</v>
      </c>
      <c r="V21" s="132">
        <f>IF(SER_hh_fech!V21=0,0,SER_hh_fech!V21/SER_summary!V$26)</f>
        <v>23.603610377423131</v>
      </c>
      <c r="W21" s="132">
        <f>IF(SER_hh_fech!W21=0,0,SER_hh_fech!W21/SER_summary!W$26)</f>
        <v>17.722268674159285</v>
      </c>
      <c r="X21" s="132">
        <f>IF(SER_hh_fech!X21=0,0,SER_hh_fech!X21/SER_summary!X$26)</f>
        <v>24.96219672546022</v>
      </c>
      <c r="Y21" s="132">
        <f>IF(SER_hh_fech!Y21=0,0,SER_hh_fech!Y21/SER_summary!Y$26)</f>
        <v>16.029352022978038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25.689537780283381</v>
      </c>
      <c r="C22" s="132">
        <f>IF(SER_hh_fech!C22=0,0,SER_hh_fech!C22/SER_summary!C$26)</f>
        <v>27.349054060327411</v>
      </c>
      <c r="D22" s="132">
        <f>IF(SER_hh_fech!D22=0,0,SER_hh_fech!D22/SER_summary!D$26)</f>
        <v>24.235772864329345</v>
      </c>
      <c r="E22" s="132">
        <f>IF(SER_hh_fech!E22=0,0,SER_hh_fech!E22/SER_summary!E$26)</f>
        <v>26.068121863274651</v>
      </c>
      <c r="F22" s="132">
        <f>IF(SER_hh_fech!F22=0,0,SER_hh_fech!F22/SER_summary!F$26)</f>
        <v>25.193748418949262</v>
      </c>
      <c r="G22" s="132">
        <f>IF(SER_hh_fech!G22=0,0,SER_hh_fech!G22/SER_summary!G$26)</f>
        <v>24.554203292475002</v>
      </c>
      <c r="H22" s="132">
        <f>IF(SER_hh_fech!H22=0,0,SER_hh_fech!H22/SER_summary!H$26)</f>
        <v>24.058554558259807</v>
      </c>
      <c r="I22" s="132">
        <f>IF(SER_hh_fech!I22=0,0,SER_hh_fech!I22/SER_summary!I$26)</f>
        <v>23.886531254095772</v>
      </c>
      <c r="J22" s="132">
        <f>IF(SER_hh_fech!J22=0,0,SER_hh_fech!J22/SER_summary!J$26)</f>
        <v>22.717529495494944</v>
      </c>
      <c r="K22" s="132">
        <f>IF(SER_hh_fech!K22=0,0,SER_hh_fech!K22/SER_summary!K$26)</f>
        <v>23.710877974210167</v>
      </c>
      <c r="L22" s="132">
        <f>IF(SER_hh_fech!L22=0,0,SER_hh_fech!L22/SER_summary!L$26)</f>
        <v>24.941273113380262</v>
      </c>
      <c r="M22" s="132">
        <f>IF(SER_hh_fech!M22=0,0,SER_hh_fech!M22/SER_summary!M$26)</f>
        <v>23.306748466593127</v>
      </c>
      <c r="N22" s="132">
        <f>IF(SER_hh_fech!N22=0,0,SER_hh_fech!N22/SER_summary!N$26)</f>
        <v>24.518306883815388</v>
      </c>
      <c r="O22" s="132">
        <f>IF(SER_hh_fech!O22=0,0,SER_hh_fech!O22/SER_summary!O$26)</f>
        <v>24.21739587703739</v>
      </c>
      <c r="P22" s="132">
        <f>IF(SER_hh_fech!P22=0,0,SER_hh_fech!P22/SER_summary!P$26)</f>
        <v>23.677550880700732</v>
      </c>
      <c r="Q22" s="132">
        <f>IF(SER_hh_fech!Q22=0,0,SER_hh_fech!Q22/SER_summary!Q$26)</f>
        <v>23.672578603923057</v>
      </c>
      <c r="R22" s="132">
        <f>IF(SER_hh_fech!R22=0,0,SER_hh_fech!R22/SER_summary!R$26)</f>
        <v>28.486229086043522</v>
      </c>
      <c r="S22" s="132">
        <f>IF(SER_hh_fech!S22=0,0,SER_hh_fech!S22/SER_summary!S$26)</f>
        <v>23.250734320336029</v>
      </c>
      <c r="T22" s="132">
        <f>IF(SER_hh_fech!T22=0,0,SER_hh_fech!T22/SER_summary!T$26)</f>
        <v>26.044707268736612</v>
      </c>
      <c r="U22" s="132">
        <f>IF(SER_hh_fech!U22=0,0,SER_hh_fech!U22/SER_summary!U$26)</f>
        <v>21.669062789660313</v>
      </c>
      <c r="V22" s="132">
        <f>IF(SER_hh_fech!V22=0,0,SER_hh_fech!V22/SER_summary!V$26)</f>
        <v>22.841142701744154</v>
      </c>
      <c r="W22" s="132">
        <f>IF(SER_hh_fech!W22=0,0,SER_hh_fech!W22/SER_summary!W$26)</f>
        <v>21.141987821345175</v>
      </c>
      <c r="X22" s="132">
        <f>IF(SER_hh_fech!X22=0,0,SER_hh_fech!X22/SER_summary!X$26)</f>
        <v>20.420381496345172</v>
      </c>
      <c r="Y22" s="132">
        <f>IF(SER_hh_fech!Y22=0,0,SER_hh_fech!Y22/SER_summary!Y$26)</f>
        <v>20.619055780989392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25.914005475639318</v>
      </c>
      <c r="C23" s="132">
        <f>IF(SER_hh_fech!C23=0,0,SER_hh_fech!C23/SER_summary!C$26)</f>
        <v>25.850190165638278</v>
      </c>
      <c r="D23" s="132">
        <f>IF(SER_hh_fech!D23=0,0,SER_hh_fech!D23/SER_summary!D$26)</f>
        <v>24.647982065549627</v>
      </c>
      <c r="E23" s="132">
        <f>IF(SER_hh_fech!E23=0,0,SER_hh_fech!E23/SER_summary!E$26)</f>
        <v>24.09063973210402</v>
      </c>
      <c r="F23" s="132">
        <f>IF(SER_hh_fech!F23=0,0,SER_hh_fech!F23/SER_summary!F$26)</f>
        <v>23.849509202755268</v>
      </c>
      <c r="G23" s="132">
        <f>IF(SER_hh_fech!G23=0,0,SER_hh_fech!G23/SER_summary!G$26)</f>
        <v>23.243892938861283</v>
      </c>
      <c r="H23" s="132">
        <f>IF(SER_hh_fech!H23=0,0,SER_hh_fech!H23/SER_summary!H$26)</f>
        <v>22.082811412352257</v>
      </c>
      <c r="I23" s="132">
        <f>IF(SER_hh_fech!I23=0,0,SER_hh_fech!I23/SER_summary!I$26)</f>
        <v>20.872236497520113</v>
      </c>
      <c r="J23" s="132">
        <f>IF(SER_hh_fech!J23=0,0,SER_hh_fech!J23/SER_summary!J$26)</f>
        <v>19.122988788279869</v>
      </c>
      <c r="K23" s="132">
        <f>IF(SER_hh_fech!K23=0,0,SER_hh_fech!K23/SER_summary!K$26)</f>
        <v>23.129273517524581</v>
      </c>
      <c r="L23" s="132">
        <f>IF(SER_hh_fech!L23=0,0,SER_hh_fech!L23/SER_summary!L$26)</f>
        <v>22.464931115907564</v>
      </c>
      <c r="M23" s="132">
        <f>IF(SER_hh_fech!M23=0,0,SER_hh_fech!M23/SER_summary!M$26)</f>
        <v>21.231956663921906</v>
      </c>
      <c r="N23" s="132">
        <f>IF(SER_hh_fech!N23=0,0,SER_hh_fech!N23/SER_summary!N$26)</f>
        <v>21.328716707125814</v>
      </c>
      <c r="O23" s="132">
        <f>IF(SER_hh_fech!O23=0,0,SER_hh_fech!O23/SER_summary!O$26)</f>
        <v>21.652907845040293</v>
      </c>
      <c r="P23" s="132">
        <f>IF(SER_hh_fech!P23=0,0,SER_hh_fech!P23/SER_summary!P$26)</f>
        <v>21.841092993020137</v>
      </c>
      <c r="Q23" s="132">
        <f>IF(SER_hh_fech!Q23=0,0,SER_hh_fech!Q23/SER_summary!Q$26)</f>
        <v>21.104322407971306</v>
      </c>
      <c r="R23" s="132">
        <f>IF(SER_hh_fech!R23=0,0,SER_hh_fech!R23/SER_summary!R$26)</f>
        <v>27.359759301361866</v>
      </c>
      <c r="S23" s="132">
        <f>IF(SER_hh_fech!S23=0,0,SER_hh_fech!S23/SER_summary!S$26)</f>
        <v>24.00241689392481</v>
      </c>
      <c r="T23" s="132">
        <f>IF(SER_hh_fech!T23=0,0,SER_hh_fech!T23/SER_summary!T$26)</f>
        <v>17.104346582928496</v>
      </c>
      <c r="U23" s="132">
        <f>IF(SER_hh_fech!U23=0,0,SER_hh_fech!U23/SER_summary!U$26)</f>
        <v>22.819154242094125</v>
      </c>
      <c r="V23" s="132">
        <f>IF(SER_hh_fech!V23=0,0,SER_hh_fech!V23/SER_summary!V$26)</f>
        <v>20.641864532029171</v>
      </c>
      <c r="W23" s="132">
        <f>IF(SER_hh_fech!W23=0,0,SER_hh_fech!W23/SER_summary!W$26)</f>
        <v>17.575551727035986</v>
      </c>
      <c r="X23" s="132">
        <f>IF(SER_hh_fech!X23=0,0,SER_hh_fech!X23/SER_summary!X$26)</f>
        <v>24.260942598666407</v>
      </c>
      <c r="Y23" s="132">
        <f>IF(SER_hh_fech!Y23=0,0,SER_hh_fech!Y23/SER_summary!Y$26)</f>
        <v>20.599635116791863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15.789424338668221</v>
      </c>
      <c r="C25" s="132">
        <f>IF(SER_hh_fech!C25=0,0,SER_hh_fech!C25/SER_summary!C$26)</f>
        <v>20.569681727528589</v>
      </c>
      <c r="D25" s="132">
        <f>IF(SER_hh_fech!D25=0,0,SER_hh_fech!D25/SER_summary!D$26)</f>
        <v>17.725708985703484</v>
      </c>
      <c r="E25" s="132">
        <f>IF(SER_hh_fech!E25=0,0,SER_hh_fech!E25/SER_summary!E$26)</f>
        <v>16.054901319504545</v>
      </c>
      <c r="F25" s="132">
        <f>IF(SER_hh_fech!F25=0,0,SER_hh_fech!F25/SER_summary!F$26)</f>
        <v>16.939685662967573</v>
      </c>
      <c r="G25" s="132">
        <f>IF(SER_hh_fech!G25=0,0,SER_hh_fech!G25/SER_summary!G$26)</f>
        <v>16.77135206295787</v>
      </c>
      <c r="H25" s="132">
        <f>IF(SER_hh_fech!H25=0,0,SER_hh_fech!H25/SER_summary!H$26)</f>
        <v>14.906029879192305</v>
      </c>
      <c r="I25" s="132">
        <f>IF(SER_hh_fech!I25=0,0,SER_hh_fech!I25/SER_summary!I$26)</f>
        <v>15.400765605130401</v>
      </c>
      <c r="J25" s="132">
        <f>IF(SER_hh_fech!J25=0,0,SER_hh_fech!J25/SER_summary!J$26)</f>
        <v>13.794707000124966</v>
      </c>
      <c r="K25" s="132">
        <f>IF(SER_hh_fech!K25=0,0,SER_hh_fech!K25/SER_summary!K$26)</f>
        <v>14.608983658737959</v>
      </c>
      <c r="L25" s="132">
        <f>IF(SER_hh_fech!L25=0,0,SER_hh_fech!L25/SER_summary!L$26)</f>
        <v>15.59835299847783</v>
      </c>
      <c r="M25" s="132">
        <f>IF(SER_hh_fech!M25=0,0,SER_hh_fech!M25/SER_summary!M$26)</f>
        <v>16.011557509822307</v>
      </c>
      <c r="N25" s="132">
        <f>IF(SER_hh_fech!N25=0,0,SER_hh_fech!N25/SER_summary!N$26)</f>
        <v>16.032971148584821</v>
      </c>
      <c r="O25" s="132">
        <f>IF(SER_hh_fech!O25=0,0,SER_hh_fech!O25/SER_summary!O$26)</f>
        <v>16.314460212905523</v>
      </c>
      <c r="P25" s="132">
        <f>IF(SER_hh_fech!P25=0,0,SER_hh_fech!P25/SER_summary!P$26)</f>
        <v>17.096662331403987</v>
      </c>
      <c r="Q25" s="132">
        <f>IF(SER_hh_fech!Q25=0,0,SER_hh_fech!Q25/SER_summary!Q$26)</f>
        <v>16.76096817602868</v>
      </c>
      <c r="R25" s="132">
        <f>IF(SER_hh_fech!R25=0,0,SER_hh_fech!R25/SER_summary!R$26)</f>
        <v>15.519794077180732</v>
      </c>
      <c r="S25" s="132">
        <f>IF(SER_hh_fech!S25=0,0,SER_hh_fech!S25/SER_summary!S$26)</f>
        <v>17.710613792755776</v>
      </c>
      <c r="T25" s="132">
        <f>IF(SER_hh_fech!T25=0,0,SER_hh_fech!T25/SER_summary!T$26)</f>
        <v>18.593907968833324</v>
      </c>
      <c r="U25" s="132">
        <f>IF(SER_hh_fech!U25=0,0,SER_hh_fech!U25/SER_summary!U$26)</f>
        <v>16.084088364127794</v>
      </c>
      <c r="V25" s="132">
        <f>IF(SER_hh_fech!V25=0,0,SER_hh_fech!V25/SER_summary!V$26)</f>
        <v>16.071318125880993</v>
      </c>
      <c r="W25" s="132">
        <f>IF(SER_hh_fech!W25=0,0,SER_hh_fech!W25/SER_summary!W$26)</f>
        <v>17.523019044508271</v>
      </c>
      <c r="X25" s="132">
        <f>IF(SER_hh_fech!X25=0,0,SER_hh_fech!X25/SER_summary!X$26)</f>
        <v>17.786993841310483</v>
      </c>
      <c r="Y25" s="132">
        <f>IF(SER_hh_fech!Y25=0,0,SER_hh_fech!Y25/SER_summary!Y$26)</f>
        <v>16.904393874750301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21.192688040810349</v>
      </c>
      <c r="C26" s="65">
        <f>IF(SER_hh_fech!C26=0,0,SER_hh_fech!C26/SER_summary!C$26)</f>
        <v>17.362302680627952</v>
      </c>
      <c r="D26" s="65">
        <f>IF(SER_hh_fech!D26=0,0,SER_hh_fech!D26/SER_summary!D$26)</f>
        <v>21.213062873980473</v>
      </c>
      <c r="E26" s="65">
        <f>IF(SER_hh_fech!E26=0,0,SER_hh_fech!E26/SER_summary!E$26)</f>
        <v>18.377703307609274</v>
      </c>
      <c r="F26" s="65">
        <f>IF(SER_hh_fech!F26=0,0,SER_hh_fech!F26/SER_summary!F$26)</f>
        <v>17.778920837356754</v>
      </c>
      <c r="G26" s="65">
        <f>IF(SER_hh_fech!G26=0,0,SER_hh_fech!G26/SER_summary!G$26)</f>
        <v>19.308487579384817</v>
      </c>
      <c r="H26" s="65">
        <f>IF(SER_hh_fech!H26=0,0,SER_hh_fech!H26/SER_summary!H$26)</f>
        <v>19.329698986849497</v>
      </c>
      <c r="I26" s="65">
        <f>IF(SER_hh_fech!I26=0,0,SER_hh_fech!I26/SER_summary!I$26)</f>
        <v>16.965356250104854</v>
      </c>
      <c r="J26" s="65">
        <f>IF(SER_hh_fech!J26=0,0,SER_hh_fech!J26/SER_summary!J$26)</f>
        <v>19.540379701436276</v>
      </c>
      <c r="K26" s="65">
        <f>IF(SER_hh_fech!K26=0,0,SER_hh_fech!K26/SER_summary!K$26)</f>
        <v>18.406261523884929</v>
      </c>
      <c r="L26" s="65">
        <f>IF(SER_hh_fech!L26=0,0,SER_hh_fech!L26/SER_summary!L$26)</f>
        <v>17.270669186810437</v>
      </c>
      <c r="M26" s="65">
        <f>IF(SER_hh_fech!M26=0,0,SER_hh_fech!M26/SER_summary!M$26)</f>
        <v>19.33078661612733</v>
      </c>
      <c r="N26" s="65">
        <f>IF(SER_hh_fech!N26=0,0,SER_hh_fech!N26/SER_summary!N$26)</f>
        <v>18.52082802069841</v>
      </c>
      <c r="O26" s="65">
        <f>IF(SER_hh_fech!O26=0,0,SER_hh_fech!O26/SER_summary!O$26)</f>
        <v>19.331160963537734</v>
      </c>
      <c r="P26" s="65">
        <f>IF(SER_hh_fech!P26=0,0,SER_hh_fech!P26/SER_summary!P$26)</f>
        <v>19.971336635976915</v>
      </c>
      <c r="Q26" s="65">
        <f>IF(SER_hh_fech!Q26=0,0,SER_hh_fech!Q26/SER_summary!Q$26)</f>
        <v>20.840609535051819</v>
      </c>
      <c r="R26" s="65">
        <f>IF(SER_hh_fech!R26=0,0,SER_hh_fech!R26/SER_summary!R$26)</f>
        <v>21.43169157620142</v>
      </c>
      <c r="S26" s="65">
        <f>IF(SER_hh_fech!S26=0,0,SER_hh_fech!S26/SER_summary!S$26)</f>
        <v>21.139936777921069</v>
      </c>
      <c r="T26" s="65">
        <f>IF(SER_hh_fech!T26=0,0,SER_hh_fech!T26/SER_summary!T$26)</f>
        <v>17.548952392375831</v>
      </c>
      <c r="U26" s="65">
        <f>IF(SER_hh_fech!U26=0,0,SER_hh_fech!U26/SER_summary!U$26)</f>
        <v>18.201359399401753</v>
      </c>
      <c r="V26" s="65">
        <f>IF(SER_hh_fech!V26=0,0,SER_hh_fech!V26/SER_summary!V$26)</f>
        <v>17.978964263276797</v>
      </c>
      <c r="W26" s="65">
        <f>IF(SER_hh_fech!W26=0,0,SER_hh_fech!W26/SER_summary!W$26)</f>
        <v>19.565174125543404</v>
      </c>
      <c r="X26" s="65">
        <f>IF(SER_hh_fech!X26=0,0,SER_hh_fech!X26/SER_summary!X$26)</f>
        <v>17.759295362679772</v>
      </c>
      <c r="Y26" s="65">
        <f>IF(SER_hh_fech!Y26=0,0,SER_hh_fech!Y26/SER_summary!Y$26)</f>
        <v>19.71252175951085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26.088729518476285</v>
      </c>
      <c r="C29" s="130">
        <f>IF(SER_hh_fech!C29=0,0,SER_hh_fech!C29/SER_summary!C$26)</f>
        <v>27.705435100751178</v>
      </c>
      <c r="D29" s="130">
        <f>IF(SER_hh_fech!D29=0,0,SER_hh_fech!D29/SER_summary!D$26)</f>
        <v>25.281165791077171</v>
      </c>
      <c r="E29" s="130">
        <f>IF(SER_hh_fech!E29=0,0,SER_hh_fech!E29/SER_summary!E$26)</f>
        <v>23.343355570325436</v>
      </c>
      <c r="F29" s="130">
        <f>IF(SER_hh_fech!F29=0,0,SER_hh_fech!F29/SER_summary!F$26)</f>
        <v>22.952068837344385</v>
      </c>
      <c r="G29" s="130">
        <f>IF(SER_hh_fech!G29=0,0,SER_hh_fech!G29/SER_summary!G$26)</f>
        <v>22.049705147611263</v>
      </c>
      <c r="H29" s="130">
        <f>IF(SER_hh_fech!H29=0,0,SER_hh_fech!H29/SER_summary!H$26)</f>
        <v>20.976533358353628</v>
      </c>
      <c r="I29" s="130">
        <f>IF(SER_hh_fech!I29=0,0,SER_hh_fech!I29/SER_summary!I$26)</f>
        <v>21.603379553916469</v>
      </c>
      <c r="J29" s="130">
        <f>IF(SER_hh_fech!J29=0,0,SER_hh_fech!J29/SER_summary!J$26)</f>
        <v>20.09541712954541</v>
      </c>
      <c r="K29" s="130">
        <f>IF(SER_hh_fech!K29=0,0,SER_hh_fech!K29/SER_summary!K$26)</f>
        <v>20.637625643869161</v>
      </c>
      <c r="L29" s="130">
        <f>IF(SER_hh_fech!L29=0,0,SER_hh_fech!L29/SER_summary!L$26)</f>
        <v>21.297869543824334</v>
      </c>
      <c r="M29" s="130">
        <f>IF(SER_hh_fech!M29=0,0,SER_hh_fech!M29/SER_summary!M$26)</f>
        <v>20.471097152709376</v>
      </c>
      <c r="N29" s="130">
        <f>IF(SER_hh_fech!N29=0,0,SER_hh_fech!N29/SER_summary!N$26)</f>
        <v>21.784226598816979</v>
      </c>
      <c r="O29" s="130">
        <f>IF(SER_hh_fech!O29=0,0,SER_hh_fech!O29/SER_summary!O$26)</f>
        <v>21.689638373945812</v>
      </c>
      <c r="P29" s="130">
        <f>IF(SER_hh_fech!P29=0,0,SER_hh_fech!P29/SER_summary!P$26)</f>
        <v>22.405948803900095</v>
      </c>
      <c r="Q29" s="130">
        <f>IF(SER_hh_fech!Q29=0,0,SER_hh_fech!Q29/SER_summary!Q$26)</f>
        <v>23.740275858717457</v>
      </c>
      <c r="R29" s="130">
        <f>IF(SER_hh_fech!R29=0,0,SER_hh_fech!R29/SER_summary!R$26)</f>
        <v>24.386782469664642</v>
      </c>
      <c r="S29" s="130">
        <f>IF(SER_hh_fech!S29=0,0,SER_hh_fech!S29/SER_summary!S$26)</f>
        <v>24.588871407529158</v>
      </c>
      <c r="T29" s="130">
        <f>IF(SER_hh_fech!T29=0,0,SER_hh_fech!T29/SER_summary!T$26)</f>
        <v>24.776800593296443</v>
      </c>
      <c r="U29" s="130">
        <f>IF(SER_hh_fech!U29=0,0,SER_hh_fech!U29/SER_summary!U$26)</f>
        <v>25.380468260028376</v>
      </c>
      <c r="V29" s="130">
        <f>IF(SER_hh_fech!V29=0,0,SER_hh_fech!V29/SER_summary!V$26)</f>
        <v>23.477212944303474</v>
      </c>
      <c r="W29" s="130">
        <f>IF(SER_hh_fech!W29=0,0,SER_hh_fech!W29/SER_summary!W$26)</f>
        <v>22.894350392184915</v>
      </c>
      <c r="X29" s="130">
        <f>IF(SER_hh_fech!X29=0,0,SER_hh_fech!X29/SER_summary!X$26)</f>
        <v>23.214513078672251</v>
      </c>
      <c r="Y29" s="130">
        <f>IF(SER_hh_fech!Y29=0,0,SER_hh_fech!Y29/SER_summary!Y$26)</f>
        <v>21.906838654376088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30.314641313073484</v>
      </c>
      <c r="C30" s="132">
        <f>IF(SER_hh_fech!C30=0,0,SER_hh_fech!C30/SER_summary!C$26)</f>
        <v>33.662445207149766</v>
      </c>
      <c r="D30" s="132">
        <f>IF(SER_hh_fech!D30=0,0,SER_hh_fech!D30/SER_summary!D$26)</f>
        <v>23.614749466882159</v>
      </c>
      <c r="E30" s="132">
        <f>IF(SER_hh_fech!E30=0,0,SER_hh_fech!E30/SER_summary!E$26)</f>
        <v>19.647977510234213</v>
      </c>
      <c r="F30" s="132">
        <f>IF(SER_hh_fech!F30=0,0,SER_hh_fech!F30/SER_summary!F$26)</f>
        <v>29.139152879661978</v>
      </c>
      <c r="G30" s="132">
        <f>IF(SER_hh_fech!G30=0,0,SER_hh_fech!G30/SER_summary!G$26)</f>
        <v>24.944300373461527</v>
      </c>
      <c r="H30" s="132">
        <f>IF(SER_hh_fech!H30=0,0,SER_hh_fech!H30/SER_summary!H$26)</f>
        <v>16.992133706973949</v>
      </c>
      <c r="I30" s="132">
        <f>IF(SER_hh_fech!I30=0,0,SER_hh_fech!I30/SER_summary!I$26)</f>
        <v>36.029507203886133</v>
      </c>
      <c r="J30" s="132">
        <f>IF(SER_hh_fech!J30=0,0,SER_hh_fech!J30/SER_summary!J$26)</f>
        <v>21.898459859892913</v>
      </c>
      <c r="K30" s="132">
        <f>IF(SER_hh_fech!K30=0,0,SER_hh_fech!K30/SER_summary!K$26)</f>
        <v>24.309170256013392</v>
      </c>
      <c r="L30" s="132">
        <f>IF(SER_hh_fech!L30=0,0,SER_hh_fech!L30/SER_summary!L$26)</f>
        <v>33.068165701005384</v>
      </c>
      <c r="M30" s="132">
        <f>IF(SER_hh_fech!M30=0,0,SER_hh_fech!M30/SER_summary!M$26)</f>
        <v>15.856742226822371</v>
      </c>
      <c r="N30" s="132">
        <f>IF(SER_hh_fech!N30=0,0,SER_hh_fech!N30/SER_summary!N$26)</f>
        <v>30.963720499817516</v>
      </c>
      <c r="O30" s="132">
        <f>IF(SER_hh_fech!O30=0,0,SER_hh_fech!O30/SER_summary!O$26)</f>
        <v>25.259646755653769</v>
      </c>
      <c r="P30" s="132">
        <f>IF(SER_hh_fech!P30=0,0,SER_hh_fech!P30/SER_summary!P$26)</f>
        <v>26.647630666061314</v>
      </c>
      <c r="Q30" s="132">
        <f>IF(SER_hh_fech!Q30=0,0,SER_hh_fech!Q30/SER_summary!Q$26)</f>
        <v>30.813601147940073</v>
      </c>
      <c r="R30" s="132">
        <f>IF(SER_hh_fech!R30=0,0,SER_hh_fech!R30/SER_summary!R$26)</f>
        <v>26.48264979321149</v>
      </c>
      <c r="S30" s="132">
        <f>IF(SER_hh_fech!S30=0,0,SER_hh_fech!S30/SER_summary!S$26)</f>
        <v>27.703465153690335</v>
      </c>
      <c r="T30" s="132">
        <f>IF(SER_hh_fech!T30=0,0,SER_hh_fech!T30/SER_summary!T$26)</f>
        <v>31.063066777586286</v>
      </c>
      <c r="U30" s="132">
        <f>IF(SER_hh_fech!U30=0,0,SER_hh_fech!U30/SER_summary!U$26)</f>
        <v>36.149151829336688</v>
      </c>
      <c r="V30" s="132">
        <f>IF(SER_hh_fech!V30=0,0,SER_hh_fech!V30/SER_summary!V$26)</f>
        <v>31.107561699029727</v>
      </c>
      <c r="W30" s="132">
        <f>IF(SER_hh_fech!W30=0,0,SER_hh_fech!W30/SER_summary!W$26)</f>
        <v>26.351411362143445</v>
      </c>
      <c r="X30" s="132">
        <f>IF(SER_hh_fech!X30=0,0,SER_hh_fech!X30/SER_summary!X$26)</f>
        <v>34.295318155840576</v>
      </c>
      <c r="Y30" s="132">
        <f>IF(SER_hh_fech!Y30=0,0,SER_hh_fech!Y30/SER_summary!Y$26)</f>
        <v>23.507422630034295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3.8901101039034249</v>
      </c>
      <c r="C31" s="132">
        <f>IF(SER_hh_fech!C31=0,0,SER_hh_fech!C31/SER_summary!C$26)</f>
        <v>37.500427342051438</v>
      </c>
      <c r="D31" s="132">
        <f>IF(SER_hh_fech!D31=0,0,SER_hh_fech!D31/SER_summary!D$26)</f>
        <v>34.151489800641045</v>
      </c>
      <c r="E31" s="132">
        <f>IF(SER_hh_fech!E31=0,0,SER_hh_fech!E31/SER_summary!E$26)</f>
        <v>28.291914638594765</v>
      </c>
      <c r="F31" s="132">
        <f>IF(SER_hh_fech!F31=0,0,SER_hh_fech!F31/SER_summary!F$26)</f>
        <v>30.582719322324454</v>
      </c>
      <c r="G31" s="132">
        <f>IF(SER_hh_fech!G31=0,0,SER_hh_fech!G31/SER_summary!G$26)</f>
        <v>27.438451130142663</v>
      </c>
      <c r="H31" s="132">
        <f>IF(SER_hh_fech!H31=0,0,SER_hh_fech!H31/SER_summary!H$26)</f>
        <v>19.453735258855602</v>
      </c>
      <c r="I31" s="132">
        <f>IF(SER_hh_fech!I31=0,0,SER_hh_fech!I31/SER_summary!I$26)</f>
        <v>19.960999485439675</v>
      </c>
      <c r="J31" s="132">
        <f>IF(SER_hh_fech!J31=0,0,SER_hh_fech!J31/SER_summary!J$26)</f>
        <v>10.32713801833393</v>
      </c>
      <c r="K31" s="132">
        <f>IF(SER_hh_fech!K31=0,0,SER_hh_fech!K31/SER_summary!K$26)</f>
        <v>29.247469526826826</v>
      </c>
      <c r="L31" s="132">
        <f>IF(SER_hh_fech!L31=0,0,SER_hh_fech!L31/SER_summary!L$26)</f>
        <v>26.399497194331992</v>
      </c>
      <c r="M31" s="132">
        <f>IF(SER_hh_fech!M31=0,0,SER_hh_fech!M31/SER_summary!M$26)</f>
        <v>25.064394049997816</v>
      </c>
      <c r="N31" s="132">
        <f>IF(SER_hh_fech!N31=0,0,SER_hh_fech!N31/SER_summary!N$26)</f>
        <v>20.885097971000476</v>
      </c>
      <c r="O31" s="132">
        <f>IF(SER_hh_fech!O31=0,0,SER_hh_fech!O31/SER_summary!O$26)</f>
        <v>24.091593784986216</v>
      </c>
      <c r="P31" s="132">
        <f>IF(SER_hh_fech!P31=0,0,SER_hh_fech!P31/SER_summary!P$26)</f>
        <v>29.342213314766035</v>
      </c>
      <c r="Q31" s="132">
        <f>IF(SER_hh_fech!Q31=0,0,SER_hh_fech!Q31/SER_summary!Q$26)</f>
        <v>29.198477315116129</v>
      </c>
      <c r="R31" s="132">
        <f>IF(SER_hh_fech!R31=0,0,SER_hh_fech!R31/SER_summary!R$26)</f>
        <v>37.747729201137993</v>
      </c>
      <c r="S31" s="132">
        <f>IF(SER_hh_fech!S31=0,0,SER_hh_fech!S31/SER_summary!S$26)</f>
        <v>31.935279020290839</v>
      </c>
      <c r="T31" s="132">
        <f>IF(SER_hh_fech!T31=0,0,SER_hh_fech!T31/SER_summary!T$26)</f>
        <v>22.70397736998039</v>
      </c>
      <c r="U31" s="132">
        <f>IF(SER_hh_fech!U31=0,0,SER_hh_fech!U31/SER_summary!U$26)</f>
        <v>30.689601751802794</v>
      </c>
      <c r="V31" s="132">
        <f>IF(SER_hh_fech!V31=0,0,SER_hh_fech!V31/SER_summary!V$26)</f>
        <v>29.693353174844535</v>
      </c>
      <c r="W31" s="132">
        <f>IF(SER_hh_fech!W31=0,0,SER_hh_fech!W31/SER_summary!W$26)</f>
        <v>26.592209167995787</v>
      </c>
      <c r="X31" s="132">
        <f>IF(SER_hh_fech!X31=0,0,SER_hh_fech!X31/SER_summary!X$26)</f>
        <v>31.068659021845814</v>
      </c>
      <c r="Y31" s="132">
        <f>IF(SER_hh_fech!Y31=0,0,SER_hh_fech!Y31/SER_summary!Y$26)</f>
        <v>29.118035146007664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23.362035182707004</v>
      </c>
      <c r="C33" s="68">
        <f>IF(SER_hh_fech!C33=0,0,SER_hh_fech!C33/SER_summary!C$26)</f>
        <v>17.248608934049049</v>
      </c>
      <c r="D33" s="68">
        <f>IF(SER_hh_fech!D33=0,0,SER_hh_fech!D33/SER_summary!D$26)</f>
        <v>23.676339199352981</v>
      </c>
      <c r="E33" s="68">
        <f>IF(SER_hh_fech!E33=0,0,SER_hh_fech!E33/SER_summary!E$26)</f>
        <v>23.331842158469168</v>
      </c>
      <c r="F33" s="68">
        <f>IF(SER_hh_fech!F33=0,0,SER_hh_fech!F33/SER_summary!F$26)</f>
        <v>20.05408852864571</v>
      </c>
      <c r="G33" s="68">
        <f>IF(SER_hh_fech!G33=0,0,SER_hh_fech!G33/SER_summary!G$26)</f>
        <v>20.642672876438429</v>
      </c>
      <c r="H33" s="68">
        <f>IF(SER_hh_fech!H33=0,0,SER_hh_fech!H33/SER_summary!H$26)</f>
        <v>22.128632849232126</v>
      </c>
      <c r="I33" s="68">
        <f>IF(SER_hh_fech!I33=0,0,SER_hh_fech!I33/SER_summary!I$26)</f>
        <v>16.683126525487321</v>
      </c>
      <c r="J33" s="68">
        <f>IF(SER_hh_fech!J33=0,0,SER_hh_fech!J33/SER_summary!J$26)</f>
        <v>19.996260989044366</v>
      </c>
      <c r="K33" s="68">
        <f>IF(SER_hh_fech!K33=0,0,SER_hh_fech!K33/SER_summary!K$26)</f>
        <v>18.843845678564744</v>
      </c>
      <c r="L33" s="68">
        <f>IF(SER_hh_fech!L33=0,0,SER_hh_fech!L33/SER_summary!L$26)</f>
        <v>16.858335137198686</v>
      </c>
      <c r="M33" s="68">
        <f>IF(SER_hh_fech!M33=0,0,SER_hh_fech!M33/SER_summary!M$26)</f>
        <v>21.394471156039053</v>
      </c>
      <c r="N33" s="68">
        <f>IF(SER_hh_fech!N33=0,0,SER_hh_fech!N33/SER_summary!N$26)</f>
        <v>19.356059430091939</v>
      </c>
      <c r="O33" s="68">
        <f>IF(SER_hh_fech!O33=0,0,SER_hh_fech!O33/SER_summary!O$26)</f>
        <v>20.553449907275049</v>
      </c>
      <c r="P33" s="68">
        <f>IF(SER_hh_fech!P33=0,0,SER_hh_fech!P33/SER_summary!P$26)</f>
        <v>20.267766568141891</v>
      </c>
      <c r="Q33" s="68">
        <f>IF(SER_hh_fech!Q33=0,0,SER_hh_fech!Q33/SER_summary!Q$26)</f>
        <v>21.006766935834765</v>
      </c>
      <c r="R33" s="68">
        <f>IF(SER_hh_fech!R33=0,0,SER_hh_fech!R33/SER_summary!R$26)</f>
        <v>21.445288998773492</v>
      </c>
      <c r="S33" s="68">
        <f>IF(SER_hh_fech!S33=0,0,SER_hh_fech!S33/SER_summary!S$26)</f>
        <v>22.568356753493553</v>
      </c>
      <c r="T33" s="68">
        <f>IF(SER_hh_fech!T33=0,0,SER_hh_fech!T33/SER_summary!T$26)</f>
        <v>23.119796662260505</v>
      </c>
      <c r="U33" s="68">
        <f>IF(SER_hh_fech!U33=0,0,SER_hh_fech!U33/SER_summary!U$26)</f>
        <v>21.312993352678625</v>
      </c>
      <c r="V33" s="68">
        <f>IF(SER_hh_fech!V33=0,0,SER_hh_fech!V33/SER_summary!V$26)</f>
        <v>20.521026616215085</v>
      </c>
      <c r="W33" s="68">
        <f>IF(SER_hh_fech!W33=0,0,SER_hh_fech!W33/SER_summary!W$26)</f>
        <v>21.708245301490567</v>
      </c>
      <c r="X33" s="68">
        <f>IF(SER_hh_fech!X33=0,0,SER_hh_fech!X33/SER_summary!X$26)</f>
        <v>20.22878689795138</v>
      </c>
      <c r="Y33" s="68">
        <f>IF(SER_hh_fech!Y33=0,0,SER_hh_fech!Y33/SER_summary!Y$26)</f>
        <v>21.101811770479923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186.96663099824184</v>
      </c>
      <c r="C3" s="125">
        <f>IF(SER_hh_tesh!C3=0,0,SER_hh_tesh!C3/SER_summary!C$26)</f>
        <v>239.45843707258251</v>
      </c>
      <c r="D3" s="125">
        <f>IF(SER_hh_tesh!D3=0,0,SER_hh_tesh!D3/SER_summary!D$26)</f>
        <v>230.45903450530147</v>
      </c>
      <c r="E3" s="125">
        <f>IF(SER_hh_tesh!E3=0,0,SER_hh_tesh!E3/SER_summary!E$26)</f>
        <v>149.00923228795776</v>
      </c>
      <c r="F3" s="125">
        <f>IF(SER_hh_tesh!F3=0,0,SER_hh_tesh!F3/SER_summary!F$26)</f>
        <v>157.89599602104019</v>
      </c>
      <c r="G3" s="125">
        <f>IF(SER_hh_tesh!G3=0,0,SER_hh_tesh!G3/SER_summary!G$26)</f>
        <v>129.66974510762017</v>
      </c>
      <c r="H3" s="125">
        <f>IF(SER_hh_tesh!H3=0,0,SER_hh_tesh!H3/SER_summary!H$26)</f>
        <v>113.6204053171532</v>
      </c>
      <c r="I3" s="125">
        <f>IF(SER_hh_tesh!I3=0,0,SER_hh_tesh!I3/SER_summary!I$26)</f>
        <v>90.912734206182805</v>
      </c>
      <c r="J3" s="125">
        <f>IF(SER_hh_tesh!J3=0,0,SER_hh_tesh!J3/SER_summary!J$26)</f>
        <v>121.30747254073236</v>
      </c>
      <c r="K3" s="125">
        <f>IF(SER_hh_tesh!K3=0,0,SER_hh_tesh!K3/SER_summary!K$26)</f>
        <v>119.92243004549177</v>
      </c>
      <c r="L3" s="125">
        <f>IF(SER_hh_tesh!L3=0,0,SER_hh_tesh!L3/SER_summary!L$26)</f>
        <v>134.65695224426312</v>
      </c>
      <c r="M3" s="125">
        <f>IF(SER_hh_tesh!M3=0,0,SER_hh_tesh!M3/SER_summary!M$26)</f>
        <v>134.00043806610162</v>
      </c>
      <c r="N3" s="125">
        <f>IF(SER_hh_tesh!N3=0,0,SER_hh_tesh!N3/SER_summary!N$26)</f>
        <v>115.82939841113577</v>
      </c>
      <c r="O3" s="125">
        <f>IF(SER_hh_tesh!O3=0,0,SER_hh_tesh!O3/SER_summary!O$26)</f>
        <v>120.26293272749362</v>
      </c>
      <c r="P3" s="125">
        <f>IF(SER_hh_tesh!P3=0,0,SER_hh_tesh!P3/SER_summary!P$26)</f>
        <v>105.07337037664571</v>
      </c>
      <c r="Q3" s="125">
        <f>IF(SER_hh_tesh!Q3=0,0,SER_hh_tesh!Q3/SER_summary!Q$26)</f>
        <v>114.03693149168214</v>
      </c>
      <c r="R3" s="125">
        <f>IF(SER_hh_tesh!R3=0,0,SER_hh_tesh!R3/SER_summary!R$26)</f>
        <v>122.17131748215174</v>
      </c>
      <c r="S3" s="125">
        <f>IF(SER_hh_tesh!S3=0,0,SER_hh_tesh!S3/SER_summary!S$26)</f>
        <v>123.80656437756203</v>
      </c>
      <c r="T3" s="125">
        <f>IF(SER_hh_tesh!T3=0,0,SER_hh_tesh!T3/SER_summary!T$26)</f>
        <v>123.58321837975583</v>
      </c>
      <c r="U3" s="125">
        <f>IF(SER_hh_tesh!U3=0,0,SER_hh_tesh!U3/SER_summary!U$26)</f>
        <v>118.96158394555448</v>
      </c>
      <c r="V3" s="125">
        <f>IF(SER_hh_tesh!V3=0,0,SER_hh_tesh!V3/SER_summary!V$26)</f>
        <v>108.49189976329933</v>
      </c>
      <c r="W3" s="125">
        <f>IF(SER_hh_tesh!W3=0,0,SER_hh_tesh!W3/SER_summary!W$26)</f>
        <v>109.90334433162735</v>
      </c>
      <c r="X3" s="125">
        <f>IF(SER_hh_tesh!X3=0,0,SER_hh_tesh!X3/SER_summary!X$26)</f>
        <v>127.33768196155251</v>
      </c>
      <c r="Y3" s="125">
        <f>IF(SER_hh_tesh!Y3=0,0,SER_hh_tesh!Y3/SER_summary!Y$26)</f>
        <v>130.68413901770734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151.75240530856988</v>
      </c>
      <c r="C4" s="130">
        <f>IF(SER_hh_tesh!C4=0,0,SER_hh_tesh!C4/SER_summary!C$26)</f>
        <v>203.65817155440334</v>
      </c>
      <c r="D4" s="130">
        <f>IF(SER_hh_tesh!D4=0,0,SER_hh_tesh!D4/SER_summary!D$26)</f>
        <v>194.85893097244269</v>
      </c>
      <c r="E4" s="130">
        <f>IF(SER_hh_tesh!E4=0,0,SER_hh_tesh!E4/SER_summary!E$26)</f>
        <v>112.84413886038081</v>
      </c>
      <c r="F4" s="130">
        <f>IF(SER_hh_tesh!F4=0,0,SER_hh_tesh!F4/SER_summary!F$26)</f>
        <v>123.28161312599083</v>
      </c>
      <c r="G4" s="130">
        <f>IF(SER_hh_tesh!G4=0,0,SER_hh_tesh!G4/SER_summary!G$26)</f>
        <v>95.113318845923104</v>
      </c>
      <c r="H4" s="130">
        <f>IF(SER_hh_tesh!H4=0,0,SER_hh_tesh!H4/SER_summary!H$26)</f>
        <v>78.840306431775929</v>
      </c>
      <c r="I4" s="130">
        <f>IF(SER_hh_tesh!I4=0,0,SER_hh_tesh!I4/SER_summary!I$26)</f>
        <v>56.734099015773985</v>
      </c>
      <c r="J4" s="130">
        <f>IF(SER_hh_tesh!J4=0,0,SER_hh_tesh!J4/SER_summary!J$26)</f>
        <v>87.24169376735378</v>
      </c>
      <c r="K4" s="130">
        <f>IF(SER_hh_tesh!K4=0,0,SER_hh_tesh!K4/SER_summary!K$26)</f>
        <v>85.150808468977147</v>
      </c>
      <c r="L4" s="130">
        <f>IF(SER_hh_tesh!L4=0,0,SER_hh_tesh!L4/SER_summary!L$26)</f>
        <v>98.8048236968297</v>
      </c>
      <c r="M4" s="130">
        <f>IF(SER_hh_tesh!M4=0,0,SER_hh_tesh!M4/SER_summary!M$26)</f>
        <v>97.435477189365614</v>
      </c>
      <c r="N4" s="130">
        <f>IF(SER_hh_tesh!N4=0,0,SER_hh_tesh!N4/SER_summary!N$26)</f>
        <v>77.312326522896427</v>
      </c>
      <c r="O4" s="130">
        <f>IF(SER_hh_tesh!O4=0,0,SER_hh_tesh!O4/SER_summary!O$26)</f>
        <v>80.600697160780754</v>
      </c>
      <c r="P4" s="130">
        <f>IF(SER_hh_tesh!P4=0,0,SER_hh_tesh!P4/SER_summary!P$26)</f>
        <v>66.21532620904388</v>
      </c>
      <c r="Q4" s="130">
        <f>IF(SER_hh_tesh!Q4=0,0,SER_hh_tesh!Q4/SER_summary!Q$26)</f>
        <v>71.792937115054144</v>
      </c>
      <c r="R4" s="130">
        <f>IF(SER_hh_tesh!R4=0,0,SER_hh_tesh!R4/SER_summary!R$26)</f>
        <v>80.653412785802828</v>
      </c>
      <c r="S4" s="130">
        <f>IF(SER_hh_tesh!S4=0,0,SER_hh_tesh!S4/SER_summary!S$26)</f>
        <v>80.168468798073846</v>
      </c>
      <c r="T4" s="130">
        <f>IF(SER_hh_tesh!T4=0,0,SER_hh_tesh!T4/SER_summary!T$26)</f>
        <v>80.930054796221768</v>
      </c>
      <c r="U4" s="130">
        <f>IF(SER_hh_tesh!U4=0,0,SER_hh_tesh!U4/SER_summary!U$26)</f>
        <v>75.22520229544368</v>
      </c>
      <c r="V4" s="130">
        <f>IF(SER_hh_tesh!V4=0,0,SER_hh_tesh!V4/SER_summary!V$26)</f>
        <v>67.321875373724211</v>
      </c>
      <c r="W4" s="130">
        <f>IF(SER_hh_tesh!W4=0,0,SER_hh_tesh!W4/SER_summary!W$26)</f>
        <v>67.340180000194806</v>
      </c>
      <c r="X4" s="130">
        <f>IF(SER_hh_tesh!X4=0,0,SER_hh_tesh!X4/SER_summary!X$26)</f>
        <v>83.55559513735696</v>
      </c>
      <c r="Y4" s="130">
        <f>IF(SER_hh_tesh!Y4=0,0,SER_hh_tesh!Y4/SER_summary!Y$26)</f>
        <v>87.198088945495144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145.10944652043491</v>
      </c>
      <c r="C7" s="132">
        <f>IF(SER_hh_tesh!C7=0,0,SER_hh_tesh!C7/SER_summary!C$26)</f>
        <v>214.85965108519142</v>
      </c>
      <c r="D7" s="132">
        <f>IF(SER_hh_tesh!D7=0,0,SER_hh_tesh!D7/SER_summary!D$26)</f>
        <v>171.13352761847798</v>
      </c>
      <c r="E7" s="132">
        <f>IF(SER_hh_tesh!E7=0,0,SER_hh_tesh!E7/SER_summary!E$26)</f>
        <v>118.6201312313183</v>
      </c>
      <c r="F7" s="132">
        <f>IF(SER_hh_tesh!F7=0,0,SER_hh_tesh!F7/SER_summary!F$26)</f>
        <v>112.86147996247453</v>
      </c>
      <c r="G7" s="132">
        <f>IF(SER_hh_tesh!G7=0,0,SER_hh_tesh!G7/SER_summary!G$26)</f>
        <v>101.71697706517868</v>
      </c>
      <c r="H7" s="132">
        <f>IF(SER_hh_tesh!H7=0,0,SER_hh_tesh!H7/SER_summary!H$26)</f>
        <v>81.954662217871217</v>
      </c>
      <c r="I7" s="132">
        <f>IF(SER_hh_tesh!I7=0,0,SER_hh_tesh!I7/SER_summary!I$26)</f>
        <v>48.799309386291561</v>
      </c>
      <c r="J7" s="132">
        <f>IF(SER_hh_tesh!J7=0,0,SER_hh_tesh!J7/SER_summary!J$26)</f>
        <v>88.247738432417719</v>
      </c>
      <c r="K7" s="132">
        <f>IF(SER_hh_tesh!K7=0,0,SER_hh_tesh!K7/SER_summary!K$26)</f>
        <v>83.853618358886479</v>
      </c>
      <c r="L7" s="132">
        <f>IF(SER_hh_tesh!L7=0,0,SER_hh_tesh!L7/SER_summary!L$26)</f>
        <v>99.885510155609722</v>
      </c>
      <c r="M7" s="132">
        <f>IF(SER_hh_tesh!M7=0,0,SER_hh_tesh!M7/SER_summary!M$26)</f>
        <v>91.902755864788134</v>
      </c>
      <c r="N7" s="132">
        <f>IF(SER_hh_tesh!N7=0,0,SER_hh_tesh!N7/SER_summary!N$26)</f>
        <v>75.103654572482355</v>
      </c>
      <c r="O7" s="132">
        <f>IF(SER_hh_tesh!O7=0,0,SER_hh_tesh!O7/SER_summary!O$26)</f>
        <v>78.097522432707109</v>
      </c>
      <c r="P7" s="132">
        <f>IF(SER_hh_tesh!P7=0,0,SER_hh_tesh!P7/SER_summary!P$26)</f>
        <v>60.625078274774062</v>
      </c>
      <c r="Q7" s="132">
        <f>IF(SER_hh_tesh!Q7=0,0,SER_hh_tesh!Q7/SER_summary!Q$26)</f>
        <v>69.819096631297043</v>
      </c>
      <c r="R7" s="132">
        <f>IF(SER_hh_tesh!R7=0,0,SER_hh_tesh!R7/SER_summary!R$26)</f>
        <v>85.810078528276222</v>
      </c>
      <c r="S7" s="132">
        <f>IF(SER_hh_tesh!S7=0,0,SER_hh_tesh!S7/SER_summary!S$26)</f>
        <v>70.711538563915937</v>
      </c>
      <c r="T7" s="132">
        <f>IF(SER_hh_tesh!T7=0,0,SER_hh_tesh!T7/SER_summary!T$26)</f>
        <v>79.763317144494906</v>
      </c>
      <c r="U7" s="132">
        <f>IF(SER_hh_tesh!U7=0,0,SER_hh_tesh!U7/SER_summary!U$26)</f>
        <v>70.152155051440829</v>
      </c>
      <c r="V7" s="132">
        <f>IF(SER_hh_tesh!V7=0,0,SER_hh_tesh!V7/SER_summary!V$26)</f>
        <v>84.697435058586507</v>
      </c>
      <c r="W7" s="132">
        <f>IF(SER_hh_tesh!W7=0,0,SER_hh_tesh!W7/SER_summary!W$26)</f>
        <v>58.822553045643815</v>
      </c>
      <c r="X7" s="132">
        <f>IF(SER_hh_tesh!X7=0,0,SER_hh_tesh!X7/SER_summary!X$26)</f>
        <v>67.755422295416778</v>
      </c>
      <c r="Y7" s="132">
        <f>IF(SER_hh_tesh!Y7=0,0,SER_hh_tesh!Y7/SER_summary!Y$26)</f>
        <v>95.777497603603862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86.793618270244551</v>
      </c>
      <c r="C9" s="132">
        <f>IF(SER_hh_tesh!C9=0,0,SER_hh_tesh!C9/SER_summary!C$26)</f>
        <v>226.75716908047127</v>
      </c>
      <c r="D9" s="132">
        <f>IF(SER_hh_tesh!D9=0,0,SER_hh_tesh!D9/SER_summary!D$26)</f>
        <v>223.22390122541387</v>
      </c>
      <c r="E9" s="132">
        <f>IF(SER_hh_tesh!E9=0,0,SER_hh_tesh!E9/SER_summary!E$26)</f>
        <v>107.40865308784682</v>
      </c>
      <c r="F9" s="132">
        <f>IF(SER_hh_tesh!F9=0,0,SER_hh_tesh!F9/SER_summary!F$26)</f>
        <v>147.82033497048727</v>
      </c>
      <c r="G9" s="132">
        <f>IF(SER_hh_tesh!G9=0,0,SER_hh_tesh!G9/SER_summary!G$26)</f>
        <v>81.205832159267743</v>
      </c>
      <c r="H9" s="132">
        <f>IF(SER_hh_tesh!H9=0,0,SER_hh_tesh!H9/SER_summary!H$26)</f>
        <v>59.478993694897575</v>
      </c>
      <c r="I9" s="132">
        <f>IF(SER_hh_tesh!I9=0,0,SER_hh_tesh!I9/SER_summary!I$26)</f>
        <v>59.453641916081914</v>
      </c>
      <c r="J9" s="132">
        <f>IF(SER_hh_tesh!J9=0,0,SER_hh_tesh!J9/SER_summary!J$26)</f>
        <v>68.835855916130484</v>
      </c>
      <c r="K9" s="132">
        <f>IF(SER_hh_tesh!K9=0,0,SER_hh_tesh!K9/SER_summary!K$26)</f>
        <v>76.123043238481145</v>
      </c>
      <c r="L9" s="132">
        <f>IF(SER_hh_tesh!L9=0,0,SER_hh_tesh!L9/SER_summary!L$26)</f>
        <v>92.478886282420675</v>
      </c>
      <c r="M9" s="132">
        <f>IF(SER_hh_tesh!M9=0,0,SER_hh_tesh!M9/SER_summary!M$26)</f>
        <v>132.76986022330672</v>
      </c>
      <c r="N9" s="132">
        <f>IF(SER_hh_tesh!N9=0,0,SER_hh_tesh!N9/SER_summary!N$26)</f>
        <v>37.64138825251527</v>
      </c>
      <c r="O9" s="132">
        <f>IF(SER_hh_tesh!O9=0,0,SER_hh_tesh!O9/SER_summary!O$26)</f>
        <v>77.15476302795885</v>
      </c>
      <c r="P9" s="132">
        <f>IF(SER_hh_tesh!P9=0,0,SER_hh_tesh!P9/SER_summary!P$26)</f>
        <v>64.642668439414365</v>
      </c>
      <c r="Q9" s="132">
        <f>IF(SER_hh_tesh!Q9=0,0,SER_hh_tesh!Q9/SER_summary!Q$26)</f>
        <v>77.947128172632063</v>
      </c>
      <c r="R9" s="132">
        <f>IF(SER_hh_tesh!R9=0,0,SER_hh_tesh!R9/SER_summary!R$26)</f>
        <v>97.735276166189394</v>
      </c>
      <c r="S9" s="132">
        <f>IF(SER_hh_tesh!S9=0,0,SER_hh_tesh!S9/SER_summary!S$26)</f>
        <v>83.576923863352562</v>
      </c>
      <c r="T9" s="132">
        <f>IF(SER_hh_tesh!T9=0,0,SER_hh_tesh!T9/SER_summary!T$26)</f>
        <v>58.488797001563491</v>
      </c>
      <c r="U9" s="132">
        <f>IF(SER_hh_tesh!U9=0,0,SER_hh_tesh!U9/SER_summary!U$26)</f>
        <v>71.221758232755718</v>
      </c>
      <c r="V9" s="132">
        <f>IF(SER_hh_tesh!V9=0,0,SER_hh_tesh!V9/SER_summary!V$26)</f>
        <v>61.017674675132035</v>
      </c>
      <c r="W9" s="132">
        <f>IF(SER_hh_tesh!W9=0,0,SER_hh_tesh!W9/SER_summary!W$26)</f>
        <v>51.472794388097448</v>
      </c>
      <c r="X9" s="132">
        <f>IF(SER_hh_tesh!X9=0,0,SER_hh_tesh!X9/SER_summary!X$26)</f>
        <v>101.52927105956202</v>
      </c>
      <c r="Y9" s="132">
        <f>IF(SER_hh_tesh!Y9=0,0,SER_hh_tesh!Y9/SER_summary!Y$26)</f>
        <v>88.45522062858204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119.60816167895359</v>
      </c>
      <c r="C10" s="132">
        <f>IF(SER_hh_tesh!C10=0,0,SER_hh_tesh!C10/SER_summary!C$26)</f>
        <v>216.11026149241587</v>
      </c>
      <c r="D10" s="132">
        <f>IF(SER_hh_tesh!D10=0,0,SER_hh_tesh!D10/SER_summary!D$26)</f>
        <v>215.24838076367868</v>
      </c>
      <c r="E10" s="132">
        <f>IF(SER_hh_tesh!E10=0,0,SER_hh_tesh!E10/SER_summary!E$26)</f>
        <v>93.425467291394469</v>
      </c>
      <c r="F10" s="132">
        <f>IF(SER_hh_tesh!F10=0,0,SER_hh_tesh!F10/SER_summary!F$26)</f>
        <v>109.83262510915206</v>
      </c>
      <c r="G10" s="132">
        <f>IF(SER_hh_tesh!G10=0,0,SER_hh_tesh!G10/SER_summary!G$26)</f>
        <v>163.85939882769267</v>
      </c>
      <c r="H10" s="132">
        <f>IF(SER_hh_tesh!H10=0,0,SER_hh_tesh!H10/SER_summary!H$26)</f>
        <v>0</v>
      </c>
      <c r="I10" s="132">
        <f>IF(SER_hh_tesh!I10=0,0,SER_hh_tesh!I10/SER_summary!I$26)</f>
        <v>0</v>
      </c>
      <c r="J10" s="132">
        <f>IF(SER_hh_tesh!J10=0,0,SER_hh_tesh!J10/SER_summary!J$26)</f>
        <v>0</v>
      </c>
      <c r="K10" s="132">
        <f>IF(SER_hh_tesh!K10=0,0,SER_hh_tesh!K10/SER_summary!K$26)</f>
        <v>0</v>
      </c>
      <c r="L10" s="132">
        <f>IF(SER_hh_tesh!L10=0,0,SER_hh_tesh!L10/SER_summary!L$26)</f>
        <v>0</v>
      </c>
      <c r="M10" s="132">
        <f>IF(SER_hh_tesh!M10=0,0,SER_hh_tesh!M10/SER_summary!M$26)</f>
        <v>0</v>
      </c>
      <c r="N10" s="132">
        <f>IF(SER_hh_tesh!N10=0,0,SER_hh_tesh!N10/SER_summary!N$26)</f>
        <v>0</v>
      </c>
      <c r="O10" s="132">
        <f>IF(SER_hh_tesh!O10=0,0,SER_hh_tesh!O10/SER_summary!O$26)</f>
        <v>0</v>
      </c>
      <c r="P10" s="132">
        <f>IF(SER_hh_tesh!P10=0,0,SER_hh_tesh!P10/SER_summary!P$26)</f>
        <v>0</v>
      </c>
      <c r="Q10" s="132">
        <f>IF(SER_hh_tesh!Q10=0,0,SER_hh_tesh!Q10/SER_summary!Q$26)</f>
        <v>0</v>
      </c>
      <c r="R10" s="132">
        <f>IF(SER_hh_tesh!R10=0,0,SER_hh_tesh!R10/SER_summary!R$26)</f>
        <v>0</v>
      </c>
      <c r="S10" s="132">
        <f>IF(SER_hh_tesh!S10=0,0,SER_hh_tesh!S10/SER_summary!S$26)</f>
        <v>0</v>
      </c>
      <c r="T10" s="132">
        <f>IF(SER_hh_tesh!T10=0,0,SER_hh_tesh!T10/SER_summary!T$26)</f>
        <v>0</v>
      </c>
      <c r="U10" s="132">
        <f>IF(SER_hh_tesh!U10=0,0,SER_hh_tesh!U10/SER_summary!U$26)</f>
        <v>0</v>
      </c>
      <c r="V10" s="132">
        <f>IF(SER_hh_tesh!V10=0,0,SER_hh_tesh!V10/SER_summary!V$26)</f>
        <v>8.4190462443449358E-14</v>
      </c>
      <c r="W10" s="132">
        <f>IF(SER_hh_tesh!W10=0,0,SER_hh_tesh!W10/SER_summary!W$26)</f>
        <v>0</v>
      </c>
      <c r="X10" s="132">
        <f>IF(SER_hh_tesh!X10=0,0,SER_hh_tesh!X10/SER_summary!X$26)</f>
        <v>102.51195051739366</v>
      </c>
      <c r="Y10" s="132">
        <f>IF(SER_hh_tesh!Y10=0,0,SER_hh_tesh!Y10/SER_summary!Y$26)</f>
        <v>92.361618144898202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141.54843041638944</v>
      </c>
      <c r="M11" s="132">
        <f>IF(SER_hh_tesh!M11=0,0,SER_hh_tesh!M11/SER_summary!M$26)</f>
        <v>112.06013743799986</v>
      </c>
      <c r="N11" s="132">
        <f>IF(SER_hh_tesh!N11=0,0,SER_hh_tesh!N11/SER_summary!N$26)</f>
        <v>74.022710168146872</v>
      </c>
      <c r="O11" s="132">
        <f>IF(SER_hh_tesh!O11=0,0,SER_hh_tesh!O11/SER_summary!O$26)</f>
        <v>76.417637720630054</v>
      </c>
      <c r="P11" s="132">
        <f>IF(SER_hh_tesh!P11=0,0,SER_hh_tesh!P11/SER_summary!P$26)</f>
        <v>77.338747527649147</v>
      </c>
      <c r="Q11" s="132">
        <f>IF(SER_hh_tesh!Q11=0,0,SER_hh_tesh!Q11/SER_summary!Q$26)</f>
        <v>60.333268682131326</v>
      </c>
      <c r="R11" s="132">
        <f>IF(SER_hh_tesh!R11=0,0,SER_hh_tesh!R11/SER_summary!R$26)</f>
        <v>64.802468286180684</v>
      </c>
      <c r="S11" s="132">
        <f>IF(SER_hh_tesh!S11=0,0,SER_hh_tesh!S11/SER_summary!S$26)</f>
        <v>85.121990241385021</v>
      </c>
      <c r="T11" s="132">
        <f>IF(SER_hh_tesh!T11=0,0,SER_hh_tesh!T11/SER_summary!T$26)</f>
        <v>78.948484879072581</v>
      </c>
      <c r="U11" s="132">
        <f>IF(SER_hh_tesh!U11=0,0,SER_hh_tesh!U11/SER_summary!U$26)</f>
        <v>89.598761780371063</v>
      </c>
      <c r="V11" s="132">
        <f>IF(SER_hh_tesh!V11=0,0,SER_hh_tesh!V11/SER_summary!V$26)</f>
        <v>64.020323179014511</v>
      </c>
      <c r="W11" s="132">
        <f>IF(SER_hh_tesh!W11=0,0,SER_hh_tesh!W11/SER_summary!W$26)</f>
        <v>64.373325994819709</v>
      </c>
      <c r="X11" s="132">
        <f>IF(SER_hh_tesh!X11=0,0,SER_hh_tesh!X11/SER_summary!X$26)</f>
        <v>82.520712667599497</v>
      </c>
      <c r="Y11" s="132">
        <f>IF(SER_hh_tesh!Y11=0,0,SER_hh_tesh!Y11/SER_summary!Y$26)</f>
        <v>87.673508488278671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170.73478118028785</v>
      </c>
      <c r="C12" s="132">
        <f>IF(SER_hh_tesh!C12=0,0,SER_hh_tesh!C12/SER_summary!C$26)</f>
        <v>179.3501563078037</v>
      </c>
      <c r="D12" s="132">
        <f>IF(SER_hh_tesh!D12=0,0,SER_hh_tesh!D12/SER_summary!D$26)</f>
        <v>192.57499092944107</v>
      </c>
      <c r="E12" s="132">
        <f>IF(SER_hh_tesh!E12=0,0,SER_hh_tesh!E12/SER_summary!E$26)</f>
        <v>105.05589082464776</v>
      </c>
      <c r="F12" s="132">
        <f>IF(SER_hh_tesh!F12=0,0,SER_hh_tesh!F12/SER_summary!F$26)</f>
        <v>119.5447466035894</v>
      </c>
      <c r="G12" s="132">
        <f>IF(SER_hh_tesh!G12=0,0,SER_hh_tesh!G12/SER_summary!G$26)</f>
        <v>81.448362403007579</v>
      </c>
      <c r="H12" s="132">
        <f>IF(SER_hh_tesh!H12=0,0,SER_hh_tesh!H12/SER_summary!H$26)</f>
        <v>98.788186477789822</v>
      </c>
      <c r="I12" s="132">
        <f>IF(SER_hh_tesh!I12=0,0,SER_hh_tesh!I12/SER_summary!I$26)</f>
        <v>57.70800611911627</v>
      </c>
      <c r="J12" s="132">
        <f>IF(SER_hh_tesh!J12=0,0,SER_hh_tesh!J12/SER_summary!J$26)</f>
        <v>57.208740511769534</v>
      </c>
      <c r="K12" s="132">
        <f>IF(SER_hh_tesh!K12=0,0,SER_hh_tesh!K12/SER_summary!K$26)</f>
        <v>85.844367991346758</v>
      </c>
      <c r="L12" s="132">
        <f>IF(SER_hh_tesh!L12=0,0,SER_hh_tesh!L12/SER_summary!L$26)</f>
        <v>97.114306151462344</v>
      </c>
      <c r="M12" s="132">
        <f>IF(SER_hh_tesh!M12=0,0,SER_hh_tesh!M12/SER_summary!M$26)</f>
        <v>92.416294311418284</v>
      </c>
      <c r="N12" s="132">
        <f>IF(SER_hh_tesh!N12=0,0,SER_hh_tesh!N12/SER_summary!N$26)</f>
        <v>84.457710765812237</v>
      </c>
      <c r="O12" s="132">
        <f>IF(SER_hh_tesh!O12=0,0,SER_hh_tesh!O12/SER_summary!O$26)</f>
        <v>85.612899704678782</v>
      </c>
      <c r="P12" s="132">
        <f>IF(SER_hh_tesh!P12=0,0,SER_hh_tesh!P12/SER_summary!P$26)</f>
        <v>63.957368254211282</v>
      </c>
      <c r="Q12" s="132">
        <f>IF(SER_hh_tesh!Q12=0,0,SER_hh_tesh!Q12/SER_summary!Q$26)</f>
        <v>73.764500728507258</v>
      </c>
      <c r="R12" s="132">
        <f>IF(SER_hh_tesh!R12=0,0,SER_hh_tesh!R12/SER_summary!R$26)</f>
        <v>71.598763265796933</v>
      </c>
      <c r="S12" s="132">
        <f>IF(SER_hh_tesh!S12=0,0,SER_hh_tesh!S12/SER_summary!S$26)</f>
        <v>82.282846977140949</v>
      </c>
      <c r="T12" s="132">
        <f>IF(SER_hh_tesh!T12=0,0,SER_hh_tesh!T12/SER_summary!T$26)</f>
        <v>84.618651320906892</v>
      </c>
      <c r="U12" s="132">
        <f>IF(SER_hh_tesh!U12=0,0,SER_hh_tesh!U12/SER_summary!U$26)</f>
        <v>69.430339293805091</v>
      </c>
      <c r="V12" s="132">
        <f>IF(SER_hh_tesh!V12=0,0,SER_hh_tesh!V12/SER_summary!V$26)</f>
        <v>68.622079791296926</v>
      </c>
      <c r="W12" s="132">
        <f>IF(SER_hh_tesh!W12=0,0,SER_hh_tesh!W12/SER_summary!W$26)</f>
        <v>81.614764911013026</v>
      </c>
      <c r="X12" s="132">
        <f>IF(SER_hh_tesh!X12=0,0,SER_hh_tesh!X12/SER_summary!X$26)</f>
        <v>72.725130286477437</v>
      </c>
      <c r="Y12" s="132">
        <f>IF(SER_hh_tesh!Y12=0,0,SER_hh_tesh!Y12/SER_summary!Y$26)</f>
        <v>84.393675510957152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0</v>
      </c>
      <c r="C13" s="132">
        <f>IF(SER_hh_tesh!C13=0,0,SER_hh_tesh!C13/SER_summary!C$26)</f>
        <v>0</v>
      </c>
      <c r="D13" s="132">
        <f>IF(SER_hh_tesh!D13=0,0,SER_hh_tesh!D13/SER_summary!D$26)</f>
        <v>0</v>
      </c>
      <c r="E13" s="132">
        <f>IF(SER_hh_tesh!E13=0,0,SER_hh_tesh!E13/SER_summary!E$26)</f>
        <v>0</v>
      </c>
      <c r="F13" s="132">
        <f>IF(SER_hh_tesh!F13=0,0,SER_hh_tesh!F13/SER_summary!F$26)</f>
        <v>0</v>
      </c>
      <c r="G13" s="132">
        <f>IF(SER_hh_tesh!G13=0,0,SER_hh_tesh!G13/SER_summary!G$26)</f>
        <v>0</v>
      </c>
      <c r="H13" s="132">
        <f>IF(SER_hh_tesh!H13=0,0,SER_hh_tesh!H13/SER_summary!H$26)</f>
        <v>0</v>
      </c>
      <c r="I13" s="132">
        <f>IF(SER_hh_tesh!I13=0,0,SER_hh_tesh!I13/SER_summary!I$26)</f>
        <v>0</v>
      </c>
      <c r="J13" s="132">
        <f>IF(SER_hh_tesh!J13=0,0,SER_hh_tesh!J13/SER_summary!J$26)</f>
        <v>0</v>
      </c>
      <c r="K13" s="132">
        <f>IF(SER_hh_tesh!K13=0,0,SER_hh_tesh!K13/SER_summary!K$26)</f>
        <v>0</v>
      </c>
      <c r="L13" s="132">
        <f>IF(SER_hh_tesh!L13=0,0,SER_hh_tesh!L13/SER_summary!L$26)</f>
        <v>0</v>
      </c>
      <c r="M13" s="132">
        <f>IF(SER_hh_tesh!M13=0,0,SER_hh_tesh!M13/SER_summary!M$26)</f>
        <v>0</v>
      </c>
      <c r="N13" s="132">
        <f>IF(SER_hh_tesh!N13=0,0,SER_hh_tesh!N13/SER_summary!N$26)</f>
        <v>0</v>
      </c>
      <c r="O13" s="132">
        <f>IF(SER_hh_tesh!O13=0,0,SER_hh_tesh!O13/SER_summary!O$26)</f>
        <v>0</v>
      </c>
      <c r="P13" s="132">
        <f>IF(SER_hh_tesh!P13=0,0,SER_hh_tesh!P13/SER_summary!P$26)</f>
        <v>0</v>
      </c>
      <c r="Q13" s="132">
        <f>IF(SER_hh_tesh!Q13=0,0,SER_hh_tesh!Q13/SER_summary!Q$26)</f>
        <v>0</v>
      </c>
      <c r="R13" s="132">
        <f>IF(SER_hh_tesh!R13=0,0,SER_hh_tesh!R13/SER_summary!R$26)</f>
        <v>0</v>
      </c>
      <c r="S13" s="132">
        <f>IF(SER_hh_tesh!S13=0,0,SER_hh_tesh!S13/SER_summary!S$26)</f>
        <v>0</v>
      </c>
      <c r="T13" s="132">
        <f>IF(SER_hh_tesh!T13=0,0,SER_hh_tesh!T13/SER_summary!T$26)</f>
        <v>0</v>
      </c>
      <c r="U13" s="132">
        <f>IF(SER_hh_tesh!U13=0,0,SER_hh_tesh!U13/SER_summary!U$26)</f>
        <v>0</v>
      </c>
      <c r="V13" s="132">
        <f>IF(SER_hh_tesh!V13=0,0,SER_hh_tesh!V13/SER_summary!V$26)</f>
        <v>0</v>
      </c>
      <c r="W13" s="132">
        <f>IF(SER_hh_tesh!W13=0,0,SER_hh_tesh!W13/SER_summary!W$26)</f>
        <v>0</v>
      </c>
      <c r="X13" s="132">
        <f>IF(SER_hh_tesh!X13=0,0,SER_hh_tesh!X13/SER_summary!X$26)</f>
        <v>0</v>
      </c>
      <c r="Y13" s="132">
        <f>IF(SER_hh_tesh!Y13=0,0,SER_hh_tesh!Y13/SER_summary!Y$26)</f>
        <v>130.84848937234361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159.23810219718592</v>
      </c>
      <c r="C14" s="65">
        <f>IF(SER_hh_tesh!C14=0,0,SER_hh_tesh!C14/SER_summary!C$26)</f>
        <v>177.54283620883771</v>
      </c>
      <c r="D14" s="65">
        <f>IF(SER_hh_tesh!D14=0,0,SER_hh_tesh!D14/SER_summary!D$26)</f>
        <v>218.80900222005806</v>
      </c>
      <c r="E14" s="65">
        <f>IF(SER_hh_tesh!E14=0,0,SER_hh_tesh!E14/SER_summary!E$26)</f>
        <v>102.18910624507267</v>
      </c>
      <c r="F14" s="65">
        <f>IF(SER_hh_tesh!F14=0,0,SER_hh_tesh!F14/SER_summary!F$26)</f>
        <v>130.3344947302003</v>
      </c>
      <c r="G14" s="65">
        <f>IF(SER_hh_tesh!G14=0,0,SER_hh_tesh!G14/SER_summary!G$26)</f>
        <v>87.846132568501503</v>
      </c>
      <c r="H14" s="65">
        <f>IF(SER_hh_tesh!H14=0,0,SER_hh_tesh!H14/SER_summary!H$26)</f>
        <v>66.542257937444191</v>
      </c>
      <c r="I14" s="65">
        <f>IF(SER_hh_tesh!I14=0,0,SER_hh_tesh!I14/SER_summary!I$26)</f>
        <v>65.688350216285571</v>
      </c>
      <c r="J14" s="65">
        <f>IF(SER_hh_tesh!J14=0,0,SER_hh_tesh!J14/SER_summary!J$26)</f>
        <v>93.479997084146007</v>
      </c>
      <c r="K14" s="65">
        <f>IF(SER_hh_tesh!K14=0,0,SER_hh_tesh!K14/SER_summary!K$26)</f>
        <v>85.742625438616784</v>
      </c>
      <c r="L14" s="65">
        <f>IF(SER_hh_tesh!L14=0,0,SER_hh_tesh!L14/SER_summary!L$26)</f>
        <v>91.1902869757579</v>
      </c>
      <c r="M14" s="65">
        <f>IF(SER_hh_tesh!M14=0,0,SER_hh_tesh!M14/SER_summary!M$26)</f>
        <v>93.484107422036388</v>
      </c>
      <c r="N14" s="65">
        <f>IF(SER_hh_tesh!N14=0,0,SER_hh_tesh!N14/SER_summary!N$26)</f>
        <v>82.457816710246277</v>
      </c>
      <c r="O14" s="65">
        <f>IF(SER_hh_tesh!O14=0,0,SER_hh_tesh!O14/SER_summary!O$26)</f>
        <v>79.747764368467799</v>
      </c>
      <c r="P14" s="65">
        <f>IF(SER_hh_tesh!P14=0,0,SER_hh_tesh!P14/SER_summary!P$26)</f>
        <v>68.720503884274095</v>
      </c>
      <c r="Q14" s="65">
        <f>IF(SER_hh_tesh!Q14=0,0,SER_hh_tesh!Q14/SER_summary!Q$26)</f>
        <v>69.661814915722658</v>
      </c>
      <c r="R14" s="65">
        <f>IF(SER_hh_tesh!R14=0,0,SER_hh_tesh!R14/SER_summary!R$26)</f>
        <v>75.473794398326675</v>
      </c>
      <c r="S14" s="65">
        <f>IF(SER_hh_tesh!S14=0,0,SER_hh_tesh!S14/SER_summary!S$26)</f>
        <v>80.81348547315973</v>
      </c>
      <c r="T14" s="65">
        <f>IF(SER_hh_tesh!T14=0,0,SER_hh_tesh!T14/SER_summary!T$26)</f>
        <v>84.592680410650971</v>
      </c>
      <c r="U14" s="65">
        <f>IF(SER_hh_tesh!U14=0,0,SER_hh_tesh!U14/SER_summary!U$26)</f>
        <v>78.637082510477313</v>
      </c>
      <c r="V14" s="65">
        <f>IF(SER_hh_tesh!V14=0,0,SER_hh_tesh!V14/SER_summary!V$26)</f>
        <v>60.733496068276494</v>
      </c>
      <c r="W14" s="65">
        <f>IF(SER_hh_tesh!W14=0,0,SER_hh_tesh!W14/SER_summary!W$26)</f>
        <v>67.886929438350592</v>
      </c>
      <c r="X14" s="65">
        <f>IF(SER_hh_tesh!X14=0,0,SER_hh_tesh!X14/SER_summary!X$26)</f>
        <v>87.340745341974994</v>
      </c>
      <c r="Y14" s="65">
        <f>IF(SER_hh_tesh!Y14=0,0,SER_hh_tesh!Y14/SER_summary!Y$26)</f>
        <v>76.192287357061247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2.2255519376372166</v>
      </c>
      <c r="C15" s="134">
        <f>IF(SER_hh_tesh!C15=0,0,SER_hh_tesh!C15/SER_summary!C$26)</f>
        <v>3.4759881138139916</v>
      </c>
      <c r="D15" s="134">
        <f>IF(SER_hh_tesh!D15=0,0,SER_hh_tesh!D15/SER_summary!D$26)</f>
        <v>2.9727256044036729</v>
      </c>
      <c r="E15" s="134">
        <f>IF(SER_hh_tesh!E15=0,0,SER_hh_tesh!E15/SER_summary!E$26)</f>
        <v>1.9070143175175511</v>
      </c>
      <c r="F15" s="134">
        <f>IF(SER_hh_tesh!F15=0,0,SER_hh_tesh!F15/SER_summary!F$26)</f>
        <v>1.9228778020700592</v>
      </c>
      <c r="G15" s="134">
        <f>IF(SER_hh_tesh!G15=0,0,SER_hh_tesh!G15/SER_summary!G$26)</f>
        <v>1.5672638325710475</v>
      </c>
      <c r="H15" s="134">
        <f>IF(SER_hh_tesh!H15=0,0,SER_hh_tesh!H15/SER_summary!H$26)</f>
        <v>1.255938771512362</v>
      </c>
      <c r="I15" s="134">
        <f>IF(SER_hh_tesh!I15=0,0,SER_hh_tesh!I15/SER_summary!I$26)</f>
        <v>0.77425025135699266</v>
      </c>
      <c r="J15" s="134">
        <f>IF(SER_hh_tesh!J15=0,0,SER_hh_tesh!J15/SER_summary!J$26)</f>
        <v>1.3186860795622559</v>
      </c>
      <c r="K15" s="134">
        <f>IF(SER_hh_tesh!K15=0,0,SER_hh_tesh!K15/SER_summary!K$26)</f>
        <v>1.2461458896796245</v>
      </c>
      <c r="L15" s="134">
        <f>IF(SER_hh_tesh!L15=0,0,SER_hh_tesh!L15/SER_summary!L$26)</f>
        <v>1.352023803753708</v>
      </c>
      <c r="M15" s="134">
        <f>IF(SER_hh_tesh!M15=0,0,SER_hh_tesh!M15/SER_summary!M$26)</f>
        <v>1.2424594258301371</v>
      </c>
      <c r="N15" s="134">
        <f>IF(SER_hh_tesh!N15=0,0,SER_hh_tesh!N15/SER_summary!N$26)</f>
        <v>0.82064075458553687</v>
      </c>
      <c r="O15" s="134">
        <f>IF(SER_hh_tesh!O15=0,0,SER_hh_tesh!O15/SER_summary!O$26)</f>
        <v>0.89527114353252468</v>
      </c>
      <c r="P15" s="134">
        <f>IF(SER_hh_tesh!P15=0,0,SER_hh_tesh!P15/SER_summary!P$26)</f>
        <v>0.71251482006234579</v>
      </c>
      <c r="Q15" s="134">
        <f>IF(SER_hh_tesh!Q15=0,0,SER_hh_tesh!Q15/SER_summary!Q$26)</f>
        <v>0.83155056393755455</v>
      </c>
      <c r="R15" s="134">
        <f>IF(SER_hh_tesh!R15=0,0,SER_hh_tesh!R15/SER_summary!R$26)</f>
        <v>1.0052203093209642</v>
      </c>
      <c r="S15" s="134">
        <f>IF(SER_hh_tesh!S15=0,0,SER_hh_tesh!S15/SER_summary!S$26)</f>
        <v>0.8466191247485606</v>
      </c>
      <c r="T15" s="134">
        <f>IF(SER_hh_tesh!T15=0,0,SER_hh_tesh!T15/SER_summary!T$26)</f>
        <v>0.78578024462362095</v>
      </c>
      <c r="U15" s="134">
        <f>IF(SER_hh_tesh!U15=0,0,SER_hh_tesh!U15/SER_summary!U$26)</f>
        <v>0.73646042792941735</v>
      </c>
      <c r="V15" s="134">
        <f>IF(SER_hh_tesh!V15=0,0,SER_hh_tesh!V15/SER_summary!V$26)</f>
        <v>0.75965701904547633</v>
      </c>
      <c r="W15" s="134">
        <f>IF(SER_hh_tesh!W15=0,0,SER_hh_tesh!W15/SER_summary!W$26)</f>
        <v>0.62796623530097828</v>
      </c>
      <c r="X15" s="134">
        <f>IF(SER_hh_tesh!X15=0,0,SER_hh_tesh!X15/SER_summary!X$26)</f>
        <v>0.89132701753359644</v>
      </c>
      <c r="Y15" s="134">
        <f>IF(SER_hh_tesh!Y15=0,0,SER_hh_tesh!Y15/SER_summary!Y$26)</f>
        <v>1.0721715219986661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24.452568410749105</v>
      </c>
      <c r="C16" s="130">
        <f>IF(SER_hh_tesh!C16=0,0,SER_hh_tesh!C16/SER_summary!C$26)</f>
        <v>24.129965694820051</v>
      </c>
      <c r="D16" s="130">
        <f>IF(SER_hh_tesh!D16=0,0,SER_hh_tesh!D16/SER_summary!D$26)</f>
        <v>23.972879042982814</v>
      </c>
      <c r="E16" s="130">
        <f>IF(SER_hh_tesh!E16=0,0,SER_hh_tesh!E16/SER_summary!E$26)</f>
        <v>30.386589893256275</v>
      </c>
      <c r="F16" s="130">
        <f>IF(SER_hh_tesh!F16=0,0,SER_hh_tesh!F16/SER_summary!F$26)</f>
        <v>23.850647115785613</v>
      </c>
      <c r="G16" s="130">
        <f>IF(SER_hh_tesh!G16=0,0,SER_hh_tesh!G16/SER_summary!G$26)</f>
        <v>24.102976657574281</v>
      </c>
      <c r="H16" s="130">
        <f>IF(SER_hh_tesh!H16=0,0,SER_hh_tesh!H16/SER_summary!H$26)</f>
        <v>25.840976308590385</v>
      </c>
      <c r="I16" s="130">
        <f>IF(SER_hh_tesh!I16=0,0,SER_hh_tesh!I16/SER_summary!I$26)</f>
        <v>24.888353350792432</v>
      </c>
      <c r="J16" s="130">
        <f>IF(SER_hh_tesh!J16=0,0,SER_hh_tesh!J16/SER_summary!J$26)</f>
        <v>24.35634541665198</v>
      </c>
      <c r="K16" s="130">
        <f>IF(SER_hh_tesh!K16=0,0,SER_hh_tesh!K16/SER_summary!K$26)</f>
        <v>24.315744605480582</v>
      </c>
      <c r="L16" s="130">
        <f>IF(SER_hh_tesh!L16=0,0,SER_hh_tesh!L16/SER_summary!L$26)</f>
        <v>25.505535503164857</v>
      </c>
      <c r="M16" s="130">
        <f>IF(SER_hh_tesh!M16=0,0,SER_hh_tesh!M16/SER_summary!M$26)</f>
        <v>25.468420159423985</v>
      </c>
      <c r="N16" s="130">
        <f>IF(SER_hh_tesh!N16=0,0,SER_hh_tesh!N16/SER_summary!N$26)</f>
        <v>28.817481723222773</v>
      </c>
      <c r="O16" s="130">
        <f>IF(SER_hh_tesh!O16=0,0,SER_hh_tesh!O16/SER_summary!O$26)</f>
        <v>29.88902262684114</v>
      </c>
      <c r="P16" s="130">
        <f>IF(SER_hh_tesh!P16=0,0,SER_hh_tesh!P16/SER_summary!P$26)</f>
        <v>24.267168583762597</v>
      </c>
      <c r="Q16" s="130">
        <f>IF(SER_hh_tesh!Q16=0,0,SER_hh_tesh!Q16/SER_summary!Q$26)</f>
        <v>30.404205629195101</v>
      </c>
      <c r="R16" s="130">
        <f>IF(SER_hh_tesh!R16=0,0,SER_hh_tesh!R16/SER_summary!R$26)</f>
        <v>25.064482607462594</v>
      </c>
      <c r="S16" s="130">
        <f>IF(SER_hh_tesh!S16=0,0,SER_hh_tesh!S16/SER_summary!S$26)</f>
        <v>30.29241031243383</v>
      </c>
      <c r="T16" s="130">
        <f>IF(SER_hh_tesh!T16=0,0,SER_hh_tesh!T16/SER_summary!T$26)</f>
        <v>26.521116483237805</v>
      </c>
      <c r="U16" s="130">
        <f>IF(SER_hh_tesh!U16=0,0,SER_hh_tesh!U16/SER_summary!U$26)</f>
        <v>28.456182865477412</v>
      </c>
      <c r="V16" s="130">
        <f>IF(SER_hh_tesh!V16=0,0,SER_hh_tesh!V16/SER_summary!V$26)</f>
        <v>25.128658681034892</v>
      </c>
      <c r="W16" s="130">
        <f>IF(SER_hh_tesh!W16=0,0,SER_hh_tesh!W16/SER_summary!W$26)</f>
        <v>27.611858032699672</v>
      </c>
      <c r="X16" s="130">
        <f>IF(SER_hh_tesh!X16=0,0,SER_hh_tesh!X16/SER_summary!X$26)</f>
        <v>29.209286596085342</v>
      </c>
      <c r="Y16" s="130">
        <f>IF(SER_hh_tesh!Y16=0,0,SER_hh_tesh!Y16/SER_summary!Y$26)</f>
        <v>28.39088454050902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24.452568410749105</v>
      </c>
      <c r="C18" s="132">
        <f>IF(SER_hh_tesh!C18=0,0,SER_hh_tesh!C18/SER_summary!C$26)</f>
        <v>24.129965694820051</v>
      </c>
      <c r="D18" s="132">
        <f>IF(SER_hh_tesh!D18=0,0,SER_hh_tesh!D18/SER_summary!D$26)</f>
        <v>23.972879042982814</v>
      </c>
      <c r="E18" s="132">
        <f>IF(SER_hh_tesh!E18=0,0,SER_hh_tesh!E18/SER_summary!E$26)</f>
        <v>30.386589893256275</v>
      </c>
      <c r="F18" s="132">
        <f>IF(SER_hh_tesh!F18=0,0,SER_hh_tesh!F18/SER_summary!F$26)</f>
        <v>23.850647115785613</v>
      </c>
      <c r="G18" s="132">
        <f>IF(SER_hh_tesh!G18=0,0,SER_hh_tesh!G18/SER_summary!G$26)</f>
        <v>24.102976657574281</v>
      </c>
      <c r="H18" s="132">
        <f>IF(SER_hh_tesh!H18=0,0,SER_hh_tesh!H18/SER_summary!H$26)</f>
        <v>25.840976308590385</v>
      </c>
      <c r="I18" s="132">
        <f>IF(SER_hh_tesh!I18=0,0,SER_hh_tesh!I18/SER_summary!I$26)</f>
        <v>24.888353350792432</v>
      </c>
      <c r="J18" s="132">
        <f>IF(SER_hh_tesh!J18=0,0,SER_hh_tesh!J18/SER_summary!J$26)</f>
        <v>24.35634541665198</v>
      </c>
      <c r="K18" s="132">
        <f>IF(SER_hh_tesh!K18=0,0,SER_hh_tesh!K18/SER_summary!K$26)</f>
        <v>24.315744605480582</v>
      </c>
      <c r="L18" s="132">
        <f>IF(SER_hh_tesh!L18=0,0,SER_hh_tesh!L18/SER_summary!L$26)</f>
        <v>25.505535503164857</v>
      </c>
      <c r="M18" s="132">
        <f>IF(SER_hh_tesh!M18=0,0,SER_hh_tesh!M18/SER_summary!M$26)</f>
        <v>25.468420159423985</v>
      </c>
      <c r="N18" s="132">
        <f>IF(SER_hh_tesh!N18=0,0,SER_hh_tesh!N18/SER_summary!N$26)</f>
        <v>28.817481723222773</v>
      </c>
      <c r="O18" s="132">
        <f>IF(SER_hh_tesh!O18=0,0,SER_hh_tesh!O18/SER_summary!O$26)</f>
        <v>29.88902262684114</v>
      </c>
      <c r="P18" s="132">
        <f>IF(SER_hh_tesh!P18=0,0,SER_hh_tesh!P18/SER_summary!P$26)</f>
        <v>24.267168583762597</v>
      </c>
      <c r="Q18" s="132">
        <f>IF(SER_hh_tesh!Q18=0,0,SER_hh_tesh!Q18/SER_summary!Q$26)</f>
        <v>30.404205629195101</v>
      </c>
      <c r="R18" s="132">
        <f>IF(SER_hh_tesh!R18=0,0,SER_hh_tesh!R18/SER_summary!R$26)</f>
        <v>25.064482607462594</v>
      </c>
      <c r="S18" s="132">
        <f>IF(SER_hh_tesh!S18=0,0,SER_hh_tesh!S18/SER_summary!S$26)</f>
        <v>30.29241031243383</v>
      </c>
      <c r="T18" s="132">
        <f>IF(SER_hh_tesh!T18=0,0,SER_hh_tesh!T18/SER_summary!T$26)</f>
        <v>26.521116483237805</v>
      </c>
      <c r="U18" s="132">
        <f>IF(SER_hh_tesh!U18=0,0,SER_hh_tesh!U18/SER_summary!U$26)</f>
        <v>28.456182865477412</v>
      </c>
      <c r="V18" s="132">
        <f>IF(SER_hh_tesh!V18=0,0,SER_hh_tesh!V18/SER_summary!V$26)</f>
        <v>25.128658681034892</v>
      </c>
      <c r="W18" s="132">
        <f>IF(SER_hh_tesh!W18=0,0,SER_hh_tesh!W18/SER_summary!W$26)</f>
        <v>27.611858032699672</v>
      </c>
      <c r="X18" s="132">
        <f>IF(SER_hh_tesh!X18=0,0,SER_hh_tesh!X18/SER_summary!X$26)</f>
        <v>29.209286596085342</v>
      </c>
      <c r="Y18" s="132">
        <f>IF(SER_hh_tesh!Y18=0,0,SER_hh_tesh!Y18/SER_summary!Y$26)</f>
        <v>28.39088454050902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14.271477075538819</v>
      </c>
      <c r="C19" s="130">
        <f>IF(SER_hh_tesh!C19=0,0,SER_hh_tesh!C19/SER_summary!C$26)</f>
        <v>14.053140722880414</v>
      </c>
      <c r="D19" s="130">
        <f>IF(SER_hh_tesh!D19=0,0,SER_hh_tesh!D19/SER_summary!D$26)</f>
        <v>13.787593747152746</v>
      </c>
      <c r="E19" s="130">
        <f>IF(SER_hh_tesh!E19=0,0,SER_hh_tesh!E19/SER_summary!E$26)</f>
        <v>13.677537600815205</v>
      </c>
      <c r="F19" s="130">
        <f>IF(SER_hh_tesh!F19=0,0,SER_hh_tesh!F19/SER_summary!F$26)</f>
        <v>13.442806780729997</v>
      </c>
      <c r="G19" s="130">
        <f>IF(SER_hh_tesh!G19=0,0,SER_hh_tesh!G19/SER_summary!G$26)</f>
        <v>13.394909757510868</v>
      </c>
      <c r="H19" s="130">
        <f>IF(SER_hh_tesh!H19=0,0,SER_hh_tesh!H19/SER_summary!H$26)</f>
        <v>13.136794596174193</v>
      </c>
      <c r="I19" s="130">
        <f>IF(SER_hh_tesh!I19=0,0,SER_hh_tesh!I19/SER_summary!I$26)</f>
        <v>12.851829463145934</v>
      </c>
      <c r="J19" s="130">
        <f>IF(SER_hh_tesh!J19=0,0,SER_hh_tesh!J19/SER_summary!J$26)</f>
        <v>12.777666746108189</v>
      </c>
      <c r="K19" s="130">
        <f>IF(SER_hh_tesh!K19=0,0,SER_hh_tesh!K19/SER_summary!K$26)</f>
        <v>13.062585204501348</v>
      </c>
      <c r="L19" s="130">
        <f>IF(SER_hh_tesh!L19=0,0,SER_hh_tesh!L19/SER_summary!L$26)</f>
        <v>13.309023729549466</v>
      </c>
      <c r="M19" s="130">
        <f>IF(SER_hh_tesh!M19=0,0,SER_hh_tesh!M19/SER_summary!M$26)</f>
        <v>13.358927732946292</v>
      </c>
      <c r="N19" s="130">
        <f>IF(SER_hh_tesh!N19=0,0,SER_hh_tesh!N19/SER_summary!N$26)</f>
        <v>13.60496351862218</v>
      </c>
      <c r="O19" s="130">
        <f>IF(SER_hh_tesh!O19=0,0,SER_hh_tesh!O19/SER_summary!O$26)</f>
        <v>13.947880343010395</v>
      </c>
      <c r="P19" s="130">
        <f>IF(SER_hh_tesh!P19=0,0,SER_hh_tesh!P19/SER_summary!P$26)</f>
        <v>14.372174675986765</v>
      </c>
      <c r="Q19" s="130">
        <f>IF(SER_hh_tesh!Q19=0,0,SER_hh_tesh!Q19/SER_summary!Q$26)</f>
        <v>14.744388728983397</v>
      </c>
      <c r="R19" s="130">
        <f>IF(SER_hh_tesh!R19=0,0,SER_hh_tesh!R19/SER_summary!R$26)</f>
        <v>15.011479124176228</v>
      </c>
      <c r="S19" s="130">
        <f>IF(SER_hh_tesh!S19=0,0,SER_hh_tesh!S19/SER_summary!S$26)</f>
        <v>15.072645857674084</v>
      </c>
      <c r="T19" s="130">
        <f>IF(SER_hh_tesh!T19=0,0,SER_hh_tesh!T19/SER_summary!T$26)</f>
        <v>14.992991657432162</v>
      </c>
      <c r="U19" s="130">
        <f>IF(SER_hh_tesh!U19=0,0,SER_hh_tesh!U19/SER_summary!U$26)</f>
        <v>15.223270085688938</v>
      </c>
      <c r="V19" s="130">
        <f>IF(SER_hh_tesh!V19=0,0,SER_hh_tesh!V19/SER_summary!V$26)</f>
        <v>14.823726499193295</v>
      </c>
      <c r="W19" s="130">
        <f>IF(SER_hh_tesh!W19=0,0,SER_hh_tesh!W19/SER_summary!W$26)</f>
        <v>15.10397193696174</v>
      </c>
      <c r="X19" s="130">
        <f>IF(SER_hh_tesh!X19=0,0,SER_hh_tesh!X19/SER_summary!X$26)</f>
        <v>15.506877729695431</v>
      </c>
      <c r="Y19" s="130">
        <f>IF(SER_hh_tesh!Y19=0,0,SER_hh_tesh!Y19/SER_summary!Y$26)</f>
        <v>15.79070498108886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15.352378026151111</v>
      </c>
      <c r="C21" s="132">
        <f>IF(SER_hh_tesh!C21=0,0,SER_hh_tesh!C21/SER_summary!C$26)</f>
        <v>13.210699770013507</v>
      </c>
      <c r="D21" s="132">
        <f>IF(SER_hh_tesh!D21=0,0,SER_hh_tesh!D21/SER_summary!D$26)</f>
        <v>14.167273541743054</v>
      </c>
      <c r="E21" s="132">
        <f>IF(SER_hh_tesh!E21=0,0,SER_hh_tesh!E21/SER_summary!E$26)</f>
        <v>13.803861292037769</v>
      </c>
      <c r="F21" s="132">
        <f>IF(SER_hh_tesh!F21=0,0,SER_hh_tesh!F21/SER_summary!F$26)</f>
        <v>13.485914743161603</v>
      </c>
      <c r="G21" s="132">
        <f>IF(SER_hh_tesh!G21=0,0,SER_hh_tesh!G21/SER_summary!G$26)</f>
        <v>13.299313041373768</v>
      </c>
      <c r="H21" s="132">
        <f>IF(SER_hh_tesh!H21=0,0,SER_hh_tesh!H21/SER_summary!H$26)</f>
        <v>13.121817083792703</v>
      </c>
      <c r="I21" s="132">
        <f>IF(SER_hh_tesh!I21=0,0,SER_hh_tesh!I21/SER_summary!I$26)</f>
        <v>13.127494598930404</v>
      </c>
      <c r="J21" s="132">
        <f>IF(SER_hh_tesh!J21=0,0,SER_hh_tesh!J21/SER_summary!J$26)</f>
        <v>12.782807795559391</v>
      </c>
      <c r="K21" s="132">
        <f>IF(SER_hh_tesh!K21=0,0,SER_hh_tesh!K21/SER_summary!K$26)</f>
        <v>12.988843437731095</v>
      </c>
      <c r="L21" s="132">
        <f>IF(SER_hh_tesh!L21=0,0,SER_hh_tesh!L21/SER_summary!L$26)</f>
        <v>13.582750735856662</v>
      </c>
      <c r="M21" s="132">
        <f>IF(SER_hh_tesh!M21=0,0,SER_hh_tesh!M21/SER_summary!M$26)</f>
        <v>12.951362494970786</v>
      </c>
      <c r="N21" s="132">
        <f>IF(SER_hh_tesh!N21=0,0,SER_hh_tesh!N21/SER_summary!N$26)</f>
        <v>13.817919505595365</v>
      </c>
      <c r="O21" s="132">
        <f>IF(SER_hh_tesh!O21=0,0,SER_hh_tesh!O21/SER_summary!O$26)</f>
        <v>13.965567049757396</v>
      </c>
      <c r="P21" s="132">
        <f>IF(SER_hh_tesh!P21=0,0,SER_hh_tesh!P21/SER_summary!P$26)</f>
        <v>14.316813564842503</v>
      </c>
      <c r="Q21" s="132">
        <f>IF(SER_hh_tesh!Q21=0,0,SER_hh_tesh!Q21/SER_summary!Q$26)</f>
        <v>14.432512794945842</v>
      </c>
      <c r="R21" s="132">
        <f>IF(SER_hh_tesh!R21=0,0,SER_hh_tesh!R21/SER_summary!R$26)</f>
        <v>11.334042873472253</v>
      </c>
      <c r="S21" s="132">
        <f>IF(SER_hh_tesh!S21=0,0,SER_hh_tesh!S21/SER_summary!S$26)</f>
        <v>13.010428641551439</v>
      </c>
      <c r="T21" s="132">
        <f>IF(SER_hh_tesh!T21=0,0,SER_hh_tesh!T21/SER_summary!T$26)</f>
        <v>17.634464912056423</v>
      </c>
      <c r="U21" s="132">
        <f>IF(SER_hh_tesh!U21=0,0,SER_hh_tesh!U21/SER_summary!U$26)</f>
        <v>20.806386203720898</v>
      </c>
      <c r="V21" s="132">
        <f>IF(SER_hh_tesh!V21=0,0,SER_hh_tesh!V21/SER_summary!V$26)</f>
        <v>16.761079898375808</v>
      </c>
      <c r="W21" s="132">
        <f>IF(SER_hh_tesh!W21=0,0,SER_hh_tesh!W21/SER_summary!W$26)</f>
        <v>12.82911489588709</v>
      </c>
      <c r="X21" s="132">
        <f>IF(SER_hh_tesh!X21=0,0,SER_hh_tesh!X21/SER_summary!X$26)</f>
        <v>18.320408460795441</v>
      </c>
      <c r="Y21" s="132">
        <f>IF(SER_hh_tesh!Y21=0,0,SER_hh_tesh!Y21/SER_summary!Y$26)</f>
        <v>11.871573126484492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13.65781578181001</v>
      </c>
      <c r="C22" s="132">
        <f>IF(SER_hh_tesh!C22=0,0,SER_hh_tesh!C22/SER_summary!C$26)</f>
        <v>14.605582348278817</v>
      </c>
      <c r="D22" s="132">
        <f>IF(SER_hh_tesh!D22=0,0,SER_hh_tesh!D22/SER_summary!D$26)</f>
        <v>13.011666547845124</v>
      </c>
      <c r="E22" s="132">
        <f>IF(SER_hh_tesh!E22=0,0,SER_hh_tesh!E22/SER_summary!E$26)</f>
        <v>14.072996207550924</v>
      </c>
      <c r="F22" s="132">
        <f>IF(SER_hh_tesh!F22=0,0,SER_hh_tesh!F22/SER_summary!F$26)</f>
        <v>13.6784917970555</v>
      </c>
      <c r="G22" s="132">
        <f>IF(SER_hh_tesh!G22=0,0,SER_hh_tesh!G22/SER_summary!G$26)</f>
        <v>13.398772442965567</v>
      </c>
      <c r="H22" s="132">
        <f>IF(SER_hh_tesh!H22=0,0,SER_hh_tesh!H22/SER_summary!H$26)</f>
        <v>13.207334625397458</v>
      </c>
      <c r="I22" s="132">
        <f>IF(SER_hh_tesh!I22=0,0,SER_hh_tesh!I22/SER_summary!I$26)</f>
        <v>13.199905850913884</v>
      </c>
      <c r="J22" s="132">
        <f>IF(SER_hh_tesh!J22=0,0,SER_hh_tesh!J22/SER_summary!J$26)</f>
        <v>12.605359288842653</v>
      </c>
      <c r="K22" s="132">
        <f>IF(SER_hh_tesh!K22=0,0,SER_hh_tesh!K22/SER_summary!K$26)</f>
        <v>13.188334364930228</v>
      </c>
      <c r="L22" s="132">
        <f>IF(SER_hh_tesh!L22=0,0,SER_hh_tesh!L22/SER_summary!L$26)</f>
        <v>13.908620774972727</v>
      </c>
      <c r="M22" s="132">
        <f>IF(SER_hh_tesh!M22=0,0,SER_hh_tesh!M22/SER_summary!M$26)</f>
        <v>13.036320899959483</v>
      </c>
      <c r="N22" s="132">
        <f>IF(SER_hh_tesh!N22=0,0,SER_hh_tesh!N22/SER_summary!N$26)</f>
        <v>13.760412456068746</v>
      </c>
      <c r="O22" s="132">
        <f>IF(SER_hh_tesh!O22=0,0,SER_hh_tesh!O22/SER_summary!O$26)</f>
        <v>13.638958091670974</v>
      </c>
      <c r="P22" s="132">
        <f>IF(SER_hh_tesh!P22=0,0,SER_hh_tesh!P22/SER_summary!P$26)</f>
        <v>13.337488445634397</v>
      </c>
      <c r="Q22" s="132">
        <f>IF(SER_hh_tesh!Q22=0,0,SER_hh_tesh!Q22/SER_summary!Q$26)</f>
        <v>13.339517926583671</v>
      </c>
      <c r="R22" s="132">
        <f>IF(SER_hh_tesh!R22=0,0,SER_hh_tesh!R22/SER_summary!R$26)</f>
        <v>16.281642618245645</v>
      </c>
      <c r="S22" s="132">
        <f>IF(SER_hh_tesh!S22=0,0,SER_hh_tesh!S22/SER_summary!S$26)</f>
        <v>13.619956971162351</v>
      </c>
      <c r="T22" s="132">
        <f>IF(SER_hh_tesh!T22=0,0,SER_hh_tesh!T22/SER_summary!T$26)</f>
        <v>16.044434223971248</v>
      </c>
      <c r="U22" s="132">
        <f>IF(SER_hh_tesh!U22=0,0,SER_hh_tesh!U22/SER_summary!U$26)</f>
        <v>13.959060519189656</v>
      </c>
      <c r="V22" s="132">
        <f>IF(SER_hh_tesh!V22=0,0,SER_hh_tesh!V22/SER_summary!V$26)</f>
        <v>15.632655534796351</v>
      </c>
      <c r="W22" s="132">
        <f>IF(SER_hh_tesh!W22=0,0,SER_hh_tesh!W22/SER_summary!W$26)</f>
        <v>15.197430458303986</v>
      </c>
      <c r="X22" s="132">
        <f>IF(SER_hh_tesh!X22=0,0,SER_hh_tesh!X22/SER_summary!X$26)</f>
        <v>15.328171804323132</v>
      </c>
      <c r="Y22" s="132">
        <f>IF(SER_hh_tesh!Y22=0,0,SER_hh_tesh!Y22/SER_summary!Y$26)</f>
        <v>15.957648921474032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14.086690120311165</v>
      </c>
      <c r="C23" s="132">
        <f>IF(SER_hh_tesh!C23=0,0,SER_hh_tesh!C23/SER_summary!C$26)</f>
        <v>14.174724848866189</v>
      </c>
      <c r="D23" s="132">
        <f>IF(SER_hh_tesh!D23=0,0,SER_hh_tesh!D23/SER_summary!D$26)</f>
        <v>13.648089099091498</v>
      </c>
      <c r="E23" s="132">
        <f>IF(SER_hh_tesh!E23=0,0,SER_hh_tesh!E23/SER_summary!E$26)</f>
        <v>13.489013146484778</v>
      </c>
      <c r="F23" s="132">
        <f>IF(SER_hh_tesh!F23=0,0,SER_hh_tesh!F23/SER_summary!F$26)</f>
        <v>13.519597438065759</v>
      </c>
      <c r="G23" s="132">
        <f>IF(SER_hh_tesh!G23=0,0,SER_hh_tesh!G23/SER_summary!G$26)</f>
        <v>13.348455812338363</v>
      </c>
      <c r="H23" s="132">
        <f>IF(SER_hh_tesh!H23=0,0,SER_hh_tesh!H23/SER_summary!H$26)</f>
        <v>12.857293243215121</v>
      </c>
      <c r="I23" s="132">
        <f>IF(SER_hh_tesh!I23=0,0,SER_hh_tesh!I23/SER_summary!I$26)</f>
        <v>12.368330822631766</v>
      </c>
      <c r="J23" s="132">
        <f>IF(SER_hh_tesh!J23=0,0,SER_hh_tesh!J23/SER_summary!J$26)</f>
        <v>11.546408963714843</v>
      </c>
      <c r="K23" s="132">
        <f>IF(SER_hh_tesh!K23=0,0,SER_hh_tesh!K23/SER_summary!K$26)</f>
        <v>14.243730938260125</v>
      </c>
      <c r="L23" s="132">
        <f>IF(SER_hh_tesh!L23=0,0,SER_hh_tesh!L23/SER_summary!L$26)</f>
        <v>14.026833712612447</v>
      </c>
      <c r="M23" s="132">
        <f>IF(SER_hh_tesh!M23=0,0,SER_hh_tesh!M23/SER_summary!M$26)</f>
        <v>13.409402207383769</v>
      </c>
      <c r="N23" s="132">
        <f>IF(SER_hh_tesh!N23=0,0,SER_hh_tesh!N23/SER_summary!N$26)</f>
        <v>13.617102711596335</v>
      </c>
      <c r="O23" s="132">
        <f>IF(SER_hh_tesh!O23=0,0,SER_hh_tesh!O23/SER_summary!O$26)</f>
        <v>13.968066825212565</v>
      </c>
      <c r="P23" s="132">
        <f>IF(SER_hh_tesh!P23=0,0,SER_hh_tesh!P23/SER_summary!P$26)</f>
        <v>14.181066056410794</v>
      </c>
      <c r="Q23" s="132">
        <f>IF(SER_hh_tesh!Q23=0,0,SER_hh_tesh!Q23/SER_summary!Q$26)</f>
        <v>13.810958612254108</v>
      </c>
      <c r="R23" s="132">
        <f>IF(SER_hh_tesh!R23=0,0,SER_hh_tesh!R23/SER_summary!R$26)</f>
        <v>18.092632561752435</v>
      </c>
      <c r="S23" s="132">
        <f>IF(SER_hh_tesh!S23=0,0,SER_hh_tesh!S23/SER_summary!S$26)</f>
        <v>15.942849374879074</v>
      </c>
      <c r="T23" s="132">
        <f>IF(SER_hh_tesh!T23=0,0,SER_hh_tesh!T23/SER_summary!T$26)</f>
        <v>11.394784735092536</v>
      </c>
      <c r="U23" s="132">
        <f>IF(SER_hh_tesh!U23=0,0,SER_hh_tesh!U23/SER_summary!U$26)</f>
        <v>15.234690727753849</v>
      </c>
      <c r="V23" s="132">
        <f>IF(SER_hh_tesh!V23=0,0,SER_hh_tesh!V23/SER_summary!V$26)</f>
        <v>13.821853174768798</v>
      </c>
      <c r="W23" s="132">
        <f>IF(SER_hh_tesh!W23=0,0,SER_hh_tesh!W23/SER_summary!W$26)</f>
        <v>12.013413602197339</v>
      </c>
      <c r="X23" s="132">
        <f>IF(SER_hh_tesh!X23=0,0,SER_hh_tesh!X23/SER_summary!X$26)</f>
        <v>17.468965079368193</v>
      </c>
      <c r="Y23" s="132">
        <f>IF(SER_hh_tesh!Y23=0,0,SER_hh_tesh!Y23/SER_summary!Y$26)</f>
        <v>15.506478949734381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12.808012439380423</v>
      </c>
      <c r="C25" s="132">
        <f>IF(SER_hh_tesh!C25=0,0,SER_hh_tesh!C25/SER_summary!C$26)</f>
        <v>16.734607102365057</v>
      </c>
      <c r="D25" s="132">
        <f>IF(SER_hh_tesh!D25=0,0,SER_hh_tesh!D25/SER_summary!D$26)</f>
        <v>14.451343495350208</v>
      </c>
      <c r="E25" s="132">
        <f>IF(SER_hh_tesh!E25=0,0,SER_hh_tesh!E25/SER_summary!E$26)</f>
        <v>13.124420319936505</v>
      </c>
      <c r="F25" s="132">
        <f>IF(SER_hh_tesh!F25=0,0,SER_hh_tesh!F25/SER_summary!F$26)</f>
        <v>13.862949241720255</v>
      </c>
      <c r="G25" s="132">
        <f>IF(SER_hh_tesh!G25=0,0,SER_hh_tesh!G25/SER_summary!G$26)</f>
        <v>13.741979365303145</v>
      </c>
      <c r="H25" s="132">
        <f>IF(SER_hh_tesh!H25=0,0,SER_hh_tesh!H25/SER_summary!H$26)</f>
        <v>12.226431855201518</v>
      </c>
      <c r="I25" s="132">
        <f>IF(SER_hh_tesh!I25=0,0,SER_hh_tesh!I25/SER_summary!I$26)</f>
        <v>12.683596674324338</v>
      </c>
      <c r="J25" s="132">
        <f>IF(SER_hh_tesh!J25=0,0,SER_hh_tesh!J25/SER_summary!J$26)</f>
        <v>11.440301823834771</v>
      </c>
      <c r="K25" s="132">
        <f>IF(SER_hh_tesh!K25=0,0,SER_hh_tesh!K25/SER_summary!K$26)</f>
        <v>12.247258798903566</v>
      </c>
      <c r="L25" s="132">
        <f>IF(SER_hh_tesh!L25=0,0,SER_hh_tesh!L25/SER_summary!L$26)</f>
        <v>13.215254325650465</v>
      </c>
      <c r="M25" s="132">
        <f>IF(SER_hh_tesh!M25=0,0,SER_hh_tesh!M25/SER_summary!M$26)</f>
        <v>13.690612547158981</v>
      </c>
      <c r="N25" s="132">
        <f>IF(SER_hh_tesh!N25=0,0,SER_hh_tesh!N25/SER_summary!N$26)</f>
        <v>13.818855698889717</v>
      </c>
      <c r="O25" s="132">
        <f>IF(SER_hh_tesh!O25=0,0,SER_hh_tesh!O25/SER_summary!O$26)</f>
        <v>14.155206126662799</v>
      </c>
      <c r="P25" s="132">
        <f>IF(SER_hh_tesh!P25=0,0,SER_hh_tesh!P25/SER_summary!P$26)</f>
        <v>14.873214401469097</v>
      </c>
      <c r="Q25" s="132">
        <f>IF(SER_hh_tesh!Q25=0,0,SER_hh_tesh!Q25/SER_summary!Q$26)</f>
        <v>14.625009655456019</v>
      </c>
      <c r="R25" s="132">
        <f>IF(SER_hh_tesh!R25=0,0,SER_hh_tesh!R25/SER_summary!R$26)</f>
        <v>13.601730211266977</v>
      </c>
      <c r="S25" s="132">
        <f>IF(SER_hh_tesh!S25=0,0,SER_hh_tesh!S25/SER_summary!S$26)</f>
        <v>15.626836626719546</v>
      </c>
      <c r="T25" s="132">
        <f>IF(SER_hh_tesh!T25=0,0,SER_hh_tesh!T25/SER_summary!T$26)</f>
        <v>16.495121036520175</v>
      </c>
      <c r="U25" s="132">
        <f>IF(SER_hh_tesh!U25=0,0,SER_hh_tesh!U25/SER_summary!U$26)</f>
        <v>14.312065314137326</v>
      </c>
      <c r="V25" s="132">
        <f>IF(SER_hh_tesh!V25=0,0,SER_hh_tesh!V25/SER_summary!V$26)</f>
        <v>14.362702891251548</v>
      </c>
      <c r="W25" s="132">
        <f>IF(SER_hh_tesh!W25=0,0,SER_hh_tesh!W25/SER_summary!W$26)</f>
        <v>15.746417167672121</v>
      </c>
      <c r="X25" s="132">
        <f>IF(SER_hh_tesh!X25=0,0,SER_hh_tesh!X25/SER_summary!X$26)</f>
        <v>16.070222454683833</v>
      </c>
      <c r="Y25" s="132">
        <f>IF(SER_hh_tesh!Y25=0,0,SER_hh_tesh!Y25/SER_summary!Y$26)</f>
        <v>15.361547890596318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14.296500502852256</v>
      </c>
      <c r="C26" s="65">
        <f>IF(SER_hh_tesh!C26=0,0,SER_hh_tesh!C26/SER_summary!C$26)</f>
        <v>11.794637504058356</v>
      </c>
      <c r="D26" s="65">
        <f>IF(SER_hh_tesh!D26=0,0,SER_hh_tesh!D26/SER_summary!D$26)</f>
        <v>14.467819328819646</v>
      </c>
      <c r="E26" s="65">
        <f>IF(SER_hh_tesh!E26=0,0,SER_hh_tesh!E26/SER_summary!E$26)</f>
        <v>12.57627282653713</v>
      </c>
      <c r="F26" s="65">
        <f>IF(SER_hh_tesh!F26=0,0,SER_hh_tesh!F26/SER_summary!F$26)</f>
        <v>12.240335697559491</v>
      </c>
      <c r="G26" s="65">
        <f>IF(SER_hh_tesh!G26=0,0,SER_hh_tesh!G26/SER_summary!G$26)</f>
        <v>13.374148763056272</v>
      </c>
      <c r="H26" s="65">
        <f>IF(SER_hh_tesh!H26=0,0,SER_hh_tesh!H26/SER_summary!H$26)</f>
        <v>13.466155936226157</v>
      </c>
      <c r="I26" s="65">
        <f>IF(SER_hh_tesh!I26=0,0,SER_hh_tesh!I26/SER_summary!I$26)</f>
        <v>11.873275349470868</v>
      </c>
      <c r="J26" s="65">
        <f>IF(SER_hh_tesh!J26=0,0,SER_hh_tesh!J26/SER_summary!J$26)</f>
        <v>13.738963188453456</v>
      </c>
      <c r="K26" s="65">
        <f>IF(SER_hh_tesh!K26=0,0,SER_hh_tesh!K26/SER_summary!K$26)</f>
        <v>12.991876892108616</v>
      </c>
      <c r="L26" s="65">
        <f>IF(SER_hh_tesh!L26=0,0,SER_hh_tesh!L26/SER_summary!L$26)</f>
        <v>12.240925139248073</v>
      </c>
      <c r="M26" s="65">
        <f>IF(SER_hh_tesh!M26=0,0,SER_hh_tesh!M26/SER_summary!M$26)</f>
        <v>13.785927425861638</v>
      </c>
      <c r="N26" s="65">
        <f>IF(SER_hh_tesh!N26=0,0,SER_hh_tesh!N26/SER_summary!N$26)</f>
        <v>13.301700652688632</v>
      </c>
      <c r="O26" s="65">
        <f>IF(SER_hh_tesh!O26=0,0,SER_hh_tesh!O26/SER_summary!O$26)</f>
        <v>14.027487428326799</v>
      </c>
      <c r="P26" s="65">
        <f>IF(SER_hh_tesh!P26=0,0,SER_hh_tesh!P26/SER_summary!P$26)</f>
        <v>14.662221907321131</v>
      </c>
      <c r="Q26" s="65">
        <f>IF(SER_hh_tesh!Q26=0,0,SER_hh_tesh!Q26/SER_summary!Q$26)</f>
        <v>15.45342737212448</v>
      </c>
      <c r="R26" s="65">
        <f>IF(SER_hh_tesh!R26=0,0,SER_hh_tesh!R26/SER_summary!R$26)</f>
        <v>15.982794935082545</v>
      </c>
      <c r="S26" s="65">
        <f>IF(SER_hh_tesh!S26=0,0,SER_hh_tesh!S26/SER_summary!S$26)</f>
        <v>15.940507782302578</v>
      </c>
      <c r="T26" s="65">
        <f>IF(SER_hh_tesh!T26=0,0,SER_hh_tesh!T26/SER_summary!T$26)</f>
        <v>13.360963062984657</v>
      </c>
      <c r="U26" s="65">
        <f>IF(SER_hh_tesh!U26=0,0,SER_hh_tesh!U26/SER_summary!U$26)</f>
        <v>14.082353400197757</v>
      </c>
      <c r="V26" s="65">
        <f>IF(SER_hh_tesh!V26=0,0,SER_hh_tesh!V26/SER_summary!V$26)</f>
        <v>14.125669523103385</v>
      </c>
      <c r="W26" s="65">
        <f>IF(SER_hh_tesh!W26=0,0,SER_hh_tesh!W26/SER_summary!W$26)</f>
        <v>15.668605984639722</v>
      </c>
      <c r="X26" s="65">
        <f>IF(SER_hh_tesh!X26=0,0,SER_hh_tesh!X26/SER_summary!X$26)</f>
        <v>14.590942108569331</v>
      </c>
      <c r="Y26" s="65">
        <f>IF(SER_hh_tesh!Y26=0,0,SER_hh_tesh!Y26/SER_summary!Y$26)</f>
        <v>16.597490210683127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17.120658085211375</v>
      </c>
      <c r="C29" s="130">
        <f>IF(SER_hh_tesh!C29=0,0,SER_hh_tesh!C29/SER_summary!C$26)</f>
        <v>17.840150814089267</v>
      </c>
      <c r="D29" s="130">
        <f>IF(SER_hh_tesh!D29=0,0,SER_hh_tesh!D29/SER_summary!D$26)</f>
        <v>17.640182159152122</v>
      </c>
      <c r="E29" s="130">
        <f>IF(SER_hh_tesh!E29=0,0,SER_hh_tesh!E29/SER_summary!E$26)</f>
        <v>16.914708530082478</v>
      </c>
      <c r="F29" s="130">
        <f>IF(SER_hh_tesh!F29=0,0,SER_hh_tesh!F29/SER_summary!F$26)</f>
        <v>16.546385488896288</v>
      </c>
      <c r="G29" s="130">
        <f>IF(SER_hh_tesh!G29=0,0,SER_hh_tesh!G29/SER_summary!G$26)</f>
        <v>16.210248825695256</v>
      </c>
      <c r="H29" s="130">
        <f>IF(SER_hh_tesh!H29=0,0,SER_hh_tesh!H29/SER_summary!H$26)</f>
        <v>15.889561994491212</v>
      </c>
      <c r="I29" s="130">
        <f>IF(SER_hh_tesh!I29=0,0,SER_hh_tesh!I29/SER_summary!I$26)</f>
        <v>15.338724448497109</v>
      </c>
      <c r="J29" s="130">
        <f>IF(SER_hh_tesh!J29=0,0,SER_hh_tesh!J29/SER_summary!J$26)</f>
        <v>14.950956090059693</v>
      </c>
      <c r="K29" s="130">
        <f>IF(SER_hh_tesh!K29=0,0,SER_hh_tesh!K29/SER_summary!K$26)</f>
        <v>15.12575336105971</v>
      </c>
      <c r="L29" s="130">
        <f>IF(SER_hh_tesh!L29=0,0,SER_hh_tesh!L29/SER_summary!L$26)</f>
        <v>15.264510679576905</v>
      </c>
      <c r="M29" s="130">
        <f>IF(SER_hh_tesh!M29=0,0,SER_hh_tesh!M29/SER_summary!M$26)</f>
        <v>15.609403583049708</v>
      </c>
      <c r="N29" s="130">
        <f>IF(SER_hh_tesh!N29=0,0,SER_hh_tesh!N29/SER_summary!N$26)</f>
        <v>16.075270775510663</v>
      </c>
      <c r="O29" s="130">
        <f>IF(SER_hh_tesh!O29=0,0,SER_hh_tesh!O29/SER_summary!O$26)</f>
        <v>16.254050129470588</v>
      </c>
      <c r="P29" s="130">
        <f>IF(SER_hh_tesh!P29=0,0,SER_hh_tesh!P29/SER_summary!P$26)</f>
        <v>16.596519450270918</v>
      </c>
      <c r="Q29" s="130">
        <f>IF(SER_hh_tesh!Q29=0,0,SER_hh_tesh!Q29/SER_summary!Q$26)</f>
        <v>17.519589114156002</v>
      </c>
      <c r="R29" s="130">
        <f>IF(SER_hh_tesh!R29=0,0,SER_hh_tesh!R29/SER_summary!R$26)</f>
        <v>18.080896380067934</v>
      </c>
      <c r="S29" s="130">
        <f>IF(SER_hh_tesh!S29=0,0,SER_hh_tesh!S29/SER_summary!S$26)</f>
        <v>18.452818660598684</v>
      </c>
      <c r="T29" s="130">
        <f>IF(SER_hh_tesh!T29=0,0,SER_hh_tesh!T29/SER_summary!T$26)</f>
        <v>18.789206930441072</v>
      </c>
      <c r="U29" s="130">
        <f>IF(SER_hh_tesh!U29=0,0,SER_hh_tesh!U29/SER_summary!U$26)</f>
        <v>19.01537395955744</v>
      </c>
      <c r="V29" s="130">
        <f>IF(SER_hh_tesh!V29=0,0,SER_hh_tesh!V29/SER_summary!V$26)</f>
        <v>17.940917327507918</v>
      </c>
      <c r="W29" s="130">
        <f>IF(SER_hh_tesh!W29=0,0,SER_hh_tesh!W29/SER_summary!W$26)</f>
        <v>18.162201208101251</v>
      </c>
      <c r="X29" s="130">
        <f>IF(SER_hh_tesh!X29=0,0,SER_hh_tesh!X29/SER_summary!X$26)</f>
        <v>18.405409010513523</v>
      </c>
      <c r="Y29" s="130">
        <f>IF(SER_hh_tesh!Y29=0,0,SER_hh_tesh!Y29/SER_summary!Y$26)</f>
        <v>18.12899485697567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18.008668109865734</v>
      </c>
      <c r="C30" s="132">
        <f>IF(SER_hh_tesh!C30=0,0,SER_hh_tesh!C30/SER_summary!C$26)</f>
        <v>19.997459222473601</v>
      </c>
      <c r="D30" s="132">
        <f>IF(SER_hh_tesh!D30=0,0,SER_hh_tesh!D30/SER_summary!D$26)</f>
        <v>14.028540903873655</v>
      </c>
      <c r="E30" s="132">
        <f>IF(SER_hh_tesh!E30=0,0,SER_hh_tesh!E30/SER_summary!E$26)</f>
        <v>11.672046598134074</v>
      </c>
      <c r="F30" s="132">
        <f>IF(SER_hh_tesh!F30=0,0,SER_hh_tesh!F30/SER_summary!F$26)</f>
        <v>17.310359301073575</v>
      </c>
      <c r="G30" s="132">
        <f>IF(SER_hh_tesh!G30=0,0,SER_hh_tesh!G30/SER_summary!G$26)</f>
        <v>14.835383191861848</v>
      </c>
      <c r="H30" s="132">
        <f>IF(SER_hh_tesh!H30=0,0,SER_hh_tesh!H30/SER_summary!H$26)</f>
        <v>10.123515503441801</v>
      </c>
      <c r="I30" s="132">
        <f>IF(SER_hh_tesh!I30=0,0,SER_hh_tesh!I30/SER_summary!I$26)</f>
        <v>21.565542789829038</v>
      </c>
      <c r="J30" s="132">
        <f>IF(SER_hh_tesh!J30=0,0,SER_hh_tesh!J30/SER_summary!J$26)</f>
        <v>13.147586002818631</v>
      </c>
      <c r="K30" s="132">
        <f>IF(SER_hh_tesh!K30=0,0,SER_hh_tesh!K30/SER_summary!K$26)</f>
        <v>14.638652615062709</v>
      </c>
      <c r="L30" s="132">
        <f>IF(SER_hh_tesh!L30=0,0,SER_hh_tesh!L30/SER_summary!L$26)</f>
        <v>19.948877057188731</v>
      </c>
      <c r="M30" s="132">
        <f>IF(SER_hh_tesh!M30=0,0,SER_hh_tesh!M30/SER_summary!M$26)</f>
        <v>9.5659368767636739</v>
      </c>
      <c r="N30" s="132">
        <f>IF(SER_hh_tesh!N30=0,0,SER_hh_tesh!N30/SER_summary!N$26)</f>
        <v>18.679609277404875</v>
      </c>
      <c r="O30" s="132">
        <f>IF(SER_hh_tesh!O30=0,0,SER_hh_tesh!O30/SER_summary!O$26)</f>
        <v>15.23853517795084</v>
      </c>
      <c r="P30" s="132">
        <f>IF(SER_hh_tesh!P30=0,0,SER_hh_tesh!P30/SER_summary!P$26)</f>
        <v>16.075983014439704</v>
      </c>
      <c r="Q30" s="132">
        <f>IF(SER_hh_tesh!Q30=0,0,SER_hh_tesh!Q30/SER_summary!Q$26)</f>
        <v>18.590587148312032</v>
      </c>
      <c r="R30" s="132">
        <f>IF(SER_hh_tesh!R30=0,0,SER_hh_tesh!R30/SER_summary!R$26)</f>
        <v>15.996364745513793</v>
      </c>
      <c r="S30" s="132">
        <f>IF(SER_hh_tesh!S30=0,0,SER_hh_tesh!S30/SER_summary!S$26)</f>
        <v>16.806886610167801</v>
      </c>
      <c r="T30" s="132">
        <f>IF(SER_hh_tesh!T30=0,0,SER_hh_tesh!T30/SER_summary!T$26)</f>
        <v>18.974726939509555</v>
      </c>
      <c r="U30" s="132">
        <f>IF(SER_hh_tesh!U30=0,0,SER_hh_tesh!U30/SER_summary!U$26)</f>
        <v>22.23595031313884</v>
      </c>
      <c r="V30" s="132">
        <f>IF(SER_hh_tesh!V30=0,0,SER_hh_tesh!V30/SER_summary!V$26)</f>
        <v>19.207496392271111</v>
      </c>
      <c r="W30" s="132">
        <f>IF(SER_hh_tesh!W30=0,0,SER_hh_tesh!W30/SER_summary!W$26)</f>
        <v>16.298195521297998</v>
      </c>
      <c r="X30" s="132">
        <f>IF(SER_hh_tesh!X30=0,0,SER_hh_tesh!X30/SER_summary!X$26)</f>
        <v>21.225080219171211</v>
      </c>
      <c r="Y30" s="132">
        <f>IF(SER_hh_tesh!Y30=0,0,SER_hh_tesh!Y30/SER_summary!Y$26)</f>
        <v>14.548625242181197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2.3395321785212508</v>
      </c>
      <c r="C31" s="132">
        <f>IF(SER_hh_tesh!C31=0,0,SER_hh_tesh!C31/SER_summary!C$26)</f>
        <v>22.695873653257046</v>
      </c>
      <c r="D31" s="132">
        <f>IF(SER_hh_tesh!D31=0,0,SER_hh_tesh!D31/SER_summary!D$26)</f>
        <v>20.696447106448453</v>
      </c>
      <c r="E31" s="132">
        <f>IF(SER_hh_tesh!E31=0,0,SER_hh_tesh!E31/SER_summary!E$26)</f>
        <v>17.156707348186426</v>
      </c>
      <c r="F31" s="132">
        <f>IF(SER_hh_tesh!F31=0,0,SER_hh_tesh!F31/SER_summary!F$26)</f>
        <v>18.551999563643555</v>
      </c>
      <c r="G31" s="132">
        <f>IF(SER_hh_tesh!G31=0,0,SER_hh_tesh!G31/SER_summary!G$26)</f>
        <v>16.648195107788371</v>
      </c>
      <c r="H31" s="132">
        <f>IF(SER_hh_tesh!H31=0,0,SER_hh_tesh!H31/SER_summary!H$26)</f>
        <v>11.803493521866523</v>
      </c>
      <c r="I31" s="132">
        <f>IF(SER_hh_tesh!I31=0,0,SER_hh_tesh!I31/SER_summary!I$26)</f>
        <v>12.111274517787807</v>
      </c>
      <c r="J31" s="132">
        <f>IF(SER_hh_tesh!J31=0,0,SER_hh_tesh!J31/SER_summary!J$26)</f>
        <v>6.2669832084626682</v>
      </c>
      <c r="K31" s="132">
        <f>IF(SER_hh_tesh!K31=0,0,SER_hh_tesh!K31/SER_summary!K$26)</f>
        <v>17.791760989339373</v>
      </c>
      <c r="L31" s="132">
        <f>IF(SER_hh_tesh!L31=0,0,SER_hh_tesh!L31/SER_summary!L$26)</f>
        <v>16.092088238080642</v>
      </c>
      <c r="M31" s="132">
        <f>IF(SER_hh_tesh!M31=0,0,SER_hh_tesh!M31/SER_summary!M$26)</f>
        <v>15.289604758105986</v>
      </c>
      <c r="N31" s="132">
        <f>IF(SER_hh_tesh!N31=0,0,SER_hh_tesh!N31/SER_summary!N$26)</f>
        <v>12.760789207914664</v>
      </c>
      <c r="O31" s="132">
        <f>IF(SER_hh_tesh!O31=0,0,SER_hh_tesh!O31/SER_summary!O$26)</f>
        <v>14.757538465003554</v>
      </c>
      <c r="P31" s="132">
        <f>IF(SER_hh_tesh!P31=0,0,SER_hh_tesh!P31/SER_summary!P$26)</f>
        <v>17.99035486594159</v>
      </c>
      <c r="Q31" s="132">
        <f>IF(SER_hh_tesh!Q31=0,0,SER_hh_tesh!Q31/SER_summary!Q$26)</f>
        <v>17.913906854807603</v>
      </c>
      <c r="R31" s="132">
        <f>IF(SER_hh_tesh!R31=0,0,SER_hh_tesh!R31/SER_summary!R$26)</f>
        <v>23.161385242682147</v>
      </c>
      <c r="S31" s="132">
        <f>IF(SER_hh_tesh!S31=0,0,SER_hh_tesh!S31/SER_summary!S$26)</f>
        <v>19.595531580796308</v>
      </c>
      <c r="T31" s="132">
        <f>IF(SER_hh_tesh!T31=0,0,SER_hh_tesh!T31/SER_summary!T$26)</f>
        <v>13.931403401367014</v>
      </c>
      <c r="U31" s="132">
        <f>IF(SER_hh_tesh!U31=0,0,SER_hh_tesh!U31/SER_summary!U$26)</f>
        <v>18.831549053105206</v>
      </c>
      <c r="V31" s="132">
        <f>IF(SER_hh_tesh!V31=0,0,SER_hh_tesh!V31/SER_summary!V$26)</f>
        <v>18.220831558668404</v>
      </c>
      <c r="W31" s="132">
        <f>IF(SER_hh_tesh!W31=0,0,SER_hh_tesh!W31/SER_summary!W$26)</f>
        <v>16.319429614483809</v>
      </c>
      <c r="X31" s="132">
        <f>IF(SER_hh_tesh!X31=0,0,SER_hh_tesh!X31/SER_summary!X$26)</f>
        <v>19.127459138029156</v>
      </c>
      <c r="Y31" s="132">
        <f>IF(SER_hh_tesh!Y31=0,0,SER_hh_tesh!Y31/SER_summary!Y$26)</f>
        <v>18.045773971922578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18.363851590481243</v>
      </c>
      <c r="C33" s="68">
        <f>IF(SER_hh_tesh!C33=0,0,SER_hh_tesh!C33/SER_summary!C$26)</f>
        <v>13.604079498713752</v>
      </c>
      <c r="D33" s="68">
        <f>IF(SER_hh_tesh!D33=0,0,SER_hh_tesh!D33/SER_summary!D$26)</f>
        <v>18.779813319018675</v>
      </c>
      <c r="E33" s="68">
        <f>IF(SER_hh_tesh!E33=0,0,SER_hh_tesh!E33/SER_summary!E$26)</f>
        <v>18.560884342466338</v>
      </c>
      <c r="F33" s="68">
        <f>IF(SER_hh_tesh!F33=0,0,SER_hh_tesh!F33/SER_summary!F$26)</f>
        <v>15.989308552386676</v>
      </c>
      <c r="G33" s="68">
        <f>IF(SER_hh_tesh!G33=0,0,SER_hh_tesh!G33/SER_summary!G$26)</f>
        <v>16.485977371859263</v>
      </c>
      <c r="H33" s="68">
        <f>IF(SER_hh_tesh!H33=0,0,SER_hh_tesh!H33/SER_summary!H$26)</f>
        <v>17.703981772213897</v>
      </c>
      <c r="I33" s="68">
        <f>IF(SER_hh_tesh!I33=0,0,SER_hh_tesh!I33/SER_summary!I$26)</f>
        <v>13.364957553620247</v>
      </c>
      <c r="J33" s="68">
        <f>IF(SER_hh_tesh!J33=0,0,SER_hh_tesh!J33/SER_summary!J$26)</f>
        <v>16.047095003410515</v>
      </c>
      <c r="K33" s="68">
        <f>IF(SER_hh_tesh!K33=0,0,SER_hh_tesh!K33/SER_summary!K$26)</f>
        <v>15.148144941752554</v>
      </c>
      <c r="L33" s="68">
        <f>IF(SER_hh_tesh!L33=0,0,SER_hh_tesh!L33/SER_summary!L$26)</f>
        <v>13.57453975985746</v>
      </c>
      <c r="M33" s="68">
        <f>IF(SER_hh_tesh!M33=0,0,SER_hh_tesh!M33/SER_summary!M$26)</f>
        <v>17.260344994041489</v>
      </c>
      <c r="N33" s="68">
        <f>IF(SER_hh_tesh!N33=0,0,SER_hh_tesh!N33/SER_summary!N$26)</f>
        <v>15.64487094184002</v>
      </c>
      <c r="O33" s="68">
        <f>IF(SER_hh_tesh!O33=0,0,SER_hh_tesh!O33/SER_summary!O$26)</f>
        <v>16.669305195350823</v>
      </c>
      <c r="P33" s="68">
        <f>IF(SER_hh_tesh!P33=0,0,SER_hh_tesh!P33/SER_summary!P$26)</f>
        <v>16.50532194906312</v>
      </c>
      <c r="Q33" s="68">
        <f>IF(SER_hh_tesh!Q33=0,0,SER_hh_tesh!Q33/SER_summary!Q$26)</f>
        <v>17.186341140299859</v>
      </c>
      <c r="R33" s="68">
        <f>IF(SER_hh_tesh!R33=0,0,SER_hh_tesh!R33/SER_summary!R$26)</f>
        <v>17.652909492008501</v>
      </c>
      <c r="S33" s="68">
        <f>IF(SER_hh_tesh!S33=0,0,SER_hh_tesh!S33/SER_summary!S$26)</f>
        <v>18.704408393114459</v>
      </c>
      <c r="T33" s="68">
        <f>IF(SER_hh_tesh!T33=0,0,SER_hh_tesh!T33/SER_summary!T$26)</f>
        <v>19.325742646697559</v>
      </c>
      <c r="U33" s="68">
        <f>IF(SER_hh_tesh!U33=0,0,SER_hh_tesh!U33/SER_summary!U$26)</f>
        <v>17.976192430182348</v>
      </c>
      <c r="V33" s="68">
        <f>IF(SER_hh_tesh!V33=0,0,SER_hh_tesh!V33/SER_summary!V$26)</f>
        <v>17.515335544006042</v>
      </c>
      <c r="W33" s="68">
        <f>IF(SER_hh_tesh!W33=0,0,SER_hh_tesh!W33/SER_summary!W$26)</f>
        <v>18.789952342121278</v>
      </c>
      <c r="X33" s="68">
        <f>IF(SER_hh_tesh!X33=0,0,SER_hh_tesh!X33/SER_summary!X$26)</f>
        <v>17.741133076120246</v>
      </c>
      <c r="Y33" s="68">
        <f>IF(SER_hh_tesh!Y33=0,0,SER_hh_tesh!Y33/SER_summary!Y$26)</f>
        <v>18.747714238246797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50.950961227052005</v>
      </c>
      <c r="C3" s="125">
        <f>IF(SER_hh_emih!C3=0,0,SER_hh_emih!C3/SER_summary!C$26)</f>
        <v>76.548508645576831</v>
      </c>
      <c r="D3" s="125">
        <f>IF(SER_hh_emih!D3=0,0,SER_hh_emih!D3/SER_summary!D$26)</f>
        <v>62.686141039726152</v>
      </c>
      <c r="E3" s="125">
        <f>IF(SER_hh_emih!E3=0,0,SER_hh_emih!E3/SER_summary!E$26)</f>
        <v>43.905567741318009</v>
      </c>
      <c r="F3" s="125">
        <f>IF(SER_hh_emih!F3=0,0,SER_hh_emih!F3/SER_summary!F$26)</f>
        <v>43.086191252894913</v>
      </c>
      <c r="G3" s="125">
        <f>IF(SER_hh_emih!G3=0,0,SER_hh_emih!G3/SER_summary!G$26)</f>
        <v>36.507687288767073</v>
      </c>
      <c r="H3" s="125">
        <f>IF(SER_hh_emih!H3=0,0,SER_hh_emih!H3/SER_summary!H$26)</f>
        <v>28.51297133977727</v>
      </c>
      <c r="I3" s="125">
        <f>IF(SER_hh_emih!I3=0,0,SER_hh_emih!I3/SER_summary!I$26)</f>
        <v>19.7631209308406</v>
      </c>
      <c r="J3" s="125">
        <f>IF(SER_hh_emih!J3=0,0,SER_hh_emih!J3/SER_summary!J$26)</f>
        <v>28.531577162045373</v>
      </c>
      <c r="K3" s="125">
        <f>IF(SER_hh_emih!K3=0,0,SER_hh_emih!K3/SER_summary!K$26)</f>
        <v>27.086202567807913</v>
      </c>
      <c r="L3" s="125">
        <f>IF(SER_hh_emih!L3=0,0,SER_hh_emih!L3/SER_summary!L$26)</f>
        <v>28.776759761711656</v>
      </c>
      <c r="M3" s="125">
        <f>IF(SER_hh_emih!M3=0,0,SER_hh_emih!M3/SER_summary!M$26)</f>
        <v>23.970066482550816</v>
      </c>
      <c r="N3" s="125">
        <f>IF(SER_hh_emih!N3=0,0,SER_hh_emih!N3/SER_summary!N$26)</f>
        <v>16.98130050183638</v>
      </c>
      <c r="O3" s="125">
        <f>IF(SER_hh_emih!O3=0,0,SER_hh_emih!O3/SER_summary!O$26)</f>
        <v>16.691552416475233</v>
      </c>
      <c r="P3" s="125">
        <f>IF(SER_hh_emih!P3=0,0,SER_hh_emih!P3/SER_summary!P$26)</f>
        <v>13.631986530041189</v>
      </c>
      <c r="Q3" s="125">
        <f>IF(SER_hh_emih!Q3=0,0,SER_hh_emih!Q3/SER_summary!Q$26)</f>
        <v>15.314889779753381</v>
      </c>
      <c r="R3" s="125">
        <f>IF(SER_hh_emih!R3=0,0,SER_hh_emih!R3/SER_summary!R$26)</f>
        <v>17.705657969391549</v>
      </c>
      <c r="S3" s="125">
        <f>IF(SER_hh_emih!S3=0,0,SER_hh_emih!S3/SER_summary!S$26)</f>
        <v>13.835789338520513</v>
      </c>
      <c r="T3" s="125">
        <f>IF(SER_hh_emih!T3=0,0,SER_hh_emih!T3/SER_summary!T$26)</f>
        <v>13.055775256882278</v>
      </c>
      <c r="U3" s="125">
        <f>IF(SER_hh_emih!U3=0,0,SER_hh_emih!U3/SER_summary!U$26)</f>
        <v>12.388079335696926</v>
      </c>
      <c r="V3" s="125">
        <f>IF(SER_hh_emih!V3=0,0,SER_hh_emih!V3/SER_summary!V$26)</f>
        <v>11.960907299323624</v>
      </c>
      <c r="W3" s="125">
        <f>IF(SER_hh_emih!W3=0,0,SER_hh_emih!W3/SER_summary!W$26)</f>
        <v>8.9675751388494849</v>
      </c>
      <c r="X3" s="125">
        <f>IF(SER_hh_emih!X3=0,0,SER_hh_emih!X3/SER_summary!X$26)</f>
        <v>11.988175394017109</v>
      </c>
      <c r="Y3" s="125">
        <f>IF(SER_hh_emih!Y3=0,0,SER_hh_emih!Y3/SER_summary!Y$26)</f>
        <v>13.826674299534231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41.958640015910071</v>
      </c>
      <c r="C4" s="130">
        <f>IF(SER_hh_emih!C4=0,0,SER_hh_emih!C4/SER_summary!C$26)</f>
        <v>67.179566916540608</v>
      </c>
      <c r="D4" s="130">
        <f>IF(SER_hh_emih!D4=0,0,SER_hh_emih!D4/SER_summary!D$26)</f>
        <v>55.391898871093723</v>
      </c>
      <c r="E4" s="130">
        <f>IF(SER_hh_emih!E4=0,0,SER_hh_emih!E4/SER_summary!E$26)</f>
        <v>37.338642204485517</v>
      </c>
      <c r="F4" s="130">
        <f>IF(SER_hh_emih!F4=0,0,SER_hh_emih!F4/SER_summary!F$26)</f>
        <v>36.570045392511815</v>
      </c>
      <c r="G4" s="130">
        <f>IF(SER_hh_emih!G4=0,0,SER_hh_emih!G4/SER_summary!G$26)</f>
        <v>30.543859591361315</v>
      </c>
      <c r="H4" s="130">
        <f>IF(SER_hh_emih!H4=0,0,SER_hh_emih!H4/SER_summary!H$26)</f>
        <v>23.243045516659762</v>
      </c>
      <c r="I4" s="130">
        <f>IF(SER_hh_emih!I4=0,0,SER_hh_emih!I4/SER_summary!I$26)</f>
        <v>13.364819639079005</v>
      </c>
      <c r="J4" s="130">
        <f>IF(SER_hh_emih!J4=0,0,SER_hh_emih!J4/SER_summary!J$26)</f>
        <v>23.350371189205674</v>
      </c>
      <c r="K4" s="130">
        <f>IF(SER_hh_emih!K4=0,0,SER_hh_emih!K4/SER_summary!K$26)</f>
        <v>21.668755347028988</v>
      </c>
      <c r="L4" s="130">
        <f>IF(SER_hh_emih!L4=0,0,SER_hh_emih!L4/SER_summary!L$26)</f>
        <v>22.998757397680826</v>
      </c>
      <c r="M4" s="130">
        <f>IF(SER_hh_emih!M4=0,0,SER_hh_emih!M4/SER_summary!M$26)</f>
        <v>19.891854909606675</v>
      </c>
      <c r="N4" s="130">
        <f>IF(SER_hh_emih!N4=0,0,SER_hh_emih!N4/SER_summary!N$26)</f>
        <v>12.452798009993025</v>
      </c>
      <c r="O4" s="130">
        <f>IF(SER_hh_emih!O4=0,0,SER_hh_emih!O4/SER_summary!O$26)</f>
        <v>12.772024348438137</v>
      </c>
      <c r="P4" s="130">
        <f>IF(SER_hh_emih!P4=0,0,SER_hh_emih!P4/SER_summary!P$26)</f>
        <v>9.7250080601779061</v>
      </c>
      <c r="Q4" s="130">
        <f>IF(SER_hh_emih!Q4=0,0,SER_hh_emih!Q4/SER_summary!Q$26)</f>
        <v>11.340065677183855</v>
      </c>
      <c r="R4" s="130">
        <f>IF(SER_hh_emih!R4=0,0,SER_hh_emih!R4/SER_summary!R$26)</f>
        <v>13.621530634185204</v>
      </c>
      <c r="S4" s="130">
        <f>IF(SER_hh_emih!S4=0,0,SER_hh_emih!S4/SER_summary!S$26)</f>
        <v>10.105824176025806</v>
      </c>
      <c r="T4" s="130">
        <f>IF(SER_hh_emih!T4=0,0,SER_hh_emih!T4/SER_summary!T$26)</f>
        <v>9.0332474263476694</v>
      </c>
      <c r="U4" s="130">
        <f>IF(SER_hh_emih!U4=0,0,SER_hh_emih!U4/SER_summary!U$26)</f>
        <v>7.979618362400263</v>
      </c>
      <c r="V4" s="130">
        <f>IF(SER_hh_emih!V4=0,0,SER_hh_emih!V4/SER_summary!V$26)</f>
        <v>8.1278630377406973</v>
      </c>
      <c r="W4" s="130">
        <f>IF(SER_hh_emih!W4=0,0,SER_hh_emih!W4/SER_summary!W$26)</f>
        <v>5.9446658111764892</v>
      </c>
      <c r="X4" s="130">
        <f>IF(SER_hh_emih!X4=0,0,SER_hh_emih!X4/SER_summary!X$26)</f>
        <v>8.6720375338610562</v>
      </c>
      <c r="Y4" s="130">
        <f>IF(SER_hh_emih!Y4=0,0,SER_hh_emih!Y4/SER_summary!Y$26)</f>
        <v>11.437619030216492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82.546395619431721</v>
      </c>
      <c r="C7" s="132">
        <f>IF(SER_hh_emih!C7=0,0,SER_hh_emih!C7/SER_summary!C$26)</f>
        <v>121.09666064100961</v>
      </c>
      <c r="D7" s="132">
        <f>IF(SER_hh_emih!D7=0,0,SER_hh_emih!D7/SER_summary!D$26)</f>
        <v>95.450962356327068</v>
      </c>
      <c r="E7" s="132">
        <f>IF(SER_hh_emih!E7=0,0,SER_hh_emih!E7/SER_summary!E$26)</f>
        <v>65.029476903784015</v>
      </c>
      <c r="F7" s="132">
        <f>IF(SER_hh_emih!F7=0,0,SER_hh_emih!F7/SER_summary!F$26)</f>
        <v>60.925865501481617</v>
      </c>
      <c r="G7" s="132">
        <f>IF(SER_hh_emih!G7=0,0,SER_hh_emih!G7/SER_summary!G$26)</f>
        <v>54.113202592826795</v>
      </c>
      <c r="H7" s="132">
        <f>IF(SER_hh_emih!H7=0,0,SER_hh_emih!H7/SER_summary!H$26)</f>
        <v>43.07109652556705</v>
      </c>
      <c r="I7" s="132">
        <f>IF(SER_hh_emih!I7=0,0,SER_hh_emih!I7/SER_summary!I$26)</f>
        <v>25.340868944861459</v>
      </c>
      <c r="J7" s="132">
        <f>IF(SER_hh_emih!J7=0,0,SER_hh_emih!J7/SER_summary!J$26)</f>
        <v>45.195189097441492</v>
      </c>
      <c r="K7" s="132">
        <f>IF(SER_hh_emih!K7=0,0,SER_hh_emih!K7/SER_summary!K$26)</f>
        <v>42.512150700620857</v>
      </c>
      <c r="L7" s="132">
        <f>IF(SER_hh_emih!L7=0,0,SER_hh_emih!L7/SER_summary!L$26)</f>
        <v>50.264372105424357</v>
      </c>
      <c r="M7" s="132">
        <f>IF(SER_hh_emih!M7=0,0,SER_hh_emih!M7/SER_summary!M$26)</f>
        <v>45.864344250951632</v>
      </c>
      <c r="N7" s="132">
        <f>IF(SER_hh_emih!N7=0,0,SER_hh_emih!N7/SER_summary!N$26)</f>
        <v>37.102961662259986</v>
      </c>
      <c r="O7" s="132">
        <f>IF(SER_hh_emih!O7=0,0,SER_hh_emih!O7/SER_summary!O$26)</f>
        <v>38.159486168513411</v>
      </c>
      <c r="P7" s="132">
        <f>IF(SER_hh_emih!P7=0,0,SER_hh_emih!P7/SER_summary!P$26)</f>
        <v>29.588598375291006</v>
      </c>
      <c r="Q7" s="132">
        <f>IF(SER_hh_emih!Q7=0,0,SER_hh_emih!Q7/SER_summary!Q$26)</f>
        <v>34.030397408784431</v>
      </c>
      <c r="R7" s="132">
        <f>IF(SER_hh_emih!R7=0,0,SER_hh_emih!R7/SER_summary!R$26)</f>
        <v>41.078365901673742</v>
      </c>
      <c r="S7" s="132">
        <f>IF(SER_hh_emih!S7=0,0,SER_hh_emih!S7/SER_summary!S$26)</f>
        <v>33.031346014254261</v>
      </c>
      <c r="T7" s="132">
        <f>IF(SER_hh_emih!T7=0,0,SER_hh_emih!T7/SER_summary!T$26)</f>
        <v>35.48652588077929</v>
      </c>
      <c r="U7" s="132">
        <f>IF(SER_hh_emih!U7=0,0,SER_hh_emih!U7/SER_summary!U$26)</f>
        <v>29.7787521791752</v>
      </c>
      <c r="V7" s="132">
        <f>IF(SER_hh_emih!V7=0,0,SER_hh_emih!V7/SER_summary!V$26)</f>
        <v>34.539730234911083</v>
      </c>
      <c r="W7" s="132">
        <f>IF(SER_hh_emih!W7=0,0,SER_hh_emih!W7/SER_summary!W$26)</f>
        <v>22.920850310601725</v>
      </c>
      <c r="X7" s="132">
        <f>IF(SER_hh_emih!X7=0,0,SER_hh_emih!X7/SER_summary!X$26)</f>
        <v>25.452959441496908</v>
      </c>
      <c r="Y7" s="132">
        <f>IF(SER_hh_emih!Y7=0,0,SER_hh_emih!Y7/SER_summary!Y$26)</f>
        <v>35.044623487804955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33.362884533879352</v>
      </c>
      <c r="C9" s="132">
        <f>IF(SER_hh_emih!C9=0,0,SER_hh_emih!C9/SER_summary!C$26)</f>
        <v>85.377153016176678</v>
      </c>
      <c r="D9" s="132">
        <f>IF(SER_hh_emih!D9=0,0,SER_hh_emih!D9/SER_summary!D$26)</f>
        <v>83.044314965250521</v>
      </c>
      <c r="E9" s="132">
        <f>IF(SER_hh_emih!E9=0,0,SER_hh_emih!E9/SER_summary!E$26)</f>
        <v>39.366422919548988</v>
      </c>
      <c r="F9" s="132">
        <f>IF(SER_hh_emih!F9=0,0,SER_hh_emih!F9/SER_summary!F$26)</f>
        <v>53.855259706681601</v>
      </c>
      <c r="G9" s="132">
        <f>IF(SER_hh_emih!G9=0,0,SER_hh_emih!G9/SER_summary!G$26)</f>
        <v>28.69301948624372</v>
      </c>
      <c r="H9" s="132">
        <f>IF(SER_hh_emih!H9=0,0,SER_hh_emih!H9/SER_summary!H$26)</f>
        <v>20.19521446891347</v>
      </c>
      <c r="I9" s="132">
        <f>IF(SER_hh_emih!I9=0,0,SER_hh_emih!I9/SER_summary!I$26)</f>
        <v>19.33664373907672</v>
      </c>
      <c r="J9" s="132">
        <f>IF(SER_hh_emih!J9=0,0,SER_hh_emih!J9/SER_summary!J$26)</f>
        <v>22.116985355262365</v>
      </c>
      <c r="K9" s="132">
        <f>IF(SER_hh_emih!K9=0,0,SER_hh_emih!K9/SER_summary!K$26)</f>
        <v>25.175069760911523</v>
      </c>
      <c r="L9" s="132">
        <f>IF(SER_hh_emih!L9=0,0,SER_hh_emih!L9/SER_summary!L$26)</f>
        <v>30.06834882298137</v>
      </c>
      <c r="M9" s="132">
        <f>IF(SER_hh_emih!M9=0,0,SER_hh_emih!M9/SER_summary!M$26)</f>
        <v>43.627806673176785</v>
      </c>
      <c r="N9" s="132">
        <f>IF(SER_hh_emih!N9=0,0,SER_hh_emih!N9/SER_summary!N$26)</f>
        <v>11.145974450582919</v>
      </c>
      <c r="O9" s="132">
        <f>IF(SER_hh_emih!O9=0,0,SER_hh_emih!O9/SER_summary!O$26)</f>
        <v>23.742298395182349</v>
      </c>
      <c r="P9" s="132">
        <f>IF(SER_hh_emih!P9=0,0,SER_hh_emih!P9/SER_summary!P$26)</f>
        <v>19.526781856874429</v>
      </c>
      <c r="Q9" s="132">
        <f>IF(SER_hh_emih!Q9=0,0,SER_hh_emih!Q9/SER_summary!Q$26)</f>
        <v>23.06774860481611</v>
      </c>
      <c r="R9" s="132">
        <f>IF(SER_hh_emih!R9=0,0,SER_hh_emih!R9/SER_summary!R$26)</f>
        <v>28.593630401741827</v>
      </c>
      <c r="S9" s="132">
        <f>IF(SER_hh_emih!S9=0,0,SER_hh_emih!S9/SER_summary!S$26)</f>
        <v>24.191272892523134</v>
      </c>
      <c r="T9" s="132">
        <f>IF(SER_hh_emih!T9=0,0,SER_hh_emih!T9/SER_summary!T$26)</f>
        <v>16.50084996384911</v>
      </c>
      <c r="U9" s="132">
        <f>IF(SER_hh_emih!U9=0,0,SER_hh_emih!U9/SER_summary!U$26)</f>
        <v>20.35480253707545</v>
      </c>
      <c r="V9" s="132">
        <f>IF(SER_hh_emih!V9=0,0,SER_hh_emih!V9/SER_summary!V$26)</f>
        <v>16.103817284151241</v>
      </c>
      <c r="W9" s="132">
        <f>IF(SER_hh_emih!W9=0,0,SER_hh_emih!W9/SER_summary!W$26)</f>
        <v>13.39985296030793</v>
      </c>
      <c r="X9" s="132">
        <f>IF(SER_hh_emih!X9=0,0,SER_hh_emih!X9/SER_summary!X$26)</f>
        <v>26.804338170036679</v>
      </c>
      <c r="Y9" s="132">
        <f>IF(SER_hh_emih!Y9=0,0,SER_hh_emih!Y9/SER_summary!Y$26)</f>
        <v>22.739500463726376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4.9914951028510792</v>
      </c>
      <c r="C19" s="130">
        <f>IF(SER_hh_emih!C19=0,0,SER_hh_emih!C19/SER_summary!C$26)</f>
        <v>4.764816095320108</v>
      </c>
      <c r="D19" s="130">
        <f>IF(SER_hh_emih!D19=0,0,SER_hh_emih!D19/SER_summary!D$26)</f>
        <v>4.6176352705785932</v>
      </c>
      <c r="E19" s="130">
        <f>IF(SER_hh_emih!E19=0,0,SER_hh_emih!E19/SER_summary!E$26)</f>
        <v>4.7707670145612315</v>
      </c>
      <c r="F19" s="130">
        <f>IF(SER_hh_emih!F19=0,0,SER_hh_emih!F19/SER_summary!F$26)</f>
        <v>4.6227447283201855</v>
      </c>
      <c r="G19" s="130">
        <f>IF(SER_hh_emih!G19=0,0,SER_hh_emih!G19/SER_summary!G$26)</f>
        <v>4.4642042183317212</v>
      </c>
      <c r="H19" s="130">
        <f>IF(SER_hh_emih!H19=0,0,SER_hh_emih!H19/SER_summary!H$26)</f>
        <v>4.3128920276576581</v>
      </c>
      <c r="I19" s="130">
        <f>IF(SER_hh_emih!I19=0,0,SER_hh_emih!I19/SER_summary!I$26)</f>
        <v>4.2269359175435008</v>
      </c>
      <c r="J19" s="130">
        <f>IF(SER_hh_emih!J19=0,0,SER_hh_emih!J19/SER_summary!J$26)</f>
        <v>3.8781917843804425</v>
      </c>
      <c r="K19" s="130">
        <f>IF(SER_hh_emih!K19=0,0,SER_hh_emih!K19/SER_summary!K$26)</f>
        <v>3.8121637733267648</v>
      </c>
      <c r="L19" s="130">
        <f>IF(SER_hh_emih!L19=0,0,SER_hh_emih!L19/SER_summary!L$26)</f>
        <v>3.7008557143828038</v>
      </c>
      <c r="M19" s="130">
        <f>IF(SER_hh_emih!M19=0,0,SER_hh_emih!M19/SER_summary!M$26)</f>
        <v>3.1033886448466834</v>
      </c>
      <c r="N19" s="130">
        <f>IF(SER_hh_emih!N19=0,0,SER_hh_emih!N19/SER_summary!N$26)</f>
        <v>2.8876049980411844</v>
      </c>
      <c r="O19" s="130">
        <f>IF(SER_hh_emih!O19=0,0,SER_hh_emih!O19/SER_summary!O$26)</f>
        <v>2.5119860928739524</v>
      </c>
      <c r="P19" s="130">
        <f>IF(SER_hh_emih!P19=0,0,SER_hh_emih!P19/SER_summary!P$26)</f>
        <v>2.2090710720537241</v>
      </c>
      <c r="Q19" s="130">
        <f>IF(SER_hh_emih!Q19=0,0,SER_hh_emih!Q19/SER_summary!Q$26)</f>
        <v>2.0400299592964504</v>
      </c>
      <c r="R19" s="130">
        <f>IF(SER_hh_emih!R19=0,0,SER_hh_emih!R19/SER_summary!R$26)</f>
        <v>2.1105187263881664</v>
      </c>
      <c r="S19" s="130">
        <f>IF(SER_hh_emih!S19=0,0,SER_hh_emih!S19/SER_summary!S$26)</f>
        <v>1.8376938358483401</v>
      </c>
      <c r="T19" s="130">
        <f>IF(SER_hh_emih!T19=0,0,SER_hh_emih!T19/SER_summary!T$26)</f>
        <v>2.1403962523170366</v>
      </c>
      <c r="U19" s="130">
        <f>IF(SER_hh_emih!U19=0,0,SER_hh_emih!U19/SER_summary!U$26)</f>
        <v>2.0959740920161218</v>
      </c>
      <c r="V19" s="130">
        <f>IF(SER_hh_emih!V19=0,0,SER_hh_emih!V19/SER_summary!V$26)</f>
        <v>1.9033252097470921</v>
      </c>
      <c r="W19" s="130">
        <f>IF(SER_hh_emih!W19=0,0,SER_hh_emih!W19/SER_summary!W$26)</f>
        <v>1.5754420622476182</v>
      </c>
      <c r="X19" s="130">
        <f>IF(SER_hh_emih!X19=0,0,SER_hh_emih!X19/SER_summary!X$26)</f>
        <v>1.6661434929375127</v>
      </c>
      <c r="Y19" s="130">
        <f>IF(SER_hh_emih!Y19=0,0,SER_hh_emih!Y19/SER_summary!Y$26)</f>
        <v>1.3229410930881256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6.18176760090304</v>
      </c>
      <c r="C21" s="132">
        <f>IF(SER_hh_emih!C21=0,0,SER_hh_emih!C21/SER_summary!C$26)</f>
        <v>5.3083414313048376</v>
      </c>
      <c r="D21" s="132">
        <f>IF(SER_hh_emih!D21=0,0,SER_hh_emih!D21/SER_summary!D$26)</f>
        <v>5.6697651347695182</v>
      </c>
      <c r="E21" s="132">
        <f>IF(SER_hh_emih!E21=0,0,SER_hh_emih!E21/SER_summary!E$26)</f>
        <v>5.5074381213013615</v>
      </c>
      <c r="F21" s="132">
        <f>IF(SER_hh_emih!F21=0,0,SER_hh_emih!F21/SER_summary!F$26)</f>
        <v>5.3613022717468422</v>
      </c>
      <c r="G21" s="132">
        <f>IF(SER_hh_emih!G21=0,0,SER_hh_emih!G21/SER_summary!G$26)</f>
        <v>5.2685242132047669</v>
      </c>
      <c r="H21" s="132">
        <f>IF(SER_hh_emih!H21=0,0,SER_hh_emih!H21/SER_summary!H$26)</f>
        <v>5.1766661644212189</v>
      </c>
      <c r="I21" s="132">
        <f>IF(SER_hh_emih!I21=0,0,SER_hh_emih!I21/SER_summary!I$26)</f>
        <v>5.1550971812584345</v>
      </c>
      <c r="J21" s="132">
        <f>IF(SER_hh_emih!J21=0,0,SER_hh_emih!J21/SER_summary!J$26)</f>
        <v>4.9959994853778635</v>
      </c>
      <c r="K21" s="132">
        <f>IF(SER_hh_emih!K21=0,0,SER_hh_emih!K21/SER_summary!K$26)</f>
        <v>5.0497763639451323</v>
      </c>
      <c r="L21" s="132">
        <f>IF(SER_hh_emih!L21=0,0,SER_hh_emih!L21/SER_summary!L$26)</f>
        <v>5.2453869263571242</v>
      </c>
      <c r="M21" s="132">
        <f>IF(SER_hh_emih!M21=0,0,SER_hh_emih!M21/SER_summary!M$26)</f>
        <v>4.9600983170090158</v>
      </c>
      <c r="N21" s="132">
        <f>IF(SER_hh_emih!N21=0,0,SER_hh_emih!N21/SER_summary!N$26)</f>
        <v>5.2202748392232881</v>
      </c>
      <c r="O21" s="132">
        <f>IF(SER_hh_emih!O21=0,0,SER_hh_emih!O21/SER_summary!O$26)</f>
        <v>5.1971656095726741</v>
      </c>
      <c r="P21" s="132">
        <f>IF(SER_hh_emih!P21=0,0,SER_hh_emih!P21/SER_summary!P$26)</f>
        <v>5.318832867251988</v>
      </c>
      <c r="Q21" s="132">
        <f>IF(SER_hh_emih!Q21=0,0,SER_hh_emih!Q21/SER_summary!Q$26)</f>
        <v>5.3274244214877937</v>
      </c>
      <c r="R21" s="132">
        <f>IF(SER_hh_emih!R21=0,0,SER_hh_emih!R21/SER_summary!R$26)</f>
        <v>4.0774019420944212</v>
      </c>
      <c r="S21" s="132">
        <f>IF(SER_hh_emih!S21=0,0,SER_hh_emih!S21/SER_summary!S$26)</f>
        <v>4.5455296645421974</v>
      </c>
      <c r="T21" s="132">
        <f>IF(SER_hh_emih!T21=0,0,SER_hh_emih!T21/SER_summary!T$26)</f>
        <v>5.9475325966641295</v>
      </c>
      <c r="U21" s="132">
        <f>IF(SER_hh_emih!U21=0,0,SER_hh_emih!U21/SER_summary!U$26)</f>
        <v>6.8124574209373554</v>
      </c>
      <c r="V21" s="132">
        <f>IF(SER_hh_emih!V21=0,0,SER_hh_emih!V21/SER_summary!V$26)</f>
        <v>5.3617961333354405</v>
      </c>
      <c r="W21" s="132">
        <f>IF(SER_hh_emih!W21=0,0,SER_hh_emih!W21/SER_summary!W$26)</f>
        <v>4.0257905520220234</v>
      </c>
      <c r="X21" s="132">
        <f>IF(SER_hh_emih!X21=0,0,SER_hh_emih!X21/SER_summary!X$26)</f>
        <v>5.6704126081555435</v>
      </c>
      <c r="Y21" s="132">
        <f>IF(SER_hh_emih!Y21=0,0,SER_hh_emih!Y21/SER_summary!Y$26)</f>
        <v>3.6412276055396906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6.8583983966242066</v>
      </c>
      <c r="C22" s="132">
        <f>IF(SER_hh_emih!C22=0,0,SER_hh_emih!C22/SER_summary!C$26)</f>
        <v>7.3105528732477572</v>
      </c>
      <c r="D22" s="132">
        <f>IF(SER_hh_emih!D22=0,0,SER_hh_emih!D22/SER_summary!D$26)</f>
        <v>6.4840784881513001</v>
      </c>
      <c r="E22" s="132">
        <f>IF(SER_hh_emih!E22=0,0,SER_hh_emih!E22/SER_summary!E$26)</f>
        <v>6.9664864281171086</v>
      </c>
      <c r="F22" s="132">
        <f>IF(SER_hh_emih!F22=0,0,SER_hh_emih!F22/SER_summary!F$26)</f>
        <v>6.7189510099822405</v>
      </c>
      <c r="G22" s="132">
        <f>IF(SER_hh_emih!G22=0,0,SER_hh_emih!G22/SER_summary!G$26)</f>
        <v>6.5483014770576986</v>
      </c>
      <c r="H22" s="132">
        <f>IF(SER_hh_emih!H22=0,0,SER_hh_emih!H22/SER_summary!H$26)</f>
        <v>6.4157858253134838</v>
      </c>
      <c r="I22" s="132">
        <f>IF(SER_hh_emih!I22=0,0,SER_hh_emih!I22/SER_summary!I$26)</f>
        <v>6.3688114064226546</v>
      </c>
      <c r="J22" s="132">
        <f>IF(SER_hh_emih!J22=0,0,SER_hh_emih!J22/SER_summary!J$26)</f>
        <v>6.0583494272764202</v>
      </c>
      <c r="K22" s="132">
        <f>IF(SER_hh_emih!K22=0,0,SER_hh_emih!K22/SER_summary!K$26)</f>
        <v>6.3231034689297463</v>
      </c>
      <c r="L22" s="132">
        <f>IF(SER_hh_emih!L22=0,0,SER_hh_emih!L22/SER_summary!L$26)</f>
        <v>6.6513088473167894</v>
      </c>
      <c r="M22" s="132">
        <f>IF(SER_hh_emih!M22=0,0,SER_hh_emih!M22/SER_summary!M$26)</f>
        <v>6.214923866122227</v>
      </c>
      <c r="N22" s="132">
        <f>IF(SER_hh_emih!N22=0,0,SER_hh_emih!N22/SER_summary!N$26)</f>
        <v>6.5370201536570987</v>
      </c>
      <c r="O22" s="132">
        <f>IF(SER_hh_emih!O22=0,0,SER_hh_emih!O22/SER_summary!O$26)</f>
        <v>6.4564747308404318</v>
      </c>
      <c r="P22" s="132">
        <f>IF(SER_hh_emih!P22=0,0,SER_hh_emih!P22/SER_summary!P$26)</f>
        <v>6.3111116251333472</v>
      </c>
      <c r="Q22" s="132">
        <f>IF(SER_hh_emih!Q22=0,0,SER_hh_emih!Q22/SER_summary!Q$26)</f>
        <v>6.3100664116166918</v>
      </c>
      <c r="R22" s="132">
        <f>IF(SER_hh_emih!R22=0,0,SER_hh_emih!R22/SER_summary!R$26)</f>
        <v>7.594052139790926</v>
      </c>
      <c r="S22" s="132">
        <f>IF(SER_hh_emih!S22=0,0,SER_hh_emih!S22/SER_summary!S$26)</f>
        <v>6.2003815117883567</v>
      </c>
      <c r="T22" s="132">
        <f>IF(SER_hh_emih!T22=0,0,SER_hh_emih!T22/SER_summary!T$26)</f>
        <v>6.9451453623440607</v>
      </c>
      <c r="U22" s="132">
        <f>IF(SER_hh_emih!U22=0,0,SER_hh_emih!U22/SER_summary!U$26)</f>
        <v>5.7778696905445717</v>
      </c>
      <c r="V22" s="132">
        <f>IF(SER_hh_emih!V22=0,0,SER_hh_emih!V22/SER_summary!V$26)</f>
        <v>6.0908809452391868</v>
      </c>
      <c r="W22" s="132">
        <f>IF(SER_hh_emih!W22=0,0,SER_hh_emih!W22/SER_summary!W$26)</f>
        <v>5.636826084701295</v>
      </c>
      <c r="X22" s="132">
        <f>IF(SER_hh_emih!X22=0,0,SER_hh_emih!X22/SER_summary!X$26)</f>
        <v>5.4419126790435381</v>
      </c>
      <c r="Y22" s="132">
        <f>IF(SER_hh_emih!Y22=0,0,SER_hh_emih!Y22/SER_summary!Y$26)</f>
        <v>5.4974680920000409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5.0530966304008391</v>
      </c>
      <c r="C23" s="132">
        <f>IF(SER_hh_emih!C23=0,0,SER_hh_emih!C23/SER_summary!C$26)</f>
        <v>5.1427405688919094</v>
      </c>
      <c r="D23" s="132">
        <f>IF(SER_hh_emih!D23=0,0,SER_hh_emih!D23/SER_summary!D$26)</f>
        <v>4.910940561829011</v>
      </c>
      <c r="E23" s="132">
        <f>IF(SER_hh_emih!E23=0,0,SER_hh_emih!E23/SER_summary!E$26)</f>
        <v>4.7530775222664019</v>
      </c>
      <c r="F23" s="132">
        <f>IF(SER_hh_emih!F23=0,0,SER_hh_emih!F23/SER_summary!F$26)</f>
        <v>4.689276328183519</v>
      </c>
      <c r="G23" s="132">
        <f>IF(SER_hh_emih!G23=0,0,SER_hh_emih!G23/SER_summary!G$26)</f>
        <v>4.4407747402610411</v>
      </c>
      <c r="H23" s="132">
        <f>IF(SER_hh_emih!H23=0,0,SER_hh_emih!H23/SER_summary!H$26)</f>
        <v>4.0541523646019986</v>
      </c>
      <c r="I23" s="132">
        <f>IF(SER_hh_emih!I23=0,0,SER_hh_emih!I23/SER_summary!I$26)</f>
        <v>3.6705611630987218</v>
      </c>
      <c r="J23" s="132">
        <f>IF(SER_hh_emih!J23=0,0,SER_hh_emih!J23/SER_summary!J$26)</f>
        <v>3.3222157238027901</v>
      </c>
      <c r="K23" s="132">
        <f>IF(SER_hh_emih!K23=0,0,SER_hh_emih!K23/SER_summary!K$26)</f>
        <v>4.226105104987715</v>
      </c>
      <c r="L23" s="132">
        <f>IF(SER_hh_emih!L23=0,0,SER_hh_emih!L23/SER_summary!L$26)</f>
        <v>4.1356179474759163</v>
      </c>
      <c r="M23" s="132">
        <f>IF(SER_hh_emih!M23=0,0,SER_hh_emih!M23/SER_summary!M$26)</f>
        <v>4.0686283659627236</v>
      </c>
      <c r="N23" s="132">
        <f>IF(SER_hh_emih!N23=0,0,SER_hh_emih!N23/SER_summary!N$26)</f>
        <v>3.7274496198595655</v>
      </c>
      <c r="O23" s="132">
        <f>IF(SER_hh_emih!O23=0,0,SER_hh_emih!O23/SER_summary!O$26)</f>
        <v>4.1166702888318536</v>
      </c>
      <c r="P23" s="132">
        <f>IF(SER_hh_emih!P23=0,0,SER_hh_emih!P23/SER_summary!P$26)</f>
        <v>4.213665747542815</v>
      </c>
      <c r="Q23" s="132">
        <f>IF(SER_hh_emih!Q23=0,0,SER_hh_emih!Q23/SER_summary!Q$26)</f>
        <v>4.1361026533904299</v>
      </c>
      <c r="R23" s="132">
        <f>IF(SER_hh_emih!R23=0,0,SER_hh_emih!R23/SER_summary!R$26)</f>
        <v>5.420234814329369</v>
      </c>
      <c r="S23" s="132">
        <f>IF(SER_hh_emih!S23=0,0,SER_hh_emih!S23/SER_summary!S$26)</f>
        <v>4.7693361429979451</v>
      </c>
      <c r="T23" s="132">
        <f>IF(SER_hh_emih!T23=0,0,SER_hh_emih!T23/SER_summary!T$26)</f>
        <v>3.3316223107569294</v>
      </c>
      <c r="U23" s="132">
        <f>IF(SER_hh_emih!U23=0,0,SER_hh_emih!U23/SER_summary!U$26)</f>
        <v>4.5083587157958469</v>
      </c>
      <c r="V23" s="132">
        <f>IF(SER_hh_emih!V23=0,0,SER_hh_emih!V23/SER_summary!V$26)</f>
        <v>3.7660564224499287</v>
      </c>
      <c r="W23" s="132">
        <f>IF(SER_hh_emih!W23=0,0,SER_hh_emih!W23/SER_summary!W$26)</f>
        <v>3.2357848224023238</v>
      </c>
      <c r="X23" s="132">
        <f>IF(SER_hh_emih!X23=0,0,SER_hh_emih!X23/SER_summary!X$26)</f>
        <v>4.6394524580144072</v>
      </c>
      <c r="Y23" s="132">
        <f>IF(SER_hh_emih!Y23=0,0,SER_hh_emih!Y23/SER_summary!Y$26)</f>
        <v>3.9704992581215279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4.0008261082908563</v>
      </c>
      <c r="C29" s="130">
        <f>IF(SER_hh_emih!C29=0,0,SER_hh_emih!C29/SER_summary!C$26)</f>
        <v>4.6041256337161132</v>
      </c>
      <c r="D29" s="130">
        <f>IF(SER_hh_emih!D29=0,0,SER_hh_emih!D29/SER_summary!D$26)</f>
        <v>2.6766068980538367</v>
      </c>
      <c r="E29" s="130">
        <f>IF(SER_hh_emih!E29=0,0,SER_hh_emih!E29/SER_summary!E$26)</f>
        <v>1.7961585222712744</v>
      </c>
      <c r="F29" s="130">
        <f>IF(SER_hh_emih!F29=0,0,SER_hh_emih!F29/SER_summary!F$26)</f>
        <v>1.8934011320629185</v>
      </c>
      <c r="G29" s="130">
        <f>IF(SER_hh_emih!G29=0,0,SER_hh_emih!G29/SER_summary!G$26)</f>
        <v>1.4996234790740419</v>
      </c>
      <c r="H29" s="130">
        <f>IF(SER_hh_emih!H29=0,0,SER_hh_emih!H29/SER_summary!H$26)</f>
        <v>0.95703379545984679</v>
      </c>
      <c r="I29" s="130">
        <f>IF(SER_hh_emih!I29=0,0,SER_hh_emih!I29/SER_summary!I$26)</f>
        <v>2.1713653742180905</v>
      </c>
      <c r="J29" s="130">
        <f>IF(SER_hh_emih!J29=0,0,SER_hh_emih!J29/SER_summary!J$26)</f>
        <v>1.303014188459257</v>
      </c>
      <c r="K29" s="130">
        <f>IF(SER_hh_emih!K29=0,0,SER_hh_emih!K29/SER_summary!K$26)</f>
        <v>1.6052834474521649</v>
      </c>
      <c r="L29" s="130">
        <f>IF(SER_hh_emih!L29=0,0,SER_hh_emih!L29/SER_summary!L$26)</f>
        <v>2.0771466496480304</v>
      </c>
      <c r="M29" s="130">
        <f>IF(SER_hh_emih!M29=0,0,SER_hh_emih!M29/SER_summary!M$26)</f>
        <v>0.97482292809745963</v>
      </c>
      <c r="N29" s="130">
        <f>IF(SER_hh_emih!N29=0,0,SER_hh_emih!N29/SER_summary!N$26)</f>
        <v>1.6408974938021681</v>
      </c>
      <c r="O29" s="130">
        <f>IF(SER_hh_emih!O29=0,0,SER_hh_emih!O29/SER_summary!O$26)</f>
        <v>1.4075419751631384</v>
      </c>
      <c r="P29" s="130">
        <f>IF(SER_hh_emih!P29=0,0,SER_hh_emih!P29/SER_summary!P$26)</f>
        <v>1.6979073978095598</v>
      </c>
      <c r="Q29" s="130">
        <f>IF(SER_hh_emih!Q29=0,0,SER_hh_emih!Q29/SER_summary!Q$26)</f>
        <v>1.9347941432730746</v>
      </c>
      <c r="R29" s="130">
        <f>IF(SER_hh_emih!R29=0,0,SER_hh_emih!R29/SER_summary!R$26)</f>
        <v>1.9736086088181775</v>
      </c>
      <c r="S29" s="130">
        <f>IF(SER_hh_emih!S29=0,0,SER_hh_emih!S29/SER_summary!S$26)</f>
        <v>1.8922713266463667</v>
      </c>
      <c r="T29" s="130">
        <f>IF(SER_hh_emih!T29=0,0,SER_hh_emih!T29/SER_summary!T$26)</f>
        <v>1.8821315782175738</v>
      </c>
      <c r="U29" s="130">
        <f>IF(SER_hh_emih!U29=0,0,SER_hh_emih!U29/SER_summary!U$26)</f>
        <v>2.3124868812805439</v>
      </c>
      <c r="V29" s="130">
        <f>IF(SER_hh_emih!V29=0,0,SER_hh_emih!V29/SER_summary!V$26)</f>
        <v>1.9297190518358396</v>
      </c>
      <c r="W29" s="130">
        <f>IF(SER_hh_emih!W29=0,0,SER_hh_emih!W29/SER_summary!W$26)</f>
        <v>1.4474672654253784</v>
      </c>
      <c r="X29" s="130">
        <f>IF(SER_hh_emih!X29=0,0,SER_hh_emih!X29/SER_summary!X$26)</f>
        <v>1.6499943672185433</v>
      </c>
      <c r="Y29" s="130">
        <f>IF(SER_hh_emih!Y29=0,0,SER_hh_emih!Y29/SER_summary!Y$26)</f>
        <v>1.0661141762296165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6.8862739206777741</v>
      </c>
      <c r="C30" s="132">
        <f>IF(SER_hh_emih!C30=0,0,SER_hh_emih!C30/SER_summary!C$26)</f>
        <v>7.6467610532561414</v>
      </c>
      <c r="D30" s="132">
        <f>IF(SER_hh_emih!D30=0,0,SER_hh_emih!D30/SER_summary!D$26)</f>
        <v>5.3643264888969524</v>
      </c>
      <c r="E30" s="132">
        <f>IF(SER_hh_emih!E30=0,0,SER_hh_emih!E30/SER_summary!E$26)</f>
        <v>4.4632345712248043</v>
      </c>
      <c r="F30" s="132">
        <f>IF(SER_hh_emih!F30=0,0,SER_hh_emih!F30/SER_summary!F$26)</f>
        <v>6.6192499681440156</v>
      </c>
      <c r="G30" s="132">
        <f>IF(SER_hh_emih!G30=0,0,SER_hh_emih!G30/SER_summary!G$26)</f>
        <v>5.6663472728355195</v>
      </c>
      <c r="H30" s="132">
        <f>IF(SER_hh_emih!H30=0,0,SER_hh_emih!H30/SER_summary!H$26)</f>
        <v>3.8599330928762021</v>
      </c>
      <c r="I30" s="132">
        <f>IF(SER_hh_emih!I30=0,0,SER_hh_emih!I30/SER_summary!I$26)</f>
        <v>8.1844628564347737</v>
      </c>
      <c r="J30" s="132">
        <f>IF(SER_hh_emih!J30=0,0,SER_hh_emih!J30/SER_summary!J$26)</f>
        <v>4.9744541417732755</v>
      </c>
      <c r="K30" s="132">
        <f>IF(SER_hh_emih!K30=0,0,SER_hh_emih!K30/SER_summary!K$26)</f>
        <v>5.5220711153560043</v>
      </c>
      <c r="L30" s="132">
        <f>IF(SER_hh_emih!L30=0,0,SER_hh_emih!L30/SER_summary!L$26)</f>
        <v>7.5117645206403836</v>
      </c>
      <c r="M30" s="132">
        <f>IF(SER_hh_emih!M30=0,0,SER_hh_emih!M30/SER_summary!M$26)</f>
        <v>3.6020175642449703</v>
      </c>
      <c r="N30" s="132">
        <f>IF(SER_hh_emih!N30=0,0,SER_hh_emih!N30/SER_summary!N$26)</f>
        <v>7.0337187487385489</v>
      </c>
      <c r="O30" s="132">
        <f>IF(SER_hh_emih!O30=0,0,SER_hh_emih!O30/SER_summary!O$26)</f>
        <v>5.737981357014311</v>
      </c>
      <c r="P30" s="132">
        <f>IF(SER_hh_emih!P30=0,0,SER_hh_emih!P30/SER_summary!P$26)</f>
        <v>6.0532757821024887</v>
      </c>
      <c r="Q30" s="132">
        <f>IF(SER_hh_emih!Q30=0,0,SER_hh_emih!Q30/SER_summary!Q$26)</f>
        <v>6.9996176367660681</v>
      </c>
      <c r="R30" s="132">
        <f>IF(SER_hh_emih!R30=0,0,SER_hh_emih!R30/SER_summary!R$26)</f>
        <v>6.0157987270259232</v>
      </c>
      <c r="S30" s="132">
        <f>IF(SER_hh_emih!S30=0,0,SER_hh_emih!S30/SER_summary!S$26)</f>
        <v>6.2931191443122971</v>
      </c>
      <c r="T30" s="132">
        <f>IF(SER_hh_emih!T30=0,0,SER_hh_emih!T30/SER_summary!T$26)</f>
        <v>7.0562862491965017</v>
      </c>
      <c r="U30" s="132">
        <f>IF(SER_hh_emih!U30=0,0,SER_hh_emih!U30/SER_summary!U$26)</f>
        <v>8.2116413295521227</v>
      </c>
      <c r="V30" s="132">
        <f>IF(SER_hh_emih!V30=0,0,SER_hh_emih!V30/SER_summary!V$26)</f>
        <v>7.0663937155515963</v>
      </c>
      <c r="W30" s="132">
        <f>IF(SER_hh_emih!W30=0,0,SER_hh_emih!W30/SER_summary!W$26)</f>
        <v>5.9859866050245065</v>
      </c>
      <c r="X30" s="132">
        <f>IF(SER_hh_emih!X30=0,0,SER_hh_emih!X30/SER_summary!X$26)</f>
        <v>7.7905244722807474</v>
      </c>
      <c r="Y30" s="132">
        <f>IF(SER_hh_emih!Y30=0,0,SER_hh_emih!Y30/SER_summary!Y$26)</f>
        <v>5.3399461246385922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0.7585512890472097</v>
      </c>
      <c r="C31" s="132">
        <f>IF(SER_hh_emih!C31=0,0,SER_hh_emih!C31/SER_summary!C$26)</f>
        <v>7.460485505406707</v>
      </c>
      <c r="D31" s="132">
        <f>IF(SER_hh_emih!D31=0,0,SER_hh_emih!D31/SER_summary!D$26)</f>
        <v>6.8044489834027306</v>
      </c>
      <c r="E31" s="132">
        <f>IF(SER_hh_emih!E31=0,0,SER_hh_emih!E31/SER_summary!E$26)</f>
        <v>5.5819880678129223</v>
      </c>
      <c r="F31" s="132">
        <f>IF(SER_hh_emih!F31=0,0,SER_hh_emih!F31/SER_summary!F$26)</f>
        <v>6.0131561010525498</v>
      </c>
      <c r="G31" s="132">
        <f>IF(SER_hh_emih!G31=0,0,SER_hh_emih!G31/SER_summary!G$26)</f>
        <v>5.2421503149718891</v>
      </c>
      <c r="H31" s="132">
        <f>IF(SER_hh_emih!H31=0,0,SER_hh_emih!H31/SER_summary!H$26)</f>
        <v>3.5714839622238879</v>
      </c>
      <c r="I31" s="132">
        <f>IF(SER_hh_emih!I31=0,0,SER_hh_emih!I31/SER_summary!I$26)</f>
        <v>3.510312347054596</v>
      </c>
      <c r="J31" s="132">
        <f>IF(SER_hh_emih!J31=0,0,SER_hh_emih!J31/SER_summary!J$26)</f>
        <v>1.7941222831975885</v>
      </c>
      <c r="K31" s="132">
        <f>IF(SER_hh_emih!K31=0,0,SER_hh_emih!K31/SER_summary!K$26)</f>
        <v>5.3440018417199351</v>
      </c>
      <c r="L31" s="132">
        <f>IF(SER_hh_emih!L31=0,0,SER_hh_emih!L31/SER_summary!L$26)</f>
        <v>4.8599407600190538</v>
      </c>
      <c r="M31" s="132">
        <f>IF(SER_hh_emih!M31=0,0,SER_hh_emih!M31/SER_summary!M$26)</f>
        <v>4.8030290482258069</v>
      </c>
      <c r="N31" s="132">
        <f>IF(SER_hh_emih!N31=0,0,SER_hh_emih!N31/SER_summary!N$26)</f>
        <v>3.6499219133388756</v>
      </c>
      <c r="O31" s="132">
        <f>IF(SER_hh_emih!O31=0,0,SER_hh_emih!O31/SER_summary!O$26)</f>
        <v>4.5803154502399046</v>
      </c>
      <c r="P31" s="132">
        <f>IF(SER_hh_emih!P31=0,0,SER_hh_emih!P31/SER_summary!P$26)</f>
        <v>5.6608100721441019</v>
      </c>
      <c r="Q31" s="132">
        <f>IF(SER_hh_emih!Q31=0,0,SER_hh_emih!Q31/SER_summary!Q$26)</f>
        <v>5.72242487408157</v>
      </c>
      <c r="R31" s="132">
        <f>IF(SER_hh_emih!R31=0,0,SER_hh_emih!R31/SER_summary!R$26)</f>
        <v>7.4781928351139131</v>
      </c>
      <c r="S31" s="132">
        <f>IF(SER_hh_emih!S31=0,0,SER_hh_emih!S31/SER_summary!S$26)</f>
        <v>6.345614324645279</v>
      </c>
      <c r="T31" s="132">
        <f>IF(SER_hh_emih!T31=0,0,SER_hh_emih!T31/SER_summary!T$26)</f>
        <v>4.4223307322504173</v>
      </c>
      <c r="U31" s="132">
        <f>IF(SER_hh_emih!U31=0,0,SER_hh_emih!U31/SER_summary!U$26)</f>
        <v>6.0633155845370306</v>
      </c>
      <c r="V31" s="132">
        <f>IF(SER_hh_emih!V31=0,0,SER_hh_emih!V31/SER_summary!V$26)</f>
        <v>5.4174778278715996</v>
      </c>
      <c r="W31" s="132">
        <f>IF(SER_hh_emih!W31=0,0,SER_hh_emih!W31/SER_summary!W$26)</f>
        <v>4.8958159696110979</v>
      </c>
      <c r="X31" s="132">
        <f>IF(SER_hh_emih!X31=0,0,SER_hh_emih!X31/SER_summary!X$26)</f>
        <v>5.9413011625540619</v>
      </c>
      <c r="Y31" s="132">
        <f>IF(SER_hh_emih!Y31=0,0,SER_hh_emih!Y31/SER_summary!Y$26)</f>
        <v>5.6123876121930687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619.94665304692239</v>
      </c>
      <c r="D3" s="124">
        <f t="shared" si="0"/>
        <v>857.49950552465157</v>
      </c>
      <c r="E3" s="124">
        <f t="shared" si="0"/>
        <v>636.76432545866078</v>
      </c>
      <c r="F3" s="124">
        <f t="shared" si="0"/>
        <v>944.07864673157462</v>
      </c>
      <c r="G3" s="124">
        <f t="shared" si="0"/>
        <v>845.99126331301738</v>
      </c>
      <c r="H3" s="124">
        <f t="shared" si="0"/>
        <v>1321.575737226653</v>
      </c>
      <c r="I3" s="124">
        <f t="shared" si="0"/>
        <v>1650.4262877466413</v>
      </c>
      <c r="J3" s="124">
        <f t="shared" si="0"/>
        <v>963.10713406017317</v>
      </c>
      <c r="K3" s="124">
        <f t="shared" si="0"/>
        <v>371.84725346228129</v>
      </c>
      <c r="L3" s="124">
        <f t="shared" si="0"/>
        <v>398.85176123454693</v>
      </c>
      <c r="M3" s="124">
        <f t="shared" si="0"/>
        <v>277.77566574564048</v>
      </c>
      <c r="N3" s="124">
        <f t="shared" si="0"/>
        <v>178.753562151003</v>
      </c>
      <c r="O3" s="124">
        <f t="shared" si="0"/>
        <v>217.97393221624458</v>
      </c>
      <c r="P3" s="124">
        <f t="shared" si="0"/>
        <v>480.19949281367673</v>
      </c>
      <c r="Q3" s="124">
        <f t="shared" si="0"/>
        <v>363.77478232392235</v>
      </c>
      <c r="R3" s="124">
        <f t="shared" si="0"/>
        <v>466.85409507843508</v>
      </c>
      <c r="S3" s="124">
        <f t="shared" si="0"/>
        <v>595.48470093377045</v>
      </c>
      <c r="T3" s="124">
        <f t="shared" si="0"/>
        <v>606.96061817753855</v>
      </c>
      <c r="U3" s="124">
        <f t="shared" si="0"/>
        <v>533.54285792937912</v>
      </c>
      <c r="V3" s="124">
        <f t="shared" si="0"/>
        <v>484.34049061068629</v>
      </c>
      <c r="W3" s="124">
        <f t="shared" si="0"/>
        <v>457.43286362058893</v>
      </c>
      <c r="X3" s="124">
        <f t="shared" si="0"/>
        <v>435.78386177195819</v>
      </c>
      <c r="Y3" s="124">
        <f t="shared" si="0"/>
        <v>416.47638744011675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619.94665304692239</v>
      </c>
      <c r="D4" s="139">
        <f t="shared" si="1"/>
        <v>857.49950552465157</v>
      </c>
      <c r="E4" s="139">
        <f t="shared" si="1"/>
        <v>636.76432545866078</v>
      </c>
      <c r="F4" s="139">
        <f t="shared" si="1"/>
        <v>944.07864673157462</v>
      </c>
      <c r="G4" s="139">
        <f t="shared" si="1"/>
        <v>845.99126331301738</v>
      </c>
      <c r="H4" s="139">
        <f t="shared" si="1"/>
        <v>1321.575737226653</v>
      </c>
      <c r="I4" s="139">
        <f t="shared" si="1"/>
        <v>1650.4262877466413</v>
      </c>
      <c r="J4" s="139">
        <f t="shared" si="1"/>
        <v>963.10713406017317</v>
      </c>
      <c r="K4" s="139">
        <f t="shared" si="1"/>
        <v>371.84725346228129</v>
      </c>
      <c r="L4" s="139">
        <f t="shared" si="1"/>
        <v>398.85176123454693</v>
      </c>
      <c r="M4" s="139">
        <f t="shared" si="1"/>
        <v>277.77566574564048</v>
      </c>
      <c r="N4" s="139">
        <f t="shared" si="1"/>
        <v>178.753562151003</v>
      </c>
      <c r="O4" s="139">
        <f t="shared" si="1"/>
        <v>217.97393221624458</v>
      </c>
      <c r="P4" s="139">
        <f t="shared" si="1"/>
        <v>480.19949281367673</v>
      </c>
      <c r="Q4" s="139">
        <f t="shared" si="1"/>
        <v>363.77478232392235</v>
      </c>
      <c r="R4" s="139">
        <f t="shared" ref="R4:W4" si="2">SUM(R5:R14)</f>
        <v>466.85409507843508</v>
      </c>
      <c r="S4" s="139">
        <f t="shared" si="2"/>
        <v>595.48470093377045</v>
      </c>
      <c r="T4" s="139">
        <f t="shared" si="2"/>
        <v>606.96061817753855</v>
      </c>
      <c r="U4" s="139">
        <f t="shared" si="2"/>
        <v>533.54285792937912</v>
      </c>
      <c r="V4" s="139">
        <f t="shared" si="2"/>
        <v>484.34049061068629</v>
      </c>
      <c r="W4" s="139">
        <f t="shared" si="2"/>
        <v>457.43286362058893</v>
      </c>
      <c r="X4" s="139">
        <f t="shared" ref="X4:Y4" si="3">SUM(X5:X14)</f>
        <v>435.78386177195819</v>
      </c>
      <c r="Y4" s="139">
        <f t="shared" si="3"/>
        <v>416.47638744011675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253.62823276251135</v>
      </c>
      <c r="D7" s="140">
        <v>372.34682275042218</v>
      </c>
      <c r="E7" s="140">
        <v>462.13394383526395</v>
      </c>
      <c r="F7" s="140">
        <v>567.18106718058596</v>
      </c>
      <c r="G7" s="140">
        <v>486.80225373523092</v>
      </c>
      <c r="H7" s="140">
        <v>483.48177954477478</v>
      </c>
      <c r="I7" s="140">
        <v>536.94208087651316</v>
      </c>
      <c r="J7" s="140">
        <v>517.36134691127506</v>
      </c>
      <c r="K7" s="140">
        <v>106.4892799051733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92.93190748513301</v>
      </c>
      <c r="S7" s="140">
        <v>95.318765997494509</v>
      </c>
      <c r="T7" s="140">
        <v>184.97033936071708</v>
      </c>
      <c r="U7" s="140">
        <v>172.40766676955622</v>
      </c>
      <c r="V7" s="140">
        <v>113.16553009973333</v>
      </c>
      <c r="W7" s="140">
        <v>151.41281695975889</v>
      </c>
      <c r="X7" s="140">
        <v>130.01638610570669</v>
      </c>
      <c r="Y7" s="140">
        <v>103.30559464111946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231.69376857729199</v>
      </c>
      <c r="D9" s="140">
        <v>167.91076765358011</v>
      </c>
      <c r="E9" s="140">
        <v>37.04541543320753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55.160899828049665</v>
      </c>
      <c r="L9" s="140">
        <v>48.22162549851808</v>
      </c>
      <c r="M9" s="140">
        <v>51.440412201621939</v>
      </c>
      <c r="N9" s="140">
        <v>5.963167735124947</v>
      </c>
      <c r="O9" s="140">
        <v>79.178808501718919</v>
      </c>
      <c r="P9" s="140">
        <v>256.41963632144279</v>
      </c>
      <c r="Q9" s="140">
        <v>229.26234400688702</v>
      </c>
      <c r="R9" s="140">
        <v>104.35064919333863</v>
      </c>
      <c r="S9" s="140">
        <v>0</v>
      </c>
      <c r="T9" s="140">
        <v>0</v>
      </c>
      <c r="U9" s="140">
        <v>0</v>
      </c>
      <c r="V9" s="140">
        <v>0</v>
      </c>
      <c r="W9" s="140">
        <v>84.955257452773694</v>
      </c>
      <c r="X9" s="140">
        <v>91.517807801837705</v>
      </c>
      <c r="Y9" s="140">
        <v>148.85304447602334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0.35885257132509824</v>
      </c>
      <c r="D10" s="140">
        <v>0</v>
      </c>
      <c r="E10" s="140">
        <v>9.9135825921047555E-2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23.583089062245449</v>
      </c>
      <c r="W10" s="140">
        <v>0</v>
      </c>
      <c r="X10" s="140">
        <v>147.55473595517873</v>
      </c>
      <c r="Y10" s="140">
        <v>49.756599922266297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179.50932319876549</v>
      </c>
      <c r="M11" s="140">
        <v>32.459784403974631</v>
      </c>
      <c r="N11" s="140">
        <v>9.6666929464903468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12.81264395172791</v>
      </c>
      <c r="U11" s="140">
        <v>4.4340803371784627</v>
      </c>
      <c r="V11" s="140">
        <v>14.622667633627342</v>
      </c>
      <c r="W11" s="140">
        <v>9.1590016831778218</v>
      </c>
      <c r="X11" s="140">
        <v>13.576359425415815</v>
      </c>
      <c r="Y11" s="140">
        <v>20.804817517506951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4.1946441537234964</v>
      </c>
      <c r="G12" s="140">
        <v>54.145162409902298</v>
      </c>
      <c r="H12" s="140">
        <v>222.17169067447281</v>
      </c>
      <c r="I12" s="140">
        <v>56.60521590461336</v>
      </c>
      <c r="J12" s="140">
        <v>61.3143937227088</v>
      </c>
      <c r="K12" s="140">
        <v>137.86683661878322</v>
      </c>
      <c r="L12" s="140">
        <v>151.49054577451557</v>
      </c>
      <c r="M12" s="140">
        <v>121.75027370048088</v>
      </c>
      <c r="N12" s="140">
        <v>80.319997026607965</v>
      </c>
      <c r="O12" s="140">
        <v>64.757662082272518</v>
      </c>
      <c r="P12" s="140">
        <v>0</v>
      </c>
      <c r="Q12" s="140">
        <v>13.561757975734826</v>
      </c>
      <c r="R12" s="140">
        <v>13.443562071949282</v>
      </c>
      <c r="S12" s="140">
        <v>107.6008602498826</v>
      </c>
      <c r="T12" s="140">
        <v>90.453358789451173</v>
      </c>
      <c r="U12" s="140">
        <v>104.05816470293057</v>
      </c>
      <c r="V12" s="140">
        <v>98.748265538738039</v>
      </c>
      <c r="W12" s="140">
        <v>60.76763395563399</v>
      </c>
      <c r="X12" s="140">
        <v>0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93.756330883200732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134.26579913579388</v>
      </c>
      <c r="D14" s="141">
        <v>317.24191512064931</v>
      </c>
      <c r="E14" s="141">
        <v>137.4858303642682</v>
      </c>
      <c r="F14" s="141">
        <v>372.70293539726515</v>
      </c>
      <c r="G14" s="141">
        <v>305.04384716788411</v>
      </c>
      <c r="H14" s="141">
        <v>615.92226700740548</v>
      </c>
      <c r="I14" s="141">
        <v>1056.8789909655147</v>
      </c>
      <c r="J14" s="141">
        <v>384.43139342618929</v>
      </c>
      <c r="K14" s="141">
        <v>72.330237110275121</v>
      </c>
      <c r="L14" s="141">
        <v>19.630266762747816</v>
      </c>
      <c r="M14" s="141">
        <v>72.125195439563043</v>
      </c>
      <c r="N14" s="141">
        <v>82.803704442779733</v>
      </c>
      <c r="O14" s="141">
        <v>74.037461632253155</v>
      </c>
      <c r="P14" s="141">
        <v>223.77985649223393</v>
      </c>
      <c r="Q14" s="141">
        <v>120.9506803413005</v>
      </c>
      <c r="R14" s="141">
        <v>256.12797632801414</v>
      </c>
      <c r="S14" s="141">
        <v>392.56507468639342</v>
      </c>
      <c r="T14" s="141">
        <v>318.72427607564236</v>
      </c>
      <c r="U14" s="141">
        <v>252.64294611971394</v>
      </c>
      <c r="V14" s="141">
        <v>234.22093827634214</v>
      </c>
      <c r="W14" s="141">
        <v>151.13815356924457</v>
      </c>
      <c r="X14" s="141">
        <v>53.118572483819214</v>
      </c>
      <c r="Y14" s="141">
        <v>0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485.68085391112845</v>
      </c>
      <c r="D15" s="143">
        <f t="shared" si="4"/>
        <v>540.25759040400226</v>
      </c>
      <c r="E15" s="143">
        <f t="shared" si="4"/>
        <v>499.27849509439255</v>
      </c>
      <c r="F15" s="143">
        <f t="shared" si="4"/>
        <v>571.37571133430947</v>
      </c>
      <c r="G15" s="143">
        <f t="shared" si="4"/>
        <v>540.94741614513327</v>
      </c>
      <c r="H15" s="143">
        <f t="shared" si="4"/>
        <v>705.65347021924754</v>
      </c>
      <c r="I15" s="143">
        <f t="shared" si="4"/>
        <v>593.54729678112653</v>
      </c>
      <c r="J15" s="143">
        <f t="shared" si="4"/>
        <v>578.67574063398388</v>
      </c>
      <c r="K15" s="143">
        <f t="shared" si="4"/>
        <v>299.51701635200618</v>
      </c>
      <c r="L15" s="143">
        <f t="shared" si="4"/>
        <v>379.22149447179913</v>
      </c>
      <c r="M15" s="143">
        <f t="shared" si="4"/>
        <v>205.65047030607744</v>
      </c>
      <c r="N15" s="143">
        <f t="shared" si="4"/>
        <v>95.949857708223263</v>
      </c>
      <c r="O15" s="143">
        <f t="shared" si="4"/>
        <v>143.93647058399142</v>
      </c>
      <c r="P15" s="143">
        <f t="shared" si="4"/>
        <v>256.41963632144279</v>
      </c>
      <c r="Q15" s="143">
        <f t="shared" si="4"/>
        <v>242.82410198262184</v>
      </c>
      <c r="R15" s="143">
        <f t="shared" ref="R15:W15" si="5">SUM(R5:R12)</f>
        <v>210.72611875042091</v>
      </c>
      <c r="S15" s="143">
        <f t="shared" si="5"/>
        <v>202.9196262473771</v>
      </c>
      <c r="T15" s="143">
        <f t="shared" si="5"/>
        <v>288.23634210189618</v>
      </c>
      <c r="U15" s="143">
        <f t="shared" si="5"/>
        <v>280.89991180966524</v>
      </c>
      <c r="V15" s="143">
        <f t="shared" si="5"/>
        <v>250.11955233434418</v>
      </c>
      <c r="W15" s="143">
        <f t="shared" si="5"/>
        <v>306.2947100513444</v>
      </c>
      <c r="X15" s="143">
        <f t="shared" ref="X15:Y15" si="6">SUM(X5:X12)</f>
        <v>382.66528928813898</v>
      </c>
      <c r="Y15" s="143">
        <f t="shared" si="6"/>
        <v>322.72005655691601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601.19323075869602</v>
      </c>
      <c r="D16" s="139">
        <f t="shared" si="7"/>
        <v>789.13766049072717</v>
      </c>
      <c r="E16" s="139">
        <f t="shared" si="7"/>
        <v>636.76432545866066</v>
      </c>
      <c r="F16" s="139">
        <f t="shared" si="7"/>
        <v>817.56343579310635</v>
      </c>
      <c r="G16" s="139">
        <f t="shared" si="7"/>
        <v>845.99126331301727</v>
      </c>
      <c r="H16" s="139">
        <f t="shared" si="7"/>
        <v>1170.4998495942541</v>
      </c>
      <c r="I16" s="139">
        <f t="shared" si="7"/>
        <v>1375.0392735261335</v>
      </c>
      <c r="J16" s="139">
        <f t="shared" si="7"/>
        <v>963.10713406017317</v>
      </c>
      <c r="K16" s="139">
        <f t="shared" si="7"/>
        <v>371.84725346228129</v>
      </c>
      <c r="L16" s="139">
        <f t="shared" si="7"/>
        <v>398.85176123454693</v>
      </c>
      <c r="M16" s="139">
        <f t="shared" si="7"/>
        <v>277.77566574564048</v>
      </c>
      <c r="N16" s="139">
        <f t="shared" si="7"/>
        <v>178.753562151003</v>
      </c>
      <c r="O16" s="139">
        <f t="shared" si="7"/>
        <v>217.97393221624458</v>
      </c>
      <c r="P16" s="139">
        <f t="shared" si="7"/>
        <v>480.19949281367667</v>
      </c>
      <c r="Q16" s="139">
        <f t="shared" si="7"/>
        <v>363.77478232392235</v>
      </c>
      <c r="R16" s="139">
        <f t="shared" ref="R16:W16" si="8">SUM(R17:R18)</f>
        <v>466.85409507843514</v>
      </c>
      <c r="S16" s="139">
        <f t="shared" si="8"/>
        <v>595.48470093377045</v>
      </c>
      <c r="T16" s="139">
        <f t="shared" si="8"/>
        <v>606.96061817753855</v>
      </c>
      <c r="U16" s="139">
        <f t="shared" si="8"/>
        <v>533.54285792937912</v>
      </c>
      <c r="V16" s="139">
        <f t="shared" si="8"/>
        <v>484.34049061068635</v>
      </c>
      <c r="W16" s="139">
        <f t="shared" si="8"/>
        <v>457.43286362058899</v>
      </c>
      <c r="X16" s="139">
        <f t="shared" ref="X16:Y16" si="9">SUM(X17:X18)</f>
        <v>435.78386177195819</v>
      </c>
      <c r="Y16" s="139">
        <f t="shared" si="9"/>
        <v>416.47638744011675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601.19323075869602</v>
      </c>
      <c r="D18" s="140">
        <v>789.13766049072717</v>
      </c>
      <c r="E18" s="140">
        <v>636.76432545866066</v>
      </c>
      <c r="F18" s="140">
        <v>817.56343579310635</v>
      </c>
      <c r="G18" s="140">
        <v>845.99126331301727</v>
      </c>
      <c r="H18" s="140">
        <v>1170.4998495942541</v>
      </c>
      <c r="I18" s="140">
        <v>1375.0392735261335</v>
      </c>
      <c r="J18" s="140">
        <v>963.10713406017317</v>
      </c>
      <c r="K18" s="140">
        <v>371.84725346228129</v>
      </c>
      <c r="L18" s="140">
        <v>398.85176123454693</v>
      </c>
      <c r="M18" s="140">
        <v>277.77566574564048</v>
      </c>
      <c r="N18" s="140">
        <v>178.753562151003</v>
      </c>
      <c r="O18" s="140">
        <v>217.97393221624458</v>
      </c>
      <c r="P18" s="140">
        <v>480.19949281367667</v>
      </c>
      <c r="Q18" s="140">
        <v>363.77478232392235</v>
      </c>
      <c r="R18" s="140">
        <v>466.85409507843514</v>
      </c>
      <c r="S18" s="140">
        <v>595.48470093377045</v>
      </c>
      <c r="T18" s="140">
        <v>606.96061817753855</v>
      </c>
      <c r="U18" s="140">
        <v>533.54285792937912</v>
      </c>
      <c r="V18" s="140">
        <v>484.34049061068635</v>
      </c>
      <c r="W18" s="140">
        <v>457.43286362058899</v>
      </c>
      <c r="X18" s="140">
        <v>435.78386177195819</v>
      </c>
      <c r="Y18" s="140">
        <v>416.47638744011675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619.94665304692239</v>
      </c>
      <c r="D19" s="139">
        <f t="shared" si="10"/>
        <v>857.49950552465157</v>
      </c>
      <c r="E19" s="139">
        <f t="shared" si="10"/>
        <v>636.76432545866066</v>
      </c>
      <c r="F19" s="139">
        <f t="shared" si="10"/>
        <v>944.07864673157451</v>
      </c>
      <c r="G19" s="139">
        <f t="shared" si="10"/>
        <v>845.99126331301738</v>
      </c>
      <c r="H19" s="139">
        <f t="shared" si="10"/>
        <v>1321.5757372266532</v>
      </c>
      <c r="I19" s="139">
        <f t="shared" si="10"/>
        <v>1650.4262877466415</v>
      </c>
      <c r="J19" s="139">
        <f t="shared" si="10"/>
        <v>963.10713406017294</v>
      </c>
      <c r="K19" s="139">
        <f t="shared" si="10"/>
        <v>371.84725346228129</v>
      </c>
      <c r="L19" s="139">
        <f t="shared" si="10"/>
        <v>398.85176123454687</v>
      </c>
      <c r="M19" s="139">
        <f t="shared" si="10"/>
        <v>277.77566574564048</v>
      </c>
      <c r="N19" s="139">
        <f t="shared" si="10"/>
        <v>178.753562151003</v>
      </c>
      <c r="O19" s="139">
        <f t="shared" si="10"/>
        <v>217.97393221624458</v>
      </c>
      <c r="P19" s="139">
        <f t="shared" si="10"/>
        <v>480.19949281367667</v>
      </c>
      <c r="Q19" s="139">
        <f t="shared" si="10"/>
        <v>363.7747823239223</v>
      </c>
      <c r="R19" s="139">
        <f t="shared" ref="R19:W19" si="11">SUM(R20:R26)</f>
        <v>466.85409507843508</v>
      </c>
      <c r="S19" s="139">
        <f t="shared" si="11"/>
        <v>595.48470093377045</v>
      </c>
      <c r="T19" s="139">
        <f t="shared" si="11"/>
        <v>606.96061817753855</v>
      </c>
      <c r="U19" s="139">
        <f t="shared" si="11"/>
        <v>533.54285792937924</v>
      </c>
      <c r="V19" s="139">
        <f t="shared" si="11"/>
        <v>484.3404906106864</v>
      </c>
      <c r="W19" s="139">
        <f t="shared" si="11"/>
        <v>457.43286362058905</v>
      </c>
      <c r="X19" s="139">
        <f t="shared" ref="X19:Y19" si="12">SUM(X20:X26)</f>
        <v>435.78386177195819</v>
      </c>
      <c r="Y19" s="139">
        <f t="shared" si="12"/>
        <v>416.4763874401167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122.37164746267646</v>
      </c>
      <c r="D21" s="140">
        <v>276.83011422276104</v>
      </c>
      <c r="E21" s="140">
        <v>147.19857602549197</v>
      </c>
      <c r="F21" s="140">
        <v>202.32550699965822</v>
      </c>
      <c r="G21" s="140">
        <v>154.64911856939798</v>
      </c>
      <c r="H21" s="140">
        <v>212.38329535560197</v>
      </c>
      <c r="I21" s="140">
        <v>227.20531027684095</v>
      </c>
      <c r="J21" s="140">
        <v>132.31578276295065</v>
      </c>
      <c r="K21" s="140">
        <v>55.131312457812363</v>
      </c>
      <c r="L21" s="140">
        <v>61.040018133488495</v>
      </c>
      <c r="M21" s="140">
        <v>31.616148249798101</v>
      </c>
      <c r="N21" s="140">
        <v>30.422576154329889</v>
      </c>
      <c r="O21" s="140">
        <v>27.187225901670736</v>
      </c>
      <c r="P21" s="140">
        <v>0</v>
      </c>
      <c r="Q21" s="140">
        <v>25.292708989282108</v>
      </c>
      <c r="R21" s="140">
        <v>141.29719711069438</v>
      </c>
      <c r="S21" s="140">
        <v>126.18292685181137</v>
      </c>
      <c r="T21" s="140">
        <v>147.04265380014974</v>
      </c>
      <c r="U21" s="140">
        <v>108.67474857591849</v>
      </c>
      <c r="V21" s="140">
        <v>60.931037715194002</v>
      </c>
      <c r="W21" s="140">
        <v>35.687564099799545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260.32965219380094</v>
      </c>
      <c r="D22" s="140">
        <v>386.28627137343153</v>
      </c>
      <c r="E22" s="140">
        <v>337.2022617679753</v>
      </c>
      <c r="F22" s="140">
        <v>465.23512888352201</v>
      </c>
      <c r="G22" s="140">
        <v>369.94862403539463</v>
      </c>
      <c r="H22" s="140">
        <v>605.00252563035997</v>
      </c>
      <c r="I22" s="140">
        <v>792.51761442440647</v>
      </c>
      <c r="J22" s="140">
        <v>242.30496096028193</v>
      </c>
      <c r="K22" s="140">
        <v>6.4336991019599798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73.17943928155691</v>
      </c>
      <c r="S22" s="140">
        <v>92.07497137677376</v>
      </c>
      <c r="T22" s="140">
        <v>186.8067436007689</v>
      </c>
      <c r="U22" s="140">
        <v>126.34296964780594</v>
      </c>
      <c r="V22" s="140">
        <v>173.70054773980601</v>
      </c>
      <c r="W22" s="140">
        <v>114.50659919854394</v>
      </c>
      <c r="X22" s="140">
        <v>79.050760694860074</v>
      </c>
      <c r="Y22" s="140">
        <v>60.708222590251886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19.165632116742252</v>
      </c>
      <c r="D23" s="140">
        <v>25.351184524874164</v>
      </c>
      <c r="E23" s="140">
        <v>23.018224306860375</v>
      </c>
      <c r="F23" s="140">
        <v>32.877759304893061</v>
      </c>
      <c r="G23" s="140">
        <v>32.346008144628435</v>
      </c>
      <c r="H23" s="140">
        <v>45.560180158372503</v>
      </c>
      <c r="I23" s="140">
        <v>76.718639084555363</v>
      </c>
      <c r="J23" s="140">
        <v>70.911380279001335</v>
      </c>
      <c r="K23" s="140">
        <v>45.160717816933612</v>
      </c>
      <c r="L23" s="140">
        <v>29.804095478656397</v>
      </c>
      <c r="M23" s="140">
        <v>10.517710527439961</v>
      </c>
      <c r="N23" s="140">
        <v>4.184954470909779</v>
      </c>
      <c r="O23" s="140">
        <v>3.8163569312390218</v>
      </c>
      <c r="P23" s="140">
        <v>11.711718262029356</v>
      </c>
      <c r="Q23" s="140">
        <v>10.979291101198942</v>
      </c>
      <c r="R23" s="140">
        <v>15.739515606085359</v>
      </c>
      <c r="S23" s="140">
        <v>0</v>
      </c>
      <c r="T23" s="140">
        <v>0</v>
      </c>
      <c r="U23" s="140">
        <v>0</v>
      </c>
      <c r="V23" s="140">
        <v>0</v>
      </c>
      <c r="W23" s="140">
        <v>8.3763595518957175</v>
      </c>
      <c r="X23" s="140">
        <v>22.679936587652051</v>
      </c>
      <c r="Y23" s="140">
        <v>20.716391418202328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70.397710953159404</v>
      </c>
      <c r="D25" s="140">
        <v>54.636922600412312</v>
      </c>
      <c r="E25" s="140">
        <v>51.96915567422743</v>
      </c>
      <c r="F25" s="140">
        <v>12.090293178463067</v>
      </c>
      <c r="G25" s="140">
        <v>9.418612398364516</v>
      </c>
      <c r="H25" s="140">
        <v>2.0478774684384637</v>
      </c>
      <c r="I25" s="140">
        <v>72.05710736678283</v>
      </c>
      <c r="J25" s="140">
        <v>98.898864612096332</v>
      </c>
      <c r="K25" s="140">
        <v>94.020242158568578</v>
      </c>
      <c r="L25" s="140">
        <v>121.79809603052416</v>
      </c>
      <c r="M25" s="140">
        <v>77.881280521173551</v>
      </c>
      <c r="N25" s="140">
        <v>47.78520577578152</v>
      </c>
      <c r="O25" s="140">
        <v>46.898276154612795</v>
      </c>
      <c r="P25" s="140">
        <v>70.793948766970956</v>
      </c>
      <c r="Q25" s="140">
        <v>62.399814730894938</v>
      </c>
      <c r="R25" s="140">
        <v>106.77674830130377</v>
      </c>
      <c r="S25" s="140">
        <v>149.32557920464788</v>
      </c>
      <c r="T25" s="140">
        <v>114.59988437366137</v>
      </c>
      <c r="U25" s="140">
        <v>44.122399822771847</v>
      </c>
      <c r="V25" s="140">
        <v>62.071216322588079</v>
      </c>
      <c r="W25" s="140">
        <v>73.277296651290115</v>
      </c>
      <c r="X25" s="140">
        <v>51.68936374935673</v>
      </c>
      <c r="Y25" s="140">
        <v>46.44105549611713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147.68201032054333</v>
      </c>
      <c r="D26" s="141">
        <v>114.39501280317256</v>
      </c>
      <c r="E26" s="141">
        <v>77.376107684105605</v>
      </c>
      <c r="F26" s="141">
        <v>231.54995836503821</v>
      </c>
      <c r="G26" s="141">
        <v>279.62890016523181</v>
      </c>
      <c r="H26" s="141">
        <v>456.58185861388029</v>
      </c>
      <c r="I26" s="141">
        <v>481.92761659405568</v>
      </c>
      <c r="J26" s="141">
        <v>418.67614544584279</v>
      </c>
      <c r="K26" s="141">
        <v>171.10128192700677</v>
      </c>
      <c r="L26" s="141">
        <v>186.20955159187784</v>
      </c>
      <c r="M26" s="141">
        <v>157.7605264472289</v>
      </c>
      <c r="N26" s="141">
        <v>96.360825749981814</v>
      </c>
      <c r="O26" s="141">
        <v>140.07207322872202</v>
      </c>
      <c r="P26" s="141">
        <v>397.69382578467639</v>
      </c>
      <c r="Q26" s="141">
        <v>265.10296750254633</v>
      </c>
      <c r="R26" s="141">
        <v>129.86119477879467</v>
      </c>
      <c r="S26" s="141">
        <v>227.90122350053747</v>
      </c>
      <c r="T26" s="141">
        <v>158.51133640295851</v>
      </c>
      <c r="U26" s="141">
        <v>254.40273988288291</v>
      </c>
      <c r="V26" s="141">
        <v>187.63768883309828</v>
      </c>
      <c r="W26" s="141">
        <v>225.58504411905972</v>
      </c>
      <c r="X26" s="141">
        <v>282.36380074008935</v>
      </c>
      <c r="Y26" s="141">
        <v>288.61071793554538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619.94665304692228</v>
      </c>
      <c r="D29" s="139">
        <f t="shared" si="13"/>
        <v>857.49950552465157</v>
      </c>
      <c r="E29" s="139">
        <f t="shared" si="13"/>
        <v>636.76432545866066</v>
      </c>
      <c r="F29" s="139">
        <f t="shared" si="13"/>
        <v>944.07864673157462</v>
      </c>
      <c r="G29" s="139">
        <f t="shared" si="13"/>
        <v>845.99126331301727</v>
      </c>
      <c r="H29" s="139">
        <f t="shared" si="13"/>
        <v>1321.575737226653</v>
      </c>
      <c r="I29" s="139">
        <f t="shared" si="13"/>
        <v>1650.4262877466415</v>
      </c>
      <c r="J29" s="139">
        <f t="shared" si="13"/>
        <v>963.10713406017317</v>
      </c>
      <c r="K29" s="139">
        <f t="shared" si="13"/>
        <v>371.84725346228129</v>
      </c>
      <c r="L29" s="139">
        <f t="shared" si="13"/>
        <v>398.85176123454687</v>
      </c>
      <c r="M29" s="139">
        <f t="shared" si="13"/>
        <v>277.77566574564054</v>
      </c>
      <c r="N29" s="139">
        <f t="shared" si="13"/>
        <v>178.753562151003</v>
      </c>
      <c r="O29" s="139">
        <f t="shared" si="13"/>
        <v>217.97393221624458</v>
      </c>
      <c r="P29" s="139">
        <f t="shared" si="13"/>
        <v>480.19949281367667</v>
      </c>
      <c r="Q29" s="139">
        <f t="shared" si="13"/>
        <v>363.77478232392235</v>
      </c>
      <c r="R29" s="139">
        <f t="shared" ref="R29:W29" si="14">SUM(R30:R33)</f>
        <v>466.85409507843519</v>
      </c>
      <c r="S29" s="139">
        <f t="shared" si="14"/>
        <v>595.48470093377045</v>
      </c>
      <c r="T29" s="139">
        <f t="shared" si="14"/>
        <v>606.96061817753855</v>
      </c>
      <c r="U29" s="139">
        <f t="shared" si="14"/>
        <v>533.54285792937912</v>
      </c>
      <c r="V29" s="139">
        <f t="shared" si="14"/>
        <v>484.3404906106864</v>
      </c>
      <c r="W29" s="139">
        <f t="shared" si="14"/>
        <v>457.43286362058899</v>
      </c>
      <c r="X29" s="139">
        <f t="shared" ref="X29:Y29" si="15">SUM(X30:X33)</f>
        <v>435.78386177195819</v>
      </c>
      <c r="Y29" s="139">
        <f t="shared" si="15"/>
        <v>416.47638744011681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0</v>
      </c>
      <c r="D30" s="140">
        <v>0</v>
      </c>
      <c r="E30" s="140">
        <v>0</v>
      </c>
      <c r="F30" s="140">
        <v>0</v>
      </c>
      <c r="G30" s="140">
        <v>128.02037489742264</v>
      </c>
      <c r="H30" s="140">
        <v>287.97272328036627</v>
      </c>
      <c r="I30" s="140">
        <v>1075.8411478839637</v>
      </c>
      <c r="J30" s="140">
        <v>406.00553613150902</v>
      </c>
      <c r="K30" s="140">
        <v>163.52113586360792</v>
      </c>
      <c r="L30" s="140">
        <v>105.29612935340694</v>
      </c>
      <c r="M30" s="140">
        <v>0</v>
      </c>
      <c r="N30" s="140">
        <v>0.48282488605526525</v>
      </c>
      <c r="O30" s="140">
        <v>0</v>
      </c>
      <c r="P30" s="140">
        <v>0</v>
      </c>
      <c r="Q30" s="140">
        <v>3.7170436588629139</v>
      </c>
      <c r="R30" s="140">
        <v>81.668244369451301</v>
      </c>
      <c r="S30" s="140">
        <v>233.6770489127031</v>
      </c>
      <c r="T30" s="140">
        <v>277.73039935518386</v>
      </c>
      <c r="U30" s="140">
        <v>242.37378283347203</v>
      </c>
      <c r="V30" s="140">
        <v>100.90732250313764</v>
      </c>
      <c r="W30" s="140">
        <v>0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309.18507844353911</v>
      </c>
      <c r="D31" s="140">
        <v>115.48653754907281</v>
      </c>
      <c r="E31" s="140">
        <v>47.628985017022913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20.906828191243406</v>
      </c>
      <c r="L31" s="140">
        <v>34.258088669472698</v>
      </c>
      <c r="M31" s="140">
        <v>18.65573402489137</v>
      </c>
      <c r="N31" s="140">
        <v>35.774681908660746</v>
      </c>
      <c r="O31" s="140">
        <v>60.98681302977112</v>
      </c>
      <c r="P31" s="140">
        <v>146.47530123740128</v>
      </c>
      <c r="Q31" s="140">
        <v>81.911018737955587</v>
      </c>
      <c r="R31" s="140">
        <v>5.4319145442005192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16.328308367382615</v>
      </c>
      <c r="Y31" s="140">
        <v>31.01936954368453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310.76157460338317</v>
      </c>
      <c r="D33" s="152">
        <v>742.01296797557882</v>
      </c>
      <c r="E33" s="152">
        <v>589.13534044163771</v>
      </c>
      <c r="F33" s="152">
        <v>944.07864673157462</v>
      </c>
      <c r="G33" s="152">
        <v>717.97088841559469</v>
      </c>
      <c r="H33" s="152">
        <v>1033.6030139462869</v>
      </c>
      <c r="I33" s="152">
        <v>574.58513986267781</v>
      </c>
      <c r="J33" s="152">
        <v>557.10159792866409</v>
      </c>
      <c r="K33" s="152">
        <v>187.41928940743</v>
      </c>
      <c r="L33" s="152">
        <v>259.29754321166723</v>
      </c>
      <c r="M33" s="152">
        <v>259.11993172074915</v>
      </c>
      <c r="N33" s="152">
        <v>142.49605535628697</v>
      </c>
      <c r="O33" s="152">
        <v>156.98711918647345</v>
      </c>
      <c r="P33" s="152">
        <v>333.72419157627536</v>
      </c>
      <c r="Q33" s="152">
        <v>278.14671992710385</v>
      </c>
      <c r="R33" s="152">
        <v>379.75393616478334</v>
      </c>
      <c r="S33" s="152">
        <v>361.80765202106738</v>
      </c>
      <c r="T33" s="152">
        <v>329.23021882235469</v>
      </c>
      <c r="U33" s="152">
        <v>291.16907509590709</v>
      </c>
      <c r="V33" s="152">
        <v>383.43316810754874</v>
      </c>
      <c r="W33" s="152">
        <v>457.43286362058899</v>
      </c>
      <c r="X33" s="152">
        <v>419.4555534045756</v>
      </c>
      <c r="Y33" s="152">
        <v>385.45701789643226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20.685705925775785</v>
      </c>
      <c r="D3" s="125">
        <f t="shared" si="0"/>
        <v>25.096705129257675</v>
      </c>
      <c r="E3" s="125">
        <f t="shared" si="0"/>
        <v>12.596858185181571</v>
      </c>
      <c r="F3" s="125">
        <f t="shared" si="0"/>
        <v>17.285900388850688</v>
      </c>
      <c r="G3" s="125">
        <f t="shared" si="0"/>
        <v>13.026230795420911</v>
      </c>
      <c r="H3" s="125">
        <f t="shared" si="0"/>
        <v>16.095744271168428</v>
      </c>
      <c r="I3" s="125">
        <f t="shared" si="0"/>
        <v>17.264422823112525</v>
      </c>
      <c r="J3" s="125">
        <f t="shared" si="0"/>
        <v>12.794165243747022</v>
      </c>
      <c r="K3" s="125">
        <f t="shared" si="0"/>
        <v>4.403129860887006</v>
      </c>
      <c r="L3" s="125">
        <f t="shared" si="0"/>
        <v>5.1630356277516301</v>
      </c>
      <c r="M3" s="125">
        <f t="shared" si="0"/>
        <v>3.3869984286143633</v>
      </c>
      <c r="N3" s="125">
        <f t="shared" si="0"/>
        <v>1.7297021159403534</v>
      </c>
      <c r="O3" s="125">
        <f t="shared" si="0"/>
        <v>2.1741856651276299</v>
      </c>
      <c r="P3" s="125">
        <f t="shared" si="0"/>
        <v>4.2329072068779556</v>
      </c>
      <c r="Q3" s="125">
        <f t="shared" si="0"/>
        <v>3.3620419298317357</v>
      </c>
      <c r="R3" s="125">
        <f t="shared" ref="R3:W3" si="1">SUM(R4,R16,R19,R29)</f>
        <v>4.25184489839899</v>
      </c>
      <c r="S3" s="125">
        <f t="shared" si="1"/>
        <v>5.086681772224158</v>
      </c>
      <c r="T3" s="125">
        <f t="shared" si="1"/>
        <v>5.2810614086447893</v>
      </c>
      <c r="U3" s="125">
        <f t="shared" si="1"/>
        <v>4.2160805305258</v>
      </c>
      <c r="V3" s="125">
        <f t="shared" si="1"/>
        <v>3.1769025370091954</v>
      </c>
      <c r="W3" s="125">
        <f t="shared" si="1"/>
        <v>2.7412950094402233</v>
      </c>
      <c r="X3" s="125">
        <f t="shared" ref="X3:Y3" si="2">SUM(X4,X16,X19,X29)</f>
        <v>3.2525912231305796</v>
      </c>
      <c r="Y3" s="125">
        <f t="shared" si="2"/>
        <v>2.7413714200492105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17.791384303461392</v>
      </c>
      <c r="D4" s="130">
        <f t="shared" si="3"/>
        <v>21.298267058675005</v>
      </c>
      <c r="E4" s="130">
        <f t="shared" si="3"/>
        <v>9.6878521832334616</v>
      </c>
      <c r="F4" s="130">
        <f t="shared" si="3"/>
        <v>13.625813980916377</v>
      </c>
      <c r="G4" s="130">
        <f t="shared" si="3"/>
        <v>9.631993813958232</v>
      </c>
      <c r="H4" s="130">
        <f t="shared" si="3"/>
        <v>10.934694977446645</v>
      </c>
      <c r="I4" s="130">
        <f t="shared" si="3"/>
        <v>10.029817639523452</v>
      </c>
      <c r="J4" s="130">
        <f t="shared" si="3"/>
        <v>9.2119441754973295</v>
      </c>
      <c r="K4" s="130">
        <f t="shared" si="3"/>
        <v>3.041673839555632</v>
      </c>
      <c r="L4" s="130">
        <f t="shared" si="3"/>
        <v>3.719516673656595</v>
      </c>
      <c r="M4" s="130">
        <f t="shared" si="3"/>
        <v>2.3871374423899989</v>
      </c>
      <c r="N4" s="130">
        <f t="shared" si="3"/>
        <v>1.1119911677058656</v>
      </c>
      <c r="O4" s="130">
        <f t="shared" si="3"/>
        <v>1.3926008711226743</v>
      </c>
      <c r="P4" s="130">
        <f t="shared" si="3"/>
        <v>2.5241241649496815</v>
      </c>
      <c r="Q4" s="130">
        <f t="shared" si="3"/>
        <v>2.0416488607006364</v>
      </c>
      <c r="R4" s="130">
        <f t="shared" ref="R4:W4" si="4">SUM(R5:R15)</f>
        <v>2.6707134162375654</v>
      </c>
      <c r="S4" s="130">
        <f t="shared" si="4"/>
        <v>2.9321015613022143</v>
      </c>
      <c r="T4" s="130">
        <f t="shared" si="4"/>
        <v>2.9766158825501141</v>
      </c>
      <c r="U4" s="130">
        <f t="shared" si="4"/>
        <v>2.17104605187372</v>
      </c>
      <c r="V4" s="130">
        <f t="shared" si="4"/>
        <v>1.5850718494512013</v>
      </c>
      <c r="W4" s="130">
        <f t="shared" si="4"/>
        <v>1.2966531697159254</v>
      </c>
      <c r="X4" s="130">
        <f t="shared" ref="X4:Y4" si="5">SUM(X5:X15)</f>
        <v>1.9362649641973135</v>
      </c>
      <c r="Y4" s="130">
        <f t="shared" si="5"/>
        <v>1.4145114113686517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7.9811453135614547</v>
      </c>
      <c r="D7" s="132">
        <v>9.141467891670084</v>
      </c>
      <c r="E7" s="132">
        <v>7.6938072275761122</v>
      </c>
      <c r="F7" s="132">
        <v>8.7857976352510203</v>
      </c>
      <c r="G7" s="132">
        <v>6.6335642499019212</v>
      </c>
      <c r="H7" s="132">
        <v>5.1740928700413642</v>
      </c>
      <c r="I7" s="132">
        <v>3.3309573038043854</v>
      </c>
      <c r="J7" s="132">
        <v>5.6351445384847514</v>
      </c>
      <c r="K7" s="132">
        <v>1.0638456654794433</v>
      </c>
      <c r="L7" s="132">
        <v>0</v>
      </c>
      <c r="M7" s="132">
        <v>0</v>
      </c>
      <c r="N7" s="132">
        <v>0</v>
      </c>
      <c r="O7" s="132">
        <v>0</v>
      </c>
      <c r="P7" s="132">
        <v>0</v>
      </c>
      <c r="Q7" s="132">
        <v>0</v>
      </c>
      <c r="R7" s="132">
        <v>0.58303051253301486</v>
      </c>
      <c r="S7" s="132">
        <v>0.46684419847548347</v>
      </c>
      <c r="T7" s="132">
        <v>0.97223815251728729</v>
      </c>
      <c r="U7" s="132">
        <v>0.75297771947146397</v>
      </c>
      <c r="V7" s="132">
        <v>0.55575728936426239</v>
      </c>
      <c r="W7" s="132">
        <v>0.45348366770446158</v>
      </c>
      <c r="X7" s="132">
        <v>0.38100433638030462</v>
      </c>
      <c r="Y7" s="132">
        <v>0.43085878780028397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7.2110702829789393</v>
      </c>
      <c r="D9" s="132">
        <v>5.051247774195736</v>
      </c>
      <c r="E9" s="132">
        <v>0.52515174633028827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0.47010195352048062</v>
      </c>
      <c r="L9" s="132">
        <v>0.48246288624379735</v>
      </c>
      <c r="M9" s="132">
        <v>0.70419397377004256</v>
      </c>
      <c r="N9" s="132">
        <v>2.1650528768644057E-2</v>
      </c>
      <c r="O9" s="132">
        <v>0.54418028323499312</v>
      </c>
      <c r="P9" s="132">
        <v>1.3678598122313033</v>
      </c>
      <c r="Q9" s="132">
        <v>1.3668494400195172</v>
      </c>
      <c r="R9" s="132">
        <v>0.73188738554525601</v>
      </c>
      <c r="S9" s="132">
        <v>0</v>
      </c>
      <c r="T9" s="132">
        <v>0</v>
      </c>
      <c r="U9" s="132">
        <v>0</v>
      </c>
      <c r="V9" s="132">
        <v>0</v>
      </c>
      <c r="W9" s="132">
        <v>0.20009033099466006</v>
      </c>
      <c r="X9" s="132">
        <v>0.35964020315651468</v>
      </c>
      <c r="Y9" s="132">
        <v>0.5145536658615053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1.1923891168506708E-2</v>
      </c>
      <c r="D10" s="132">
        <v>0</v>
      </c>
      <c r="E10" s="132">
        <v>1.3889298227438319E-3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1.7732772478230876E-16</v>
      </c>
      <c r="W10" s="132">
        <v>0</v>
      </c>
      <c r="X10" s="132">
        <v>0.98875001430277054</v>
      </c>
      <c r="Y10" s="132">
        <v>0.29746161983777808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1.9217138362895492</v>
      </c>
      <c r="M11" s="132">
        <v>0.26570914281364566</v>
      </c>
      <c r="N11" s="132">
        <v>5.0336144914434416E-2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5.2357873181941329E-2</v>
      </c>
      <c r="U11" s="132">
        <v>1.9131390853894779E-2</v>
      </c>
      <c r="V11" s="132">
        <v>4.1659221797604611E-2</v>
      </c>
      <c r="W11" s="132">
        <v>2.2810723710342356E-2</v>
      </c>
      <c r="X11" s="132">
        <v>3.6687663995064096E-2</v>
      </c>
      <c r="Y11" s="132">
        <v>6.0440889949901003E-2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4.411167801269314E-2</v>
      </c>
      <c r="G12" s="132">
        <v>0.38115792127439502</v>
      </c>
      <c r="H12" s="132">
        <v>1.8689714071755164</v>
      </c>
      <c r="I12" s="132">
        <v>0.2726590618939268</v>
      </c>
      <c r="J12" s="132">
        <v>0.28662734889640751</v>
      </c>
      <c r="K12" s="132">
        <v>0.9458675530551387</v>
      </c>
      <c r="L12" s="132">
        <v>1.1467573971105665</v>
      </c>
      <c r="M12" s="132">
        <v>0.85016076729205536</v>
      </c>
      <c r="N12" s="132">
        <v>0.4937057849199793</v>
      </c>
      <c r="O12" s="132">
        <v>0.38681116708100299</v>
      </c>
      <c r="P12" s="132">
        <v>0</v>
      </c>
      <c r="Q12" s="132">
        <v>6.3033897620592361E-2</v>
      </c>
      <c r="R12" s="132">
        <v>5.7392830037093355E-2</v>
      </c>
      <c r="S12" s="132">
        <v>0.49928461871733959</v>
      </c>
      <c r="T12" s="132">
        <v>0.4054529926895582</v>
      </c>
      <c r="U12" s="132">
        <v>0.35692436666880922</v>
      </c>
      <c r="V12" s="132">
        <v>0.30916155655646821</v>
      </c>
      <c r="W12" s="132">
        <v>0.19657132432069568</v>
      </c>
      <c r="X12" s="132">
        <v>0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9.7939417809946014E-2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2.4264912392540574</v>
      </c>
      <c r="D14" s="65">
        <v>6.9581753472157875</v>
      </c>
      <c r="E14" s="65">
        <v>1.3844764775822596</v>
      </c>
      <c r="F14" s="65">
        <v>4.7080218456103937</v>
      </c>
      <c r="G14" s="65">
        <v>2.5500053955910427</v>
      </c>
      <c r="H14" s="65">
        <v>3.8335034110918622</v>
      </c>
      <c r="I14" s="65">
        <v>6.3924252274378839</v>
      </c>
      <c r="J14" s="65">
        <v>3.2337949847685032</v>
      </c>
      <c r="K14" s="65">
        <v>0.54309135004399456</v>
      </c>
      <c r="L14" s="65">
        <v>0.15220100929948896</v>
      </c>
      <c r="M14" s="65">
        <v>0.55563348839807725</v>
      </c>
      <c r="N14" s="65">
        <v>0.54410317781584616</v>
      </c>
      <c r="O14" s="65">
        <v>0.45412303956660921</v>
      </c>
      <c r="P14" s="65">
        <v>1.1402035202296759</v>
      </c>
      <c r="Q14" s="65">
        <v>0.59488030733887765</v>
      </c>
      <c r="R14" s="65">
        <v>1.2822337914486719</v>
      </c>
      <c r="S14" s="65">
        <v>1.9586216293435539</v>
      </c>
      <c r="T14" s="65">
        <v>1.5333795513309101</v>
      </c>
      <c r="U14" s="65">
        <v>1.0317377340086602</v>
      </c>
      <c r="V14" s="65">
        <v>0.67063606188190228</v>
      </c>
      <c r="W14" s="65">
        <v>0.41493216778251668</v>
      </c>
      <c r="X14" s="65">
        <v>0.15687274121919836</v>
      </c>
      <c r="Y14" s="65">
        <v>0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0.16075357649843272</v>
      </c>
      <c r="D15" s="134">
        <v>0.14737604559339973</v>
      </c>
      <c r="E15" s="134">
        <v>8.3027801922059746E-2</v>
      </c>
      <c r="F15" s="134">
        <v>8.7882822042267578E-2</v>
      </c>
      <c r="G15" s="134">
        <v>6.7266247190871847E-2</v>
      </c>
      <c r="H15" s="134">
        <v>5.8127289137901231E-2</v>
      </c>
      <c r="I15" s="134">
        <v>3.3776046387256502E-2</v>
      </c>
      <c r="J15" s="134">
        <v>5.6377303347667454E-2</v>
      </c>
      <c r="K15" s="134">
        <v>1.8767317456574926E-2</v>
      </c>
      <c r="L15" s="134">
        <v>1.638154471319294E-2</v>
      </c>
      <c r="M15" s="134">
        <v>1.1440070116178126E-2</v>
      </c>
      <c r="N15" s="134">
        <v>2.195531286961757E-3</v>
      </c>
      <c r="O15" s="134">
        <v>7.4863812400690092E-3</v>
      </c>
      <c r="P15" s="134">
        <v>1.6060832488702582E-2</v>
      </c>
      <c r="Q15" s="134">
        <v>1.6885215721649107E-2</v>
      </c>
      <c r="R15" s="134">
        <v>1.6168896673529668E-2</v>
      </c>
      <c r="S15" s="134">
        <v>7.3511147658372588E-3</v>
      </c>
      <c r="T15" s="134">
        <v>1.3187312830417495E-2</v>
      </c>
      <c r="U15" s="134">
        <v>1.0274840870891732E-2</v>
      </c>
      <c r="V15" s="134">
        <v>7.8577198509635626E-3</v>
      </c>
      <c r="W15" s="134">
        <v>8.7649552032491203E-3</v>
      </c>
      <c r="X15" s="134">
        <v>1.3310005143461036E-2</v>
      </c>
      <c r="Y15" s="134">
        <v>1.3257030109237504E-2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0.51087890874667197</v>
      </c>
      <c r="D16" s="130">
        <f t="shared" si="6"/>
        <v>0.63693532290508892</v>
      </c>
      <c r="E16" s="130">
        <f t="shared" si="6"/>
        <v>0.6231871625766322</v>
      </c>
      <c r="F16" s="130">
        <f t="shared" si="6"/>
        <v>0.60196223336638166</v>
      </c>
      <c r="G16" s="130">
        <f t="shared" si="6"/>
        <v>0.60394029937866955</v>
      </c>
      <c r="H16" s="130">
        <f t="shared" si="6"/>
        <v>0.86168662644266558</v>
      </c>
      <c r="I16" s="130">
        <f t="shared" si="6"/>
        <v>0.93893909569645162</v>
      </c>
      <c r="J16" s="130">
        <f t="shared" si="6"/>
        <v>0.61898152688856689</v>
      </c>
      <c r="K16" s="130">
        <f t="shared" si="6"/>
        <v>0.22729175058549145</v>
      </c>
      <c r="L16" s="130">
        <f t="shared" si="6"/>
        <v>0.24321585710453136</v>
      </c>
      <c r="M16" s="130">
        <f t="shared" si="6"/>
        <v>0.1597975473508145</v>
      </c>
      <c r="N16" s="130">
        <f t="shared" si="6"/>
        <v>0.10917685627994132</v>
      </c>
      <c r="O16" s="130">
        <f t="shared" si="6"/>
        <v>0.12889252502807433</v>
      </c>
      <c r="P16" s="130">
        <f t="shared" si="6"/>
        <v>0.21610418604116105</v>
      </c>
      <c r="Q16" s="130">
        <f t="shared" si="6"/>
        <v>0.19372997580280313</v>
      </c>
      <c r="R16" s="130">
        <f t="shared" ref="R16:W16" si="7">SUM(R17:R18)</f>
        <v>0.19398089366563745</v>
      </c>
      <c r="S16" s="130">
        <f t="shared" si="7"/>
        <v>0.28765778762986749</v>
      </c>
      <c r="T16" s="130">
        <f t="shared" si="7"/>
        <v>0.24783696169288758</v>
      </c>
      <c r="U16" s="130">
        <f t="shared" si="7"/>
        <v>0.22533243203531331</v>
      </c>
      <c r="V16" s="130">
        <f t="shared" si="7"/>
        <v>0.17312589917654425</v>
      </c>
      <c r="W16" s="130">
        <f t="shared" si="7"/>
        <v>0.16594647957995975</v>
      </c>
      <c r="X16" s="130">
        <f t="shared" ref="X16:Y16" si="8">SUM(X17:X18)</f>
        <v>0.15271509667656222</v>
      </c>
      <c r="Y16" s="130">
        <f t="shared" si="8"/>
        <v>0.14426955100241237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0.51087890874667197</v>
      </c>
      <c r="D18" s="132">
        <v>0.63693532290508892</v>
      </c>
      <c r="E18" s="132">
        <v>0.6231871625766322</v>
      </c>
      <c r="F18" s="132">
        <v>0.60196223336638166</v>
      </c>
      <c r="G18" s="132">
        <v>0.60394029937866955</v>
      </c>
      <c r="H18" s="132">
        <v>0.86168662644266558</v>
      </c>
      <c r="I18" s="132">
        <v>0.93893909569645162</v>
      </c>
      <c r="J18" s="132">
        <v>0.61898152688856689</v>
      </c>
      <c r="K18" s="132">
        <v>0.22729175058549145</v>
      </c>
      <c r="L18" s="132">
        <v>0.24321585710453136</v>
      </c>
      <c r="M18" s="132">
        <v>0.1597975473508145</v>
      </c>
      <c r="N18" s="132">
        <v>0.10917685627994132</v>
      </c>
      <c r="O18" s="132">
        <v>0.12889252502807433</v>
      </c>
      <c r="P18" s="132">
        <v>0.21610418604116105</v>
      </c>
      <c r="Q18" s="132">
        <v>0.19372997580280313</v>
      </c>
      <c r="R18" s="132">
        <v>0.19398089366563745</v>
      </c>
      <c r="S18" s="132">
        <v>0.28765778762986749</v>
      </c>
      <c r="T18" s="132">
        <v>0.24783696169288758</v>
      </c>
      <c r="U18" s="132">
        <v>0.22533243203531331</v>
      </c>
      <c r="V18" s="132">
        <v>0.17312589917654425</v>
      </c>
      <c r="W18" s="132">
        <v>0.16594647957995975</v>
      </c>
      <c r="X18" s="132">
        <v>0.15271509667656222</v>
      </c>
      <c r="Y18" s="132">
        <v>0.14426955100241237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1.0810289076179826</v>
      </c>
      <c r="D19" s="130">
        <f t="shared" si="9"/>
        <v>1.510681700509787</v>
      </c>
      <c r="E19" s="130">
        <f t="shared" si="9"/>
        <v>1.1267843918231726</v>
      </c>
      <c r="F19" s="130">
        <f t="shared" si="9"/>
        <v>1.6038087760920428</v>
      </c>
      <c r="G19" s="130">
        <f t="shared" si="9"/>
        <v>1.4077502666571999</v>
      </c>
      <c r="H19" s="130">
        <f t="shared" si="9"/>
        <v>2.1679567117276637</v>
      </c>
      <c r="I19" s="130">
        <f t="shared" si="9"/>
        <v>2.5819204716371469</v>
      </c>
      <c r="J19" s="130">
        <f t="shared" si="9"/>
        <v>1.4234272769143286</v>
      </c>
      <c r="K19" s="130">
        <f t="shared" si="9"/>
        <v>0.50931713300939419</v>
      </c>
      <c r="L19" s="130">
        <f t="shared" si="9"/>
        <v>0.52638077688492224</v>
      </c>
      <c r="M19" s="130">
        <f t="shared" si="9"/>
        <v>0.37946724119035652</v>
      </c>
      <c r="N19" s="130">
        <f t="shared" si="9"/>
        <v>0.23906329691514061</v>
      </c>
      <c r="O19" s="130">
        <f t="shared" si="9"/>
        <v>0.29330841670135732</v>
      </c>
      <c r="P19" s="130">
        <f t="shared" si="9"/>
        <v>0.64708932089880289</v>
      </c>
      <c r="Q19" s="130">
        <f t="shared" si="9"/>
        <v>0.49237551031598648</v>
      </c>
      <c r="R19" s="130">
        <f t="shared" ref="R19:W19" si="10">SUM(R20:R27)</f>
        <v>0.59583232786358709</v>
      </c>
      <c r="S19" s="130">
        <f t="shared" si="10"/>
        <v>0.76676262295283226</v>
      </c>
      <c r="T19" s="130">
        <f t="shared" si="10"/>
        <v>0.83880943746386694</v>
      </c>
      <c r="U19" s="130">
        <f t="shared" si="10"/>
        <v>0.69856601948306984</v>
      </c>
      <c r="V19" s="130">
        <f t="shared" si="10"/>
        <v>0.60750645260110059</v>
      </c>
      <c r="W19" s="130">
        <f t="shared" si="10"/>
        <v>0.55453998815845917</v>
      </c>
      <c r="X19" s="130">
        <f t="shared" ref="X19:Y19" si="11">SUM(X20:X27)</f>
        <v>0.50263085597997448</v>
      </c>
      <c r="Y19" s="130">
        <f t="shared" si="11"/>
        <v>0.51290803251443107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0.21294868719433918</v>
      </c>
      <c r="D21" s="132">
        <v>0.51354811269806</v>
      </c>
      <c r="E21" s="132">
        <v>0.26427658467203102</v>
      </c>
      <c r="F21" s="132">
        <v>0.35243408191330777</v>
      </c>
      <c r="G21" s="132">
        <v>0.26363610053916509</v>
      </c>
      <c r="H21" s="132">
        <v>0.35433439083433282</v>
      </c>
      <c r="I21" s="132">
        <v>0.37592357795026926</v>
      </c>
      <c r="J21" s="132">
        <v>0.21103678241923568</v>
      </c>
      <c r="K21" s="132">
        <v>8.8300256657436474E-2</v>
      </c>
      <c r="L21" s="132">
        <v>0.10087981493535091</v>
      </c>
      <c r="M21" s="132">
        <v>4.8686731240435328E-2</v>
      </c>
      <c r="N21" s="132">
        <v>4.8276932437706491E-2</v>
      </c>
      <c r="O21" s="132">
        <v>4.1587193395496255E-2</v>
      </c>
      <c r="P21" s="132">
        <v>0</v>
      </c>
      <c r="Q21" s="132">
        <v>3.6059880753306232E-2</v>
      </c>
      <c r="R21" s="132">
        <v>0.15328082075060001</v>
      </c>
      <c r="S21" s="132">
        <v>0.15252905502617917</v>
      </c>
      <c r="T21" s="132">
        <v>0.2344988046814018</v>
      </c>
      <c r="U21" s="132">
        <v>0.19950401283034461</v>
      </c>
      <c r="V21" s="132">
        <v>8.8161428870930772E-2</v>
      </c>
      <c r="W21" s="132">
        <v>3.8650192495694707E-2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0.5313402293906121</v>
      </c>
      <c r="D22" s="132">
        <v>0.69804520211914511</v>
      </c>
      <c r="E22" s="132">
        <v>0.65448741867896143</v>
      </c>
      <c r="F22" s="132">
        <v>0.87149796493521592</v>
      </c>
      <c r="G22" s="132">
        <v>0.67352867031421315</v>
      </c>
      <c r="H22" s="132">
        <v>1.0768893870709038</v>
      </c>
      <c r="I22" s="132">
        <v>1.3977043717421658</v>
      </c>
      <c r="J22" s="132">
        <v>0.40377929500168896</v>
      </c>
      <c r="K22" s="132">
        <v>1.1077563612815972E-2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0.11886379680260545</v>
      </c>
      <c r="S22" s="132">
        <v>0.12127069397541874</v>
      </c>
      <c r="T22" s="132">
        <v>0.28205627960526053</v>
      </c>
      <c r="U22" s="132">
        <v>0.16190727209875111</v>
      </c>
      <c r="V22" s="132">
        <v>0.24412947620273778</v>
      </c>
      <c r="W22" s="132">
        <v>0.15313613378854632</v>
      </c>
      <c r="X22" s="132">
        <v>0.10467571290817779</v>
      </c>
      <c r="Y22" s="132">
        <v>8.361660683203001E-2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3.5027860900357956E-2</v>
      </c>
      <c r="D23" s="132">
        <v>4.4094453299187056E-2</v>
      </c>
      <c r="E23" s="132">
        <v>3.9090772328873626E-2</v>
      </c>
      <c r="F23" s="132">
        <v>5.5280810018357142E-2</v>
      </c>
      <c r="G23" s="132">
        <v>5.3020006376788602E-2</v>
      </c>
      <c r="H23" s="132">
        <v>7.1009198825535177E-2</v>
      </c>
      <c r="I23" s="132">
        <v>0.11354820812407694</v>
      </c>
      <c r="J23" s="132">
        <v>9.6610335541735343E-2</v>
      </c>
      <c r="K23" s="132">
        <v>7.4697119637320633E-2</v>
      </c>
      <c r="L23" s="132">
        <v>4.7722097129697112E-2</v>
      </c>
      <c r="M23" s="132">
        <v>1.5712855609113677E-2</v>
      </c>
      <c r="N23" s="132">
        <v>6.1441746334813738E-3</v>
      </c>
      <c r="O23" s="132">
        <v>5.5122645420813471E-3</v>
      </c>
      <c r="P23" s="132">
        <v>1.6396583796226889E-2</v>
      </c>
      <c r="Q23" s="132">
        <v>1.4377279869102279E-2</v>
      </c>
      <c r="R23" s="132">
        <v>2.628794779260555E-2</v>
      </c>
      <c r="S23" s="132">
        <v>0</v>
      </c>
      <c r="T23" s="132">
        <v>0</v>
      </c>
      <c r="U23" s="132">
        <v>0</v>
      </c>
      <c r="V23" s="132">
        <v>0</v>
      </c>
      <c r="W23" s="132">
        <v>8.3603179125023089E-3</v>
      </c>
      <c r="X23" s="132">
        <v>3.241050705095249E-2</v>
      </c>
      <c r="Y23" s="132">
        <v>2.6314625874402829E-2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0.10848206758490041</v>
      </c>
      <c r="D25" s="132">
        <v>7.2318168041235434E-2</v>
      </c>
      <c r="E25" s="132">
        <v>6.2119539660897442E-2</v>
      </c>
      <c r="F25" s="132">
        <v>1.5174117834613607E-2</v>
      </c>
      <c r="G25" s="132">
        <v>1.1644364922750049E-2</v>
      </c>
      <c r="H25" s="132">
        <v>2.237666526026561E-3</v>
      </c>
      <c r="I25" s="132">
        <v>8.11616234675685E-2</v>
      </c>
      <c r="J25" s="132">
        <v>9.983313369177714E-2</v>
      </c>
      <c r="K25" s="132">
        <v>0.10087409961890502</v>
      </c>
      <c r="L25" s="132">
        <v>0.13993235567942355</v>
      </c>
      <c r="M25" s="132">
        <v>9.1773157037037881E-2</v>
      </c>
      <c r="N25" s="132">
        <v>5.6127913591776303E-2</v>
      </c>
      <c r="O25" s="132">
        <v>5.5584473957139939E-2</v>
      </c>
      <c r="P25" s="132">
        <v>8.671297121526815E-2</v>
      </c>
      <c r="Q25" s="132">
        <v>7.3936614480050858E-2</v>
      </c>
      <c r="R25" s="132">
        <v>0.1160517772377697</v>
      </c>
      <c r="S25" s="132">
        <v>0.18392585923641822</v>
      </c>
      <c r="T25" s="132">
        <v>0.14688318917558157</v>
      </c>
      <c r="U25" s="132">
        <v>4.8328698809560727E-2</v>
      </c>
      <c r="V25" s="132">
        <v>6.7201216784246079E-2</v>
      </c>
      <c r="W25" s="132">
        <v>8.5260410921847885E-2</v>
      </c>
      <c r="X25" s="132">
        <v>6.0282824014132451E-2</v>
      </c>
      <c r="Y25" s="132">
        <v>5.1683963645673681E-2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0.193230062547773</v>
      </c>
      <c r="D26" s="65">
        <v>0.18267576435215918</v>
      </c>
      <c r="E26" s="65">
        <v>0.10681007648240912</v>
      </c>
      <c r="F26" s="65">
        <v>0.30942180139054826</v>
      </c>
      <c r="G26" s="65">
        <v>0.40592112450428297</v>
      </c>
      <c r="H26" s="65">
        <v>0.66348606847086544</v>
      </c>
      <c r="I26" s="65">
        <v>0.61358269035306645</v>
      </c>
      <c r="J26" s="65">
        <v>0.61216773025989135</v>
      </c>
      <c r="K26" s="65">
        <v>0.23436809348291604</v>
      </c>
      <c r="L26" s="65">
        <v>0.23784650914045066</v>
      </c>
      <c r="M26" s="65">
        <v>0.22329449730376963</v>
      </c>
      <c r="N26" s="65">
        <v>0.12851427625217643</v>
      </c>
      <c r="O26" s="65">
        <v>0.19062448480663979</v>
      </c>
      <c r="P26" s="65">
        <v>0.54397976588730779</v>
      </c>
      <c r="Q26" s="65">
        <v>0.36800173521352708</v>
      </c>
      <c r="R26" s="65">
        <v>0.18134798528000631</v>
      </c>
      <c r="S26" s="65">
        <v>0.30903701471481615</v>
      </c>
      <c r="T26" s="65">
        <v>0.175371164001623</v>
      </c>
      <c r="U26" s="65">
        <v>0.2888260357444134</v>
      </c>
      <c r="V26" s="65">
        <v>0.20801433074318598</v>
      </c>
      <c r="W26" s="65">
        <v>0.26913293303986796</v>
      </c>
      <c r="X26" s="65">
        <v>0.30526181200671176</v>
      </c>
      <c r="Y26" s="65">
        <v>0.3512928361623246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1.302413805949735</v>
      </c>
      <c r="D29" s="130">
        <f t="shared" si="12"/>
        <v>1.6508210471677935</v>
      </c>
      <c r="E29" s="130">
        <f t="shared" si="12"/>
        <v>1.1590344475483036</v>
      </c>
      <c r="F29" s="130">
        <f t="shared" si="12"/>
        <v>1.4543153984758848</v>
      </c>
      <c r="G29" s="130">
        <f t="shared" si="12"/>
        <v>1.3825464154268106</v>
      </c>
      <c r="H29" s="130">
        <f t="shared" si="12"/>
        <v>2.1314059555514535</v>
      </c>
      <c r="I29" s="130">
        <f t="shared" si="12"/>
        <v>3.7137456162554727</v>
      </c>
      <c r="J29" s="130">
        <f t="shared" si="12"/>
        <v>1.5398122644467984</v>
      </c>
      <c r="K29" s="130">
        <f t="shared" si="12"/>
        <v>0.62484713773648837</v>
      </c>
      <c r="L29" s="130">
        <f t="shared" si="12"/>
        <v>0.67392232010558162</v>
      </c>
      <c r="M29" s="130">
        <f t="shared" si="12"/>
        <v>0.46059619768319315</v>
      </c>
      <c r="N29" s="130">
        <f t="shared" si="12"/>
        <v>0.26947079503940607</v>
      </c>
      <c r="O29" s="130">
        <f t="shared" si="12"/>
        <v>0.35938385227552383</v>
      </c>
      <c r="P29" s="130">
        <f t="shared" si="12"/>
        <v>0.84558953498830969</v>
      </c>
      <c r="Q29" s="130">
        <f t="shared" si="12"/>
        <v>0.63428758301230981</v>
      </c>
      <c r="R29" s="130">
        <f t="shared" ref="R29:W29" si="13">SUM(R30:R33)</f>
        <v>0.79131826063220023</v>
      </c>
      <c r="S29" s="130">
        <f t="shared" si="13"/>
        <v>1.1001598003392439</v>
      </c>
      <c r="T29" s="130">
        <f t="shared" si="13"/>
        <v>1.2177991269379207</v>
      </c>
      <c r="U29" s="130">
        <f t="shared" si="13"/>
        <v>1.121136027133697</v>
      </c>
      <c r="V29" s="130">
        <f t="shared" si="13"/>
        <v>0.81119833578034917</v>
      </c>
      <c r="W29" s="130">
        <f t="shared" si="13"/>
        <v>0.72415537198587909</v>
      </c>
      <c r="X29" s="130">
        <f t="shared" ref="X29:Y29" si="14">SUM(X30:X33)</f>
        <v>0.66098030627672943</v>
      </c>
      <c r="Y29" s="130">
        <f t="shared" si="14"/>
        <v>0.66968242516371579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0.24409105546292634</v>
      </c>
      <c r="H30" s="132">
        <v>0.3744193664665037</v>
      </c>
      <c r="I30" s="132">
        <v>2.9777341143196554</v>
      </c>
      <c r="J30" s="132">
        <v>0.68463213149208557</v>
      </c>
      <c r="K30" s="132">
        <v>0.30680071658332875</v>
      </c>
      <c r="L30" s="132">
        <v>0.26903849879930453</v>
      </c>
      <c r="M30" s="132">
        <v>0</v>
      </c>
      <c r="N30" s="132">
        <v>1.1542202596930358E-3</v>
      </c>
      <c r="O30" s="132">
        <v>0</v>
      </c>
      <c r="P30" s="132">
        <v>0</v>
      </c>
      <c r="Q30" s="132">
        <v>8.8202395625968048E-3</v>
      </c>
      <c r="R30" s="132">
        <v>0.16589161326323548</v>
      </c>
      <c r="S30" s="132">
        <v>0.49512334053092272</v>
      </c>
      <c r="T30" s="132">
        <v>0.6591585943379632</v>
      </c>
      <c r="U30" s="132">
        <v>0.66932618684239575</v>
      </c>
      <c r="V30" s="132">
        <v>0.23950110000181124</v>
      </c>
      <c r="W30" s="132">
        <v>0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0.89317514343255444</v>
      </c>
      <c r="D31" s="132">
        <v>0.30397578617386545</v>
      </c>
      <c r="E31" s="132">
        <v>0.10383840323485252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4.7033884890184181E-2</v>
      </c>
      <c r="L31" s="132">
        <v>6.9650132973401321E-2</v>
      </c>
      <c r="M31" s="132">
        <v>3.6015033646048217E-2</v>
      </c>
      <c r="N31" s="132">
        <v>5.7620501121642964E-2</v>
      </c>
      <c r="O31" s="132">
        <v>0.1135750797680761</v>
      </c>
      <c r="P31" s="132">
        <v>0.3323416824354799</v>
      </c>
      <c r="Q31" s="132">
        <v>0.18462354603440656</v>
      </c>
      <c r="R31" s="132">
        <v>1.5732137675382382E-2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3.7671798645587021E-2</v>
      </c>
      <c r="Y31" s="132">
        <v>6.7514892400144674E-2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0.40923866251718066</v>
      </c>
      <c r="D33" s="68">
        <v>1.3468452609939281</v>
      </c>
      <c r="E33" s="68">
        <v>1.0551960443134512</v>
      </c>
      <c r="F33" s="68">
        <v>1.4543153984758848</v>
      </c>
      <c r="G33" s="68">
        <v>1.1384553599638843</v>
      </c>
      <c r="H33" s="68">
        <v>1.7569865890849496</v>
      </c>
      <c r="I33" s="68">
        <v>0.73601150193581755</v>
      </c>
      <c r="J33" s="68">
        <v>0.85518013295471285</v>
      </c>
      <c r="K33" s="68">
        <v>0.27101253626297539</v>
      </c>
      <c r="L33" s="68">
        <v>0.33523368833287576</v>
      </c>
      <c r="M33" s="68">
        <v>0.42458116403714496</v>
      </c>
      <c r="N33" s="68">
        <v>0.21069607365807008</v>
      </c>
      <c r="O33" s="68">
        <v>0.24580877250744773</v>
      </c>
      <c r="P33" s="68">
        <v>0.51324785255282979</v>
      </c>
      <c r="Q33" s="68">
        <v>0.44084379741530649</v>
      </c>
      <c r="R33" s="68">
        <v>0.6096945096935823</v>
      </c>
      <c r="S33" s="68">
        <v>0.6050364598083211</v>
      </c>
      <c r="T33" s="68">
        <v>0.5586405325999575</v>
      </c>
      <c r="U33" s="68">
        <v>0.45180984029130128</v>
      </c>
      <c r="V33" s="68">
        <v>0.57169723577853793</v>
      </c>
      <c r="W33" s="68">
        <v>0.72415537198587909</v>
      </c>
      <c r="X33" s="68">
        <v>0.62330850763114243</v>
      </c>
      <c r="Y33" s="68">
        <v>0.60216753276357116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12.849291209938068</v>
      </c>
      <c r="D3" s="125">
        <f t="shared" si="0"/>
        <v>16.704736642228138</v>
      </c>
      <c r="E3" s="125">
        <f t="shared" si="0"/>
        <v>8.5968332611515823</v>
      </c>
      <c r="F3" s="125">
        <f t="shared" si="0"/>
        <v>12.070488635847989</v>
      </c>
      <c r="G3" s="125">
        <f t="shared" si="0"/>
        <v>9.4287595966202336</v>
      </c>
      <c r="H3" s="125">
        <f t="shared" si="0"/>
        <v>12.697772555149561</v>
      </c>
      <c r="I3" s="125">
        <f t="shared" si="0"/>
        <v>13.634566340977242</v>
      </c>
      <c r="J3" s="125">
        <f t="shared" si="0"/>
        <v>9.7999578568757801</v>
      </c>
      <c r="K3" s="125">
        <f t="shared" si="0"/>
        <v>3.6038894832376851</v>
      </c>
      <c r="L3" s="125">
        <f t="shared" si="0"/>
        <v>4.7151644950336875</v>
      </c>
      <c r="M3" s="125">
        <f t="shared" si="0"/>
        <v>3.0118323574596859</v>
      </c>
      <c r="N3" s="125">
        <f t="shared" si="0"/>
        <v>1.665561402544413</v>
      </c>
      <c r="O3" s="125">
        <f t="shared" si="0"/>
        <v>2.0157625485279267</v>
      </c>
      <c r="P3" s="125">
        <f t="shared" si="0"/>
        <v>3.829306259070814</v>
      </c>
      <c r="Q3" s="125">
        <f t="shared" si="0"/>
        <v>3.186549193130868</v>
      </c>
      <c r="R3" s="125">
        <f t="shared" ref="R3:W3" si="1">SUM(R4,R16,R19,R29)</f>
        <v>3.9571335175006386</v>
      </c>
      <c r="S3" s="125">
        <f t="shared" si="1"/>
        <v>5.032935479269657</v>
      </c>
      <c r="T3" s="125">
        <f t="shared" si="1"/>
        <v>5.0378976496001142</v>
      </c>
      <c r="U3" s="125">
        <f t="shared" si="1"/>
        <v>4.1282335274381721</v>
      </c>
      <c r="V3" s="125">
        <f t="shared" si="1"/>
        <v>3.2263240330855689</v>
      </c>
      <c r="W3" s="125">
        <f t="shared" si="1"/>
        <v>2.9116366276268701</v>
      </c>
      <c r="X3" s="125">
        <f t="shared" ref="X3:Y3" si="2">SUM(X4,X16,X19,X29)</f>
        <v>2.9365779708314443</v>
      </c>
      <c r="Y3" s="125">
        <f t="shared" si="2"/>
        <v>3.0213305987263692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10.198830226375092</v>
      </c>
      <c r="D4" s="130">
        <f t="shared" si="3"/>
        <v>13.090484736163083</v>
      </c>
      <c r="E4" s="130">
        <f t="shared" si="3"/>
        <v>5.5447617895829264</v>
      </c>
      <c r="F4" s="130">
        <f t="shared" si="3"/>
        <v>8.4661937621041652</v>
      </c>
      <c r="G4" s="130">
        <f t="shared" si="3"/>
        <v>5.9660560244118983</v>
      </c>
      <c r="H4" s="130">
        <f t="shared" si="3"/>
        <v>7.4494873966033444</v>
      </c>
      <c r="I4" s="130">
        <f t="shared" si="3"/>
        <v>7.0849880608148723</v>
      </c>
      <c r="J4" s="130">
        <f t="shared" si="3"/>
        <v>6.0045420661804032</v>
      </c>
      <c r="K4" s="130">
        <f t="shared" si="3"/>
        <v>2.1428138325220623</v>
      </c>
      <c r="L4" s="130">
        <f t="shared" si="3"/>
        <v>3.1172502090733758</v>
      </c>
      <c r="M4" s="130">
        <f t="shared" si="3"/>
        <v>1.8592858963384593</v>
      </c>
      <c r="N4" s="130">
        <f t="shared" si="3"/>
        <v>0.92050409128575972</v>
      </c>
      <c r="O4" s="130">
        <f t="shared" si="3"/>
        <v>1.0768095268131734</v>
      </c>
      <c r="P4" s="130">
        <f t="shared" si="3"/>
        <v>1.9083820738556703</v>
      </c>
      <c r="Q4" s="130">
        <f t="shared" si="3"/>
        <v>1.5788939858589417</v>
      </c>
      <c r="R4" s="130">
        <f t="shared" ref="R4:W4" si="4">SUM(R5:R15)</f>
        <v>2.11031734948725</v>
      </c>
      <c r="S4" s="130">
        <f t="shared" si="4"/>
        <v>2.4556125396320474</v>
      </c>
      <c r="T4" s="130">
        <f t="shared" si="4"/>
        <v>2.4832938796612392</v>
      </c>
      <c r="U4" s="130">
        <f t="shared" si="4"/>
        <v>1.835518072644164</v>
      </c>
      <c r="V4" s="130">
        <f t="shared" si="4"/>
        <v>1.3584611677721441</v>
      </c>
      <c r="W4" s="130">
        <f t="shared" si="4"/>
        <v>1.1002115602718212</v>
      </c>
      <c r="X4" s="130">
        <f t="shared" ref="X4:Y4" si="5">SUM(X5:X15)</f>
        <v>1.276371685321146</v>
      </c>
      <c r="Y4" s="130">
        <f t="shared" si="5"/>
        <v>1.3728607513446853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4.1759894140219416</v>
      </c>
      <c r="D7" s="132">
        <v>4.8316082092318506</v>
      </c>
      <c r="E7" s="132">
        <v>4.1094587506974145</v>
      </c>
      <c r="F7" s="132">
        <v>4.7415459902719679</v>
      </c>
      <c r="G7" s="132">
        <v>3.618537154813803</v>
      </c>
      <c r="H7" s="132">
        <v>2.8535428415395847</v>
      </c>
      <c r="I7" s="132">
        <v>1.8580025832247382</v>
      </c>
      <c r="J7" s="132">
        <v>3.1818345059978976</v>
      </c>
      <c r="K7" s="132">
        <v>0.60879905076199492</v>
      </c>
      <c r="L7" s="132">
        <v>0</v>
      </c>
      <c r="M7" s="132">
        <v>0</v>
      </c>
      <c r="N7" s="132">
        <v>0</v>
      </c>
      <c r="O7" s="132">
        <v>0</v>
      </c>
      <c r="P7" s="132">
        <v>0</v>
      </c>
      <c r="Q7" s="132">
        <v>0</v>
      </c>
      <c r="R7" s="132">
        <v>0.42827965516933719</v>
      </c>
      <c r="S7" s="132">
        <v>0.34551190533089543</v>
      </c>
      <c r="T7" s="132">
        <v>0.72133796892565172</v>
      </c>
      <c r="U7" s="132">
        <v>0.55906570368521913</v>
      </c>
      <c r="V7" s="132">
        <v>0.41349290940941968</v>
      </c>
      <c r="W7" s="132">
        <v>0.33836841617294322</v>
      </c>
      <c r="X7" s="132">
        <v>0.28471844586073619</v>
      </c>
      <c r="Y7" s="132">
        <v>0.322286042186675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4.0293807788863392</v>
      </c>
      <c r="D9" s="132">
        <v>2.8457514546482465</v>
      </c>
      <c r="E9" s="132">
        <v>0.29842489669940048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0.28322758106739898</v>
      </c>
      <c r="L9" s="132">
        <v>0.29447114134119257</v>
      </c>
      <c r="M9" s="132">
        <v>0.44005384797189739</v>
      </c>
      <c r="N9" s="132">
        <v>1.4028609738312103E-2</v>
      </c>
      <c r="O9" s="132">
        <v>0.37043059735864309</v>
      </c>
      <c r="P9" s="132">
        <v>0.98388411497243822</v>
      </c>
      <c r="Q9" s="132">
        <v>1.0275974835218962</v>
      </c>
      <c r="R9" s="132">
        <v>0.56229564260803133</v>
      </c>
      <c r="S9" s="132">
        <v>0</v>
      </c>
      <c r="T9" s="132">
        <v>0</v>
      </c>
      <c r="U9" s="132">
        <v>0</v>
      </c>
      <c r="V9" s="132">
        <v>0</v>
      </c>
      <c r="W9" s="132">
        <v>0.16286860213925061</v>
      </c>
      <c r="X9" s="132">
        <v>0.29410654856601348</v>
      </c>
      <c r="Y9" s="132">
        <v>0.42212799536390538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5.9418272405303649E-3</v>
      </c>
      <c r="D10" s="132">
        <v>0</v>
      </c>
      <c r="E10" s="132">
        <v>6.9282396781294151E-4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8.9180076759753671E-17</v>
      </c>
      <c r="W10" s="132">
        <v>0</v>
      </c>
      <c r="X10" s="132">
        <v>0.50221815553436744</v>
      </c>
      <c r="Y10" s="132">
        <v>0.15244660944675439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1.7053119219551272</v>
      </c>
      <c r="M11" s="132">
        <v>0.23712184861530411</v>
      </c>
      <c r="N11" s="132">
        <v>4.517687350257607E-2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4.8373908581713476E-2</v>
      </c>
      <c r="U11" s="132">
        <v>1.7739634271647566E-2</v>
      </c>
      <c r="V11" s="132">
        <v>3.8762656841771242E-2</v>
      </c>
      <c r="W11" s="132">
        <v>2.1293311249294112E-2</v>
      </c>
      <c r="X11" s="132">
        <v>3.4313598496196265E-2</v>
      </c>
      <c r="Y11" s="132">
        <v>5.6634728254895211E-2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3.6979697097467207E-2</v>
      </c>
      <c r="G12" s="132">
        <v>0.32053946005558454</v>
      </c>
      <c r="H12" s="132">
        <v>1.5767774561182051</v>
      </c>
      <c r="I12" s="132">
        <v>0.2307861506952277</v>
      </c>
      <c r="J12" s="132">
        <v>0.24343746674637839</v>
      </c>
      <c r="K12" s="132">
        <v>0.80623307832980173</v>
      </c>
      <c r="L12" s="132">
        <v>0.98117874020015217</v>
      </c>
      <c r="M12" s="132">
        <v>0.73121801939731845</v>
      </c>
      <c r="N12" s="132">
        <v>0.42762725810800389</v>
      </c>
      <c r="O12" s="132">
        <v>0.33811142899676838</v>
      </c>
      <c r="P12" s="132">
        <v>0</v>
      </c>
      <c r="Q12" s="132">
        <v>5.6231899410488381E-2</v>
      </c>
      <c r="R12" s="132">
        <v>5.1583647635491843E-2</v>
      </c>
      <c r="S12" s="132">
        <v>0.45199863606633006</v>
      </c>
      <c r="T12" s="132">
        <v>0.36960189183567432</v>
      </c>
      <c r="U12" s="132">
        <v>0.32751165273804156</v>
      </c>
      <c r="V12" s="132">
        <v>0.28544824719984724</v>
      </c>
      <c r="W12" s="132">
        <v>0.18252679411876085</v>
      </c>
      <c r="X12" s="132">
        <v>0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0.40610834598321804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1.8267646297278493</v>
      </c>
      <c r="D14" s="65">
        <v>5.2657490266895852</v>
      </c>
      <c r="E14" s="65">
        <v>1.0531575162962385</v>
      </c>
      <c r="F14" s="65">
        <v>3.5997852526924627</v>
      </c>
      <c r="G14" s="65">
        <v>1.9597131623516384</v>
      </c>
      <c r="H14" s="65">
        <v>2.9610398098076534</v>
      </c>
      <c r="I14" s="65">
        <v>4.9624232805076502</v>
      </c>
      <c r="J14" s="65">
        <v>2.5228927900884597</v>
      </c>
      <c r="K14" s="65">
        <v>0.42578680490629189</v>
      </c>
      <c r="L14" s="65">
        <v>0.11990686086371122</v>
      </c>
      <c r="M14" s="65">
        <v>0.43945211023776132</v>
      </c>
      <c r="N14" s="65">
        <v>0.43147581864990592</v>
      </c>
      <c r="O14" s="65">
        <v>0.36078111921769312</v>
      </c>
      <c r="P14" s="65">
        <v>0.90843712639452956</v>
      </c>
      <c r="Q14" s="65">
        <v>0.47817938720490799</v>
      </c>
      <c r="R14" s="65">
        <v>1.0519895074008598</v>
      </c>
      <c r="S14" s="65">
        <v>1.6507508834689848</v>
      </c>
      <c r="T14" s="65">
        <v>1.330792797487782</v>
      </c>
      <c r="U14" s="65">
        <v>0.92092624107836407</v>
      </c>
      <c r="V14" s="65">
        <v>0.61289963447014217</v>
      </c>
      <c r="W14" s="65">
        <v>0.3863894813883233</v>
      </c>
      <c r="X14" s="65">
        <v>0.14770493172037155</v>
      </c>
      <c r="Y14" s="65">
        <v>0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0.16075357649843272</v>
      </c>
      <c r="D15" s="134">
        <v>0.14737604559339973</v>
      </c>
      <c r="E15" s="134">
        <v>8.3027801922059746E-2</v>
      </c>
      <c r="F15" s="134">
        <v>8.7882822042267578E-2</v>
      </c>
      <c r="G15" s="134">
        <v>6.7266247190871847E-2</v>
      </c>
      <c r="H15" s="134">
        <v>5.8127289137901231E-2</v>
      </c>
      <c r="I15" s="134">
        <v>3.3776046387256502E-2</v>
      </c>
      <c r="J15" s="134">
        <v>5.6377303347667454E-2</v>
      </c>
      <c r="K15" s="134">
        <v>1.8767317456574926E-2</v>
      </c>
      <c r="L15" s="134">
        <v>1.638154471319294E-2</v>
      </c>
      <c r="M15" s="134">
        <v>1.1440070116178126E-2</v>
      </c>
      <c r="N15" s="134">
        <v>2.195531286961757E-3</v>
      </c>
      <c r="O15" s="134">
        <v>7.4863812400690092E-3</v>
      </c>
      <c r="P15" s="134">
        <v>1.6060832488702582E-2</v>
      </c>
      <c r="Q15" s="134">
        <v>1.6885215721649107E-2</v>
      </c>
      <c r="R15" s="134">
        <v>1.6168896673529668E-2</v>
      </c>
      <c r="S15" s="134">
        <v>7.3511147658372588E-3</v>
      </c>
      <c r="T15" s="134">
        <v>1.3187312830417495E-2</v>
      </c>
      <c r="U15" s="134">
        <v>1.0274840870891732E-2</v>
      </c>
      <c r="V15" s="134">
        <v>7.8577198509635626E-3</v>
      </c>
      <c r="W15" s="134">
        <v>8.7649552032491203E-3</v>
      </c>
      <c r="X15" s="134">
        <v>1.3310005143461036E-2</v>
      </c>
      <c r="Y15" s="134">
        <v>1.3257030109237504E-2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1.1152200465011268</v>
      </c>
      <c r="D16" s="130">
        <f t="shared" si="6"/>
        <v>1.4461368404099522</v>
      </c>
      <c r="E16" s="130">
        <f t="shared" si="6"/>
        <v>1.4702793329502559</v>
      </c>
      <c r="F16" s="130">
        <f t="shared" si="6"/>
        <v>1.4741047918665777</v>
      </c>
      <c r="G16" s="130">
        <f t="shared" si="6"/>
        <v>1.5337712571685556</v>
      </c>
      <c r="H16" s="130">
        <f t="shared" si="6"/>
        <v>2.2675566083511676</v>
      </c>
      <c r="I16" s="130">
        <f t="shared" si="6"/>
        <v>2.5583438439818056</v>
      </c>
      <c r="J16" s="130">
        <f t="shared" si="6"/>
        <v>1.7453107048033631</v>
      </c>
      <c r="K16" s="130">
        <f t="shared" si="6"/>
        <v>0.66294490117281746</v>
      </c>
      <c r="L16" s="130">
        <f t="shared" si="6"/>
        <v>0.73352972019026097</v>
      </c>
      <c r="M16" s="130">
        <f t="shared" si="6"/>
        <v>0.50011726447311922</v>
      </c>
      <c r="N16" s="130">
        <f t="shared" si="6"/>
        <v>0.35608666860105304</v>
      </c>
      <c r="O16" s="130">
        <f t="shared" si="6"/>
        <v>0.43969391437067268</v>
      </c>
      <c r="P16" s="130">
        <f t="shared" si="6"/>
        <v>0.77028384036369024</v>
      </c>
      <c r="Q16" s="130">
        <f t="shared" si="6"/>
        <v>0.71329478125482981</v>
      </c>
      <c r="R16" s="130">
        <f t="shared" ref="R16:W16" si="7">SUM(R17:R18)</f>
        <v>0.73580525604312208</v>
      </c>
      <c r="S16" s="130">
        <f t="shared" si="7"/>
        <v>1.1077431836886196</v>
      </c>
      <c r="T16" s="130">
        <f t="shared" si="7"/>
        <v>0.96357958357832274</v>
      </c>
      <c r="U16" s="130">
        <f t="shared" si="7"/>
        <v>0.88199057723747776</v>
      </c>
      <c r="V16" s="130">
        <f t="shared" si="7"/>
        <v>0.68205527962626367</v>
      </c>
      <c r="W16" s="130">
        <f t="shared" si="7"/>
        <v>0.6578524584722889</v>
      </c>
      <c r="X16" s="130">
        <f t="shared" ref="X16:Y16" si="8">SUM(X17:X18)</f>
        <v>0.60840515607927559</v>
      </c>
      <c r="Y16" s="130">
        <f t="shared" si="8"/>
        <v>0.57722860637898254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1.1152200465011268</v>
      </c>
      <c r="D18" s="132">
        <v>1.4461368404099522</v>
      </c>
      <c r="E18" s="132">
        <v>1.4702793329502559</v>
      </c>
      <c r="F18" s="132">
        <v>1.4741047918665777</v>
      </c>
      <c r="G18" s="132">
        <v>1.5337712571685556</v>
      </c>
      <c r="H18" s="132">
        <v>2.2675566083511676</v>
      </c>
      <c r="I18" s="132">
        <v>2.5583438439818056</v>
      </c>
      <c r="J18" s="132">
        <v>1.7453107048033631</v>
      </c>
      <c r="K18" s="132">
        <v>0.66294490117281746</v>
      </c>
      <c r="L18" s="132">
        <v>0.73352972019026097</v>
      </c>
      <c r="M18" s="132">
        <v>0.50011726447311922</v>
      </c>
      <c r="N18" s="132">
        <v>0.35608666860105304</v>
      </c>
      <c r="O18" s="132">
        <v>0.43969391437067268</v>
      </c>
      <c r="P18" s="132">
        <v>0.77028384036369024</v>
      </c>
      <c r="Q18" s="132">
        <v>0.71329478125482981</v>
      </c>
      <c r="R18" s="132">
        <v>0.73580525604312208</v>
      </c>
      <c r="S18" s="132">
        <v>1.1077431836886196</v>
      </c>
      <c r="T18" s="132">
        <v>0.96357958357832274</v>
      </c>
      <c r="U18" s="132">
        <v>0.88199057723747776</v>
      </c>
      <c r="V18" s="132">
        <v>0.68205527962626367</v>
      </c>
      <c r="W18" s="132">
        <v>0.6578524584722889</v>
      </c>
      <c r="X18" s="132">
        <v>0.60840515607927559</v>
      </c>
      <c r="Y18" s="132">
        <v>0.57722860637898254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0.66504613244541355</v>
      </c>
      <c r="D19" s="130">
        <f t="shared" si="9"/>
        <v>0.90478544989523479</v>
      </c>
      <c r="E19" s="130">
        <f t="shared" si="9"/>
        <v>0.67234875719944176</v>
      </c>
      <c r="F19" s="130">
        <f t="shared" si="9"/>
        <v>0.96203459586867013</v>
      </c>
      <c r="G19" s="130">
        <f t="shared" si="9"/>
        <v>0.86598177125318898</v>
      </c>
      <c r="H19" s="130">
        <f t="shared" si="9"/>
        <v>1.3390461148917974</v>
      </c>
      <c r="I19" s="130">
        <f t="shared" si="9"/>
        <v>1.6015212905691751</v>
      </c>
      <c r="J19" s="130">
        <f t="shared" si="9"/>
        <v>0.9451979943029919</v>
      </c>
      <c r="K19" s="130">
        <f t="shared" si="9"/>
        <v>0.36440094225492281</v>
      </c>
      <c r="L19" s="130">
        <f t="shared" si="9"/>
        <v>0.38678338939089252</v>
      </c>
      <c r="M19" s="130">
        <f t="shared" si="9"/>
        <v>0.28424653160588959</v>
      </c>
      <c r="N19" s="130">
        <f t="shared" si="9"/>
        <v>0.18042566452113046</v>
      </c>
      <c r="O19" s="130">
        <f t="shared" si="9"/>
        <v>0.22710147221572619</v>
      </c>
      <c r="P19" s="130">
        <f t="shared" si="9"/>
        <v>0.52045710450214966</v>
      </c>
      <c r="Q19" s="130">
        <f t="shared" si="9"/>
        <v>0.40553020074918089</v>
      </c>
      <c r="R19" s="130">
        <f t="shared" ref="R19:W19" si="10">SUM(R20:R27)</f>
        <v>0.48140035313135421</v>
      </c>
      <c r="S19" s="130">
        <f t="shared" si="10"/>
        <v>0.64195262156659227</v>
      </c>
      <c r="T19" s="130">
        <f t="shared" si="10"/>
        <v>0.69083250330482904</v>
      </c>
      <c r="U19" s="130">
        <f t="shared" si="10"/>
        <v>0.58861219962520206</v>
      </c>
      <c r="V19" s="130">
        <f t="shared" si="10"/>
        <v>0.51609788079172092</v>
      </c>
      <c r="W19" s="130">
        <f t="shared" si="10"/>
        <v>0.48842836671286982</v>
      </c>
      <c r="X19" s="130">
        <f t="shared" ref="X19:Y19" si="11">SUM(X20:X27)</f>
        <v>0.45175450353225743</v>
      </c>
      <c r="Y19" s="130">
        <f t="shared" si="11"/>
        <v>0.4686973116159972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0.12485727083765373</v>
      </c>
      <c r="D21" s="132">
        <v>0.30227292881876627</v>
      </c>
      <c r="E21" s="132">
        <v>0.15623617369447798</v>
      </c>
      <c r="F21" s="132">
        <v>0.20928050459936187</v>
      </c>
      <c r="G21" s="132">
        <v>0.1573210644232787</v>
      </c>
      <c r="H21" s="132">
        <v>0.21257129419506299</v>
      </c>
      <c r="I21" s="132">
        <v>0.22683989148859118</v>
      </c>
      <c r="J21" s="132">
        <v>0.12820375330053974</v>
      </c>
      <c r="K21" s="132">
        <v>5.4070980163869534E-2</v>
      </c>
      <c r="L21" s="132">
        <v>6.2349116661112133E-2</v>
      </c>
      <c r="M21" s="132">
        <v>3.0656716368067813E-2</v>
      </c>
      <c r="N21" s="132">
        <v>3.1323345143751222E-2</v>
      </c>
      <c r="O21" s="132">
        <v>2.8147355840368506E-2</v>
      </c>
      <c r="P21" s="132">
        <v>0</v>
      </c>
      <c r="Q21" s="132">
        <v>2.6733107143905917E-2</v>
      </c>
      <c r="R21" s="132">
        <v>0.1166753887986733</v>
      </c>
      <c r="S21" s="132">
        <v>0.11891995506717916</v>
      </c>
      <c r="T21" s="132">
        <v>0.18671042706784283</v>
      </c>
      <c r="U21" s="132">
        <v>0.16166029657978087</v>
      </c>
      <c r="V21" s="132">
        <v>7.2416786211241618E-2</v>
      </c>
      <c r="W21" s="132">
        <v>3.2011403165189203E-2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0.29367403337350573</v>
      </c>
      <c r="D22" s="132">
        <v>0.38741685378618368</v>
      </c>
      <c r="E22" s="132">
        <v>0.36495541684813482</v>
      </c>
      <c r="F22" s="132">
        <v>0.48828415885652615</v>
      </c>
      <c r="G22" s="132">
        <v>0.37935621685832305</v>
      </c>
      <c r="H22" s="132">
        <v>0.61001036061972014</v>
      </c>
      <c r="I22" s="132">
        <v>0.7966917584626374</v>
      </c>
      <c r="J22" s="132">
        <v>0.23181888403225548</v>
      </c>
      <c r="K22" s="132">
        <v>6.4143385369342682E-3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8.6725957224976447E-2</v>
      </c>
      <c r="S22" s="132">
        <v>9.0748000305265239E-2</v>
      </c>
      <c r="T22" s="132">
        <v>0.21579010811889215</v>
      </c>
      <c r="U22" s="132">
        <v>0.12617869493861633</v>
      </c>
      <c r="V22" s="132">
        <v>0.19299846671977852</v>
      </c>
      <c r="W22" s="132">
        <v>0.1221200837639293</v>
      </c>
      <c r="X22" s="132">
        <v>8.3837923744640913E-2</v>
      </c>
      <c r="Y22" s="132">
        <v>6.7117940197442674E-2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2.0982379145047542E-2</v>
      </c>
      <c r="D23" s="132">
        <v>2.6667281122327614E-2</v>
      </c>
      <c r="E23" s="132">
        <v>2.387639609913041E-2</v>
      </c>
      <c r="F23" s="132">
        <v>3.4100375111563906E-2</v>
      </c>
      <c r="G23" s="132">
        <v>3.3039912105267258E-2</v>
      </c>
      <c r="H23" s="132">
        <v>4.4712652717067099E-2</v>
      </c>
      <c r="I23" s="132">
        <v>7.226740206217741E-2</v>
      </c>
      <c r="J23" s="132">
        <v>6.2184948402621253E-2</v>
      </c>
      <c r="K23" s="132">
        <v>4.8664821939636088E-2</v>
      </c>
      <c r="L23" s="132">
        <v>3.1495034342225753E-2</v>
      </c>
      <c r="M23" s="132">
        <v>1.0575359549963788E-2</v>
      </c>
      <c r="N23" s="132">
        <v>4.2513369461116644E-3</v>
      </c>
      <c r="O23" s="132">
        <v>3.955116268123348E-3</v>
      </c>
      <c r="P23" s="132">
        <v>1.2252470764229173E-2</v>
      </c>
      <c r="Q23" s="132">
        <v>1.1117956706980146E-2</v>
      </c>
      <c r="R23" s="132">
        <v>2.0746967707603866E-2</v>
      </c>
      <c r="S23" s="132">
        <v>0</v>
      </c>
      <c r="T23" s="132">
        <v>0</v>
      </c>
      <c r="U23" s="132">
        <v>0</v>
      </c>
      <c r="V23" s="132">
        <v>0</v>
      </c>
      <c r="W23" s="132">
        <v>6.9928023004153838E-3</v>
      </c>
      <c r="X23" s="132">
        <v>2.7197119756495053E-2</v>
      </c>
      <c r="Y23" s="132">
        <v>2.2123716662641051E-2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9.0989200856872204E-2</v>
      </c>
      <c r="D25" s="132">
        <v>6.0852163859013993E-2</v>
      </c>
      <c r="E25" s="132">
        <v>5.2442887905726036E-2</v>
      </c>
      <c r="F25" s="132">
        <v>1.2852629601975009E-2</v>
      </c>
      <c r="G25" s="132">
        <v>9.8961017208864157E-3</v>
      </c>
      <c r="H25" s="132">
        <v>1.9082236160602208E-3</v>
      </c>
      <c r="I25" s="132">
        <v>6.945488789716267E-2</v>
      </c>
      <c r="J25" s="132">
        <v>8.574453763830385E-2</v>
      </c>
      <c r="K25" s="132">
        <v>8.6971435253023602E-2</v>
      </c>
      <c r="L25" s="132">
        <v>0.1211355021384671</v>
      </c>
      <c r="M25" s="132">
        <v>7.9889401165863988E-2</v>
      </c>
      <c r="N25" s="132">
        <v>4.9227228269276932E-2</v>
      </c>
      <c r="O25" s="132">
        <v>4.9226999915457557E-2</v>
      </c>
      <c r="P25" s="132">
        <v>7.7661471036328381E-2</v>
      </c>
      <c r="Q25" s="132">
        <v>6.6915673403914702E-2</v>
      </c>
      <c r="R25" s="132">
        <v>0.10586982086838201</v>
      </c>
      <c r="S25" s="132">
        <v>0.16908121307736618</v>
      </c>
      <c r="T25" s="132">
        <v>0.13602459497194103</v>
      </c>
      <c r="U25" s="132">
        <v>4.5069719187137453E-2</v>
      </c>
      <c r="V25" s="132">
        <v>6.3083288301386362E-2</v>
      </c>
      <c r="W25" s="132">
        <v>8.0519361985460836E-2</v>
      </c>
      <c r="X25" s="132">
        <v>5.7108694047965342E-2</v>
      </c>
      <c r="Y25" s="132">
        <v>4.9109245896912776E-2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0.13454324823233427</v>
      </c>
      <c r="D26" s="65">
        <v>0.12757622230894317</v>
      </c>
      <c r="E26" s="65">
        <v>7.4837882651972512E-2</v>
      </c>
      <c r="F26" s="65">
        <v>0.21751692769924311</v>
      </c>
      <c r="G26" s="65">
        <v>0.28636847614543359</v>
      </c>
      <c r="H26" s="65">
        <v>0.46984358374388696</v>
      </c>
      <c r="I26" s="65">
        <v>0.43626735065860661</v>
      </c>
      <c r="J26" s="65">
        <v>0.43724587092927159</v>
      </c>
      <c r="K26" s="65">
        <v>0.16827936636145929</v>
      </c>
      <c r="L26" s="65">
        <v>0.17180373624908754</v>
      </c>
      <c r="M26" s="65">
        <v>0.163125054521994</v>
      </c>
      <c r="N26" s="65">
        <v>9.5623754161990634E-2</v>
      </c>
      <c r="O26" s="65">
        <v>0.14577200019177677</v>
      </c>
      <c r="P26" s="65">
        <v>0.4305431627015921</v>
      </c>
      <c r="Q26" s="65">
        <v>0.3007634634943801</v>
      </c>
      <c r="R26" s="65">
        <v>0.15138221853171865</v>
      </c>
      <c r="S26" s="65">
        <v>0.26320345311678173</v>
      </c>
      <c r="T26" s="65">
        <v>0.15230737314615303</v>
      </c>
      <c r="U26" s="65">
        <v>0.25570348891966743</v>
      </c>
      <c r="V26" s="65">
        <v>0.18759933955931446</v>
      </c>
      <c r="W26" s="65">
        <v>0.24678471549787512</v>
      </c>
      <c r="X26" s="65">
        <v>0.28361076598315615</v>
      </c>
      <c r="Y26" s="65">
        <v>0.33034640885900068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0.87019480461643495</v>
      </c>
      <c r="D29" s="130">
        <f t="shared" si="12"/>
        <v>1.263329615759867</v>
      </c>
      <c r="E29" s="130">
        <f t="shared" si="12"/>
        <v>0.90944338141895853</v>
      </c>
      <c r="F29" s="130">
        <f t="shared" si="12"/>
        <v>1.168155486008575</v>
      </c>
      <c r="G29" s="130">
        <f t="shared" si="12"/>
        <v>1.0629505437865898</v>
      </c>
      <c r="H29" s="130">
        <f t="shared" si="12"/>
        <v>1.6416824353032502</v>
      </c>
      <c r="I29" s="130">
        <f t="shared" si="12"/>
        <v>2.3897131456113887</v>
      </c>
      <c r="J29" s="130">
        <f t="shared" si="12"/>
        <v>1.1049070915890213</v>
      </c>
      <c r="K29" s="130">
        <f t="shared" si="12"/>
        <v>0.43372980728788219</v>
      </c>
      <c r="L29" s="130">
        <f t="shared" si="12"/>
        <v>0.47760117637915844</v>
      </c>
      <c r="M29" s="130">
        <f t="shared" si="12"/>
        <v>0.36818266504221758</v>
      </c>
      <c r="N29" s="130">
        <f t="shared" si="12"/>
        <v>0.20854497813646991</v>
      </c>
      <c r="O29" s="130">
        <f t="shared" si="12"/>
        <v>0.27215763512835445</v>
      </c>
      <c r="P29" s="130">
        <f t="shared" si="12"/>
        <v>0.63018324034930417</v>
      </c>
      <c r="Q29" s="130">
        <f t="shared" si="12"/>
        <v>0.48883022526791531</v>
      </c>
      <c r="R29" s="130">
        <f t="shared" ref="R29:W29" si="13">SUM(R30:R33)</f>
        <v>0.62961055883891226</v>
      </c>
      <c r="S29" s="130">
        <f t="shared" si="13"/>
        <v>0.82762713438239799</v>
      </c>
      <c r="T29" s="130">
        <f t="shared" si="13"/>
        <v>0.9001916830557235</v>
      </c>
      <c r="U29" s="130">
        <f t="shared" si="13"/>
        <v>0.82211267793132814</v>
      </c>
      <c r="V29" s="130">
        <f t="shared" si="13"/>
        <v>0.66970970489544002</v>
      </c>
      <c r="W29" s="130">
        <f t="shared" si="13"/>
        <v>0.66514424216989032</v>
      </c>
      <c r="X29" s="130">
        <f t="shared" ref="X29:Y29" si="14">SUM(X30:X33)</f>
        <v>0.60004662589876545</v>
      </c>
      <c r="Y29" s="130">
        <f t="shared" si="14"/>
        <v>0.60254392938670442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0.1469740486820437</v>
      </c>
      <c r="H30" s="132">
        <v>0.22560332724225529</v>
      </c>
      <c r="I30" s="132">
        <v>1.795441829645346</v>
      </c>
      <c r="J30" s="132">
        <v>0.41308627975223994</v>
      </c>
      <c r="K30" s="132">
        <v>0.18524128915004695</v>
      </c>
      <c r="L30" s="132">
        <v>0.16255250087378004</v>
      </c>
      <c r="M30" s="132">
        <v>0</v>
      </c>
      <c r="N30" s="132">
        <v>6.979434392801289E-4</v>
      </c>
      <c r="O30" s="132">
        <v>0</v>
      </c>
      <c r="P30" s="132">
        <v>0</v>
      </c>
      <c r="Q30" s="132">
        <v>5.3475341072015906E-3</v>
      </c>
      <c r="R30" s="132">
        <v>0.10109677751965149</v>
      </c>
      <c r="S30" s="132">
        <v>0.30392478916827104</v>
      </c>
      <c r="T30" s="132">
        <v>0.40781364071444481</v>
      </c>
      <c r="U30" s="132">
        <v>0.41706536999684696</v>
      </c>
      <c r="V30" s="132">
        <v>0.14998790452618041</v>
      </c>
      <c r="W30" s="132">
        <v>0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0.5430355054380257</v>
      </c>
      <c r="D31" s="132">
        <v>0.18496516889958151</v>
      </c>
      <c r="E31" s="132">
        <v>6.323653495317251E-2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2.8785241719811415E-2</v>
      </c>
      <c r="L31" s="132">
        <v>4.2661716867019001E-2</v>
      </c>
      <c r="M31" s="132">
        <v>2.2073509866005574E-2</v>
      </c>
      <c r="N31" s="132">
        <v>3.5327760733874142E-2</v>
      </c>
      <c r="O31" s="132">
        <v>6.9648642754113865E-2</v>
      </c>
      <c r="P31" s="132">
        <v>0.2039233347825356</v>
      </c>
      <c r="Q31" s="132">
        <v>0.11355216887779215</v>
      </c>
      <c r="R31" s="132">
        <v>9.735993020395595E-3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2.4169144108445863E-2</v>
      </c>
      <c r="Y31" s="132">
        <v>4.3318287049284886E-2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0.32715929917840919</v>
      </c>
      <c r="D33" s="68">
        <v>1.0783644468602855</v>
      </c>
      <c r="E33" s="68">
        <v>0.84620684646578603</v>
      </c>
      <c r="F33" s="68">
        <v>1.168155486008575</v>
      </c>
      <c r="G33" s="68">
        <v>0.91597649510454615</v>
      </c>
      <c r="H33" s="68">
        <v>1.4160791080609949</v>
      </c>
      <c r="I33" s="68">
        <v>0.59427131596604266</v>
      </c>
      <c r="J33" s="68">
        <v>0.69182081183678135</v>
      </c>
      <c r="K33" s="68">
        <v>0.21970327641802381</v>
      </c>
      <c r="L33" s="68">
        <v>0.27238695863835943</v>
      </c>
      <c r="M33" s="68">
        <v>0.34610915517621199</v>
      </c>
      <c r="N33" s="68">
        <v>0.17251927396331565</v>
      </c>
      <c r="O33" s="68">
        <v>0.20250899237424061</v>
      </c>
      <c r="P33" s="68">
        <v>0.42625990556676857</v>
      </c>
      <c r="Q33" s="68">
        <v>0.36993052228292156</v>
      </c>
      <c r="R33" s="68">
        <v>0.51877778829886512</v>
      </c>
      <c r="S33" s="68">
        <v>0.52370234521412695</v>
      </c>
      <c r="T33" s="68">
        <v>0.49237804234127863</v>
      </c>
      <c r="U33" s="68">
        <v>0.40504730793448124</v>
      </c>
      <c r="V33" s="68">
        <v>0.51972180036925963</v>
      </c>
      <c r="W33" s="68">
        <v>0.66514424216989032</v>
      </c>
      <c r="X33" s="68">
        <v>0.57587748179031961</v>
      </c>
      <c r="Y33" s="68">
        <v>0.55922564233741956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0.62116764378473466</v>
      </c>
      <c r="D3" s="126">
        <f>IF(SER_hh_tes_in!D3=0,"",SER_hh_tes_in!D3/SER_hh_fec_in!D3)</f>
        <v>0.66561473134390847</v>
      </c>
      <c r="E3" s="126">
        <f>IF(SER_hh_tes_in!E3=0,"",SER_hh_tes_in!E3/SER_hh_fec_in!E3)</f>
        <v>0.68245852535392881</v>
      </c>
      <c r="F3" s="126">
        <f>IF(SER_hh_tes_in!F3=0,"",SER_hh_tes_in!F3/SER_hh_fec_in!F3)</f>
        <v>0.6982852130533731</v>
      </c>
      <c r="G3" s="126">
        <f>IF(SER_hh_tes_in!G3=0,"",SER_hh_tes_in!G3/SER_hh_fec_in!G3)</f>
        <v>0.72382869186800447</v>
      </c>
      <c r="H3" s="126">
        <f>IF(SER_hh_tes_in!H3=0,"",SER_hh_tes_in!H3/SER_hh_fec_in!H3)</f>
        <v>0.78889005324808126</v>
      </c>
      <c r="I3" s="126">
        <f>IF(SER_hh_tes_in!I3=0,"",SER_hh_tes_in!I3/SER_hh_fec_in!I3)</f>
        <v>0.78974932904934081</v>
      </c>
      <c r="J3" s="126">
        <f>IF(SER_hh_tes_in!J3=0,"",SER_hh_tes_in!J3/SER_hh_fec_in!J3)</f>
        <v>0.76597086798338632</v>
      </c>
      <c r="K3" s="126">
        <f>IF(SER_hh_tes_in!K3=0,"",SER_hh_tes_in!K3/SER_hh_fec_in!K3)</f>
        <v>0.81848357806818928</v>
      </c>
      <c r="L3" s="126">
        <f>IF(SER_hh_tes_in!L3=0,"",SER_hh_tes_in!L3/SER_hh_fec_in!L3)</f>
        <v>0.9132543013434562</v>
      </c>
      <c r="M3" s="126">
        <f>IF(SER_hh_tes_in!M3=0,"",SER_hh_tes_in!M3/SER_hh_fec_in!M3)</f>
        <v>0.88923346760802613</v>
      </c>
      <c r="N3" s="126">
        <f>IF(SER_hh_tes_in!N3=0,"",SER_hh_tes_in!N3/SER_hh_fec_in!N3)</f>
        <v>0.96291805808361963</v>
      </c>
      <c r="O3" s="126">
        <f>IF(SER_hh_tes_in!O3=0,"",SER_hh_tes_in!O3/SER_hh_fec_in!O3)</f>
        <v>0.92713450413150278</v>
      </c>
      <c r="P3" s="126">
        <f>IF(SER_hh_tes_in!P3=0,"",SER_hh_tes_in!P3/SER_hh_fec_in!P3)</f>
        <v>0.90465159568077946</v>
      </c>
      <c r="Q3" s="126">
        <f>IF(SER_hh_tes_in!Q3=0,"",SER_hh_tes_in!Q3/SER_hh_fec_in!Q3)</f>
        <v>0.94780174061968026</v>
      </c>
      <c r="R3" s="126">
        <f>IF(SER_hh_tes_in!R3=0,"",SER_hh_tes_in!R3/SER_hh_fec_in!R3)</f>
        <v>0.93068623434280884</v>
      </c>
      <c r="S3" s="126">
        <f>IF(SER_hh_tes_in!S3=0,"",SER_hh_tes_in!S3/SER_hh_fec_in!S3)</f>
        <v>0.98943391873893449</v>
      </c>
      <c r="T3" s="126">
        <f>IF(SER_hh_tes_in!T3=0,"",SER_hh_tes_in!T3/SER_hh_fec_in!T3)</f>
        <v>0.95395551382026533</v>
      </c>
      <c r="U3" s="126">
        <f>IF(SER_hh_tes_in!U3=0,"",SER_hh_tes_in!U3/SER_hh_fec_in!U3)</f>
        <v>0.97916382231041676</v>
      </c>
      <c r="V3" s="126">
        <f>IF(SER_hh_tes_in!V3=0,"",SER_hh_tes_in!V3/SER_hh_fec_in!V3)</f>
        <v>1.0155565037015268</v>
      </c>
      <c r="W3" s="126">
        <f>IF(SER_hh_tes_in!W3=0,"",SER_hh_tes_in!W3/SER_hh_fec_in!W3)</f>
        <v>1.0621391049121089</v>
      </c>
      <c r="X3" s="126">
        <f>IF(SER_hh_tes_in!X3=0,"",SER_hh_tes_in!X3/SER_hh_fec_in!X3)</f>
        <v>0.90284261666457544</v>
      </c>
      <c r="Y3" s="126">
        <f>IF(SER_hh_tes_in!Y3=0,"",SER_hh_tes_in!Y3/SER_hh_fec_in!Y3)</f>
        <v>1.1021237679176408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0.57324545703792507</v>
      </c>
      <c r="D4" s="135">
        <f>IF(SER_hh_tes_in!D4=0,"",SER_hh_tes_in!D4/SER_hh_fec_in!D4)</f>
        <v>0.61462675343960405</v>
      </c>
      <c r="E4" s="135">
        <f>IF(SER_hh_tes_in!E4=0,"",SER_hh_tes_in!E4/SER_hh_fec_in!E4)</f>
        <v>0.57234170017365826</v>
      </c>
      <c r="F4" s="135">
        <f>IF(SER_hh_tes_in!F4=0,"",SER_hh_tes_in!F4/SER_hh_fec_in!F4)</f>
        <v>0.62133489962225275</v>
      </c>
      <c r="G4" s="135">
        <f>IF(SER_hh_tes_in!G4=0,"",SER_hh_tes_in!G4/SER_hh_fec_in!G4)</f>
        <v>0.61939990199808592</v>
      </c>
      <c r="H4" s="135">
        <f>IF(SER_hh_tes_in!H4=0,"",SER_hh_tes_in!H4/SER_hh_fec_in!H4)</f>
        <v>0.68127070869084916</v>
      </c>
      <c r="I4" s="135">
        <f>IF(SER_hh_tes_in!I4=0,"",SER_hh_tes_in!I4/SER_hh_fec_in!I4)</f>
        <v>0.70639251035789541</v>
      </c>
      <c r="J4" s="135">
        <f>IF(SER_hh_tes_in!J4=0,"",SER_hh_tes_in!J4/SER_hh_fec_in!J4)</f>
        <v>0.65182136927748302</v>
      </c>
      <c r="K4" s="135">
        <f>IF(SER_hh_tes_in!K4=0,"",SER_hh_tes_in!K4/SER_hh_fec_in!K4)</f>
        <v>0.70448507813550221</v>
      </c>
      <c r="L4" s="135">
        <f>IF(SER_hh_tes_in!L4=0,"",SER_hh_tes_in!L4/SER_hh_fec_in!L4)</f>
        <v>0.83807937497665763</v>
      </c>
      <c r="M4" s="135">
        <f>IF(SER_hh_tes_in!M4=0,"",SER_hh_tes_in!M4/SER_hh_fec_in!M4)</f>
        <v>0.77887676818346274</v>
      </c>
      <c r="N4" s="135">
        <f>IF(SER_hh_tes_in!N4=0,"",SER_hh_tes_in!N4/SER_hh_fec_in!N4)</f>
        <v>0.82779802395808566</v>
      </c>
      <c r="O4" s="135">
        <f>IF(SER_hh_tes_in!O4=0,"",SER_hh_tes_in!O4/SER_hh_fec_in!O4)</f>
        <v>0.77323628696647373</v>
      </c>
      <c r="P4" s="135">
        <f>IF(SER_hh_tes_in!P4=0,"",SER_hh_tes_in!P4/SER_hh_fec_in!P4)</f>
        <v>0.75605713076864978</v>
      </c>
      <c r="Q4" s="135">
        <f>IF(SER_hh_tes_in!Q4=0,"",SER_hh_tes_in!Q4/SER_hh_fec_in!Q4)</f>
        <v>0.77334257435292264</v>
      </c>
      <c r="R4" s="135">
        <f>IF(SER_hh_tes_in!R4=0,"",SER_hh_tes_in!R4/SER_hh_fec_in!R4)</f>
        <v>0.79016989867082499</v>
      </c>
      <c r="S4" s="135">
        <f>IF(SER_hh_tes_in!S4=0,"",SER_hh_tes_in!S4/SER_hh_fec_in!S4)</f>
        <v>0.83749232019829933</v>
      </c>
      <c r="T4" s="135">
        <f>IF(SER_hh_tes_in!T4=0,"",SER_hh_tes_in!T4/SER_hh_fec_in!T4)</f>
        <v>0.83426749625946428</v>
      </c>
      <c r="U4" s="135">
        <f>IF(SER_hh_tes_in!U4=0,"",SER_hh_tes_in!U4/SER_hh_fec_in!U4)</f>
        <v>0.84545331088671349</v>
      </c>
      <c r="V4" s="135">
        <f>IF(SER_hh_tes_in!V4=0,"",SER_hh_tes_in!V4/SER_hh_fec_in!V4)</f>
        <v>0.85703444184090682</v>
      </c>
      <c r="W4" s="135">
        <f>IF(SER_hh_tes_in!W4=0,"",SER_hh_tes_in!W4/SER_hh_fec_in!W4)</f>
        <v>0.84850103787804632</v>
      </c>
      <c r="X4" s="135">
        <f>IF(SER_hh_tes_in!X4=0,"",SER_hh_tes_in!X4/SER_hh_fec_in!X4)</f>
        <v>0.65919267709844198</v>
      </c>
      <c r="Y4" s="135">
        <f>IF(SER_hh_tes_in!Y4=0,"",SER_hh_tes_in!Y4/SER_hh_fec_in!Y4)</f>
        <v>0.97055473735368025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0.52323184830705394</v>
      </c>
      <c r="D7" s="136">
        <f>IF(SER_hh_tes_in!D7=0,"",SER_hh_tes_in!D7/SER_hh_fec_in!D7)</f>
        <v>0.52853745880730196</v>
      </c>
      <c r="E7" s="136">
        <f>IF(SER_hh_tes_in!E7=0,"",SER_hh_tes_in!E7/SER_hh_fec_in!E7)</f>
        <v>0.53412551538441322</v>
      </c>
      <c r="F7" s="136">
        <f>IF(SER_hh_tes_in!F7=0,"",SER_hh_tes_in!F7/SER_hh_fec_in!F7)</f>
        <v>0.53968304155419988</v>
      </c>
      <c r="G7" s="136">
        <f>IF(SER_hh_tes_in!G7=0,"",SER_hh_tes_in!G7/SER_hh_fec_in!G7)</f>
        <v>0.5454891244729112</v>
      </c>
      <c r="H7" s="136">
        <f>IF(SER_hh_tes_in!H7=0,"",SER_hh_tes_in!H7/SER_hh_fec_in!H7)</f>
        <v>0.55150591866295051</v>
      </c>
      <c r="I7" s="136">
        <f>IF(SER_hh_tes_in!I7=0,"",SER_hh_tes_in!I7/SER_hh_fec_in!I7)</f>
        <v>0.55779837859304238</v>
      </c>
      <c r="J7" s="136">
        <f>IF(SER_hh_tes_in!J7=0,"",SER_hh_tes_in!J7/SER_hh_fec_in!J7)</f>
        <v>0.56464115237290247</v>
      </c>
      <c r="K7" s="136">
        <f>IF(SER_hh_tes_in!K7=0,"",SER_hh_tes_in!K7/SER_hh_fec_in!K7)</f>
        <v>0.5722625663823403</v>
      </c>
      <c r="L7" s="136" t="str">
        <f>IF(SER_hh_tes_in!L7=0,"",SER_hh_tes_in!L7/SER_hh_fec_in!L7)</f>
        <v/>
      </c>
      <c r="M7" s="136" t="str">
        <f>IF(SER_hh_tes_in!M7=0,"",SER_hh_tes_in!M7/SER_hh_fec_in!M7)</f>
        <v/>
      </c>
      <c r="N7" s="136" t="str">
        <f>IF(SER_hh_tes_in!N7=0,"",SER_hh_tes_in!N7/SER_hh_fec_in!N7)</f>
        <v/>
      </c>
      <c r="O7" s="136" t="str">
        <f>IF(SER_hh_tes_in!O7=0,"",SER_hh_tes_in!O7/SER_hh_fec_in!O7)</f>
        <v/>
      </c>
      <c r="P7" s="136" t="str">
        <f>IF(SER_hh_tes_in!P7=0,"",SER_hh_tes_in!P7/SER_hh_fec_in!P7)</f>
        <v/>
      </c>
      <c r="Q7" s="136" t="str">
        <f>IF(SER_hh_tes_in!Q7=0,"",SER_hh_tes_in!Q7/SER_hh_fec_in!Q7)</f>
        <v/>
      </c>
      <c r="R7" s="136">
        <f>IF(SER_hh_tes_in!R7=0,"",SER_hh_tes_in!R7/SER_hh_fec_in!R7)</f>
        <v>0.73457502817244968</v>
      </c>
      <c r="S7" s="136">
        <f>IF(SER_hh_tes_in!S7=0,"",SER_hh_tes_in!S7/SER_hh_fec_in!S7)</f>
        <v>0.74010110109366634</v>
      </c>
      <c r="T7" s="136">
        <f>IF(SER_hh_tes_in!T7=0,"",SER_hh_tes_in!T7/SER_hh_fec_in!T7)</f>
        <v>0.74193546823685841</v>
      </c>
      <c r="U7" s="136">
        <f>IF(SER_hh_tes_in!U7=0,"",SER_hh_tes_in!U7/SER_hh_fec_in!U7)</f>
        <v>0.74247310276012268</v>
      </c>
      <c r="V7" s="136">
        <f>IF(SER_hh_tes_in!V7=0,"",SER_hh_tes_in!V7/SER_hh_fec_in!V7)</f>
        <v>0.74401706882228991</v>
      </c>
      <c r="W7" s="136">
        <f>IF(SER_hh_tes_in!W7=0,"",SER_hh_tes_in!W7/SER_hh_fec_in!W7)</f>
        <v>0.74615347865947901</v>
      </c>
      <c r="X7" s="136">
        <f>IF(SER_hh_tes_in!X7=0,"",SER_hh_tes_in!X7/SER_hh_fec_in!X7)</f>
        <v>0.74728400355144675</v>
      </c>
      <c r="Y7" s="136">
        <f>IF(SER_hh_tes_in!Y7=0,"",SER_hh_tes_in!Y7/SER_hh_fec_in!Y7)</f>
        <v>0.74800851534694535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0.55877707757159401</v>
      </c>
      <c r="D9" s="136">
        <f>IF(SER_hh_tes_in!D9=0,"",SER_hh_tes_in!D9/SER_hh_fec_in!D9)</f>
        <v>0.56337593835442956</v>
      </c>
      <c r="E9" s="136">
        <f>IF(SER_hh_tes_in!E9=0,"",SER_hh_tes_in!E9/SER_hh_fec_in!E9)</f>
        <v>0.56826412324583508</v>
      </c>
      <c r="F9" s="136" t="str">
        <f>IF(SER_hh_tes_in!F9=0,"",SER_hh_tes_in!F9/SER_hh_fec_in!F9)</f>
        <v/>
      </c>
      <c r="G9" s="136" t="str">
        <f>IF(SER_hh_tes_in!G9=0,"",SER_hh_tes_in!G9/SER_hh_fec_in!G9)</f>
        <v/>
      </c>
      <c r="H9" s="136" t="str">
        <f>IF(SER_hh_tes_in!H9=0,"",SER_hh_tes_in!H9/SER_hh_fec_in!H9)</f>
        <v/>
      </c>
      <c r="I9" s="136" t="str">
        <f>IF(SER_hh_tes_in!I9=0,"",SER_hh_tes_in!I9/SER_hh_fec_in!I9)</f>
        <v/>
      </c>
      <c r="J9" s="136" t="str">
        <f>IF(SER_hh_tes_in!J9=0,"",SER_hh_tes_in!J9/SER_hh_fec_in!J9)</f>
        <v/>
      </c>
      <c r="K9" s="136">
        <f>IF(SER_hh_tes_in!K9=0,"",SER_hh_tes_in!K9/SER_hh_fec_in!K9)</f>
        <v>0.60248118295696429</v>
      </c>
      <c r="L9" s="136">
        <f>IF(SER_hh_tes_in!L9=0,"",SER_hh_tes_in!L9/SER_hh_fec_in!L9)</f>
        <v>0.61034983153583111</v>
      </c>
      <c r="M9" s="136">
        <f>IF(SER_hh_tes_in!M9=0,"",SER_hh_tes_in!M9/SER_hh_fec_in!M9)</f>
        <v>0.62490430813541553</v>
      </c>
      <c r="N9" s="136">
        <f>IF(SER_hh_tes_in!N9=0,"",SER_hh_tes_in!N9/SER_hh_fec_in!N9)</f>
        <v>0.64795691080900542</v>
      </c>
      <c r="O9" s="136">
        <f>IF(SER_hh_tes_in!O9=0,"",SER_hh_tes_in!O9/SER_hh_fec_in!O9)</f>
        <v>0.68071300774908861</v>
      </c>
      <c r="P9" s="136">
        <f>IF(SER_hh_tes_in!P9=0,"",SER_hh_tes_in!P9/SER_hh_fec_in!P9)</f>
        <v>0.71928724433207103</v>
      </c>
      <c r="Q9" s="136">
        <f>IF(SER_hh_tes_in!Q9=0,"",SER_hh_tes_in!Q9/SER_hh_fec_in!Q9)</f>
        <v>0.75180005451604315</v>
      </c>
      <c r="R9" s="136">
        <f>IF(SER_hh_tes_in!R9=0,"",SER_hh_tes_in!R9/SER_hh_fec_in!R9)</f>
        <v>0.76828164238562624</v>
      </c>
      <c r="S9" s="136" t="str">
        <f>IF(SER_hh_tes_in!S9=0,"",SER_hh_tes_in!S9/SER_hh_fec_in!S9)</f>
        <v/>
      </c>
      <c r="T9" s="136" t="str">
        <f>IF(SER_hh_tes_in!T9=0,"",SER_hh_tes_in!T9/SER_hh_fec_in!T9)</f>
        <v/>
      </c>
      <c r="U9" s="136" t="str">
        <f>IF(SER_hh_tes_in!U9=0,"",SER_hh_tes_in!U9/SER_hh_fec_in!U9)</f>
        <v/>
      </c>
      <c r="V9" s="136" t="str">
        <f>IF(SER_hh_tes_in!V9=0,"",SER_hh_tes_in!V9/SER_hh_fec_in!V9)</f>
        <v/>
      </c>
      <c r="W9" s="136">
        <f>IF(SER_hh_tes_in!W9=0,"",SER_hh_tes_in!W9/SER_hh_fec_in!W9)</f>
        <v>0.81397537467013936</v>
      </c>
      <c r="X9" s="136">
        <f>IF(SER_hh_tes_in!X9=0,"",SER_hh_tes_in!X9/SER_hh_fec_in!X9)</f>
        <v>0.81777995336638964</v>
      </c>
      <c r="Y9" s="136">
        <f>IF(SER_hh_tes_in!Y9=0,"",SER_hh_tes_in!Y9/SER_hh_fec_in!Y9)</f>
        <v>0.82037700510236622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0.49831277026612542</v>
      </c>
      <c r="D10" s="136" t="str">
        <f>IF(SER_hh_tes_in!D10=0,"",SER_hh_tes_in!D10/SER_hh_fec_in!D10)</f>
        <v/>
      </c>
      <c r="E10" s="136">
        <f>IF(SER_hh_tes_in!E10=0,"",SER_hh_tes_in!E10/SER_hh_fec_in!E10)</f>
        <v>0.49881855545751563</v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 t="str">
        <f>IF(SER_hh_tes_in!I10=0,"",SER_hh_tes_in!I10/SER_hh_fec_in!I10)</f>
        <v/>
      </c>
      <c r="J10" s="136" t="str">
        <f>IF(SER_hh_tes_in!J10=0,"",SER_hh_tes_in!J10/SER_hh_fec_in!J10)</f>
        <v/>
      </c>
      <c r="K10" s="136" t="str">
        <f>IF(SER_hh_tes_in!K10=0,"",SER_hh_tes_in!K10/SER_hh_fec_in!K10)</f>
        <v/>
      </c>
      <c r="L10" s="136" t="str">
        <f>IF(SER_hh_tes_in!L10=0,"",SER_hh_tes_in!L10/SER_hh_fec_in!L10)</f>
        <v/>
      </c>
      <c r="M10" s="136" t="str">
        <f>IF(SER_hh_tes_in!M10=0,"",SER_hh_tes_in!M10/SER_hh_fec_in!M10)</f>
        <v/>
      </c>
      <c r="N10" s="136" t="str">
        <f>IF(SER_hh_tes_in!N10=0,"",SER_hh_tes_in!N10/SER_hh_fec_in!N10)</f>
        <v/>
      </c>
      <c r="O10" s="136" t="str">
        <f>IF(SER_hh_tes_in!O10=0,"",SER_hh_tes_in!O10/SER_hh_fec_in!O10)</f>
        <v/>
      </c>
      <c r="P10" s="136" t="str">
        <f>IF(SER_hh_tes_in!P10=0,"",SER_hh_tes_in!P10/SER_hh_fec_in!P10)</f>
        <v/>
      </c>
      <c r="Q10" s="136" t="str">
        <f>IF(SER_hh_tes_in!Q10=0,"",SER_hh_tes_in!Q10/SER_hh_fec_in!Q10)</f>
        <v/>
      </c>
      <c r="R10" s="136" t="str">
        <f>IF(SER_hh_tes_in!R10=0,"",SER_hh_tes_in!R10/SER_hh_fec_in!R10)</f>
        <v/>
      </c>
      <c r="S10" s="136" t="str">
        <f>IF(SER_hh_tes_in!S10=0,"",SER_hh_tes_in!S10/SER_hh_fec_in!S10)</f>
        <v/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>
        <f>IF(SER_hh_tes_in!V10=0,"",SER_hh_tes_in!V10/SER_hh_fec_in!V10)</f>
        <v>0.5029110753506425</v>
      </c>
      <c r="W10" s="136" t="str">
        <f>IF(SER_hh_tes_in!W10=0,"",SER_hh_tes_in!W10/SER_hh_fec_in!W10)</f>
        <v/>
      </c>
      <c r="X10" s="136">
        <f>IF(SER_hh_tes_in!X10=0,"",SER_hh_tes_in!X10/SER_hh_fec_in!X10)</f>
        <v>0.50793238763036874</v>
      </c>
      <c r="Y10" s="136">
        <f>IF(SER_hh_tes_in!Y10=0,"",SER_hh_tes_in!Y10/SER_hh_fec_in!Y10)</f>
        <v>0.5124916939869143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>
        <f>IF(SER_hh_tes_in!L11=0,"",SER_hh_tes_in!L11/SER_hh_fec_in!L11)</f>
        <v>0.88739118684171447</v>
      </c>
      <c r="M11" s="136">
        <f>IF(SER_hh_tes_in!M11=0,"",SER_hh_tes_in!M11/SER_hh_fec_in!M11)</f>
        <v>0.89241132655193889</v>
      </c>
      <c r="N11" s="136">
        <f>IF(SER_hh_tes_in!N11=0,"",SER_hh_tes_in!N11/SER_hh_fec_in!N11)</f>
        <v>0.89750364433691721</v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>
        <f>IF(SER_hh_tes_in!T11=0,"",SER_hh_tes_in!T11/SER_hh_fec_in!T11)</f>
        <v>0.92390896806706124</v>
      </c>
      <c r="U11" s="136">
        <f>IF(SER_hh_tes_in!U11=0,"",SER_hh_tes_in!U11/SER_hh_fec_in!U11)</f>
        <v>0.92725272339706144</v>
      </c>
      <c r="V11" s="136">
        <f>IF(SER_hh_tes_in!V11=0,"",SER_hh_tes_in!V11/SER_hh_fec_in!V11)</f>
        <v>0.93047001766125359</v>
      </c>
      <c r="W11" s="136">
        <f>IF(SER_hh_tes_in!W11=0,"",SER_hh_tes_in!W11/SER_hh_fec_in!W11)</f>
        <v>0.9334781096682061</v>
      </c>
      <c r="X11" s="136">
        <f>IF(SER_hh_tes_in!X11=0,"",SER_hh_tes_in!X11/SER_hh_fec_in!X11)</f>
        <v>0.93528981569425529</v>
      </c>
      <c r="Y11" s="136">
        <f>IF(SER_hh_tes_in!Y11=0,"",SER_hh_tes_in!Y11/SER_hh_fec_in!Y11)</f>
        <v>0.93702670992831694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>
        <f>IF(SER_hh_tes_in!F12=0,"",SER_hh_tes_in!F12/SER_hh_fec_in!F12)</f>
        <v>0.83831989086487024</v>
      </c>
      <c r="G12" s="136">
        <f>IF(SER_hh_tes_in!G12=0,"",SER_hh_tes_in!G12/SER_hh_fec_in!G12)</f>
        <v>0.84096234700794437</v>
      </c>
      <c r="H12" s="136">
        <f>IF(SER_hh_tes_in!H12=0,"",SER_hh_tes_in!H12/SER_hh_fec_in!H12)</f>
        <v>0.84366055578191568</v>
      </c>
      <c r="I12" s="136">
        <f>IF(SER_hh_tes_in!I12=0,"",SER_hh_tes_in!I12/SER_hh_fec_in!I12)</f>
        <v>0.84642758282873787</v>
      </c>
      <c r="J12" s="136">
        <f>IF(SER_hh_tes_in!J12=0,"",SER_hh_tes_in!J12/SER_hh_fec_in!J12)</f>
        <v>0.8493169534717403</v>
      </c>
      <c r="K12" s="136">
        <f>IF(SER_hh_tes_in!K12=0,"",SER_hh_tes_in!K12/SER_hh_fec_in!K12)</f>
        <v>0.85237417831458584</v>
      </c>
      <c r="L12" s="136">
        <f>IF(SER_hh_tes_in!L12=0,"",SER_hh_tes_in!L12/SER_hh_fec_in!L12)</f>
        <v>0.85561143330959499</v>
      </c>
      <c r="M12" s="136">
        <f>IF(SER_hh_tes_in!M12=0,"",SER_hh_tes_in!M12/SER_hh_fec_in!M12)</f>
        <v>0.86009381699229059</v>
      </c>
      <c r="N12" s="136">
        <f>IF(SER_hh_tes_in!N12=0,"",SER_hh_tes_in!N12/SER_hh_fec_in!N12)</f>
        <v>0.86615808679923501</v>
      </c>
      <c r="O12" s="136">
        <f>IF(SER_hh_tes_in!O12=0,"",SER_hh_tes_in!O12/SER_hh_fec_in!O12)</f>
        <v>0.87409945154443724</v>
      </c>
      <c r="P12" s="136" t="str">
        <f>IF(SER_hh_tes_in!P12=0,"",SER_hh_tes_in!P12/SER_hh_fec_in!P12)</f>
        <v/>
      </c>
      <c r="Q12" s="136">
        <f>IF(SER_hh_tes_in!Q12=0,"",SER_hh_tes_in!Q12/SER_hh_fec_in!Q12)</f>
        <v>0.89208983631242478</v>
      </c>
      <c r="R12" s="136">
        <f>IF(SER_hh_tes_in!R12=0,"",SER_hh_tes_in!R12/SER_hh_fec_in!R12)</f>
        <v>0.89878208832275741</v>
      </c>
      <c r="S12" s="136">
        <f>IF(SER_hh_tes_in!S12=0,"",SER_hh_tes_in!S12/SER_hh_fec_in!S12)</f>
        <v>0.90529253079638816</v>
      </c>
      <c r="T12" s="136">
        <f>IF(SER_hh_tes_in!T12=0,"",SER_hh_tes_in!T12/SER_hh_fec_in!T12)</f>
        <v>0.9115776637482268</v>
      </c>
      <c r="U12" s="136">
        <f>IF(SER_hh_tes_in!U12=0,"",SER_hh_tes_in!U12/SER_hh_fec_in!U12)</f>
        <v>0.9175939871932034</v>
      </c>
      <c r="V12" s="136">
        <f>IF(SER_hh_tes_in!V12=0,"",SER_hh_tes_in!V12/SER_hh_fec_in!V12)</f>
        <v>0.92329800114623972</v>
      </c>
      <c r="W12" s="136">
        <f>IF(SER_hh_tes_in!W12=0,"",SER_hh_tes_in!W12/SER_hh_fec_in!W12)</f>
        <v>0.92855249741807755</v>
      </c>
      <c r="X12" s="136" t="str">
        <f>IF(SER_hh_tes_in!X12=0,"",SER_hh_tes_in!X12/SER_hh_fec_in!X12)</f>
        <v/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 t="str">
        <f>IF(SER_hh_tes_in!C13=0,"",SER_hh_tes_in!C13/SER_hh_fec_in!C13)</f>
        <v/>
      </c>
      <c r="D13" s="136" t="str">
        <f>IF(SER_hh_tes_in!D13=0,"",SER_hh_tes_in!D13/SER_hh_fec_in!D13)</f>
        <v/>
      </c>
      <c r="E13" s="136" t="str">
        <f>IF(SER_hh_tes_in!E13=0,"",SER_hh_tes_in!E13/SER_hh_fec_in!E13)</f>
        <v/>
      </c>
      <c r="F13" s="136" t="str">
        <f>IF(SER_hh_tes_in!F13=0,"",SER_hh_tes_in!F13/SER_hh_fec_in!F13)</f>
        <v/>
      </c>
      <c r="G13" s="136" t="str">
        <f>IF(SER_hh_tes_in!G13=0,"",SER_hh_tes_in!G13/SER_hh_fec_in!G13)</f>
        <v/>
      </c>
      <c r="H13" s="136" t="str">
        <f>IF(SER_hh_tes_in!H13=0,"",SER_hh_tes_in!H13/SER_hh_fec_in!H13)</f>
        <v/>
      </c>
      <c r="I13" s="136" t="str">
        <f>IF(SER_hh_tes_in!I13=0,"",SER_hh_tes_in!I13/SER_hh_fec_in!I13)</f>
        <v/>
      </c>
      <c r="J13" s="136" t="str">
        <f>IF(SER_hh_tes_in!J13=0,"",SER_hh_tes_in!J13/SER_hh_fec_in!J13)</f>
        <v/>
      </c>
      <c r="K13" s="136" t="str">
        <f>IF(SER_hh_tes_in!K13=0,"",SER_hh_tes_in!K13/SER_hh_fec_in!K13)</f>
        <v/>
      </c>
      <c r="L13" s="136" t="str">
        <f>IF(SER_hh_tes_in!L13=0,"",SER_hh_tes_in!L13/SER_hh_fec_in!L13)</f>
        <v/>
      </c>
      <c r="M13" s="136" t="str">
        <f>IF(SER_hh_tes_in!M13=0,"",SER_hh_tes_in!M13/SER_hh_fec_in!M13)</f>
        <v/>
      </c>
      <c r="N13" s="136" t="str">
        <f>IF(SER_hh_tes_in!N13=0,"",SER_hh_tes_in!N13/SER_hh_fec_in!N13)</f>
        <v/>
      </c>
      <c r="O13" s="136" t="str">
        <f>IF(SER_hh_tes_in!O13=0,"",SER_hh_tes_in!O13/SER_hh_fec_in!O13)</f>
        <v/>
      </c>
      <c r="P13" s="136" t="str">
        <f>IF(SER_hh_tes_in!P13=0,"",SER_hh_tes_in!P13/SER_hh_fec_in!P13)</f>
        <v/>
      </c>
      <c r="Q13" s="136" t="str">
        <f>IF(SER_hh_tes_in!Q13=0,"",SER_hh_tes_in!Q13/SER_hh_fec_in!Q13)</f>
        <v/>
      </c>
      <c r="R13" s="136" t="str">
        <f>IF(SER_hh_tes_in!R13=0,"",SER_hh_tes_in!R13/SER_hh_fec_in!R13)</f>
        <v/>
      </c>
      <c r="S13" s="136" t="str">
        <f>IF(SER_hh_tes_in!S13=0,"",SER_hh_tes_in!S13/SER_hh_fec_in!S13)</f>
        <v/>
      </c>
      <c r="T13" s="136" t="str">
        <f>IF(SER_hh_tes_in!T13=0,"",SER_hh_tes_in!T13/SER_hh_fec_in!T13)</f>
        <v/>
      </c>
      <c r="U13" s="136" t="str">
        <f>IF(SER_hh_tes_in!U13=0,"",SER_hh_tes_in!U13/SER_hh_fec_in!U13)</f>
        <v/>
      </c>
      <c r="V13" s="136" t="str">
        <f>IF(SER_hh_tes_in!V13=0,"",SER_hh_tes_in!V13/SER_hh_fec_in!V13)</f>
        <v/>
      </c>
      <c r="W13" s="136" t="str">
        <f>IF(SER_hh_tes_in!W13=0,"",SER_hh_tes_in!W13/SER_hh_fec_in!W13)</f>
        <v/>
      </c>
      <c r="X13" s="136" t="str">
        <f>IF(SER_hh_tes_in!X13=0,"",SER_hh_tes_in!X13/SER_hh_fec_in!X13)</f>
        <v/>
      </c>
      <c r="Y13" s="136">
        <f>IF(SER_hh_tes_in!Y13=0,"",SER_hh_tes_in!Y13/SER_hh_fec_in!Y13)</f>
        <v>4.1465260368535359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0.75284204623356732</v>
      </c>
      <c r="D14" s="137">
        <f>IF(SER_hh_tes_in!D14=0,"",SER_hh_tes_in!D14/SER_hh_fec_in!D14)</f>
        <v>0.75677153332972535</v>
      </c>
      <c r="E14" s="137">
        <f>IF(SER_hh_tes_in!E14=0,"",SER_hh_tes_in!E14/SER_hh_fec_in!E14)</f>
        <v>0.76069007552615819</v>
      </c>
      <c r="F14" s="137">
        <f>IF(SER_hh_tes_in!F14=0,"",SER_hh_tes_in!F14/SER_hh_fec_in!F14)</f>
        <v>0.76460674371101001</v>
      </c>
      <c r="G14" s="137">
        <f>IF(SER_hh_tes_in!G14=0,"",SER_hh_tes_in!G14/SER_hh_fec_in!G14)</f>
        <v>0.7685133395168422</v>
      </c>
      <c r="H14" s="137">
        <f>IF(SER_hh_tes_in!H14=0,"",SER_hh_tes_in!H14/SER_hh_fec_in!H14)</f>
        <v>0.77241089736353907</v>
      </c>
      <c r="I14" s="137">
        <f>IF(SER_hh_tes_in!I14=0,"",SER_hh_tes_in!I14/SER_hh_fec_in!I14)</f>
        <v>0.77629743077911828</v>
      </c>
      <c r="J14" s="137">
        <f>IF(SER_hh_tes_in!J14=0,"",SER_hh_tes_in!J14/SER_hh_fec_in!J14)</f>
        <v>0.78016472966639394</v>
      </c>
      <c r="K14" s="137">
        <f>IF(SER_hh_tes_in!K14=0,"",SER_hh_tes_in!K14/SER_hh_fec_in!K14)</f>
        <v>0.784005867285126</v>
      </c>
      <c r="L14" s="137">
        <f>IF(SER_hh_tes_in!L14=0,"",SER_hh_tes_in!L14/SER_hh_fec_in!L14)</f>
        <v>0.78781909144746931</v>
      </c>
      <c r="M14" s="137">
        <f>IF(SER_hh_tes_in!M14=0,"",SER_hh_tes_in!M14/SER_hh_fec_in!M14)</f>
        <v>0.79090285127472537</v>
      </c>
      <c r="N14" s="137">
        <f>IF(SER_hh_tes_in!N14=0,"",SER_hh_tes_in!N14/SER_hh_fec_in!N14)</f>
        <v>0.79300367327746168</v>
      </c>
      <c r="O14" s="137">
        <f>IF(SER_hh_tes_in!O14=0,"",SER_hh_tes_in!O14/SER_hh_fec_in!O14)</f>
        <v>0.79445676123810716</v>
      </c>
      <c r="P14" s="137">
        <f>IF(SER_hh_tes_in!P14=0,"",SER_hh_tes_in!P14/SER_hh_fec_in!P14)</f>
        <v>0.79673243440920039</v>
      </c>
      <c r="Q14" s="137">
        <f>IF(SER_hh_tes_in!Q14=0,"",SER_hh_tes_in!Q14/SER_hh_fec_in!Q14)</f>
        <v>0.80382453630711603</v>
      </c>
      <c r="R14" s="137">
        <f>IF(SER_hh_tes_in!R14=0,"",SER_hh_tes_in!R14/SER_hh_fec_in!R14)</f>
        <v>0.82043502083369579</v>
      </c>
      <c r="S14" s="137">
        <f>IF(SER_hh_tes_in!S14=0,"",SER_hh_tes_in!S14/SER_hh_fec_in!S14)</f>
        <v>0.84281254671033412</v>
      </c>
      <c r="T14" s="137">
        <f>IF(SER_hh_tes_in!T14=0,"",SER_hh_tes_in!T14/SER_hh_fec_in!T14)</f>
        <v>0.86788218633325898</v>
      </c>
      <c r="U14" s="137">
        <f>IF(SER_hh_tes_in!U14=0,"",SER_hh_tes_in!U14/SER_hh_fec_in!U14)</f>
        <v>0.89259722768909988</v>
      </c>
      <c r="V14" s="137">
        <f>IF(SER_hh_tes_in!V14=0,"",SER_hh_tes_in!V14/SER_hh_fec_in!V14)</f>
        <v>0.91390795888645882</v>
      </c>
      <c r="W14" s="137">
        <f>IF(SER_hh_tes_in!W14=0,"",SER_hh_tes_in!W14/SER_hh_fec_in!W14)</f>
        <v>0.93121119881658876</v>
      </c>
      <c r="X14" s="137">
        <f>IF(SER_hh_tes_in!X14=0,"",SER_hh_tes_in!X14/SER_hh_fec_in!X14)</f>
        <v>0.94155893861753437</v>
      </c>
      <c r="Y14" s="137" t="str">
        <f>IF(SER_hh_tes_in!Y14=0,"",SER_hh_tes_in!Y14/SER_hh_fec_in!Y14)</f>
        <v/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2.1829439959403918</v>
      </c>
      <c r="D16" s="135">
        <f>IF(SER_hh_tes_in!D16=0,"",SER_hh_tes_in!D16/SER_hh_fec_in!D16)</f>
        <v>2.2704610474640674</v>
      </c>
      <c r="E16" s="135">
        <f>IF(SER_hh_tes_in!E16=0,"",SER_hh_tes_in!E16/SER_hh_fec_in!E16)</f>
        <v>2.3592901478766555</v>
      </c>
      <c r="F16" s="135">
        <f>IF(SER_hh_tes_in!F16=0,"",SER_hh_tes_in!F16/SER_hh_fec_in!F16)</f>
        <v>2.4488326844408035</v>
      </c>
      <c r="G16" s="135">
        <f>IF(SER_hh_tes_in!G16=0,"",SER_hh_tes_in!G16/SER_hh_fec_in!G16)</f>
        <v>2.5396074061401284</v>
      </c>
      <c r="H16" s="135">
        <f>IF(SER_hh_tes_in!H16=0,"",SER_hh_tes_in!H16/SER_hh_fec_in!H16)</f>
        <v>2.6315327855468871</v>
      </c>
      <c r="I16" s="135">
        <f>IF(SER_hh_tes_in!I16=0,"",SER_hh_tes_in!I16/SER_hh_fec_in!I16)</f>
        <v>2.7247175623080979</v>
      </c>
      <c r="J16" s="135">
        <f>IF(SER_hh_tes_in!J16=0,"",SER_hh_tes_in!J16/SER_hh_fec_in!J16)</f>
        <v>2.819649099346329</v>
      </c>
      <c r="K16" s="135">
        <f>IF(SER_hh_tes_in!K16=0,"",SER_hh_tes_in!K16/SER_hh_fec_in!K16)</f>
        <v>2.9167134287324847</v>
      </c>
      <c r="L16" s="135">
        <f>IF(SER_hh_tes_in!L16=0,"",SER_hh_tes_in!L16/SER_hh_fec_in!L16)</f>
        <v>3.0159617424738814</v>
      </c>
      <c r="M16" s="135">
        <f>IF(SER_hh_tes_in!M16=0,"",SER_hh_tes_in!M16/SER_hh_fec_in!M16)</f>
        <v>3.1296929944436354</v>
      </c>
      <c r="N16" s="135">
        <f>IF(SER_hh_tes_in!N16=0,"",SER_hh_tes_in!N16/SER_hh_fec_in!N16)</f>
        <v>3.2615581794002946</v>
      </c>
      <c r="O16" s="135">
        <f>IF(SER_hh_tes_in!O16=0,"",SER_hh_tes_in!O16/SER_hh_fec_in!O16)</f>
        <v>3.411322062896216</v>
      </c>
      <c r="P16" s="135">
        <f>IF(SER_hh_tes_in!P16=0,"",SER_hh_tes_in!P16/SER_hh_fec_in!P16)</f>
        <v>3.5644096233146332</v>
      </c>
      <c r="Q16" s="135">
        <f>IF(SER_hh_tes_in!Q16=0,"",SER_hh_tes_in!Q16/SER_hh_fec_in!Q16)</f>
        <v>3.6819019787670308</v>
      </c>
      <c r="R16" s="135">
        <f>IF(SER_hh_tes_in!R16=0,"",SER_hh_tes_in!R16/SER_hh_fec_in!R16)</f>
        <v>3.7931841746817643</v>
      </c>
      <c r="S16" s="135">
        <f>IF(SER_hh_tes_in!S16=0,"",SER_hh_tes_in!S16/SER_hh_fec_in!S16)</f>
        <v>3.8509062897819586</v>
      </c>
      <c r="T16" s="135">
        <f>IF(SER_hh_tes_in!T16=0,"",SER_hh_tes_in!T16/SER_hh_fec_in!T16)</f>
        <v>3.8879575386836884</v>
      </c>
      <c r="U16" s="135">
        <f>IF(SER_hh_tes_in!U16=0,"",SER_hh_tes_in!U16/SER_hh_fec_in!U16)</f>
        <v>3.9141750225251877</v>
      </c>
      <c r="V16" s="135">
        <f>IF(SER_hh_tes_in!V16=0,"",SER_hh_tes_in!V16/SER_hh_fec_in!V16)</f>
        <v>3.9396490234585948</v>
      </c>
      <c r="W16" s="135">
        <f>IF(SER_hh_tes_in!W16=0,"",SER_hh_tes_in!W16/SER_hh_fec_in!W16)</f>
        <v>3.9642447380470571</v>
      </c>
      <c r="X16" s="135">
        <f>IF(SER_hh_tes_in!X16=0,"",SER_hh_tes_in!X16/SER_hh_fec_in!X16)</f>
        <v>3.9839228034398375</v>
      </c>
      <c r="Y16" s="135">
        <f>IF(SER_hh_tes_in!Y16=0,"",SER_hh_tes_in!Y16/SER_hh_fec_in!Y16)</f>
        <v>4.0010425094435247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2.1829439959403918</v>
      </c>
      <c r="D18" s="136">
        <f>IF(SER_hh_tes_in!D18=0,"",SER_hh_tes_in!D18/SER_hh_fec_in!D18)</f>
        <v>2.2704610474640674</v>
      </c>
      <c r="E18" s="136">
        <f>IF(SER_hh_tes_in!E18=0,"",SER_hh_tes_in!E18/SER_hh_fec_in!E18)</f>
        <v>2.3592901478766555</v>
      </c>
      <c r="F18" s="136">
        <f>IF(SER_hh_tes_in!F18=0,"",SER_hh_tes_in!F18/SER_hh_fec_in!F18)</f>
        <v>2.4488326844408035</v>
      </c>
      <c r="G18" s="136">
        <f>IF(SER_hh_tes_in!G18=0,"",SER_hh_tes_in!G18/SER_hh_fec_in!G18)</f>
        <v>2.5396074061401284</v>
      </c>
      <c r="H18" s="136">
        <f>IF(SER_hh_tes_in!H18=0,"",SER_hh_tes_in!H18/SER_hh_fec_in!H18)</f>
        <v>2.6315327855468871</v>
      </c>
      <c r="I18" s="136">
        <f>IF(SER_hh_tes_in!I18=0,"",SER_hh_tes_in!I18/SER_hh_fec_in!I18)</f>
        <v>2.7247175623080979</v>
      </c>
      <c r="J18" s="136">
        <f>IF(SER_hh_tes_in!J18=0,"",SER_hh_tes_in!J18/SER_hh_fec_in!J18)</f>
        <v>2.819649099346329</v>
      </c>
      <c r="K18" s="136">
        <f>IF(SER_hh_tes_in!K18=0,"",SER_hh_tes_in!K18/SER_hh_fec_in!K18)</f>
        <v>2.9167134287324847</v>
      </c>
      <c r="L18" s="136">
        <f>IF(SER_hh_tes_in!L18=0,"",SER_hh_tes_in!L18/SER_hh_fec_in!L18)</f>
        <v>3.0159617424738814</v>
      </c>
      <c r="M18" s="136">
        <f>IF(SER_hh_tes_in!M18=0,"",SER_hh_tes_in!M18/SER_hh_fec_in!M18)</f>
        <v>3.1296929944436354</v>
      </c>
      <c r="N18" s="136">
        <f>IF(SER_hh_tes_in!N18=0,"",SER_hh_tes_in!N18/SER_hh_fec_in!N18)</f>
        <v>3.2615581794002946</v>
      </c>
      <c r="O18" s="136">
        <f>IF(SER_hh_tes_in!O18=0,"",SER_hh_tes_in!O18/SER_hh_fec_in!O18)</f>
        <v>3.411322062896216</v>
      </c>
      <c r="P18" s="136">
        <f>IF(SER_hh_tes_in!P18=0,"",SER_hh_tes_in!P18/SER_hh_fec_in!P18)</f>
        <v>3.5644096233146332</v>
      </c>
      <c r="Q18" s="136">
        <f>IF(SER_hh_tes_in!Q18=0,"",SER_hh_tes_in!Q18/SER_hh_fec_in!Q18)</f>
        <v>3.6819019787670308</v>
      </c>
      <c r="R18" s="136">
        <f>IF(SER_hh_tes_in!R18=0,"",SER_hh_tes_in!R18/SER_hh_fec_in!R18)</f>
        <v>3.7931841746817643</v>
      </c>
      <c r="S18" s="136">
        <f>IF(SER_hh_tes_in!S18=0,"",SER_hh_tes_in!S18/SER_hh_fec_in!S18)</f>
        <v>3.8509062897819586</v>
      </c>
      <c r="T18" s="136">
        <f>IF(SER_hh_tes_in!T18=0,"",SER_hh_tes_in!T18/SER_hh_fec_in!T18)</f>
        <v>3.8879575386836884</v>
      </c>
      <c r="U18" s="136">
        <f>IF(SER_hh_tes_in!U18=0,"",SER_hh_tes_in!U18/SER_hh_fec_in!U18)</f>
        <v>3.9141750225251877</v>
      </c>
      <c r="V18" s="136">
        <f>IF(SER_hh_tes_in!V18=0,"",SER_hh_tes_in!V18/SER_hh_fec_in!V18)</f>
        <v>3.9396490234585948</v>
      </c>
      <c r="W18" s="136">
        <f>IF(SER_hh_tes_in!W18=0,"",SER_hh_tes_in!W18/SER_hh_fec_in!W18)</f>
        <v>3.9642447380470571</v>
      </c>
      <c r="X18" s="136">
        <f>IF(SER_hh_tes_in!X18=0,"",SER_hh_tes_in!X18/SER_hh_fec_in!X18)</f>
        <v>3.9839228034398375</v>
      </c>
      <c r="Y18" s="136">
        <f>IF(SER_hh_tes_in!Y18=0,"",SER_hh_tes_in!Y18/SER_hh_fec_in!Y18)</f>
        <v>4.0010425094435247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0.6151973622156176</v>
      </c>
      <c r="D19" s="135">
        <f>IF(SER_hh_tes_in!D19=0,"",SER_hh_tes_in!D19/SER_hh_fec_in!D19)</f>
        <v>0.59892527300086473</v>
      </c>
      <c r="E19" s="135">
        <f>IF(SER_hh_tes_in!E19=0,"",SER_hh_tes_in!E19/SER_hh_fec_in!E19)</f>
        <v>0.5966969032217071</v>
      </c>
      <c r="F19" s="135">
        <f>IF(SER_hh_tes_in!F19=0,"",SER_hh_tes_in!F19/SER_hh_fec_in!F19)</f>
        <v>0.59984370344501647</v>
      </c>
      <c r="G19" s="135">
        <f>IF(SER_hh_tes_in!G19=0,"",SER_hh_tes_in!G19/SER_hh_fec_in!G19)</f>
        <v>0.6151529797323515</v>
      </c>
      <c r="H19" s="135">
        <f>IF(SER_hh_tes_in!H19=0,"",SER_hh_tes_in!H19/SER_hh_fec_in!H19)</f>
        <v>0.61765352954150998</v>
      </c>
      <c r="I19" s="135">
        <f>IF(SER_hh_tes_in!I19=0,"",SER_hh_tes_in!I19/SER_hh_fec_in!I19)</f>
        <v>0.62028296694734397</v>
      </c>
      <c r="J19" s="135">
        <f>IF(SER_hh_tes_in!J19=0,"",SER_hh_tes_in!J19/SER_hh_fec_in!J19)</f>
        <v>0.66402970466602929</v>
      </c>
      <c r="K19" s="135">
        <f>IF(SER_hh_tes_in!K19=0,"",SER_hh_tes_in!K19/SER_hh_fec_in!K19)</f>
        <v>0.71546963303942412</v>
      </c>
      <c r="L19" s="135">
        <f>IF(SER_hh_tes_in!L19=0,"",SER_hh_tes_in!L19/SER_hh_fec_in!L19)</f>
        <v>0.73479770990089066</v>
      </c>
      <c r="M19" s="135">
        <f>IF(SER_hh_tes_in!M19=0,"",SER_hh_tes_in!M19/SER_hh_fec_in!M19)</f>
        <v>0.74906737855481897</v>
      </c>
      <c r="N19" s="135">
        <f>IF(SER_hh_tes_in!N19=0,"",SER_hh_tes_in!N19/SER_hh_fec_in!N19)</f>
        <v>0.75471921808714726</v>
      </c>
      <c r="O19" s="135">
        <f>IF(SER_hh_tes_in!O19=0,"",SER_hh_tes_in!O19/SER_hh_fec_in!O19)</f>
        <v>0.77427533369067225</v>
      </c>
      <c r="P19" s="135">
        <f>IF(SER_hh_tes_in!P19=0,"",SER_hh_tes_in!P19/SER_hh_fec_in!P19)</f>
        <v>0.80430488912912068</v>
      </c>
      <c r="Q19" s="135">
        <f>IF(SER_hh_tes_in!Q19=0,"",SER_hh_tes_in!Q19/SER_hh_fec_in!Q19)</f>
        <v>0.82361976226016642</v>
      </c>
      <c r="R19" s="135">
        <f>IF(SER_hh_tes_in!R19=0,"",SER_hh_tes_in!R19/SER_hh_fec_in!R19)</f>
        <v>0.8079460120223092</v>
      </c>
      <c r="S19" s="135">
        <f>IF(SER_hh_tes_in!S19=0,"",SER_hh_tes_in!S19/SER_hh_fec_in!S19)</f>
        <v>0.8372247190328711</v>
      </c>
      <c r="T19" s="135">
        <f>IF(SER_hh_tes_in!T19=0,"",SER_hh_tes_in!T19/SER_hh_fec_in!T19)</f>
        <v>0.82358694651022901</v>
      </c>
      <c r="U19" s="135">
        <f>IF(SER_hh_tes_in!U19=0,"",SER_hh_tes_in!U19/SER_hh_fec_in!U19)</f>
        <v>0.84260067510980241</v>
      </c>
      <c r="V19" s="135">
        <f>IF(SER_hh_tes_in!V19=0,"",SER_hh_tes_in!V19/SER_hh_fec_in!V19)</f>
        <v>0.8495348133044438</v>
      </c>
      <c r="W19" s="135">
        <f>IF(SER_hh_tes_in!W19=0,"",SER_hh_tes_in!W19/SER_hh_fec_in!W19)</f>
        <v>0.88078114679315422</v>
      </c>
      <c r="X19" s="135">
        <f>IF(SER_hh_tes_in!X19=0,"",SER_hh_tes_in!X19/SER_hh_fec_in!X19)</f>
        <v>0.89877988618799787</v>
      </c>
      <c r="Y19" s="135">
        <f>IF(SER_hh_tes_in!Y19=0,"",SER_hh_tes_in!Y19/SER_hh_fec_in!Y19)</f>
        <v>0.91380380478406731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0.58632561901500568</v>
      </c>
      <c r="D21" s="136">
        <f>IF(SER_hh_tes_in!D21=0,"",SER_hh_tes_in!D21/SER_hh_fec_in!D21)</f>
        <v>0.58859709800255322</v>
      </c>
      <c r="E21" s="136">
        <f>IF(SER_hh_tes_in!E21=0,"",SER_hh_tes_in!E21/SER_hh_fec_in!E21)</f>
        <v>0.59118432262308862</v>
      </c>
      <c r="F21" s="136">
        <f>IF(SER_hh_tes_in!F21=0,"",SER_hh_tes_in!F21/SER_hh_fec_in!F21)</f>
        <v>0.59381460346630432</v>
      </c>
      <c r="G21" s="136">
        <f>IF(SER_hh_tes_in!G21=0,"",SER_hh_tes_in!G21/SER_hh_fec_in!G21)</f>
        <v>0.59673566746564555</v>
      </c>
      <c r="H21" s="136">
        <f>IF(SER_hh_tes_in!H21=0,"",SER_hh_tes_in!H21/SER_hh_fec_in!H21)</f>
        <v>0.59991719599819926</v>
      </c>
      <c r="I21" s="136">
        <f>IF(SER_hh_tes_in!I21=0,"",SER_hh_tes_in!I21/SER_hh_fec_in!I21)</f>
        <v>0.60342022898760483</v>
      </c>
      <c r="J21" s="136">
        <f>IF(SER_hh_tes_in!J21=0,"",SER_hh_tes_in!J21/SER_hh_fec_in!J21)</f>
        <v>0.60749482545585931</v>
      </c>
      <c r="K21" s="136">
        <f>IF(SER_hh_tes_in!K21=0,"",SER_hh_tes_in!K21/SER_hh_fec_in!K21)</f>
        <v>0.6123536013450056</v>
      </c>
      <c r="L21" s="136">
        <f>IF(SER_hh_tes_in!L21=0,"",SER_hh_tes_in!L21/SER_hh_fec_in!L21)</f>
        <v>0.61805344013635166</v>
      </c>
      <c r="M21" s="136">
        <f>IF(SER_hh_tes_in!M21=0,"",SER_hh_tes_in!M21/SER_hh_fec_in!M21)</f>
        <v>0.62967292292990873</v>
      </c>
      <c r="N21" s="136">
        <f>IF(SER_hh_tes_in!N21=0,"",SER_hh_tes_in!N21/SER_hh_fec_in!N21)</f>
        <v>0.6488263351067074</v>
      </c>
      <c r="O21" s="136">
        <f>IF(SER_hh_tes_in!O21=0,"",SER_hh_tes_in!O21/SER_hh_fec_in!O21)</f>
        <v>0.67682749284583277</v>
      </c>
      <c r="P21" s="136" t="str">
        <f>IF(SER_hh_tes_in!P21=0,"",SER_hh_tes_in!P21/SER_hh_fec_in!P21)</f>
        <v/>
      </c>
      <c r="Q21" s="136">
        <f>IF(SER_hh_tes_in!Q21=0,"",SER_hh_tes_in!Q21/SER_hh_fec_in!Q21)</f>
        <v>0.74135317658960453</v>
      </c>
      <c r="R21" s="136">
        <f>IF(SER_hh_tes_in!R21=0,"",SER_hh_tes_in!R21/SER_hh_fec_in!R21)</f>
        <v>0.76118713500701674</v>
      </c>
      <c r="S21" s="136">
        <f>IF(SER_hh_tes_in!S21=0,"",SER_hh_tes_in!S21/SER_hh_fec_in!S21)</f>
        <v>0.77965444057047661</v>
      </c>
      <c r="T21" s="136">
        <f>IF(SER_hh_tes_in!T21=0,"",SER_hh_tes_in!T21/SER_hh_fec_in!T21)</f>
        <v>0.79621057054646427</v>
      </c>
      <c r="U21" s="136">
        <f>IF(SER_hh_tes_in!U21=0,"",SER_hh_tes_in!U21/SER_hh_fec_in!U21)</f>
        <v>0.81031100220151708</v>
      </c>
      <c r="V21" s="136">
        <f>IF(SER_hh_tes_in!V21=0,"",SER_hh_tes_in!V21/SER_hh_fec_in!V21)</f>
        <v>0.82141121280214879</v>
      </c>
      <c r="W21" s="136">
        <f>IF(SER_hh_tes_in!W21=0,"",SER_hh_tes_in!W21/SER_hh_fec_in!W21)</f>
        <v>0.82823399052294477</v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0.55270430720127672</v>
      </c>
      <c r="D22" s="136">
        <f>IF(SER_hh_tes_in!D22=0,"",SER_hh_tes_in!D22/SER_hh_fec_in!D22)</f>
        <v>0.55500253079607564</v>
      </c>
      <c r="E22" s="136">
        <f>IF(SER_hh_tes_in!E22=0,"",SER_hh_tes_in!E22/SER_hh_fec_in!E22)</f>
        <v>0.55762021764264413</v>
      </c>
      <c r="F22" s="136">
        <f>IF(SER_hh_tes_in!F22=0,"",SER_hh_tes_in!F22/SER_hh_fec_in!F22)</f>
        <v>0.56028146765990838</v>
      </c>
      <c r="G22" s="136">
        <f>IF(SER_hh_tes_in!G22=0,"",SER_hh_tes_in!G22/SER_hh_fec_in!G22)</f>
        <v>0.56323692454152929</v>
      </c>
      <c r="H22" s="136">
        <f>IF(SER_hh_tes_in!H22=0,"",SER_hh_tes_in!H22/SER_hh_fec_in!H22)</f>
        <v>0.56645591269027551</v>
      </c>
      <c r="I22" s="136">
        <f>IF(SER_hh_tes_in!I22=0,"",SER_hh_tes_in!I22/SER_hh_fec_in!I22)</f>
        <v>0.57000019071958874</v>
      </c>
      <c r="J22" s="136">
        <f>IF(SER_hh_tes_in!J22=0,"",SER_hh_tes_in!J22/SER_hh_fec_in!J22)</f>
        <v>0.57412276186991162</v>
      </c>
      <c r="K22" s="136">
        <f>IF(SER_hh_tes_in!K22=0,"",SER_hh_tes_in!K22/SER_hh_fec_in!K22)</f>
        <v>0.57903874544338652</v>
      </c>
      <c r="L22" s="136" t="str">
        <f>IF(SER_hh_tes_in!L22=0,"",SER_hh_tes_in!L22/SER_hh_fec_in!L22)</f>
        <v/>
      </c>
      <c r="M22" s="136" t="str">
        <f>IF(SER_hh_tes_in!M22=0,"",SER_hh_tes_in!M22/SER_hh_fec_in!M22)</f>
        <v/>
      </c>
      <c r="N22" s="136" t="str">
        <f>IF(SER_hh_tes_in!N22=0,"",SER_hh_tes_in!N22/SER_hh_fec_in!N22)</f>
        <v/>
      </c>
      <c r="O22" s="136" t="str">
        <f>IF(SER_hh_tes_in!O22=0,"",SER_hh_tes_in!O22/SER_hh_fec_in!O22)</f>
        <v/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>
        <f>IF(SER_hh_tes_in!R22=0,"",SER_hh_tes_in!R22/SER_hh_fec_in!R22)</f>
        <v>0.72962465912981378</v>
      </c>
      <c r="S22" s="136">
        <f>IF(SER_hh_tes_in!S22=0,"",SER_hh_tes_in!S22/SER_hh_fec_in!S22)</f>
        <v>0.74830940048598737</v>
      </c>
      <c r="T22" s="136">
        <f>IF(SER_hh_tes_in!T22=0,"",SER_hh_tes_in!T22/SER_hh_fec_in!T22)</f>
        <v>0.76506046389355953</v>
      </c>
      <c r="U22" s="136">
        <f>IF(SER_hh_tes_in!U22=0,"",SER_hh_tes_in!U22/SER_hh_fec_in!U22)</f>
        <v>0.77932691535718623</v>
      </c>
      <c r="V22" s="136">
        <f>IF(SER_hh_tes_in!V22=0,"",SER_hh_tes_in!V22/SER_hh_fec_in!V22)</f>
        <v>0.79055782088150051</v>
      </c>
      <c r="W22" s="136">
        <f>IF(SER_hh_tes_in!W22=0,"",SER_hh_tes_in!W22/SER_hh_fec_in!W22)</f>
        <v>0.79746093062892232</v>
      </c>
      <c r="X22" s="136">
        <f>IF(SER_hh_tes_in!X22=0,"",SER_hh_tes_in!X22/SER_hh_fec_in!X22)</f>
        <v>0.80093004781523758</v>
      </c>
      <c r="Y22" s="136">
        <f>IF(SER_hh_tes_in!Y22=0,"",SER_hh_tes_in!Y22/SER_hh_fec_in!Y22)</f>
        <v>0.8026867238498443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0.59901971190119463</v>
      </c>
      <c r="D23" s="136">
        <f>IF(SER_hh_tes_in!D23=0,"",SER_hh_tes_in!D23/SER_hh_fec_in!D23)</f>
        <v>0.6047763182681134</v>
      </c>
      <c r="E23" s="136">
        <f>IF(SER_hh_tes_in!E23=0,"",SER_hh_tes_in!E23/SER_hh_fec_in!E23)</f>
        <v>0.61079366501783294</v>
      </c>
      <c r="F23" s="136">
        <f>IF(SER_hh_tes_in!F23=0,"",SER_hh_tes_in!F23/SER_hh_fec_in!F23)</f>
        <v>0.61685737058194634</v>
      </c>
      <c r="G23" s="136">
        <f>IF(SER_hh_tes_in!G23=0,"",SER_hh_tes_in!G23/SER_hh_fec_in!G23)</f>
        <v>0.6231593385800055</v>
      </c>
      <c r="H23" s="136">
        <f>IF(SER_hh_tes_in!H23=0,"",SER_hh_tes_in!H23/SER_hh_fec_in!H23)</f>
        <v>0.6296740909149402</v>
      </c>
      <c r="I23" s="136">
        <f>IF(SER_hh_tes_in!I23=0,"",SER_hh_tes_in!I23/SER_hh_fec_in!I23)</f>
        <v>0.63644687358878471</v>
      </c>
      <c r="J23" s="136">
        <f>IF(SER_hh_tes_in!J23=0,"",SER_hh_tes_in!J23/SER_hh_fec_in!J23)</f>
        <v>0.64366765785382829</v>
      </c>
      <c r="K23" s="136">
        <f>IF(SER_hh_tes_in!K23=0,"",SER_hh_tes_in!K23/SER_hh_fec_in!K23)</f>
        <v>0.6514952942753347</v>
      </c>
      <c r="L23" s="136">
        <f>IF(SER_hh_tes_in!L23=0,"",SER_hh_tes_in!L23/SER_hh_fec_in!L23)</f>
        <v>0.65996752524579694</v>
      </c>
      <c r="M23" s="136">
        <f>IF(SER_hh_tes_in!M23=0,"",SER_hh_tes_in!M23/SER_hh_fec_in!M23)</f>
        <v>0.6730386769308776</v>
      </c>
      <c r="N23" s="136">
        <f>IF(SER_hh_tes_in!N23=0,"",SER_hh_tes_in!N23/SER_hh_fec_in!N23)</f>
        <v>0.69192970573214296</v>
      </c>
      <c r="O23" s="136">
        <f>IF(SER_hh_tes_in!O23=0,"",SER_hh_tes_in!O23/SER_hh_fec_in!O23)</f>
        <v>0.71751205660205064</v>
      </c>
      <c r="P23" s="136">
        <f>IF(SER_hh_tes_in!P23=0,"",SER_hh_tes_in!P23/SER_hh_fec_in!P23)</f>
        <v>0.74725753342892431</v>
      </c>
      <c r="Q23" s="136">
        <f>IF(SER_hh_tes_in!Q23=0,"",SER_hh_tes_in!Q23/SER_hh_fec_in!Q23)</f>
        <v>0.77330043013723104</v>
      </c>
      <c r="R23" s="136">
        <f>IF(SER_hh_tes_in!R23=0,"",SER_hh_tes_in!R23/SER_hh_fec_in!R23)</f>
        <v>0.78921975466794381</v>
      </c>
      <c r="S23" s="136" t="str">
        <f>IF(SER_hh_tes_in!S23=0,"",SER_hh_tes_in!S23/SER_hh_fec_in!S23)</f>
        <v/>
      </c>
      <c r="T23" s="136" t="str">
        <f>IF(SER_hh_tes_in!T23=0,"",SER_hh_tes_in!T23/SER_hh_fec_in!T23)</f>
        <v/>
      </c>
      <c r="U23" s="136" t="str">
        <f>IF(SER_hh_tes_in!U23=0,"",SER_hh_tes_in!U23/SER_hh_fec_in!U23)</f>
        <v/>
      </c>
      <c r="V23" s="136" t="str">
        <f>IF(SER_hh_tes_in!V23=0,"",SER_hh_tes_in!V23/SER_hh_fec_in!V23)</f>
        <v/>
      </c>
      <c r="W23" s="136">
        <f>IF(SER_hh_tes_in!W23=0,"",SER_hh_tes_in!W23/SER_hh_fec_in!W23)</f>
        <v>0.83642779779440024</v>
      </c>
      <c r="X23" s="136">
        <f>IF(SER_hh_tes_in!X23=0,"",SER_hh_tes_in!X23/SER_hh_fec_in!X23)</f>
        <v>0.83914514863153844</v>
      </c>
      <c r="Y23" s="136">
        <f>IF(SER_hh_tes_in!Y23=0,"",SER_hh_tes_in!Y23/SER_hh_fec_in!Y23)</f>
        <v>0.84073840791943677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0.83874877094928235</v>
      </c>
      <c r="D25" s="136">
        <f>IF(SER_hh_tes_in!D25=0,"",SER_hh_tes_in!D25/SER_hh_fec_in!D25)</f>
        <v>0.84145057192704897</v>
      </c>
      <c r="E25" s="136">
        <f>IF(SER_hh_tes_in!E25=0,"",SER_hh_tes_in!E25/SER_hh_fec_in!E25)</f>
        <v>0.84422531448244786</v>
      </c>
      <c r="F25" s="136">
        <f>IF(SER_hh_tes_in!F25=0,"",SER_hh_tes_in!F25/SER_hh_fec_in!F25)</f>
        <v>0.84701000361661472</v>
      </c>
      <c r="G25" s="136">
        <f>IF(SER_hh_tes_in!G25=0,"",SER_hh_tes_in!G25/SER_hh_fec_in!G25)</f>
        <v>0.84986186765342753</v>
      </c>
      <c r="H25" s="136">
        <f>IF(SER_hh_tes_in!H25=0,"",SER_hh_tes_in!H25/SER_hh_fec_in!H25)</f>
        <v>0.85277390257460117</v>
      </c>
      <c r="I25" s="136">
        <f>IF(SER_hh_tes_in!I25=0,"",SER_hh_tes_in!I25/SER_hh_fec_in!I25)</f>
        <v>0.8557602094408111</v>
      </c>
      <c r="J25" s="136">
        <f>IF(SER_hh_tes_in!J25=0,"",SER_hh_tes_in!J25/SER_hh_fec_in!J25)</f>
        <v>0.85887855532041957</v>
      </c>
      <c r="K25" s="136">
        <f>IF(SER_hh_tes_in!K25=0,"",SER_hh_tes_in!K25/SER_hh_fec_in!K25)</f>
        <v>0.86217805741607934</v>
      </c>
      <c r="L25" s="136">
        <f>IF(SER_hh_tes_in!L25=0,"",SER_hh_tes_in!L25/SER_hh_fec_in!L25)</f>
        <v>0.86567185659320356</v>
      </c>
      <c r="M25" s="136">
        <f>IF(SER_hh_tes_in!M25=0,"",SER_hh_tes_in!M25/SER_hh_fec_in!M25)</f>
        <v>0.87050945772326616</v>
      </c>
      <c r="N25" s="136">
        <f>IF(SER_hh_tes_in!N25=0,"",SER_hh_tes_in!N25/SER_hh_fec_in!N25)</f>
        <v>0.8770543054087363</v>
      </c>
      <c r="O25" s="136">
        <f>IF(SER_hh_tes_in!O25=0,"",SER_hh_tes_in!O25/SER_hh_fec_in!O25)</f>
        <v>0.88562500300741354</v>
      </c>
      <c r="P25" s="136">
        <f>IF(SER_hh_tes_in!P25=0,"",SER_hh_tes_in!P25/SER_hh_fec_in!P25)</f>
        <v>0.89561538427198983</v>
      </c>
      <c r="Q25" s="136">
        <f>IF(SER_hh_tes_in!Q25=0,"",SER_hh_tes_in!Q25/SER_hh_fec_in!Q25)</f>
        <v>0.90504107977475079</v>
      </c>
      <c r="R25" s="136">
        <f>IF(SER_hh_tes_in!R25=0,"",SER_hh_tes_in!R25/SER_hh_fec_in!R25)</f>
        <v>0.9122636756477529</v>
      </c>
      <c r="S25" s="136">
        <f>IF(SER_hh_tes_in!S25=0,"",SER_hh_tes_in!S25/SER_hh_fec_in!S25)</f>
        <v>0.91929005404307651</v>
      </c>
      <c r="T25" s="136">
        <f>IF(SER_hh_tes_in!T25=0,"",SER_hh_tes_in!T25/SER_hh_fec_in!T25)</f>
        <v>0.92607326771302345</v>
      </c>
      <c r="U25" s="136">
        <f>IF(SER_hh_tes_in!U25=0,"",SER_hh_tes_in!U25/SER_hh_fec_in!U25)</f>
        <v>0.93256636940991755</v>
      </c>
      <c r="V25" s="136">
        <f>IF(SER_hh_tes_in!V25=0,"",SER_hh_tes_in!V25/SER_hh_fec_in!V25)</f>
        <v>0.93872241188607353</v>
      </c>
      <c r="W25" s="136">
        <f>IF(SER_hh_tes_in!W25=0,"",SER_hh_tes_in!W25/SER_hh_fec_in!W25)</f>
        <v>0.94439331355401479</v>
      </c>
      <c r="X25" s="136">
        <f>IF(SER_hh_tes_in!X25=0,"",SER_hh_tes_in!X25/SER_hh_fec_in!X25)</f>
        <v>0.94734603067993328</v>
      </c>
      <c r="Y25" s="136">
        <f>IF(SER_hh_tes_in!Y25=0,"",SER_hh_tes_in!Y25/SER_hh_fec_in!Y25)</f>
        <v>0.95018343085270651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0.69628528013890501</v>
      </c>
      <c r="D26" s="137">
        <f>IF(SER_hh_tes_in!D26=0,"",SER_hh_tes_in!D26/SER_hh_fec_in!D26)</f>
        <v>0.6983751936737701</v>
      </c>
      <c r="E26" s="137">
        <f>IF(SER_hh_tes_in!E26=0,"",SER_hh_tes_in!E26/SER_hh_fec_in!E26)</f>
        <v>0.70066313138814951</v>
      </c>
      <c r="F26" s="137">
        <f>IF(SER_hh_tes_in!F26=0,"",SER_hh_tes_in!F26/SER_hh_fec_in!F26)</f>
        <v>0.70297867416490156</v>
      </c>
      <c r="G26" s="137">
        <f>IF(SER_hh_tes_in!G26=0,"",SER_hh_tes_in!G26/SER_hh_fec_in!G26)</f>
        <v>0.70547813074560017</v>
      </c>
      <c r="H26" s="137">
        <f>IF(SER_hh_tes_in!H26=0,"",SER_hh_tes_in!H26/SER_hh_fec_in!H26)</f>
        <v>0.70814385722783024</v>
      </c>
      <c r="I26" s="137">
        <f>IF(SER_hh_tes_in!I26=0,"",SER_hh_tes_in!I26/SER_hh_fec_in!I26)</f>
        <v>0.71101639195129607</v>
      </c>
      <c r="J26" s="137">
        <f>IF(SER_hh_tes_in!J26=0,"",SER_hh_tes_in!J26/SER_hh_fec_in!J26)</f>
        <v>0.71425828137599157</v>
      </c>
      <c r="K26" s="137">
        <f>IF(SER_hh_tes_in!K26=0,"",SER_hh_tes_in!K26/SER_hh_fec_in!K26)</f>
        <v>0.71801312141375506</v>
      </c>
      <c r="L26" s="137">
        <f>IF(SER_hh_tes_in!L26=0,"",SER_hh_tes_in!L26/SER_hh_fec_in!L26)</f>
        <v>0.7223302829625966</v>
      </c>
      <c r="M26" s="137">
        <f>IF(SER_hh_tes_in!M26=0,"",SER_hh_tes_in!M26/SER_hh_fec_in!M26)</f>
        <v>0.73053772704518916</v>
      </c>
      <c r="N26" s="137">
        <f>IF(SER_hh_tes_in!N26=0,"",SER_hh_tes_in!N26/SER_hh_fec_in!N26)</f>
        <v>0.74407106315841087</v>
      </c>
      <c r="O26" s="137">
        <f>IF(SER_hh_tes_in!O26=0,"",SER_hh_tes_in!O26/SER_hh_fec_in!O26)</f>
        <v>0.7647076415164652</v>
      </c>
      <c r="P26" s="137">
        <f>IF(SER_hh_tes_in!P26=0,"",SER_hh_tes_in!P26/SER_hh_fec_in!P26)</f>
        <v>0.79146907605895123</v>
      </c>
      <c r="Q26" s="137">
        <f>IF(SER_hh_tes_in!Q26=0,"",SER_hh_tes_in!Q26/SER_hh_fec_in!Q26)</f>
        <v>0.81728816664374404</v>
      </c>
      <c r="R26" s="137">
        <f>IF(SER_hh_tes_in!R26=0,"",SER_hh_tes_in!R26/SER_hh_fec_in!R26)</f>
        <v>0.83476096135272915</v>
      </c>
      <c r="S26" s="137">
        <f>IF(SER_hh_tes_in!S26=0,"",SER_hh_tes_in!S26/SER_hh_fec_in!S26)</f>
        <v>0.85168908766372109</v>
      </c>
      <c r="T26" s="137">
        <f>IF(SER_hh_tes_in!T26=0,"",SER_hh_tes_in!T26/SER_hh_fec_in!T26)</f>
        <v>0.8684858426596489</v>
      </c>
      <c r="U26" s="137">
        <f>IF(SER_hh_tes_in!U26=0,"",SER_hh_tes_in!U26/SER_hh_fec_in!U26)</f>
        <v>0.88532007947491054</v>
      </c>
      <c r="V26" s="137">
        <f>IF(SER_hh_tes_in!V26=0,"",SER_hh_tes_in!V26/SER_hh_fec_in!V26)</f>
        <v>0.90185776570809528</v>
      </c>
      <c r="W26" s="137">
        <f>IF(SER_hh_tes_in!W26=0,"",SER_hh_tes_in!W26/SER_hh_fec_in!W26)</f>
        <v>0.91696215959314686</v>
      </c>
      <c r="X26" s="137">
        <f>IF(SER_hh_tes_in!X26=0,"",SER_hh_tes_in!X26/SER_hh_fec_in!X26)</f>
        <v>0.9290738468686035</v>
      </c>
      <c r="Y26" s="137">
        <f>IF(SER_hh_tes_in!Y26=0,"",SER_hh_tes_in!Y26/SER_hh_fec_in!Y26)</f>
        <v>0.94037331494672149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0.6681400340208149</v>
      </c>
      <c r="D29" s="135">
        <f>IF(SER_hh_tes_in!D29=0,"",SER_hh_tes_in!D29/SER_hh_fec_in!D29)</f>
        <v>0.76527350915914216</v>
      </c>
      <c r="E29" s="135">
        <f>IF(SER_hh_tes_in!E29=0,"",SER_hh_tes_in!E29/SER_hh_fec_in!E29)</f>
        <v>0.78465604136503175</v>
      </c>
      <c r="F29" s="135">
        <f>IF(SER_hh_tes_in!F29=0,"",SER_hh_tes_in!F29/SER_hh_fec_in!F29)</f>
        <v>0.80323393896041817</v>
      </c>
      <c r="G29" s="135">
        <f>IF(SER_hh_tes_in!G29=0,"",SER_hh_tes_in!G29/SER_hh_fec_in!G29)</f>
        <v>0.76883534030099288</v>
      </c>
      <c r="H29" s="135">
        <f>IF(SER_hh_tes_in!H29=0,"",SER_hh_tes_in!H29/SER_hh_fec_in!H29)</f>
        <v>0.77023451634229001</v>
      </c>
      <c r="I29" s="135">
        <f>IF(SER_hh_tes_in!I29=0,"",SER_hh_tes_in!I29/SER_hh_fec_in!I29)</f>
        <v>0.64347787720067617</v>
      </c>
      <c r="J29" s="135">
        <f>IF(SER_hh_tes_in!J29=0,"",SER_hh_tes_in!J29/SER_hh_fec_in!J29)</f>
        <v>0.71755961236350874</v>
      </c>
      <c r="K29" s="135">
        <f>IF(SER_hh_tes_in!K29=0,"",SER_hh_tes_in!K29/SER_hh_fec_in!K29)</f>
        <v>0.69413746353879513</v>
      </c>
      <c r="L29" s="135">
        <f>IF(SER_hh_tes_in!L29=0,"",SER_hh_tes_in!L29/SER_hh_fec_in!L29)</f>
        <v>0.70868876446225126</v>
      </c>
      <c r="M29" s="135">
        <f>IF(SER_hh_tes_in!M29=0,"",SER_hh_tes_in!M29/SER_hh_fec_in!M29)</f>
        <v>0.79936106049981037</v>
      </c>
      <c r="N29" s="135">
        <f>IF(SER_hh_tes_in!N29=0,"",SER_hh_tes_in!N29/SER_hh_fec_in!N29)</f>
        <v>0.77390567725891535</v>
      </c>
      <c r="O29" s="135">
        <f>IF(SER_hh_tes_in!O29=0,"",SER_hh_tes_in!O29/SER_hh_fec_in!O29)</f>
        <v>0.75728954822294892</v>
      </c>
      <c r="P29" s="135">
        <f>IF(SER_hh_tes_in!P29=0,"",SER_hh_tes_in!P29/SER_hh_fec_in!P29)</f>
        <v>0.74525903440611585</v>
      </c>
      <c r="Q29" s="135">
        <f>IF(SER_hh_tes_in!Q29=0,"",SER_hh_tes_in!Q29/SER_hh_fec_in!Q29)</f>
        <v>0.77067601252163942</v>
      </c>
      <c r="R29" s="135">
        <f>IF(SER_hh_tes_in!R29=0,"",SER_hh_tes_in!R29/SER_hh_fec_in!R29)</f>
        <v>0.79564770606443935</v>
      </c>
      <c r="S29" s="135">
        <f>IF(SER_hh_tes_in!S29=0,"",SER_hh_tes_in!S29/SER_hh_fec_in!S29)</f>
        <v>0.75227901812735931</v>
      </c>
      <c r="T29" s="135">
        <f>IF(SER_hh_tes_in!T29=0,"",SER_hh_tes_in!T29/SER_hh_fec_in!T29)</f>
        <v>0.7391955398417791</v>
      </c>
      <c r="U29" s="135">
        <f>IF(SER_hh_tes_in!U29=0,"",SER_hh_tes_in!U29/SER_hh_fec_in!U29)</f>
        <v>0.73328539805570814</v>
      </c>
      <c r="V29" s="135">
        <f>IF(SER_hh_tes_in!V29=0,"",SER_hh_tes_in!V29/SER_hh_fec_in!V29)</f>
        <v>0.82558071849493975</v>
      </c>
      <c r="W29" s="135">
        <f>IF(SER_hh_tes_in!W29=0,"",SER_hh_tes_in!W29/SER_hh_fec_in!W29)</f>
        <v>0.91851040246492921</v>
      </c>
      <c r="X29" s="135">
        <f>IF(SER_hh_tes_in!X29=0,"",SER_hh_tes_in!X29/SER_hh_fec_in!X29)</f>
        <v>0.90781316810904622</v>
      </c>
      <c r="Y29" s="135">
        <f>IF(SER_hh_tes_in!Y29=0,"",SER_hh_tes_in!Y29/SER_hh_fec_in!Y29)</f>
        <v>0.89974577015277324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 t="str">
        <f>IF(SER_hh_tes_in!C30=0,"",SER_hh_tes_in!C30/SER_hh_fec_in!C30)</f>
        <v/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>
        <f>IF(SER_hh_tes_in!G30=0,"",SER_hh_tes_in!G30/SER_hh_fec_in!G30)</f>
        <v>0.60212795754970538</v>
      </c>
      <c r="H30" s="136">
        <f>IF(SER_hh_tes_in!H30=0,"",SER_hh_tes_in!H30/SER_hh_fec_in!H30)</f>
        <v>0.60254182194509487</v>
      </c>
      <c r="I30" s="136">
        <f>IF(SER_hh_tes_in!I30=0,"",SER_hh_tes_in!I30/SER_hh_fec_in!I30)</f>
        <v>0.6029557242909056</v>
      </c>
      <c r="J30" s="136">
        <f>IF(SER_hh_tes_in!J30=0,"",SER_hh_tes_in!J30/SER_hh_fec_in!J30)</f>
        <v>0.60336969410413255</v>
      </c>
      <c r="K30" s="136">
        <f>IF(SER_hh_tes_in!K30=0,"",SER_hh_tes_in!K30/SER_hh_fec_in!K30)</f>
        <v>0.60378375648198468</v>
      </c>
      <c r="L30" s="136">
        <f>IF(SER_hh_tes_in!L30=0,"",SER_hh_tes_in!L30/SER_hh_fec_in!L30)</f>
        <v>0.60419791813899404</v>
      </c>
      <c r="M30" s="136" t="str">
        <f>IF(SER_hh_tes_in!M30=0,"",SER_hh_tes_in!M30/SER_hh_fec_in!M30)</f>
        <v/>
      </c>
      <c r="N30" s="136">
        <f>IF(SER_hh_tes_in!N30=0,"",SER_hh_tes_in!N30/SER_hh_fec_in!N30)</f>
        <v>0.60468825895132572</v>
      </c>
      <c r="O30" s="136" t="str">
        <f>IF(SER_hh_tes_in!O30=0,"",SER_hh_tes_in!O30/SER_hh_fec_in!O30)</f>
        <v/>
      </c>
      <c r="P30" s="136" t="str">
        <f>IF(SER_hh_tes_in!P30=0,"",SER_hh_tes_in!P30/SER_hh_fec_in!P30)</f>
        <v/>
      </c>
      <c r="Q30" s="136">
        <f>IF(SER_hh_tes_in!Q30=0,"",SER_hh_tes_in!Q30/SER_hh_fec_in!Q30)</f>
        <v>0.60627991669051673</v>
      </c>
      <c r="R30" s="136">
        <f>IF(SER_hh_tes_in!R30=0,"",SER_hh_tes_in!R30/SER_hh_fec_in!R30)</f>
        <v>0.6094146384557243</v>
      </c>
      <c r="S30" s="136">
        <f>IF(SER_hh_tes_in!S30=0,"",SER_hh_tes_in!S30/SER_hh_fec_in!S30)</f>
        <v>0.61383652170865399</v>
      </c>
      <c r="T30" s="136">
        <f>IF(SER_hh_tes_in!T30=0,"",SER_hh_tes_in!T30/SER_hh_fec_in!T30)</f>
        <v>0.61868819464311042</v>
      </c>
      <c r="U30" s="136">
        <f>IF(SER_hh_tes_in!U30=0,"",SER_hh_tes_in!U30/SER_hh_fec_in!U30)</f>
        <v>0.62311228545291042</v>
      </c>
      <c r="V30" s="136">
        <f>IF(SER_hh_tes_in!V30=0,"",SER_hh_tes_in!V30/SER_hh_fec_in!V30)</f>
        <v>0.62625142233186448</v>
      </c>
      <c r="W30" s="136" t="str">
        <f>IF(SER_hh_tes_in!W30=0,"",SER_hh_tes_in!W30/SER_hh_fec_in!W30)</f>
        <v/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0.60798322639285529</v>
      </c>
      <c r="D31" s="136">
        <f>IF(SER_hh_tes_in!D31=0,"",SER_hh_tes_in!D31/SER_hh_fec_in!D31)</f>
        <v>0.60848652199483655</v>
      </c>
      <c r="E31" s="136">
        <f>IF(SER_hh_tes_in!E31=0,"",SER_hh_tes_in!E31/SER_hh_fec_in!E31)</f>
        <v>0.60898986293298163</v>
      </c>
      <c r="F31" s="136" t="str">
        <f>IF(SER_hh_tes_in!F31=0,"",SER_hh_tes_in!F31/SER_hh_fec_in!F31)</f>
        <v/>
      </c>
      <c r="G31" s="136" t="str">
        <f>IF(SER_hh_tes_in!G31=0,"",SER_hh_tes_in!G31/SER_hh_fec_in!G31)</f>
        <v/>
      </c>
      <c r="H31" s="136" t="str">
        <f>IF(SER_hh_tes_in!H31=0,"",SER_hh_tes_in!H31/SER_hh_fec_in!H31)</f>
        <v/>
      </c>
      <c r="I31" s="136" t="str">
        <f>IF(SER_hh_tes_in!I31=0,"",SER_hh_tes_in!I31/SER_hh_fec_in!I31)</f>
        <v/>
      </c>
      <c r="J31" s="136" t="str">
        <f>IF(SER_hh_tes_in!J31=0,"",SER_hh_tes_in!J31/SER_hh_fec_in!J31)</f>
        <v/>
      </c>
      <c r="K31" s="136">
        <f>IF(SER_hh_tes_in!K31=0,"",SER_hh_tes_in!K31/SER_hh_fec_in!K31)</f>
        <v>0.61201071922976114</v>
      </c>
      <c r="L31" s="136">
        <f>IF(SER_hh_tes_in!L31=0,"",SER_hh_tes_in!L31/SER_hh_fec_in!L31)</f>
        <v>0.61251450709090649</v>
      </c>
      <c r="M31" s="136">
        <f>IF(SER_hh_tes_in!M31=0,"",SER_hh_tes_in!M31/SER_hh_fec_in!M31)</f>
        <v>0.61289710521838181</v>
      </c>
      <c r="N31" s="136">
        <f>IF(SER_hh_tes_in!N31=0,"",SER_hh_tes_in!N31/SER_hh_fec_in!N31)</f>
        <v>0.61311095957484829</v>
      </c>
      <c r="O31" s="136">
        <f>IF(SER_hh_tes_in!O31=0,"",SER_hh_tes_in!O31/SER_hh_fec_in!O31)</f>
        <v>0.6132387747060235</v>
      </c>
      <c r="P31" s="136">
        <f>IF(SER_hh_tes_in!P31=0,"",SER_hh_tes_in!P31/SER_hh_fec_in!P31)</f>
        <v>0.61359542170014991</v>
      </c>
      <c r="Q31" s="136">
        <f>IF(SER_hh_tes_in!Q31=0,"",SER_hh_tes_in!Q31/SER_hh_fec_in!Q31)</f>
        <v>0.61504705828058626</v>
      </c>
      <c r="R31" s="136">
        <f>IF(SER_hh_tes_in!R31=0,"",SER_hh_tes_in!R31/SER_hh_fec_in!R31)</f>
        <v>0.61886014610909856</v>
      </c>
      <c r="S31" s="136" t="str">
        <f>IF(SER_hh_tes_in!S31=0,"",SER_hh_tes_in!S31/SER_hh_fec_in!S31)</f>
        <v/>
      </c>
      <c r="T31" s="136" t="str">
        <f>IF(SER_hh_tes_in!T31=0,"",SER_hh_tes_in!T31/SER_hh_fec_in!T31)</f>
        <v/>
      </c>
      <c r="U31" s="136" t="str">
        <f>IF(SER_hh_tes_in!U31=0,"",SER_hh_tes_in!U31/SER_hh_fec_in!U31)</f>
        <v/>
      </c>
      <c r="V31" s="136" t="str">
        <f>IF(SER_hh_tes_in!V31=0,"",SER_hh_tes_in!V31/SER_hh_fec_in!V31)</f>
        <v/>
      </c>
      <c r="W31" s="136" t="str">
        <f>IF(SER_hh_tes_in!W31=0,"",SER_hh_tes_in!W31/SER_hh_fec_in!W31)</f>
        <v/>
      </c>
      <c r="X31" s="136">
        <f>IF(SER_hh_tes_in!X31=0,"",SER_hh_tes_in!X31/SER_hh_fec_in!X31)</f>
        <v>0.64157128083601878</v>
      </c>
      <c r="Y31" s="136">
        <f>IF(SER_hh_tes_in!Y31=0,"",SER_hh_tes_in!Y31/SER_hh_fec_in!Y31)</f>
        <v>0.64161084331657858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0.79943399571802287</v>
      </c>
      <c r="D33" s="149">
        <f>IF(SER_hh_tes_in!D33=0,"",SER_hh_tes_in!D33/SER_hh_fec_in!D33)</f>
        <v>0.80065949525967639</v>
      </c>
      <c r="E33" s="149">
        <f>IF(SER_hh_tes_in!E33=0,"",SER_hh_tes_in!E33/SER_hh_fec_in!E33)</f>
        <v>0.80194277738821407</v>
      </c>
      <c r="F33" s="149">
        <f>IF(SER_hh_tes_in!F33=0,"",SER_hh_tes_in!F33/SER_hh_fec_in!F33)</f>
        <v>0.80323393896041817</v>
      </c>
      <c r="G33" s="149">
        <f>IF(SER_hh_tes_in!G33=0,"",SER_hh_tes_in!G33/SER_hh_fec_in!G33)</f>
        <v>0.80457831489642606</v>
      </c>
      <c r="H33" s="149">
        <f>IF(SER_hh_tes_in!H33=0,"",SER_hh_tes_in!H33/SER_hh_fec_in!H33)</f>
        <v>0.80597035677915918</v>
      </c>
      <c r="I33" s="149">
        <f>IF(SER_hh_tes_in!I33=0,"",SER_hh_tes_in!I33/SER_hh_fec_in!I33)</f>
        <v>0.80742123513426411</v>
      </c>
      <c r="J33" s="149">
        <f>IF(SER_hh_tes_in!J33=0,"",SER_hh_tes_in!J33/SER_hh_fec_in!J33)</f>
        <v>0.80897671166247453</v>
      </c>
      <c r="K33" s="149">
        <f>IF(SER_hh_tes_in!K33=0,"",SER_hh_tes_in!K33/SER_hh_fec_in!K33)</f>
        <v>0.81067569584617316</v>
      </c>
      <c r="L33" s="149">
        <f>IF(SER_hh_tes_in!L33=0,"",SER_hh_tes_in!L33/SER_hh_fec_in!L33)</f>
        <v>0.81252859756710483</v>
      </c>
      <c r="M33" s="149">
        <f>IF(SER_hh_tes_in!M33=0,"",SER_hh_tes_in!M33/SER_hh_fec_in!M33)</f>
        <v>0.81517783757814621</v>
      </c>
      <c r="N33" s="149">
        <f>IF(SER_hh_tes_in!N33=0,"",SER_hh_tes_in!N33/SER_hh_fec_in!N33)</f>
        <v>0.81880630696179946</v>
      </c>
      <c r="O33" s="149">
        <f>IF(SER_hh_tes_in!O33=0,"",SER_hh_tes_in!O33/SER_hh_fec_in!O33)</f>
        <v>0.82384770205101132</v>
      </c>
      <c r="P33" s="149">
        <f>IF(SER_hh_tes_in!P33=0,"",SER_hh_tes_in!P33/SER_hh_fec_in!P33)</f>
        <v>0.83051473756121108</v>
      </c>
      <c r="Q33" s="149">
        <f>IF(SER_hh_tes_in!Q33=0,"",SER_hh_tes_in!Q33/SER_hh_fec_in!Q33)</f>
        <v>0.83914194653944618</v>
      </c>
      <c r="R33" s="149">
        <f>IF(SER_hh_tes_in!R33=0,"",SER_hh_tes_in!R33/SER_hh_fec_in!R33)</f>
        <v>0.85088151533395029</v>
      </c>
      <c r="S33" s="149">
        <f>IF(SER_hh_tes_in!S33=0,"",SER_hh_tes_in!S33/SER_hh_fec_in!S33)</f>
        <v>0.86557154816759097</v>
      </c>
      <c r="T33" s="149">
        <f>IF(SER_hh_tes_in!T33=0,"",SER_hh_tes_in!T33/SER_hh_fec_in!T33)</f>
        <v>0.88138617520234708</v>
      </c>
      <c r="U33" s="149">
        <f>IF(SER_hh_tes_in!U33=0,"",SER_hh_tes_in!U33/SER_hh_fec_in!U33)</f>
        <v>0.89649952660023913</v>
      </c>
      <c r="V33" s="149">
        <f>IF(SER_hh_tes_in!V33=0,"",SER_hh_tes_in!V33/SER_hh_fec_in!V33)</f>
        <v>0.90908573252326808</v>
      </c>
      <c r="W33" s="149">
        <f>IF(SER_hh_tes_in!W33=0,"",SER_hh_tes_in!W33/SER_hh_fec_in!W33)</f>
        <v>0.91851040246492921</v>
      </c>
      <c r="X33" s="149">
        <f>IF(SER_hh_tes_in!X33=0,"",SER_hh_tes_in!X33/SER_hh_fec_in!X33)</f>
        <v>0.92390441449117644</v>
      </c>
      <c r="Y33" s="149">
        <f>IF(SER_hh_tes_in!Y33=0,"",SER_hh_tes_in!Y33/SER_hh_fec_in!Y33)</f>
        <v>0.92868780183302935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45.85787401645397</v>
      </c>
      <c r="D3" s="125">
        <f t="shared" si="0"/>
        <v>44.483749720968369</v>
      </c>
      <c r="E3" s="125">
        <f t="shared" si="0"/>
        <v>28.177825069375817</v>
      </c>
      <c r="F3" s="125">
        <f t="shared" si="0"/>
        <v>31.010743288454989</v>
      </c>
      <c r="G3" s="125">
        <f t="shared" si="0"/>
        <v>24.122665629434334</v>
      </c>
      <c r="H3" s="125">
        <f t="shared" si="0"/>
        <v>21.463784719282884</v>
      </c>
      <c r="I3" s="125">
        <f t="shared" si="0"/>
        <v>23.75517740858259</v>
      </c>
      <c r="J3" s="125">
        <f t="shared" si="0"/>
        <v>21.291211292674483</v>
      </c>
      <c r="K3" s="125">
        <f t="shared" si="0"/>
        <v>5.635250202934027</v>
      </c>
      <c r="L3" s="125">
        <f t="shared" si="0"/>
        <v>2.2615185482735103</v>
      </c>
      <c r="M3" s="125">
        <f t="shared" si="0"/>
        <v>1.813293209579494</v>
      </c>
      <c r="N3" s="125">
        <f t="shared" si="0"/>
        <v>0.30419560982659988</v>
      </c>
      <c r="O3" s="125">
        <f t="shared" si="0"/>
        <v>1.5764230535566037</v>
      </c>
      <c r="P3" s="125">
        <f t="shared" si="0"/>
        <v>3.8515367907023035</v>
      </c>
      <c r="Q3" s="125">
        <f t="shared" si="0"/>
        <v>3.6875945425214023</v>
      </c>
      <c r="R3" s="125">
        <f t="shared" ref="R3:W3" si="1">SUM(R4,R16,R19,R29)</f>
        <v>4.8024638632427648</v>
      </c>
      <c r="S3" s="125">
        <f t="shared" si="1"/>
        <v>3.5350088983393606</v>
      </c>
      <c r="T3" s="125">
        <f t="shared" si="1"/>
        <v>6.2508509604480516</v>
      </c>
      <c r="U3" s="125">
        <f t="shared" si="1"/>
        <v>5.1324318367808424</v>
      </c>
      <c r="V3" s="125">
        <f t="shared" si="1"/>
        <v>3.3463207212819048</v>
      </c>
      <c r="W3" s="125">
        <f t="shared" si="1"/>
        <v>2.4294203580463583</v>
      </c>
      <c r="X3" s="125">
        <f t="shared" ref="X3:Y3" si="2">SUM(X4,X16,X19,X29)</f>
        <v>2.4609930433714413</v>
      </c>
      <c r="Y3" s="125">
        <f t="shared" si="2"/>
        <v>2.9590592659586368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41.495879394781795</v>
      </c>
      <c r="D4" s="130">
        <f t="shared" si="3"/>
        <v>40.148500378248883</v>
      </c>
      <c r="E4" s="130">
        <f t="shared" si="3"/>
        <v>25.117515914577695</v>
      </c>
      <c r="F4" s="130">
        <f t="shared" si="3"/>
        <v>27.250193900521783</v>
      </c>
      <c r="G4" s="130">
        <f t="shared" si="3"/>
        <v>20.574508682644147</v>
      </c>
      <c r="H4" s="130">
        <f t="shared" si="3"/>
        <v>16.04701508030146</v>
      </c>
      <c r="I4" s="130">
        <f t="shared" si="3"/>
        <v>10.328900225930571</v>
      </c>
      <c r="J4" s="130">
        <f t="shared" si="3"/>
        <v>17.477446950937384</v>
      </c>
      <c r="K4" s="130">
        <f t="shared" si="3"/>
        <v>4.2984103221311933</v>
      </c>
      <c r="L4" s="130">
        <f t="shared" si="3"/>
        <v>1.032949156753155</v>
      </c>
      <c r="M4" s="130">
        <f t="shared" si="3"/>
        <v>1.5693868975837941</v>
      </c>
      <c r="N4" s="130">
        <f t="shared" si="3"/>
        <v>4.4004316396269672E-2</v>
      </c>
      <c r="O4" s="130">
        <f t="shared" si="3"/>
        <v>1.2032403146127606</v>
      </c>
      <c r="P4" s="130">
        <f t="shared" si="3"/>
        <v>3.0690715884111563</v>
      </c>
      <c r="Q4" s="130">
        <f t="shared" si="3"/>
        <v>3.1154464439272735</v>
      </c>
      <c r="R4" s="130">
        <f t="shared" ref="R4:W4" si="4">SUM(R5:R15)</f>
        <v>3.4939107450489848</v>
      </c>
      <c r="S4" s="130">
        <f t="shared" si="4"/>
        <v>1.4478828363360758</v>
      </c>
      <c r="T4" s="130">
        <f t="shared" si="4"/>
        <v>3.0151868739688013</v>
      </c>
      <c r="U4" s="130">
        <f t="shared" si="4"/>
        <v>2.3350138196614445</v>
      </c>
      <c r="V4" s="130">
        <f t="shared" si="4"/>
        <v>1.7235630140135243</v>
      </c>
      <c r="W4" s="130">
        <f t="shared" si="4"/>
        <v>1.834571900278704</v>
      </c>
      <c r="X4" s="130">
        <f t="shared" ref="X4:Y4" si="5">SUM(X5:X15)</f>
        <v>1.9807042759087143</v>
      </c>
      <c r="Y4" s="130">
        <f t="shared" si="5"/>
        <v>2.4894492198486726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24.811489997867273</v>
      </c>
      <c r="D7" s="132">
        <v>28.443762419858579</v>
      </c>
      <c r="E7" s="132">
        <v>23.912504686885601</v>
      </c>
      <c r="F7" s="132">
        <v>27.250193900521783</v>
      </c>
      <c r="G7" s="132">
        <v>20.574508682644147</v>
      </c>
      <c r="H7" s="132">
        <v>16.04701508030146</v>
      </c>
      <c r="I7" s="132">
        <v>10.328900225930571</v>
      </c>
      <c r="J7" s="132">
        <v>17.477446950937384</v>
      </c>
      <c r="K7" s="132">
        <v>3.2994457817249048</v>
      </c>
      <c r="L7" s="132">
        <v>0</v>
      </c>
      <c r="M7" s="132">
        <v>0</v>
      </c>
      <c r="N7" s="132">
        <v>0</v>
      </c>
      <c r="O7" s="132">
        <v>0</v>
      </c>
      <c r="P7" s="132">
        <v>0</v>
      </c>
      <c r="Q7" s="132">
        <v>0</v>
      </c>
      <c r="R7" s="132">
        <v>1.8076302924642662</v>
      </c>
      <c r="S7" s="132">
        <v>1.4478828363360758</v>
      </c>
      <c r="T7" s="132">
        <v>3.0151868739688013</v>
      </c>
      <c r="U7" s="132">
        <v>2.3350138196614445</v>
      </c>
      <c r="V7" s="132">
        <v>1.7235630140135243</v>
      </c>
      <c r="W7" s="132">
        <v>1.4061452445539639</v>
      </c>
      <c r="X7" s="132">
        <v>1.1808571152129823</v>
      </c>
      <c r="Y7" s="132">
        <v>1.3360066313212837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16.684389396914526</v>
      </c>
      <c r="D9" s="132">
        <v>11.7047379583903</v>
      </c>
      <c r="E9" s="132">
        <v>1.2050112276920921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0.99896454040628901</v>
      </c>
      <c r="L9" s="132">
        <v>1.032949156753155</v>
      </c>
      <c r="M9" s="132">
        <v>1.5693868975837941</v>
      </c>
      <c r="N9" s="132">
        <v>4.4004316396269672E-2</v>
      </c>
      <c r="O9" s="132">
        <v>1.2032403146127606</v>
      </c>
      <c r="P9" s="132">
        <v>3.0690715884111563</v>
      </c>
      <c r="Q9" s="132">
        <v>3.1154464439272735</v>
      </c>
      <c r="R9" s="132">
        <v>1.6862804525847184</v>
      </c>
      <c r="S9" s="132">
        <v>0</v>
      </c>
      <c r="T9" s="132">
        <v>0</v>
      </c>
      <c r="U9" s="132">
        <v>0</v>
      </c>
      <c r="V9" s="132">
        <v>0</v>
      </c>
      <c r="W9" s="132">
        <v>0.42842665572474009</v>
      </c>
      <c r="X9" s="132">
        <v>0.79984716069573192</v>
      </c>
      <c r="Y9" s="132">
        <v>1.1534425885273889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2.2954384368227947</v>
      </c>
      <c r="D19" s="130">
        <f t="shared" si="9"/>
        <v>3.6308774564230797</v>
      </c>
      <c r="E19" s="130">
        <f t="shared" si="9"/>
        <v>2.822041944152839</v>
      </c>
      <c r="F19" s="130">
        <f t="shared" si="9"/>
        <v>3.7605493879332084</v>
      </c>
      <c r="G19" s="130">
        <f t="shared" si="9"/>
        <v>2.9032999148215004</v>
      </c>
      <c r="H19" s="130">
        <f t="shared" si="9"/>
        <v>4.4276020477590681</v>
      </c>
      <c r="I19" s="130">
        <f t="shared" si="9"/>
        <v>5.5594883758670601</v>
      </c>
      <c r="J19" s="130">
        <f t="shared" si="9"/>
        <v>2.0050547048063958</v>
      </c>
      <c r="K19" s="130">
        <f t="shared" si="9"/>
        <v>0.42636523203946264</v>
      </c>
      <c r="L19" s="130">
        <f t="shared" si="9"/>
        <v>0.36868406329081971</v>
      </c>
      <c r="M19" s="130">
        <f t="shared" si="9"/>
        <v>0.16364217452012861</v>
      </c>
      <c r="N19" s="130">
        <f t="shared" si="9"/>
        <v>0.1400293442797273</v>
      </c>
      <c r="O19" s="130">
        <f t="shared" si="9"/>
        <v>0.12205619334407146</v>
      </c>
      <c r="P19" s="130">
        <f t="shared" si="9"/>
        <v>3.6789069337387084E-2</v>
      </c>
      <c r="Q19" s="130">
        <f t="shared" si="9"/>
        <v>0.12803553817964233</v>
      </c>
      <c r="R19" s="130">
        <f t="shared" ref="R19:W19" si="10">SUM(R20:R27)</f>
        <v>0.83404180780048975</v>
      </c>
      <c r="S19" s="130">
        <f t="shared" si="10"/>
        <v>0.77907416625618364</v>
      </c>
      <c r="T19" s="130">
        <f t="shared" si="10"/>
        <v>1.4942522435287393</v>
      </c>
      <c r="U19" s="130">
        <f t="shared" si="10"/>
        <v>1.0291447084251275</v>
      </c>
      <c r="V19" s="130">
        <f t="shared" si="10"/>
        <v>0.99002674460571538</v>
      </c>
      <c r="W19" s="130">
        <f t="shared" si="10"/>
        <v>0.59484845776765416</v>
      </c>
      <c r="X19" s="130">
        <f t="shared" ref="X19:Y19" si="11">SUM(X20:X27)</f>
        <v>0.39650591749069325</v>
      </c>
      <c r="Y19" s="130">
        <f t="shared" si="11"/>
        <v>0.31826615834698924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0.56258291859705867</v>
      </c>
      <c r="D21" s="132">
        <v>1.3567277633321142</v>
      </c>
      <c r="E21" s="132">
        <v>0.69818459216876649</v>
      </c>
      <c r="F21" s="132">
        <v>0.93108530993157612</v>
      </c>
      <c r="G21" s="132">
        <v>0.6964925158402846</v>
      </c>
      <c r="H21" s="132">
        <v>0.93610568058101162</v>
      </c>
      <c r="I21" s="132">
        <v>0.9931415236183404</v>
      </c>
      <c r="J21" s="132">
        <v>0.55753191319933215</v>
      </c>
      <c r="K21" s="132">
        <v>0.23327786969578707</v>
      </c>
      <c r="L21" s="132">
        <v>0.26651143738710747</v>
      </c>
      <c r="M21" s="132">
        <v>0.12862405361155391</v>
      </c>
      <c r="N21" s="132">
        <v>0.12754141812074962</v>
      </c>
      <c r="O21" s="132">
        <v>0.10986799188551442</v>
      </c>
      <c r="P21" s="132">
        <v>0</v>
      </c>
      <c r="Q21" s="132">
        <v>9.5265546013641747E-2</v>
      </c>
      <c r="R21" s="132">
        <v>0.40494812454104434</v>
      </c>
      <c r="S21" s="132">
        <v>0.40296205662525603</v>
      </c>
      <c r="T21" s="132">
        <v>0.61951554472269876</v>
      </c>
      <c r="U21" s="132">
        <v>0.52706382597931289</v>
      </c>
      <c r="V21" s="132">
        <v>0.23291110462038905</v>
      </c>
      <c r="W21" s="132">
        <v>0.10210881496875499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1.6518108954348589</v>
      </c>
      <c r="D22" s="132">
        <v>2.1719741427404111</v>
      </c>
      <c r="E22" s="132">
        <v>2.0341598123974443</v>
      </c>
      <c r="F22" s="132">
        <v>2.7030543513897185</v>
      </c>
      <c r="G22" s="132">
        <v>2.089000867911158</v>
      </c>
      <c r="H22" s="132">
        <v>3.3398821142545971</v>
      </c>
      <c r="I22" s="132">
        <v>4.3341140952431791</v>
      </c>
      <c r="J22" s="132">
        <v>1.2523247913311728</v>
      </c>
      <c r="K22" s="132">
        <v>3.4356318515076201E-2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0.36852582353576213</v>
      </c>
      <c r="S22" s="132">
        <v>0.37611210963092762</v>
      </c>
      <c r="T22" s="132">
        <v>0.87473669880604055</v>
      </c>
      <c r="U22" s="132">
        <v>0.50208088244581461</v>
      </c>
      <c r="V22" s="132">
        <v>0.75711563998532627</v>
      </c>
      <c r="W22" s="132">
        <v>0.4748388125776497</v>
      </c>
      <c r="X22" s="132">
        <v>0.3244242875341794</v>
      </c>
      <c r="Y22" s="132">
        <v>0.25927831665338735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8.1044622790876764E-2</v>
      </c>
      <c r="D23" s="132">
        <v>0.10217555035055456</v>
      </c>
      <c r="E23" s="132">
        <v>8.9697539586628405E-2</v>
      </c>
      <c r="F23" s="132">
        <v>0.12640972661191352</v>
      </c>
      <c r="G23" s="132">
        <v>0.11780653107005752</v>
      </c>
      <c r="H23" s="132">
        <v>0.15161425292345979</v>
      </c>
      <c r="I23" s="132">
        <v>0.23223275700554069</v>
      </c>
      <c r="J23" s="132">
        <v>0.19519800027589088</v>
      </c>
      <c r="K23" s="132">
        <v>0.15873104382859937</v>
      </c>
      <c r="L23" s="132">
        <v>0.10217262590371226</v>
      </c>
      <c r="M23" s="132">
        <v>3.5018120908574701E-2</v>
      </c>
      <c r="N23" s="132">
        <v>1.2487926158977666E-2</v>
      </c>
      <c r="O23" s="132">
        <v>1.2188201458557039E-2</v>
      </c>
      <c r="P23" s="132">
        <v>3.6789069337387084E-2</v>
      </c>
      <c r="Q23" s="132">
        <v>3.2769992166000593E-2</v>
      </c>
      <c r="R23" s="132">
        <v>6.056785972368324E-2</v>
      </c>
      <c r="S23" s="132">
        <v>0</v>
      </c>
      <c r="T23" s="132">
        <v>0</v>
      </c>
      <c r="U23" s="132">
        <v>0</v>
      </c>
      <c r="V23" s="132">
        <v>0</v>
      </c>
      <c r="W23" s="132">
        <v>1.790083022124939E-2</v>
      </c>
      <c r="X23" s="132">
        <v>7.2081629956513835E-2</v>
      </c>
      <c r="Y23" s="132">
        <v>5.8987841693601897E-2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2.0665561848493836</v>
      </c>
      <c r="D29" s="130">
        <f t="shared" si="12"/>
        <v>0.70437188629640668</v>
      </c>
      <c r="E29" s="130">
        <f t="shared" si="12"/>
        <v>0.23826721064528134</v>
      </c>
      <c r="F29" s="130">
        <f t="shared" si="12"/>
        <v>0</v>
      </c>
      <c r="G29" s="130">
        <f t="shared" si="12"/>
        <v>0.64485703196868571</v>
      </c>
      <c r="H29" s="130">
        <f t="shared" si="12"/>
        <v>0.98916759122235542</v>
      </c>
      <c r="I29" s="130">
        <f t="shared" si="12"/>
        <v>7.8667888067849603</v>
      </c>
      <c r="J29" s="130">
        <f t="shared" si="12"/>
        <v>1.8087096369307016</v>
      </c>
      <c r="K29" s="130">
        <f t="shared" si="12"/>
        <v>0.91047464876337081</v>
      </c>
      <c r="L29" s="130">
        <f t="shared" si="12"/>
        <v>0.85988532822953545</v>
      </c>
      <c r="M29" s="130">
        <f t="shared" si="12"/>
        <v>8.0264137475571332E-2</v>
      </c>
      <c r="N29" s="130">
        <f t="shared" si="12"/>
        <v>0.12016194915060288</v>
      </c>
      <c r="O29" s="130">
        <f t="shared" si="12"/>
        <v>0.25112654559977188</v>
      </c>
      <c r="P29" s="130">
        <f t="shared" si="12"/>
        <v>0.74567613295376001</v>
      </c>
      <c r="Q29" s="130">
        <f t="shared" si="12"/>
        <v>0.44411256041448638</v>
      </c>
      <c r="R29" s="130">
        <f t="shared" ref="R29:W29" si="13">SUM(R30:R33)</f>
        <v>0.47451131039329048</v>
      </c>
      <c r="S29" s="130">
        <f t="shared" si="13"/>
        <v>1.3080518957471015</v>
      </c>
      <c r="T29" s="130">
        <f t="shared" si="13"/>
        <v>1.7414118429505105</v>
      </c>
      <c r="U29" s="130">
        <f t="shared" si="13"/>
        <v>1.7682733086942699</v>
      </c>
      <c r="V29" s="130">
        <f t="shared" si="13"/>
        <v>0.63273096266266526</v>
      </c>
      <c r="W29" s="130">
        <f t="shared" si="13"/>
        <v>0</v>
      </c>
      <c r="X29" s="130">
        <f t="shared" ref="X29:Y29" si="14">SUM(X30:X33)</f>
        <v>8.3782849972034001E-2</v>
      </c>
      <c r="Y29" s="130">
        <f t="shared" si="14"/>
        <v>0.15134388776297503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0.64485703196868571</v>
      </c>
      <c r="H30" s="132">
        <v>0.98916759122235542</v>
      </c>
      <c r="I30" s="132">
        <v>7.8667888067849603</v>
      </c>
      <c r="J30" s="132">
        <v>1.8087096369307016</v>
      </c>
      <c r="K30" s="132">
        <v>0.81052785456057208</v>
      </c>
      <c r="L30" s="132">
        <v>0.71076495405371776</v>
      </c>
      <c r="M30" s="132">
        <v>0</v>
      </c>
      <c r="N30" s="132">
        <v>3.0493008008514485E-3</v>
      </c>
      <c r="O30" s="132">
        <v>0</v>
      </c>
      <c r="P30" s="132">
        <v>0</v>
      </c>
      <c r="Q30" s="132">
        <v>2.3301933349429274E-2</v>
      </c>
      <c r="R30" s="132">
        <v>0.4382642090450346</v>
      </c>
      <c r="S30" s="132">
        <v>1.3080518957471015</v>
      </c>
      <c r="T30" s="132">
        <v>1.7414118429505105</v>
      </c>
      <c r="U30" s="132">
        <v>1.7682733086942699</v>
      </c>
      <c r="V30" s="132">
        <v>0.63273096266266526</v>
      </c>
      <c r="W30" s="132">
        <v>0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2.0665561848493836</v>
      </c>
      <c r="D31" s="132">
        <v>0.70437188629640668</v>
      </c>
      <c r="E31" s="132">
        <v>0.23826721064528134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9.9946794202798755E-2</v>
      </c>
      <c r="L31" s="132">
        <v>0.14912037417581767</v>
      </c>
      <c r="M31" s="132">
        <v>8.0264137475571332E-2</v>
      </c>
      <c r="N31" s="132">
        <v>0.11711264834975144</v>
      </c>
      <c r="O31" s="132">
        <v>0.25112654559977188</v>
      </c>
      <c r="P31" s="132">
        <v>0.74567613295376001</v>
      </c>
      <c r="Q31" s="132">
        <v>0.42081062706505712</v>
      </c>
      <c r="R31" s="132">
        <v>3.6247101348255858E-2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8.3782849972034001E-2</v>
      </c>
      <c r="Y31" s="132">
        <v>0.15134388776297503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388057.19610613631</v>
      </c>
      <c r="D3" s="125">
        <f>IF(SER_hh_fec_in!D3=0,0,11630*1000*SER_hh_fec_in!D3/SER_hh_num_in!D3)</f>
        <v>340378.83260898967</v>
      </c>
      <c r="E3" s="125">
        <f>IF(SER_hh_fec_in!E3=0,0,11630*1000*SER_hh_fec_in!E3/SER_hh_num_in!E3)</f>
        <v>230071.71544689912</v>
      </c>
      <c r="F3" s="125">
        <f>IF(SER_hh_fec_in!F3=0,0,11630*1000*SER_hh_fec_in!F3/SER_hh_num_in!F3)</f>
        <v>212943.08712343202</v>
      </c>
      <c r="G3" s="125">
        <f>IF(SER_hh_fec_in!G3=0,0,11630*1000*SER_hh_fec_in!G3/SER_hh_num_in!G3)</f>
        <v>179074.02915423719</v>
      </c>
      <c r="H3" s="125">
        <f>IF(SER_hh_fec_in!H3=0,0,11630*1000*SER_hh_fec_in!H3/SER_hh_num_in!H3)</f>
        <v>141644.17566148518</v>
      </c>
      <c r="I3" s="125">
        <f>IF(SER_hh_fec_in!I3=0,0,11630*1000*SER_hh_fec_in!I3/SER_hh_num_in!I3)</f>
        <v>121656.59195051639</v>
      </c>
      <c r="J3" s="125">
        <f>IF(SER_hh_fec_in!J3=0,0,11630*1000*SER_hh_fec_in!J3/SER_hh_num_in!J3)</f>
        <v>154495.93977930327</v>
      </c>
      <c r="K3" s="125">
        <f>IF(SER_hh_fec_in!K3=0,0,11630*1000*SER_hh_fec_in!K3/SER_hh_num_in!K3)</f>
        <v>137713.53641935735</v>
      </c>
      <c r="L3" s="125">
        <f>IF(SER_hh_fec_in!L3=0,0,11630*1000*SER_hh_fec_in!L3/SER_hh_num_in!L3)</f>
        <v>150547.42184137186</v>
      </c>
      <c r="M3" s="125">
        <f>IF(SER_hh_fec_in!M3=0,0,11630*1000*SER_hh_fec_in!M3/SER_hh_num_in!M3)</f>
        <v>141807.92841967387</v>
      </c>
      <c r="N3" s="125">
        <f>IF(SER_hh_fec_in!N3=0,0,11630*1000*SER_hh_fec_in!N3/SER_hh_num_in!N3)</f>
        <v>112537.25725137074</v>
      </c>
      <c r="O3" s="125">
        <f>IF(SER_hh_fec_in!O3=0,0,11630*1000*SER_hh_fec_in!O3/SER_hh_num_in!O3)</f>
        <v>116003.68460733721</v>
      </c>
      <c r="P3" s="125">
        <f>IF(SER_hh_fec_in!P3=0,0,11630*1000*SER_hh_fec_in!P3/SER_hh_num_in!P3)</f>
        <v>102517.20702064958</v>
      </c>
      <c r="Q3" s="125">
        <f>IF(SER_hh_fec_in!Q3=0,0,11630*1000*SER_hh_fec_in!Q3/SER_hh_num_in!Q3)</f>
        <v>107485.59148095676</v>
      </c>
      <c r="R3" s="125">
        <f>IF(SER_hh_fec_in!R3=0,0,11630*1000*SER_hh_fec_in!R3/SER_hh_num_in!R3)</f>
        <v>105919.50823537802</v>
      </c>
      <c r="S3" s="125">
        <f>IF(SER_hh_fec_in!S3=0,0,11630*1000*SER_hh_fec_in!S3/SER_hh_num_in!S3)</f>
        <v>99344.464968120985</v>
      </c>
      <c r="T3" s="125">
        <f>IF(SER_hh_fec_in!T3=0,0,11630*1000*SER_hh_fec_in!T3/SER_hh_num_in!T3)</f>
        <v>101190.65775132984</v>
      </c>
      <c r="U3" s="125">
        <f>IF(SER_hh_fec_in!U3=0,0,11630*1000*SER_hh_fec_in!U3/SER_hh_num_in!U3)</f>
        <v>91900.802046731114</v>
      </c>
      <c r="V3" s="125">
        <f>IF(SER_hh_fec_in!V3=0,0,11630*1000*SER_hh_fec_in!V3/SER_hh_num_in!V3)</f>
        <v>76283.889581132113</v>
      </c>
      <c r="W3" s="125">
        <f>IF(SER_hh_fec_in!W3=0,0,11630*1000*SER_hh_fec_in!W3/SER_hh_num_in!W3)</f>
        <v>69696.043934073896</v>
      </c>
      <c r="X3" s="125">
        <f>IF(SER_hh_fec_in!X3=0,0,11630*1000*SER_hh_fec_in!X3/SER_hh_num_in!X3)</f>
        <v>86803.664025547376</v>
      </c>
      <c r="Y3" s="125">
        <f>IF(SER_hh_fec_in!Y3=0,0,11630*1000*SER_hh_fec_in!Y3/SER_hh_num_in!Y3)</f>
        <v>76552.118143208078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333760.65252116963</v>
      </c>
      <c r="D4" s="130">
        <f>IF(SER_hh_fec_in!D4=0,0,11630*1000*SER_hh_fec_in!D4/SER_hh_num_in!D4)</f>
        <v>288861.79443431692</v>
      </c>
      <c r="E4" s="130">
        <f>IF(SER_hh_fec_in!E4=0,0,11630*1000*SER_hh_fec_in!E4/SER_hh_num_in!E4)</f>
        <v>176941.00687856416</v>
      </c>
      <c r="F4" s="130">
        <f>IF(SER_hh_fec_in!F4=0,0,11630*1000*SER_hh_fec_in!F4/SER_hh_num_in!F4)</f>
        <v>167854.88915216824</v>
      </c>
      <c r="G4" s="130">
        <f>IF(SER_hh_fec_in!G4=0,0,11630*1000*SER_hh_fec_in!G4/SER_hh_num_in!G4)</f>
        <v>132412.81903745467</v>
      </c>
      <c r="H4" s="130">
        <f>IF(SER_hh_fec_in!H4=0,0,11630*1000*SER_hh_fec_in!H4/SER_hh_num_in!H4)</f>
        <v>96226.42048088272</v>
      </c>
      <c r="I4" s="130">
        <f>IF(SER_hh_fec_in!I4=0,0,11630*1000*SER_hh_fec_in!I4/SER_hh_num_in!I4)</f>
        <v>70676.757885938569</v>
      </c>
      <c r="J4" s="130">
        <f>IF(SER_hh_fec_in!J4=0,0,11630*1000*SER_hh_fec_in!J4/SER_hh_num_in!J4)</f>
        <v>111238.83000366224</v>
      </c>
      <c r="K4" s="130">
        <f>IF(SER_hh_fec_in!K4=0,0,11630*1000*SER_hh_fec_in!K4/SER_hh_num_in!K4)</f>
        <v>95132.25235538889</v>
      </c>
      <c r="L4" s="130">
        <f>IF(SER_hh_fec_in!L4=0,0,11630*1000*SER_hh_fec_in!L4/SER_hh_num_in!L4)</f>
        <v>108456.28155365752</v>
      </c>
      <c r="M4" s="130">
        <f>IF(SER_hh_fec_in!M4=0,0,11630*1000*SER_hh_fec_in!M4/SER_hh_num_in!M4)</f>
        <v>99945.430354643657</v>
      </c>
      <c r="N4" s="130">
        <f>IF(SER_hh_fec_in!N4=0,0,11630*1000*SER_hh_fec_in!N4/SER_hh_num_in!N4)</f>
        <v>72347.969600149605</v>
      </c>
      <c r="O4" s="130">
        <f>IF(SER_hh_fec_in!O4=0,0,11630*1000*SER_hh_fec_in!O4/SER_hh_num_in!O4)</f>
        <v>74302.224887557881</v>
      </c>
      <c r="P4" s="130">
        <f>IF(SER_hh_fec_in!P4=0,0,11630*1000*SER_hh_fec_in!P4/SER_hh_num_in!P4)</f>
        <v>61132.018000183751</v>
      </c>
      <c r="Q4" s="130">
        <f>IF(SER_hh_fec_in!Q4=0,0,11630*1000*SER_hh_fec_in!Q4/SER_hh_num_in!Q4)</f>
        <v>65272.188737935328</v>
      </c>
      <c r="R4" s="130">
        <f>IF(SER_hh_fec_in!R4=0,0,11630*1000*SER_hh_fec_in!R4/SER_hh_num_in!R4)</f>
        <v>66531.27252878547</v>
      </c>
      <c r="S4" s="130">
        <f>IF(SER_hh_fec_in!S4=0,0,11630*1000*SER_hh_fec_in!S4/SER_hh_num_in!S4)</f>
        <v>57264.848457857152</v>
      </c>
      <c r="T4" s="130">
        <f>IF(SER_hh_fec_in!T4=0,0,11630*1000*SER_hh_fec_in!T4/SER_hh_num_in!T4)</f>
        <v>57035.072255597152</v>
      </c>
      <c r="U4" s="130">
        <f>IF(SER_hh_fec_in!U4=0,0,11630*1000*SER_hh_fec_in!U4/SER_hh_num_in!U4)</f>
        <v>47323.781413326331</v>
      </c>
      <c r="V4" s="130">
        <f>IF(SER_hh_fec_in!V4=0,0,11630*1000*SER_hh_fec_in!V4/SER_hh_num_in!V4)</f>
        <v>38060.798067645061</v>
      </c>
      <c r="W4" s="130">
        <f>IF(SER_hh_fec_in!W4=0,0,11630*1000*SER_hh_fec_in!W4/SER_hh_num_in!W4)</f>
        <v>32966.753294542832</v>
      </c>
      <c r="X4" s="130">
        <f>IF(SER_hh_fec_in!X4=0,0,11630*1000*SER_hh_fec_in!X4/SER_hh_num_in!X4)</f>
        <v>51674.152048793912</v>
      </c>
      <c r="Y4" s="130">
        <f>IF(SER_hh_fec_in!Y4=0,0,11630*1000*SER_hh_fec_in!Y4/SER_hh_num_in!Y4)</f>
        <v>39499.880930423213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365971.55997074588</v>
      </c>
      <c r="D7" s="132">
        <f>IF(SER_hh_fec_in!D7=0,0,11630*1000*SER_hh_fec_in!D7/SER_hh_num_in!D7)</f>
        <v>285527.53799482377</v>
      </c>
      <c r="E7" s="132">
        <f>IF(SER_hh_fec_in!E7=0,0,11630*1000*SER_hh_fec_in!E7/SER_hh_num_in!E7)</f>
        <v>193621.30665867426</v>
      </c>
      <c r="F7" s="132">
        <f>IF(SER_hh_fec_in!F7=0,0,11630*1000*SER_hh_fec_in!F7/SER_hh_num_in!F7)</f>
        <v>180152.04034558585</v>
      </c>
      <c r="G7" s="132">
        <f>IF(SER_hh_fec_in!G7=0,0,11630*1000*SER_hh_fec_in!G7/SER_hh_num_in!G7)</f>
        <v>158479.85837041729</v>
      </c>
      <c r="H7" s="132">
        <f>IF(SER_hh_fec_in!H7=0,0,11630*1000*SER_hh_fec_in!H7/SER_hh_num_in!H7)</f>
        <v>124461.15370725846</v>
      </c>
      <c r="I7" s="132">
        <f>IF(SER_hh_fec_in!I7=0,0,11630*1000*SER_hh_fec_in!I7/SER_hh_num_in!I7)</f>
        <v>72147.508684748202</v>
      </c>
      <c r="J7" s="132">
        <f>IF(SER_hh_fec_in!J7=0,0,11630*1000*SER_hh_fec_in!J7/SER_hh_num_in!J7)</f>
        <v>126674.96590891798</v>
      </c>
      <c r="K7" s="132">
        <f>IF(SER_hh_fec_in!K7=0,0,11630*1000*SER_hh_fec_in!K7/SER_hh_num_in!K7)</f>
        <v>116185.63953614322</v>
      </c>
      <c r="L7" s="132">
        <f>IF(SER_hh_fec_in!L7=0,0,11630*1000*SER_hh_fec_in!L7/SER_hh_num_in!L7)</f>
        <v>0</v>
      </c>
      <c r="M7" s="132">
        <f>IF(SER_hh_fec_in!M7=0,0,11630*1000*SER_hh_fec_in!M7/SER_hh_num_in!M7)</f>
        <v>0</v>
      </c>
      <c r="N7" s="132">
        <f>IF(SER_hh_fec_in!N7=0,0,11630*1000*SER_hh_fec_in!N7/SER_hh_num_in!N7)</f>
        <v>0</v>
      </c>
      <c r="O7" s="132">
        <f>IF(SER_hh_fec_in!O7=0,0,11630*1000*SER_hh_fec_in!O7/SER_hh_num_in!O7)</f>
        <v>0</v>
      </c>
      <c r="P7" s="132">
        <f>IF(SER_hh_fec_in!P7=0,0,11630*1000*SER_hh_fec_in!P7/SER_hh_num_in!P7)</f>
        <v>0</v>
      </c>
      <c r="Q7" s="132">
        <f>IF(SER_hh_fec_in!Q7=0,0,11630*1000*SER_hh_fec_in!Q7/SER_hh_num_in!Q7)</f>
        <v>0</v>
      </c>
      <c r="R7" s="132">
        <f>IF(SER_hh_fec_in!R7=0,0,11630*1000*SER_hh_fec_in!R7/SER_hh_num_in!R7)</f>
        <v>72963.582092014112</v>
      </c>
      <c r="S7" s="132">
        <f>IF(SER_hh_fec_in!S7=0,0,11630*1000*SER_hh_fec_in!S7/SER_hh_num_in!S7)</f>
        <v>56960.431363668584</v>
      </c>
      <c r="T7" s="132">
        <f>IF(SER_hh_fec_in!T7=0,0,11630*1000*SER_hh_fec_in!T7/SER_hh_num_in!T7)</f>
        <v>61129.420818792067</v>
      </c>
      <c r="U7" s="132">
        <f>IF(SER_hh_fec_in!U7=0,0,11630*1000*SER_hh_fec_in!U7/SER_hh_num_in!U7)</f>
        <v>50793.163909341078</v>
      </c>
      <c r="V7" s="132">
        <f>IF(SER_hh_fec_in!V7=0,0,11630*1000*SER_hh_fec_in!V7/SER_hh_num_in!V7)</f>
        <v>57115.070901979569</v>
      </c>
      <c r="W7" s="132">
        <f>IF(SER_hh_fec_in!W7=0,0,11630*1000*SER_hh_fec_in!W7/SER_hh_num_in!W7)</f>
        <v>34832.025196417606</v>
      </c>
      <c r="X7" s="132">
        <f>IF(SER_hh_fec_in!X7=0,0,11630*1000*SER_hh_fec_in!X7/SER_hh_num_in!X7)</f>
        <v>34080.938294195934</v>
      </c>
      <c r="Y7" s="132">
        <f>IF(SER_hh_fec_in!Y7=0,0,11630*1000*SER_hh_fec_in!Y7/SER_hh_num_in!Y7)</f>
        <v>48505.48239449157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361963.75891338725</v>
      </c>
      <c r="D9" s="132">
        <f>IF(SER_hh_fec_in!D9=0,0,11630*1000*SER_hh_fec_in!D9/SER_hh_num_in!D9)</f>
        <v>349864.46929416951</v>
      </c>
      <c r="E9" s="132">
        <f>IF(SER_hh_fec_in!E9=0,0,11630*1000*SER_hh_fec_in!E9/SER_hh_num_in!E9)</f>
        <v>164865.60451273745</v>
      </c>
      <c r="F9" s="132">
        <f>IF(SER_hh_fec_in!F9=0,0,11630*1000*SER_hh_fec_in!F9/SER_hh_num_in!F9)</f>
        <v>0</v>
      </c>
      <c r="G9" s="132">
        <f>IF(SER_hh_fec_in!G9=0,0,11630*1000*SER_hh_fec_in!G9/SER_hh_num_in!G9)</f>
        <v>0</v>
      </c>
      <c r="H9" s="132">
        <f>IF(SER_hh_fec_in!H9=0,0,11630*1000*SER_hh_fec_in!H9/SER_hh_num_in!H9)</f>
        <v>0</v>
      </c>
      <c r="I9" s="132">
        <f>IF(SER_hh_fec_in!I9=0,0,11630*1000*SER_hh_fec_in!I9/SER_hh_num_in!I9)</f>
        <v>0</v>
      </c>
      <c r="J9" s="132">
        <f>IF(SER_hh_fec_in!J9=0,0,11630*1000*SER_hh_fec_in!J9/SER_hh_num_in!J9)</f>
        <v>0</v>
      </c>
      <c r="K9" s="132">
        <f>IF(SER_hh_fec_in!K9=0,0,11630*1000*SER_hh_fec_in!K9/SER_hh_num_in!K9)</f>
        <v>99115.238085058227</v>
      </c>
      <c r="L9" s="132">
        <f>IF(SER_hh_fec_in!L9=0,0,11630*1000*SER_hh_fec_in!L9/SER_hh_num_in!L9)</f>
        <v>116359.48205826864</v>
      </c>
      <c r="M9" s="132">
        <f>IF(SER_hh_fec_in!M9=0,0,11630*1000*SER_hh_fec_in!M9/SER_hh_num_in!M9)</f>
        <v>159208.98695067936</v>
      </c>
      <c r="N9" s="132">
        <f>IF(SER_hh_fec_in!N9=0,0,11630*1000*SER_hh_fec_in!N9/SER_hh_num_in!N9)</f>
        <v>42225.149578834455</v>
      </c>
      <c r="O9" s="132">
        <f>IF(SER_hh_fec_in!O9=0,0,11630*1000*SER_hh_fec_in!O9/SER_hh_num_in!O9)</f>
        <v>79930.68870044408</v>
      </c>
      <c r="P9" s="132">
        <f>IF(SER_hh_fec_in!P9=0,0,11630*1000*SER_hh_fec_in!P9/SER_hh_num_in!P9)</f>
        <v>62039.747986803268</v>
      </c>
      <c r="Q9" s="132">
        <f>IF(SER_hh_fec_in!Q9=0,0,11630*1000*SER_hh_fec_in!Q9/SER_hh_num_in!Q9)</f>
        <v>69337.418040833858</v>
      </c>
      <c r="R9" s="132">
        <f>IF(SER_hh_fec_in!R9=0,0,11630*1000*SER_hh_fec_in!R9/SER_hh_num_in!R9)</f>
        <v>81569.691800582426</v>
      </c>
      <c r="S9" s="132">
        <f>IF(SER_hh_fec_in!S9=0,0,11630*1000*SER_hh_fec_in!S9/SER_hh_num_in!S9)</f>
        <v>0</v>
      </c>
      <c r="T9" s="132">
        <f>IF(SER_hh_fec_in!T9=0,0,11630*1000*SER_hh_fec_in!T9/SER_hh_num_in!T9)</f>
        <v>0</v>
      </c>
      <c r="U9" s="132">
        <f>IF(SER_hh_fec_in!U9=0,0,11630*1000*SER_hh_fec_in!U9/SER_hh_num_in!U9)</f>
        <v>0</v>
      </c>
      <c r="V9" s="132">
        <f>IF(SER_hh_fec_in!V9=0,0,11630*1000*SER_hh_fec_in!V9/SER_hh_num_in!V9)</f>
        <v>0</v>
      </c>
      <c r="W9" s="132">
        <f>IF(SER_hh_fec_in!W9=0,0,11630*1000*SER_hh_fec_in!W9/SER_hh_num_in!W9)</f>
        <v>27391.483696715241</v>
      </c>
      <c r="X9" s="132">
        <f>IF(SER_hh_fec_in!X9=0,0,11630*1000*SER_hh_fec_in!X9/SER_hh_num_in!X9)</f>
        <v>45702.750788860976</v>
      </c>
      <c r="Y9" s="132">
        <f>IF(SER_hh_fec_in!Y9=0,0,11630*1000*SER_hh_fec_in!Y9/SER_hh_num_in!Y9)</f>
        <v>40202.463812778973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386439.62833445094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162940.62906557441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0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0</v>
      </c>
      <c r="M10" s="132">
        <f>IF(SER_hh_fec_in!M10=0,0,11630*1000*SER_hh_fec_in!M10/SER_hh_num_in!M10)</f>
        <v>0</v>
      </c>
      <c r="N10" s="132">
        <f>IF(SER_hh_fec_in!N10=0,0,11630*1000*SER_hh_fec_in!N10/SER_hh_num_in!N10)</f>
        <v>0</v>
      </c>
      <c r="O10" s="132">
        <f>IF(SER_hh_fec_in!O10=0,0,11630*1000*SER_hh_fec_in!O10/SER_hh_num_in!O10)</f>
        <v>0</v>
      </c>
      <c r="P10" s="132">
        <f>IF(SER_hh_fec_in!P10=0,0,11630*1000*SER_hh_fec_in!P10/SER_hh_num_in!P10)</f>
        <v>0</v>
      </c>
      <c r="Q10" s="132">
        <f>IF(SER_hh_fec_in!Q10=0,0,11630*1000*SER_hh_fec_in!Q10/SER_hh_num_in!Q10)</f>
        <v>0</v>
      </c>
      <c r="R10" s="132">
        <f>IF(SER_hh_fec_in!R10=0,0,11630*1000*SER_hh_fec_in!R10/SER_hh_num_in!R10)</f>
        <v>0</v>
      </c>
      <c r="S10" s="132">
        <f>IF(SER_hh_fec_in!S10=0,0,11630*1000*SER_hh_fec_in!S10/SER_hh_num_in!S10)</f>
        <v>0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8.744916468639618E-11</v>
      </c>
      <c r="W10" s="132">
        <f>IF(SER_hh_fec_in!W10=0,0,11630*1000*SER_hh_fec_in!W10/SER_hh_num_in!W10)</f>
        <v>0</v>
      </c>
      <c r="X10" s="132">
        <f>IF(SER_hh_fec_in!X10=0,0,11630*1000*SER_hh_fec_in!X10/SER_hh_num_in!X10)</f>
        <v>77931.505159103879</v>
      </c>
      <c r="Y10" s="132">
        <f>IF(SER_hh_fec_in!Y10=0,0,11630*1000*SER_hh_fec_in!Y10/SER_hh_num_in!Y10)</f>
        <v>69528.035358485722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124503.46042082988</v>
      </c>
      <c r="M11" s="132">
        <f>IF(SER_hh_fec_in!M11=0,0,11630*1000*SER_hh_fec_in!M11/SER_hh_num_in!M11)</f>
        <v>95200.796544548561</v>
      </c>
      <c r="N11" s="132">
        <f>IF(SER_hh_fec_in!N11=0,0,11630*1000*SER_hh_fec_in!N11/SER_hh_num_in!N11)</f>
        <v>60559.424882468717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47525.090637038942</v>
      </c>
      <c r="U11" s="132">
        <f>IF(SER_hh_fec_in!U11=0,0,11630*1000*SER_hh_fec_in!U11/SER_hh_num_in!U11)</f>
        <v>50179.08082657303</v>
      </c>
      <c r="V11" s="132">
        <f>IF(SER_hh_fec_in!V11=0,0,11630*1000*SER_hh_fec_in!V11/SER_hh_num_in!V11)</f>
        <v>33133.266900764254</v>
      </c>
      <c r="W11" s="132">
        <f>IF(SER_hh_fec_in!W11=0,0,11630*1000*SER_hh_fec_in!W11/SER_hh_num_in!W11)</f>
        <v>28964.807074829205</v>
      </c>
      <c r="X11" s="132">
        <f>IF(SER_hh_fec_in!X11=0,0,11630*1000*SER_hh_fec_in!X11/SER_hh_num_in!X11)</f>
        <v>31427.978509748922</v>
      </c>
      <c r="Y11" s="132">
        <f>IF(SER_hh_fec_in!Y11=0,0,11630*1000*SER_hh_fec_in!Y11/SER_hh_num_in!Y11)</f>
        <v>33786.768354293199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122303.29832203414</v>
      </c>
      <c r="G12" s="132">
        <f>IF(SER_hh_fec_in!G12=0,0,11630*1000*SER_hh_fec_in!G12/SER_hh_num_in!G12)</f>
        <v>81870.040223769131</v>
      </c>
      <c r="H12" s="132">
        <f>IF(SER_hh_fec_in!H12=0,0,11630*1000*SER_hh_fec_in!H12/SER_hh_num_in!H12)</f>
        <v>97834.865456819898</v>
      </c>
      <c r="I12" s="132">
        <f>IF(SER_hh_fec_in!I12=0,0,11630*1000*SER_hh_fec_in!I12/SER_hh_num_in!I12)</f>
        <v>56020.012275369278</v>
      </c>
      <c r="J12" s="132">
        <f>IF(SER_hh_fec_in!J12=0,0,11630*1000*SER_hh_fec_in!J12/SER_hh_num_in!J12)</f>
        <v>54366.941679969859</v>
      </c>
      <c r="K12" s="132">
        <f>IF(SER_hh_fec_in!K12=0,0,11630*1000*SER_hh_fec_in!K12/SER_hh_num_in!K12)</f>
        <v>79790.324575653198</v>
      </c>
      <c r="L12" s="132">
        <f>IF(SER_hh_fec_in!L12=0,0,11630*1000*SER_hh_fec_in!L12/SER_hh_num_in!L12)</f>
        <v>88037.101326751334</v>
      </c>
      <c r="M12" s="132">
        <f>IF(SER_hh_fec_in!M12=0,0,11630*1000*SER_hh_fec_in!M12/SER_hh_num_in!M12)</f>
        <v>81210.246376370575</v>
      </c>
      <c r="N12" s="132">
        <f>IF(SER_hh_fec_in!N12=0,0,11630*1000*SER_hh_fec_in!N12/SER_hh_num_in!N12)</f>
        <v>71486.534999711817</v>
      </c>
      <c r="O12" s="132">
        <f>IF(SER_hh_fec_in!O12=0,0,11630*1000*SER_hh_fec_in!O12/SER_hh_num_in!O12)</f>
        <v>69468.441702492622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54055.250848684162</v>
      </c>
      <c r="R12" s="132">
        <f>IF(SER_hh_fec_in!R12=0,0,11630*1000*SER_hh_fec_in!R12/SER_hh_num_in!R12)</f>
        <v>49650.428194483204</v>
      </c>
      <c r="S12" s="132">
        <f>IF(SER_hh_fec_in!S12=0,0,11630*1000*SER_hh_fec_in!S12/SER_hh_num_in!S12)</f>
        <v>53964.997140336476</v>
      </c>
      <c r="T12" s="132">
        <f>IF(SER_hh_fec_in!T12=0,0,11630*1000*SER_hh_fec_in!T12/SER_hh_num_in!T12)</f>
        <v>52130.936518959672</v>
      </c>
      <c r="U12" s="132">
        <f>IF(SER_hh_fec_in!U12=0,0,11630*1000*SER_hh_fec_in!U12/SER_hh_num_in!U12)</f>
        <v>39891.443369280823</v>
      </c>
      <c r="V12" s="132">
        <f>IF(SER_hh_fec_in!V12=0,0,11630*1000*SER_hh_fec_in!V12/SER_hh_num_in!V12)</f>
        <v>36411.261333407667</v>
      </c>
      <c r="W12" s="132">
        <f>IF(SER_hh_fec_in!W12=0,0,11630*1000*SER_hh_fec_in!W12/SER_hh_num_in!W12)</f>
        <v>37620.758832222658</v>
      </c>
      <c r="X12" s="132">
        <f>IF(SER_hh_fec_in!X12=0,0,11630*1000*SER_hh_fec_in!X12/SER_hh_num_in!X12)</f>
        <v>0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0</v>
      </c>
      <c r="D13" s="132">
        <f>IF(SER_hh_fec_in!D13=0,0,11630*1000*SER_hh_fec_in!D13/SER_hh_num_in!D13)</f>
        <v>0</v>
      </c>
      <c r="E13" s="132">
        <f>IF(SER_hh_fec_in!E13=0,0,11630*1000*SER_hh_fec_in!E13/SER_hh_num_in!E13)</f>
        <v>0</v>
      </c>
      <c r="F13" s="132">
        <f>IF(SER_hh_fec_in!F13=0,0,11630*1000*SER_hh_fec_in!F13/SER_hh_num_in!F13)</f>
        <v>0</v>
      </c>
      <c r="G13" s="132">
        <f>IF(SER_hh_fec_in!G13=0,0,11630*1000*SER_hh_fec_in!G13/SER_hh_num_in!G13)</f>
        <v>0</v>
      </c>
      <c r="H13" s="132">
        <f>IF(SER_hh_fec_in!H13=0,0,11630*1000*SER_hh_fec_in!H13/SER_hh_num_in!H13)</f>
        <v>0</v>
      </c>
      <c r="I13" s="132">
        <f>IF(SER_hh_fec_in!I13=0,0,11630*1000*SER_hh_fec_in!I13/SER_hh_num_in!I13)</f>
        <v>0</v>
      </c>
      <c r="J13" s="132">
        <f>IF(SER_hh_fec_in!J13=0,0,11630*1000*SER_hh_fec_in!J13/SER_hh_num_in!J13)</f>
        <v>0</v>
      </c>
      <c r="K13" s="132">
        <f>IF(SER_hh_fec_in!K13=0,0,11630*1000*SER_hh_fec_in!K13/SER_hh_num_in!K13)</f>
        <v>0</v>
      </c>
      <c r="L13" s="132">
        <f>IF(SER_hh_fec_in!L13=0,0,11630*1000*SER_hh_fec_in!L13/SER_hh_num_in!L13)</f>
        <v>0</v>
      </c>
      <c r="M13" s="132">
        <f>IF(SER_hh_fec_in!M13=0,0,11630*1000*SER_hh_fec_in!M13/SER_hh_num_in!M13)</f>
        <v>0</v>
      </c>
      <c r="N13" s="132">
        <f>IF(SER_hh_fec_in!N13=0,0,11630*1000*SER_hh_fec_in!N13/SER_hh_num_in!N13)</f>
        <v>0</v>
      </c>
      <c r="O13" s="132">
        <f>IF(SER_hh_fec_in!O13=0,0,11630*1000*SER_hh_fec_in!O13/SER_hh_num_in!O13)</f>
        <v>0</v>
      </c>
      <c r="P13" s="132">
        <f>IF(SER_hh_fec_in!P13=0,0,11630*1000*SER_hh_fec_in!P13/SER_hh_num_in!P13)</f>
        <v>0</v>
      </c>
      <c r="Q13" s="132">
        <f>IF(SER_hh_fec_in!Q13=0,0,11630*1000*SER_hh_fec_in!Q13/SER_hh_num_in!Q13)</f>
        <v>0</v>
      </c>
      <c r="R13" s="132">
        <f>IF(SER_hh_fec_in!R13=0,0,11630*1000*SER_hh_fec_in!R13/SER_hh_num_in!R13)</f>
        <v>0</v>
      </c>
      <c r="S13" s="132">
        <f>IF(SER_hh_fec_in!S13=0,0,11630*1000*SER_hh_fec_in!S13/SER_hh_num_in!S13)</f>
        <v>0</v>
      </c>
      <c r="T13" s="132">
        <f>IF(SER_hh_fec_in!T13=0,0,11630*1000*SER_hh_fec_in!T13/SER_hh_num_in!T13)</f>
        <v>0</v>
      </c>
      <c r="U13" s="132">
        <f>IF(SER_hh_fec_in!U13=0,0,11630*1000*SER_hh_fec_in!U13/SER_hh_num_in!U13)</f>
        <v>0</v>
      </c>
      <c r="V13" s="132">
        <f>IF(SER_hh_fec_in!V13=0,0,11630*1000*SER_hh_fec_in!V13/SER_hh_num_in!V13)</f>
        <v>0</v>
      </c>
      <c r="W13" s="132">
        <f>IF(SER_hh_fec_in!W13=0,0,11630*1000*SER_hh_fec_in!W13/SER_hh_num_in!W13)</f>
        <v>0</v>
      </c>
      <c r="X13" s="132">
        <f>IF(SER_hh_fec_in!X13=0,0,11630*1000*SER_hh_fec_in!X13/SER_hh_num_in!X13)</f>
        <v>0</v>
      </c>
      <c r="Y13" s="132">
        <f>IF(SER_hh_fec_in!Y13=0,0,11630*1000*SER_hh_fec_in!Y13/SER_hh_num_in!Y13)</f>
        <v>12148.890836488192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210180.80027947715</v>
      </c>
      <c r="D14" s="65">
        <f>IF(SER_hh_fec_in!D14=0,0,11630*1000*SER_hh_fec_in!D14/SER_hh_num_in!D14)</f>
        <v>255084.76475229894</v>
      </c>
      <c r="E14" s="65">
        <f>IF(SER_hh_fec_in!E14=0,0,11630*1000*SER_hh_fec_in!E14/SER_hh_num_in!E14)</f>
        <v>117113.60648308933</v>
      </c>
      <c r="F14" s="65">
        <f>IF(SER_hh_fec_in!F14=0,0,11630*1000*SER_hh_fec_in!F14/SER_hh_num_in!F14)</f>
        <v>146911.35718071583</v>
      </c>
      <c r="G14" s="65">
        <f>IF(SER_hh_fec_in!G14=0,0,11630*1000*SER_hh_fec_in!G14/SER_hh_num_in!G14)</f>
        <v>97220.655410899097</v>
      </c>
      <c r="H14" s="65">
        <f>IF(SER_hh_fec_in!H14=0,0,11630*1000*SER_hh_fec_in!H14/SER_hh_num_in!H14)</f>
        <v>72385.180824226161</v>
      </c>
      <c r="I14" s="65">
        <f>IF(SER_hh_fec_in!I14=0,0,11630*1000*SER_hh_fec_in!I14/SER_hh_num_in!I14)</f>
        <v>70342.873716493792</v>
      </c>
      <c r="J14" s="65">
        <f>IF(SER_hh_fec_in!J14=0,0,11630*1000*SER_hh_fec_in!J14/SER_hh_num_in!J14)</f>
        <v>97830.292520266346</v>
      </c>
      <c r="K14" s="65">
        <f>IF(SER_hh_fec_in!K14=0,0,11630*1000*SER_hh_fec_in!K14/SER_hh_num_in!K14)</f>
        <v>87323.817166284309</v>
      </c>
      <c r="L14" s="65">
        <f>IF(SER_hh_fec_in!L14=0,0,11630*1000*SER_hh_fec_in!L14/SER_hh_num_in!L14)</f>
        <v>90171.863660668925</v>
      </c>
      <c r="M14" s="65">
        <f>IF(SER_hh_fec_in!M14=0,0,11630*1000*SER_hh_fec_in!M14/SER_hh_num_in!M14)</f>
        <v>89594.453514991925</v>
      </c>
      <c r="N14" s="65">
        <f>IF(SER_hh_fec_in!N14=0,0,11630*1000*SER_hh_fec_in!N14/SER_hh_num_in!N14)</f>
        <v>76420.735045388035</v>
      </c>
      <c r="O14" s="65">
        <f>IF(SER_hh_fec_in!O14=0,0,11630*1000*SER_hh_fec_in!O14/SER_hh_num_in!O14)</f>
        <v>71334.846356467897</v>
      </c>
      <c r="P14" s="65">
        <f>IF(SER_hh_fec_in!P14=0,0,11630*1000*SER_hh_fec_in!P14/SER_hh_num_in!P14)</f>
        <v>59257.196550804496</v>
      </c>
      <c r="Q14" s="65">
        <f>IF(SER_hh_fec_in!Q14=0,0,11630*1000*SER_hh_fec_in!Q14/SER_hh_num_in!Q14)</f>
        <v>57200.653645176164</v>
      </c>
      <c r="R14" s="65">
        <f>IF(SER_hh_fec_in!R14=0,0,11630*1000*SER_hh_fec_in!R14/SER_hh_num_in!R14)</f>
        <v>58222.374643878386</v>
      </c>
      <c r="S14" s="65">
        <f>IF(SER_hh_fec_in!S14=0,0,11630*1000*SER_hh_fec_in!S14/SER_hh_num_in!S14)</f>
        <v>58025.461300811585</v>
      </c>
      <c r="T14" s="65">
        <f>IF(SER_hh_fec_in!T14=0,0,11630*1000*SER_hh_fec_in!T14/SER_hh_num_in!T14)</f>
        <v>55951.82268998598</v>
      </c>
      <c r="U14" s="65">
        <f>IF(SER_hh_fec_in!U14=0,0,11630*1000*SER_hh_fec_in!U14/SER_hh_num_in!U14)</f>
        <v>47494.339465290213</v>
      </c>
      <c r="V14" s="65">
        <f>IF(SER_hh_fec_in!V14=0,0,11630*1000*SER_hh_fec_in!V14/SER_hh_num_in!V14)</f>
        <v>33299.744493741207</v>
      </c>
      <c r="W14" s="65">
        <f>IF(SER_hh_fec_in!W14=0,0,11630*1000*SER_hh_fec_in!W14/SER_hh_num_in!W14)</f>
        <v>31928.808162260451</v>
      </c>
      <c r="X14" s="65">
        <f>IF(SER_hh_fec_in!X14=0,0,11630*1000*SER_hh_fec_in!X14/SER_hh_num_in!X14)</f>
        <v>34346.366912157289</v>
      </c>
      <c r="Y14" s="65">
        <f>IF(SER_hh_fec_in!Y14=0,0,11630*1000*SER_hh_fec_in!Y14/SER_hh_num_in!Y14)</f>
        <v>0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3849.3675005333271</v>
      </c>
      <c r="D15" s="134">
        <f>IF(SER_hh_fec_in!D15=0,0,11630*1000*SER_hh_fec_in!D15/SER_hh_num_in!D15)</f>
        <v>3172.5299943856958</v>
      </c>
      <c r="E15" s="134">
        <f>IF(SER_hh_fec_in!E15=0,0,11630*1000*SER_hh_fec_in!E15/SER_hh_num_in!E15)</f>
        <v>1934.0174789042296</v>
      </c>
      <c r="F15" s="134">
        <f>IF(SER_hh_fec_in!F15=0,0,11630*1000*SER_hh_fec_in!F15/SER_hh_num_in!F15)</f>
        <v>1788.8006089106559</v>
      </c>
      <c r="G15" s="134">
        <f>IF(SER_hh_fec_in!G15=0,0,11630*1000*SER_hh_fec_in!G15/SER_hh_num_in!G15)</f>
        <v>1446.1783742395232</v>
      </c>
      <c r="H15" s="134">
        <f>IF(SER_hh_fec_in!H15=0,0,11630*1000*SER_hh_fec_in!H15/SER_hh_num_in!H15)</f>
        <v>958.00616195333225</v>
      </c>
      <c r="I15" s="134">
        <f>IF(SER_hh_fec_in!I15=0,0,11630*1000*SER_hh_fec_in!I15/SER_hh_num_in!I15)</f>
        <v>661.80980288188516</v>
      </c>
      <c r="J15" s="134">
        <f>IF(SER_hh_fec_in!J15=0,0,11630*1000*SER_hh_fec_in!J15/SER_hh_num_in!J15)</f>
        <v>1133.0491186913032</v>
      </c>
      <c r="K15" s="134">
        <f>IF(SER_hh_fec_in!K15=0,0,11630*1000*SER_hh_fec_in!K15/SER_hh_num_in!K15)</f>
        <v>728.71953880394096</v>
      </c>
      <c r="L15" s="134">
        <f>IF(SER_hh_fec_in!L15=0,0,11630*1000*SER_hh_fec_in!L15/SER_hh_num_in!L15)</f>
        <v>502.3907341533926</v>
      </c>
      <c r="M15" s="134">
        <f>IF(SER_hh_fec_in!M15=0,0,11630*1000*SER_hh_fec_in!M15/SER_hh_num_in!M15)</f>
        <v>646.96188271843573</v>
      </c>
      <c r="N15" s="134">
        <f>IF(SER_hh_fec_in!N15=0,0,11630*1000*SER_hh_fec_in!N15/SER_hh_num_in!N15)</f>
        <v>266.11846517805594</v>
      </c>
      <c r="O15" s="134">
        <f>IF(SER_hh_fec_in!O15=0,0,11630*1000*SER_hh_fec_in!O15/SER_hh_num_in!O15)</f>
        <v>604.89612860971522</v>
      </c>
      <c r="P15" s="134">
        <f>IF(SER_hh_fec_in!P15=0,0,11630*1000*SER_hh_fec_in!P15/SER_hh_num_in!P15)</f>
        <v>728.44453148454579</v>
      </c>
      <c r="Q15" s="134">
        <f>IF(SER_hh_fec_in!Q15=0,0,11630*1000*SER_hh_fec_in!Q15/SER_hh_num_in!Q15)</f>
        <v>808.71320943599358</v>
      </c>
      <c r="R15" s="134">
        <f>IF(SER_hh_fec_in!R15=0,0,11630*1000*SER_hh_fec_in!R15/SER_hh_num_in!R15)</f>
        <v>892.36336448575355</v>
      </c>
      <c r="S15" s="134">
        <f>IF(SER_hh_fec_in!S15=0,0,11630*1000*SER_hh_fec_in!S15/SER_hh_num_in!S15)</f>
        <v>421.31688446174832</v>
      </c>
      <c r="T15" s="134">
        <f>IF(SER_hh_fec_in!T15=0,0,11630*1000*SER_hh_fec_in!T15/SER_hh_num_in!T15)</f>
        <v>532.09268164920456</v>
      </c>
      <c r="U15" s="134">
        <f>IF(SER_hh_fec_in!U15=0,0,11630*1000*SER_hh_fec_in!U15/SER_hh_num_in!U15)</f>
        <v>425.40561354622395</v>
      </c>
      <c r="V15" s="134">
        <f>IF(SER_hh_fec_in!V15=0,0,11630*1000*SER_hh_fec_in!V15/SER_hh_num_in!V15)</f>
        <v>365.36640583998849</v>
      </c>
      <c r="W15" s="134">
        <f>IF(SER_hh_fec_in!W15=0,0,11630*1000*SER_hh_fec_in!W15/SER_hh_num_in!W15)</f>
        <v>332.80505888168818</v>
      </c>
      <c r="X15" s="134">
        <f>IF(SER_hh_fec_in!X15=0,0,11630*1000*SER_hh_fec_in!X15/SER_hh_num_in!X15)</f>
        <v>404.51894684885877</v>
      </c>
      <c r="Y15" s="134">
        <f>IF(SER_hh_fec_in!Y15=0,0,11630*1000*SER_hh_fec_in!Y15/SER_hh_num_in!Y15)</f>
        <v>477.74923509670549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9882.8819167269921</v>
      </c>
      <c r="D16" s="130">
        <f>IF(SER_hh_fec_in!D16=0,0,11630*1000*SER_hh_fec_in!D16/SER_hh_num_in!D16)</f>
        <v>9386.9019009684271</v>
      </c>
      <c r="E16" s="130">
        <f>IF(SER_hh_fec_in!E16=0,0,11630*1000*SER_hh_fec_in!E16/SER_hh_num_in!E16)</f>
        <v>11382.023789642653</v>
      </c>
      <c r="F16" s="130">
        <f>IF(SER_hh_fec_in!F16=0,0,11630*1000*SER_hh_fec_in!F16/SER_hh_num_in!F16)</f>
        <v>8563.0306683904291</v>
      </c>
      <c r="G16" s="130">
        <f>IF(SER_hh_fec_in!G16=0,0,11630*1000*SER_hh_fec_in!G16/SER_hh_num_in!G16)</f>
        <v>8302.480163054719</v>
      </c>
      <c r="H16" s="130">
        <f>IF(SER_hh_fec_in!H16=0,0,11630*1000*SER_hh_fec_in!H16/SER_hh_num_in!H16)</f>
        <v>8561.6546375482721</v>
      </c>
      <c r="I16" s="130">
        <f>IF(SER_hh_fec_in!I16=0,0,11630*1000*SER_hh_fec_in!I16/SER_hh_num_in!I16)</f>
        <v>7941.4907582581091</v>
      </c>
      <c r="J16" s="130">
        <f>IF(SER_hh_fec_in!J16=0,0,11630*1000*SER_hh_fec_in!J16/SER_hh_num_in!J16)</f>
        <v>7474.5113011116655</v>
      </c>
      <c r="K16" s="130">
        <f>IF(SER_hh_fec_in!K16=0,0,11630*1000*SER_hh_fec_in!K16/SER_hh_num_in!K16)</f>
        <v>7108.8411564061798</v>
      </c>
      <c r="L16" s="130">
        <f>IF(SER_hh_fec_in!L16=0,0,11630*1000*SER_hh_fec_in!L16/SER_hh_num_in!L16)</f>
        <v>7091.858913623616</v>
      </c>
      <c r="M16" s="130">
        <f>IF(SER_hh_fec_in!M16=0,0,11630*1000*SER_hh_fec_in!M16/SER_hh_num_in!M16)</f>
        <v>6690.4545821222282</v>
      </c>
      <c r="N16" s="130">
        <f>IF(SER_hh_fec_in!N16=0,0,11630*1000*SER_hh_fec_in!N16/SER_hh_num_in!N16)</f>
        <v>7103.2253749612519</v>
      </c>
      <c r="O16" s="130">
        <f>IF(SER_hh_fec_in!O16=0,0,11630*1000*SER_hh_fec_in!O16/SER_hh_num_in!O16)</f>
        <v>6877.0611734864578</v>
      </c>
      <c r="P16" s="130">
        <f>IF(SER_hh_fec_in!P16=0,0,11630*1000*SER_hh_fec_in!P16/SER_hh_num_in!P16)</f>
        <v>5233.8491007817274</v>
      </c>
      <c r="Q16" s="130">
        <f>IF(SER_hh_fec_in!Q16=0,0,11630*1000*SER_hh_fec_in!Q16/SER_hh_num_in!Q16)</f>
        <v>6193.6113443409367</v>
      </c>
      <c r="R16" s="130">
        <f>IF(SER_hh_fec_in!R16=0,0,11630*1000*SER_hh_fec_in!R16/SER_hh_num_in!R16)</f>
        <v>4832.3401617636846</v>
      </c>
      <c r="S16" s="130">
        <f>IF(SER_hh_fec_in!S16=0,0,11630*1000*SER_hh_fec_in!S16/SER_hh_num_in!S16)</f>
        <v>5618.0453752873818</v>
      </c>
      <c r="T16" s="130">
        <f>IF(SER_hh_fec_in!T16=0,0,11630*1000*SER_hh_fec_in!T16/SER_hh_num_in!T16)</f>
        <v>4748.8152907561207</v>
      </c>
      <c r="U16" s="130">
        <f>IF(SER_hh_fec_in!U16=0,0,11630*1000*SER_hh_fec_in!U16/SER_hh_num_in!U16)</f>
        <v>4911.7257322889027</v>
      </c>
      <c r="V16" s="130">
        <f>IF(SER_hh_fec_in!V16=0,0,11630*1000*SER_hh_fec_in!V16/SER_hh_num_in!V16)</f>
        <v>4157.1048600221766</v>
      </c>
      <c r="W16" s="130">
        <f>IF(SER_hh_fec_in!W16=0,0,11630*1000*SER_hh_fec_in!W16/SER_hh_num_in!W16)</f>
        <v>4219.1056021626537</v>
      </c>
      <c r="X16" s="130">
        <f>IF(SER_hh_fec_in!X16=0,0,11630*1000*SER_hh_fec_in!X16/SER_hh_num_in!X16)</f>
        <v>4075.5905166534681</v>
      </c>
      <c r="Y16" s="130">
        <f>IF(SER_hh_fec_in!Y16=0,0,11630*1000*SER_hh_fec_in!Y16/SER_hh_num_in!Y16)</f>
        <v>4028.6914907013957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9882.8819167269921</v>
      </c>
      <c r="D18" s="132">
        <f>IF(SER_hh_fec_in!D18=0,0,11630*1000*SER_hh_fec_in!D18/SER_hh_num_in!D18)</f>
        <v>9386.9019009684271</v>
      </c>
      <c r="E18" s="132">
        <f>IF(SER_hh_fec_in!E18=0,0,11630*1000*SER_hh_fec_in!E18/SER_hh_num_in!E18)</f>
        <v>11382.023789642653</v>
      </c>
      <c r="F18" s="132">
        <f>IF(SER_hh_fec_in!F18=0,0,11630*1000*SER_hh_fec_in!F18/SER_hh_num_in!F18)</f>
        <v>8563.0306683904291</v>
      </c>
      <c r="G18" s="132">
        <f>IF(SER_hh_fec_in!G18=0,0,11630*1000*SER_hh_fec_in!G18/SER_hh_num_in!G18)</f>
        <v>8302.480163054719</v>
      </c>
      <c r="H18" s="132">
        <f>IF(SER_hh_fec_in!H18=0,0,11630*1000*SER_hh_fec_in!H18/SER_hh_num_in!H18)</f>
        <v>8561.6546375482721</v>
      </c>
      <c r="I18" s="132">
        <f>IF(SER_hh_fec_in!I18=0,0,11630*1000*SER_hh_fec_in!I18/SER_hh_num_in!I18)</f>
        <v>7941.4907582581091</v>
      </c>
      <c r="J18" s="132">
        <f>IF(SER_hh_fec_in!J18=0,0,11630*1000*SER_hh_fec_in!J18/SER_hh_num_in!J18)</f>
        <v>7474.5113011116655</v>
      </c>
      <c r="K18" s="132">
        <f>IF(SER_hh_fec_in!K18=0,0,11630*1000*SER_hh_fec_in!K18/SER_hh_num_in!K18)</f>
        <v>7108.8411564061798</v>
      </c>
      <c r="L18" s="132">
        <f>IF(SER_hh_fec_in!L18=0,0,11630*1000*SER_hh_fec_in!L18/SER_hh_num_in!L18)</f>
        <v>7091.858913623616</v>
      </c>
      <c r="M18" s="132">
        <f>IF(SER_hh_fec_in!M18=0,0,11630*1000*SER_hh_fec_in!M18/SER_hh_num_in!M18)</f>
        <v>6690.4545821222282</v>
      </c>
      <c r="N18" s="132">
        <f>IF(SER_hh_fec_in!N18=0,0,11630*1000*SER_hh_fec_in!N18/SER_hh_num_in!N18)</f>
        <v>7103.2253749612519</v>
      </c>
      <c r="O18" s="132">
        <f>IF(SER_hh_fec_in!O18=0,0,11630*1000*SER_hh_fec_in!O18/SER_hh_num_in!O18)</f>
        <v>6877.0611734864578</v>
      </c>
      <c r="P18" s="132">
        <f>IF(SER_hh_fec_in!P18=0,0,11630*1000*SER_hh_fec_in!P18/SER_hh_num_in!P18)</f>
        <v>5233.8491007817274</v>
      </c>
      <c r="Q18" s="132">
        <f>IF(SER_hh_fec_in!Q18=0,0,11630*1000*SER_hh_fec_in!Q18/SER_hh_num_in!Q18)</f>
        <v>6193.6113443409367</v>
      </c>
      <c r="R18" s="132">
        <f>IF(SER_hh_fec_in!R18=0,0,11630*1000*SER_hh_fec_in!R18/SER_hh_num_in!R18)</f>
        <v>4832.3401617636846</v>
      </c>
      <c r="S18" s="132">
        <f>IF(SER_hh_fec_in!S18=0,0,11630*1000*SER_hh_fec_in!S18/SER_hh_num_in!S18)</f>
        <v>5618.0453752873818</v>
      </c>
      <c r="T18" s="132">
        <f>IF(SER_hh_fec_in!T18=0,0,11630*1000*SER_hh_fec_in!T18/SER_hh_num_in!T18)</f>
        <v>4748.8152907561207</v>
      </c>
      <c r="U18" s="132">
        <f>IF(SER_hh_fec_in!U18=0,0,11630*1000*SER_hh_fec_in!U18/SER_hh_num_in!U18)</f>
        <v>4911.7257322889027</v>
      </c>
      <c r="V18" s="132">
        <f>IF(SER_hh_fec_in!V18=0,0,11630*1000*SER_hh_fec_in!V18/SER_hh_num_in!V18)</f>
        <v>4157.1048600221766</v>
      </c>
      <c r="W18" s="132">
        <f>IF(SER_hh_fec_in!W18=0,0,11630*1000*SER_hh_fec_in!W18/SER_hh_num_in!W18)</f>
        <v>4219.1056021626537</v>
      </c>
      <c r="X18" s="132">
        <f>IF(SER_hh_fec_in!X18=0,0,11630*1000*SER_hh_fec_in!X18/SER_hh_num_in!X18)</f>
        <v>4075.5905166534681</v>
      </c>
      <c r="Y18" s="132">
        <f>IF(SER_hh_fec_in!Y18=0,0,11630*1000*SER_hh_fec_in!Y18/SER_hh_num_in!Y18)</f>
        <v>4028.6914907013957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20279.754933438708</v>
      </c>
      <c r="D19" s="130">
        <f>IF(SER_hh_fec_in!D19=0,0,11630*1000*SER_hh_fec_in!D19/SER_hh_num_in!D19)</f>
        <v>20488.907648033317</v>
      </c>
      <c r="E19" s="130">
        <f>IF(SER_hh_fec_in!E19=0,0,11630*1000*SER_hh_fec_in!E19/SER_hh_num_in!E19)</f>
        <v>20579.831427372032</v>
      </c>
      <c r="F19" s="130">
        <f>IF(SER_hh_fec_in!F19=0,0,11630*1000*SER_hh_fec_in!F19/SER_hh_num_in!F19)</f>
        <v>19757.142194164866</v>
      </c>
      <c r="G19" s="130">
        <f>IF(SER_hh_fec_in!G19=0,0,11630*1000*SER_hh_fec_in!G19/SER_hh_num_in!G19)</f>
        <v>19352.606003409204</v>
      </c>
      <c r="H19" s="130">
        <f>IF(SER_hh_fec_in!H19=0,0,11630*1000*SER_hh_fec_in!H19/SER_hh_num_in!H19)</f>
        <v>19078.238081385556</v>
      </c>
      <c r="I19" s="130">
        <f>IF(SER_hh_fec_in!I19=0,0,11630*1000*SER_hh_fec_in!I19/SER_hh_num_in!I19)</f>
        <v>18193.926810349985</v>
      </c>
      <c r="J19" s="130">
        <f>IF(SER_hh_fec_in!J19=0,0,11630*1000*SER_hh_fec_in!J19/SER_hh_num_in!J19)</f>
        <v>17188.595790714342</v>
      </c>
      <c r="K19" s="130">
        <f>IF(SER_hh_fec_in!K19=0,0,11630*1000*SER_hh_fec_in!K19/SER_hh_num_in!K19)</f>
        <v>15929.546881808814</v>
      </c>
      <c r="L19" s="130">
        <f>IF(SER_hh_fec_in!L19=0,0,11630*1000*SER_hh_fec_in!L19/SER_hh_num_in!L19)</f>
        <v>15348.580676246995</v>
      </c>
      <c r="M19" s="130">
        <f>IF(SER_hh_fec_in!M19=0,0,11630*1000*SER_hh_fec_in!M19/SER_hh_num_in!M19)</f>
        <v>15887.655253016377</v>
      </c>
      <c r="N19" s="130">
        <f>IF(SER_hh_fec_in!N19=0,0,11630*1000*SER_hh_fec_in!N19/SER_hh_num_in!N19)</f>
        <v>15553.850282292036</v>
      </c>
      <c r="O19" s="130">
        <f>IF(SER_hh_fec_in!O19=0,0,11630*1000*SER_hh_fec_in!O19/SER_hh_num_in!O19)</f>
        <v>15649.471712299395</v>
      </c>
      <c r="P19" s="130">
        <f>IF(SER_hh_fec_in!P19=0,0,11630*1000*SER_hh_fec_in!P19/SER_hh_num_in!P19)</f>
        <v>15671.921596495984</v>
      </c>
      <c r="Q19" s="130">
        <f>IF(SER_hh_fec_in!Q19=0,0,11630*1000*SER_hh_fec_in!Q19/SER_hh_num_in!Q19)</f>
        <v>15741.407769920483</v>
      </c>
      <c r="R19" s="130">
        <f>IF(SER_hh_fec_in!R19=0,0,11630*1000*SER_hh_fec_in!R19/SER_hh_num_in!R19)</f>
        <v>14843.031358414675</v>
      </c>
      <c r="S19" s="130">
        <f>IF(SER_hh_fec_in!S19=0,0,11630*1000*SER_hh_fec_in!S19/SER_hh_num_in!S19)</f>
        <v>14975.110680355219</v>
      </c>
      <c r="T19" s="130">
        <f>IF(SER_hh_fec_in!T19=0,0,11630*1000*SER_hh_fec_in!T19/SER_hh_num_in!T19)</f>
        <v>16072.465767212741</v>
      </c>
      <c r="U19" s="130">
        <f>IF(SER_hh_fec_in!U19=0,0,11630*1000*SER_hh_fec_in!U19/SER_hh_num_in!U19)</f>
        <v>15227.123155799891</v>
      </c>
      <c r="V19" s="130">
        <f>IF(SER_hh_fec_in!V19=0,0,11630*1000*SER_hh_fec_in!V19/SER_hh_num_in!V19)</f>
        <v>14587.465183516731</v>
      </c>
      <c r="W19" s="130">
        <f>IF(SER_hh_fec_in!W19=0,0,11630*1000*SER_hh_fec_in!W19/SER_hh_num_in!W19)</f>
        <v>14098.899696966584</v>
      </c>
      <c r="X19" s="130">
        <f>IF(SER_hh_fec_in!X19=0,0,11630*1000*SER_hh_fec_in!X19/SER_hh_num_in!X19)</f>
        <v>13413.981948019113</v>
      </c>
      <c r="Y19" s="130">
        <f>IF(SER_hh_fec_in!Y19=0,0,11630*1000*SER_hh_fec_in!Y19/SER_hh_num_in!Y19)</f>
        <v>14322.829812291657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20238.292802469048</v>
      </c>
      <c r="D21" s="132">
        <f>IF(SER_hh_fec_in!D21=0,0,11630*1000*SER_hh_fec_in!D21/SER_hh_num_in!D21)</f>
        <v>21574.836854174053</v>
      </c>
      <c r="E21" s="132">
        <f>IF(SER_hh_fec_in!E21=0,0,11630*1000*SER_hh_fec_in!E21/SER_hh_num_in!E21)</f>
        <v>20880.206607456876</v>
      </c>
      <c r="F21" s="132">
        <f>IF(SER_hh_fec_in!F21=0,0,11630*1000*SER_hh_fec_in!F21/SER_hh_num_in!F21)</f>
        <v>20258.485612783825</v>
      </c>
      <c r="G21" s="132">
        <f>IF(SER_hh_fec_in!G21=0,0,11630*1000*SER_hh_fec_in!G21/SER_hh_num_in!G21)</f>
        <v>19826.093272523885</v>
      </c>
      <c r="H21" s="132">
        <f>IF(SER_hh_fec_in!H21=0,0,11630*1000*SER_hh_fec_in!H21/SER_hh_num_in!H21)</f>
        <v>19403.168966295045</v>
      </c>
      <c r="I21" s="132">
        <f>IF(SER_hh_fec_in!I21=0,0,11630*1000*SER_hh_fec_in!I21/SER_hh_num_in!I21)</f>
        <v>19242.469316560109</v>
      </c>
      <c r="J21" s="132">
        <f>IF(SER_hh_fec_in!J21=0,0,11630*1000*SER_hh_fec_in!J21/SER_hh_num_in!J21)</f>
        <v>18549.244302418534</v>
      </c>
      <c r="K21" s="132">
        <f>IF(SER_hh_fec_in!K21=0,0,11630*1000*SER_hh_fec_in!K21/SER_hh_num_in!K21)</f>
        <v>18627.018642297262</v>
      </c>
      <c r="L21" s="132">
        <f>IF(SER_hh_fec_in!L21=0,0,11630*1000*SER_hh_fec_in!L21/SER_hh_num_in!L21)</f>
        <v>19220.706080597614</v>
      </c>
      <c r="M21" s="132">
        <f>IF(SER_hh_fec_in!M21=0,0,11630*1000*SER_hh_fec_in!M21/SER_hh_num_in!M21)</f>
        <v>17909.413880923297</v>
      </c>
      <c r="N21" s="132">
        <f>IF(SER_hh_fec_in!N21=0,0,11630*1000*SER_hh_fec_in!N21/SER_hh_num_in!N21)</f>
        <v>18455.397117006367</v>
      </c>
      <c r="O21" s="132">
        <f>IF(SER_hh_fec_in!O21=0,0,11630*1000*SER_hh_fec_in!O21/SER_hh_num_in!O21)</f>
        <v>17789.937853126059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16580.921139711209</v>
      </c>
      <c r="R21" s="132">
        <f>IF(SER_hh_fec_in!R21=0,0,11630*1000*SER_hh_fec_in!R21/SER_hh_num_in!R21)</f>
        <v>12616.357449277059</v>
      </c>
      <c r="S21" s="132">
        <f>IF(SER_hh_fec_in!S21=0,0,11630*1000*SER_hh_fec_in!S21/SER_hh_num_in!S21)</f>
        <v>14058.264094933687</v>
      </c>
      <c r="T21" s="132">
        <f>IF(SER_hh_fec_in!T21=0,0,11630*1000*SER_hh_fec_in!T21/SER_hh_num_in!T21)</f>
        <v>18547.142804912612</v>
      </c>
      <c r="U21" s="132">
        <f>IF(SER_hh_fec_in!U21=0,0,11630*1000*SER_hh_fec_in!U21/SER_hh_num_in!U21)</f>
        <v>21350.237287147069</v>
      </c>
      <c r="V21" s="132">
        <f>IF(SER_hh_fec_in!V21=0,0,11630*1000*SER_hh_fec_in!V21/SER_hh_num_in!V21)</f>
        <v>16827.50624667677</v>
      </c>
      <c r="W21" s="132">
        <f>IF(SER_hh_fec_in!W21=0,0,11630*1000*SER_hh_fec_in!W21/SER_hh_num_in!W21)</f>
        <v>12595.472682526244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23737.16100236071</v>
      </c>
      <c r="D22" s="132">
        <f>IF(SER_hh_fec_in!D22=0,0,11630*1000*SER_hh_fec_in!D22/SER_hh_num_in!D22)</f>
        <v>21016.190070077715</v>
      </c>
      <c r="E22" s="132">
        <f>IF(SER_hh_fec_in!E22=0,0,11630*1000*SER_hh_fec_in!E22/SER_hh_num_in!E22)</f>
        <v>22573.065314946882</v>
      </c>
      <c r="F22" s="132">
        <f>IF(SER_hh_fec_in!F22=0,0,11630*1000*SER_hh_fec_in!F22/SER_hh_num_in!F22)</f>
        <v>21785.804000914402</v>
      </c>
      <c r="G22" s="132">
        <f>IF(SER_hh_fec_in!G22=0,0,11630*1000*SER_hh_fec_in!G22/SER_hh_num_in!G22)</f>
        <v>21173.584456972781</v>
      </c>
      <c r="H22" s="132">
        <f>IF(SER_hh_fec_in!H22=0,0,11630*1000*SER_hh_fec_in!H22/SER_hh_num_in!H22)</f>
        <v>20701.109567411244</v>
      </c>
      <c r="I22" s="132">
        <f>IF(SER_hh_fec_in!I22=0,0,11630*1000*SER_hh_fec_in!I22/SER_hh_num_in!I22)</f>
        <v>20510.96599937071</v>
      </c>
      <c r="J22" s="132">
        <f>IF(SER_hh_fec_in!J22=0,0,11630*1000*SER_hh_fec_in!J22/SER_hh_num_in!J22)</f>
        <v>19380.342780680385</v>
      </c>
      <c r="K22" s="132">
        <f>IF(SER_hh_fec_in!K22=0,0,11630*1000*SER_hh_fec_in!K22/SER_hh_num_in!K22)</f>
        <v>20024.571055522632</v>
      </c>
      <c r="L22" s="132">
        <f>IF(SER_hh_fec_in!L22=0,0,11630*1000*SER_hh_fec_in!L22/SER_hh_num_in!L22)</f>
        <v>0</v>
      </c>
      <c r="M22" s="132">
        <f>IF(SER_hh_fec_in!M22=0,0,11630*1000*SER_hh_fec_in!M22/SER_hh_num_in!M22)</f>
        <v>0</v>
      </c>
      <c r="N22" s="132">
        <f>IF(SER_hh_fec_in!N22=0,0,11630*1000*SER_hh_fec_in!N22/SER_hh_num_in!N22)</f>
        <v>0</v>
      </c>
      <c r="O22" s="132">
        <f>IF(SER_hh_fec_in!O22=0,0,11630*1000*SER_hh_fec_in!O22/SER_hh_num_in!O22)</f>
        <v>0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18890.360057223043</v>
      </c>
      <c r="S22" s="132">
        <f>IF(SER_hh_fec_in!S22=0,0,11630*1000*SER_hh_fec_in!S22/SER_hh_num_in!S22)</f>
        <v>15317.715008162282</v>
      </c>
      <c r="T22" s="132">
        <f>IF(SER_hh_fec_in!T22=0,0,11630*1000*SER_hh_fec_in!T22/SER_hh_num_in!T22)</f>
        <v>17559.936373708504</v>
      </c>
      <c r="U22" s="132">
        <f>IF(SER_hh_fec_in!U22=0,0,11630*1000*SER_hh_fec_in!U22/SER_hh_num_in!U22)</f>
        <v>14903.730534096838</v>
      </c>
      <c r="V22" s="132">
        <f>IF(SER_hh_fec_in!V22=0,0,11630*1000*SER_hh_fec_in!V22/SER_hh_num_in!V22)</f>
        <v>16345.520179307934</v>
      </c>
      <c r="W22" s="132">
        <f>IF(SER_hh_fec_in!W22=0,0,11630*1000*SER_hh_fec_in!W22/SER_hh_num_in!W22)</f>
        <v>15553.454983609718</v>
      </c>
      <c r="X22" s="132">
        <f>IF(SER_hh_fec_in!X22=0,0,11630*1000*SER_hh_fec_in!X22/SER_hh_num_in!X22)</f>
        <v>15399.959853912733</v>
      </c>
      <c r="Y22" s="132">
        <f>IF(SER_hh_fec_in!Y22=0,0,11630*1000*SER_hh_fec_in!Y22/SER_hh_num_in!Y22)</f>
        <v>16018.606639500927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21255.444109004839</v>
      </c>
      <c r="D23" s="132">
        <f>IF(SER_hh_fec_in!D23=0,0,11630*1000*SER_hh_fec_in!D23/SER_hh_num_in!D23)</f>
        <v>20228.581089233776</v>
      </c>
      <c r="E23" s="132">
        <f>IF(SER_hh_fec_in!E23=0,0,11630*1000*SER_hh_fec_in!E23/SER_hh_num_in!E23)</f>
        <v>19750.684332731224</v>
      </c>
      <c r="F23" s="132">
        <f>IF(SER_hh_fec_in!F23=0,0,11630*1000*SER_hh_fec_in!F23/SER_hh_num_in!F23)</f>
        <v>19554.733476554502</v>
      </c>
      <c r="G23" s="132">
        <f>IF(SER_hh_fec_in!G23=0,0,11630*1000*SER_hh_fec_in!G23/SER_hh_num_in!G23)</f>
        <v>19063.331444330059</v>
      </c>
      <c r="H23" s="132">
        <f>IF(SER_hh_fec_in!H23=0,0,11630*1000*SER_hh_fec_in!H23/SER_hh_num_in!H23)</f>
        <v>18126.288778276743</v>
      </c>
      <c r="I23" s="132">
        <f>IF(SER_hh_fec_in!I23=0,0,11630*1000*SER_hh_fec_in!I23/SER_hh_num_in!I23)</f>
        <v>17213.100704609147</v>
      </c>
      <c r="J23" s="132">
        <f>IF(SER_hh_fec_in!J23=0,0,11630*1000*SER_hh_fec_in!J23/SER_hh_num_in!J23)</f>
        <v>15844.822057188218</v>
      </c>
      <c r="K23" s="132">
        <f>IF(SER_hh_fec_in!K23=0,0,11630*1000*SER_hh_fec_in!K23/SER_hh_num_in!K23)</f>
        <v>19236.352816701641</v>
      </c>
      <c r="L23" s="132">
        <f>IF(SER_hh_fec_in!L23=0,0,11630*1000*SER_hh_fec_in!L23/SER_hh_num_in!L23)</f>
        <v>18621.869937835731</v>
      </c>
      <c r="M23" s="132">
        <f>IF(SER_hh_fec_in!M23=0,0,11630*1000*SER_hh_fec_in!M23/SER_hh_num_in!M23)</f>
        <v>17374.552214308907</v>
      </c>
      <c r="N23" s="132">
        <f>IF(SER_hh_fec_in!N23=0,0,11630*1000*SER_hh_fec_in!N23/SER_hh_num_in!N23)</f>
        <v>17074.678227468074</v>
      </c>
      <c r="O23" s="132">
        <f>IF(SER_hh_fec_in!O23=0,0,11630*1000*SER_hh_fec_in!O23/SER_hh_num_in!O23)</f>
        <v>16798.123912270654</v>
      </c>
      <c r="P23" s="132">
        <f>IF(SER_hh_fec_in!P23=0,0,11630*1000*SER_hh_fec_in!P23/SER_hh_num_in!P23)</f>
        <v>16282.176985794087</v>
      </c>
      <c r="Q23" s="132">
        <f>IF(SER_hh_fec_in!Q23=0,0,11630*1000*SER_hh_fec_in!Q23/SER_hh_num_in!Q23)</f>
        <v>15229.377137053991</v>
      </c>
      <c r="R23" s="132">
        <f>IF(SER_hh_fec_in!R23=0,0,11630*1000*SER_hh_fec_in!R23/SER_hh_num_in!R23)</f>
        <v>19424.284741634539</v>
      </c>
      <c r="S23" s="132">
        <f>IF(SER_hh_fec_in!S23=0,0,11630*1000*SER_hh_fec_in!S23/SER_hh_num_in!S23)</f>
        <v>0</v>
      </c>
      <c r="T23" s="132">
        <f>IF(SER_hh_fec_in!T23=0,0,11630*1000*SER_hh_fec_in!T23/SER_hh_num_in!T23)</f>
        <v>0</v>
      </c>
      <c r="U23" s="132">
        <f>IF(SER_hh_fec_in!U23=0,0,11630*1000*SER_hh_fec_in!U23/SER_hh_num_in!U23)</f>
        <v>0</v>
      </c>
      <c r="V23" s="132">
        <f>IF(SER_hh_fec_in!V23=0,0,11630*1000*SER_hh_fec_in!V23/SER_hh_num_in!V23)</f>
        <v>0</v>
      </c>
      <c r="W23" s="132">
        <f>IF(SER_hh_fec_in!W23=0,0,11630*1000*SER_hh_fec_in!W23/SER_hh_num_in!W23)</f>
        <v>11607.727285345203</v>
      </c>
      <c r="X23" s="132">
        <f>IF(SER_hh_fec_in!X23=0,0,11630*1000*SER_hh_fec_in!X23/SER_hh_num_in!X23)</f>
        <v>16619.720057233182</v>
      </c>
      <c r="Y23" s="132">
        <f>IF(SER_hh_fec_in!Y23=0,0,11630*1000*SER_hh_fec_in!Y23/SER_hh_num_in!Y23)</f>
        <v>14772.799603043104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17921.697011595374</v>
      </c>
      <c r="D25" s="132">
        <f>IF(SER_hh_fec_in!D25=0,0,11630*1000*SER_hh_fec_in!D25/SER_hh_num_in!D25)</f>
        <v>15393.624938773934</v>
      </c>
      <c r="E25" s="132">
        <f>IF(SER_hh_fec_in!E25=0,0,11630*1000*SER_hh_fec_in!E25/SER_hh_num_in!E25)</f>
        <v>13901.51979349003</v>
      </c>
      <c r="F25" s="132">
        <f>IF(SER_hh_fec_in!F25=0,0,11630*1000*SER_hh_fec_in!F25/SER_hh_num_in!F25)</f>
        <v>14596.419442575499</v>
      </c>
      <c r="G25" s="132">
        <f>IF(SER_hh_fec_in!G25=0,0,11630*1000*SER_hh_fec_in!G25/SER_hh_num_in!G25)</f>
        <v>14378.334973748215</v>
      </c>
      <c r="H25" s="132">
        <f>IF(SER_hh_fec_in!H25=0,0,11630*1000*SER_hh_fec_in!H25/SER_hh_num_in!H25)</f>
        <v>12707.821683068092</v>
      </c>
      <c r="I25" s="132">
        <f>IF(SER_hh_fec_in!I25=0,0,11630*1000*SER_hh_fec_in!I25/SER_hh_num_in!I25)</f>
        <v>13099.466734393905</v>
      </c>
      <c r="J25" s="132">
        <f>IF(SER_hh_fec_in!J25=0,0,11630*1000*SER_hh_fec_in!J25/SER_hh_num_in!J25)</f>
        <v>11739.865259215108</v>
      </c>
      <c r="K25" s="132">
        <f>IF(SER_hh_fec_in!K25=0,0,11630*1000*SER_hh_fec_in!K25/SER_hh_num_in!K25)</f>
        <v>12477.80001022842</v>
      </c>
      <c r="L25" s="132">
        <f>IF(SER_hh_fec_in!L25=0,0,11630*1000*SER_hh_fec_in!L25/SER_hh_num_in!L25)</f>
        <v>13361.565981654141</v>
      </c>
      <c r="M25" s="132">
        <f>IF(SER_hh_fec_in!M25=0,0,11630*1000*SER_hh_fec_in!M25/SER_hh_num_in!M25)</f>
        <v>13704.471847385434</v>
      </c>
      <c r="N25" s="132">
        <f>IF(SER_hh_fec_in!N25=0,0,11630*1000*SER_hh_fec_in!N25/SER_hh_num_in!N25)</f>
        <v>13660.454621358853</v>
      </c>
      <c r="O25" s="132">
        <f>IF(SER_hh_fec_in!O25=0,0,11630*1000*SER_hh_fec_in!O25/SER_hh_num_in!O25)</f>
        <v>13784.033980062497</v>
      </c>
      <c r="P25" s="132">
        <f>IF(SER_hh_fec_in!P25=0,0,11630*1000*SER_hh_fec_in!P25/SER_hh_num_in!P25)</f>
        <v>14245.170283594534</v>
      </c>
      <c r="Q25" s="132">
        <f>IF(SER_hh_fec_in!Q25=0,0,11630*1000*SER_hh_fec_in!Q25/SER_hh_num_in!Q25)</f>
        <v>13780.214414278582</v>
      </c>
      <c r="R25" s="132">
        <f>IF(SER_hh_fec_in!R25=0,0,11630*1000*SER_hh_fec_in!R25/SER_hh_num_in!R25)</f>
        <v>12640.225430603245</v>
      </c>
      <c r="S25" s="132">
        <f>IF(SER_hh_fec_in!S25=0,0,11630*1000*SER_hh_fec_in!S25/SER_hh_num_in!S25)</f>
        <v>14324.791199959154</v>
      </c>
      <c r="T25" s="132">
        <f>IF(SER_hh_fec_in!T25=0,0,11630*1000*SER_hh_fec_in!T25/SER_hh_num_in!T25)</f>
        <v>14906.223504921993</v>
      </c>
      <c r="U25" s="132">
        <f>IF(SER_hh_fec_in!U25=0,0,11630*1000*SER_hh_fec_in!U25/SER_hh_num_in!U25)</f>
        <v>12738.717055573827</v>
      </c>
      <c r="V25" s="132">
        <f>IF(SER_hh_fec_in!V25=0,0,11630*1000*SER_hh_fec_in!V25/SER_hh_num_in!V25)</f>
        <v>12591.184731083984</v>
      </c>
      <c r="W25" s="132">
        <f>IF(SER_hh_fec_in!W25=0,0,11630*1000*SER_hh_fec_in!W25/SER_hh_num_in!W25)</f>
        <v>13531.866271483601</v>
      </c>
      <c r="X25" s="132">
        <f>IF(SER_hh_fec_in!X25=0,0,11630*1000*SER_hh_fec_in!X25/SER_hh_num_in!X25)</f>
        <v>13563.510796611139</v>
      </c>
      <c r="Y25" s="132">
        <f>IF(SER_hh_fec_in!Y25=0,0,11630*1000*SER_hh_fec_in!Y25/SER_hh_num_in!Y25)</f>
        <v>12942.955124037626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15216.921970068781</v>
      </c>
      <c r="D26" s="65">
        <f>IF(SER_hh_fec_in!D26=0,0,11630*1000*SER_hh_fec_in!D26/SER_hh_num_in!D26)</f>
        <v>18571.781123632085</v>
      </c>
      <c r="E26" s="65">
        <f>IF(SER_hh_fec_in!E26=0,0,11630*1000*SER_hh_fec_in!E26/SER_hh_num_in!E26)</f>
        <v>16054.066644988239</v>
      </c>
      <c r="F26" s="65">
        <f>IF(SER_hh_fec_in!F26=0,0,11630*1000*SER_hh_fec_in!F26/SER_hh_num_in!F26)</f>
        <v>15541.248962346719</v>
      </c>
      <c r="G26" s="65">
        <f>IF(SER_hh_fec_in!G26=0,0,11630*1000*SER_hh_fec_in!G26/SER_hh_num_in!G26)</f>
        <v>16882.599313573344</v>
      </c>
      <c r="H26" s="65">
        <f>IF(SER_hh_fec_in!H26=0,0,11630*1000*SER_hh_fec_in!H26/SER_hh_num_in!H26)</f>
        <v>16900.239969546579</v>
      </c>
      <c r="I26" s="65">
        <f>IF(SER_hh_fec_in!I26=0,0,11630*1000*SER_hh_fec_in!I26/SER_hh_num_in!I26)</f>
        <v>14807.133775064473</v>
      </c>
      <c r="J26" s="65">
        <f>IF(SER_hh_fec_in!J26=0,0,11630*1000*SER_hh_fec_in!J26/SER_hh_num_in!J26)</f>
        <v>17004.815727777044</v>
      </c>
      <c r="K26" s="65">
        <f>IF(SER_hh_fec_in!K26=0,0,11630*1000*SER_hh_fec_in!K26/SER_hh_num_in!K26)</f>
        <v>15930.336093969889</v>
      </c>
      <c r="L26" s="65">
        <f>IF(SER_hh_fec_in!L26=0,0,11630*1000*SER_hh_fec_in!L26/SER_hh_num_in!L26)</f>
        <v>14855.064510149954</v>
      </c>
      <c r="M26" s="65">
        <f>IF(SER_hh_fec_in!M26=0,0,11630*1000*SER_hh_fec_in!M26/SER_hh_num_in!M26)</f>
        <v>16461.120294952314</v>
      </c>
      <c r="N26" s="65">
        <f>IF(SER_hh_fec_in!N26=0,0,11630*1000*SER_hh_fec_in!N26/SER_hh_num_in!N26)</f>
        <v>15510.670660821874</v>
      </c>
      <c r="O26" s="65">
        <f>IF(SER_hh_fec_in!O26=0,0,11630*1000*SER_hh_fec_in!O26/SER_hh_num_in!O26)</f>
        <v>15827.300240506676</v>
      </c>
      <c r="P26" s="65">
        <f>IF(SER_hh_fec_in!P26=0,0,11630*1000*SER_hh_fec_in!P26/SER_hh_num_in!P26)</f>
        <v>15907.927825600043</v>
      </c>
      <c r="Q26" s="65">
        <f>IF(SER_hh_fec_in!Q26=0,0,11630*1000*SER_hh_fec_in!Q26/SER_hh_num_in!Q26)</f>
        <v>16144.142862120965</v>
      </c>
      <c r="R26" s="65">
        <f>IF(SER_hh_fec_in!R26=0,0,11630*1000*SER_hh_fec_in!R26/SER_hh_num_in!R26)</f>
        <v>16241.010814655385</v>
      </c>
      <c r="S26" s="65">
        <f>IF(SER_hh_fec_in!S26=0,0,11630*1000*SER_hh_fec_in!S26/SER_hh_num_in!S26)</f>
        <v>15770.430829323021</v>
      </c>
      <c r="T26" s="65">
        <f>IF(SER_hh_fec_in!T26=0,0,11630*1000*SER_hh_fec_in!T26/SER_hh_num_in!T26)</f>
        <v>12867.008023665923</v>
      </c>
      <c r="U26" s="65">
        <f>IF(SER_hh_fec_in!U26=0,0,11630*1000*SER_hh_fec_in!U26/SER_hh_num_in!U26)</f>
        <v>13203.65809446039</v>
      </c>
      <c r="V26" s="65">
        <f>IF(SER_hh_fec_in!V26=0,0,11630*1000*SER_hh_fec_in!V26/SER_hh_num_in!V26)</f>
        <v>12892.967727262465</v>
      </c>
      <c r="W26" s="65">
        <f>IF(SER_hh_fec_in!W26=0,0,11630*1000*SER_hh_fec_in!W26/SER_hh_num_in!W26)</f>
        <v>13875.104280413636</v>
      </c>
      <c r="X26" s="65">
        <f>IF(SER_hh_fec_in!X26=0,0,11630*1000*SER_hh_fec_in!X26/SER_hh_num_in!X26)</f>
        <v>12573.123269812997</v>
      </c>
      <c r="Y26" s="65">
        <f>IF(SER_hh_fec_in!Y26=0,0,11630*1000*SER_hh_fec_in!Y26/SER_hh_num_in!Y26)</f>
        <v>14155.869587214174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24432.864487210922</v>
      </c>
      <c r="D29" s="130">
        <f>IF(SER_hh_fec_in!D29=0,0,11630*1000*SER_hh_fec_in!D29/SER_hh_num_in!D29)</f>
        <v>22389.574168692627</v>
      </c>
      <c r="E29" s="130">
        <f>IF(SER_hh_fec_in!E29=0,0,11630*1000*SER_hh_fec_in!E29/SER_hh_num_in!E29)</f>
        <v>21168.853351320289</v>
      </c>
      <c r="F29" s="130">
        <f>IF(SER_hh_fec_in!F29=0,0,11630*1000*SER_hh_fec_in!F29/SER_hh_num_in!F29)</f>
        <v>17915.549878000293</v>
      </c>
      <c r="G29" s="130">
        <f>IF(SER_hh_fec_in!G29=0,0,11630*1000*SER_hh_fec_in!G29/SER_hh_num_in!G29)</f>
        <v>19006.123950318575</v>
      </c>
      <c r="H29" s="130">
        <f>IF(SER_hh_fec_in!H29=0,0,11630*1000*SER_hh_fec_in!H29/SER_hh_num_in!H29)</f>
        <v>18756.587734488778</v>
      </c>
      <c r="I29" s="130">
        <f>IF(SER_hh_fec_in!I29=0,0,11630*1000*SER_hh_fec_in!I29/SER_hh_num_in!I29)</f>
        <v>26169.518649645634</v>
      </c>
      <c r="J29" s="130">
        <f>IF(SER_hh_fec_in!J29=0,0,11630*1000*SER_hh_fec_in!J29/SER_hh_num_in!J29)</f>
        <v>18594.002683815037</v>
      </c>
      <c r="K29" s="130">
        <f>IF(SER_hh_fec_in!K29=0,0,11630*1000*SER_hh_fec_in!K29/SER_hh_num_in!K29)</f>
        <v>19542.896025753467</v>
      </c>
      <c r="L29" s="130">
        <f>IF(SER_hh_fec_in!L29=0,0,11630*1000*SER_hh_fec_in!L29/SER_hh_num_in!L29)</f>
        <v>19650.700697843738</v>
      </c>
      <c r="M29" s="130">
        <f>IF(SER_hh_fec_in!M29=0,0,11630*1000*SER_hh_fec_in!M29/SER_hh_num_in!M29)</f>
        <v>19284.388229891611</v>
      </c>
      <c r="N29" s="130">
        <f>IF(SER_hh_fec_in!N29=0,0,11630*1000*SER_hh_fec_in!N29/SER_hh_num_in!N29)</f>
        <v>17532.211993967852</v>
      </c>
      <c r="O29" s="130">
        <f>IF(SER_hh_fec_in!O29=0,0,11630*1000*SER_hh_fec_in!O29/SER_hh_num_in!O29)</f>
        <v>19174.926833993472</v>
      </c>
      <c r="P29" s="130">
        <f>IF(SER_hh_fec_in!P29=0,0,11630*1000*SER_hh_fec_in!P29/SER_hh_num_in!P29)</f>
        <v>20479.4183231881</v>
      </c>
      <c r="Q29" s="130">
        <f>IF(SER_hh_fec_in!Q29=0,0,11630*1000*SER_hh_fec_in!Q29/SER_hh_num_in!Q29)</f>
        <v>20278.38362876001</v>
      </c>
      <c r="R29" s="130">
        <f>IF(SER_hh_fec_in!R29=0,0,11630*1000*SER_hh_fec_in!R29/SER_hh_num_in!R29)</f>
        <v>19712.864186414186</v>
      </c>
      <c r="S29" s="130">
        <f>IF(SER_hh_fec_in!S29=0,0,11630*1000*SER_hh_fec_in!S29/SER_hh_num_in!S29)</f>
        <v>21486.460454621225</v>
      </c>
      <c r="T29" s="130">
        <f>IF(SER_hh_fec_in!T29=0,0,11630*1000*SER_hh_fec_in!T29/SER_hh_num_in!T29)</f>
        <v>23334.304437763833</v>
      </c>
      <c r="U29" s="130">
        <f>IF(SER_hh_fec_in!U29=0,0,11630*1000*SER_hh_fec_in!U29/SER_hh_num_in!U29)</f>
        <v>24438.171745315991</v>
      </c>
      <c r="V29" s="130">
        <f>IF(SER_hh_fec_in!V29=0,0,11630*1000*SER_hh_fec_in!V29/SER_hh_num_in!V29)</f>
        <v>19478.521469948118</v>
      </c>
      <c r="W29" s="130">
        <f>IF(SER_hh_fec_in!W29=0,0,11630*1000*SER_hh_fec_in!W29/SER_hh_num_in!W29)</f>
        <v>18411.285340401817</v>
      </c>
      <c r="X29" s="130">
        <f>IF(SER_hh_fec_in!X29=0,0,11630*1000*SER_hh_fec_in!X29/SER_hh_num_in!X29)</f>
        <v>17639.939512080891</v>
      </c>
      <c r="Y29" s="130">
        <f>IF(SER_hh_fec_in!Y29=0,0,11630*1000*SER_hh_fec_in!Y29/SER_hh_num_in!Y29)</f>
        <v>18700.715909791823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0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22174.43104121846</v>
      </c>
      <c r="H30" s="132">
        <f>IF(SER_hh_fec_in!H30=0,0,11630*1000*SER_hh_fec_in!H30/SER_hh_num_in!H30)</f>
        <v>15121.214198352944</v>
      </c>
      <c r="I30" s="132">
        <f>IF(SER_hh_fec_in!I30=0,0,11630*1000*SER_hh_fec_in!I30/SER_hh_num_in!I30)</f>
        <v>32189.740853147563</v>
      </c>
      <c r="J30" s="132">
        <f>IF(SER_hh_fec_in!J30=0,0,11630*1000*SER_hh_fec_in!J30/SER_hh_num_in!J30)</f>
        <v>19611.239208999112</v>
      </c>
      <c r="K30" s="132">
        <f>IF(SER_hh_fec_in!K30=0,0,11630*1000*SER_hh_fec_in!K30/SER_hh_num_in!K30)</f>
        <v>21820.373953616854</v>
      </c>
      <c r="L30" s="132">
        <f>IF(SER_hh_fec_in!L30=0,0,11630*1000*SER_hh_fec_in!L30/SER_hh_num_in!L30)</f>
        <v>29715.410815665211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27802.174262188946</v>
      </c>
      <c r="O30" s="132">
        <f>IF(SER_hh_fec_in!O30=0,0,11630*1000*SER_hh_fec_in!O30/SER_hh_num_in!O30)</f>
        <v>0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27597.035581869128</v>
      </c>
      <c r="R30" s="132">
        <f>IF(SER_hh_fec_in!R30=0,0,11630*1000*SER_hh_fec_in!R30/SER_hh_num_in!R30)</f>
        <v>23623.863561013528</v>
      </c>
      <c r="S30" s="132">
        <f>IF(SER_hh_fec_in!S30=0,0,11630*1000*SER_hh_fec_in!S30/SER_hh_num_in!S30)</f>
        <v>24642.062526755919</v>
      </c>
      <c r="T30" s="132">
        <f>IF(SER_hh_fec_in!T30=0,0,11630*1000*SER_hh_fec_in!T30/SER_hh_num_in!T30)</f>
        <v>27602.359950329381</v>
      </c>
      <c r="U30" s="132">
        <f>IF(SER_hh_fec_in!U30=0,0,11630*1000*SER_hh_fec_in!U30/SER_hh_num_in!U30)</f>
        <v>32116.772127641394</v>
      </c>
      <c r="V30" s="132">
        <f>IF(SER_hh_fec_in!V30=0,0,11630*1000*SER_hh_fec_in!V30/SER_hh_num_in!V30)</f>
        <v>27603.524936799855</v>
      </c>
      <c r="W30" s="132">
        <f>IF(SER_hh_fec_in!W30=0,0,11630*1000*SER_hh_fec_in!W30/SER_hh_num_in!W30)</f>
        <v>0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33596.792479160707</v>
      </c>
      <c r="D31" s="132">
        <f>IF(SER_hh_fec_in!D31=0,0,11630*1000*SER_hh_fec_in!D31/SER_hh_num_in!D31)</f>
        <v>30611.69265465123</v>
      </c>
      <c r="E31" s="132">
        <f>IF(SER_hh_fec_in!E31=0,0,11630*1000*SER_hh_fec_in!E31/SER_hh_num_in!E31)</f>
        <v>25355.161971008118</v>
      </c>
      <c r="F31" s="132">
        <f>IF(SER_hh_fec_in!F31=0,0,11630*1000*SER_hh_fec_in!F31/SER_hh_num_in!F31)</f>
        <v>0</v>
      </c>
      <c r="G31" s="132">
        <f>IF(SER_hh_fec_in!G31=0,0,11630*1000*SER_hh_fec_in!G31/SER_hh_num_in!G31)</f>
        <v>0</v>
      </c>
      <c r="H31" s="132">
        <f>IF(SER_hh_fec_in!H31=0,0,11630*1000*SER_hh_fec_in!H31/SER_hh_num_in!H31)</f>
        <v>0</v>
      </c>
      <c r="I31" s="132">
        <f>IF(SER_hh_fec_in!I31=0,0,11630*1000*SER_hh_fec_in!I31/SER_hh_num_in!I31)</f>
        <v>0</v>
      </c>
      <c r="J31" s="132">
        <f>IF(SER_hh_fec_in!J31=0,0,11630*1000*SER_hh_fec_in!J31/SER_hh_num_in!J31)</f>
        <v>0</v>
      </c>
      <c r="K31" s="132">
        <f>IF(SER_hh_fec_in!K31=0,0,11630*1000*SER_hh_fec_in!K31/SER_hh_num_in!K31)</f>
        <v>26163.896133319191</v>
      </c>
      <c r="L31" s="132">
        <f>IF(SER_hh_fec_in!L31=0,0,11630*1000*SER_hh_fec_in!L31/SER_hh_num_in!L31)</f>
        <v>23644.957379145151</v>
      </c>
      <c r="M31" s="132">
        <f>IF(SER_hh_fec_in!M31=0,0,11630*1000*SER_hh_fec_in!M31/SER_hh_num_in!M31)</f>
        <v>22451.801721909447</v>
      </c>
      <c r="N31" s="132">
        <f>IF(SER_hh_fec_in!N31=0,0,11630*1000*SER_hh_fec_in!N31/SER_hh_num_in!N31)</f>
        <v>18731.862655149864</v>
      </c>
      <c r="O31" s="132">
        <f>IF(SER_hh_fec_in!O31=0,0,11630*1000*SER_hh_fec_in!O31/SER_hh_num_in!O31)</f>
        <v>21658.422732434461</v>
      </c>
      <c r="P31" s="132">
        <f>IF(SER_hh_fec_in!P31=0,0,11630*1000*SER_hh_fec_in!P31/SER_hh_num_in!P31)</f>
        <v>26387.614390088725</v>
      </c>
      <c r="Q31" s="132">
        <f>IF(SER_hh_fec_in!Q31=0,0,11630*1000*SER_hh_fec_in!Q31/SER_hh_num_in!Q31)</f>
        <v>26213.467656277615</v>
      </c>
      <c r="R31" s="132">
        <f>IF(SER_hh_fec_in!R31=0,0,11630*1000*SER_hh_fec_in!R31/SER_hh_num_in!R31)</f>
        <v>33683.291531167903</v>
      </c>
      <c r="S31" s="132">
        <f>IF(SER_hh_fec_in!S31=0,0,11630*1000*SER_hh_fec_in!S31/SER_hh_num_in!S31)</f>
        <v>0</v>
      </c>
      <c r="T31" s="132">
        <f>IF(SER_hh_fec_in!T31=0,0,11630*1000*SER_hh_fec_in!T31/SER_hh_num_in!T31)</f>
        <v>0</v>
      </c>
      <c r="U31" s="132">
        <f>IF(SER_hh_fec_in!U31=0,0,11630*1000*SER_hh_fec_in!U31/SER_hh_num_in!U31)</f>
        <v>0</v>
      </c>
      <c r="V31" s="132">
        <f>IF(SER_hh_fec_in!V31=0,0,11630*1000*SER_hh_fec_in!V31/SER_hh_num_in!V31)</f>
        <v>0</v>
      </c>
      <c r="W31" s="132">
        <f>IF(SER_hh_fec_in!W31=0,0,11630*1000*SER_hh_fec_in!W31/SER_hh_num_in!W31)</f>
        <v>0</v>
      </c>
      <c r="X31" s="132">
        <f>IF(SER_hh_fec_in!X31=0,0,11630*1000*SER_hh_fec_in!X31/SER_hh_num_in!X31)</f>
        <v>26832.113185917682</v>
      </c>
      <c r="Y31" s="132">
        <f>IF(SER_hh_fec_in!Y31=0,0,11630*1000*SER_hh_fec_in!Y31/SER_hh_num_in!Y31)</f>
        <v>25313.157880526524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15315.425181344142</v>
      </c>
      <c r="D33" s="68">
        <f>IF(SER_hh_fec_in!D33=0,0,11630*1000*SER_hh_fec_in!D33/SER_hh_num_in!D33)</f>
        <v>21109.887645353003</v>
      </c>
      <c r="E33" s="68">
        <f>IF(SER_hh_fec_in!E33=0,0,11630*1000*SER_hh_fec_in!E33/SER_hh_num_in!E33)</f>
        <v>20830.40882620612</v>
      </c>
      <c r="F33" s="68">
        <f>IF(SER_hh_fec_in!F33=0,0,11630*1000*SER_hh_fec_in!F33/SER_hh_num_in!F33)</f>
        <v>17915.549878000293</v>
      </c>
      <c r="G33" s="68">
        <f>IF(SER_hh_fec_in!G33=0,0,11630*1000*SER_hh_fec_in!G33/SER_hh_num_in!G33)</f>
        <v>18441.187588536199</v>
      </c>
      <c r="H33" s="68">
        <f>IF(SER_hh_fec_in!H33=0,0,11630*1000*SER_hh_fec_in!H33/SER_hh_num_in!H33)</f>
        <v>19769.441221965946</v>
      </c>
      <c r="I33" s="68">
        <f>IF(SER_hh_fec_in!I33=0,0,11630*1000*SER_hh_fec_in!I33/SER_hh_num_in!I33)</f>
        <v>14897.381038359779</v>
      </c>
      <c r="J33" s="68">
        <f>IF(SER_hh_fec_in!J33=0,0,11630*1000*SER_hh_fec_in!J33/SER_hh_num_in!J33)</f>
        <v>17852.659161707961</v>
      </c>
      <c r="K33" s="68">
        <f>IF(SER_hh_fec_in!K33=0,0,11630*1000*SER_hh_fec_in!K33/SER_hh_num_in!K33)</f>
        <v>16817.243340873811</v>
      </c>
      <c r="L33" s="68">
        <f>IF(SER_hh_fec_in!L33=0,0,11630*1000*SER_hh_fec_in!L33/SER_hh_num_in!L33)</f>
        <v>15035.884054361215</v>
      </c>
      <c r="M33" s="68">
        <f>IF(SER_hh_fec_in!M33=0,0,11630*1000*SER_hh_fec_in!M33/SER_hh_num_in!M33)</f>
        <v>19056.345472773191</v>
      </c>
      <c r="N33" s="68">
        <f>IF(SER_hh_fec_in!N33=0,0,11630*1000*SER_hh_fec_in!N33/SER_hh_num_in!N33)</f>
        <v>17196.232769507627</v>
      </c>
      <c r="O33" s="68">
        <f>IF(SER_hh_fec_in!O33=0,0,11630*1000*SER_hh_fec_in!O33/SER_hh_num_in!O33)</f>
        <v>18210.131118247424</v>
      </c>
      <c r="P33" s="68">
        <f>IF(SER_hh_fec_in!P33=0,0,11630*1000*SER_hh_fec_in!P33/SER_hh_num_in!P33)</f>
        <v>17886.244617136574</v>
      </c>
      <c r="Q33" s="68">
        <f>IF(SER_hh_fec_in!Q33=0,0,11630*1000*SER_hh_fec_in!Q33/SER_hh_num_in!Q33)</f>
        <v>18432.765862864362</v>
      </c>
      <c r="R33" s="68">
        <f>IF(SER_hh_fec_in!R33=0,0,11630*1000*SER_hh_fec_in!R33/SER_hh_num_in!R33)</f>
        <v>18671.951683627936</v>
      </c>
      <c r="S33" s="68">
        <f>IF(SER_hh_fec_in!S33=0,0,11630*1000*SER_hh_fec_in!S33/SER_hh_num_in!S33)</f>
        <v>19448.383659837709</v>
      </c>
      <c r="T33" s="68">
        <f>IF(SER_hh_fec_in!T33=0,0,11630*1000*SER_hh_fec_in!T33/SER_hh_num_in!T33)</f>
        <v>19733.879281728805</v>
      </c>
      <c r="U33" s="68">
        <f>IF(SER_hh_fec_in!U33=0,0,11630*1000*SER_hh_fec_in!U33/SER_hh_num_in!U33)</f>
        <v>18046.382298178672</v>
      </c>
      <c r="V33" s="68">
        <f>IF(SER_hh_fec_in!V33=0,0,11630*1000*SER_hh_fec_in!V33/SER_hh_num_in!V33)</f>
        <v>17340.280928016822</v>
      </c>
      <c r="W33" s="68">
        <f>IF(SER_hh_fec_in!W33=0,0,11630*1000*SER_hh_fec_in!W33/SER_hh_num_in!W33)</f>
        <v>18411.285340401817</v>
      </c>
      <c r="X33" s="68">
        <f>IF(SER_hh_fec_in!X33=0,0,11630*1000*SER_hh_fec_in!X33/SER_hh_num_in!X33)</f>
        <v>17282.112216448033</v>
      </c>
      <c r="Y33" s="68">
        <f>IF(SER_hh_fec_in!Y33=0,0,11630*1000*SER_hh_fec_in!Y33/SER_hh_num_in!Y33)</f>
        <v>18168.58451367465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241048.57415895938</v>
      </c>
      <c r="D3" s="125">
        <f>IF(SER_hh_tes_in!D3=0,0,11630*1000*SER_hh_tes_in!D3/SER_hh_num_in!D3)</f>
        <v>226561.16522218584</v>
      </c>
      <c r="E3" s="125">
        <f>IF(SER_hh_tes_in!E3=0,0,11630*1000*SER_hh_tes_in!E3/SER_hh_num_in!E3)</f>
        <v>157014.40364953948</v>
      </c>
      <c r="F3" s="125">
        <f>IF(SER_hh_tes_in!F3=0,0,11630*1000*SER_hh_tes_in!F3/SER_hh_num_in!F3)</f>
        <v>148695.00896022876</v>
      </c>
      <c r="G3" s="125">
        <f>IF(SER_hh_tes_in!G3=0,0,11630*1000*SER_hh_tes_in!G3/SER_hh_num_in!G3)</f>
        <v>129618.92027024437</v>
      </c>
      <c r="H3" s="125">
        <f>IF(SER_hh_tes_in!H3=0,0,11630*1000*SER_hh_tes_in!H3/SER_hh_num_in!H3)</f>
        <v>111741.68127986962</v>
      </c>
      <c r="I3" s="125">
        <f>IF(SER_hh_tes_in!I3=0,0,11630*1000*SER_hh_tes_in!I3/SER_hh_num_in!I3)</f>
        <v>96078.211867349746</v>
      </c>
      <c r="J3" s="125">
        <f>IF(SER_hh_tes_in!J3=0,0,11630*1000*SER_hh_tes_in!J3/SER_hh_num_in!J3)</f>
        <v>118339.38909266191</v>
      </c>
      <c r="K3" s="125">
        <f>IF(SER_hh_tes_in!K3=0,0,11630*1000*SER_hh_tes_in!K3/SER_hh_num_in!K3)</f>
        <v>112716.26803693949</v>
      </c>
      <c r="L3" s="125">
        <f>IF(SER_hh_tes_in!L3=0,0,11630*1000*SER_hh_tes_in!L3/SER_hh_num_in!L3)</f>
        <v>137488.08055280062</v>
      </c>
      <c r="M3" s="125">
        <f>IF(SER_hh_tes_in!M3=0,0,11630*1000*SER_hh_tes_in!M3/SER_hh_num_in!M3)</f>
        <v>126100.35592293736</v>
      </c>
      <c r="N3" s="125">
        <f>IF(SER_hh_tes_in!N3=0,0,11630*1000*SER_hh_tes_in!N3/SER_hh_num_in!N3)</f>
        <v>108364.15721454663</v>
      </c>
      <c r="O3" s="125">
        <f>IF(SER_hh_tes_in!O3=0,0,11630*1000*SER_hh_tes_in!O3/SER_hh_num_in!O3)</f>
        <v>107551.01860585084</v>
      </c>
      <c r="P3" s="125">
        <f>IF(SER_hh_tes_in!P3=0,0,11630*1000*SER_hh_tes_in!P3/SER_hh_num_in!P3)</f>
        <v>92742.354915967444</v>
      </c>
      <c r="Q3" s="125">
        <f>IF(SER_hh_tes_in!Q3=0,0,11630*1000*SER_hh_tes_in!Q3/SER_hh_num_in!Q3)</f>
        <v>101875.03069718668</v>
      </c>
      <c r="R3" s="125">
        <f>IF(SER_hh_tes_in!R3=0,0,11630*1000*SER_hh_tes_in!R3/SER_hh_num_in!R3)</f>
        <v>98577.82826302608</v>
      </c>
      <c r="S3" s="125">
        <f>IF(SER_hh_tes_in!S3=0,0,11630*1000*SER_hh_tes_in!S3/SER_hh_num_in!S3)</f>
        <v>98294.783278430739</v>
      </c>
      <c r="T3" s="125">
        <f>IF(SER_hh_tes_in!T3=0,0,11630*1000*SER_hh_tes_in!T3/SER_hh_num_in!T3)</f>
        <v>96531.385908980476</v>
      </c>
      <c r="U3" s="125">
        <f>IF(SER_hh_tes_in!U3=0,0,11630*1000*SER_hh_tes_in!U3/SER_hh_num_in!U3)</f>
        <v>89985.940605470212</v>
      </c>
      <c r="V3" s="125">
        <f>IF(SER_hh_tes_in!V3=0,0,11630*1000*SER_hh_tes_in!V3/SER_hh_num_in!V3)</f>
        <v>77470.600191767851</v>
      </c>
      <c r="W3" s="125">
        <f>IF(SER_hh_tes_in!W3=0,0,11630*1000*SER_hh_tes_in!W3/SER_hh_num_in!W3)</f>
        <v>74026.893720052263</v>
      </c>
      <c r="X3" s="125">
        <f>IF(SER_hh_tes_in!X3=0,0,11630*1000*SER_hh_tes_in!X3/SER_hh_num_in!X3)</f>
        <v>78370.047164897856</v>
      </c>
      <c r="Y3" s="125">
        <f>IF(SER_hh_tes_in!Y3=0,0,11630*1000*SER_hh_tes_in!Y3/SER_hh_num_in!Y3)</f>
        <v>84369.908890068866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191326.77779577402</v>
      </c>
      <c r="D4" s="130">
        <f>IF(SER_hh_tes_in!D4=0,0,11630*1000*SER_hh_tes_in!D4/SER_hh_num_in!D4)</f>
        <v>177542.18690590249</v>
      </c>
      <c r="E4" s="130">
        <f>IF(SER_hh_tes_in!E4=0,0,11630*1000*SER_hh_tes_in!E4/SER_hh_num_in!E4)</f>
        <v>101270.71670731637</v>
      </c>
      <c r="F4" s="130">
        <f>IF(SER_hh_tes_in!F4=0,0,11630*1000*SER_hh_tes_in!F4/SER_hh_num_in!F4)</f>
        <v>104294.10070246681</v>
      </c>
      <c r="G4" s="130">
        <f>IF(SER_hh_tes_in!G4=0,0,11630*1000*SER_hh_tes_in!G4/SER_hh_num_in!G4)</f>
        <v>82016.487135089701</v>
      </c>
      <c r="H4" s="130">
        <f>IF(SER_hh_tes_in!H4=0,0,11630*1000*SER_hh_tes_in!H4/SER_hh_num_in!H4)</f>
        <v>65556.241675794619</v>
      </c>
      <c r="I4" s="130">
        <f>IF(SER_hh_tes_in!I4=0,0,11630*1000*SER_hh_tes_in!I4/SER_hh_num_in!I4)</f>
        <v>49925.532427005332</v>
      </c>
      <c r="J4" s="130">
        <f>IF(SER_hh_tes_in!J4=0,0,11630*1000*SER_hh_tes_in!J4/SER_hh_num_in!J4)</f>
        <v>72507.846489812277</v>
      </c>
      <c r="K4" s="130">
        <f>IF(SER_hh_tes_in!K4=0,0,11630*1000*SER_hh_tes_in!K4/SER_hh_num_in!K4)</f>
        <v>67019.25223379246</v>
      </c>
      <c r="L4" s="130">
        <f>IF(SER_hh_tes_in!L4=0,0,11630*1000*SER_hh_tes_in!L4/SER_hh_num_in!L4)</f>
        <v>90894.972656781683</v>
      </c>
      <c r="M4" s="130">
        <f>IF(SER_hh_tes_in!M4=0,0,11630*1000*SER_hh_tes_in!M4/SER_hh_num_in!M4)</f>
        <v>77845.173789330205</v>
      </c>
      <c r="N4" s="130">
        <f>IF(SER_hh_tes_in!N4=0,0,11630*1000*SER_hh_tes_in!N4/SER_hh_num_in!N4)</f>
        <v>59889.506272383493</v>
      </c>
      <c r="O4" s="130">
        <f>IF(SER_hh_tes_in!O4=0,0,11630*1000*SER_hh_tes_in!O4/SER_hh_num_in!O4)</f>
        <v>57453.176485403164</v>
      </c>
      <c r="P4" s="130">
        <f>IF(SER_hh_tes_in!P4=0,0,11630*1000*SER_hh_tes_in!P4/SER_hh_num_in!P4)</f>
        <v>46219.298127316375</v>
      </c>
      <c r="Q4" s="130">
        <f>IF(SER_hh_tes_in!Q4=0,0,11630*1000*SER_hh_tes_in!Q4/SER_hh_num_in!Q4)</f>
        <v>50477.762472244758</v>
      </c>
      <c r="R4" s="130">
        <f>IF(SER_hh_tes_in!R4=0,0,11630*1000*SER_hh_tes_in!R4/SER_hh_num_in!R4)</f>
        <v>52571.008872511455</v>
      </c>
      <c r="S4" s="130">
        <f>IF(SER_hh_tes_in!S4=0,0,11630*1000*SER_hh_tes_in!S4/SER_hh_num_in!S4)</f>
        <v>47958.870800774785</v>
      </c>
      <c r="T4" s="130">
        <f>IF(SER_hh_tes_in!T4=0,0,11630*1000*SER_hh_tes_in!T4/SER_hh_num_in!T4)</f>
        <v>47582.506929654672</v>
      </c>
      <c r="U4" s="130">
        <f>IF(SER_hh_tes_in!U4=0,0,11630*1000*SER_hh_tes_in!U4/SER_hh_num_in!U4)</f>
        <v>40010.047679575859</v>
      </c>
      <c r="V4" s="130">
        <f>IF(SER_hh_tes_in!V4=0,0,11630*1000*SER_hh_tes_in!V4/SER_hh_num_in!V4)</f>
        <v>32619.414827923651</v>
      </c>
      <c r="W4" s="130">
        <f>IF(SER_hh_tes_in!W4=0,0,11630*1000*SER_hh_tes_in!W4/SER_hh_num_in!W4)</f>
        <v>27972.324385889093</v>
      </c>
      <c r="X4" s="130">
        <f>IF(SER_hh_tes_in!X4=0,0,11630*1000*SER_hh_tes_in!X4/SER_hh_num_in!X4)</f>
        <v>34063.222625836403</v>
      </c>
      <c r="Y4" s="130">
        <f>IF(SER_hh_tes_in!Y4=0,0,11630*1000*SER_hh_tes_in!Y4/SER_hh_num_in!Y4)</f>
        <v>38336.796561928546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191487.97575130922</v>
      </c>
      <c r="D7" s="132">
        <f>IF(SER_hh_tes_in!D7=0,0,11630*1000*SER_hh_tes_in!D7/SER_hh_num_in!D7)</f>
        <v>150911.99935128953</v>
      </c>
      <c r="E7" s="132">
        <f>IF(SER_hh_tes_in!E7=0,0,11630*1000*SER_hh_tes_in!E7/SER_hh_num_in!E7)</f>
        <v>103418.0802084679</v>
      </c>
      <c r="F7" s="132">
        <f>IF(SER_hh_tes_in!F7=0,0,11630*1000*SER_hh_tes_in!F7/SER_hh_num_in!F7)</f>
        <v>97225.001075900727</v>
      </c>
      <c r="G7" s="132">
        <f>IF(SER_hh_tes_in!G7=0,0,11630*1000*SER_hh_tes_in!G7/SER_hh_num_in!G7)</f>
        <v>86449.039189069896</v>
      </c>
      <c r="H7" s="132">
        <f>IF(SER_hh_tes_in!H7=0,0,11630*1000*SER_hh_tes_in!H7/SER_hh_num_in!H7)</f>
        <v>68641.062913172267</v>
      </c>
      <c r="I7" s="132">
        <f>IF(SER_hh_tes_in!I7=0,0,11630*1000*SER_hh_tes_in!I7/SER_hh_num_in!I7)</f>
        <v>40243.763363879989</v>
      </c>
      <c r="J7" s="132">
        <f>IF(SER_hh_tes_in!J7=0,0,11630*1000*SER_hh_tes_in!J7/SER_hh_num_in!J7)</f>
        <v>71525.898727609572</v>
      </c>
      <c r="K7" s="132">
        <f>IF(SER_hh_tes_in!K7=0,0,11630*1000*SER_hh_tes_in!K7/SER_hh_num_in!K7)</f>
        <v>66488.692257726827</v>
      </c>
      <c r="L7" s="132">
        <f>IF(SER_hh_tes_in!L7=0,0,11630*1000*SER_hh_tes_in!L7/SER_hh_num_in!L7)</f>
        <v>0</v>
      </c>
      <c r="M7" s="132">
        <f>IF(SER_hh_tes_in!M7=0,0,11630*1000*SER_hh_tes_in!M7/SER_hh_num_in!M7)</f>
        <v>0</v>
      </c>
      <c r="N7" s="132">
        <f>IF(SER_hh_tes_in!N7=0,0,11630*1000*SER_hh_tes_in!N7/SER_hh_num_in!N7)</f>
        <v>0</v>
      </c>
      <c r="O7" s="132">
        <f>IF(SER_hh_tes_in!O7=0,0,11630*1000*SER_hh_tes_in!O7/SER_hh_num_in!O7)</f>
        <v>0</v>
      </c>
      <c r="P7" s="132">
        <f>IF(SER_hh_tes_in!P7=0,0,11630*1000*SER_hh_tes_in!P7/SER_hh_num_in!P7)</f>
        <v>0</v>
      </c>
      <c r="Q7" s="132">
        <f>IF(SER_hh_tes_in!Q7=0,0,11630*1000*SER_hh_tes_in!Q7/SER_hh_num_in!Q7)</f>
        <v>0</v>
      </c>
      <c r="R7" s="132">
        <f>IF(SER_hh_tes_in!R7=0,0,11630*1000*SER_hh_tes_in!R7/SER_hh_num_in!R7)</f>
        <v>53597.22537080411</v>
      </c>
      <c r="S7" s="132">
        <f>IF(SER_hh_tes_in!S7=0,0,11630*1000*SER_hh_tes_in!S7/SER_hh_num_in!S7)</f>
        <v>42156.477971021326</v>
      </c>
      <c r="T7" s="132">
        <f>IF(SER_hh_tes_in!T7=0,0,11630*1000*SER_hh_tes_in!T7/SER_hh_num_in!T7)</f>
        <v>45354.085458238449</v>
      </c>
      <c r="U7" s="132">
        <f>IF(SER_hh_tes_in!U7=0,0,11630*1000*SER_hh_tes_in!U7/SER_hh_num_in!U7)</f>
        <v>37712.558006771957</v>
      </c>
      <c r="V7" s="132">
        <f>IF(SER_hh_tes_in!V7=0,0,11630*1000*SER_hh_tes_in!V7/SER_hh_num_in!V7)</f>
        <v>42494.587638068093</v>
      </c>
      <c r="W7" s="132">
        <f>IF(SER_hh_tes_in!W7=0,0,11630*1000*SER_hh_tes_in!W7/SER_hh_num_in!W7)</f>
        <v>25990.036769061619</v>
      </c>
      <c r="X7" s="132">
        <f>IF(SER_hh_tes_in!X7=0,0,11630*1000*SER_hh_tes_in!X7/SER_hh_num_in!X7)</f>
        <v>25468.140013276548</v>
      </c>
      <c r="Y7" s="132">
        <f>IF(SER_hh_tes_in!Y7=0,0,11630*1000*SER_hh_tes_in!Y7/SER_hh_num_in!Y7)</f>
        <v>36282.51387209104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202257.05139245157</v>
      </c>
      <c r="D9" s="132">
        <f>IF(SER_hh_tes_in!D9=0,0,11630*1000*SER_hh_tes_in!D9/SER_hh_num_in!D9)</f>
        <v>197105.22368547725</v>
      </c>
      <c r="E9" s="132">
        <f>IF(SER_hh_tes_in!E9=0,0,11630*1000*SER_hh_tes_in!E9/SER_hh_num_in!E9)</f>
        <v>93687.208201825342</v>
      </c>
      <c r="F9" s="132">
        <f>IF(SER_hh_tes_in!F9=0,0,11630*1000*SER_hh_tes_in!F9/SER_hh_num_in!F9)</f>
        <v>0</v>
      </c>
      <c r="G9" s="132">
        <f>IF(SER_hh_tes_in!G9=0,0,11630*1000*SER_hh_tes_in!G9/SER_hh_num_in!G9)</f>
        <v>0</v>
      </c>
      <c r="H9" s="132">
        <f>IF(SER_hh_tes_in!H9=0,0,11630*1000*SER_hh_tes_in!H9/SER_hh_num_in!H9)</f>
        <v>0</v>
      </c>
      <c r="I9" s="132">
        <f>IF(SER_hh_tes_in!I9=0,0,11630*1000*SER_hh_tes_in!I9/SER_hh_num_in!I9)</f>
        <v>0</v>
      </c>
      <c r="J9" s="132">
        <f>IF(SER_hh_tes_in!J9=0,0,11630*1000*SER_hh_tes_in!J9/SER_hh_num_in!J9)</f>
        <v>0</v>
      </c>
      <c r="K9" s="132">
        <f>IF(SER_hh_tes_in!K9=0,0,11630*1000*SER_hh_tes_in!K9/SER_hh_num_in!K9)</f>
        <v>59715.065890547034</v>
      </c>
      <c r="L9" s="132">
        <f>IF(SER_hh_tes_in!L9=0,0,11630*1000*SER_hh_tes_in!L9/SER_hh_num_in!L9)</f>
        <v>71019.990271860821</v>
      </c>
      <c r="M9" s="132">
        <f>IF(SER_hh_tes_in!M9=0,0,11630*1000*SER_hh_tes_in!M9/SER_hh_num_in!M9)</f>
        <v>99490.381839354683</v>
      </c>
      <c r="N9" s="132">
        <f>IF(SER_hh_tes_in!N9=0,0,11630*1000*SER_hh_tes_in!N9/SER_hh_num_in!N9)</f>
        <v>27360.077479549753</v>
      </c>
      <c r="O9" s="132">
        <f>IF(SER_hh_tes_in!O9=0,0,11630*1000*SER_hh_tes_in!O9/SER_hh_num_in!O9)</f>
        <v>54409.859516735378</v>
      </c>
      <c r="P9" s="132">
        <f>IF(SER_hh_tes_in!P9=0,0,11630*1000*SER_hh_tes_in!P9/SER_hh_num_in!P9)</f>
        <v>44624.399368483879</v>
      </c>
      <c r="Q9" s="132">
        <f>IF(SER_hh_tes_in!Q9=0,0,11630*1000*SER_hh_tes_in!Q9/SER_hh_num_in!Q9)</f>
        <v>52127.874663100563</v>
      </c>
      <c r="R9" s="132">
        <f>IF(SER_hh_tes_in!R9=0,0,11630*1000*SER_hh_tes_in!R9/SER_hh_num_in!R9)</f>
        <v>62668.496785440817</v>
      </c>
      <c r="S9" s="132">
        <f>IF(SER_hh_tes_in!S9=0,0,11630*1000*SER_hh_tes_in!S9/SER_hh_num_in!S9)</f>
        <v>0</v>
      </c>
      <c r="T9" s="132">
        <f>IF(SER_hh_tes_in!T9=0,0,11630*1000*SER_hh_tes_in!T9/SER_hh_num_in!T9)</f>
        <v>0</v>
      </c>
      <c r="U9" s="132">
        <f>IF(SER_hh_tes_in!U9=0,0,11630*1000*SER_hh_tes_in!U9/SER_hh_num_in!U9)</f>
        <v>0</v>
      </c>
      <c r="V9" s="132">
        <f>IF(SER_hh_tes_in!V9=0,0,11630*1000*SER_hh_tes_in!V9/SER_hh_num_in!V9)</f>
        <v>0</v>
      </c>
      <c r="W9" s="132">
        <f>IF(SER_hh_tes_in!W9=0,0,11630*1000*SER_hh_tes_in!W9/SER_hh_num_in!W9)</f>
        <v>22295.993204804799</v>
      </c>
      <c r="X9" s="132">
        <f>IF(SER_hh_tes_in!X9=0,0,11630*1000*SER_hh_tes_in!X9/SER_hh_num_in!X9)</f>
        <v>37374.793408830461</v>
      </c>
      <c r="Y9" s="132">
        <f>IF(SER_hh_tes_in!Y9=0,0,11630*1000*SER_hh_tes_in!Y9/SER_hh_num_in!Y9)</f>
        <v>32981.176860463871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192567.80173595218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81277.809215828718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0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0</v>
      </c>
      <c r="M10" s="132">
        <f>IF(SER_hh_tes_in!M10=0,0,11630*1000*SER_hh_tes_in!M10/SER_hh_num_in!M10)</f>
        <v>0</v>
      </c>
      <c r="N10" s="132">
        <f>IF(SER_hh_tes_in!N10=0,0,11630*1000*SER_hh_tes_in!N10/SER_hh_num_in!N10)</f>
        <v>0</v>
      </c>
      <c r="O10" s="132">
        <f>IF(SER_hh_tes_in!O10=0,0,11630*1000*SER_hh_tes_in!O10/SER_hh_num_in!O10)</f>
        <v>0</v>
      </c>
      <c r="P10" s="132">
        <f>IF(SER_hh_tes_in!P10=0,0,11630*1000*SER_hh_tes_in!P10/SER_hh_num_in!P10)</f>
        <v>0</v>
      </c>
      <c r="Q10" s="132">
        <f>IF(SER_hh_tes_in!Q10=0,0,11630*1000*SER_hh_tes_in!Q10/SER_hh_num_in!Q10)</f>
        <v>0</v>
      </c>
      <c r="R10" s="132">
        <f>IF(SER_hh_tes_in!R10=0,0,11630*1000*SER_hh_tes_in!R10/SER_hh_num_in!R10)</f>
        <v>0</v>
      </c>
      <c r="S10" s="132">
        <f>IF(SER_hh_tes_in!S10=0,0,11630*1000*SER_hh_tes_in!S10/SER_hh_num_in!S10)</f>
        <v>0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4.3979153450950929E-11</v>
      </c>
      <c r="W10" s="132">
        <f>IF(SER_hh_tes_in!W10=0,0,11630*1000*SER_hh_tes_in!W10/SER_hh_num_in!W10)</f>
        <v>0</v>
      </c>
      <c r="X10" s="132">
        <f>IF(SER_hh_tes_in!X10=0,0,11630*1000*SER_hh_tes_in!X10/SER_hh_num_in!X10)</f>
        <v>39583.935487092029</v>
      </c>
      <c r="Y10" s="132">
        <f>IF(SER_hh_tes_in!Y10=0,0,11630*1000*SER_hh_tes_in!Y10/SER_hh_num_in!Y10)</f>
        <v>35632.540620452419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110483.27350874065</v>
      </c>
      <c r="M11" s="132">
        <f>IF(SER_hh_tes_in!M11=0,0,11630*1000*SER_hh_tes_in!M11/SER_hh_num_in!M11)</f>
        <v>84958.269133121808</v>
      </c>
      <c r="N11" s="132">
        <f>IF(SER_hh_tes_in!N11=0,0,11630*1000*SER_hh_tes_in!N11/SER_hh_num_in!N11)</f>
        <v>54352.304530963454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43908.857447760201</v>
      </c>
      <c r="U11" s="132">
        <f>IF(SER_hh_tes_in!U11=0,0,11630*1000*SER_hh_tes_in!U11/SER_hh_num_in!U11)</f>
        <v>46528.689354001108</v>
      </c>
      <c r="V11" s="132">
        <f>IF(SER_hh_tes_in!V11=0,0,11630*1000*SER_hh_tes_in!V11/SER_hh_num_in!V11)</f>
        <v>30829.511438329147</v>
      </c>
      <c r="W11" s="132">
        <f>IF(SER_hh_tes_in!W11=0,0,11630*1000*SER_hh_tes_in!W11/SER_hh_num_in!W11)</f>
        <v>27038.013355115851</v>
      </c>
      <c r="X11" s="132">
        <f>IF(SER_hh_tes_in!X11=0,0,11630*1000*SER_hh_tes_in!X11/SER_hh_num_in!X11)</f>
        <v>29394.268228026089</v>
      </c>
      <c r="Y11" s="132">
        <f>IF(SER_hh_tes_in!Y11=0,0,11630*1000*SER_hh_tes_in!Y11/SER_hh_num_in!Y11)</f>
        <v>31659.104390133532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102529.28770174133</v>
      </c>
      <c r="G12" s="132">
        <f>IF(SER_hh_tes_in!G12=0,0,11630*1000*SER_hh_tes_in!G12/SER_hh_num_in!G12)</f>
        <v>68849.621176215704</v>
      </c>
      <c r="H12" s="132">
        <f>IF(SER_hh_tes_in!H12=0,0,11630*1000*SER_hh_tes_in!H12/SER_hh_num_in!H12)</f>
        <v>82539.416966149613</v>
      </c>
      <c r="I12" s="132">
        <f>IF(SER_hh_tes_in!I12=0,0,11630*1000*SER_hh_tes_in!I12/SER_hh_num_in!I12)</f>
        <v>47416.883580277048</v>
      </c>
      <c r="J12" s="132">
        <f>IF(SER_hh_tes_in!J12=0,0,11630*1000*SER_hh_tes_in!J12/SER_hh_num_in!J12)</f>
        <v>46174.765277207778</v>
      </c>
      <c r="K12" s="132">
        <f>IF(SER_hh_tes_in!K12=0,0,11630*1000*SER_hh_tes_in!K12/SER_hh_num_in!K12)</f>
        <v>68011.212347626497</v>
      </c>
      <c r="L12" s="132">
        <f>IF(SER_hh_tes_in!L12=0,0,11630*1000*SER_hh_tes_in!L12/SER_hh_num_in!L12)</f>
        <v>75325.550450603754</v>
      </c>
      <c r="M12" s="132">
        <f>IF(SER_hh_tes_in!M12=0,0,11630*1000*SER_hh_tes_in!M12/SER_hh_num_in!M12)</f>
        <v>69848.43078473692</v>
      </c>
      <c r="N12" s="132">
        <f>IF(SER_hh_tes_in!N12=0,0,11630*1000*SER_hh_tes_in!N12/SER_hh_num_in!N12)</f>
        <v>61918.640387256935</v>
      </c>
      <c r="O12" s="132">
        <f>IF(SER_hh_tes_in!O12=0,0,11630*1000*SER_hh_tes_in!O12/SER_hh_num_in!O12)</f>
        <v>60722.326791795509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48222.139881429714</v>
      </c>
      <c r="R12" s="132">
        <f>IF(SER_hh_tes_in!R12=0,0,11630*1000*SER_hh_tes_in!R12/SER_hh_num_in!R12)</f>
        <v>44624.91553875673</v>
      </c>
      <c r="S12" s="132">
        <f>IF(SER_hh_tes_in!S12=0,0,11630*1000*SER_hh_tes_in!S12/SER_hh_num_in!S12)</f>
        <v>48854.108835595056</v>
      </c>
      <c r="T12" s="132">
        <f>IF(SER_hh_tes_in!T12=0,0,11630*1000*SER_hh_tes_in!T12/SER_hh_num_in!T12)</f>
        <v>47521.397320960372</v>
      </c>
      <c r="U12" s="132">
        <f>IF(SER_hh_tes_in!U12=0,0,11630*1000*SER_hh_tes_in!U12/SER_hh_num_in!U12)</f>
        <v>36604.148576110267</v>
      </c>
      <c r="V12" s="132">
        <f>IF(SER_hh_tes_in!V12=0,0,11630*1000*SER_hh_tes_in!V12/SER_hh_num_in!V12)</f>
        <v>33618.444808348664</v>
      </c>
      <c r="W12" s="132">
        <f>IF(SER_hh_tes_in!W12=0,0,11630*1000*SER_hh_tes_in!W12/SER_hh_num_in!W12)</f>
        <v>34932.849568423546</v>
      </c>
      <c r="X12" s="132">
        <f>IF(SER_hh_tes_in!X12=0,0,11630*1000*SER_hh_tes_in!X12/SER_hh_num_in!X12)</f>
        <v>0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0</v>
      </c>
      <c r="D13" s="132">
        <f>IF(SER_hh_tes_in!D13=0,0,11630*1000*SER_hh_tes_in!D13/SER_hh_num_in!D13)</f>
        <v>0</v>
      </c>
      <c r="E13" s="132">
        <f>IF(SER_hh_tes_in!E13=0,0,11630*1000*SER_hh_tes_in!E13/SER_hh_num_in!E13)</f>
        <v>0</v>
      </c>
      <c r="F13" s="132">
        <f>IF(SER_hh_tes_in!F13=0,0,11630*1000*SER_hh_tes_in!F13/SER_hh_num_in!F13)</f>
        <v>0</v>
      </c>
      <c r="G13" s="132">
        <f>IF(SER_hh_tes_in!G13=0,0,11630*1000*SER_hh_tes_in!G13/SER_hh_num_in!G13)</f>
        <v>0</v>
      </c>
      <c r="H13" s="132">
        <f>IF(SER_hh_tes_in!H13=0,0,11630*1000*SER_hh_tes_in!H13/SER_hh_num_in!H13)</f>
        <v>0</v>
      </c>
      <c r="I13" s="132">
        <f>IF(SER_hh_tes_in!I13=0,0,11630*1000*SER_hh_tes_in!I13/SER_hh_num_in!I13)</f>
        <v>0</v>
      </c>
      <c r="J13" s="132">
        <f>IF(SER_hh_tes_in!J13=0,0,11630*1000*SER_hh_tes_in!J13/SER_hh_num_in!J13)</f>
        <v>0</v>
      </c>
      <c r="K13" s="132">
        <f>IF(SER_hh_tes_in!K13=0,0,11630*1000*SER_hh_tes_in!K13/SER_hh_num_in!K13)</f>
        <v>0</v>
      </c>
      <c r="L13" s="132">
        <f>IF(SER_hh_tes_in!L13=0,0,11630*1000*SER_hh_tes_in!L13/SER_hh_num_in!L13)</f>
        <v>0</v>
      </c>
      <c r="M13" s="132">
        <f>IF(SER_hh_tes_in!M13=0,0,11630*1000*SER_hh_tes_in!M13/SER_hh_num_in!M13)</f>
        <v>0</v>
      </c>
      <c r="N13" s="132">
        <f>IF(SER_hh_tes_in!N13=0,0,11630*1000*SER_hh_tes_in!N13/SER_hh_num_in!N13)</f>
        <v>0</v>
      </c>
      <c r="O13" s="132">
        <f>IF(SER_hh_tes_in!O13=0,0,11630*1000*SER_hh_tes_in!O13/SER_hh_num_in!O13)</f>
        <v>0</v>
      </c>
      <c r="P13" s="132">
        <f>IF(SER_hh_tes_in!P13=0,0,11630*1000*SER_hh_tes_in!P13/SER_hh_num_in!P13)</f>
        <v>0</v>
      </c>
      <c r="Q13" s="132">
        <f>IF(SER_hh_tes_in!Q13=0,0,11630*1000*SER_hh_tes_in!Q13/SER_hh_num_in!Q13)</f>
        <v>0</v>
      </c>
      <c r="R13" s="132">
        <f>IF(SER_hh_tes_in!R13=0,0,11630*1000*SER_hh_tes_in!R13/SER_hh_num_in!R13)</f>
        <v>0</v>
      </c>
      <c r="S13" s="132">
        <f>IF(SER_hh_tes_in!S13=0,0,11630*1000*SER_hh_tes_in!S13/SER_hh_num_in!S13)</f>
        <v>0</v>
      </c>
      <c r="T13" s="132">
        <f>IF(SER_hh_tes_in!T13=0,0,11630*1000*SER_hh_tes_in!T13/SER_hh_num_in!T13)</f>
        <v>0</v>
      </c>
      <c r="U13" s="132">
        <f>IF(SER_hh_tes_in!U13=0,0,11630*1000*SER_hh_tes_in!U13/SER_hh_num_in!U13)</f>
        <v>0</v>
      </c>
      <c r="V13" s="132">
        <f>IF(SER_hh_tes_in!V13=0,0,11630*1000*SER_hh_tes_in!V13/SER_hh_num_in!V13)</f>
        <v>0</v>
      </c>
      <c r="W13" s="132">
        <f>IF(SER_hh_tes_in!W13=0,0,11630*1000*SER_hh_tes_in!W13/SER_hh_num_in!W13)</f>
        <v>0</v>
      </c>
      <c r="X13" s="132">
        <f>IF(SER_hh_tes_in!X13=0,0,11630*1000*SER_hh_tes_in!X13/SER_hh_num_in!X13)</f>
        <v>0</v>
      </c>
      <c r="Y13" s="132">
        <f>IF(SER_hh_tes_in!Y13=0,0,11630*1000*SER_hh_tes_in!Y13/SER_hh_num_in!Y13)</f>
        <v>50375.692172389616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158232.94376141031</v>
      </c>
      <c r="D14" s="65">
        <f>IF(SER_hh_tes_in!D14=0,0,11630*1000*SER_hh_tes_in!D14/SER_hh_num_in!D14)</f>
        <v>193040.88855064951</v>
      </c>
      <c r="E14" s="65">
        <f>IF(SER_hh_tes_in!E14=0,0,11630*1000*SER_hh_tes_in!E14/SER_hh_num_in!E14)</f>
        <v>89087.158160761988</v>
      </c>
      <c r="F14" s="65">
        <f>IF(SER_hh_tes_in!F14=0,0,11630*1000*SER_hh_tes_in!F14/SER_hh_num_in!F14)</f>
        <v>112329.41442811224</v>
      </c>
      <c r="G14" s="65">
        <f>IF(SER_hh_tes_in!G14=0,0,11630*1000*SER_hh_tes_in!G14/SER_hh_num_in!G14)</f>
        <v>74715.370559846211</v>
      </c>
      <c r="H14" s="65">
        <f>IF(SER_hh_tes_in!H14=0,0,11630*1000*SER_hh_tes_in!H14/SER_hh_num_in!H14)</f>
        <v>55911.102476262575</v>
      </c>
      <c r="I14" s="65">
        <f>IF(SER_hh_tes_in!I14=0,0,11630*1000*SER_hh_tes_in!I14/SER_hh_num_in!I14)</f>
        <v>54606.992139734102</v>
      </c>
      <c r="J14" s="65">
        <f>IF(SER_hh_tes_in!J14=0,0,11630*1000*SER_hh_tes_in!J14/SER_hh_num_in!J14)</f>
        <v>76323.743717257836</v>
      </c>
      <c r="K14" s="65">
        <f>IF(SER_hh_tes_in!K14=0,0,11630*1000*SER_hh_tes_in!K14/SER_hh_num_in!K14)</f>
        <v>68462.385012100494</v>
      </c>
      <c r="L14" s="65">
        <f>IF(SER_hh_tes_in!L14=0,0,11630*1000*SER_hh_tes_in!L14/SER_hh_num_in!L14)</f>
        <v>71039.115703273259</v>
      </c>
      <c r="M14" s="65">
        <f>IF(SER_hh_tes_in!M14=0,0,11630*1000*SER_hh_tes_in!M14/SER_hh_num_in!M14)</f>
        <v>70860.508743407947</v>
      </c>
      <c r="N14" s="65">
        <f>IF(SER_hh_tes_in!N14=0,0,11630*1000*SER_hh_tes_in!N14/SER_hh_num_in!N14)</f>
        <v>60601.923605556367</v>
      </c>
      <c r="O14" s="65">
        <f>IF(SER_hh_tes_in!O14=0,0,11630*1000*SER_hh_tes_in!O14/SER_hh_num_in!O14)</f>
        <v>56672.450999777458</v>
      </c>
      <c r="P14" s="65">
        <f>IF(SER_hh_tes_in!P14=0,0,11630*1000*SER_hh_tes_in!P14/SER_hh_num_in!P14)</f>
        <v>47212.130464186943</v>
      </c>
      <c r="Q14" s="65">
        <f>IF(SER_hh_tes_in!Q14=0,0,11630*1000*SER_hh_tes_in!Q14/SER_hh_num_in!Q14)</f>
        <v>45979.288892797675</v>
      </c>
      <c r="R14" s="65">
        <f>IF(SER_hh_tes_in!R14=0,0,11630*1000*SER_hh_tes_in!R14/SER_hh_num_in!R14)</f>
        <v>47767.675153937606</v>
      </c>
      <c r="S14" s="65">
        <f>IF(SER_hh_tes_in!S14=0,0,11630*1000*SER_hh_tes_in!S14/SER_hh_num_in!S14)</f>
        <v>48904.58681297896</v>
      </c>
      <c r="T14" s="65">
        <f>IF(SER_hh_tes_in!T14=0,0,11630*1000*SER_hh_tes_in!T14/SER_hh_num_in!T14)</f>
        <v>48559.590205515888</v>
      </c>
      <c r="U14" s="65">
        <f>IF(SER_hh_tes_in!U14=0,0,11630*1000*SER_hh_tes_in!U14/SER_hh_num_in!U14)</f>
        <v>42393.315737643046</v>
      </c>
      <c r="V14" s="65">
        <f>IF(SER_hh_tes_in!V14=0,0,11630*1000*SER_hh_tes_in!V14/SER_hh_num_in!V14)</f>
        <v>30432.901521715619</v>
      </c>
      <c r="W14" s="65">
        <f>IF(SER_hh_tes_in!W14=0,0,11630*1000*SER_hh_tes_in!W14/SER_hh_num_in!W14)</f>
        <v>29732.463725563433</v>
      </c>
      <c r="X14" s="65">
        <f>IF(SER_hh_tes_in!X14=0,0,11630*1000*SER_hh_tes_in!X14/SER_hh_num_in!X14)</f>
        <v>32339.128775179222</v>
      </c>
      <c r="Y14" s="65">
        <f>IF(SER_hh_tes_in!Y14=0,0,11630*1000*SER_hh_tes_in!Y14/SER_hh_num_in!Y14)</f>
        <v>0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3849.3675005333271</v>
      </c>
      <c r="D15" s="134">
        <f>IF(SER_hh_tes_in!D15=0,0,11630*1000*SER_hh_tes_in!D15/SER_hh_num_in!D15)</f>
        <v>3172.5299943856958</v>
      </c>
      <c r="E15" s="134">
        <f>IF(SER_hh_tes_in!E15=0,0,11630*1000*SER_hh_tes_in!E15/SER_hh_num_in!E15)</f>
        <v>1934.0174789042296</v>
      </c>
      <c r="F15" s="134">
        <f>IF(SER_hh_tes_in!F15=0,0,11630*1000*SER_hh_tes_in!F15/SER_hh_num_in!F15)</f>
        <v>1788.8006089106559</v>
      </c>
      <c r="G15" s="134">
        <f>IF(SER_hh_tes_in!G15=0,0,11630*1000*SER_hh_tes_in!G15/SER_hh_num_in!G15)</f>
        <v>1446.1783742395232</v>
      </c>
      <c r="H15" s="134">
        <f>IF(SER_hh_tes_in!H15=0,0,11630*1000*SER_hh_tes_in!H15/SER_hh_num_in!H15)</f>
        <v>958.00616195333225</v>
      </c>
      <c r="I15" s="134">
        <f>IF(SER_hh_tes_in!I15=0,0,11630*1000*SER_hh_tes_in!I15/SER_hh_num_in!I15)</f>
        <v>661.80980288188516</v>
      </c>
      <c r="J15" s="134">
        <f>IF(SER_hh_tes_in!J15=0,0,11630*1000*SER_hh_tes_in!J15/SER_hh_num_in!J15)</f>
        <v>1133.0491186913032</v>
      </c>
      <c r="K15" s="134">
        <f>IF(SER_hh_tes_in!K15=0,0,11630*1000*SER_hh_tes_in!K15/SER_hh_num_in!K15)</f>
        <v>728.71953880394096</v>
      </c>
      <c r="L15" s="134">
        <f>IF(SER_hh_tes_in!L15=0,0,11630*1000*SER_hh_tes_in!L15/SER_hh_num_in!L15)</f>
        <v>502.3907341533926</v>
      </c>
      <c r="M15" s="134">
        <f>IF(SER_hh_tes_in!M15=0,0,11630*1000*SER_hh_tes_in!M15/SER_hh_num_in!M15)</f>
        <v>646.96188271843573</v>
      </c>
      <c r="N15" s="134">
        <f>IF(SER_hh_tes_in!N15=0,0,11630*1000*SER_hh_tes_in!N15/SER_hh_num_in!N15)</f>
        <v>266.11846517805594</v>
      </c>
      <c r="O15" s="134">
        <f>IF(SER_hh_tes_in!O15=0,0,11630*1000*SER_hh_tes_in!O15/SER_hh_num_in!O15)</f>
        <v>604.89612860971522</v>
      </c>
      <c r="P15" s="134">
        <f>IF(SER_hh_tes_in!P15=0,0,11630*1000*SER_hh_tes_in!P15/SER_hh_num_in!P15)</f>
        <v>728.44453148454579</v>
      </c>
      <c r="Q15" s="134">
        <f>IF(SER_hh_tes_in!Q15=0,0,11630*1000*SER_hh_tes_in!Q15/SER_hh_num_in!Q15)</f>
        <v>808.71320943599358</v>
      </c>
      <c r="R15" s="134">
        <f>IF(SER_hh_tes_in!R15=0,0,11630*1000*SER_hh_tes_in!R15/SER_hh_num_in!R15)</f>
        <v>892.36336448575355</v>
      </c>
      <c r="S15" s="134">
        <f>IF(SER_hh_tes_in!S15=0,0,11630*1000*SER_hh_tes_in!S15/SER_hh_num_in!S15)</f>
        <v>421.31688446174832</v>
      </c>
      <c r="T15" s="134">
        <f>IF(SER_hh_tes_in!T15=0,0,11630*1000*SER_hh_tes_in!T15/SER_hh_num_in!T15)</f>
        <v>532.09268164920456</v>
      </c>
      <c r="U15" s="134">
        <f>IF(SER_hh_tes_in!U15=0,0,11630*1000*SER_hh_tes_in!U15/SER_hh_num_in!U15)</f>
        <v>425.40561354622395</v>
      </c>
      <c r="V15" s="134">
        <f>IF(SER_hh_tes_in!V15=0,0,11630*1000*SER_hh_tes_in!V15/SER_hh_num_in!V15)</f>
        <v>365.36640583998849</v>
      </c>
      <c r="W15" s="134">
        <f>IF(SER_hh_tes_in!W15=0,0,11630*1000*SER_hh_tes_in!W15/SER_hh_num_in!W15)</f>
        <v>332.80505888168818</v>
      </c>
      <c r="X15" s="134">
        <f>IF(SER_hh_tes_in!X15=0,0,11630*1000*SER_hh_tes_in!X15/SER_hh_num_in!X15)</f>
        <v>404.51894684885877</v>
      </c>
      <c r="Y15" s="134">
        <f>IF(SER_hh_tes_in!Y15=0,0,11630*1000*SER_hh_tes_in!Y15/SER_hh_num_in!Y15)</f>
        <v>477.74923509670549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21573.777742707061</v>
      </c>
      <c r="D16" s="130">
        <f>IF(SER_hh_tes_in!D16=0,0,11630*1000*SER_hh_tes_in!D16/SER_hh_num_in!D16)</f>
        <v>21312.59512251522</v>
      </c>
      <c r="E16" s="130">
        <f>IF(SER_hh_tes_in!E16=0,0,11630*1000*SER_hh_tes_in!E16/SER_hh_num_in!E16)</f>
        <v>26853.496589801627</v>
      </c>
      <c r="F16" s="130">
        <f>IF(SER_hh_tes_in!F16=0,0,11630*1000*SER_hh_tes_in!F16/SER_hh_num_in!F16)</f>
        <v>20969.429378623459</v>
      </c>
      <c r="G16" s="130">
        <f>IF(SER_hh_tes_in!G16=0,0,11630*1000*SER_hh_tes_in!G16/SER_hh_num_in!G16)</f>
        <v>21085.040111425264</v>
      </c>
      <c r="H16" s="130">
        <f>IF(SER_hh_tes_in!H16=0,0,11630*1000*SER_hh_tes_in!H16/SER_hh_num_in!H16)</f>
        <v>22530.274877237829</v>
      </c>
      <c r="I16" s="130">
        <f>IF(SER_hh_tes_in!I16=0,0,11630*1000*SER_hh_tes_in!I16/SER_hh_num_in!I16)</f>
        <v>21638.319339933321</v>
      </c>
      <c r="J16" s="130">
        <f>IF(SER_hh_tes_in!J16=0,0,11630*1000*SER_hh_tes_in!J16/SER_hh_num_in!J16)</f>
        <v>21075.499058233465</v>
      </c>
      <c r="K16" s="130">
        <f>IF(SER_hh_tes_in!K16=0,0,11630*1000*SER_hh_tes_in!K16/SER_hh_num_in!K16)</f>
        <v>20734.452463616068</v>
      </c>
      <c r="L16" s="130">
        <f>IF(SER_hh_tes_in!L16=0,0,11630*1000*SER_hh_tes_in!L16/SER_hh_num_in!L16)</f>
        <v>21388.775166511208</v>
      </c>
      <c r="M16" s="130">
        <f>IF(SER_hh_tes_in!M16=0,0,11630*1000*SER_hh_tes_in!M16/SER_hh_num_in!M16)</f>
        <v>20939.068835311256</v>
      </c>
      <c r="N16" s="130">
        <f>IF(SER_hh_tes_in!N16=0,0,11630*1000*SER_hh_tes_in!N16/SER_hh_num_in!N16)</f>
        <v>23167.582821828593</v>
      </c>
      <c r="O16" s="130">
        <f>IF(SER_hh_tes_in!O16=0,0,11630*1000*SER_hh_tes_in!O16/SER_hh_num_in!O16)</f>
        <v>23459.870509001292</v>
      </c>
      <c r="P16" s="130">
        <f>IF(SER_hh_tes_in!P16=0,0,11630*1000*SER_hh_tes_in!P16/SER_hh_num_in!P16)</f>
        <v>18655.582101803026</v>
      </c>
      <c r="Q16" s="130">
        <f>IF(SER_hh_tes_in!Q16=0,0,11630*1000*SER_hh_tes_in!Q16/SER_hh_num_in!Q16)</f>
        <v>22804.269864442824</v>
      </c>
      <c r="R16" s="130">
        <f>IF(SER_hh_tes_in!R16=0,0,11630*1000*SER_hh_tes_in!R16/SER_hh_num_in!R16)</f>
        <v>18329.956228281124</v>
      </c>
      <c r="S16" s="130">
        <f>IF(SER_hh_tes_in!S16=0,0,11630*1000*SER_hh_tes_in!S16/SER_hh_num_in!S16)</f>
        <v>21634.566271974621</v>
      </c>
      <c r="T16" s="130">
        <f>IF(SER_hh_tes_in!T16=0,0,11630*1000*SER_hh_tes_in!T16/SER_hh_num_in!T16)</f>
        <v>18463.192209511632</v>
      </c>
      <c r="U16" s="130">
        <f>IF(SER_hh_tes_in!U16=0,0,11630*1000*SER_hh_tes_in!U16/SER_hh_num_in!U16)</f>
        <v>19225.35417881946</v>
      </c>
      <c r="V16" s="130">
        <f>IF(SER_hh_tes_in!V16=0,0,11630*1000*SER_hh_tes_in!V16/SER_hh_num_in!V16)</f>
        <v>16377.534102201345</v>
      </c>
      <c r="W16" s="130">
        <f>IF(SER_hh_tes_in!W16=0,0,11630*1000*SER_hh_tes_in!W16/SER_hh_num_in!W16)</f>
        <v>16725.567182638159</v>
      </c>
      <c r="X16" s="130">
        <f>IF(SER_hh_tes_in!X16=0,0,11630*1000*SER_hh_tes_in!X16/SER_hh_num_in!X16)</f>
        <v>16236.837996778901</v>
      </c>
      <c r="Y16" s="130">
        <f>IF(SER_hh_tes_in!Y16=0,0,11630*1000*SER_hh_tes_in!Y16/SER_hh_num_in!Y16)</f>
        <v>16118.965911729685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21573.777742707061</v>
      </c>
      <c r="D18" s="132">
        <f>IF(SER_hh_tes_in!D18=0,0,11630*1000*SER_hh_tes_in!D18/SER_hh_num_in!D18)</f>
        <v>21312.59512251522</v>
      </c>
      <c r="E18" s="132">
        <f>IF(SER_hh_tes_in!E18=0,0,11630*1000*SER_hh_tes_in!E18/SER_hh_num_in!E18)</f>
        <v>26853.496589801627</v>
      </c>
      <c r="F18" s="132">
        <f>IF(SER_hh_tes_in!F18=0,0,11630*1000*SER_hh_tes_in!F18/SER_hh_num_in!F18)</f>
        <v>20969.429378623459</v>
      </c>
      <c r="G18" s="132">
        <f>IF(SER_hh_tes_in!G18=0,0,11630*1000*SER_hh_tes_in!G18/SER_hh_num_in!G18)</f>
        <v>21085.040111425264</v>
      </c>
      <c r="H18" s="132">
        <f>IF(SER_hh_tes_in!H18=0,0,11630*1000*SER_hh_tes_in!H18/SER_hh_num_in!H18)</f>
        <v>22530.274877237829</v>
      </c>
      <c r="I18" s="132">
        <f>IF(SER_hh_tes_in!I18=0,0,11630*1000*SER_hh_tes_in!I18/SER_hh_num_in!I18)</f>
        <v>21638.319339933321</v>
      </c>
      <c r="J18" s="132">
        <f>IF(SER_hh_tes_in!J18=0,0,11630*1000*SER_hh_tes_in!J18/SER_hh_num_in!J18)</f>
        <v>21075.499058233465</v>
      </c>
      <c r="K18" s="132">
        <f>IF(SER_hh_tes_in!K18=0,0,11630*1000*SER_hh_tes_in!K18/SER_hh_num_in!K18)</f>
        <v>20734.452463616068</v>
      </c>
      <c r="L18" s="132">
        <f>IF(SER_hh_tes_in!L18=0,0,11630*1000*SER_hh_tes_in!L18/SER_hh_num_in!L18)</f>
        <v>21388.775166511208</v>
      </c>
      <c r="M18" s="132">
        <f>IF(SER_hh_tes_in!M18=0,0,11630*1000*SER_hh_tes_in!M18/SER_hh_num_in!M18)</f>
        <v>20939.068835311256</v>
      </c>
      <c r="N18" s="132">
        <f>IF(SER_hh_tes_in!N18=0,0,11630*1000*SER_hh_tes_in!N18/SER_hh_num_in!N18)</f>
        <v>23167.582821828593</v>
      </c>
      <c r="O18" s="132">
        <f>IF(SER_hh_tes_in!O18=0,0,11630*1000*SER_hh_tes_in!O18/SER_hh_num_in!O18)</f>
        <v>23459.870509001292</v>
      </c>
      <c r="P18" s="132">
        <f>IF(SER_hh_tes_in!P18=0,0,11630*1000*SER_hh_tes_in!P18/SER_hh_num_in!P18)</f>
        <v>18655.582101803026</v>
      </c>
      <c r="Q18" s="132">
        <f>IF(SER_hh_tes_in!Q18=0,0,11630*1000*SER_hh_tes_in!Q18/SER_hh_num_in!Q18)</f>
        <v>22804.269864442824</v>
      </c>
      <c r="R18" s="132">
        <f>IF(SER_hh_tes_in!R18=0,0,11630*1000*SER_hh_tes_in!R18/SER_hh_num_in!R18)</f>
        <v>18329.956228281124</v>
      </c>
      <c r="S18" s="132">
        <f>IF(SER_hh_tes_in!S18=0,0,11630*1000*SER_hh_tes_in!S18/SER_hh_num_in!S18)</f>
        <v>21634.566271974621</v>
      </c>
      <c r="T18" s="132">
        <f>IF(SER_hh_tes_in!T18=0,0,11630*1000*SER_hh_tes_in!T18/SER_hh_num_in!T18)</f>
        <v>18463.192209511632</v>
      </c>
      <c r="U18" s="132">
        <f>IF(SER_hh_tes_in!U18=0,0,11630*1000*SER_hh_tes_in!U18/SER_hh_num_in!U18)</f>
        <v>19225.35417881946</v>
      </c>
      <c r="V18" s="132">
        <f>IF(SER_hh_tes_in!V18=0,0,11630*1000*SER_hh_tes_in!V18/SER_hh_num_in!V18)</f>
        <v>16377.534102201345</v>
      </c>
      <c r="W18" s="132">
        <f>IF(SER_hh_tes_in!W18=0,0,11630*1000*SER_hh_tes_in!W18/SER_hh_num_in!W18)</f>
        <v>16725.567182638159</v>
      </c>
      <c r="X18" s="132">
        <f>IF(SER_hh_tes_in!X18=0,0,11630*1000*SER_hh_tes_in!X18/SER_hh_num_in!X18)</f>
        <v>16236.837996778901</v>
      </c>
      <c r="Y18" s="132">
        <f>IF(SER_hh_tes_in!Y18=0,0,11630*1000*SER_hh_tes_in!Y18/SER_hh_num_in!Y18)</f>
        <v>16118.965911729685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12476.051741430651</v>
      </c>
      <c r="D19" s="130">
        <f>IF(SER_hh_tes_in!D19=0,0,11630*1000*SER_hh_tes_in!D19/SER_hh_num_in!D19)</f>
        <v>12271.324606587863</v>
      </c>
      <c r="E19" s="130">
        <f>IF(SER_hh_tes_in!E19=0,0,11630*1000*SER_hh_tes_in!E19/SER_hh_num_in!E19)</f>
        <v>12279.921681537657</v>
      </c>
      <c r="F19" s="130">
        <f>IF(SER_hh_tes_in!F19=0,0,11630*1000*SER_hh_tes_in!F19/SER_hh_num_in!F19)</f>
        <v>11851.197343237653</v>
      </c>
      <c r="G19" s="130">
        <f>IF(SER_hh_tes_in!G19=0,0,11630*1000*SER_hh_tes_in!G19/SER_hh_num_in!G19)</f>
        <v>11904.813248583367</v>
      </c>
      <c r="H19" s="130">
        <f>IF(SER_hh_tes_in!H19=0,0,11630*1000*SER_hh_tes_in!H19/SER_hh_num_in!H19)</f>
        <v>11783.741088401035</v>
      </c>
      <c r="I19" s="130">
        <f>IF(SER_hh_tes_in!I19=0,0,11630*1000*SER_hh_tes_in!I19/SER_hh_num_in!I19)</f>
        <v>11285.382902346715</v>
      </c>
      <c r="J19" s="130">
        <f>IF(SER_hh_tes_in!J19=0,0,11630*1000*SER_hh_tes_in!J19/SER_hh_num_in!J19)</f>
        <v>11413.738186531798</v>
      </c>
      <c r="K19" s="130">
        <f>IF(SER_hh_tes_in!K19=0,0,11630*1000*SER_hh_tes_in!K19/SER_hh_num_in!K19)</f>
        <v>11397.107062012055</v>
      </c>
      <c r="L19" s="130">
        <f>IF(SER_hh_tes_in!L19=0,0,11630*1000*SER_hh_tes_in!L19/SER_hh_num_in!L19)</f>
        <v>11278.101931135354</v>
      </c>
      <c r="M19" s="130">
        <f>IF(SER_hh_tes_in!M19=0,0,11630*1000*SER_hh_tes_in!M19/SER_hh_num_in!M19)</f>
        <v>11900.924271759675</v>
      </c>
      <c r="N19" s="130">
        <f>IF(SER_hh_tes_in!N19=0,0,11630*1000*SER_hh_tes_in!N19/SER_hh_num_in!N19)</f>
        <v>11738.789723296002</v>
      </c>
      <c r="O19" s="130">
        <f>IF(SER_hh_tes_in!O19=0,0,11630*1000*SER_hh_tes_in!O19/SER_hh_num_in!O19)</f>
        <v>12116.99993212335</v>
      </c>
      <c r="P19" s="130">
        <f>IF(SER_hh_tes_in!P19=0,0,11630*1000*SER_hh_tes_in!P19/SER_hh_num_in!P19)</f>
        <v>12605.003162109975</v>
      </c>
      <c r="Q19" s="130">
        <f>IF(SER_hh_tes_in!Q19=0,0,11630*1000*SER_hh_tes_in!Q19/SER_hh_num_in!Q19)</f>
        <v>12964.934525102246</v>
      </c>
      <c r="R19" s="130">
        <f>IF(SER_hh_tes_in!R19=0,0,11630*1000*SER_hh_tes_in!R19/SER_hh_num_in!R19)</f>
        <v>11992.367992353215</v>
      </c>
      <c r="S19" s="130">
        <f>IF(SER_hh_tes_in!S19=0,0,11630*1000*SER_hh_tes_in!S19/SER_hh_num_in!S19)</f>
        <v>12537.532831846545</v>
      </c>
      <c r="T19" s="130">
        <f>IF(SER_hh_tes_in!T19=0,0,11630*1000*SER_hh_tes_in!T19/SER_hh_num_in!T19)</f>
        <v>13237.073004108926</v>
      </c>
      <c r="U19" s="130">
        <f>IF(SER_hh_tes_in!U19=0,0,11630*1000*SER_hh_tes_in!U19/SER_hh_num_in!U19)</f>
        <v>12830.384251057094</v>
      </c>
      <c r="V19" s="130">
        <f>IF(SER_hh_tes_in!V19=0,0,11630*1000*SER_hh_tes_in!V19/SER_hh_num_in!V19)</f>
        <v>12392.559511263958</v>
      </c>
      <c r="W19" s="130">
        <f>IF(SER_hh_tes_in!W19=0,0,11630*1000*SER_hh_tes_in!W19/SER_hh_num_in!W19)</f>
        <v>12418.045043615883</v>
      </c>
      <c r="X19" s="130">
        <f>IF(SER_hh_tes_in!X19=0,0,11630*1000*SER_hh_tes_in!X19/SER_hh_num_in!X19)</f>
        <v>12056.217168568475</v>
      </c>
      <c r="Y19" s="130">
        <f>IF(SER_hh_tes_in!Y19=0,0,11630*1000*SER_hh_tes_in!Y19/SER_hh_num_in!Y19)</f>
        <v>13088.256377746784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11866.229555214599</v>
      </c>
      <c r="D21" s="132">
        <f>IF(SER_hh_tes_in!D21=0,0,11630*1000*SER_hh_tes_in!D21/SER_hh_num_in!D21)</f>
        <v>12698.886362245383</v>
      </c>
      <c r="E21" s="132">
        <f>IF(SER_hh_tes_in!E21=0,0,11630*1000*SER_hh_tes_in!E21/SER_hh_num_in!E21)</f>
        <v>12344.050799459532</v>
      </c>
      <c r="F21" s="132">
        <f>IF(SER_hh_tes_in!F21=0,0,11630*1000*SER_hh_tes_in!F21/SER_hh_num_in!F21)</f>
        <v>12029.784600983059</v>
      </c>
      <c r="G21" s="132">
        <f>IF(SER_hh_tes_in!G21=0,0,11630*1000*SER_hh_tes_in!G21/SER_hh_num_in!G21)</f>
        <v>11830.937002215685</v>
      </c>
      <c r="H21" s="132">
        <f>IF(SER_hh_tes_in!H21=0,0,11630*1000*SER_hh_tes_in!H21/SER_hh_num_in!H21)</f>
        <v>11640.294719739002</v>
      </c>
      <c r="I21" s="132">
        <f>IF(SER_hh_tes_in!I21=0,0,11630*1000*SER_hh_tes_in!I21/SER_hh_num_in!I21)</f>
        <v>11611.295241285661</v>
      </c>
      <c r="J21" s="132">
        <f>IF(SER_hh_tes_in!J21=0,0,11630*1000*SER_hh_tes_in!J21/SER_hh_num_in!J21)</f>
        <v>11268.569929835841</v>
      </c>
      <c r="K21" s="132">
        <f>IF(SER_hh_tes_in!K21=0,0,11630*1000*SER_hh_tes_in!K21/SER_hh_num_in!K21)</f>
        <v>11406.321947931285</v>
      </c>
      <c r="L21" s="132">
        <f>IF(SER_hh_tes_in!L21=0,0,11630*1000*SER_hh_tes_in!L21/SER_hh_num_in!L21)</f>
        <v>11879.423514963049</v>
      </c>
      <c r="M21" s="132">
        <f>IF(SER_hh_tes_in!M21=0,0,11630*1000*SER_hh_tes_in!M21/SER_hh_num_in!M21)</f>
        <v>11277.072986362451</v>
      </c>
      <c r="N21" s="132">
        <f>IF(SER_hh_tes_in!N21=0,0,11630*1000*SER_hh_tes_in!N21/SER_hh_num_in!N21)</f>
        <v>11974.347674366134</v>
      </c>
      <c r="O21" s="132">
        <f>IF(SER_hh_tes_in!O21=0,0,11630*1000*SER_hh_tes_in!O21/SER_hh_num_in!O21)</f>
        <v>12040.719035014487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12292.318557706632</v>
      </c>
      <c r="R21" s="132">
        <f>IF(SER_hh_tes_in!R21=0,0,11630*1000*SER_hh_tes_in!R21/SER_hh_num_in!R21)</f>
        <v>9603.4089810396381</v>
      </c>
      <c r="S21" s="132">
        <f>IF(SER_hh_tes_in!S21=0,0,11630*1000*SER_hh_tes_in!S21/SER_hh_num_in!S21)</f>
        <v>10960.588028327542</v>
      </c>
      <c r="T21" s="132">
        <f>IF(SER_hh_tes_in!T21=0,0,11630*1000*SER_hh_tes_in!T21/SER_hh_num_in!T21)</f>
        <v>14767.431154706221</v>
      </c>
      <c r="U21" s="132">
        <f>IF(SER_hh_tes_in!U21=0,0,11630*1000*SER_hh_tes_in!U21/SER_hh_num_in!U21)</f>
        <v>17300.332173388342</v>
      </c>
      <c r="V21" s="132">
        <f>IF(SER_hh_tes_in!V21=0,0,11630*1000*SER_hh_tes_in!V21/SER_hh_num_in!V21)</f>
        <v>13822.3023145185</v>
      </c>
      <c r="W21" s="132">
        <f>IF(SER_hh_tes_in!W21=0,0,11630*1000*SER_hh_tes_in!W21/SER_hh_num_in!W21)</f>
        <v>10431.998602371452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13119.631126734939</v>
      </c>
      <c r="D22" s="132">
        <f>IF(SER_hh_tes_in!D22=0,0,11630*1000*SER_hh_tes_in!D22/SER_hh_num_in!D22)</f>
        <v>11664.038676584485</v>
      </c>
      <c r="E22" s="132">
        <f>IF(SER_hh_tes_in!E22=0,0,11630*1000*SER_hh_tes_in!E22/SER_hh_num_in!E22)</f>
        <v>12587.197593782301</v>
      </c>
      <c r="F22" s="132">
        <f>IF(SER_hh_tes_in!F22=0,0,11630*1000*SER_hh_tes_in!F22/SER_hh_num_in!F22)</f>
        <v>12206.182239783424</v>
      </c>
      <c r="G22" s="132">
        <f>IF(SER_hh_tes_in!G22=0,0,11630*1000*SER_hh_tes_in!G22/SER_hh_num_in!G22)</f>
        <v>11925.744591065677</v>
      </c>
      <c r="H22" s="132">
        <f>IF(SER_hh_tes_in!H22=0,0,11630*1000*SER_hh_tes_in!H22/SER_hh_num_in!H22)</f>
        <v>11726.265913709331</v>
      </c>
      <c r="I22" s="132">
        <f>IF(SER_hh_tes_in!I22=0,0,11630*1000*SER_hh_tes_in!I22/SER_hh_num_in!I22)</f>
        <v>11691.254531484305</v>
      </c>
      <c r="J22" s="132">
        <f>IF(SER_hh_tes_in!J22=0,0,11630*1000*SER_hh_tes_in!J22/SER_hh_num_in!J22)</f>
        <v>11126.695923229827</v>
      </c>
      <c r="K22" s="132">
        <f>IF(SER_hh_tes_in!K22=0,0,11630*1000*SER_hh_tes_in!K22/SER_hh_num_in!K22)</f>
        <v>11595.002502031773</v>
      </c>
      <c r="L22" s="132">
        <f>IF(SER_hh_tes_in!L22=0,0,11630*1000*SER_hh_tes_in!L22/SER_hh_num_in!L22)</f>
        <v>0</v>
      </c>
      <c r="M22" s="132">
        <f>IF(SER_hh_tes_in!M22=0,0,11630*1000*SER_hh_tes_in!M22/SER_hh_num_in!M22)</f>
        <v>0</v>
      </c>
      <c r="N22" s="132">
        <f>IF(SER_hh_tes_in!N22=0,0,11630*1000*SER_hh_tes_in!N22/SER_hh_num_in!N22)</f>
        <v>0</v>
      </c>
      <c r="O22" s="132">
        <f>IF(SER_hh_tes_in!O22=0,0,11630*1000*SER_hh_tes_in!O22/SER_hh_num_in!O22)</f>
        <v>0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13782.872517590809</v>
      </c>
      <c r="S22" s="132">
        <f>IF(SER_hh_tes_in!S22=0,0,11630*1000*SER_hh_tes_in!S22/SER_hh_num_in!S22)</f>
        <v>11462.390134573128</v>
      </c>
      <c r="T22" s="132">
        <f>IF(SER_hh_tes_in!T22=0,0,11630*1000*SER_hh_tes_in!T22/SER_hh_num_in!T22)</f>
        <v>13434.413068010816</v>
      </c>
      <c r="U22" s="132">
        <f>IF(SER_hh_tes_in!U22=0,0,11630*1000*SER_hh_tes_in!U22/SER_hh_num_in!U22)</f>
        <v>11614.878344452398</v>
      </c>
      <c r="V22" s="132">
        <f>IF(SER_hh_tes_in!V22=0,0,11630*1000*SER_hh_tes_in!V22/SER_hh_num_in!V22)</f>
        <v>12922.078814128274</v>
      </c>
      <c r="W22" s="132">
        <f>IF(SER_hh_tes_in!W22=0,0,11630*1000*SER_hh_tes_in!W22/SER_hh_num_in!W22)</f>
        <v>12403.272685724454</v>
      </c>
      <c r="X22" s="132">
        <f>IF(SER_hh_tes_in!X22=0,0,11630*1000*SER_hh_tes_in!X22/SER_hh_num_in!X22)</f>
        <v>12334.290582147063</v>
      </c>
      <c r="Y22" s="132">
        <f>IF(SER_hh_tes_in!Y22=0,0,11630*1000*SER_hh_tes_in!Y22/SER_hh_num_in!Y22)</f>
        <v>12857.922884100362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12732.430006508022</v>
      </c>
      <c r="D23" s="132">
        <f>IF(SER_hh_tes_in!D23=0,0,11630*1000*SER_hh_tes_in!D23/SER_hh_num_in!D23)</f>
        <v>12233.766794934787</v>
      </c>
      <c r="E23" s="132">
        <f>IF(SER_hh_tes_in!E23=0,0,11630*1000*SER_hh_tes_in!E23/SER_hh_num_in!E23)</f>
        <v>12063.592870199198</v>
      </c>
      <c r="F23" s="132">
        <f>IF(SER_hh_tes_in!F23=0,0,11630*1000*SER_hh_tes_in!F23/SER_hh_num_in!F23)</f>
        <v>12062.481474778173</v>
      </c>
      <c r="G23" s="132">
        <f>IF(SER_hh_tes_in!G23=0,0,11630*1000*SER_hh_tes_in!G23/SER_hh_num_in!G23)</f>
        <v>11879.49301398014</v>
      </c>
      <c r="H23" s="132">
        <f>IF(SER_hh_tes_in!H23=0,0,11630*1000*SER_hh_tes_in!H23/SER_hh_num_in!H23)</f>
        <v>11413.654408123088</v>
      </c>
      <c r="I23" s="132">
        <f>IF(SER_hh_tes_in!I23=0,0,11630*1000*SER_hh_tes_in!I23/SER_hh_num_in!I23)</f>
        <v>10955.2241282174</v>
      </c>
      <c r="J23" s="132">
        <f>IF(SER_hh_tes_in!J23=0,0,11630*1000*SER_hh_tes_in!J23/SER_hh_num_in!J23)</f>
        <v>10198.799502661019</v>
      </c>
      <c r="K23" s="132">
        <f>IF(SER_hh_tes_in!K23=0,0,11630*1000*SER_hh_tes_in!K23/SER_hh_num_in!K23)</f>
        <v>12532.393339101201</v>
      </c>
      <c r="L23" s="132">
        <f>IF(SER_hh_tes_in!L23=0,0,11630*1000*SER_hh_tes_in!L23/SER_hh_num_in!L23)</f>
        <v>12289.82941832255</v>
      </c>
      <c r="M23" s="132">
        <f>IF(SER_hh_tes_in!M23=0,0,11630*1000*SER_hh_tes_in!M23/SER_hh_num_in!M23)</f>
        <v>11693.745634584915</v>
      </c>
      <c r="N23" s="132">
        <f>IF(SER_hh_tes_in!N23=0,0,11630*1000*SER_hh_tes_in!N23/SER_hh_num_in!N23)</f>
        <v>11814.477081403013</v>
      </c>
      <c r="O23" s="132">
        <f>IF(SER_hh_tes_in!O23=0,0,11630*1000*SER_hh_tes_in!O23/SER_hh_num_in!O23)</f>
        <v>12052.856435349402</v>
      </c>
      <c r="P23" s="132">
        <f>IF(SER_hh_tes_in!P23=0,0,11630*1000*SER_hh_tes_in!P23/SER_hh_num_in!P23)</f>
        <v>12166.979413257688</v>
      </c>
      <c r="Q23" s="132">
        <f>IF(SER_hh_tes_in!Q23=0,0,11630*1000*SER_hh_tes_in!Q23/SER_hh_num_in!Q23)</f>
        <v>11776.883890805964</v>
      </c>
      <c r="R23" s="132">
        <f>IF(SER_hh_tes_in!R23=0,0,11630*1000*SER_hh_tes_in!R23/SER_hh_num_in!R23)</f>
        <v>15330.029238393096</v>
      </c>
      <c r="S23" s="132">
        <f>IF(SER_hh_tes_in!S23=0,0,11630*1000*SER_hh_tes_in!S23/SER_hh_num_in!S23)</f>
        <v>0</v>
      </c>
      <c r="T23" s="132">
        <f>IF(SER_hh_tes_in!T23=0,0,11630*1000*SER_hh_tes_in!T23/SER_hh_num_in!T23)</f>
        <v>0</v>
      </c>
      <c r="U23" s="132">
        <f>IF(SER_hh_tes_in!U23=0,0,11630*1000*SER_hh_tes_in!U23/SER_hh_num_in!U23)</f>
        <v>0</v>
      </c>
      <c r="V23" s="132">
        <f>IF(SER_hh_tes_in!V23=0,0,11630*1000*SER_hh_tes_in!V23/SER_hh_num_in!V23)</f>
        <v>0</v>
      </c>
      <c r="W23" s="132">
        <f>IF(SER_hh_tes_in!W23=0,0,11630*1000*SER_hh_tes_in!W23/SER_hh_num_in!W23)</f>
        <v>9709.0257706792618</v>
      </c>
      <c r="X23" s="132">
        <f>IF(SER_hh_tes_in!X23=0,0,11630*1000*SER_hh_tes_in!X23/SER_hh_num_in!X23)</f>
        <v>13946.357457641499</v>
      </c>
      <c r="Y23" s="132">
        <f>IF(SER_hh_tes_in!Y23=0,0,11630*1000*SER_hh_tes_in!Y23/SER_hh_num_in!Y23)</f>
        <v>12420.060018775346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15031.801341801045</v>
      </c>
      <c r="D25" s="132">
        <f>IF(SER_hh_tes_in!D25=0,0,11630*1000*SER_hh_tes_in!D25/SER_hh_num_in!D25)</f>
        <v>12952.97450876181</v>
      </c>
      <c r="E25" s="132">
        <f>IF(SER_hh_tes_in!E25=0,0,11630*1000*SER_hh_tes_in!E25/SER_hh_num_in!E25)</f>
        <v>11736.014919443094</v>
      </c>
      <c r="F25" s="132">
        <f>IF(SER_hh_tes_in!F25=0,0,11630*1000*SER_hh_tes_in!F25/SER_hh_num_in!F25)</f>
        <v>12363.313284845499</v>
      </c>
      <c r="G25" s="132">
        <f>IF(SER_hh_tes_in!G25=0,0,11630*1000*SER_hh_tes_in!G25/SER_hh_num_in!G25)</f>
        <v>12219.598614536253</v>
      </c>
      <c r="H25" s="132">
        <f>IF(SER_hh_tes_in!H25=0,0,11630*1000*SER_hh_tes_in!H25/SER_hh_num_in!H25)</f>
        <v>10836.898689892114</v>
      </c>
      <c r="I25" s="132">
        <f>IF(SER_hh_tes_in!I25=0,0,11630*1000*SER_hh_tes_in!I25/SER_hh_num_in!I25)</f>
        <v>11210.002396187867</v>
      </c>
      <c r="J25" s="132">
        <f>IF(SER_hh_tes_in!J25=0,0,11630*1000*SER_hh_tes_in!J25/SER_hh_num_in!J25)</f>
        <v>10083.118513491054</v>
      </c>
      <c r="K25" s="132">
        <f>IF(SER_hh_tes_in!K25=0,0,11630*1000*SER_hh_tes_in!K25/SER_hh_num_in!K25)</f>
        <v>10758.085373645072</v>
      </c>
      <c r="L25" s="132">
        <f>IF(SER_hh_tes_in!L25=0,0,11630*1000*SER_hh_tes_in!L25/SER_hh_num_in!L25)</f>
        <v>11566.731630331131</v>
      </c>
      <c r="M25" s="132">
        <f>IF(SER_hh_tes_in!M25=0,0,11630*1000*SER_hh_tes_in!M25/SER_hh_num_in!M25)</f>
        <v>11929.872356251262</v>
      </c>
      <c r="N25" s="132">
        <f>IF(SER_hh_tes_in!N25=0,0,11630*1000*SER_hh_tes_in!N25/SER_hh_num_in!N25)</f>
        <v>11980.96053950345</v>
      </c>
      <c r="O25" s="132">
        <f>IF(SER_hh_tes_in!O25=0,0,11630*1000*SER_hh_tes_in!O25/SER_hh_num_in!O25)</f>
        <v>12207.485135047138</v>
      </c>
      <c r="P25" s="132">
        <f>IF(SER_hh_tes_in!P25=0,0,11630*1000*SER_hh_tes_in!P25/SER_hh_num_in!P25)</f>
        <v>12758.193657561451</v>
      </c>
      <c r="Q25" s="132">
        <f>IF(SER_hh_tes_in!Q25=0,0,11630*1000*SER_hh_tes_in!Q25/SER_hh_num_in!Q25)</f>
        <v>12471.660133026275</v>
      </c>
      <c r="R25" s="132">
        <f>IF(SER_hh_tes_in!R25=0,0,11630*1000*SER_hh_tes_in!R25/SER_hh_num_in!R25)</f>
        <v>11531.218512338315</v>
      </c>
      <c r="S25" s="132">
        <f>IF(SER_hh_tes_in!S25=0,0,11630*1000*SER_hh_tes_in!S25/SER_hh_num_in!S25)</f>
        <v>13168.638076366238</v>
      </c>
      <c r="T25" s="132">
        <f>IF(SER_hh_tes_in!T25=0,0,11630*1000*SER_hh_tes_in!T25/SER_hh_num_in!T25)</f>
        <v>13804.255110463788</v>
      </c>
      <c r="U25" s="132">
        <f>IF(SER_hh_tes_in!U25=0,0,11630*1000*SER_hh_tes_in!U25/SER_hh_num_in!U25)</f>
        <v>11879.699115456679</v>
      </c>
      <c r="V25" s="132">
        <f>IF(SER_hh_tes_in!V25=0,0,11630*1000*SER_hh_tes_in!V25/SER_hh_num_in!V25)</f>
        <v>11819.627299266258</v>
      </c>
      <c r="W25" s="132">
        <f>IF(SER_hh_tes_in!W25=0,0,11630*1000*SER_hh_tes_in!W25/SER_hh_num_in!W25)</f>
        <v>12779.404026696207</v>
      </c>
      <c r="X25" s="132">
        <f>IF(SER_hh_tes_in!X25=0,0,11630*1000*SER_hh_tes_in!X25/SER_hh_num_in!X25)</f>
        <v>12849.338115253982</v>
      </c>
      <c r="Y25" s="132">
        <f>IF(SER_hh_tes_in!Y25=0,0,11630*1000*SER_hh_tes_in!Y25/SER_hh_num_in!Y25)</f>
        <v>12298.181505130688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10595.318776781198</v>
      </c>
      <c r="D26" s="65">
        <f>IF(SER_hh_tes_in!D26=0,0,11630*1000*SER_hh_tes_in!D26/SER_hh_num_in!D26)</f>
        <v>12970.071239083429</v>
      </c>
      <c r="E26" s="65">
        <f>IF(SER_hh_tes_in!E26=0,0,11630*1000*SER_hh_tes_in!E26/SER_hh_num_in!E26)</f>
        <v>11248.492606991504</v>
      </c>
      <c r="F26" s="65">
        <f>IF(SER_hh_tes_in!F26=0,0,11630*1000*SER_hh_tes_in!F26/SER_hh_num_in!F26)</f>
        <v>10925.16659041715</v>
      </c>
      <c r="G26" s="65">
        <f>IF(SER_hh_tes_in!G26=0,0,11630*1000*SER_hh_tes_in!G26/SER_hh_num_in!G26)</f>
        <v>11910.304605866673</v>
      </c>
      <c r="H26" s="65">
        <f>IF(SER_hh_tes_in!H26=0,0,11630*1000*SER_hh_tes_in!H26/SER_hh_num_in!H26)</f>
        <v>11967.801120110664</v>
      </c>
      <c r="I26" s="65">
        <f>IF(SER_hh_tes_in!I26=0,0,11630*1000*SER_hh_tes_in!I26/SER_hh_num_in!I26)</f>
        <v>10528.114831886514</v>
      </c>
      <c r="J26" s="65">
        <f>IF(SER_hh_tes_in!J26=0,0,11630*1000*SER_hh_tes_in!J26/SER_hh_num_in!J26)</f>
        <v>12145.830456837462</v>
      </c>
      <c r="K26" s="65">
        <f>IF(SER_hh_tes_in!K26=0,0,11630*1000*SER_hh_tes_in!K26/SER_hh_num_in!K26)</f>
        <v>11438.190344001525</v>
      </c>
      <c r="L26" s="65">
        <f>IF(SER_hh_tes_in!L26=0,0,11630*1000*SER_hh_tes_in!L26/SER_hh_num_in!L26)</f>
        <v>10730.262951044242</v>
      </c>
      <c r="M26" s="65">
        <f>IF(SER_hh_tes_in!M26=0,0,11630*1000*SER_hh_tes_in!M26/SER_hh_num_in!M26)</f>
        <v>12025.469404891897</v>
      </c>
      <c r="N26" s="65">
        <f>IF(SER_hh_tes_in!N26=0,0,11630*1000*SER_hh_tes_in!N26/SER_hh_num_in!N26)</f>
        <v>11541.041208897703</v>
      </c>
      <c r="O26" s="65">
        <f>IF(SER_hh_tes_in!O26=0,0,11630*1000*SER_hh_tes_in!O26/SER_hh_num_in!O26)</f>
        <v>12103.257438490842</v>
      </c>
      <c r="P26" s="65">
        <f>IF(SER_hh_tes_in!P26=0,0,11630*1000*SER_hh_tes_in!P26/SER_hh_num_in!P26)</f>
        <v>12590.632938140148</v>
      </c>
      <c r="Q26" s="65">
        <f>IF(SER_hh_tes_in!Q26=0,0,11630*1000*SER_hh_tes_in!Q26/SER_hh_num_in!Q26)</f>
        <v>13194.416921817532</v>
      </c>
      <c r="R26" s="65">
        <f>IF(SER_hh_tes_in!R26=0,0,11630*1000*SER_hh_tes_in!R26/SER_hh_num_in!R26)</f>
        <v>13557.3618009818</v>
      </c>
      <c r="S26" s="65">
        <f>IF(SER_hh_tes_in!S26=0,0,11630*1000*SER_hh_tes_in!S26/SER_hh_num_in!S26)</f>
        <v>13431.503845089943</v>
      </c>
      <c r="T26" s="65">
        <f>IF(SER_hh_tes_in!T26=0,0,11630*1000*SER_hh_tes_in!T26/SER_hh_num_in!T26)</f>
        <v>11174.814305941962</v>
      </c>
      <c r="U26" s="65">
        <f>IF(SER_hh_tes_in!U26=0,0,11630*1000*SER_hh_tes_in!U26/SER_hh_num_in!U26)</f>
        <v>11689.463633547219</v>
      </c>
      <c r="V26" s="65">
        <f>IF(SER_hh_tes_in!V26=0,0,11630*1000*SER_hh_tes_in!V26/SER_hh_num_in!V26)</f>
        <v>11627.623067855508</v>
      </c>
      <c r="W26" s="65">
        <f>IF(SER_hh_tes_in!W26=0,0,11630*1000*SER_hh_tes_in!W26/SER_hh_num_in!W26)</f>
        <v>12722.945585548205</v>
      </c>
      <c r="X26" s="65">
        <f>IF(SER_hh_tes_in!X26=0,0,11630*1000*SER_hh_tes_in!X26/SER_hh_num_in!X26)</f>
        <v>11681.360003438316</v>
      </c>
      <c r="Y26" s="65">
        <f>IF(SER_hh_tes_in!Y26=0,0,11630*1000*SER_hh_tes_in!Y26/SER_hh_num_in!Y26)</f>
        <v>13311.802009682069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16324.574909711067</v>
      </c>
      <c r="D29" s="130">
        <f>IF(SER_hh_tes_in!D29=0,0,11630*1000*SER_hh_tes_in!D29/SER_hh_num_in!D29)</f>
        <v>17134.147992654289</v>
      </c>
      <c r="E29" s="130">
        <f>IF(SER_hh_tes_in!E29=0,0,11630*1000*SER_hh_tes_in!E29/SER_hh_num_in!E29)</f>
        <v>16610.268670883863</v>
      </c>
      <c r="F29" s="130">
        <f>IF(SER_hh_tes_in!F29=0,0,11630*1000*SER_hh_tes_in!F29/SER_hh_num_in!F29)</f>
        <v>14390.377697148011</v>
      </c>
      <c r="G29" s="130">
        <f>IF(SER_hh_tes_in!G29=0,0,11630*1000*SER_hh_tes_in!G29/SER_hh_num_in!G29)</f>
        <v>14612.579775146034</v>
      </c>
      <c r="H29" s="130">
        <f>IF(SER_hh_tes_in!H29=0,0,11630*1000*SER_hh_tes_in!H29/SER_hh_num_in!H29)</f>
        <v>14446.971281905693</v>
      </c>
      <c r="I29" s="130">
        <f>IF(SER_hh_tes_in!I29=0,0,11630*1000*SER_hh_tes_in!I29/SER_hh_num_in!I29)</f>
        <v>16839.506308037478</v>
      </c>
      <c r="J29" s="130">
        <f>IF(SER_hh_tes_in!J29=0,0,11630*1000*SER_hh_tes_in!J29/SER_hh_num_in!J29)</f>
        <v>13342.305358084359</v>
      </c>
      <c r="K29" s="130">
        <f>IF(SER_hh_tes_in!K29=0,0,11630*1000*SER_hh_tes_in!K29/SER_hh_num_in!K29)</f>
        <v>13565.456277518912</v>
      </c>
      <c r="L29" s="130">
        <f>IF(SER_hh_tes_in!L29=0,0,11630*1000*SER_hh_tes_in!L29/SER_hh_num_in!L29)</f>
        <v>13926.230798372377</v>
      </c>
      <c r="M29" s="130">
        <f>IF(SER_hh_tes_in!M29=0,0,11630*1000*SER_hh_tes_in!M29/SER_hh_num_in!M29)</f>
        <v>15415.18902653622</v>
      </c>
      <c r="N29" s="130">
        <f>IF(SER_hh_tes_in!N29=0,0,11630*1000*SER_hh_tes_in!N29/SER_hh_num_in!N29)</f>
        <v>13568.27839703857</v>
      </c>
      <c r="O29" s="130">
        <f>IF(SER_hh_tes_in!O29=0,0,11630*1000*SER_hh_tes_in!O29/SER_hh_num_in!O29)</f>
        <v>14520.971679323016</v>
      </c>
      <c r="P29" s="130">
        <f>IF(SER_hh_tes_in!P29=0,0,11630*1000*SER_hh_tes_in!P29/SER_hh_num_in!P29)</f>
        <v>15262.471524738077</v>
      </c>
      <c r="Q29" s="130">
        <f>IF(SER_hh_tes_in!Q29=0,0,11630*1000*SER_hh_tes_in!Q29/SER_hh_num_in!Q29)</f>
        <v>15628.063835396857</v>
      </c>
      <c r="R29" s="130">
        <f>IF(SER_hh_tes_in!R29=0,0,11630*1000*SER_hh_tes_in!R29/SER_hh_num_in!R29)</f>
        <v>15684.495169880289</v>
      </c>
      <c r="S29" s="130">
        <f>IF(SER_hh_tes_in!S29=0,0,11630*1000*SER_hh_tes_in!S29/SER_hh_num_in!S29)</f>
        <v>16163.81337383479</v>
      </c>
      <c r="T29" s="130">
        <f>IF(SER_hh_tes_in!T29=0,0,11630*1000*SER_hh_tes_in!T29/SER_hh_num_in!T29)</f>
        <v>17248.613765705257</v>
      </c>
      <c r="U29" s="130">
        <f>IF(SER_hh_tes_in!U29=0,0,11630*1000*SER_hh_tes_in!U29/SER_hh_num_in!U29)</f>
        <v>17920.154496017793</v>
      </c>
      <c r="V29" s="130">
        <f>IF(SER_hh_tes_in!V29=0,0,11630*1000*SER_hh_tes_in!V29/SER_hh_num_in!V29)</f>
        <v>16081.091750378877</v>
      </c>
      <c r="W29" s="130">
        <f>IF(SER_hh_tes_in!W29=0,0,11630*1000*SER_hh_tes_in!W29/SER_hh_num_in!W29)</f>
        <v>16910.957107909126</v>
      </c>
      <c r="X29" s="130">
        <f>IF(SER_hh_tes_in!X29=0,0,11630*1000*SER_hh_tes_in!X29/SER_hh_num_in!X29)</f>
        <v>16013.7693737141</v>
      </c>
      <c r="Y29" s="130">
        <f>IF(SER_hh_tes_in!Y29=0,0,11630*1000*SER_hh_tes_in!Y29/SER_hh_num_in!Y29)</f>
        <v>16825.890038663863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0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13351.84487267566</v>
      </c>
      <c r="H30" s="132">
        <f>IF(SER_hh_tes_in!H30=0,0,11630*1000*SER_hh_tes_in!H30/SER_hh_num_in!H30)</f>
        <v>9111.1639530976208</v>
      </c>
      <c r="I30" s="132">
        <f>IF(SER_hh_tes_in!I30=0,0,11630*1000*SER_hh_tes_in!I30/SER_hh_num_in!I30)</f>
        <v>19408.988510846142</v>
      </c>
      <c r="J30" s="132">
        <f>IF(SER_hh_tes_in!J30=0,0,11630*1000*SER_hh_tes_in!J30/SER_hh_num_in!J30)</f>
        <v>11832.827402536765</v>
      </c>
      <c r="K30" s="132">
        <f>IF(SER_hh_tes_in!K30=0,0,11630*1000*SER_hh_tes_in!K30/SER_hh_num_in!K30)</f>
        <v>13174.787353556438</v>
      </c>
      <c r="L30" s="132">
        <f>IF(SER_hh_tes_in!L30=0,0,11630*1000*SER_hh_tes_in!L30/SER_hh_num_in!L30)</f>
        <v>17953.989351469867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16811.648349664396</v>
      </c>
      <c r="O30" s="132">
        <f>IF(SER_hh_tes_in!O30=0,0,11630*1000*SER_hh_tes_in!O30/SER_hh_num_in!O30)</f>
        <v>0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16731.528433480838</v>
      </c>
      <c r="R30" s="132">
        <f>IF(SER_hh_tes_in!R30=0,0,11630*1000*SER_hh_tes_in!R30/SER_hh_num_in!R30)</f>
        <v>14396.728270962418</v>
      </c>
      <c r="S30" s="132">
        <f>IF(SER_hh_tes_in!S30=0,0,11630*1000*SER_hh_tes_in!S30/SER_hh_num_in!S30)</f>
        <v>15126.197949151019</v>
      </c>
      <c r="T30" s="132">
        <f>IF(SER_hh_tes_in!T30=0,0,11630*1000*SER_hh_tes_in!T30/SER_hh_num_in!T30)</f>
        <v>17077.254245558579</v>
      </c>
      <c r="U30" s="132">
        <f>IF(SER_hh_tes_in!U30=0,0,11630*1000*SER_hh_tes_in!U30/SER_hh_num_in!U30)</f>
        <v>20012.355281824963</v>
      </c>
      <c r="V30" s="132">
        <f>IF(SER_hh_tes_in!V30=0,0,11630*1000*SER_hh_tes_in!V30/SER_hh_num_in!V30)</f>
        <v>17286.746753043997</v>
      </c>
      <c r="W30" s="132">
        <f>IF(SER_hh_tes_in!W30=0,0,11630*1000*SER_hh_tes_in!W30/SER_hh_num_in!W30)</f>
        <v>0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20426.28628793134</v>
      </c>
      <c r="D31" s="132">
        <f>IF(SER_hh_tes_in!D31=0,0,11630*1000*SER_hh_tes_in!D31/SER_hh_num_in!D31)</f>
        <v>18626.80239580361</v>
      </c>
      <c r="E31" s="132">
        <f>IF(SER_hh_tes_in!E31=0,0,11630*1000*SER_hh_tes_in!E31/SER_hh_num_in!E31)</f>
        <v>15441.03661336778</v>
      </c>
      <c r="F31" s="132">
        <f>IF(SER_hh_tes_in!F31=0,0,11630*1000*SER_hh_tes_in!F31/SER_hh_num_in!F31)</f>
        <v>0</v>
      </c>
      <c r="G31" s="132">
        <f>IF(SER_hh_tes_in!G31=0,0,11630*1000*SER_hh_tes_in!G31/SER_hh_num_in!G31)</f>
        <v>0</v>
      </c>
      <c r="H31" s="132">
        <f>IF(SER_hh_tes_in!H31=0,0,11630*1000*SER_hh_tes_in!H31/SER_hh_num_in!H31)</f>
        <v>0</v>
      </c>
      <c r="I31" s="132">
        <f>IF(SER_hh_tes_in!I31=0,0,11630*1000*SER_hh_tes_in!I31/SER_hh_num_in!I31)</f>
        <v>0</v>
      </c>
      <c r="J31" s="132">
        <f>IF(SER_hh_tes_in!J31=0,0,11630*1000*SER_hh_tes_in!J31/SER_hh_num_in!J31)</f>
        <v>0</v>
      </c>
      <c r="K31" s="132">
        <f>IF(SER_hh_tes_in!K31=0,0,11630*1000*SER_hh_tes_in!K31/SER_hh_num_in!K31)</f>
        <v>16012.584890405444</v>
      </c>
      <c r="L31" s="132">
        <f>IF(SER_hh_tes_in!L31=0,0,11630*1000*SER_hh_tes_in!L31/SER_hh_num_in!L31)</f>
        <v>14482.879414272584</v>
      </c>
      <c r="M31" s="132">
        <f>IF(SER_hh_tes_in!M31=0,0,11630*1000*SER_hh_tes_in!M31/SER_hh_num_in!M31)</f>
        <v>13760.644282295381</v>
      </c>
      <c r="N31" s="132">
        <f>IF(SER_hh_tes_in!N31=0,0,11630*1000*SER_hh_tes_in!N31/SER_hh_num_in!N31)</f>
        <v>11484.7102871232</v>
      </c>
      <c r="O31" s="132">
        <f>IF(SER_hh_tes_in!O31=0,0,11630*1000*SER_hh_tes_in!O31/SER_hh_num_in!O31)</f>
        <v>13281.784618503194</v>
      </c>
      <c r="P31" s="132">
        <f>IF(SER_hh_tes_in!P31=0,0,11630*1000*SER_hh_tes_in!P31/SER_hh_num_in!P31)</f>
        <v>16191.319379347438</v>
      </c>
      <c r="Q31" s="132">
        <f>IF(SER_hh_tes_in!Q31=0,0,11630*1000*SER_hh_tes_in!Q31/SER_hh_num_in!Q31)</f>
        <v>16122.51616932684</v>
      </c>
      <c r="R31" s="132">
        <f>IF(SER_hh_tes_in!R31=0,0,11630*1000*SER_hh_tes_in!R31/SER_hh_num_in!R31)</f>
        <v>20845.246718413928</v>
      </c>
      <c r="S31" s="132">
        <f>IF(SER_hh_tes_in!S31=0,0,11630*1000*SER_hh_tes_in!S31/SER_hh_num_in!S31)</f>
        <v>0</v>
      </c>
      <c r="T31" s="132">
        <f>IF(SER_hh_tes_in!T31=0,0,11630*1000*SER_hh_tes_in!T31/SER_hh_num_in!T31)</f>
        <v>0</v>
      </c>
      <c r="U31" s="132">
        <f>IF(SER_hh_tes_in!U31=0,0,11630*1000*SER_hh_tes_in!U31/SER_hh_num_in!U31)</f>
        <v>0</v>
      </c>
      <c r="V31" s="132">
        <f>IF(SER_hh_tes_in!V31=0,0,11630*1000*SER_hh_tes_in!V31/SER_hh_num_in!V31)</f>
        <v>0</v>
      </c>
      <c r="W31" s="132">
        <f>IF(SER_hh_tes_in!W31=0,0,11630*1000*SER_hh_tes_in!W31/SER_hh_num_in!W31)</f>
        <v>0</v>
      </c>
      <c r="X31" s="132">
        <f>IF(SER_hh_tes_in!X31=0,0,11630*1000*SER_hh_tes_in!X31/SER_hh_num_in!X31)</f>
        <v>17214.713224226238</v>
      </c>
      <c r="Y31" s="132">
        <f>IF(SER_hh_tes_in!Y31=0,0,11630*1000*SER_hh_tes_in!Y31/SER_hh_num_in!Y31)</f>
        <v>16241.19657473032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12243.671548842372</v>
      </c>
      <c r="D33" s="68">
        <f>IF(SER_hh_tes_in!D33=0,0,11630*1000*SER_hh_tes_in!D33/SER_hh_num_in!D33)</f>
        <v>16901.83198711681</v>
      </c>
      <c r="E33" s="68">
        <f>IF(SER_hh_tes_in!E33=0,0,11630*1000*SER_hh_tes_in!E33/SER_hh_num_in!E33)</f>
        <v>16704.795908219705</v>
      </c>
      <c r="F33" s="68">
        <f>IF(SER_hh_tes_in!F33=0,0,11630*1000*SER_hh_tes_in!F33/SER_hh_num_in!F33)</f>
        <v>14390.377697148011</v>
      </c>
      <c r="G33" s="68">
        <f>IF(SER_hh_tes_in!G33=0,0,11630*1000*SER_hh_tes_in!G33/SER_hh_num_in!G33)</f>
        <v>14837.379634673342</v>
      </c>
      <c r="H33" s="68">
        <f>IF(SER_hh_tes_in!H33=0,0,11630*1000*SER_hh_tes_in!H33/SER_hh_num_in!H33)</f>
        <v>15933.583594992509</v>
      </c>
      <c r="I33" s="68">
        <f>IF(SER_hh_tes_in!I33=0,0,11630*1000*SER_hh_tes_in!I33/SER_hh_num_in!I33)</f>
        <v>12028.46179825822</v>
      </c>
      <c r="J33" s="68">
        <f>IF(SER_hh_tes_in!J33=0,0,11630*1000*SER_hh_tes_in!J33/SER_hh_num_in!J33)</f>
        <v>14442.385503069456</v>
      </c>
      <c r="K33" s="68">
        <f>IF(SER_hh_tes_in!K33=0,0,11630*1000*SER_hh_tes_in!K33/SER_hh_num_in!K33)</f>
        <v>13633.3304475773</v>
      </c>
      <c r="L33" s="68">
        <f>IF(SER_hh_tes_in!L33=0,0,11630*1000*SER_hh_tes_in!L33/SER_hh_num_in!L33)</f>
        <v>12217.085783871711</v>
      </c>
      <c r="M33" s="68">
        <f>IF(SER_hh_tes_in!M33=0,0,11630*1000*SER_hh_tes_in!M33/SER_hh_num_in!M33)</f>
        <v>15534.310494637344</v>
      </c>
      <c r="N33" s="68">
        <f>IF(SER_hh_tes_in!N33=0,0,11630*1000*SER_hh_tes_in!N33/SER_hh_num_in!N33)</f>
        <v>14080.383847656018</v>
      </c>
      <c r="O33" s="68">
        <f>IF(SER_hh_tes_in!O33=0,0,11630*1000*SER_hh_tes_in!O33/SER_hh_num_in!O33)</f>
        <v>15002.374675815752</v>
      </c>
      <c r="P33" s="68">
        <f>IF(SER_hh_tes_in!P33=0,0,11630*1000*SER_hh_tes_in!P33/SER_hh_num_in!P33)</f>
        <v>14854.789754156807</v>
      </c>
      <c r="Q33" s="68">
        <f>IF(SER_hh_tes_in!Q33=0,0,11630*1000*SER_hh_tes_in!Q33/SER_hh_num_in!Q33)</f>
        <v>15467.707026269854</v>
      </c>
      <c r="R33" s="68">
        <f>IF(SER_hh_tes_in!R33=0,0,11630*1000*SER_hh_tes_in!R33/SER_hh_num_in!R33)</f>
        <v>15887.618542807642</v>
      </c>
      <c r="S33" s="68">
        <f>IF(SER_hh_tes_in!S33=0,0,11630*1000*SER_hh_tes_in!S33/SER_hh_num_in!S33)</f>
        <v>16833.967553803002</v>
      </c>
      <c r="T33" s="68">
        <f>IF(SER_hh_tes_in!T33=0,0,11630*1000*SER_hh_tes_in!T33/SER_hh_num_in!T33)</f>
        <v>17393.16838202779</v>
      </c>
      <c r="U33" s="68">
        <f>IF(SER_hh_tes_in!U33=0,0,11630*1000*SER_hh_tes_in!U33/SER_hh_num_in!U33)</f>
        <v>16178.573187164115</v>
      </c>
      <c r="V33" s="68">
        <f>IF(SER_hh_tes_in!V33=0,0,11630*1000*SER_hh_tes_in!V33/SER_hh_num_in!V33)</f>
        <v>15763.801989605428</v>
      </c>
      <c r="W33" s="68">
        <f>IF(SER_hh_tes_in!W33=0,0,11630*1000*SER_hh_tes_in!W33/SER_hh_num_in!W33)</f>
        <v>16910.957107909126</v>
      </c>
      <c r="X33" s="68">
        <f>IF(SER_hh_tes_in!X33=0,0,11630*1000*SER_hh_tes_in!X33/SER_hh_num_in!X33)</f>
        <v>15967.019768508228</v>
      </c>
      <c r="Y33" s="68">
        <f>IF(SER_hh_tes_in!Y33=0,0,11630*1000*SER_hh_tes_in!Y33/SER_hh_num_in!Y33)</f>
        <v>16872.942814422131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73970.677623745607</v>
      </c>
      <c r="D3" s="125">
        <f>IF(SER_hh_emi_in!D3=0,0,1000000*SER_hh_emi_in!D3/SER_hh_num_in!D3)</f>
        <v>51876.122883302975</v>
      </c>
      <c r="E3" s="125">
        <f>IF(SER_hh_emi_in!E3=0,0,1000000*SER_hh_emi_in!E3/SER_hh_num_in!E3)</f>
        <v>44251.57619984341</v>
      </c>
      <c r="F3" s="125">
        <f>IF(SER_hh_emi_in!F3=0,0,1000000*SER_hh_emi_in!F3/SER_hh_num_in!F3)</f>
        <v>32847.627044436405</v>
      </c>
      <c r="G3" s="125">
        <f>IF(SER_hh_emi_in!G3=0,0,1000000*SER_hh_emi_in!G3/SER_hh_num_in!G3)</f>
        <v>28514.083626545595</v>
      </c>
      <c r="H3" s="125">
        <f>IF(SER_hh_emi_in!H3=0,0,1000000*SER_hh_emi_in!H3/SER_hh_num_in!H3)</f>
        <v>16241.055366471062</v>
      </c>
      <c r="I3" s="125">
        <f>IF(SER_hh_emi_in!I3=0,0,1000000*SER_hh_emi_in!I3/SER_hh_num_in!I3)</f>
        <v>14393.358603743516</v>
      </c>
      <c r="J3" s="125">
        <f>IF(SER_hh_emi_in!J3=0,0,1000000*SER_hh_emi_in!J3/SER_hh_num_in!J3)</f>
        <v>22106.794290804461</v>
      </c>
      <c r="K3" s="125">
        <f>IF(SER_hh_emi_in!K3=0,0,1000000*SER_hh_emi_in!K3/SER_hh_num_in!K3)</f>
        <v>15154.744725055887</v>
      </c>
      <c r="L3" s="125">
        <f>IF(SER_hh_emi_in!L3=0,0,1000000*SER_hh_emi_in!L3/SER_hh_num_in!L3)</f>
        <v>5670.0728643482462</v>
      </c>
      <c r="M3" s="125">
        <f>IF(SER_hh_emi_in!M3=0,0,1000000*SER_hh_emi_in!M3/SER_hh_num_in!M3)</f>
        <v>6527.9051882101467</v>
      </c>
      <c r="N3" s="125">
        <f>IF(SER_hh_emi_in!N3=0,0,1000000*SER_hh_emi_in!N3/SER_hh_num_in!N3)</f>
        <v>1701.7597085401244</v>
      </c>
      <c r="O3" s="125">
        <f>IF(SER_hh_emi_in!O3=0,0,1000000*SER_hh_emi_in!O3/SER_hh_num_in!O3)</f>
        <v>7232.1632111159397</v>
      </c>
      <c r="P3" s="125">
        <f>IF(SER_hh_emi_in!P3=0,0,1000000*SER_hh_emi_in!P3/SER_hh_num_in!P3)</f>
        <v>8020.7014966522402</v>
      </c>
      <c r="Q3" s="125">
        <f>IF(SER_hh_emi_in!Q3=0,0,1000000*SER_hh_emi_in!Q3/SER_hh_num_in!Q3)</f>
        <v>10137.026318767179</v>
      </c>
      <c r="R3" s="125">
        <f>IF(SER_hh_emi_in!R3=0,0,1000000*SER_hh_emi_in!R3/SER_hh_num_in!R3)</f>
        <v>10286.862456322491</v>
      </c>
      <c r="S3" s="125">
        <f>IF(SER_hh_emi_in!S3=0,0,1000000*SER_hh_emi_in!S3/SER_hh_num_in!S3)</f>
        <v>5936.3555315462636</v>
      </c>
      <c r="T3" s="125">
        <f>IF(SER_hh_emi_in!T3=0,0,1000000*SER_hh_emi_in!T3/SER_hh_num_in!T3)</f>
        <v>10298.610442332934</v>
      </c>
      <c r="U3" s="125">
        <f>IF(SER_hh_emi_in!U3=0,0,1000000*SER_hh_emi_in!U3/SER_hh_num_in!U3)</f>
        <v>9619.5305784791926</v>
      </c>
      <c r="V3" s="125">
        <f>IF(SER_hh_emi_in!V3=0,0,1000000*SER_hh_emi_in!V3/SER_hh_num_in!V3)</f>
        <v>6909.0253368300009</v>
      </c>
      <c r="W3" s="125">
        <f>IF(SER_hh_emi_in!W3=0,0,1000000*SER_hh_emi_in!W3/SER_hh_num_in!W3)</f>
        <v>5310.9878000838307</v>
      </c>
      <c r="X3" s="125">
        <f>IF(SER_hh_emi_in!X3=0,0,1000000*SER_hh_emi_in!X3/SER_hh_num_in!X3)</f>
        <v>5647.2789822108125</v>
      </c>
      <c r="Y3" s="125">
        <f>IF(SER_hh_emi_in!Y3=0,0,1000000*SER_hh_emi_in!Y3/SER_hh_num_in!Y3)</f>
        <v>7104.9868736774579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66934.597018690678</v>
      </c>
      <c r="D4" s="130">
        <f>IF(SER_hh_emi_in!D4=0,0,1000000*SER_hh_emi_in!D4/SER_hh_num_in!D4)</f>
        <v>46820.435603265418</v>
      </c>
      <c r="E4" s="130">
        <f>IF(SER_hh_emi_in!E4=0,0,1000000*SER_hh_emi_in!E4/SER_hh_num_in!E4)</f>
        <v>39445.545094702924</v>
      </c>
      <c r="F4" s="130">
        <f>IF(SER_hh_emi_in!F4=0,0,1000000*SER_hh_emi_in!F4/SER_hh_num_in!F4)</f>
        <v>28864.326075865265</v>
      </c>
      <c r="G4" s="130">
        <f>IF(SER_hh_emi_in!G4=0,0,1000000*SER_hh_emi_in!G4/SER_hh_num_in!G4)</f>
        <v>24320.00136983869</v>
      </c>
      <c r="H4" s="130">
        <f>IF(SER_hh_emi_in!H4=0,0,1000000*SER_hh_emi_in!H4/SER_hh_num_in!H4)</f>
        <v>12142.334811606308</v>
      </c>
      <c r="I4" s="130">
        <f>IF(SER_hh_emi_in!I4=0,0,1000000*SER_hh_emi_in!I4/SER_hh_num_in!I4)</f>
        <v>6258.3226543445435</v>
      </c>
      <c r="J4" s="130">
        <f>IF(SER_hh_emi_in!J4=0,0,1000000*SER_hh_emi_in!J4/SER_hh_num_in!J4)</f>
        <v>18146.939559317419</v>
      </c>
      <c r="K4" s="130">
        <f>IF(SER_hh_emi_in!K4=0,0,1000000*SER_hh_emi_in!K4/SER_hh_num_in!K4)</f>
        <v>11559.612938131348</v>
      </c>
      <c r="L4" s="130">
        <f>IF(SER_hh_emi_in!L4=0,0,1000000*SER_hh_emi_in!L4/SER_hh_num_in!L4)</f>
        <v>2589.8071843933108</v>
      </c>
      <c r="M4" s="130">
        <f>IF(SER_hh_emi_in!M4=0,0,1000000*SER_hh_emi_in!M4/SER_hh_num_in!M4)</f>
        <v>5649.8357887867814</v>
      </c>
      <c r="N4" s="130">
        <f>IF(SER_hh_emi_in!N4=0,0,1000000*SER_hh_emi_in!N4/SER_hh_num_in!N4)</f>
        <v>246.17308805906086</v>
      </c>
      <c r="O4" s="130">
        <f>IF(SER_hh_emi_in!O4=0,0,1000000*SER_hh_emi_in!O4/SER_hh_num_in!O4)</f>
        <v>5520.1110627259159</v>
      </c>
      <c r="P4" s="130">
        <f>IF(SER_hh_emi_in!P4=0,0,1000000*SER_hh_emi_in!P4/SER_hh_num_in!P4)</f>
        <v>6391.2428778886569</v>
      </c>
      <c r="Q4" s="130">
        <f>IF(SER_hh_emi_in!Q4=0,0,1000000*SER_hh_emi_in!Q4/SER_hh_num_in!Q4)</f>
        <v>8564.2177394064984</v>
      </c>
      <c r="R4" s="130">
        <f>IF(SER_hh_emi_in!R4=0,0,1000000*SER_hh_emi_in!R4/SER_hh_num_in!R4)</f>
        <v>7483.9458020861548</v>
      </c>
      <c r="S4" s="130">
        <f>IF(SER_hh_emi_in!S4=0,0,1000000*SER_hh_emi_in!S4/SER_hh_num_in!S4)</f>
        <v>2431.4358270929092</v>
      </c>
      <c r="T4" s="130">
        <f>IF(SER_hh_emi_in!T4=0,0,1000000*SER_hh_emi_in!T4/SER_hh_num_in!T4)</f>
        <v>4967.6812360943759</v>
      </c>
      <c r="U4" s="130">
        <f>IF(SER_hh_emi_in!U4=0,0,1000000*SER_hh_emi_in!U4/SER_hh_num_in!U4)</f>
        <v>4376.4315929996237</v>
      </c>
      <c r="V4" s="130">
        <f>IF(SER_hh_emi_in!V4=0,0,1000000*SER_hh_emi_in!V4/SER_hh_num_in!V4)</f>
        <v>3558.5771733442111</v>
      </c>
      <c r="W4" s="130">
        <f>IF(SER_hh_emi_in!W4=0,0,1000000*SER_hh_emi_in!W4/SER_hh_num_in!W4)</f>
        <v>4010.581762224157</v>
      </c>
      <c r="X4" s="130">
        <f>IF(SER_hh_emi_in!X4=0,0,1000000*SER_hh_emi_in!X4/SER_hh_num_in!X4)</f>
        <v>4545.1528834842429</v>
      </c>
      <c r="Y4" s="130">
        <f>IF(SER_hh_emi_in!Y4=0,0,1000000*SER_hh_emi_in!Y4/SER_hh_num_in!Y4)</f>
        <v>5977.4078313302189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97826.214880028318</v>
      </c>
      <c r="D7" s="132">
        <f>IF(SER_hh_emi_in!D7=0,0,1000000*SER_hh_emi_in!D7/SER_hh_num_in!D7)</f>
        <v>76390.506597457803</v>
      </c>
      <c r="E7" s="132">
        <f>IF(SER_hh_emi_in!E7=0,0,1000000*SER_hh_emi_in!E7/SER_hh_num_in!E7)</f>
        <v>51743.666540559614</v>
      </c>
      <c r="F7" s="132">
        <f>IF(SER_hh_emi_in!F7=0,0,1000000*SER_hh_emi_in!F7/SER_hh_num_in!F7)</f>
        <v>48044.963905407538</v>
      </c>
      <c r="G7" s="132">
        <f>IF(SER_hh_emi_in!G7=0,0,1000000*SER_hh_emi_in!G7/SER_hh_num_in!G7)</f>
        <v>42264.612632287666</v>
      </c>
      <c r="H7" s="132">
        <f>IF(SER_hh_emi_in!H7=0,0,1000000*SER_hh_emi_in!H7/SER_hh_num_in!H7)</f>
        <v>33190.527046149757</v>
      </c>
      <c r="I7" s="132">
        <f>IF(SER_hh_emi_in!I7=0,0,1000000*SER_hh_emi_in!I7/SER_hh_num_in!I7)</f>
        <v>19236.525863403189</v>
      </c>
      <c r="J7" s="132">
        <f>IF(SER_hh_emi_in!J7=0,0,1000000*SER_hh_emi_in!J7/SER_hh_num_in!J7)</f>
        <v>33781.895488096212</v>
      </c>
      <c r="K7" s="132">
        <f>IF(SER_hh_emi_in!K7=0,0,1000000*SER_hh_emi_in!K7/SER_hh_num_in!K7)</f>
        <v>30983.830341072819</v>
      </c>
      <c r="L7" s="132">
        <f>IF(SER_hh_emi_in!L7=0,0,1000000*SER_hh_emi_in!L7/SER_hh_num_in!L7)</f>
        <v>0</v>
      </c>
      <c r="M7" s="132">
        <f>IF(SER_hh_emi_in!M7=0,0,1000000*SER_hh_emi_in!M7/SER_hh_num_in!M7)</f>
        <v>0</v>
      </c>
      <c r="N7" s="132">
        <f>IF(SER_hh_emi_in!N7=0,0,1000000*SER_hh_emi_in!N7/SER_hh_num_in!N7)</f>
        <v>0</v>
      </c>
      <c r="O7" s="132">
        <f>IF(SER_hh_emi_in!O7=0,0,1000000*SER_hh_emi_in!O7/SER_hh_num_in!O7)</f>
        <v>0</v>
      </c>
      <c r="P7" s="132">
        <f>IF(SER_hh_emi_in!P7=0,0,1000000*SER_hh_emi_in!P7/SER_hh_num_in!P7)</f>
        <v>0</v>
      </c>
      <c r="Q7" s="132">
        <f>IF(SER_hh_emi_in!Q7=0,0,1000000*SER_hh_emi_in!Q7/SER_hh_num_in!Q7)</f>
        <v>0</v>
      </c>
      <c r="R7" s="132">
        <f>IF(SER_hh_emi_in!R7=0,0,1000000*SER_hh_emi_in!R7/SER_hh_num_in!R7)</f>
        <v>19451.12654395312</v>
      </c>
      <c r="S7" s="132">
        <f>IF(SER_hh_emi_in!S7=0,0,1000000*SER_hh_emi_in!S7/SER_hh_num_in!S7)</f>
        <v>15189.903280683826</v>
      </c>
      <c r="T7" s="132">
        <f>IF(SER_hh_emi_in!T7=0,0,1000000*SER_hh_emi_in!T7/SER_hh_num_in!T7)</f>
        <v>16300.92091731951</v>
      </c>
      <c r="U7" s="132">
        <f>IF(SER_hh_emi_in!U7=0,0,1000000*SER_hh_emi_in!U7/SER_hh_num_in!U7)</f>
        <v>13543.561393835658</v>
      </c>
      <c r="V7" s="132">
        <f>IF(SER_hh_emi_in!V7=0,0,1000000*SER_hh_emi_in!V7/SER_hh_num_in!V7)</f>
        <v>15230.459420766552</v>
      </c>
      <c r="W7" s="132">
        <f>IF(SER_hh_emi_in!W7=0,0,1000000*SER_hh_emi_in!W7/SER_hh_num_in!W7)</f>
        <v>9286.8310146272252</v>
      </c>
      <c r="X7" s="132">
        <f>IF(SER_hh_emi_in!X7=0,0,1000000*SER_hh_emi_in!X7/SER_hh_num_in!X7)</f>
        <v>9082.3714654929336</v>
      </c>
      <c r="Y7" s="132">
        <f>IF(SER_hh_emi_in!Y7=0,0,1000000*SER_hh_emi_in!Y7/SER_hh_num_in!Y7)</f>
        <v>12932.568037215515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72010.522766168782</v>
      </c>
      <c r="D9" s="132">
        <f>IF(SER_hh_emi_in!D9=0,0,1000000*SER_hh_emi_in!D9/SER_hh_num_in!D9)</f>
        <v>69708.084370971177</v>
      </c>
      <c r="E9" s="132">
        <f>IF(SER_hh_emi_in!E9=0,0,1000000*SER_hh_emi_in!E9/SER_hh_num_in!E9)</f>
        <v>32527.944783470273</v>
      </c>
      <c r="F9" s="132">
        <f>IF(SER_hh_emi_in!F9=0,0,1000000*SER_hh_emi_in!F9/SER_hh_num_in!F9)</f>
        <v>0</v>
      </c>
      <c r="G9" s="132">
        <f>IF(SER_hh_emi_in!G9=0,0,1000000*SER_hh_emi_in!G9/SER_hh_num_in!G9)</f>
        <v>0</v>
      </c>
      <c r="H9" s="132">
        <f>IF(SER_hh_emi_in!H9=0,0,1000000*SER_hh_emi_in!H9/SER_hh_num_in!H9)</f>
        <v>0</v>
      </c>
      <c r="I9" s="132">
        <f>IF(SER_hh_emi_in!I9=0,0,1000000*SER_hh_emi_in!I9/SER_hh_num_in!I9)</f>
        <v>0</v>
      </c>
      <c r="J9" s="132">
        <f>IF(SER_hh_emi_in!J9=0,0,1000000*SER_hh_emi_in!J9/SER_hh_num_in!J9)</f>
        <v>0</v>
      </c>
      <c r="K9" s="132">
        <f>IF(SER_hh_emi_in!K9=0,0,1000000*SER_hh_emi_in!K9/SER_hh_num_in!K9)</f>
        <v>18110.01168436903</v>
      </c>
      <c r="L9" s="132">
        <f>IF(SER_hh_emi_in!L9=0,0,1000000*SER_hh_emi_in!L9/SER_hh_num_in!L9)</f>
        <v>21420.869704711615</v>
      </c>
      <c r="M9" s="132">
        <f>IF(SER_hh_emi_in!M9=0,0,1000000*SER_hh_emi_in!M9/SER_hh_num_in!M9)</f>
        <v>30508.832072195382</v>
      </c>
      <c r="N9" s="132">
        <f>IF(SER_hh_emi_in!N9=0,0,1000000*SER_hh_emi_in!N9/SER_hh_num_in!N9)</f>
        <v>7379.3524433448865</v>
      </c>
      <c r="O9" s="132">
        <f>IF(SER_hh_emi_in!O9=0,0,1000000*SER_hh_emi_in!O9/SER_hh_num_in!O9)</f>
        <v>15196.494332023689</v>
      </c>
      <c r="P9" s="132">
        <f>IF(SER_hh_emi_in!P9=0,0,1000000*SER_hh_emi_in!P9/SER_hh_num_in!P9)</f>
        <v>11968.941351136722</v>
      </c>
      <c r="Q9" s="132">
        <f>IF(SER_hh_emi_in!Q9=0,0,1000000*SER_hh_emi_in!Q9/SER_hh_num_in!Q9)</f>
        <v>13589.001968128206</v>
      </c>
      <c r="R9" s="132">
        <f>IF(SER_hh_emi_in!R9=0,0,1000000*SER_hh_emi_in!R9/SER_hh_num_in!R9)</f>
        <v>16159.750472279424</v>
      </c>
      <c r="S9" s="132">
        <f>IF(SER_hh_emi_in!S9=0,0,1000000*SER_hh_emi_in!S9/SER_hh_num_in!S9)</f>
        <v>0</v>
      </c>
      <c r="T9" s="132">
        <f>IF(SER_hh_emi_in!T9=0,0,1000000*SER_hh_emi_in!T9/SER_hh_num_in!T9)</f>
        <v>0</v>
      </c>
      <c r="U9" s="132">
        <f>IF(SER_hh_emi_in!U9=0,0,1000000*SER_hh_emi_in!U9/SER_hh_num_in!U9)</f>
        <v>0</v>
      </c>
      <c r="V9" s="132">
        <f>IF(SER_hh_emi_in!V9=0,0,1000000*SER_hh_emi_in!V9/SER_hh_num_in!V9)</f>
        <v>0</v>
      </c>
      <c r="W9" s="132">
        <f>IF(SER_hh_emi_in!W9=0,0,1000000*SER_hh_emi_in!W9/SER_hh_num_in!W9)</f>
        <v>5042.9681289930859</v>
      </c>
      <c r="X9" s="132">
        <f>IF(SER_hh_emi_in!X9=0,0,1000000*SER_hh_emi_in!X9/SER_hh_num_in!X9)</f>
        <v>8739.7980776334844</v>
      </c>
      <c r="Y9" s="132">
        <f>IF(SER_hh_emi_in!Y9=0,0,1000000*SER_hh_emi_in!Y9/SER_hh_num_in!Y9)</f>
        <v>7748.8679696650797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3702.6386472789914</v>
      </c>
      <c r="D19" s="130">
        <f>IF(SER_hh_emi_in!D19=0,0,1000000*SER_hh_emi_in!D19/SER_hh_num_in!D19)</f>
        <v>4234.2618660771905</v>
      </c>
      <c r="E19" s="130">
        <f>IF(SER_hh_emi_in!E19=0,0,1000000*SER_hh_emi_in!E19/SER_hh_num_in!E19)</f>
        <v>4431.8468094457476</v>
      </c>
      <c r="F19" s="130">
        <f>IF(SER_hh_emi_in!F19=0,0,1000000*SER_hh_emi_in!F19/SER_hh_num_in!F19)</f>
        <v>3983.3009685711359</v>
      </c>
      <c r="G19" s="130">
        <f>IF(SER_hh_emi_in!G19=0,0,1000000*SER_hh_emi_in!G19/SER_hh_num_in!G19)</f>
        <v>3431.8320303353739</v>
      </c>
      <c r="H19" s="130">
        <f>IF(SER_hh_emi_in!H19=0,0,1000000*SER_hh_emi_in!H19/SER_hh_num_in!H19)</f>
        <v>3350.2446534395813</v>
      </c>
      <c r="I19" s="130">
        <f>IF(SER_hh_emi_in!I19=0,0,1000000*SER_hh_emi_in!I19/SER_hh_num_in!I19)</f>
        <v>3368.5166172780341</v>
      </c>
      <c r="J19" s="130">
        <f>IF(SER_hh_emi_in!J19=0,0,1000000*SER_hh_emi_in!J19/SER_hh_num_in!J19)</f>
        <v>2081.8605053351462</v>
      </c>
      <c r="K19" s="130">
        <f>IF(SER_hh_emi_in!K19=0,0,1000000*SER_hh_emi_in!K19/SER_hh_num_in!K19)</f>
        <v>1146.613906838259</v>
      </c>
      <c r="L19" s="130">
        <f>IF(SER_hh_emi_in!L19=0,0,1000000*SER_hh_emi_in!L19/SER_hh_num_in!L19)</f>
        <v>924.36363362079555</v>
      </c>
      <c r="M19" s="130">
        <f>IF(SER_hh_emi_in!M19=0,0,1000000*SER_hh_emi_in!M19/SER_hh_num_in!M19)</f>
        <v>589.11630750972961</v>
      </c>
      <c r="N19" s="130">
        <f>IF(SER_hh_emi_in!N19=0,0,1000000*SER_hh_emi_in!N19/SER_hh_num_in!N19)</f>
        <v>783.36533602299221</v>
      </c>
      <c r="O19" s="130">
        <f>IF(SER_hh_emi_in!O19=0,0,1000000*SER_hh_emi_in!O19/SER_hh_num_in!O19)</f>
        <v>559.95775321878227</v>
      </c>
      <c r="P19" s="130">
        <f>IF(SER_hh_emi_in!P19=0,0,1000000*SER_hh_emi_in!P19/SER_hh_num_in!P19)</f>
        <v>76.612053715062331</v>
      </c>
      <c r="Q19" s="130">
        <f>IF(SER_hh_emi_in!Q19=0,0,1000000*SER_hh_emi_in!Q19/SER_hh_num_in!Q19)</f>
        <v>351.96375450135912</v>
      </c>
      <c r="R19" s="130">
        <f>IF(SER_hh_emi_in!R19=0,0,1000000*SER_hh_emi_in!R19/SER_hh_num_in!R19)</f>
        <v>1786.514923169656</v>
      </c>
      <c r="S19" s="130">
        <f>IF(SER_hh_emi_in!S19=0,0,1000000*SER_hh_emi_in!S19/SER_hh_num_in!S19)</f>
        <v>1308.3025727353354</v>
      </c>
      <c r="T19" s="130">
        <f>IF(SER_hh_emi_in!T19=0,0,1000000*SER_hh_emi_in!T19/SER_hh_num_in!T19)</f>
        <v>2461.8602900718415</v>
      </c>
      <c r="U19" s="130">
        <f>IF(SER_hh_emi_in!U19=0,0,1000000*SER_hh_emi_in!U19/SER_hh_num_in!U19)</f>
        <v>1928.8885478087443</v>
      </c>
      <c r="V19" s="130">
        <f>IF(SER_hh_emi_in!V19=0,0,1000000*SER_hh_emi_in!V19/SER_hh_num_in!V19)</f>
        <v>2044.0718126981878</v>
      </c>
      <c r="W19" s="130">
        <f>IF(SER_hh_emi_in!W19=0,0,1000000*SER_hh_emi_in!W19/SER_hh_num_in!W19)</f>
        <v>1300.4060378596728</v>
      </c>
      <c r="X19" s="130">
        <f>IF(SER_hh_emi_in!X19=0,0,1000000*SER_hh_emi_in!X19/SER_hh_num_in!X19)</f>
        <v>909.86829085052557</v>
      </c>
      <c r="Y19" s="130">
        <f>IF(SER_hh_emi_in!Y19=0,0,1000000*SER_hh_emi_in!Y19/SER_hh_num_in!Y19)</f>
        <v>764.18776176776964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4597.3305930088691</v>
      </c>
      <c r="D21" s="132">
        <f>IF(SER_hh_emi_in!D21=0,0,1000000*SER_hh_emi_in!D21/SER_hh_num_in!D21)</f>
        <v>4900.9399397941788</v>
      </c>
      <c r="E21" s="132">
        <f>IF(SER_hh_emi_in!E21=0,0,1000000*SER_hh_emi_in!E21/SER_hh_num_in!E21)</f>
        <v>4743.1477329499057</v>
      </c>
      <c r="F21" s="132">
        <f>IF(SER_hh_emi_in!F21=0,0,1000000*SER_hh_emi_in!F21/SER_hh_num_in!F21)</f>
        <v>4601.9175917999746</v>
      </c>
      <c r="G21" s="132">
        <f>IF(SER_hh_emi_in!G21=0,0,1000000*SER_hh_emi_in!G21/SER_hh_num_in!G21)</f>
        <v>4503.6953477865263</v>
      </c>
      <c r="H21" s="132">
        <f>IF(SER_hh_emi_in!H21=0,0,1000000*SER_hh_emi_in!H21/SER_hh_num_in!H21)</f>
        <v>4407.6238623835825</v>
      </c>
      <c r="I21" s="132">
        <f>IF(SER_hh_emi_in!I21=0,0,1000000*SER_hh_emi_in!I21/SER_hh_num_in!I21)</f>
        <v>4371.1193299497954</v>
      </c>
      <c r="J21" s="132">
        <f>IF(SER_hh_emi_in!J21=0,0,1000000*SER_hh_emi_in!J21/SER_hh_num_in!J21)</f>
        <v>4213.646335737395</v>
      </c>
      <c r="K21" s="132">
        <f>IF(SER_hh_emi_in!K21=0,0,1000000*SER_hh_emi_in!K21/SER_hh_num_in!K21)</f>
        <v>4231.3135547842467</v>
      </c>
      <c r="L21" s="132">
        <f>IF(SER_hh_emi_in!L21=0,0,1000000*SER_hh_emi_in!L21/SER_hh_num_in!L21)</f>
        <v>4366.1755932685546</v>
      </c>
      <c r="M21" s="132">
        <f>IF(SER_hh_emi_in!M21=0,0,1000000*SER_hh_emi_in!M21/SER_hh_num_in!M21)</f>
        <v>4068.3024571905366</v>
      </c>
      <c r="N21" s="132">
        <f>IF(SER_hh_emi_in!N21=0,0,1000000*SER_hh_emi_in!N21/SER_hh_num_in!N21)</f>
        <v>4192.3280090991675</v>
      </c>
      <c r="O21" s="132">
        <f>IF(SER_hh_emi_in!O21=0,0,1000000*SER_hh_emi_in!O21/SER_hh_num_in!O21)</f>
        <v>4041.1622827161159</v>
      </c>
      <c r="P21" s="132">
        <f>IF(SER_hh_emi_in!P21=0,0,1000000*SER_hh_emi_in!P21/SER_hh_num_in!P21)</f>
        <v>0</v>
      </c>
      <c r="Q21" s="132">
        <f>IF(SER_hh_emi_in!Q21=0,0,1000000*SER_hh_emi_in!Q21/SER_hh_num_in!Q21)</f>
        <v>3766.5220460967994</v>
      </c>
      <c r="R21" s="132">
        <f>IF(SER_hh_emi_in!R21=0,0,1000000*SER_hh_emi_in!R21/SER_hh_num_in!R21)</f>
        <v>2865.9317581777777</v>
      </c>
      <c r="S21" s="132">
        <f>IF(SER_hh_emi_in!S21=0,0,1000000*SER_hh_emi_in!S21/SER_hh_num_in!S21)</f>
        <v>3193.4752718051368</v>
      </c>
      <c r="T21" s="132">
        <f>IF(SER_hh_emi_in!T21=0,0,1000000*SER_hh_emi_in!T21/SER_hh_num_in!T21)</f>
        <v>4213.1689595639482</v>
      </c>
      <c r="U21" s="132">
        <f>IF(SER_hh_emi_in!U21=0,0,1000000*SER_hh_emi_in!U21/SER_hh_num_in!U21)</f>
        <v>4849.9199021483291</v>
      </c>
      <c r="V21" s="132">
        <f>IF(SER_hh_emi_in!V21=0,0,1000000*SER_hh_emi_in!V21/SER_hh_num_in!V21)</f>
        <v>3822.5363189950963</v>
      </c>
      <c r="W21" s="132">
        <f>IF(SER_hh_emi_in!W21=0,0,1000000*SER_hh_emi_in!W21/SER_hh_num_in!W21)</f>
        <v>2861.1875745626621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6345.0739534088025</v>
      </c>
      <c r="D22" s="132">
        <f>IF(SER_hh_emi_in!D22=0,0,1000000*SER_hh_emi_in!D22/SER_hh_num_in!D22)</f>
        <v>5622.7060180472099</v>
      </c>
      <c r="E22" s="132">
        <f>IF(SER_hh_emi_in!E22=0,0,1000000*SER_hh_emi_in!E22/SER_hh_num_in!E22)</f>
        <v>6032.4619465249152</v>
      </c>
      <c r="F22" s="132">
        <f>IF(SER_hh_emi_in!F22=0,0,1000000*SER_hh_emi_in!F22/SER_hh_num_in!F22)</f>
        <v>5810.0822220294231</v>
      </c>
      <c r="G22" s="132">
        <f>IF(SER_hh_emi_in!G22=0,0,1000000*SER_hh_emi_in!G22/SER_hh_num_in!G22)</f>
        <v>5646.7323627923379</v>
      </c>
      <c r="H22" s="132">
        <f>IF(SER_hh_emi_in!H22=0,0,1000000*SER_hh_emi_in!H22/SER_hh_num_in!H22)</f>
        <v>5520.4432589347134</v>
      </c>
      <c r="I22" s="132">
        <f>IF(SER_hh_emi_in!I22=0,0,1000000*SER_hh_emi_in!I22/SER_hh_num_in!I22)</f>
        <v>5468.7921332713604</v>
      </c>
      <c r="J22" s="132">
        <f>IF(SER_hh_emi_in!J22=0,0,1000000*SER_hh_emi_in!J22/SER_hh_num_in!J22)</f>
        <v>5168.3827948386534</v>
      </c>
      <c r="K22" s="132">
        <f>IF(SER_hh_emi_in!K22=0,0,1000000*SER_hh_emi_in!K22/SER_hh_num_in!K22)</f>
        <v>5340.0567808043425</v>
      </c>
      <c r="L22" s="132">
        <f>IF(SER_hh_emi_in!L22=0,0,1000000*SER_hh_emi_in!L22/SER_hh_num_in!L22)</f>
        <v>0</v>
      </c>
      <c r="M22" s="132">
        <f>IF(SER_hh_emi_in!M22=0,0,1000000*SER_hh_emi_in!M22/SER_hh_num_in!M22)</f>
        <v>0</v>
      </c>
      <c r="N22" s="132">
        <f>IF(SER_hh_emi_in!N22=0,0,1000000*SER_hh_emi_in!N22/SER_hh_num_in!N22)</f>
        <v>0</v>
      </c>
      <c r="O22" s="132">
        <f>IF(SER_hh_emi_in!O22=0,0,1000000*SER_hh_emi_in!O22/SER_hh_num_in!O22)</f>
        <v>0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5035.9202961075443</v>
      </c>
      <c r="S22" s="132">
        <f>IF(SER_hh_emi_in!S22=0,0,1000000*SER_hh_emi_in!S22/SER_hh_num_in!S22)</f>
        <v>4084.8463377942817</v>
      </c>
      <c r="T22" s="132">
        <f>IF(SER_hh_emi_in!T22=0,0,1000000*SER_hh_emi_in!T22/SER_hh_num_in!T22)</f>
        <v>4682.575596282918</v>
      </c>
      <c r="U22" s="132">
        <f>IF(SER_hh_emi_in!U22=0,0,1000000*SER_hh_emi_in!U22/SER_hh_num_in!U22)</f>
        <v>3973.9518854544644</v>
      </c>
      <c r="V22" s="132">
        <f>IF(SER_hh_emi_in!V22=0,0,1000000*SER_hh_emi_in!V22/SER_hh_num_in!V22)</f>
        <v>4358.7406593526948</v>
      </c>
      <c r="W22" s="132">
        <f>IF(SER_hh_emi_in!W22=0,0,1000000*SER_hh_emi_in!W22/SER_hh_num_in!W22)</f>
        <v>4146.8248633803432</v>
      </c>
      <c r="X22" s="132">
        <f>IF(SER_hh_emi_in!X22=0,0,1000000*SER_hh_emi_in!X22/SER_hh_num_in!X22)</f>
        <v>4103.9995653738679</v>
      </c>
      <c r="Y22" s="132">
        <f>IF(SER_hh_emi_in!Y22=0,0,1000000*SER_hh_emi_in!Y22/SER_hh_num_in!Y22)</f>
        <v>4270.8928970524748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4228.6433495757101</v>
      </c>
      <c r="D23" s="132">
        <f>IF(SER_hh_emi_in!D23=0,0,1000000*SER_hh_emi_in!D23/SER_hh_num_in!D23)</f>
        <v>4030.4053741670969</v>
      </c>
      <c r="E23" s="132">
        <f>IF(SER_hh_emi_in!E23=0,0,1000000*SER_hh_emi_in!E23/SER_hh_num_in!E23)</f>
        <v>3896.8053482689738</v>
      </c>
      <c r="F23" s="132">
        <f>IF(SER_hh_emi_in!F23=0,0,1000000*SER_hh_emi_in!F23/SER_hh_num_in!F23)</f>
        <v>3844.8400768327447</v>
      </c>
      <c r="G23" s="132">
        <f>IF(SER_hh_emi_in!G23=0,0,1000000*SER_hh_emi_in!G23/SER_hh_num_in!G23)</f>
        <v>3642.0732519237049</v>
      </c>
      <c r="H23" s="132">
        <f>IF(SER_hh_emi_in!H23=0,0,1000000*SER_hh_emi_in!H23/SER_hh_num_in!H23)</f>
        <v>3327.7799252863124</v>
      </c>
      <c r="I23" s="132">
        <f>IF(SER_hh_emi_in!I23=0,0,1000000*SER_hh_emi_in!I23/SER_hh_num_in!I23)</f>
        <v>3027.0708627871463</v>
      </c>
      <c r="J23" s="132">
        <f>IF(SER_hh_emi_in!J23=0,0,1000000*SER_hh_emi_in!J23/SER_hh_num_in!J23)</f>
        <v>2752.7034378386506</v>
      </c>
      <c r="K23" s="132">
        <f>IF(SER_hh_emi_in!K23=0,0,1000000*SER_hh_emi_in!K23/SER_hh_num_in!K23)</f>
        <v>3514.8033844821007</v>
      </c>
      <c r="L23" s="132">
        <f>IF(SER_hh_emi_in!L23=0,0,1000000*SER_hh_emi_in!L23/SER_hh_num_in!L23)</f>
        <v>3428.1404707242714</v>
      </c>
      <c r="M23" s="132">
        <f>IF(SER_hh_emi_in!M23=0,0,1000000*SER_hh_emi_in!M23/SER_hh_num_in!M23)</f>
        <v>3329.4433058615664</v>
      </c>
      <c r="N23" s="132">
        <f>IF(SER_hh_emi_in!N23=0,0,1000000*SER_hh_emi_in!N23/SER_hh_num_in!N23)</f>
        <v>2984.0052611762057</v>
      </c>
      <c r="O23" s="132">
        <f>IF(SER_hh_emi_in!O23=0,0,1000000*SER_hh_emi_in!O23/SER_hh_num_in!O23)</f>
        <v>3193.6744068118405</v>
      </c>
      <c r="P23" s="132">
        <f>IF(SER_hh_emi_in!P23=0,0,1000000*SER_hh_emi_in!P23/SER_hh_num_in!P23)</f>
        <v>3141.218778858537</v>
      </c>
      <c r="Q23" s="132">
        <f>IF(SER_hh_emi_in!Q23=0,0,1000000*SER_hh_emi_in!Q23/SER_hh_num_in!Q23)</f>
        <v>2984.7092916975394</v>
      </c>
      <c r="R23" s="132">
        <f>IF(SER_hh_emi_in!R23=0,0,1000000*SER_hh_emi_in!R23/SER_hh_num_in!R23)</f>
        <v>3848.1400088491878</v>
      </c>
      <c r="S23" s="132">
        <f>IF(SER_hh_emi_in!S23=0,0,1000000*SER_hh_emi_in!S23/SER_hh_num_in!S23)</f>
        <v>0</v>
      </c>
      <c r="T23" s="132">
        <f>IF(SER_hh_emi_in!T23=0,0,1000000*SER_hh_emi_in!T23/SER_hh_num_in!T23)</f>
        <v>0</v>
      </c>
      <c r="U23" s="132">
        <f>IF(SER_hh_emi_in!U23=0,0,1000000*SER_hh_emi_in!U23/SER_hh_num_in!U23)</f>
        <v>0</v>
      </c>
      <c r="V23" s="132">
        <f>IF(SER_hh_emi_in!V23=0,0,1000000*SER_hh_emi_in!V23/SER_hh_num_in!V23)</f>
        <v>0</v>
      </c>
      <c r="W23" s="132">
        <f>IF(SER_hh_emi_in!W23=0,0,1000000*SER_hh_emi_in!W23/SER_hh_num_in!W23)</f>
        <v>2137.0656441315391</v>
      </c>
      <c r="X23" s="132">
        <f>IF(SER_hh_emi_in!X23=0,0,1000000*SER_hh_emi_in!X23/SER_hh_num_in!X23)</f>
        <v>3178.211265183088</v>
      </c>
      <c r="Y23" s="132">
        <f>IF(SER_hh_emi_in!Y23=0,0,1000000*SER_hh_emi_in!Y23/SER_hh_num_in!Y23)</f>
        <v>2847.3994578888196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3333.4419577759554</v>
      </c>
      <c r="D29" s="130">
        <f>IF(SER_hh_emi_in!D29=0,0,1000000*SER_hh_emi_in!D29/SER_hh_num_in!D29)</f>
        <v>821.42541396037848</v>
      </c>
      <c r="E29" s="130">
        <f>IF(SER_hh_emi_in!E29=0,0,1000000*SER_hh_emi_in!E29/SER_hh_num_in!E29)</f>
        <v>374.18429569473403</v>
      </c>
      <c r="F29" s="130">
        <f>IF(SER_hh_emi_in!F29=0,0,1000000*SER_hh_emi_in!F29/SER_hh_num_in!F29)</f>
        <v>0</v>
      </c>
      <c r="G29" s="130">
        <f>IF(SER_hh_emi_in!G29=0,0,1000000*SER_hh_emi_in!G29/SER_hh_num_in!G29)</f>
        <v>762.25022637153188</v>
      </c>
      <c r="H29" s="130">
        <f>IF(SER_hh_emi_in!H29=0,0,1000000*SER_hh_emi_in!H29/SER_hh_num_in!H29)</f>
        <v>748.47590142517197</v>
      </c>
      <c r="I29" s="130">
        <f>IF(SER_hh_emi_in!I29=0,0,1000000*SER_hh_emi_in!I29/SER_hh_num_in!I29)</f>
        <v>4766.5193321209381</v>
      </c>
      <c r="J29" s="130">
        <f>IF(SER_hh_emi_in!J29=0,0,1000000*SER_hh_emi_in!J29/SER_hh_num_in!J29)</f>
        <v>1877.9942261518922</v>
      </c>
      <c r="K29" s="130">
        <f>IF(SER_hh_emi_in!K29=0,0,1000000*SER_hh_emi_in!K29/SER_hh_num_in!K29)</f>
        <v>2448.5178800862805</v>
      </c>
      <c r="L29" s="130">
        <f>IF(SER_hh_emi_in!L29=0,0,1000000*SER_hh_emi_in!L29/SER_hh_num_in!L29)</f>
        <v>2155.9020463341403</v>
      </c>
      <c r="M29" s="130">
        <f>IF(SER_hh_emi_in!M29=0,0,1000000*SER_hh_emi_in!M29/SER_hh_num_in!M29)</f>
        <v>288.95309191363538</v>
      </c>
      <c r="N29" s="130">
        <f>IF(SER_hh_emi_in!N29=0,0,1000000*SER_hh_emi_in!N29/SER_hh_num_in!N29)</f>
        <v>672.22128445807118</v>
      </c>
      <c r="O29" s="130">
        <f>IF(SER_hh_emi_in!O29=0,0,1000000*SER_hh_emi_in!O29/SER_hh_num_in!O29)</f>
        <v>1152.0943951712431</v>
      </c>
      <c r="P29" s="130">
        <f>IF(SER_hh_emi_in!P29=0,0,1000000*SER_hh_emi_in!P29/SER_hh_num_in!P29)</f>
        <v>1552.8465650485214</v>
      </c>
      <c r="Q29" s="130">
        <f>IF(SER_hh_emi_in!Q29=0,0,1000000*SER_hh_emi_in!Q29/SER_hh_num_in!Q29)</f>
        <v>1220.8448248593204</v>
      </c>
      <c r="R29" s="130">
        <f>IF(SER_hh_emi_in!R29=0,0,1000000*SER_hh_emi_in!R29/SER_hh_num_in!R29)</f>
        <v>1016.4017310666811</v>
      </c>
      <c r="S29" s="130">
        <f>IF(SER_hh_emi_in!S29=0,0,1000000*SER_hh_emi_in!S29/SER_hh_num_in!S29)</f>
        <v>2196.6171317180192</v>
      </c>
      <c r="T29" s="130">
        <f>IF(SER_hh_emi_in!T29=0,0,1000000*SER_hh_emi_in!T29/SER_hh_num_in!T29)</f>
        <v>2869.068916166716</v>
      </c>
      <c r="U29" s="130">
        <f>IF(SER_hh_emi_in!U29=0,0,1000000*SER_hh_emi_in!U29/SER_hh_num_in!U29)</f>
        <v>3314.2104376708244</v>
      </c>
      <c r="V29" s="130">
        <f>IF(SER_hh_emi_in!V29=0,0,1000000*SER_hh_emi_in!V29/SER_hh_num_in!V29)</f>
        <v>1306.376350787602</v>
      </c>
      <c r="W29" s="130">
        <f>IF(SER_hh_emi_in!W29=0,0,1000000*SER_hh_emi_in!W29/SER_hh_num_in!W29)</f>
        <v>0</v>
      </c>
      <c r="X29" s="130">
        <f>IF(SER_hh_emi_in!X29=0,0,1000000*SER_hh_emi_in!X29/SER_hh_num_in!X29)</f>
        <v>192.25780787604481</v>
      </c>
      <c r="Y29" s="130">
        <f>IF(SER_hh_emi_in!Y29=0,0,1000000*SER_hh_emi_in!Y29/SER_hh_num_in!Y29)</f>
        <v>363.3912805794688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0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5037.1437553231863</v>
      </c>
      <c r="H30" s="132">
        <f>IF(SER_hh_emi_in!H30=0,0,1000000*SER_hh_emi_in!H30/SER_hh_num_in!H30)</f>
        <v>3434.9350172978552</v>
      </c>
      <c r="I30" s="132">
        <f>IF(SER_hh_emi_in!I30=0,0,1000000*SER_hh_emi_in!I30/SER_hh_num_in!I30)</f>
        <v>7312.2215322010006</v>
      </c>
      <c r="J30" s="132">
        <f>IF(SER_hh_emi_in!J30=0,0,1000000*SER_hh_emi_in!J30/SER_hh_num_in!J30)</f>
        <v>4454.8890987162385</v>
      </c>
      <c r="K30" s="132">
        <f>IF(SER_hh_emi_in!K30=0,0,1000000*SER_hh_emi_in!K30/SER_hh_num_in!K30)</f>
        <v>4956.7161473036049</v>
      </c>
      <c r="L30" s="132">
        <f>IF(SER_hh_emi_in!L30=0,0,1000000*SER_hh_emi_in!L30/SER_hh_num_in!L30)</f>
        <v>6750.15272088651</v>
      </c>
      <c r="M30" s="132">
        <f>IF(SER_hh_emi_in!M30=0,0,1000000*SER_hh_emi_in!M30/SER_hh_num_in!M30)</f>
        <v>0</v>
      </c>
      <c r="N30" s="132">
        <f>IF(SER_hh_emi_in!N30=0,0,1000000*SER_hh_emi_in!N30/SER_hh_num_in!N30)</f>
        <v>6315.5419053988417</v>
      </c>
      <c r="O30" s="132">
        <f>IF(SER_hh_emi_in!O30=0,0,1000000*SER_hh_emi_in!O30/SER_hh_num_in!O30)</f>
        <v>0</v>
      </c>
      <c r="P30" s="132">
        <f>IF(SER_hh_emi_in!P30=0,0,1000000*SER_hh_emi_in!P30/SER_hh_num_in!P30)</f>
        <v>0</v>
      </c>
      <c r="Q30" s="132">
        <f>IF(SER_hh_emi_in!Q30=0,0,1000000*SER_hh_emi_in!Q30/SER_hh_num_in!Q30)</f>
        <v>6268.9426027773916</v>
      </c>
      <c r="R30" s="132">
        <f>IF(SER_hh_emi_in!R30=0,0,1000000*SER_hh_emi_in!R30/SER_hh_num_in!R30)</f>
        <v>5366.3968465198332</v>
      </c>
      <c r="S30" s="132">
        <f>IF(SER_hh_emi_in!S30=0,0,1000000*SER_hh_emi_in!S30/SER_hh_num_in!S30)</f>
        <v>5597.6909235778758</v>
      </c>
      <c r="T30" s="132">
        <f>IF(SER_hh_emi_in!T30=0,0,1000000*SER_hh_emi_in!T30/SER_hh_num_in!T30)</f>
        <v>6270.1520863168234</v>
      </c>
      <c r="U30" s="132">
        <f>IF(SER_hh_emi_in!U30=0,0,1000000*SER_hh_emi_in!U30/SER_hh_num_in!U30)</f>
        <v>7295.6459565150208</v>
      </c>
      <c r="V30" s="132">
        <f>IF(SER_hh_emi_in!V30=0,0,1000000*SER_hh_emi_in!V30/SER_hh_num_in!V30)</f>
        <v>6270.4167246434572</v>
      </c>
      <c r="W30" s="132">
        <f>IF(SER_hh_emi_in!W30=0,0,1000000*SER_hh_emi_in!W30/SER_hh_num_in!W30)</f>
        <v>0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6683.8807204169825</v>
      </c>
      <c r="D31" s="132">
        <f>IF(SER_hh_emi_in!D31=0,0,1000000*SER_hh_emi_in!D31/SER_hh_num_in!D31)</f>
        <v>6099.168797030592</v>
      </c>
      <c r="E31" s="132">
        <f>IF(SER_hh_emi_in!E31=0,0,1000000*SER_hh_emi_in!E31/SER_hh_num_in!E31)</f>
        <v>5002.5674609719917</v>
      </c>
      <c r="F31" s="132">
        <f>IF(SER_hh_emi_in!F31=0,0,1000000*SER_hh_emi_in!F31/SER_hh_num_in!F31)</f>
        <v>0</v>
      </c>
      <c r="G31" s="132">
        <f>IF(SER_hh_emi_in!G31=0,0,1000000*SER_hh_emi_in!G31/SER_hh_num_in!G31)</f>
        <v>0</v>
      </c>
      <c r="H31" s="132">
        <f>IF(SER_hh_emi_in!H31=0,0,1000000*SER_hh_emi_in!H31/SER_hh_num_in!H31)</f>
        <v>0</v>
      </c>
      <c r="I31" s="132">
        <f>IF(SER_hh_emi_in!I31=0,0,1000000*SER_hh_emi_in!I31/SER_hh_num_in!I31)</f>
        <v>0</v>
      </c>
      <c r="J31" s="132">
        <f>IF(SER_hh_emi_in!J31=0,0,1000000*SER_hh_emi_in!J31/SER_hh_num_in!J31)</f>
        <v>0</v>
      </c>
      <c r="K31" s="132">
        <f>IF(SER_hh_emi_in!K31=0,0,1000000*SER_hh_emi_in!K31/SER_hh_num_in!K31)</f>
        <v>4780.5814104628444</v>
      </c>
      <c r="L31" s="132">
        <f>IF(SER_hh_emi_in!L31=0,0,1000000*SER_hh_emi_in!L31/SER_hh_num_in!L31)</f>
        <v>4352.8515444791437</v>
      </c>
      <c r="M31" s="132">
        <f>IF(SER_hh_emi_in!M31=0,0,1000000*SER_hh_emi_in!M31/SER_hh_num_in!M31)</f>
        <v>4302.3843161828472</v>
      </c>
      <c r="N31" s="132">
        <f>IF(SER_hh_emi_in!N31=0,0,1000000*SER_hh_emi_in!N31/SER_hh_num_in!N31)</f>
        <v>3273.6181595901057</v>
      </c>
      <c r="O31" s="132">
        <f>IF(SER_hh_emi_in!O31=0,0,1000000*SER_hh_emi_in!O31/SER_hh_num_in!O31)</f>
        <v>4117.71878417688</v>
      </c>
      <c r="P31" s="132">
        <f>IF(SER_hh_emi_in!P31=0,0,1000000*SER_hh_emi_in!P31/SER_hh_num_in!P31)</f>
        <v>5090.7977430624842</v>
      </c>
      <c r="Q31" s="132">
        <f>IF(SER_hh_emi_in!Q31=0,0,1000000*SER_hh_emi_in!Q31/SER_hh_num_in!Q31)</f>
        <v>5137.4117127182508</v>
      </c>
      <c r="R31" s="132">
        <f>IF(SER_hh_emi_in!R31=0,0,1000000*SER_hh_emi_in!R31/SER_hh_num_in!R31)</f>
        <v>6672.9881431871427</v>
      </c>
      <c r="S31" s="132">
        <f>IF(SER_hh_emi_in!S31=0,0,1000000*SER_hh_emi_in!S31/SER_hh_num_in!S31)</f>
        <v>0</v>
      </c>
      <c r="T31" s="132">
        <f>IF(SER_hh_emi_in!T31=0,0,1000000*SER_hh_emi_in!T31/SER_hh_num_in!T31)</f>
        <v>0</v>
      </c>
      <c r="U31" s="132">
        <f>IF(SER_hh_emi_in!U31=0,0,1000000*SER_hh_emi_in!U31/SER_hh_num_in!U31)</f>
        <v>0</v>
      </c>
      <c r="V31" s="132">
        <f>IF(SER_hh_emi_in!V31=0,0,1000000*SER_hh_emi_in!V31/SER_hh_num_in!V31)</f>
        <v>0</v>
      </c>
      <c r="W31" s="132">
        <f>IF(SER_hh_emi_in!W31=0,0,1000000*SER_hh_emi_in!W31/SER_hh_num_in!W31)</f>
        <v>0</v>
      </c>
      <c r="X31" s="132">
        <f>IF(SER_hh_emi_in!X31=0,0,1000000*SER_hh_emi_in!X31/SER_hh_num_in!X31)</f>
        <v>5131.1408436772545</v>
      </c>
      <c r="Y31" s="132">
        <f>IF(SER_hh_emi_in!Y31=0,0,1000000*SER_hh_emi_in!Y31/SER_hh_num_in!Y31)</f>
        <v>4879.0123716034159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431.17466234015137</v>
      </c>
      <c r="D3" s="125">
        <f>IF(SER_hh_fech_in!D3=0,0,SER_hh_fech_in!D3/SER_summary!D$27)</f>
        <v>378.19870289887746</v>
      </c>
      <c r="E3" s="125">
        <f>IF(SER_hh_fech_in!E3=0,0,SER_hh_fech_in!E3/SER_summary!E$27)</f>
        <v>255.63523938544341</v>
      </c>
      <c r="F3" s="125">
        <f>IF(SER_hh_fech_in!F3=0,0,SER_hh_fech_in!F3/SER_summary!F$27)</f>
        <v>236.60343013714672</v>
      </c>
      <c r="G3" s="125">
        <f>IF(SER_hh_fech_in!G3=0,0,SER_hh_fech_in!G3/SER_summary!G$27)</f>
        <v>198.97114350470798</v>
      </c>
      <c r="H3" s="125">
        <f>IF(SER_hh_fech_in!H3=0,0,SER_hh_fech_in!H3/SER_summary!H$27)</f>
        <v>157.3824174016502</v>
      </c>
      <c r="I3" s="125">
        <f>IF(SER_hh_fech_in!I3=0,0,SER_hh_fech_in!I3/SER_summary!I$27)</f>
        <v>135.17399105612932</v>
      </c>
      <c r="J3" s="125">
        <f>IF(SER_hh_fech_in!J3=0,0,SER_hh_fech_in!J3/SER_summary!J$27)</f>
        <v>171.662155310337</v>
      </c>
      <c r="K3" s="125">
        <f>IF(SER_hh_fech_in!K3=0,0,SER_hh_fech_in!K3/SER_summary!K$27)</f>
        <v>153.01504046595258</v>
      </c>
      <c r="L3" s="125">
        <f>IF(SER_hh_fech_in!L3=0,0,SER_hh_fech_in!L3/SER_summary!L$27)</f>
        <v>167.27491315707985</v>
      </c>
      <c r="M3" s="125">
        <f>IF(SER_hh_fech_in!M3=0,0,SER_hh_fech_in!M3/SER_summary!M$27)</f>
        <v>157.56436491074874</v>
      </c>
      <c r="N3" s="125">
        <f>IF(SER_hh_fech_in!N3=0,0,SER_hh_fech_in!N3/SER_summary!N$27)</f>
        <v>125.04139694596749</v>
      </c>
      <c r="O3" s="125">
        <f>IF(SER_hh_fech_in!O3=0,0,SER_hh_fech_in!O3/SER_summary!O$27)</f>
        <v>128.89298289704135</v>
      </c>
      <c r="P3" s="125">
        <f>IF(SER_hh_fech_in!P3=0,0,SER_hh_fech_in!P3/SER_summary!P$27)</f>
        <v>113.90800780072176</v>
      </c>
      <c r="Q3" s="125">
        <f>IF(SER_hh_fech_in!Q3=0,0,SER_hh_fech_in!Q3/SER_summary!Q$27)</f>
        <v>119.42843497884083</v>
      </c>
      <c r="R3" s="125">
        <f>IF(SER_hh_fech_in!R3=0,0,SER_hh_fech_in!R3/SER_summary!R$27)</f>
        <v>117.68834248375336</v>
      </c>
      <c r="S3" s="125">
        <f>IF(SER_hh_fech_in!S3=0,0,SER_hh_fech_in!S3/SER_summary!S$27)</f>
        <v>110.38273885346774</v>
      </c>
      <c r="T3" s="125">
        <f>IF(SER_hh_fech_in!T3=0,0,SER_hh_fech_in!T3/SER_summary!T$27)</f>
        <v>112.43406416814426</v>
      </c>
      <c r="U3" s="125">
        <f>IF(SER_hh_fech_in!U3=0,0,SER_hh_fech_in!U3/SER_summary!U$27)</f>
        <v>102.11200227414567</v>
      </c>
      <c r="V3" s="125">
        <f>IF(SER_hh_fech_in!V3=0,0,SER_hh_fech_in!V3/SER_summary!V$27)</f>
        <v>84.759877312368999</v>
      </c>
      <c r="W3" s="125">
        <f>IF(SER_hh_fech_in!W3=0,0,SER_hh_fech_in!W3/SER_summary!W$27)</f>
        <v>77.440048815637653</v>
      </c>
      <c r="X3" s="125">
        <f>IF(SER_hh_fech_in!X3=0,0,SER_hh_fech_in!X3/SER_summary!X$27)</f>
        <v>96.448515583941543</v>
      </c>
      <c r="Y3" s="125">
        <f>IF(SER_hh_fech_in!Y3=0,0,SER_hh_fech_in!Y3/SER_summary!Y$27)</f>
        <v>85.05790904800898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370.84516946796617</v>
      </c>
      <c r="D4" s="130">
        <f>IF(SER_hh_fech_in!D4=0,0,SER_hh_fech_in!D4/SER_summary!D$27)</f>
        <v>320.9575493714633</v>
      </c>
      <c r="E4" s="130">
        <f>IF(SER_hh_fech_in!E4=0,0,SER_hh_fech_in!E4/SER_summary!E$27)</f>
        <v>196.60111875396012</v>
      </c>
      <c r="F4" s="130">
        <f>IF(SER_hh_fech_in!F4=0,0,SER_hh_fech_in!F4/SER_summary!F$27)</f>
        <v>186.50543239129806</v>
      </c>
      <c r="G4" s="130">
        <f>IF(SER_hh_fech_in!G4=0,0,SER_hh_fech_in!G4/SER_summary!G$27)</f>
        <v>147.12535448606073</v>
      </c>
      <c r="H4" s="130">
        <f>IF(SER_hh_fech_in!H4=0,0,SER_hh_fech_in!H4/SER_summary!H$27)</f>
        <v>106.91824497875858</v>
      </c>
      <c r="I4" s="130">
        <f>IF(SER_hh_fech_in!I4=0,0,SER_hh_fech_in!I4/SER_summary!I$27)</f>
        <v>78.529730984376187</v>
      </c>
      <c r="J4" s="130">
        <f>IF(SER_hh_fech_in!J4=0,0,SER_hh_fech_in!J4/SER_summary!J$27)</f>
        <v>123.59870000406917</v>
      </c>
      <c r="K4" s="130">
        <f>IF(SER_hh_fech_in!K4=0,0,SER_hh_fech_in!K4/SER_summary!K$27)</f>
        <v>105.70250261709876</v>
      </c>
      <c r="L4" s="130">
        <f>IF(SER_hh_fech_in!L4=0,0,SER_hh_fech_in!L4/SER_summary!L$27)</f>
        <v>120.50697950406391</v>
      </c>
      <c r="M4" s="130">
        <f>IF(SER_hh_fech_in!M4=0,0,SER_hh_fech_in!M4/SER_summary!M$27)</f>
        <v>111.05047817182627</v>
      </c>
      <c r="N4" s="130">
        <f>IF(SER_hh_fech_in!N4=0,0,SER_hh_fech_in!N4/SER_summary!N$27)</f>
        <v>80.386632889055122</v>
      </c>
      <c r="O4" s="130">
        <f>IF(SER_hh_fech_in!O4=0,0,SER_hh_fech_in!O4/SER_summary!O$27)</f>
        <v>82.558027652842085</v>
      </c>
      <c r="P4" s="130">
        <f>IF(SER_hh_fech_in!P4=0,0,SER_hh_fech_in!P4/SER_summary!P$27)</f>
        <v>67.924464444648606</v>
      </c>
      <c r="Q4" s="130">
        <f>IF(SER_hh_fech_in!Q4=0,0,SER_hh_fech_in!Q4/SER_summary!Q$27)</f>
        <v>72.524654153261466</v>
      </c>
      <c r="R4" s="130">
        <f>IF(SER_hh_fech_in!R4=0,0,SER_hh_fech_in!R4/SER_summary!R$27)</f>
        <v>73.923636143094981</v>
      </c>
      <c r="S4" s="130">
        <f>IF(SER_hh_fech_in!S4=0,0,SER_hh_fech_in!S4/SER_summary!S$27)</f>
        <v>63.627609397619047</v>
      </c>
      <c r="T4" s="130">
        <f>IF(SER_hh_fech_in!T4=0,0,SER_hh_fech_in!T4/SER_summary!T$27)</f>
        <v>63.372302506219057</v>
      </c>
      <c r="U4" s="130">
        <f>IF(SER_hh_fech_in!U4=0,0,SER_hh_fech_in!U4/SER_summary!U$27)</f>
        <v>52.581979348140358</v>
      </c>
      <c r="V4" s="130">
        <f>IF(SER_hh_fech_in!V4=0,0,SER_hh_fech_in!V4/SER_summary!V$27)</f>
        <v>42.289775630716726</v>
      </c>
      <c r="W4" s="130">
        <f>IF(SER_hh_fech_in!W4=0,0,SER_hh_fech_in!W4/SER_summary!W$27)</f>
        <v>36.629725882825362</v>
      </c>
      <c r="X4" s="130">
        <f>IF(SER_hh_fech_in!X4=0,0,SER_hh_fech_in!X4/SER_summary!X$27)</f>
        <v>57.415724498659912</v>
      </c>
      <c r="Y4" s="130">
        <f>IF(SER_hh_fech_in!Y4=0,0,SER_hh_fech_in!Y4/SER_summary!Y$27)</f>
        <v>43.888756589359126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406.635066634162</v>
      </c>
      <c r="D7" s="132">
        <f>IF(SER_hh_fech_in!D7=0,0,SER_hh_fech_in!D7/SER_summary!D$27)</f>
        <v>317.25281999424868</v>
      </c>
      <c r="E7" s="132">
        <f>IF(SER_hh_fech_in!E7=0,0,SER_hh_fech_in!E7/SER_summary!E$27)</f>
        <v>215.13478517630469</v>
      </c>
      <c r="F7" s="132">
        <f>IF(SER_hh_fech_in!F7=0,0,SER_hh_fech_in!F7/SER_summary!F$27)</f>
        <v>200.16893371731763</v>
      </c>
      <c r="G7" s="132">
        <f>IF(SER_hh_fech_in!G7=0,0,SER_hh_fech_in!G7/SER_summary!G$27)</f>
        <v>176.08873152268589</v>
      </c>
      <c r="H7" s="132">
        <f>IF(SER_hh_fech_in!H7=0,0,SER_hh_fech_in!H7/SER_summary!H$27)</f>
        <v>138.29017078584275</v>
      </c>
      <c r="I7" s="132">
        <f>IF(SER_hh_fech_in!I7=0,0,SER_hh_fech_in!I7/SER_summary!I$27)</f>
        <v>80.163898538609118</v>
      </c>
      <c r="J7" s="132">
        <f>IF(SER_hh_fech_in!J7=0,0,SER_hh_fech_in!J7/SER_summary!J$27)</f>
        <v>140.74996212101999</v>
      </c>
      <c r="K7" s="132">
        <f>IF(SER_hh_fech_in!K7=0,0,SER_hh_fech_in!K7/SER_summary!K$27)</f>
        <v>129.09515504015911</v>
      </c>
      <c r="L7" s="132">
        <f>IF(SER_hh_fech_in!L7=0,0,SER_hh_fech_in!L7/SER_summary!L$27)</f>
        <v>0</v>
      </c>
      <c r="M7" s="132">
        <f>IF(SER_hh_fech_in!M7=0,0,SER_hh_fech_in!M7/SER_summary!M$27)</f>
        <v>0</v>
      </c>
      <c r="N7" s="132">
        <f>IF(SER_hh_fech_in!N7=0,0,SER_hh_fech_in!N7/SER_summary!N$27)</f>
        <v>0</v>
      </c>
      <c r="O7" s="132">
        <f>IF(SER_hh_fech_in!O7=0,0,SER_hh_fech_in!O7/SER_summary!O$27)</f>
        <v>0</v>
      </c>
      <c r="P7" s="132">
        <f>IF(SER_hh_fech_in!P7=0,0,SER_hh_fech_in!P7/SER_summary!P$27)</f>
        <v>0</v>
      </c>
      <c r="Q7" s="132">
        <f>IF(SER_hh_fech_in!Q7=0,0,SER_hh_fech_in!Q7/SER_summary!Q$27)</f>
        <v>0</v>
      </c>
      <c r="R7" s="132">
        <f>IF(SER_hh_fech_in!R7=0,0,SER_hh_fech_in!R7/SER_summary!R$27)</f>
        <v>81.070646768904581</v>
      </c>
      <c r="S7" s="132">
        <f>IF(SER_hh_fech_in!S7=0,0,SER_hh_fech_in!S7/SER_summary!S$27)</f>
        <v>63.289368181853973</v>
      </c>
      <c r="T7" s="132">
        <f>IF(SER_hh_fech_in!T7=0,0,SER_hh_fech_in!T7/SER_summary!T$27)</f>
        <v>67.921578687546742</v>
      </c>
      <c r="U7" s="132">
        <f>IF(SER_hh_fech_in!U7=0,0,SER_hh_fech_in!U7/SER_summary!U$27)</f>
        <v>56.436848788156745</v>
      </c>
      <c r="V7" s="132">
        <f>IF(SER_hh_fech_in!V7=0,0,SER_hh_fech_in!V7/SER_summary!V$27)</f>
        <v>63.461189891088402</v>
      </c>
      <c r="W7" s="132">
        <f>IF(SER_hh_fech_in!W7=0,0,SER_hh_fech_in!W7/SER_summary!W$27)</f>
        <v>38.70225021824178</v>
      </c>
      <c r="X7" s="132">
        <f>IF(SER_hh_fech_in!X7=0,0,SER_hh_fech_in!X7/SER_summary!X$27)</f>
        <v>37.867709215773267</v>
      </c>
      <c r="Y7" s="132">
        <f>IF(SER_hh_fech_in!Y7=0,0,SER_hh_fech_in!Y7/SER_summary!Y$27)</f>
        <v>53.894980438323969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402.18195434820797</v>
      </c>
      <c r="D9" s="132">
        <f>IF(SER_hh_fech_in!D9=0,0,SER_hh_fech_in!D9/SER_summary!D$27)</f>
        <v>388.73829921574395</v>
      </c>
      <c r="E9" s="132">
        <f>IF(SER_hh_fech_in!E9=0,0,SER_hh_fech_in!E9/SER_summary!E$27)</f>
        <v>183.18400501415269</v>
      </c>
      <c r="F9" s="132">
        <f>IF(SER_hh_fech_in!F9=0,0,SER_hh_fech_in!F9/SER_summary!F$27)</f>
        <v>0</v>
      </c>
      <c r="G9" s="132">
        <f>IF(SER_hh_fech_in!G9=0,0,SER_hh_fech_in!G9/SER_summary!G$27)</f>
        <v>0</v>
      </c>
      <c r="H9" s="132">
        <f>IF(SER_hh_fech_in!H9=0,0,SER_hh_fech_in!H9/SER_summary!H$27)</f>
        <v>0</v>
      </c>
      <c r="I9" s="132">
        <f>IF(SER_hh_fech_in!I9=0,0,SER_hh_fech_in!I9/SER_summary!I$27)</f>
        <v>0</v>
      </c>
      <c r="J9" s="132">
        <f>IF(SER_hh_fech_in!J9=0,0,SER_hh_fech_in!J9/SER_summary!J$27)</f>
        <v>0</v>
      </c>
      <c r="K9" s="132">
        <f>IF(SER_hh_fech_in!K9=0,0,SER_hh_fech_in!K9/SER_summary!K$27)</f>
        <v>110.12804231673135</v>
      </c>
      <c r="L9" s="132">
        <f>IF(SER_hh_fech_in!L9=0,0,SER_hh_fech_in!L9/SER_summary!L$27)</f>
        <v>129.28831339807627</v>
      </c>
      <c r="M9" s="132">
        <f>IF(SER_hh_fech_in!M9=0,0,SER_hh_fech_in!M9/SER_summary!M$27)</f>
        <v>176.89887438964371</v>
      </c>
      <c r="N9" s="132">
        <f>IF(SER_hh_fech_in!N9=0,0,SER_hh_fech_in!N9/SER_summary!N$27)</f>
        <v>46.916832865371617</v>
      </c>
      <c r="O9" s="132">
        <f>IF(SER_hh_fech_in!O9=0,0,SER_hh_fech_in!O9/SER_summary!O$27)</f>
        <v>88.81187633382676</v>
      </c>
      <c r="P9" s="132">
        <f>IF(SER_hh_fech_in!P9=0,0,SER_hh_fech_in!P9/SER_summary!P$27)</f>
        <v>68.933053318670304</v>
      </c>
      <c r="Q9" s="132">
        <f>IF(SER_hh_fech_in!Q9=0,0,SER_hh_fech_in!Q9/SER_summary!Q$27)</f>
        <v>77.041575600926492</v>
      </c>
      <c r="R9" s="132">
        <f>IF(SER_hh_fech_in!R9=0,0,SER_hh_fech_in!R9/SER_summary!R$27)</f>
        <v>90.632990889536046</v>
      </c>
      <c r="S9" s="132">
        <f>IF(SER_hh_fech_in!S9=0,0,SER_hh_fech_in!S9/SER_summary!S$27)</f>
        <v>0</v>
      </c>
      <c r="T9" s="132">
        <f>IF(SER_hh_fech_in!T9=0,0,SER_hh_fech_in!T9/SER_summary!T$27)</f>
        <v>0</v>
      </c>
      <c r="U9" s="132">
        <f>IF(SER_hh_fech_in!U9=0,0,SER_hh_fech_in!U9/SER_summary!U$27)</f>
        <v>0</v>
      </c>
      <c r="V9" s="132">
        <f>IF(SER_hh_fech_in!V9=0,0,SER_hh_fech_in!V9/SER_summary!V$27)</f>
        <v>0</v>
      </c>
      <c r="W9" s="132">
        <f>IF(SER_hh_fech_in!W9=0,0,SER_hh_fech_in!W9/SER_summary!W$27)</f>
        <v>30.434981885239154</v>
      </c>
      <c r="X9" s="132">
        <f>IF(SER_hh_fech_in!X9=0,0,SER_hh_fech_in!X9/SER_summary!X$27)</f>
        <v>50.780834209845537</v>
      </c>
      <c r="Y9" s="132">
        <f>IF(SER_hh_fech_in!Y9=0,0,SER_hh_fech_in!Y9/SER_summary!Y$27)</f>
        <v>44.66940423642108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429.37736481605651</v>
      </c>
      <c r="D10" s="132">
        <f>IF(SER_hh_fech_in!D10=0,0,SER_hh_fech_in!D10/SER_summary!D$27)</f>
        <v>0</v>
      </c>
      <c r="E10" s="132">
        <f>IF(SER_hh_fech_in!E10=0,0,SER_hh_fech_in!E10/SER_summary!E$27)</f>
        <v>181.04514340619374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0</v>
      </c>
      <c r="J10" s="132">
        <f>IF(SER_hh_fech_in!J10=0,0,SER_hh_fech_in!J10/SER_summary!J$27)</f>
        <v>0</v>
      </c>
      <c r="K10" s="132">
        <f>IF(SER_hh_fech_in!K10=0,0,SER_hh_fech_in!K10/SER_summary!K$27)</f>
        <v>0</v>
      </c>
      <c r="L10" s="132">
        <f>IF(SER_hh_fech_in!L10=0,0,SER_hh_fech_in!L10/SER_summary!L$27)</f>
        <v>0</v>
      </c>
      <c r="M10" s="132">
        <f>IF(SER_hh_fech_in!M10=0,0,SER_hh_fech_in!M10/SER_summary!M$27)</f>
        <v>0</v>
      </c>
      <c r="N10" s="132">
        <f>IF(SER_hh_fech_in!N10=0,0,SER_hh_fech_in!N10/SER_summary!N$27)</f>
        <v>0</v>
      </c>
      <c r="O10" s="132">
        <f>IF(SER_hh_fech_in!O10=0,0,SER_hh_fech_in!O10/SER_summary!O$27)</f>
        <v>0</v>
      </c>
      <c r="P10" s="132">
        <f>IF(SER_hh_fech_in!P10=0,0,SER_hh_fech_in!P10/SER_summary!P$27)</f>
        <v>0</v>
      </c>
      <c r="Q10" s="132">
        <f>IF(SER_hh_fech_in!Q10=0,0,SER_hh_fech_in!Q10/SER_summary!Q$27)</f>
        <v>0</v>
      </c>
      <c r="R10" s="132">
        <f>IF(SER_hh_fech_in!R10=0,0,SER_hh_fech_in!R10/SER_summary!R$27)</f>
        <v>0</v>
      </c>
      <c r="S10" s="132">
        <f>IF(SER_hh_fech_in!S10=0,0,SER_hh_fech_in!S10/SER_summary!S$27)</f>
        <v>0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9.7165738540440189E-14</v>
      </c>
      <c r="W10" s="132">
        <f>IF(SER_hh_fech_in!W10=0,0,SER_hh_fech_in!W10/SER_summary!W$27)</f>
        <v>0</v>
      </c>
      <c r="X10" s="132">
        <f>IF(SER_hh_fech_in!X10=0,0,SER_hh_fech_in!X10/SER_summary!X$27)</f>
        <v>86.590561287893209</v>
      </c>
      <c r="Y10" s="132">
        <f>IF(SER_hh_fech_in!Y10=0,0,SER_hh_fech_in!Y10/SER_summary!Y$27)</f>
        <v>77.253372620539693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138.33717824536654</v>
      </c>
      <c r="M11" s="132">
        <f>IF(SER_hh_fech_in!M11=0,0,SER_hh_fech_in!M11/SER_summary!M$27)</f>
        <v>105.77866282727616</v>
      </c>
      <c r="N11" s="132">
        <f>IF(SER_hh_fech_in!N11=0,0,SER_hh_fech_in!N11/SER_summary!N$27)</f>
        <v>67.288249869409682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52.805656263376605</v>
      </c>
      <c r="U11" s="132">
        <f>IF(SER_hh_fech_in!U11=0,0,SER_hh_fech_in!U11/SER_summary!U$27)</f>
        <v>55.754534251747806</v>
      </c>
      <c r="V11" s="132">
        <f>IF(SER_hh_fech_in!V11=0,0,SER_hh_fech_in!V11/SER_summary!V$27)</f>
        <v>36.814741000849168</v>
      </c>
      <c r="W11" s="132">
        <f>IF(SER_hh_fech_in!W11=0,0,SER_hh_fech_in!W11/SER_summary!W$27)</f>
        <v>32.183118972032446</v>
      </c>
      <c r="X11" s="132">
        <f>IF(SER_hh_fech_in!X11=0,0,SER_hh_fech_in!X11/SER_summary!X$27)</f>
        <v>34.91997612194325</v>
      </c>
      <c r="Y11" s="132">
        <f>IF(SER_hh_fech_in!Y11=0,0,SER_hh_fech_in!Y11/SER_summary!Y$27)</f>
        <v>37.540853726992445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135.89255369114906</v>
      </c>
      <c r="G12" s="132">
        <f>IF(SER_hh_fech_in!G12=0,0,SER_hh_fech_in!G12/SER_summary!G$27)</f>
        <v>90.966711359743485</v>
      </c>
      <c r="H12" s="132">
        <f>IF(SER_hh_fech_in!H12=0,0,SER_hh_fech_in!H12/SER_summary!H$27)</f>
        <v>108.70540606313322</v>
      </c>
      <c r="I12" s="132">
        <f>IF(SER_hh_fech_in!I12=0,0,SER_hh_fech_in!I12/SER_summary!I$27)</f>
        <v>62.244458083743645</v>
      </c>
      <c r="J12" s="132">
        <f>IF(SER_hh_fech_in!J12=0,0,SER_hh_fech_in!J12/SER_summary!J$27)</f>
        <v>60.407712977744296</v>
      </c>
      <c r="K12" s="132">
        <f>IF(SER_hh_fech_in!K12=0,0,SER_hh_fech_in!K12/SER_summary!K$27)</f>
        <v>88.655916195170207</v>
      </c>
      <c r="L12" s="132">
        <f>IF(SER_hh_fech_in!L12=0,0,SER_hh_fech_in!L12/SER_summary!L$27)</f>
        <v>97.819001474168147</v>
      </c>
      <c r="M12" s="132">
        <f>IF(SER_hh_fech_in!M12=0,0,SER_hh_fech_in!M12/SER_summary!M$27)</f>
        <v>90.233607084856189</v>
      </c>
      <c r="N12" s="132">
        <f>IF(SER_hh_fech_in!N12=0,0,SER_hh_fech_in!N12/SER_summary!N$27)</f>
        <v>79.429483333013124</v>
      </c>
      <c r="O12" s="132">
        <f>IF(SER_hh_fech_in!O12=0,0,SER_hh_fech_in!O12/SER_summary!O$27)</f>
        <v>77.18715744721402</v>
      </c>
      <c r="P12" s="132">
        <f>IF(SER_hh_fech_in!P12=0,0,SER_hh_fech_in!P12/SER_summary!P$27)</f>
        <v>0</v>
      </c>
      <c r="Q12" s="132">
        <f>IF(SER_hh_fech_in!Q12=0,0,SER_hh_fech_in!Q12/SER_summary!Q$27)</f>
        <v>60.061389831871281</v>
      </c>
      <c r="R12" s="132">
        <f>IF(SER_hh_fech_in!R12=0,0,SER_hh_fech_in!R12/SER_summary!R$27)</f>
        <v>55.167142438314677</v>
      </c>
      <c r="S12" s="132">
        <f>IF(SER_hh_fech_in!S12=0,0,SER_hh_fech_in!S12/SER_summary!S$27)</f>
        <v>59.96110793370719</v>
      </c>
      <c r="T12" s="132">
        <f>IF(SER_hh_fech_in!T12=0,0,SER_hh_fech_in!T12/SER_summary!T$27)</f>
        <v>57.923262798844078</v>
      </c>
      <c r="U12" s="132">
        <f>IF(SER_hh_fech_in!U12=0,0,SER_hh_fech_in!U12/SER_summary!U$27)</f>
        <v>44.323825965867577</v>
      </c>
      <c r="V12" s="132">
        <f>IF(SER_hh_fech_in!V12=0,0,SER_hh_fech_in!V12/SER_summary!V$27)</f>
        <v>40.456957037119622</v>
      </c>
      <c r="W12" s="132">
        <f>IF(SER_hh_fech_in!W12=0,0,SER_hh_fech_in!W12/SER_summary!W$27)</f>
        <v>41.800843146914062</v>
      </c>
      <c r="X12" s="132">
        <f>IF(SER_hh_fech_in!X12=0,0,SER_hh_fech_in!X12/SER_summary!X$27)</f>
        <v>0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0</v>
      </c>
      <c r="D13" s="132">
        <f>IF(SER_hh_fech_in!D13=0,0,SER_hh_fech_in!D13/SER_summary!D$27)</f>
        <v>0</v>
      </c>
      <c r="E13" s="132">
        <f>IF(SER_hh_fech_in!E13=0,0,SER_hh_fech_in!E13/SER_summary!E$27)</f>
        <v>0</v>
      </c>
      <c r="F13" s="132">
        <f>IF(SER_hh_fech_in!F13=0,0,SER_hh_fech_in!F13/SER_summary!F$27)</f>
        <v>0</v>
      </c>
      <c r="G13" s="132">
        <f>IF(SER_hh_fech_in!G13=0,0,SER_hh_fech_in!G13/SER_summary!G$27)</f>
        <v>0</v>
      </c>
      <c r="H13" s="132">
        <f>IF(SER_hh_fech_in!H13=0,0,SER_hh_fech_in!H13/SER_summary!H$27)</f>
        <v>0</v>
      </c>
      <c r="I13" s="132">
        <f>IF(SER_hh_fech_in!I13=0,0,SER_hh_fech_in!I13/SER_summary!I$27)</f>
        <v>0</v>
      </c>
      <c r="J13" s="132">
        <f>IF(SER_hh_fech_in!J13=0,0,SER_hh_fech_in!J13/SER_summary!J$27)</f>
        <v>0</v>
      </c>
      <c r="K13" s="132">
        <f>IF(SER_hh_fech_in!K13=0,0,SER_hh_fech_in!K13/SER_summary!K$27)</f>
        <v>0</v>
      </c>
      <c r="L13" s="132">
        <f>IF(SER_hh_fech_in!L13=0,0,SER_hh_fech_in!L13/SER_summary!L$27)</f>
        <v>0</v>
      </c>
      <c r="M13" s="132">
        <f>IF(SER_hh_fech_in!M13=0,0,SER_hh_fech_in!M13/SER_summary!M$27)</f>
        <v>0</v>
      </c>
      <c r="N13" s="132">
        <f>IF(SER_hh_fech_in!N13=0,0,SER_hh_fech_in!N13/SER_summary!N$27)</f>
        <v>0</v>
      </c>
      <c r="O13" s="132">
        <f>IF(SER_hh_fech_in!O13=0,0,SER_hh_fech_in!O13/SER_summary!O$27)</f>
        <v>0</v>
      </c>
      <c r="P13" s="132">
        <f>IF(SER_hh_fech_in!P13=0,0,SER_hh_fech_in!P13/SER_summary!P$27)</f>
        <v>0</v>
      </c>
      <c r="Q13" s="132">
        <f>IF(SER_hh_fech_in!Q13=0,0,SER_hh_fech_in!Q13/SER_summary!Q$27)</f>
        <v>0</v>
      </c>
      <c r="R13" s="132">
        <f>IF(SER_hh_fech_in!R13=0,0,SER_hh_fech_in!R13/SER_summary!R$27)</f>
        <v>0</v>
      </c>
      <c r="S13" s="132">
        <f>IF(SER_hh_fech_in!S13=0,0,SER_hh_fech_in!S13/SER_summary!S$27)</f>
        <v>0</v>
      </c>
      <c r="T13" s="132">
        <f>IF(SER_hh_fech_in!T13=0,0,SER_hh_fech_in!T13/SER_summary!T$27)</f>
        <v>0</v>
      </c>
      <c r="U13" s="132">
        <f>IF(SER_hh_fech_in!U13=0,0,SER_hh_fech_in!U13/SER_summary!U$27)</f>
        <v>0</v>
      </c>
      <c r="V13" s="132">
        <f>IF(SER_hh_fech_in!V13=0,0,SER_hh_fech_in!V13/SER_summary!V$27)</f>
        <v>0</v>
      </c>
      <c r="W13" s="132">
        <f>IF(SER_hh_fech_in!W13=0,0,SER_hh_fech_in!W13/SER_summary!W$27)</f>
        <v>0</v>
      </c>
      <c r="X13" s="132">
        <f>IF(SER_hh_fech_in!X13=0,0,SER_hh_fech_in!X13/SER_summary!X$27)</f>
        <v>0</v>
      </c>
      <c r="Y13" s="132">
        <f>IF(SER_hh_fech_in!Y13=0,0,SER_hh_fech_in!Y13/SER_summary!Y$27)</f>
        <v>13.498767596097991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233.53422253275232</v>
      </c>
      <c r="D14" s="65">
        <f>IF(SER_hh_fech_in!D14=0,0,SER_hh_fech_in!D14/SER_summary!D$27)</f>
        <v>283.42751639144331</v>
      </c>
      <c r="E14" s="65">
        <f>IF(SER_hh_fech_in!E14=0,0,SER_hh_fech_in!E14/SER_summary!E$27)</f>
        <v>130.12622942565477</v>
      </c>
      <c r="F14" s="65">
        <f>IF(SER_hh_fech_in!F14=0,0,SER_hh_fech_in!F14/SER_summary!F$27)</f>
        <v>163.23484131190651</v>
      </c>
      <c r="G14" s="65">
        <f>IF(SER_hh_fech_in!G14=0,0,SER_hh_fech_in!G14/SER_summary!G$27)</f>
        <v>108.02295045655455</v>
      </c>
      <c r="H14" s="65">
        <f>IF(SER_hh_fech_in!H14=0,0,SER_hh_fech_in!H14/SER_summary!H$27)</f>
        <v>80.42797869358462</v>
      </c>
      <c r="I14" s="65">
        <f>IF(SER_hh_fech_in!I14=0,0,SER_hh_fech_in!I14/SER_summary!I$27)</f>
        <v>78.158748573881994</v>
      </c>
      <c r="J14" s="65">
        <f>IF(SER_hh_fech_in!J14=0,0,SER_hh_fech_in!J14/SER_summary!J$27)</f>
        <v>108.70032502251817</v>
      </c>
      <c r="K14" s="65">
        <f>IF(SER_hh_fech_in!K14=0,0,SER_hh_fech_in!K14/SER_summary!K$27)</f>
        <v>97.026463518093664</v>
      </c>
      <c r="L14" s="65">
        <f>IF(SER_hh_fech_in!L14=0,0,SER_hh_fech_in!L14/SER_summary!L$27)</f>
        <v>100.19095962296547</v>
      </c>
      <c r="M14" s="65">
        <f>IF(SER_hh_fech_in!M14=0,0,SER_hh_fech_in!M14/SER_summary!M$27)</f>
        <v>99.549392794435462</v>
      </c>
      <c r="N14" s="65">
        <f>IF(SER_hh_fech_in!N14=0,0,SER_hh_fech_in!N14/SER_summary!N$27)</f>
        <v>84.911927828208931</v>
      </c>
      <c r="O14" s="65">
        <f>IF(SER_hh_fech_in!O14=0,0,SER_hh_fech_in!O14/SER_summary!O$27)</f>
        <v>79.260940396075441</v>
      </c>
      <c r="P14" s="65">
        <f>IF(SER_hh_fech_in!P14=0,0,SER_hh_fech_in!P14/SER_summary!P$27)</f>
        <v>65.841329500893877</v>
      </c>
      <c r="Q14" s="65">
        <f>IF(SER_hh_fech_in!Q14=0,0,SER_hh_fech_in!Q14/SER_summary!Q$27)</f>
        <v>63.556281827973507</v>
      </c>
      <c r="R14" s="65">
        <f>IF(SER_hh_fech_in!R14=0,0,SER_hh_fech_in!R14/SER_summary!R$27)</f>
        <v>64.691527382087102</v>
      </c>
      <c r="S14" s="65">
        <f>IF(SER_hh_fech_in!S14=0,0,SER_hh_fech_in!S14/SER_summary!S$27)</f>
        <v>64.472734778679524</v>
      </c>
      <c r="T14" s="65">
        <f>IF(SER_hh_fech_in!T14=0,0,SER_hh_fech_in!T14/SER_summary!T$27)</f>
        <v>62.1686918777622</v>
      </c>
      <c r="U14" s="65">
        <f>IF(SER_hh_fech_in!U14=0,0,SER_hh_fech_in!U14/SER_summary!U$27)</f>
        <v>52.771488294766897</v>
      </c>
      <c r="V14" s="65">
        <f>IF(SER_hh_fech_in!V14=0,0,SER_hh_fech_in!V14/SER_summary!V$27)</f>
        <v>36.999716104156896</v>
      </c>
      <c r="W14" s="65">
        <f>IF(SER_hh_fech_in!W14=0,0,SER_hh_fech_in!W14/SER_summary!W$27)</f>
        <v>35.476453513622722</v>
      </c>
      <c r="X14" s="65">
        <f>IF(SER_hh_fech_in!X14=0,0,SER_hh_fech_in!X14/SER_summary!X$27)</f>
        <v>38.162629902396993</v>
      </c>
      <c r="Y14" s="65">
        <f>IF(SER_hh_fech_in!Y14=0,0,SER_hh_fech_in!Y14/SER_summary!Y$27)</f>
        <v>0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4.2770750005925846</v>
      </c>
      <c r="D15" s="134">
        <f>IF(SER_hh_fech_in!D15=0,0,SER_hh_fech_in!D15/SER_summary!D$27)</f>
        <v>3.5250333270952181</v>
      </c>
      <c r="E15" s="134">
        <f>IF(SER_hh_fech_in!E15=0,0,SER_hh_fech_in!E15/SER_summary!E$27)</f>
        <v>2.1489083098935877</v>
      </c>
      <c r="F15" s="134">
        <f>IF(SER_hh_fech_in!F15=0,0,SER_hh_fech_in!F15/SER_summary!F$27)</f>
        <v>1.9875562321229512</v>
      </c>
      <c r="G15" s="134">
        <f>IF(SER_hh_fech_in!G15=0,0,SER_hh_fech_in!G15/SER_summary!G$27)</f>
        <v>1.6068648602661368</v>
      </c>
      <c r="H15" s="134">
        <f>IF(SER_hh_fech_in!H15=0,0,SER_hh_fech_in!H15/SER_summary!H$27)</f>
        <v>1.0644512910592581</v>
      </c>
      <c r="I15" s="134">
        <f>IF(SER_hh_fech_in!I15=0,0,SER_hh_fech_in!I15/SER_summary!I$27)</f>
        <v>0.73534422542431688</v>
      </c>
      <c r="J15" s="134">
        <f>IF(SER_hh_fech_in!J15=0,0,SER_hh_fech_in!J15/SER_summary!J$27)</f>
        <v>1.2589434652125593</v>
      </c>
      <c r="K15" s="134">
        <f>IF(SER_hh_fech_in!K15=0,0,SER_hh_fech_in!K15/SER_summary!K$27)</f>
        <v>0.80968837644882319</v>
      </c>
      <c r="L15" s="134">
        <f>IF(SER_hh_fech_in!L15=0,0,SER_hh_fech_in!L15/SER_summary!L$27)</f>
        <v>0.55821192683710286</v>
      </c>
      <c r="M15" s="134">
        <f>IF(SER_hh_fech_in!M15=0,0,SER_hh_fech_in!M15/SER_summary!M$27)</f>
        <v>0.71884653635381734</v>
      </c>
      <c r="N15" s="134">
        <f>IF(SER_hh_fech_in!N15=0,0,SER_hh_fech_in!N15/SER_summary!N$27)</f>
        <v>0.29568718353117329</v>
      </c>
      <c r="O15" s="134">
        <f>IF(SER_hh_fech_in!O15=0,0,SER_hh_fech_in!O15/SER_summary!O$27)</f>
        <v>0.67210680956635027</v>
      </c>
      <c r="P15" s="134">
        <f>IF(SER_hh_fech_in!P15=0,0,SER_hh_fech_in!P15/SER_summary!P$27)</f>
        <v>0.80938281276060642</v>
      </c>
      <c r="Q15" s="134">
        <f>IF(SER_hh_fech_in!Q15=0,0,SER_hh_fech_in!Q15/SER_summary!Q$27)</f>
        <v>0.89857023270665937</v>
      </c>
      <c r="R15" s="134">
        <f>IF(SER_hh_fech_in!R15=0,0,SER_hh_fech_in!R15/SER_summary!R$27)</f>
        <v>0.99151484942861523</v>
      </c>
      <c r="S15" s="134">
        <f>IF(SER_hh_fech_in!S15=0,0,SER_hh_fech_in!S15/SER_summary!S$27)</f>
        <v>0.46812987162416475</v>
      </c>
      <c r="T15" s="134">
        <f>IF(SER_hh_fech_in!T15=0,0,SER_hh_fech_in!T15/SER_summary!T$27)</f>
        <v>0.59121409072133846</v>
      </c>
      <c r="U15" s="134">
        <f>IF(SER_hh_fech_in!U15=0,0,SER_hh_fech_in!U15/SER_summary!U$27)</f>
        <v>0.47267290394024875</v>
      </c>
      <c r="V15" s="134">
        <f>IF(SER_hh_fech_in!V15=0,0,SER_hh_fech_in!V15/SER_summary!V$27)</f>
        <v>0.40596267315554269</v>
      </c>
      <c r="W15" s="134">
        <f>IF(SER_hh_fech_in!W15=0,0,SER_hh_fech_in!W15/SER_summary!W$27)</f>
        <v>0.36978339875743127</v>
      </c>
      <c r="X15" s="134">
        <f>IF(SER_hh_fech_in!X15=0,0,SER_hh_fech_in!X15/SER_summary!X$27)</f>
        <v>0.44946549649873202</v>
      </c>
      <c r="Y15" s="134">
        <f>IF(SER_hh_fech_in!Y15=0,0,SER_hh_fech_in!Y15/SER_summary!Y$27)</f>
        <v>0.53083248344078393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10.980979907474433</v>
      </c>
      <c r="D16" s="130">
        <f>IF(SER_hh_fech_in!D16=0,0,SER_hh_fech_in!D16/SER_summary!D$27)</f>
        <v>10.429891001076031</v>
      </c>
      <c r="E16" s="130">
        <f>IF(SER_hh_fech_in!E16=0,0,SER_hh_fech_in!E16/SER_summary!E$27)</f>
        <v>12.646693099602945</v>
      </c>
      <c r="F16" s="130">
        <f>IF(SER_hh_fech_in!F16=0,0,SER_hh_fech_in!F16/SER_summary!F$27)</f>
        <v>9.514478520433812</v>
      </c>
      <c r="G16" s="130">
        <f>IF(SER_hh_fech_in!G16=0,0,SER_hh_fech_in!G16/SER_summary!G$27)</f>
        <v>9.2249779589496885</v>
      </c>
      <c r="H16" s="130">
        <f>IF(SER_hh_fech_in!H16=0,0,SER_hh_fech_in!H16/SER_summary!H$27)</f>
        <v>9.512949597275858</v>
      </c>
      <c r="I16" s="130">
        <f>IF(SER_hh_fech_in!I16=0,0,SER_hh_fech_in!I16/SER_summary!I$27)</f>
        <v>8.8238786202867878</v>
      </c>
      <c r="J16" s="130">
        <f>IF(SER_hh_fech_in!J16=0,0,SER_hh_fech_in!J16/SER_summary!J$27)</f>
        <v>8.3050125567907411</v>
      </c>
      <c r="K16" s="130">
        <f>IF(SER_hh_fech_in!K16=0,0,SER_hh_fech_in!K16/SER_summary!K$27)</f>
        <v>7.8987123960068653</v>
      </c>
      <c r="L16" s="130">
        <f>IF(SER_hh_fech_in!L16=0,0,SER_hh_fech_in!L16/SER_summary!L$27)</f>
        <v>7.879843237359573</v>
      </c>
      <c r="M16" s="130">
        <f>IF(SER_hh_fech_in!M16=0,0,SER_hh_fech_in!M16/SER_summary!M$27)</f>
        <v>7.4338384245802525</v>
      </c>
      <c r="N16" s="130">
        <f>IF(SER_hh_fech_in!N16=0,0,SER_hh_fech_in!N16/SER_summary!N$27)</f>
        <v>7.8924726388458355</v>
      </c>
      <c r="O16" s="130">
        <f>IF(SER_hh_fech_in!O16=0,0,SER_hh_fech_in!O16/SER_summary!O$27)</f>
        <v>7.6411790816516199</v>
      </c>
      <c r="P16" s="130">
        <f>IF(SER_hh_fech_in!P16=0,0,SER_hh_fech_in!P16/SER_summary!P$27)</f>
        <v>5.8153878897574751</v>
      </c>
      <c r="Q16" s="130">
        <f>IF(SER_hh_fech_in!Q16=0,0,SER_hh_fech_in!Q16/SER_summary!Q$27)</f>
        <v>6.8817903826010403</v>
      </c>
      <c r="R16" s="130">
        <f>IF(SER_hh_fech_in!R16=0,0,SER_hh_fech_in!R16/SER_summary!R$27)</f>
        <v>5.3692668464040949</v>
      </c>
      <c r="S16" s="130">
        <f>IF(SER_hh_fech_in!S16=0,0,SER_hh_fech_in!S16/SER_summary!S$27)</f>
        <v>6.2422726392082009</v>
      </c>
      <c r="T16" s="130">
        <f>IF(SER_hh_fech_in!T16=0,0,SER_hh_fech_in!T16/SER_summary!T$27)</f>
        <v>5.2764614341734672</v>
      </c>
      <c r="U16" s="130">
        <f>IF(SER_hh_fech_in!U16=0,0,SER_hh_fech_in!U16/SER_summary!U$27)</f>
        <v>5.457473035876558</v>
      </c>
      <c r="V16" s="130">
        <f>IF(SER_hh_fech_in!V16=0,0,SER_hh_fech_in!V16/SER_summary!V$27)</f>
        <v>4.6190054000246397</v>
      </c>
      <c r="W16" s="130">
        <f>IF(SER_hh_fech_in!W16=0,0,SER_hh_fech_in!W16/SER_summary!W$27)</f>
        <v>4.6878951135140587</v>
      </c>
      <c r="X16" s="130">
        <f>IF(SER_hh_fech_in!X16=0,0,SER_hh_fech_in!X16/SER_summary!X$27)</f>
        <v>4.5284339073927429</v>
      </c>
      <c r="Y16" s="130">
        <f>IF(SER_hh_fech_in!Y16=0,0,SER_hh_fech_in!Y16/SER_summary!Y$27)</f>
        <v>4.476323878557106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10.980979907474433</v>
      </c>
      <c r="D18" s="132">
        <f>IF(SER_hh_fech_in!D18=0,0,SER_hh_fech_in!D18/SER_summary!D$27)</f>
        <v>10.429891001076031</v>
      </c>
      <c r="E18" s="132">
        <f>IF(SER_hh_fech_in!E18=0,0,SER_hh_fech_in!E18/SER_summary!E$27)</f>
        <v>12.646693099602945</v>
      </c>
      <c r="F18" s="132">
        <f>IF(SER_hh_fech_in!F18=0,0,SER_hh_fech_in!F18/SER_summary!F$27)</f>
        <v>9.514478520433812</v>
      </c>
      <c r="G18" s="132">
        <f>IF(SER_hh_fech_in!G18=0,0,SER_hh_fech_in!G18/SER_summary!G$27)</f>
        <v>9.2249779589496885</v>
      </c>
      <c r="H18" s="132">
        <f>IF(SER_hh_fech_in!H18=0,0,SER_hh_fech_in!H18/SER_summary!H$27)</f>
        <v>9.512949597275858</v>
      </c>
      <c r="I18" s="132">
        <f>IF(SER_hh_fech_in!I18=0,0,SER_hh_fech_in!I18/SER_summary!I$27)</f>
        <v>8.8238786202867878</v>
      </c>
      <c r="J18" s="132">
        <f>IF(SER_hh_fech_in!J18=0,0,SER_hh_fech_in!J18/SER_summary!J$27)</f>
        <v>8.3050125567907411</v>
      </c>
      <c r="K18" s="132">
        <f>IF(SER_hh_fech_in!K18=0,0,SER_hh_fech_in!K18/SER_summary!K$27)</f>
        <v>7.8987123960068653</v>
      </c>
      <c r="L18" s="132">
        <f>IF(SER_hh_fech_in!L18=0,0,SER_hh_fech_in!L18/SER_summary!L$27)</f>
        <v>7.879843237359573</v>
      </c>
      <c r="M18" s="132">
        <f>IF(SER_hh_fech_in!M18=0,0,SER_hh_fech_in!M18/SER_summary!M$27)</f>
        <v>7.4338384245802525</v>
      </c>
      <c r="N18" s="132">
        <f>IF(SER_hh_fech_in!N18=0,0,SER_hh_fech_in!N18/SER_summary!N$27)</f>
        <v>7.8924726388458355</v>
      </c>
      <c r="O18" s="132">
        <f>IF(SER_hh_fech_in!O18=0,0,SER_hh_fech_in!O18/SER_summary!O$27)</f>
        <v>7.6411790816516199</v>
      </c>
      <c r="P18" s="132">
        <f>IF(SER_hh_fech_in!P18=0,0,SER_hh_fech_in!P18/SER_summary!P$27)</f>
        <v>5.8153878897574751</v>
      </c>
      <c r="Q18" s="132">
        <f>IF(SER_hh_fech_in!Q18=0,0,SER_hh_fech_in!Q18/SER_summary!Q$27)</f>
        <v>6.8817903826010403</v>
      </c>
      <c r="R18" s="132">
        <f>IF(SER_hh_fech_in!R18=0,0,SER_hh_fech_in!R18/SER_summary!R$27)</f>
        <v>5.3692668464040949</v>
      </c>
      <c r="S18" s="132">
        <f>IF(SER_hh_fech_in!S18=0,0,SER_hh_fech_in!S18/SER_summary!S$27)</f>
        <v>6.2422726392082009</v>
      </c>
      <c r="T18" s="132">
        <f>IF(SER_hh_fech_in!T18=0,0,SER_hh_fech_in!T18/SER_summary!T$27)</f>
        <v>5.2764614341734672</v>
      </c>
      <c r="U18" s="132">
        <f>IF(SER_hh_fech_in!U18=0,0,SER_hh_fech_in!U18/SER_summary!U$27)</f>
        <v>5.457473035876558</v>
      </c>
      <c r="V18" s="132">
        <f>IF(SER_hh_fech_in!V18=0,0,SER_hh_fech_in!V18/SER_summary!V$27)</f>
        <v>4.6190054000246397</v>
      </c>
      <c r="W18" s="132">
        <f>IF(SER_hh_fech_in!W18=0,0,SER_hh_fech_in!W18/SER_summary!W$27)</f>
        <v>4.6878951135140587</v>
      </c>
      <c r="X18" s="132">
        <f>IF(SER_hh_fech_in!X18=0,0,SER_hh_fech_in!X18/SER_summary!X$27)</f>
        <v>4.5284339073927429</v>
      </c>
      <c r="Y18" s="132">
        <f>IF(SER_hh_fech_in!Y18=0,0,SER_hh_fech_in!Y18/SER_summary!Y$27)</f>
        <v>4.476323878557106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22.533061037154113</v>
      </c>
      <c r="D19" s="130">
        <f>IF(SER_hh_fech_in!D19=0,0,SER_hh_fech_in!D19/SER_summary!D$27)</f>
        <v>22.765452942259245</v>
      </c>
      <c r="E19" s="130">
        <f>IF(SER_hh_fech_in!E19=0,0,SER_hh_fech_in!E19/SER_summary!E$27)</f>
        <v>22.866479363746695</v>
      </c>
      <c r="F19" s="130">
        <f>IF(SER_hh_fech_in!F19=0,0,SER_hh_fech_in!F19/SER_summary!F$27)</f>
        <v>21.952380215738742</v>
      </c>
      <c r="G19" s="130">
        <f>IF(SER_hh_fech_in!G19=0,0,SER_hh_fech_in!G19/SER_summary!G$27)</f>
        <v>21.50289555934356</v>
      </c>
      <c r="H19" s="130">
        <f>IF(SER_hh_fech_in!H19=0,0,SER_hh_fech_in!H19/SER_summary!H$27)</f>
        <v>21.198042312650617</v>
      </c>
      <c r="I19" s="130">
        <f>IF(SER_hh_fech_in!I19=0,0,SER_hh_fech_in!I19/SER_summary!I$27)</f>
        <v>20.215474233722205</v>
      </c>
      <c r="J19" s="130">
        <f>IF(SER_hh_fech_in!J19=0,0,SER_hh_fech_in!J19/SER_summary!J$27)</f>
        <v>19.098439767460384</v>
      </c>
      <c r="K19" s="130">
        <f>IF(SER_hh_fech_in!K19=0,0,SER_hh_fech_in!K19/SER_summary!K$27)</f>
        <v>17.699496535343123</v>
      </c>
      <c r="L19" s="130">
        <f>IF(SER_hh_fech_in!L19=0,0,SER_hh_fech_in!L19/SER_summary!L$27)</f>
        <v>17.053978529163327</v>
      </c>
      <c r="M19" s="130">
        <f>IF(SER_hh_fech_in!M19=0,0,SER_hh_fech_in!M19/SER_summary!M$27)</f>
        <v>17.652950281129307</v>
      </c>
      <c r="N19" s="130">
        <f>IF(SER_hh_fech_in!N19=0,0,SER_hh_fech_in!N19/SER_summary!N$27)</f>
        <v>17.282055869213373</v>
      </c>
      <c r="O19" s="130">
        <f>IF(SER_hh_fech_in!O19=0,0,SER_hh_fech_in!O19/SER_summary!O$27)</f>
        <v>17.388301902554883</v>
      </c>
      <c r="P19" s="130">
        <f>IF(SER_hh_fech_in!P19=0,0,SER_hh_fech_in!P19/SER_summary!P$27)</f>
        <v>17.413246218328872</v>
      </c>
      <c r="Q19" s="130">
        <f>IF(SER_hh_fech_in!Q19=0,0,SER_hh_fech_in!Q19/SER_summary!Q$27)</f>
        <v>17.490453077689423</v>
      </c>
      <c r="R19" s="130">
        <f>IF(SER_hh_fech_in!R19=0,0,SER_hh_fech_in!R19/SER_summary!R$27)</f>
        <v>16.492257064905196</v>
      </c>
      <c r="S19" s="130">
        <f>IF(SER_hh_fech_in!S19=0,0,SER_hh_fech_in!S19/SER_summary!S$27)</f>
        <v>16.639011867061352</v>
      </c>
      <c r="T19" s="130">
        <f>IF(SER_hh_fech_in!T19=0,0,SER_hh_fech_in!T19/SER_summary!T$27)</f>
        <v>17.858295296903044</v>
      </c>
      <c r="U19" s="130">
        <f>IF(SER_hh_fech_in!U19=0,0,SER_hh_fech_in!U19/SER_summary!U$27)</f>
        <v>16.919025728666544</v>
      </c>
      <c r="V19" s="130">
        <f>IF(SER_hh_fech_in!V19=0,0,SER_hh_fech_in!V19/SER_summary!V$27)</f>
        <v>16.20829464835192</v>
      </c>
      <c r="W19" s="130">
        <f>IF(SER_hh_fech_in!W19=0,0,SER_hh_fech_in!W19/SER_summary!W$27)</f>
        <v>15.665444107740647</v>
      </c>
      <c r="X19" s="130">
        <f>IF(SER_hh_fech_in!X19=0,0,SER_hh_fech_in!X19/SER_summary!X$27)</f>
        <v>14.904424386687905</v>
      </c>
      <c r="Y19" s="130">
        <f>IF(SER_hh_fech_in!Y19=0,0,SER_hh_fech_in!Y19/SER_summary!Y$27)</f>
        <v>15.91425534699073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22.486992002743381</v>
      </c>
      <c r="D21" s="132">
        <f>IF(SER_hh_fech_in!D21=0,0,SER_hh_fech_in!D21/SER_summary!D$27)</f>
        <v>23.972040949082285</v>
      </c>
      <c r="E21" s="132">
        <f>IF(SER_hh_fech_in!E21=0,0,SER_hh_fech_in!E21/SER_summary!E$27)</f>
        <v>23.200229563840967</v>
      </c>
      <c r="F21" s="132">
        <f>IF(SER_hh_fech_in!F21=0,0,SER_hh_fech_in!F21/SER_summary!F$27)</f>
        <v>22.509428458648696</v>
      </c>
      <c r="G21" s="132">
        <f>IF(SER_hh_fech_in!G21=0,0,SER_hh_fech_in!G21/SER_summary!G$27)</f>
        <v>22.028992525026538</v>
      </c>
      <c r="H21" s="132">
        <f>IF(SER_hh_fech_in!H21=0,0,SER_hh_fech_in!H21/SER_summary!H$27)</f>
        <v>21.559076629216715</v>
      </c>
      <c r="I21" s="132">
        <f>IF(SER_hh_fech_in!I21=0,0,SER_hh_fech_in!I21/SER_summary!I$27)</f>
        <v>21.380521462844566</v>
      </c>
      <c r="J21" s="132">
        <f>IF(SER_hh_fech_in!J21=0,0,SER_hh_fech_in!J21/SER_summary!J$27)</f>
        <v>20.610271447131709</v>
      </c>
      <c r="K21" s="132">
        <f>IF(SER_hh_fech_in!K21=0,0,SER_hh_fech_in!K21/SER_summary!K$27)</f>
        <v>20.696687380330289</v>
      </c>
      <c r="L21" s="132">
        <f>IF(SER_hh_fech_in!L21=0,0,SER_hh_fech_in!L21/SER_summary!L$27)</f>
        <v>21.356340089552905</v>
      </c>
      <c r="M21" s="132">
        <f>IF(SER_hh_fech_in!M21=0,0,SER_hh_fech_in!M21/SER_summary!M$27)</f>
        <v>19.899348756581439</v>
      </c>
      <c r="N21" s="132">
        <f>IF(SER_hh_fech_in!N21=0,0,SER_hh_fech_in!N21/SER_summary!N$27)</f>
        <v>20.505996796673742</v>
      </c>
      <c r="O21" s="132">
        <f>IF(SER_hh_fech_in!O21=0,0,SER_hh_fech_in!O21/SER_summary!O$27)</f>
        <v>19.766597614584509</v>
      </c>
      <c r="P21" s="132">
        <f>IF(SER_hh_fech_in!P21=0,0,SER_hh_fech_in!P21/SER_summary!P$27)</f>
        <v>0</v>
      </c>
      <c r="Q21" s="132">
        <f>IF(SER_hh_fech_in!Q21=0,0,SER_hh_fech_in!Q21/SER_summary!Q$27)</f>
        <v>18.42324571079023</v>
      </c>
      <c r="R21" s="132">
        <f>IF(SER_hh_fech_in!R21=0,0,SER_hh_fech_in!R21/SER_summary!R$27)</f>
        <v>14.018174943641178</v>
      </c>
      <c r="S21" s="132">
        <f>IF(SER_hh_fech_in!S21=0,0,SER_hh_fech_in!S21/SER_summary!S$27)</f>
        <v>15.620293438815207</v>
      </c>
      <c r="T21" s="132">
        <f>IF(SER_hh_fech_in!T21=0,0,SER_hh_fech_in!T21/SER_summary!T$27)</f>
        <v>20.607936449902901</v>
      </c>
      <c r="U21" s="132">
        <f>IF(SER_hh_fech_in!U21=0,0,SER_hh_fech_in!U21/SER_summary!U$27)</f>
        <v>23.722485874607852</v>
      </c>
      <c r="V21" s="132">
        <f>IF(SER_hh_fech_in!V21=0,0,SER_hh_fech_in!V21/SER_summary!V$27)</f>
        <v>18.697229162974185</v>
      </c>
      <c r="W21" s="132">
        <f>IF(SER_hh_fech_in!W21=0,0,SER_hh_fech_in!W21/SER_summary!W$27)</f>
        <v>13.994969647251381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26.374623335956336</v>
      </c>
      <c r="D22" s="132">
        <f>IF(SER_hh_fech_in!D22=0,0,SER_hh_fech_in!D22/SER_summary!D$27)</f>
        <v>23.351322300086352</v>
      </c>
      <c r="E22" s="132">
        <f>IF(SER_hh_fech_in!E22=0,0,SER_hh_fech_in!E22/SER_summary!E$27)</f>
        <v>25.081183683274308</v>
      </c>
      <c r="F22" s="132">
        <f>IF(SER_hh_fech_in!F22=0,0,SER_hh_fech_in!F22/SER_summary!F$27)</f>
        <v>24.206448889904895</v>
      </c>
      <c r="G22" s="132">
        <f>IF(SER_hh_fech_in!G22=0,0,SER_hh_fech_in!G22/SER_summary!G$27)</f>
        <v>23.526204952191978</v>
      </c>
      <c r="H22" s="132">
        <f>IF(SER_hh_fech_in!H22=0,0,SER_hh_fech_in!H22/SER_summary!H$27)</f>
        <v>23.001232852679159</v>
      </c>
      <c r="I22" s="132">
        <f>IF(SER_hh_fech_in!I22=0,0,SER_hh_fech_in!I22/SER_summary!I$27)</f>
        <v>22.789962221523012</v>
      </c>
      <c r="J22" s="132">
        <f>IF(SER_hh_fech_in!J22=0,0,SER_hh_fech_in!J22/SER_summary!J$27)</f>
        <v>21.533714200755984</v>
      </c>
      <c r="K22" s="132">
        <f>IF(SER_hh_fech_in!K22=0,0,SER_hh_fech_in!K22/SER_summary!K$27)</f>
        <v>22.249523395025143</v>
      </c>
      <c r="L22" s="132">
        <f>IF(SER_hh_fech_in!L22=0,0,SER_hh_fech_in!L22/SER_summary!L$27)</f>
        <v>0</v>
      </c>
      <c r="M22" s="132">
        <f>IF(SER_hh_fech_in!M22=0,0,SER_hh_fech_in!M22/SER_summary!M$27)</f>
        <v>0</v>
      </c>
      <c r="N22" s="132">
        <f>IF(SER_hh_fech_in!N22=0,0,SER_hh_fech_in!N22/SER_summary!N$27)</f>
        <v>0</v>
      </c>
      <c r="O22" s="132">
        <f>IF(SER_hh_fech_in!O22=0,0,SER_hh_fech_in!O22/SER_summary!O$27)</f>
        <v>0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20.989288952470051</v>
      </c>
      <c r="S22" s="132">
        <f>IF(SER_hh_fech_in!S22=0,0,SER_hh_fech_in!S22/SER_summary!S$27)</f>
        <v>17.019683342402534</v>
      </c>
      <c r="T22" s="132">
        <f>IF(SER_hh_fech_in!T22=0,0,SER_hh_fech_in!T22/SER_summary!T$27)</f>
        <v>19.511040415231673</v>
      </c>
      <c r="U22" s="132">
        <f>IF(SER_hh_fech_in!U22=0,0,SER_hh_fech_in!U22/SER_summary!U$27)</f>
        <v>16.55970059344093</v>
      </c>
      <c r="V22" s="132">
        <f>IF(SER_hh_fech_in!V22=0,0,SER_hh_fech_in!V22/SER_summary!V$27)</f>
        <v>18.161689088119925</v>
      </c>
      <c r="W22" s="132">
        <f>IF(SER_hh_fech_in!W22=0,0,SER_hh_fech_in!W22/SER_summary!W$27)</f>
        <v>17.281616648455241</v>
      </c>
      <c r="X22" s="132">
        <f>IF(SER_hh_fech_in!X22=0,0,SER_hh_fech_in!X22/SER_summary!X$27)</f>
        <v>17.111066504347484</v>
      </c>
      <c r="Y22" s="132">
        <f>IF(SER_hh_fech_in!Y22=0,0,SER_hh_fech_in!Y22/SER_summary!Y$27)</f>
        <v>17.798451821667697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23.617160121116481</v>
      </c>
      <c r="D23" s="132">
        <f>IF(SER_hh_fech_in!D23=0,0,SER_hh_fech_in!D23/SER_summary!D$27)</f>
        <v>22.476201210259752</v>
      </c>
      <c r="E23" s="132">
        <f>IF(SER_hh_fech_in!E23=0,0,SER_hh_fech_in!E23/SER_summary!E$27)</f>
        <v>21.9452048141458</v>
      </c>
      <c r="F23" s="132">
        <f>IF(SER_hh_fech_in!F23=0,0,SER_hh_fech_in!F23/SER_summary!F$27)</f>
        <v>21.727481640616116</v>
      </c>
      <c r="G23" s="132">
        <f>IF(SER_hh_fech_in!G23=0,0,SER_hh_fech_in!G23/SER_summary!G$27)</f>
        <v>21.181479382588954</v>
      </c>
      <c r="H23" s="132">
        <f>IF(SER_hh_fech_in!H23=0,0,SER_hh_fech_in!H23/SER_summary!H$27)</f>
        <v>20.140320864751935</v>
      </c>
      <c r="I23" s="132">
        <f>IF(SER_hh_fech_in!I23=0,0,SER_hh_fech_in!I23/SER_summary!I$27)</f>
        <v>19.125667449565718</v>
      </c>
      <c r="J23" s="132">
        <f>IF(SER_hh_fech_in!J23=0,0,SER_hh_fech_in!J23/SER_summary!J$27)</f>
        <v>17.605357841320245</v>
      </c>
      <c r="K23" s="132">
        <f>IF(SER_hh_fech_in!K23=0,0,SER_hh_fech_in!K23/SER_summary!K$27)</f>
        <v>21.373725351890709</v>
      </c>
      <c r="L23" s="132">
        <f>IF(SER_hh_fech_in!L23=0,0,SER_hh_fech_in!L23/SER_summary!L$27)</f>
        <v>20.690966597595256</v>
      </c>
      <c r="M23" s="132">
        <f>IF(SER_hh_fech_in!M23=0,0,SER_hh_fech_in!M23/SER_summary!M$27)</f>
        <v>19.305058015898783</v>
      </c>
      <c r="N23" s="132">
        <f>IF(SER_hh_fech_in!N23=0,0,SER_hh_fech_in!N23/SER_summary!N$27)</f>
        <v>18.971864697186749</v>
      </c>
      <c r="O23" s="132">
        <f>IF(SER_hh_fech_in!O23=0,0,SER_hh_fech_in!O23/SER_summary!O$27)</f>
        <v>18.66458212474517</v>
      </c>
      <c r="P23" s="132">
        <f>IF(SER_hh_fech_in!P23=0,0,SER_hh_fech_in!P23/SER_summary!P$27)</f>
        <v>18.091307761993431</v>
      </c>
      <c r="Q23" s="132">
        <f>IF(SER_hh_fech_in!Q23=0,0,SER_hh_fech_in!Q23/SER_summary!Q$27)</f>
        <v>16.921530152282209</v>
      </c>
      <c r="R23" s="132">
        <f>IF(SER_hh_fech_in!R23=0,0,SER_hh_fech_in!R23/SER_summary!R$27)</f>
        <v>21.582538601816157</v>
      </c>
      <c r="S23" s="132">
        <f>IF(SER_hh_fech_in!S23=0,0,SER_hh_fech_in!S23/SER_summary!S$27)</f>
        <v>0</v>
      </c>
      <c r="T23" s="132">
        <f>IF(SER_hh_fech_in!T23=0,0,SER_hh_fech_in!T23/SER_summary!T$27)</f>
        <v>0</v>
      </c>
      <c r="U23" s="132">
        <f>IF(SER_hh_fech_in!U23=0,0,SER_hh_fech_in!U23/SER_summary!U$27)</f>
        <v>0</v>
      </c>
      <c r="V23" s="132">
        <f>IF(SER_hh_fech_in!V23=0,0,SER_hh_fech_in!V23/SER_summary!V$27)</f>
        <v>0</v>
      </c>
      <c r="W23" s="132">
        <f>IF(SER_hh_fech_in!W23=0,0,SER_hh_fech_in!W23/SER_summary!W$27)</f>
        <v>12.897474761494669</v>
      </c>
      <c r="X23" s="132">
        <f>IF(SER_hh_fech_in!X23=0,0,SER_hh_fech_in!X23/SER_summary!X$27)</f>
        <v>18.466355619147983</v>
      </c>
      <c r="Y23" s="132">
        <f>IF(SER_hh_fech_in!Y23=0,0,SER_hh_fech_in!Y23/SER_summary!Y$27)</f>
        <v>16.414221781159004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19.91299667955041</v>
      </c>
      <c r="D25" s="132">
        <f>IF(SER_hh_fech_in!D25=0,0,SER_hh_fech_in!D25/SER_summary!D$27)</f>
        <v>17.104027709748816</v>
      </c>
      <c r="E25" s="132">
        <f>IF(SER_hh_fech_in!E25=0,0,SER_hh_fech_in!E25/SER_summary!E$27)</f>
        <v>15.446133103877807</v>
      </c>
      <c r="F25" s="132">
        <f>IF(SER_hh_fech_in!F25=0,0,SER_hh_fech_in!F25/SER_summary!F$27)</f>
        <v>16.218243825083892</v>
      </c>
      <c r="G25" s="132">
        <f>IF(SER_hh_fech_in!G25=0,0,SER_hh_fech_in!G25/SER_summary!G$27)</f>
        <v>15.975927748609127</v>
      </c>
      <c r="H25" s="132">
        <f>IF(SER_hh_fech_in!H25=0,0,SER_hh_fech_in!H25/SER_summary!H$27)</f>
        <v>14.119801870075658</v>
      </c>
      <c r="I25" s="132">
        <f>IF(SER_hh_fech_in!I25=0,0,SER_hh_fech_in!I25/SER_summary!I$27)</f>
        <v>14.554963038215451</v>
      </c>
      <c r="J25" s="132">
        <f>IF(SER_hh_fech_in!J25=0,0,SER_hh_fech_in!J25/SER_summary!J$27)</f>
        <v>13.044294732461234</v>
      </c>
      <c r="K25" s="132">
        <f>IF(SER_hh_fech_in!K25=0,0,SER_hh_fech_in!K25/SER_summary!K$27)</f>
        <v>13.864222233587132</v>
      </c>
      <c r="L25" s="132">
        <f>IF(SER_hh_fech_in!L25=0,0,SER_hh_fech_in!L25/SER_summary!L$27)</f>
        <v>14.846184424060157</v>
      </c>
      <c r="M25" s="132">
        <f>IF(SER_hh_fech_in!M25=0,0,SER_hh_fech_in!M25/SER_summary!M$27)</f>
        <v>15.227190941539369</v>
      </c>
      <c r="N25" s="132">
        <f>IF(SER_hh_fech_in!N25=0,0,SER_hh_fech_in!N25/SER_summary!N$27)</f>
        <v>15.178282912620947</v>
      </c>
      <c r="O25" s="132">
        <f>IF(SER_hh_fech_in!O25=0,0,SER_hh_fech_in!O25/SER_summary!O$27)</f>
        <v>15.315593311180551</v>
      </c>
      <c r="P25" s="132">
        <f>IF(SER_hh_fech_in!P25=0,0,SER_hh_fech_in!P25/SER_summary!P$27)</f>
        <v>15.827966981771706</v>
      </c>
      <c r="Q25" s="132">
        <f>IF(SER_hh_fech_in!Q25=0,0,SER_hh_fech_in!Q25/SER_summary!Q$27)</f>
        <v>15.311349349198423</v>
      </c>
      <c r="R25" s="132">
        <f>IF(SER_hh_fech_in!R25=0,0,SER_hh_fech_in!R25/SER_summary!R$27)</f>
        <v>14.044694922892496</v>
      </c>
      <c r="S25" s="132">
        <f>IF(SER_hh_fech_in!S25=0,0,SER_hh_fech_in!S25/SER_summary!S$27)</f>
        <v>15.91643466662128</v>
      </c>
      <c r="T25" s="132">
        <f>IF(SER_hh_fech_in!T25=0,0,SER_hh_fech_in!T25/SER_summary!T$27)</f>
        <v>16.562470561024437</v>
      </c>
      <c r="U25" s="132">
        <f>IF(SER_hh_fech_in!U25=0,0,SER_hh_fech_in!U25/SER_summary!U$27)</f>
        <v>14.154130061748695</v>
      </c>
      <c r="V25" s="132">
        <f>IF(SER_hh_fech_in!V25=0,0,SER_hh_fech_in!V25/SER_summary!V$27)</f>
        <v>13.99020525675998</v>
      </c>
      <c r="W25" s="132">
        <f>IF(SER_hh_fech_in!W25=0,0,SER_hh_fech_in!W25/SER_summary!W$27)</f>
        <v>15.03540696831511</v>
      </c>
      <c r="X25" s="132">
        <f>IF(SER_hh_fech_in!X25=0,0,SER_hh_fech_in!X25/SER_summary!X$27)</f>
        <v>15.070567551790157</v>
      </c>
      <c r="Y25" s="132">
        <f>IF(SER_hh_fech_in!Y25=0,0,SER_hh_fech_in!Y25/SER_summary!Y$27)</f>
        <v>14.381061248930695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16.907691077854196</v>
      </c>
      <c r="D26" s="65">
        <f>IF(SER_hh_fech_in!D26=0,0,SER_hh_fech_in!D26/SER_summary!D$27)</f>
        <v>20.635312359591207</v>
      </c>
      <c r="E26" s="65">
        <f>IF(SER_hh_fech_in!E26=0,0,SER_hh_fech_in!E26/SER_summary!E$27)</f>
        <v>17.837851827764705</v>
      </c>
      <c r="F26" s="65">
        <f>IF(SER_hh_fech_in!F26=0,0,SER_hh_fech_in!F26/SER_summary!F$27)</f>
        <v>17.268054402607468</v>
      </c>
      <c r="G26" s="65">
        <f>IF(SER_hh_fech_in!G26=0,0,SER_hh_fech_in!G26/SER_summary!G$27)</f>
        <v>18.758443681748162</v>
      </c>
      <c r="H26" s="65">
        <f>IF(SER_hh_fech_in!H26=0,0,SER_hh_fech_in!H26/SER_summary!H$27)</f>
        <v>18.778044410607311</v>
      </c>
      <c r="I26" s="65">
        <f>IF(SER_hh_fech_in!I26=0,0,SER_hh_fech_in!I26/SER_summary!I$27)</f>
        <v>16.452370861182747</v>
      </c>
      <c r="J26" s="65">
        <f>IF(SER_hh_fech_in!J26=0,0,SER_hh_fech_in!J26/SER_summary!J$27)</f>
        <v>18.89423969753005</v>
      </c>
      <c r="K26" s="65">
        <f>IF(SER_hh_fech_in!K26=0,0,SER_hh_fech_in!K26/SER_summary!K$27)</f>
        <v>17.700373437744318</v>
      </c>
      <c r="L26" s="65">
        <f>IF(SER_hh_fech_in!L26=0,0,SER_hh_fech_in!L26/SER_summary!L$27)</f>
        <v>16.505627233499951</v>
      </c>
      <c r="M26" s="65">
        <f>IF(SER_hh_fech_in!M26=0,0,SER_hh_fech_in!M26/SER_summary!M$27)</f>
        <v>18.290133661058125</v>
      </c>
      <c r="N26" s="65">
        <f>IF(SER_hh_fech_in!N26=0,0,SER_hh_fech_in!N26/SER_summary!N$27)</f>
        <v>17.234078512024304</v>
      </c>
      <c r="O26" s="65">
        <f>IF(SER_hh_fech_in!O26=0,0,SER_hh_fech_in!O26/SER_summary!O$27)</f>
        <v>17.58588915611853</v>
      </c>
      <c r="P26" s="65">
        <f>IF(SER_hh_fech_in!P26=0,0,SER_hh_fech_in!P26/SER_summary!P$27)</f>
        <v>17.675475361777828</v>
      </c>
      <c r="Q26" s="65">
        <f>IF(SER_hh_fech_in!Q26=0,0,SER_hh_fech_in!Q26/SER_summary!Q$27)</f>
        <v>17.937936513467736</v>
      </c>
      <c r="R26" s="65">
        <f>IF(SER_hh_fech_in!R26=0,0,SER_hh_fech_in!R26/SER_summary!R$27)</f>
        <v>18.045567571839317</v>
      </c>
      <c r="S26" s="65">
        <f>IF(SER_hh_fech_in!S26=0,0,SER_hh_fech_in!S26/SER_summary!S$27)</f>
        <v>17.522700921470019</v>
      </c>
      <c r="T26" s="65">
        <f>IF(SER_hh_fech_in!T26=0,0,SER_hh_fech_in!T26/SER_summary!T$27)</f>
        <v>14.296675581851026</v>
      </c>
      <c r="U26" s="65">
        <f>IF(SER_hh_fech_in!U26=0,0,SER_hh_fech_in!U26/SER_summary!U$27)</f>
        <v>14.670731216067098</v>
      </c>
      <c r="V26" s="65">
        <f>IF(SER_hh_fech_in!V26=0,0,SER_hh_fech_in!V26/SER_summary!V$27)</f>
        <v>14.325519696958292</v>
      </c>
      <c r="W26" s="65">
        <f>IF(SER_hh_fech_in!W26=0,0,SER_hh_fech_in!W26/SER_summary!W$27)</f>
        <v>15.416782533792928</v>
      </c>
      <c r="X26" s="65">
        <f>IF(SER_hh_fech_in!X26=0,0,SER_hh_fech_in!X26/SER_summary!X$27)</f>
        <v>13.970136966458888</v>
      </c>
      <c r="Y26" s="65">
        <f>IF(SER_hh_fech_in!Y26=0,0,SER_hh_fech_in!Y26/SER_summary!Y$27)</f>
        <v>15.728743985793527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27.147627208012128</v>
      </c>
      <c r="D29" s="130">
        <f>IF(SER_hh_fech_in!D29=0,0,SER_hh_fech_in!D29/SER_summary!D$27)</f>
        <v>24.877304631880701</v>
      </c>
      <c r="E29" s="130">
        <f>IF(SER_hh_fech_in!E29=0,0,SER_hh_fech_in!E29/SER_summary!E$27)</f>
        <v>23.52094816813365</v>
      </c>
      <c r="F29" s="130">
        <f>IF(SER_hh_fech_in!F29=0,0,SER_hh_fech_in!F29/SER_summary!F$27)</f>
        <v>19.906166531111438</v>
      </c>
      <c r="G29" s="130">
        <f>IF(SER_hh_fech_in!G29=0,0,SER_hh_fech_in!G29/SER_summary!G$27)</f>
        <v>21.117915500353973</v>
      </c>
      <c r="H29" s="130">
        <f>IF(SER_hh_fech_in!H29=0,0,SER_hh_fech_in!H29/SER_summary!H$27)</f>
        <v>20.840653038320863</v>
      </c>
      <c r="I29" s="130">
        <f>IF(SER_hh_fech_in!I29=0,0,SER_hh_fech_in!I29/SER_summary!I$27)</f>
        <v>29.077242944050703</v>
      </c>
      <c r="J29" s="130">
        <f>IF(SER_hh_fech_in!J29=0,0,SER_hh_fech_in!J29/SER_summary!J$27)</f>
        <v>20.66000298201671</v>
      </c>
      <c r="K29" s="130">
        <f>IF(SER_hh_fech_in!K29=0,0,SER_hh_fech_in!K29/SER_summary!K$27)</f>
        <v>21.714328917503849</v>
      </c>
      <c r="L29" s="130">
        <f>IF(SER_hh_fech_in!L29=0,0,SER_hh_fech_in!L29/SER_summary!L$27)</f>
        <v>21.834111886493044</v>
      </c>
      <c r="M29" s="130">
        <f>IF(SER_hh_fech_in!M29=0,0,SER_hh_fech_in!M29/SER_summary!M$27)</f>
        <v>21.427098033212896</v>
      </c>
      <c r="N29" s="130">
        <f>IF(SER_hh_fech_in!N29=0,0,SER_hh_fech_in!N29/SER_summary!N$27)</f>
        <v>19.48023554885317</v>
      </c>
      <c r="O29" s="130">
        <f>IF(SER_hh_fech_in!O29=0,0,SER_hh_fech_in!O29/SER_summary!O$27)</f>
        <v>21.305474259992746</v>
      </c>
      <c r="P29" s="130">
        <f>IF(SER_hh_fech_in!P29=0,0,SER_hh_fech_in!P29/SER_summary!P$27)</f>
        <v>22.754909247986777</v>
      </c>
      <c r="Q29" s="130">
        <f>IF(SER_hh_fech_in!Q29=0,0,SER_hh_fech_in!Q29/SER_summary!Q$27)</f>
        <v>22.531537365288898</v>
      </c>
      <c r="R29" s="130">
        <f>IF(SER_hh_fech_in!R29=0,0,SER_hh_fech_in!R29/SER_summary!R$27)</f>
        <v>21.903182429349098</v>
      </c>
      <c r="S29" s="130">
        <f>IF(SER_hh_fech_in!S29=0,0,SER_hh_fech_in!S29/SER_summary!S$27)</f>
        <v>23.873844949579137</v>
      </c>
      <c r="T29" s="130">
        <f>IF(SER_hh_fech_in!T29=0,0,SER_hh_fech_in!T29/SER_summary!T$27)</f>
        <v>25.927004930848703</v>
      </c>
      <c r="U29" s="130">
        <f>IF(SER_hh_fech_in!U29=0,0,SER_hh_fech_in!U29/SER_summary!U$27)</f>
        <v>27.153524161462208</v>
      </c>
      <c r="V29" s="130">
        <f>IF(SER_hh_fech_in!V29=0,0,SER_hh_fech_in!V29/SER_summary!V$27)</f>
        <v>21.642801633275685</v>
      </c>
      <c r="W29" s="130">
        <f>IF(SER_hh_fech_in!W29=0,0,SER_hh_fech_in!W29/SER_summary!W$27)</f>
        <v>20.456983711557573</v>
      </c>
      <c r="X29" s="130">
        <f>IF(SER_hh_fech_in!X29=0,0,SER_hh_fech_in!X29/SER_summary!X$27)</f>
        <v>19.599932791200992</v>
      </c>
      <c r="Y29" s="130">
        <f>IF(SER_hh_fech_in!Y29=0,0,SER_hh_fech_in!Y29/SER_summary!Y$27)</f>
        <v>20.778573233102026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0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24.638256712464955</v>
      </c>
      <c r="H30" s="132">
        <f>IF(SER_hh_fech_in!H30=0,0,SER_hh_fech_in!H30/SER_summary!H$27)</f>
        <v>16.801349109281048</v>
      </c>
      <c r="I30" s="132">
        <f>IF(SER_hh_fech_in!I30=0,0,SER_hh_fech_in!I30/SER_summary!I$27)</f>
        <v>35.766378725719512</v>
      </c>
      <c r="J30" s="132">
        <f>IF(SER_hh_fech_in!J30=0,0,SER_hh_fech_in!J30/SER_summary!J$27)</f>
        <v>21.790265787776793</v>
      </c>
      <c r="K30" s="132">
        <f>IF(SER_hh_fech_in!K30=0,0,SER_hh_fech_in!K30/SER_summary!K$27)</f>
        <v>24.244859948463169</v>
      </c>
      <c r="L30" s="132">
        <f>IF(SER_hh_fech_in!L30=0,0,SER_hh_fech_in!L30/SER_summary!L$27)</f>
        <v>33.0171231285169</v>
      </c>
      <c r="M30" s="132">
        <f>IF(SER_hh_fech_in!M30=0,0,SER_hh_fech_in!M30/SER_summary!M$27)</f>
        <v>0</v>
      </c>
      <c r="N30" s="132">
        <f>IF(SER_hh_fech_in!N30=0,0,SER_hh_fech_in!N30/SER_summary!N$27)</f>
        <v>30.891304735765495</v>
      </c>
      <c r="O30" s="132">
        <f>IF(SER_hh_fech_in!O30=0,0,SER_hh_fech_in!O30/SER_summary!O$27)</f>
        <v>0</v>
      </c>
      <c r="P30" s="132">
        <f>IF(SER_hh_fech_in!P30=0,0,SER_hh_fech_in!P30/SER_summary!P$27)</f>
        <v>0</v>
      </c>
      <c r="Q30" s="132">
        <f>IF(SER_hh_fech_in!Q30=0,0,SER_hh_fech_in!Q30/SER_summary!Q$27)</f>
        <v>30.663372868743473</v>
      </c>
      <c r="R30" s="132">
        <f>IF(SER_hh_fech_in!R30=0,0,SER_hh_fech_in!R30/SER_summary!R$27)</f>
        <v>26.248737290015033</v>
      </c>
      <c r="S30" s="132">
        <f>IF(SER_hh_fech_in!S30=0,0,SER_hh_fech_in!S30/SER_summary!S$27)</f>
        <v>27.38006947417324</v>
      </c>
      <c r="T30" s="132">
        <f>IF(SER_hh_fech_in!T30=0,0,SER_hh_fech_in!T30/SER_summary!T$27)</f>
        <v>30.669288833699312</v>
      </c>
      <c r="U30" s="132">
        <f>IF(SER_hh_fech_in!U30=0,0,SER_hh_fech_in!U30/SER_summary!U$27)</f>
        <v>35.685302364045988</v>
      </c>
      <c r="V30" s="132">
        <f>IF(SER_hh_fech_in!V30=0,0,SER_hh_fech_in!V30/SER_summary!V$27)</f>
        <v>30.670583263110945</v>
      </c>
      <c r="W30" s="132">
        <f>IF(SER_hh_fech_in!W30=0,0,SER_hh_fech_in!W30/SER_summary!W$27)</f>
        <v>0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37.329769421289669</v>
      </c>
      <c r="D31" s="132">
        <f>IF(SER_hh_fech_in!D31=0,0,SER_hh_fech_in!D31/SER_summary!D$27)</f>
        <v>34.012991838501371</v>
      </c>
      <c r="E31" s="132">
        <f>IF(SER_hh_fech_in!E31=0,0,SER_hh_fech_in!E31/SER_summary!E$27)</f>
        <v>28.172402190009013</v>
      </c>
      <c r="F31" s="132">
        <f>IF(SER_hh_fech_in!F31=0,0,SER_hh_fech_in!F31/SER_summary!F$27)</f>
        <v>0</v>
      </c>
      <c r="G31" s="132">
        <f>IF(SER_hh_fech_in!G31=0,0,SER_hh_fech_in!G31/SER_summary!G$27)</f>
        <v>0</v>
      </c>
      <c r="H31" s="132">
        <f>IF(SER_hh_fech_in!H31=0,0,SER_hh_fech_in!H31/SER_summary!H$27)</f>
        <v>0</v>
      </c>
      <c r="I31" s="132">
        <f>IF(SER_hh_fech_in!I31=0,0,SER_hh_fech_in!I31/SER_summary!I$27)</f>
        <v>0</v>
      </c>
      <c r="J31" s="132">
        <f>IF(SER_hh_fech_in!J31=0,0,SER_hh_fech_in!J31/SER_summary!J$27)</f>
        <v>0</v>
      </c>
      <c r="K31" s="132">
        <f>IF(SER_hh_fech_in!K31=0,0,SER_hh_fech_in!K31/SER_summary!K$27)</f>
        <v>29.070995703687988</v>
      </c>
      <c r="L31" s="132">
        <f>IF(SER_hh_fech_in!L31=0,0,SER_hh_fech_in!L31/SER_summary!L$27)</f>
        <v>26.272174865716835</v>
      </c>
      <c r="M31" s="132">
        <f>IF(SER_hh_fech_in!M31=0,0,SER_hh_fech_in!M31/SER_summary!M$27)</f>
        <v>24.946446357677161</v>
      </c>
      <c r="N31" s="132">
        <f>IF(SER_hh_fech_in!N31=0,0,SER_hh_fech_in!N31/SER_summary!N$27)</f>
        <v>20.813180727944292</v>
      </c>
      <c r="O31" s="132">
        <f>IF(SER_hh_fech_in!O31=0,0,SER_hh_fech_in!O31/SER_summary!O$27)</f>
        <v>24.064914147149402</v>
      </c>
      <c r="P31" s="132">
        <f>IF(SER_hh_fech_in!P31=0,0,SER_hh_fech_in!P31/SER_summary!P$27)</f>
        <v>29.319571544543027</v>
      </c>
      <c r="Q31" s="132">
        <f>IF(SER_hh_fech_in!Q31=0,0,SER_hh_fech_in!Q31/SER_summary!Q$27)</f>
        <v>29.126075173641791</v>
      </c>
      <c r="R31" s="132">
        <f>IF(SER_hh_fech_in!R31=0,0,SER_hh_fech_in!R31/SER_summary!R$27)</f>
        <v>37.425879479075455</v>
      </c>
      <c r="S31" s="132">
        <f>IF(SER_hh_fech_in!S31=0,0,SER_hh_fech_in!S31/SER_summary!S$27)</f>
        <v>0</v>
      </c>
      <c r="T31" s="132">
        <f>IF(SER_hh_fech_in!T31=0,0,SER_hh_fech_in!T31/SER_summary!T$27)</f>
        <v>0</v>
      </c>
      <c r="U31" s="132">
        <f>IF(SER_hh_fech_in!U31=0,0,SER_hh_fech_in!U31/SER_summary!U$27)</f>
        <v>0</v>
      </c>
      <c r="V31" s="132">
        <f>IF(SER_hh_fech_in!V31=0,0,SER_hh_fech_in!V31/SER_summary!V$27)</f>
        <v>0</v>
      </c>
      <c r="W31" s="132">
        <f>IF(SER_hh_fech_in!W31=0,0,SER_hh_fech_in!W31/SER_summary!W$27)</f>
        <v>0</v>
      </c>
      <c r="X31" s="132">
        <f>IF(SER_hh_fech_in!X31=0,0,SER_hh_fech_in!X31/SER_summary!X$27)</f>
        <v>29.813459095464093</v>
      </c>
      <c r="Y31" s="132">
        <f>IF(SER_hh_fech_in!Y31=0,0,SER_hh_fech_in!Y31/SER_summary!Y$27)</f>
        <v>28.125730978362803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17.017139090382376</v>
      </c>
      <c r="D33" s="68">
        <f>IF(SER_hh_fech_in!D33=0,0,SER_hh_fech_in!D33/SER_summary!D$27)</f>
        <v>23.455430717058896</v>
      </c>
      <c r="E33" s="68">
        <f>IF(SER_hh_fech_in!E33=0,0,SER_hh_fech_in!E33/SER_summary!E$27)</f>
        <v>23.144898695784573</v>
      </c>
      <c r="F33" s="68">
        <f>IF(SER_hh_fech_in!F33=0,0,SER_hh_fech_in!F33/SER_summary!F$27)</f>
        <v>19.906166531111438</v>
      </c>
      <c r="G33" s="68">
        <f>IF(SER_hh_fech_in!G33=0,0,SER_hh_fech_in!G33/SER_summary!G$27)</f>
        <v>20.490208431706886</v>
      </c>
      <c r="H33" s="68">
        <f>IF(SER_hh_fech_in!H33=0,0,SER_hh_fech_in!H33/SER_summary!H$27)</f>
        <v>21.966045802184386</v>
      </c>
      <c r="I33" s="68">
        <f>IF(SER_hh_fech_in!I33=0,0,SER_hh_fech_in!I33/SER_summary!I$27)</f>
        <v>16.552645598177534</v>
      </c>
      <c r="J33" s="68">
        <f>IF(SER_hh_fech_in!J33=0,0,SER_hh_fech_in!J33/SER_summary!J$27)</f>
        <v>19.836287957453294</v>
      </c>
      <c r="K33" s="68">
        <f>IF(SER_hh_fech_in!K33=0,0,SER_hh_fech_in!K33/SER_summary!K$27)</f>
        <v>18.685825934304233</v>
      </c>
      <c r="L33" s="68">
        <f>IF(SER_hh_fech_in!L33=0,0,SER_hh_fech_in!L33/SER_summary!L$27)</f>
        <v>16.706537838179127</v>
      </c>
      <c r="M33" s="68">
        <f>IF(SER_hh_fech_in!M33=0,0,SER_hh_fech_in!M33/SER_summary!M$27)</f>
        <v>21.173717191970209</v>
      </c>
      <c r="N33" s="68">
        <f>IF(SER_hh_fech_in!N33=0,0,SER_hh_fech_in!N33/SER_summary!N$27)</f>
        <v>19.106925299452918</v>
      </c>
      <c r="O33" s="68">
        <f>IF(SER_hh_fech_in!O33=0,0,SER_hh_fech_in!O33/SER_summary!O$27)</f>
        <v>20.233479020274917</v>
      </c>
      <c r="P33" s="68">
        <f>IF(SER_hh_fech_in!P33=0,0,SER_hh_fech_in!P33/SER_summary!P$27)</f>
        <v>19.873605130151748</v>
      </c>
      <c r="Q33" s="68">
        <f>IF(SER_hh_fech_in!Q33=0,0,SER_hh_fech_in!Q33/SER_summary!Q$27)</f>
        <v>20.480850958738177</v>
      </c>
      <c r="R33" s="68">
        <f>IF(SER_hh_fech_in!R33=0,0,SER_hh_fech_in!R33/SER_summary!R$27)</f>
        <v>20.74661298180882</v>
      </c>
      <c r="S33" s="68">
        <f>IF(SER_hh_fech_in!S33=0,0,SER_hh_fech_in!S33/SER_summary!S$27)</f>
        <v>21.609315177597452</v>
      </c>
      <c r="T33" s="68">
        <f>IF(SER_hh_fech_in!T33=0,0,SER_hh_fech_in!T33/SER_summary!T$27)</f>
        <v>21.926532535254228</v>
      </c>
      <c r="U33" s="68">
        <f>IF(SER_hh_fech_in!U33=0,0,SER_hh_fech_in!U33/SER_summary!U$27)</f>
        <v>20.051535886865189</v>
      </c>
      <c r="V33" s="68">
        <f>IF(SER_hh_fech_in!V33=0,0,SER_hh_fech_in!V33/SER_summary!V$27)</f>
        <v>19.266978808907577</v>
      </c>
      <c r="W33" s="68">
        <f>IF(SER_hh_fech_in!W33=0,0,SER_hh_fech_in!W33/SER_summary!W$27)</f>
        <v>20.456983711557573</v>
      </c>
      <c r="X33" s="68">
        <f>IF(SER_hh_fech_in!X33=0,0,SER_hh_fech_in!X33/SER_summary!X$27)</f>
        <v>19.202346907164483</v>
      </c>
      <c r="Y33" s="68">
        <f>IF(SER_hh_fech_in!Y33=0,0,SER_hh_fech_in!Y33/SER_summary!Y$27)</f>
        <v>20.187316126305166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267.83174906551034</v>
      </c>
      <c r="D3" s="125">
        <f>IF(SER_hh_tesh_in!D3=0,0,SER_hh_tesh_in!D3/SER_summary!D$27)</f>
        <v>251.73462802465096</v>
      </c>
      <c r="E3" s="125">
        <f>IF(SER_hh_tesh_in!E3=0,0,SER_hh_tesh_in!E3/SER_summary!E$27)</f>
        <v>174.46044849948828</v>
      </c>
      <c r="F3" s="125">
        <f>IF(SER_hh_tesh_in!F3=0,0,SER_hh_tesh_in!F3/SER_summary!F$27)</f>
        <v>165.21667662247643</v>
      </c>
      <c r="G3" s="125">
        <f>IF(SER_hh_tesh_in!G3=0,0,SER_hh_tesh_in!G3/SER_summary!G$27)</f>
        <v>144.02102252249375</v>
      </c>
      <c r="H3" s="125">
        <f>IF(SER_hh_tesh_in!H3=0,0,SER_hh_tesh_in!H3/SER_summary!H$27)</f>
        <v>124.15742364429957</v>
      </c>
      <c r="I3" s="125">
        <f>IF(SER_hh_tesh_in!I3=0,0,SER_hh_tesh_in!I3/SER_summary!I$27)</f>
        <v>106.75356874149972</v>
      </c>
      <c r="J3" s="125">
        <f>IF(SER_hh_tesh_in!J3=0,0,SER_hh_tesh_in!J3/SER_summary!J$27)</f>
        <v>131.48821010295768</v>
      </c>
      <c r="K3" s="125">
        <f>IF(SER_hh_tesh_in!K3=0,0,SER_hh_tesh_in!K3/SER_summary!K$27)</f>
        <v>125.24029781882165</v>
      </c>
      <c r="L3" s="125">
        <f>IF(SER_hh_tesh_in!L3=0,0,SER_hh_tesh_in!L3/SER_summary!L$27)</f>
        <v>152.76453394755623</v>
      </c>
      <c r="M3" s="125">
        <f>IF(SER_hh_tesh_in!M3=0,0,SER_hh_tesh_in!M3/SER_summary!M$27)</f>
        <v>140.11150658104151</v>
      </c>
      <c r="N3" s="125">
        <f>IF(SER_hh_tesh_in!N3=0,0,SER_hh_tesh_in!N3/SER_summary!N$27)</f>
        <v>120.40461912727403</v>
      </c>
      <c r="O3" s="125">
        <f>IF(SER_hh_tesh_in!O3=0,0,SER_hh_tesh_in!O3/SER_summary!O$27)</f>
        <v>119.50113178427871</v>
      </c>
      <c r="P3" s="125">
        <f>IF(SER_hh_tesh_in!P3=0,0,SER_hh_tesh_in!P3/SER_summary!P$27)</f>
        <v>103.0470610177416</v>
      </c>
      <c r="Q3" s="125">
        <f>IF(SER_hh_tesh_in!Q3=0,0,SER_hh_tesh_in!Q3/SER_summary!Q$27)</f>
        <v>113.19447855242963</v>
      </c>
      <c r="R3" s="125">
        <f>IF(SER_hh_tesh_in!R3=0,0,SER_hh_tesh_in!R3/SER_summary!R$27)</f>
        <v>109.53092029225121</v>
      </c>
      <c r="S3" s="125">
        <f>IF(SER_hh_tesh_in!S3=0,0,SER_hh_tesh_in!S3/SER_summary!S$27)</f>
        <v>109.21642586492302</v>
      </c>
      <c r="T3" s="125">
        <f>IF(SER_hh_tesh_in!T3=0,0,SER_hh_tesh_in!T3/SER_summary!T$27)</f>
        <v>107.25709545442275</v>
      </c>
      <c r="U3" s="125">
        <f>IF(SER_hh_tesh_in!U3=0,0,SER_hh_tesh_in!U3/SER_summary!U$27)</f>
        <v>99.984378450522442</v>
      </c>
      <c r="V3" s="125">
        <f>IF(SER_hh_tesh_in!V3=0,0,SER_hh_tesh_in!V3/SER_summary!V$27)</f>
        <v>86.078444657519825</v>
      </c>
      <c r="W3" s="125">
        <f>IF(SER_hh_tesh_in!W3=0,0,SER_hh_tesh_in!W3/SER_summary!W$27)</f>
        <v>82.252104133391398</v>
      </c>
      <c r="X3" s="125">
        <f>IF(SER_hh_tesh_in!X3=0,0,SER_hh_tesh_in!X3/SER_summary!X$27)</f>
        <v>87.077830183219845</v>
      </c>
      <c r="Y3" s="125">
        <f>IF(SER_hh_tesh_in!Y3=0,0,SER_hh_tesh_in!Y3/SER_summary!Y$27)</f>
        <v>93.744343211187626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212.58530866197108</v>
      </c>
      <c r="D4" s="130">
        <f>IF(SER_hh_tesh_in!D4=0,0,SER_hh_tesh_in!D4/SER_summary!D$27)</f>
        <v>197.2690965621139</v>
      </c>
      <c r="E4" s="130">
        <f>IF(SER_hh_tesh_in!E4=0,0,SER_hh_tesh_in!E4/SER_summary!E$27)</f>
        <v>112.52301856368483</v>
      </c>
      <c r="F4" s="130">
        <f>IF(SER_hh_tesh_in!F4=0,0,SER_hh_tesh_in!F4/SER_summary!F$27)</f>
        <v>115.88233411385202</v>
      </c>
      <c r="G4" s="130">
        <f>IF(SER_hh_tesh_in!G4=0,0,SER_hh_tesh_in!G4/SER_summary!G$27)</f>
        <v>91.129430150099665</v>
      </c>
      <c r="H4" s="130">
        <f>IF(SER_hh_tesh_in!H4=0,0,SER_hh_tesh_in!H4/SER_summary!H$27)</f>
        <v>72.840268528660687</v>
      </c>
      <c r="I4" s="130">
        <f>IF(SER_hh_tesh_in!I4=0,0,SER_hh_tesh_in!I4/SER_summary!I$27)</f>
        <v>55.472813807783702</v>
      </c>
      <c r="J4" s="130">
        <f>IF(SER_hh_tesh_in!J4=0,0,SER_hh_tesh_in!J4/SER_summary!J$27)</f>
        <v>80.564273877569207</v>
      </c>
      <c r="K4" s="130">
        <f>IF(SER_hh_tesh_in!K4=0,0,SER_hh_tesh_in!K4/SER_summary!K$27)</f>
        <v>74.465835815324951</v>
      </c>
      <c r="L4" s="130">
        <f>IF(SER_hh_tesh_in!L4=0,0,SER_hh_tesh_in!L4/SER_summary!L$27)</f>
        <v>100.99441406309076</v>
      </c>
      <c r="M4" s="130">
        <f>IF(SER_hh_tesh_in!M4=0,0,SER_hh_tesh_in!M4/SER_summary!M$27)</f>
        <v>86.494637543700222</v>
      </c>
      <c r="N4" s="130">
        <f>IF(SER_hh_tesh_in!N4=0,0,SER_hh_tesh_in!N4/SER_summary!N$27)</f>
        <v>66.543895858203882</v>
      </c>
      <c r="O4" s="130">
        <f>IF(SER_hh_tesh_in!O4=0,0,SER_hh_tesh_in!O4/SER_summary!O$27)</f>
        <v>63.836862761559068</v>
      </c>
      <c r="P4" s="130">
        <f>IF(SER_hh_tesh_in!P4=0,0,SER_hh_tesh_in!P4/SER_summary!P$27)</f>
        <v>51.354775697018198</v>
      </c>
      <c r="Q4" s="130">
        <f>IF(SER_hh_tesh_in!Q4=0,0,SER_hh_tesh_in!Q4/SER_summary!Q$27)</f>
        <v>56.08640274693861</v>
      </c>
      <c r="R4" s="130">
        <f>IF(SER_hh_tesh_in!R4=0,0,SER_hh_tesh_in!R4/SER_summary!R$27)</f>
        <v>58.412232080568288</v>
      </c>
      <c r="S4" s="130">
        <f>IF(SER_hh_tesh_in!S4=0,0,SER_hh_tesh_in!S4/SER_summary!S$27)</f>
        <v>53.287634223083089</v>
      </c>
      <c r="T4" s="130">
        <f>IF(SER_hh_tesh_in!T4=0,0,SER_hh_tesh_in!T4/SER_summary!T$27)</f>
        <v>52.869452144060745</v>
      </c>
      <c r="U4" s="130">
        <f>IF(SER_hh_tesh_in!U4=0,0,SER_hh_tesh_in!U4/SER_summary!U$27)</f>
        <v>44.455608532862058</v>
      </c>
      <c r="V4" s="130">
        <f>IF(SER_hh_tesh_in!V4=0,0,SER_hh_tesh_in!V4/SER_summary!V$27)</f>
        <v>36.243794253248495</v>
      </c>
      <c r="W4" s="130">
        <f>IF(SER_hh_tesh_in!W4=0,0,SER_hh_tesh_in!W4/SER_summary!W$27)</f>
        <v>31.080360428765655</v>
      </c>
      <c r="X4" s="130">
        <f>IF(SER_hh_tesh_in!X4=0,0,SER_hh_tesh_in!X4/SER_summary!X$27)</f>
        <v>37.848025139818233</v>
      </c>
      <c r="Y4" s="130">
        <f>IF(SER_hh_tesh_in!Y4=0,0,SER_hh_tesh_in!Y4/SER_summary!Y$27)</f>
        <v>42.596440624365052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212.76441750145463</v>
      </c>
      <c r="D7" s="132">
        <f>IF(SER_hh_tesh_in!D7=0,0,SER_hh_tesh_in!D7/SER_summary!D$27)</f>
        <v>167.67999927921062</v>
      </c>
      <c r="E7" s="132">
        <f>IF(SER_hh_tesh_in!E7=0,0,SER_hh_tesh_in!E7/SER_summary!E$27)</f>
        <v>114.90897800940876</v>
      </c>
      <c r="F7" s="132">
        <f>IF(SER_hh_tesh_in!F7=0,0,SER_hh_tesh_in!F7/SER_summary!F$27)</f>
        <v>108.02777897322305</v>
      </c>
      <c r="G7" s="132">
        <f>IF(SER_hh_tesh_in!G7=0,0,SER_hh_tesh_in!G7/SER_summary!G$27)</f>
        <v>96.054487987855438</v>
      </c>
      <c r="H7" s="132">
        <f>IF(SER_hh_tesh_in!H7=0,0,SER_hh_tesh_in!H7/SER_summary!H$27)</f>
        <v>76.267847681302513</v>
      </c>
      <c r="I7" s="132">
        <f>IF(SER_hh_tesh_in!I7=0,0,SER_hh_tesh_in!I7/SER_summary!I$27)</f>
        <v>44.715292626533319</v>
      </c>
      <c r="J7" s="132">
        <f>IF(SER_hh_tesh_in!J7=0,0,SER_hh_tesh_in!J7/SER_summary!J$27)</f>
        <v>79.473220808455096</v>
      </c>
      <c r="K7" s="132">
        <f>IF(SER_hh_tesh_in!K7=0,0,SER_hh_tesh_in!K7/SER_summary!K$27)</f>
        <v>73.876324730807582</v>
      </c>
      <c r="L7" s="132">
        <f>IF(SER_hh_tesh_in!L7=0,0,SER_hh_tesh_in!L7/SER_summary!L$27)</f>
        <v>0</v>
      </c>
      <c r="M7" s="132">
        <f>IF(SER_hh_tesh_in!M7=0,0,SER_hh_tesh_in!M7/SER_summary!M$27)</f>
        <v>0</v>
      </c>
      <c r="N7" s="132">
        <f>IF(SER_hh_tesh_in!N7=0,0,SER_hh_tesh_in!N7/SER_summary!N$27)</f>
        <v>0</v>
      </c>
      <c r="O7" s="132">
        <f>IF(SER_hh_tesh_in!O7=0,0,SER_hh_tesh_in!O7/SER_summary!O$27)</f>
        <v>0</v>
      </c>
      <c r="P7" s="132">
        <f>IF(SER_hh_tesh_in!P7=0,0,SER_hh_tesh_in!P7/SER_summary!P$27)</f>
        <v>0</v>
      </c>
      <c r="Q7" s="132">
        <f>IF(SER_hh_tesh_in!Q7=0,0,SER_hh_tesh_in!Q7/SER_summary!Q$27)</f>
        <v>0</v>
      </c>
      <c r="R7" s="132">
        <f>IF(SER_hh_tesh_in!R7=0,0,SER_hh_tesh_in!R7/SER_summary!R$27)</f>
        <v>59.552472634226795</v>
      </c>
      <c r="S7" s="132">
        <f>IF(SER_hh_tesh_in!S7=0,0,SER_hh_tesh_in!S7/SER_summary!S$27)</f>
        <v>46.840531078912576</v>
      </c>
      <c r="T7" s="132">
        <f>IF(SER_hh_tesh_in!T7=0,0,SER_hh_tesh_in!T7/SER_summary!T$27)</f>
        <v>50.393428286931609</v>
      </c>
      <c r="U7" s="132">
        <f>IF(SER_hh_tesh_in!U7=0,0,SER_hh_tesh_in!U7/SER_summary!U$27)</f>
        <v>41.902842229746611</v>
      </c>
      <c r="V7" s="132">
        <f>IF(SER_hh_tesh_in!V7=0,0,SER_hh_tesh_in!V7/SER_summary!V$27)</f>
        <v>47.216208486742318</v>
      </c>
      <c r="W7" s="132">
        <f>IF(SER_hh_tesh_in!W7=0,0,SER_hh_tesh_in!W7/SER_summary!W$27)</f>
        <v>28.877818632290683</v>
      </c>
      <c r="X7" s="132">
        <f>IF(SER_hh_tesh_in!X7=0,0,SER_hh_tesh_in!X7/SER_summary!X$27)</f>
        <v>28.297933348085056</v>
      </c>
      <c r="Y7" s="132">
        <f>IF(SER_hh_tesh_in!Y7=0,0,SER_hh_tesh_in!Y7/SER_summary!Y$27)</f>
        <v>40.31390430232338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224.73005710272392</v>
      </c>
      <c r="D9" s="132">
        <f>IF(SER_hh_tesh_in!D9=0,0,SER_hh_tesh_in!D9/SER_summary!D$27)</f>
        <v>219.00580409497474</v>
      </c>
      <c r="E9" s="132">
        <f>IF(SER_hh_tesh_in!E9=0,0,SER_hh_tesh_in!E9/SER_summary!E$27)</f>
        <v>104.09689800202813</v>
      </c>
      <c r="F9" s="132">
        <f>IF(SER_hh_tesh_in!F9=0,0,SER_hh_tesh_in!F9/SER_summary!F$27)</f>
        <v>0</v>
      </c>
      <c r="G9" s="132">
        <f>IF(SER_hh_tesh_in!G9=0,0,SER_hh_tesh_in!G9/SER_summary!G$27)</f>
        <v>0</v>
      </c>
      <c r="H9" s="132">
        <f>IF(SER_hh_tesh_in!H9=0,0,SER_hh_tesh_in!H9/SER_summary!H$27)</f>
        <v>0</v>
      </c>
      <c r="I9" s="132">
        <f>IF(SER_hh_tesh_in!I9=0,0,SER_hh_tesh_in!I9/SER_summary!I$27)</f>
        <v>0</v>
      </c>
      <c r="J9" s="132">
        <f>IF(SER_hh_tesh_in!J9=0,0,SER_hh_tesh_in!J9/SER_summary!J$27)</f>
        <v>0</v>
      </c>
      <c r="K9" s="132">
        <f>IF(SER_hh_tesh_in!K9=0,0,SER_hh_tesh_in!K9/SER_summary!K$27)</f>
        <v>66.350073211718922</v>
      </c>
      <c r="L9" s="132">
        <f>IF(SER_hh_tesh_in!L9=0,0,SER_hh_tesh_in!L9/SER_summary!L$27)</f>
        <v>78.911100302067581</v>
      </c>
      <c r="M9" s="132">
        <f>IF(SER_hh_tesh_in!M9=0,0,SER_hh_tesh_in!M9/SER_summary!M$27)</f>
        <v>110.54486871039408</v>
      </c>
      <c r="N9" s="132">
        <f>IF(SER_hh_tesh_in!N9=0,0,SER_hh_tesh_in!N9/SER_summary!N$27)</f>
        <v>30.400086088388615</v>
      </c>
      <c r="O9" s="132">
        <f>IF(SER_hh_tesh_in!O9=0,0,SER_hh_tesh_in!O9/SER_summary!O$27)</f>
        <v>60.455399463039306</v>
      </c>
      <c r="P9" s="132">
        <f>IF(SER_hh_tesh_in!P9=0,0,SER_hh_tesh_in!P9/SER_summary!P$27)</f>
        <v>49.582665964982084</v>
      </c>
      <c r="Q9" s="132">
        <f>IF(SER_hh_tesh_in!Q9=0,0,SER_hh_tesh_in!Q9/SER_summary!Q$27)</f>
        <v>57.919860736778396</v>
      </c>
      <c r="R9" s="132">
        <f>IF(SER_hh_tesh_in!R9=0,0,SER_hh_tesh_in!R9/SER_summary!R$27)</f>
        <v>69.631663094934254</v>
      </c>
      <c r="S9" s="132">
        <f>IF(SER_hh_tesh_in!S9=0,0,SER_hh_tesh_in!S9/SER_summary!S$27)</f>
        <v>0</v>
      </c>
      <c r="T9" s="132">
        <f>IF(SER_hh_tesh_in!T9=0,0,SER_hh_tesh_in!T9/SER_summary!T$27)</f>
        <v>0</v>
      </c>
      <c r="U9" s="132">
        <f>IF(SER_hh_tesh_in!U9=0,0,SER_hh_tesh_in!U9/SER_summary!U$27)</f>
        <v>0</v>
      </c>
      <c r="V9" s="132">
        <f>IF(SER_hh_tesh_in!V9=0,0,SER_hh_tesh_in!V9/SER_summary!V$27)</f>
        <v>0</v>
      </c>
      <c r="W9" s="132">
        <f>IF(SER_hh_tesh_in!W9=0,0,SER_hh_tesh_in!W9/SER_summary!W$27)</f>
        <v>24.773325783116441</v>
      </c>
      <c r="X9" s="132">
        <f>IF(SER_hh_tesh_in!X9=0,0,SER_hh_tesh_in!X9/SER_summary!X$27)</f>
        <v>41.527548232033851</v>
      </c>
      <c r="Y9" s="132">
        <f>IF(SER_hh_tesh_in!Y9=0,0,SER_hh_tesh_in!Y9/SER_summary!Y$27)</f>
        <v>36.64575206718208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213.96422415105792</v>
      </c>
      <c r="D10" s="132">
        <f>IF(SER_hh_tesh_in!D10=0,0,SER_hh_tesh_in!D10/SER_summary!D$27)</f>
        <v>0</v>
      </c>
      <c r="E10" s="132">
        <f>IF(SER_hh_tesh_in!E10=0,0,SER_hh_tesh_in!E10/SER_summary!E$27)</f>
        <v>90.308676906476336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0</v>
      </c>
      <c r="J10" s="132">
        <f>IF(SER_hh_tesh_in!J10=0,0,SER_hh_tesh_in!J10/SER_summary!J$27)</f>
        <v>0</v>
      </c>
      <c r="K10" s="132">
        <f>IF(SER_hh_tesh_in!K10=0,0,SER_hh_tesh_in!K10/SER_summary!K$27)</f>
        <v>0</v>
      </c>
      <c r="L10" s="132">
        <f>IF(SER_hh_tesh_in!L10=0,0,SER_hh_tesh_in!L10/SER_summary!L$27)</f>
        <v>0</v>
      </c>
      <c r="M10" s="132">
        <f>IF(SER_hh_tesh_in!M10=0,0,SER_hh_tesh_in!M10/SER_summary!M$27)</f>
        <v>0</v>
      </c>
      <c r="N10" s="132">
        <f>IF(SER_hh_tesh_in!N10=0,0,SER_hh_tesh_in!N10/SER_summary!N$27)</f>
        <v>0</v>
      </c>
      <c r="O10" s="132">
        <f>IF(SER_hh_tesh_in!O10=0,0,SER_hh_tesh_in!O10/SER_summary!O$27)</f>
        <v>0</v>
      </c>
      <c r="P10" s="132">
        <f>IF(SER_hh_tesh_in!P10=0,0,SER_hh_tesh_in!P10/SER_summary!P$27)</f>
        <v>0</v>
      </c>
      <c r="Q10" s="132">
        <f>IF(SER_hh_tesh_in!Q10=0,0,SER_hh_tesh_in!Q10/SER_summary!Q$27)</f>
        <v>0</v>
      </c>
      <c r="R10" s="132">
        <f>IF(SER_hh_tesh_in!R10=0,0,SER_hh_tesh_in!R10/SER_summary!R$27)</f>
        <v>0</v>
      </c>
      <c r="S10" s="132">
        <f>IF(SER_hh_tesh_in!S10=0,0,SER_hh_tesh_in!S10/SER_summary!S$27)</f>
        <v>0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4.8865726056612139E-14</v>
      </c>
      <c r="W10" s="132">
        <f>IF(SER_hh_tesh_in!W10=0,0,SER_hh_tesh_in!W10/SER_summary!W$27)</f>
        <v>0</v>
      </c>
      <c r="X10" s="132">
        <f>IF(SER_hh_tesh_in!X10=0,0,SER_hh_tesh_in!X10/SER_summary!X$27)</f>
        <v>43.982150541213372</v>
      </c>
      <c r="Y10" s="132">
        <f>IF(SER_hh_tesh_in!Y10=0,0,SER_hh_tesh_in!Y10/SER_summary!Y$27)</f>
        <v>39.591711800502686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122.75919278748961</v>
      </c>
      <c r="M11" s="132">
        <f>IF(SER_hh_tesh_in!M11=0,0,SER_hh_tesh_in!M11/SER_summary!M$27)</f>
        <v>94.398076814579781</v>
      </c>
      <c r="N11" s="132">
        <f>IF(SER_hh_tesh_in!N11=0,0,SER_hh_tesh_in!N11/SER_summary!N$27)</f>
        <v>60.39144947884828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48.787619386400223</v>
      </c>
      <c r="U11" s="132">
        <f>IF(SER_hh_tesh_in!U11=0,0,SER_hh_tesh_in!U11/SER_summary!U$27)</f>
        <v>51.698543726667893</v>
      </c>
      <c r="V11" s="132">
        <f>IF(SER_hh_tesh_in!V11=0,0,SER_hh_tesh_in!V11/SER_summary!V$27)</f>
        <v>34.255012709254601</v>
      </c>
      <c r="W11" s="132">
        <f>IF(SER_hh_tesh_in!W11=0,0,SER_hh_tesh_in!W11/SER_summary!W$27)</f>
        <v>30.042237061239831</v>
      </c>
      <c r="X11" s="132">
        <f>IF(SER_hh_tesh_in!X11=0,0,SER_hh_tesh_in!X11/SER_summary!X$27)</f>
        <v>32.660298031140101</v>
      </c>
      <c r="Y11" s="132">
        <f>IF(SER_hh_tesh_in!Y11=0,0,SER_hh_tesh_in!Y11/SER_summary!Y$27)</f>
        <v>35.176782655703924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113.92143077971259</v>
      </c>
      <c r="G12" s="132">
        <f>IF(SER_hh_tesh_in!G12=0,0,SER_hh_tesh_in!G12/SER_summary!G$27)</f>
        <v>76.499579084684115</v>
      </c>
      <c r="H12" s="132">
        <f>IF(SER_hh_tesh_in!H12=0,0,SER_hh_tesh_in!H12/SER_summary!H$27)</f>
        <v>91.710463295721794</v>
      </c>
      <c r="I12" s="132">
        <f>IF(SER_hh_tesh_in!I12=0,0,SER_hh_tesh_in!I12/SER_summary!I$27)</f>
        <v>52.68542620030783</v>
      </c>
      <c r="J12" s="132">
        <f>IF(SER_hh_tesh_in!J12=0,0,SER_hh_tesh_in!J12/SER_summary!J$27)</f>
        <v>51.305294752453094</v>
      </c>
      <c r="K12" s="132">
        <f>IF(SER_hh_tesh_in!K12=0,0,SER_hh_tesh_in!K12/SER_summary!K$27)</f>
        <v>75.568013719584982</v>
      </c>
      <c r="L12" s="132">
        <f>IF(SER_hh_tesh_in!L12=0,0,SER_hh_tesh_in!L12/SER_summary!L$27)</f>
        <v>83.695056056226392</v>
      </c>
      <c r="M12" s="132">
        <f>IF(SER_hh_tesh_in!M12=0,0,SER_hh_tesh_in!M12/SER_summary!M$27)</f>
        <v>77.609367538596572</v>
      </c>
      <c r="N12" s="132">
        <f>IF(SER_hh_tesh_in!N12=0,0,SER_hh_tesh_in!N12/SER_summary!N$27)</f>
        <v>68.798489319174379</v>
      </c>
      <c r="O12" s="132">
        <f>IF(SER_hh_tesh_in!O12=0,0,SER_hh_tesh_in!O12/SER_summary!O$27)</f>
        <v>67.469251990883905</v>
      </c>
      <c r="P12" s="132">
        <f>IF(SER_hh_tesh_in!P12=0,0,SER_hh_tesh_in!P12/SER_summary!P$27)</f>
        <v>0</v>
      </c>
      <c r="Q12" s="132">
        <f>IF(SER_hh_tesh_in!Q12=0,0,SER_hh_tesh_in!Q12/SER_summary!Q$27)</f>
        <v>53.580155423810787</v>
      </c>
      <c r="R12" s="132">
        <f>IF(SER_hh_tesh_in!R12=0,0,SER_hh_tesh_in!R12/SER_summary!R$27)</f>
        <v>49.583239487507484</v>
      </c>
      <c r="S12" s="132">
        <f>IF(SER_hh_tesh_in!S12=0,0,SER_hh_tesh_in!S12/SER_summary!S$27)</f>
        <v>54.28234315066117</v>
      </c>
      <c r="T12" s="132">
        <f>IF(SER_hh_tesh_in!T12=0,0,SER_hh_tesh_in!T12/SER_summary!T$27)</f>
        <v>52.801552578844856</v>
      </c>
      <c r="U12" s="132">
        <f>IF(SER_hh_tesh_in!U12=0,0,SER_hh_tesh_in!U12/SER_summary!U$27)</f>
        <v>40.671276195678068</v>
      </c>
      <c r="V12" s="132">
        <f>IF(SER_hh_tesh_in!V12=0,0,SER_hh_tesh_in!V12/SER_summary!V$27)</f>
        <v>37.353827564831846</v>
      </c>
      <c r="W12" s="132">
        <f>IF(SER_hh_tesh_in!W12=0,0,SER_hh_tesh_in!W12/SER_summary!W$27)</f>
        <v>38.814277298248378</v>
      </c>
      <c r="X12" s="132">
        <f>IF(SER_hh_tesh_in!X12=0,0,SER_hh_tesh_in!X12/SER_summary!X$27)</f>
        <v>0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0</v>
      </c>
      <c r="D13" s="132">
        <f>IF(SER_hh_tesh_in!D13=0,0,SER_hh_tesh_in!D13/SER_summary!D$27)</f>
        <v>0</v>
      </c>
      <c r="E13" s="132">
        <f>IF(SER_hh_tesh_in!E13=0,0,SER_hh_tesh_in!E13/SER_summary!E$27)</f>
        <v>0</v>
      </c>
      <c r="F13" s="132">
        <f>IF(SER_hh_tesh_in!F13=0,0,SER_hh_tesh_in!F13/SER_summary!F$27)</f>
        <v>0</v>
      </c>
      <c r="G13" s="132">
        <f>IF(SER_hh_tesh_in!G13=0,0,SER_hh_tesh_in!G13/SER_summary!G$27)</f>
        <v>0</v>
      </c>
      <c r="H13" s="132">
        <f>IF(SER_hh_tesh_in!H13=0,0,SER_hh_tesh_in!H13/SER_summary!H$27)</f>
        <v>0</v>
      </c>
      <c r="I13" s="132">
        <f>IF(SER_hh_tesh_in!I13=0,0,SER_hh_tesh_in!I13/SER_summary!I$27)</f>
        <v>0</v>
      </c>
      <c r="J13" s="132">
        <f>IF(SER_hh_tesh_in!J13=0,0,SER_hh_tesh_in!J13/SER_summary!J$27)</f>
        <v>0</v>
      </c>
      <c r="K13" s="132">
        <f>IF(SER_hh_tesh_in!K13=0,0,SER_hh_tesh_in!K13/SER_summary!K$27)</f>
        <v>0</v>
      </c>
      <c r="L13" s="132">
        <f>IF(SER_hh_tesh_in!L13=0,0,SER_hh_tesh_in!L13/SER_summary!L$27)</f>
        <v>0</v>
      </c>
      <c r="M13" s="132">
        <f>IF(SER_hh_tesh_in!M13=0,0,SER_hh_tesh_in!M13/SER_summary!M$27)</f>
        <v>0</v>
      </c>
      <c r="N13" s="132">
        <f>IF(SER_hh_tesh_in!N13=0,0,SER_hh_tesh_in!N13/SER_summary!N$27)</f>
        <v>0</v>
      </c>
      <c r="O13" s="132">
        <f>IF(SER_hh_tesh_in!O13=0,0,SER_hh_tesh_in!O13/SER_summary!O$27)</f>
        <v>0</v>
      </c>
      <c r="P13" s="132">
        <f>IF(SER_hh_tesh_in!P13=0,0,SER_hh_tesh_in!P13/SER_summary!P$27)</f>
        <v>0</v>
      </c>
      <c r="Q13" s="132">
        <f>IF(SER_hh_tesh_in!Q13=0,0,SER_hh_tesh_in!Q13/SER_summary!Q$27)</f>
        <v>0</v>
      </c>
      <c r="R13" s="132">
        <f>IF(SER_hh_tesh_in!R13=0,0,SER_hh_tesh_in!R13/SER_summary!R$27)</f>
        <v>0</v>
      </c>
      <c r="S13" s="132">
        <f>IF(SER_hh_tesh_in!S13=0,0,SER_hh_tesh_in!S13/SER_summary!S$27)</f>
        <v>0</v>
      </c>
      <c r="T13" s="132">
        <f>IF(SER_hh_tesh_in!T13=0,0,SER_hh_tesh_in!T13/SER_summary!T$27)</f>
        <v>0</v>
      </c>
      <c r="U13" s="132">
        <f>IF(SER_hh_tesh_in!U13=0,0,SER_hh_tesh_in!U13/SER_summary!U$27)</f>
        <v>0</v>
      </c>
      <c r="V13" s="132">
        <f>IF(SER_hh_tesh_in!V13=0,0,SER_hh_tesh_in!V13/SER_summary!V$27)</f>
        <v>0</v>
      </c>
      <c r="W13" s="132">
        <f>IF(SER_hh_tesh_in!W13=0,0,SER_hh_tesh_in!W13/SER_summary!W$27)</f>
        <v>0</v>
      </c>
      <c r="X13" s="132">
        <f>IF(SER_hh_tesh_in!X13=0,0,SER_hh_tesh_in!X13/SER_summary!X$27)</f>
        <v>0</v>
      </c>
      <c r="Y13" s="132">
        <f>IF(SER_hh_tesh_in!Y13=0,0,SER_hh_tesh_in!Y13/SER_summary!Y$27)</f>
        <v>55.972991302655132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175.81438195712252</v>
      </c>
      <c r="D14" s="65">
        <f>IF(SER_hh_tesh_in!D14=0,0,SER_hh_tesh_in!D14/SER_summary!D$27)</f>
        <v>214.48987616738839</v>
      </c>
      <c r="E14" s="65">
        <f>IF(SER_hh_tesh_in!E14=0,0,SER_hh_tesh_in!E14/SER_summary!E$27)</f>
        <v>98.985731289735511</v>
      </c>
      <c r="F14" s="65">
        <f>IF(SER_hh_tesh_in!F14=0,0,SER_hh_tesh_in!F14/SER_summary!F$27)</f>
        <v>124.81046047568029</v>
      </c>
      <c r="G14" s="65">
        <f>IF(SER_hh_tesh_in!G14=0,0,SER_hh_tesh_in!G14/SER_summary!G$27)</f>
        <v>83.017078399829117</v>
      </c>
      <c r="H14" s="65">
        <f>IF(SER_hh_tesh_in!H14=0,0,SER_hh_tesh_in!H14/SER_summary!H$27)</f>
        <v>62.123447195847305</v>
      </c>
      <c r="I14" s="65">
        <f>IF(SER_hh_tesh_in!I14=0,0,SER_hh_tesh_in!I14/SER_summary!I$27)</f>
        <v>60.674435710815672</v>
      </c>
      <c r="J14" s="65">
        <f>IF(SER_hh_tesh_in!J14=0,0,SER_hh_tesh_in!J14/SER_summary!J$27)</f>
        <v>84.804159685842052</v>
      </c>
      <c r="K14" s="65">
        <f>IF(SER_hh_tesh_in!K14=0,0,SER_hh_tesh_in!K14/SER_summary!K$27)</f>
        <v>76.069316680111655</v>
      </c>
      <c r="L14" s="65">
        <f>IF(SER_hh_tesh_in!L14=0,0,SER_hh_tesh_in!L14/SER_summary!L$27)</f>
        <v>78.932350781414726</v>
      </c>
      <c r="M14" s="65">
        <f>IF(SER_hh_tesh_in!M14=0,0,SER_hh_tesh_in!M14/SER_summary!M$27)</f>
        <v>78.733898603786599</v>
      </c>
      <c r="N14" s="65">
        <f>IF(SER_hh_tesh_in!N14=0,0,SER_hh_tesh_in!N14/SER_summary!N$27)</f>
        <v>67.335470672840401</v>
      </c>
      <c r="O14" s="65">
        <f>IF(SER_hh_tesh_in!O14=0,0,SER_hh_tesh_in!O14/SER_summary!O$27)</f>
        <v>62.969389999752728</v>
      </c>
      <c r="P14" s="65">
        <f>IF(SER_hh_tesh_in!P14=0,0,SER_hh_tesh_in!P14/SER_summary!P$27)</f>
        <v>52.457922737985491</v>
      </c>
      <c r="Q14" s="65">
        <f>IF(SER_hh_tesh_in!Q14=0,0,SER_hh_tesh_in!Q14/SER_summary!Q$27)</f>
        <v>51.088098769775186</v>
      </c>
      <c r="R14" s="65">
        <f>IF(SER_hh_tesh_in!R14=0,0,SER_hh_tesh_in!R14/SER_summary!R$27)</f>
        <v>53.075194615486232</v>
      </c>
      <c r="S14" s="65">
        <f>IF(SER_hh_tesh_in!S14=0,0,SER_hh_tesh_in!S14/SER_summary!S$27)</f>
        <v>54.338429792198838</v>
      </c>
      <c r="T14" s="65">
        <f>IF(SER_hh_tesh_in!T14=0,0,SER_hh_tesh_in!T14/SER_summary!T$27)</f>
        <v>53.955100228350986</v>
      </c>
      <c r="U14" s="65">
        <f>IF(SER_hh_tesh_in!U14=0,0,SER_hh_tesh_in!U14/SER_summary!U$27)</f>
        <v>47.103684152936715</v>
      </c>
      <c r="V14" s="65">
        <f>IF(SER_hh_tesh_in!V14=0,0,SER_hh_tesh_in!V14/SER_summary!V$27)</f>
        <v>33.814335024128461</v>
      </c>
      <c r="W14" s="65">
        <f>IF(SER_hh_tesh_in!W14=0,0,SER_hh_tesh_in!W14/SER_summary!W$27)</f>
        <v>33.036070806181591</v>
      </c>
      <c r="X14" s="65">
        <f>IF(SER_hh_tesh_in!X14=0,0,SER_hh_tesh_in!X14/SER_summary!X$27)</f>
        <v>35.932365305754693</v>
      </c>
      <c r="Y14" s="65">
        <f>IF(SER_hh_tesh_in!Y14=0,0,SER_hh_tesh_in!Y14/SER_summary!Y$27)</f>
        <v>0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4.2770750005925846</v>
      </c>
      <c r="D15" s="134">
        <f>IF(SER_hh_tesh_in!D15=0,0,SER_hh_tesh_in!D15/SER_summary!D$27)</f>
        <v>3.5250333270952181</v>
      </c>
      <c r="E15" s="134">
        <f>IF(SER_hh_tesh_in!E15=0,0,SER_hh_tesh_in!E15/SER_summary!E$27)</f>
        <v>2.1489083098935877</v>
      </c>
      <c r="F15" s="134">
        <f>IF(SER_hh_tesh_in!F15=0,0,SER_hh_tesh_in!F15/SER_summary!F$27)</f>
        <v>1.9875562321229512</v>
      </c>
      <c r="G15" s="134">
        <f>IF(SER_hh_tesh_in!G15=0,0,SER_hh_tesh_in!G15/SER_summary!G$27)</f>
        <v>1.6068648602661368</v>
      </c>
      <c r="H15" s="134">
        <f>IF(SER_hh_tesh_in!H15=0,0,SER_hh_tesh_in!H15/SER_summary!H$27)</f>
        <v>1.0644512910592581</v>
      </c>
      <c r="I15" s="134">
        <f>IF(SER_hh_tesh_in!I15=0,0,SER_hh_tesh_in!I15/SER_summary!I$27)</f>
        <v>0.73534422542431688</v>
      </c>
      <c r="J15" s="134">
        <f>IF(SER_hh_tesh_in!J15=0,0,SER_hh_tesh_in!J15/SER_summary!J$27)</f>
        <v>1.2589434652125593</v>
      </c>
      <c r="K15" s="134">
        <f>IF(SER_hh_tesh_in!K15=0,0,SER_hh_tesh_in!K15/SER_summary!K$27)</f>
        <v>0.80968837644882319</v>
      </c>
      <c r="L15" s="134">
        <f>IF(SER_hh_tesh_in!L15=0,0,SER_hh_tesh_in!L15/SER_summary!L$27)</f>
        <v>0.55821192683710286</v>
      </c>
      <c r="M15" s="134">
        <f>IF(SER_hh_tesh_in!M15=0,0,SER_hh_tesh_in!M15/SER_summary!M$27)</f>
        <v>0.71884653635381734</v>
      </c>
      <c r="N15" s="134">
        <f>IF(SER_hh_tesh_in!N15=0,0,SER_hh_tesh_in!N15/SER_summary!N$27)</f>
        <v>0.29568718353117329</v>
      </c>
      <c r="O15" s="134">
        <f>IF(SER_hh_tesh_in!O15=0,0,SER_hh_tesh_in!O15/SER_summary!O$27)</f>
        <v>0.67210680956635027</v>
      </c>
      <c r="P15" s="134">
        <f>IF(SER_hh_tesh_in!P15=0,0,SER_hh_tesh_in!P15/SER_summary!P$27)</f>
        <v>0.80938281276060642</v>
      </c>
      <c r="Q15" s="134">
        <f>IF(SER_hh_tesh_in!Q15=0,0,SER_hh_tesh_in!Q15/SER_summary!Q$27)</f>
        <v>0.89857023270665937</v>
      </c>
      <c r="R15" s="134">
        <f>IF(SER_hh_tesh_in!R15=0,0,SER_hh_tesh_in!R15/SER_summary!R$27)</f>
        <v>0.99151484942861523</v>
      </c>
      <c r="S15" s="134">
        <f>IF(SER_hh_tesh_in!S15=0,0,SER_hh_tesh_in!S15/SER_summary!S$27)</f>
        <v>0.46812987162416475</v>
      </c>
      <c r="T15" s="134">
        <f>IF(SER_hh_tesh_in!T15=0,0,SER_hh_tesh_in!T15/SER_summary!T$27)</f>
        <v>0.59121409072133846</v>
      </c>
      <c r="U15" s="134">
        <f>IF(SER_hh_tesh_in!U15=0,0,SER_hh_tesh_in!U15/SER_summary!U$27)</f>
        <v>0.47267290394024875</v>
      </c>
      <c r="V15" s="134">
        <f>IF(SER_hh_tesh_in!V15=0,0,SER_hh_tesh_in!V15/SER_summary!V$27)</f>
        <v>0.40596267315554269</v>
      </c>
      <c r="W15" s="134">
        <f>IF(SER_hh_tesh_in!W15=0,0,SER_hh_tesh_in!W15/SER_summary!W$27)</f>
        <v>0.36978339875743127</v>
      </c>
      <c r="X15" s="134">
        <f>IF(SER_hh_tesh_in!X15=0,0,SER_hh_tesh_in!X15/SER_summary!X$27)</f>
        <v>0.44946549649873202</v>
      </c>
      <c r="Y15" s="134">
        <f>IF(SER_hh_tesh_in!Y15=0,0,SER_hh_tesh_in!Y15/SER_summary!Y$27)</f>
        <v>0.53083248344078393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23.970864158563394</v>
      </c>
      <c r="D16" s="130">
        <f>IF(SER_hh_tesh_in!D16=0,0,SER_hh_tesh_in!D16/SER_summary!D$27)</f>
        <v>23.680661247239136</v>
      </c>
      <c r="E16" s="130">
        <f>IF(SER_hh_tesh_in!E16=0,0,SER_hh_tesh_in!E16/SER_summary!E$27)</f>
        <v>29.837218433112913</v>
      </c>
      <c r="F16" s="130">
        <f>IF(SER_hh_tesh_in!F16=0,0,SER_hh_tesh_in!F16/SER_summary!F$27)</f>
        <v>23.299365976248293</v>
      </c>
      <c r="G16" s="130">
        <f>IF(SER_hh_tesh_in!G16=0,0,SER_hh_tesh_in!G16/SER_summary!G$27)</f>
        <v>23.427822346028069</v>
      </c>
      <c r="H16" s="130">
        <f>IF(SER_hh_tesh_in!H16=0,0,SER_hh_tesh_in!H16/SER_summary!H$27)</f>
        <v>25.033638752486478</v>
      </c>
      <c r="I16" s="130">
        <f>IF(SER_hh_tesh_in!I16=0,0,SER_hh_tesh_in!I16/SER_summary!I$27)</f>
        <v>24.042577044370358</v>
      </c>
      <c r="J16" s="130">
        <f>IF(SER_hh_tesh_in!J16=0,0,SER_hh_tesh_in!J16/SER_summary!J$27)</f>
        <v>23.417221175814962</v>
      </c>
      <c r="K16" s="130">
        <f>IF(SER_hh_tesh_in!K16=0,0,SER_hh_tesh_in!K16/SER_summary!K$27)</f>
        <v>23.03828051512896</v>
      </c>
      <c r="L16" s="130">
        <f>IF(SER_hh_tesh_in!L16=0,0,SER_hh_tesh_in!L16/SER_summary!L$27)</f>
        <v>23.76530574056801</v>
      </c>
      <c r="M16" s="130">
        <f>IF(SER_hh_tesh_in!M16=0,0,SER_hh_tesh_in!M16/SER_summary!M$27)</f>
        <v>23.265632039234728</v>
      </c>
      <c r="N16" s="130">
        <f>IF(SER_hh_tesh_in!N16=0,0,SER_hh_tesh_in!N16/SER_summary!N$27)</f>
        <v>25.741758690920658</v>
      </c>
      <c r="O16" s="130">
        <f>IF(SER_hh_tesh_in!O16=0,0,SER_hh_tesh_in!O16/SER_summary!O$27)</f>
        <v>26.066522787779213</v>
      </c>
      <c r="P16" s="130">
        <f>IF(SER_hh_tesh_in!P16=0,0,SER_hh_tesh_in!P16/SER_summary!P$27)</f>
        <v>20.728424557558917</v>
      </c>
      <c r="Q16" s="130">
        <f>IF(SER_hh_tesh_in!Q16=0,0,SER_hh_tesh_in!Q16/SER_summary!Q$27)</f>
        <v>25.33807762715869</v>
      </c>
      <c r="R16" s="130">
        <f>IF(SER_hh_tesh_in!R16=0,0,SER_hh_tesh_in!R16/SER_summary!R$27)</f>
        <v>20.366618031423474</v>
      </c>
      <c r="S16" s="130">
        <f>IF(SER_hh_tesh_in!S16=0,0,SER_hh_tesh_in!S16/SER_summary!S$27)</f>
        <v>24.038406968860688</v>
      </c>
      <c r="T16" s="130">
        <f>IF(SER_hh_tesh_in!T16=0,0,SER_hh_tesh_in!T16/SER_summary!T$27)</f>
        <v>20.514658010568478</v>
      </c>
      <c r="U16" s="130">
        <f>IF(SER_hh_tesh_in!U16=0,0,SER_hh_tesh_in!U16/SER_summary!U$27)</f>
        <v>21.361504643132729</v>
      </c>
      <c r="V16" s="130">
        <f>IF(SER_hh_tesh_in!V16=0,0,SER_hh_tesh_in!V16/SER_summary!V$27)</f>
        <v>18.197260113557046</v>
      </c>
      <c r="W16" s="130">
        <f>IF(SER_hh_tesh_in!W16=0,0,SER_hh_tesh_in!W16/SER_summary!W$27)</f>
        <v>18.583963536264619</v>
      </c>
      <c r="X16" s="130">
        <f>IF(SER_hh_tesh_in!X16=0,0,SER_hh_tesh_in!X16/SER_summary!X$27)</f>
        <v>18.040931107532113</v>
      </c>
      <c r="Y16" s="130">
        <f>IF(SER_hh_tesh_in!Y16=0,0,SER_hh_tesh_in!Y16/SER_summary!Y$27)</f>
        <v>17.909962124144094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23.970864158563394</v>
      </c>
      <c r="D18" s="132">
        <f>IF(SER_hh_tesh_in!D18=0,0,SER_hh_tesh_in!D18/SER_summary!D$27)</f>
        <v>23.680661247239136</v>
      </c>
      <c r="E18" s="132">
        <f>IF(SER_hh_tesh_in!E18=0,0,SER_hh_tesh_in!E18/SER_summary!E$27)</f>
        <v>29.837218433112913</v>
      </c>
      <c r="F18" s="132">
        <f>IF(SER_hh_tesh_in!F18=0,0,SER_hh_tesh_in!F18/SER_summary!F$27)</f>
        <v>23.299365976248293</v>
      </c>
      <c r="G18" s="132">
        <f>IF(SER_hh_tesh_in!G18=0,0,SER_hh_tesh_in!G18/SER_summary!G$27)</f>
        <v>23.427822346028069</v>
      </c>
      <c r="H18" s="132">
        <f>IF(SER_hh_tesh_in!H18=0,0,SER_hh_tesh_in!H18/SER_summary!H$27)</f>
        <v>25.033638752486478</v>
      </c>
      <c r="I18" s="132">
        <f>IF(SER_hh_tesh_in!I18=0,0,SER_hh_tesh_in!I18/SER_summary!I$27)</f>
        <v>24.042577044370358</v>
      </c>
      <c r="J18" s="132">
        <f>IF(SER_hh_tesh_in!J18=0,0,SER_hh_tesh_in!J18/SER_summary!J$27)</f>
        <v>23.417221175814962</v>
      </c>
      <c r="K18" s="132">
        <f>IF(SER_hh_tesh_in!K18=0,0,SER_hh_tesh_in!K18/SER_summary!K$27)</f>
        <v>23.03828051512896</v>
      </c>
      <c r="L18" s="132">
        <f>IF(SER_hh_tesh_in!L18=0,0,SER_hh_tesh_in!L18/SER_summary!L$27)</f>
        <v>23.76530574056801</v>
      </c>
      <c r="M18" s="132">
        <f>IF(SER_hh_tesh_in!M18=0,0,SER_hh_tesh_in!M18/SER_summary!M$27)</f>
        <v>23.265632039234728</v>
      </c>
      <c r="N18" s="132">
        <f>IF(SER_hh_tesh_in!N18=0,0,SER_hh_tesh_in!N18/SER_summary!N$27)</f>
        <v>25.741758690920658</v>
      </c>
      <c r="O18" s="132">
        <f>IF(SER_hh_tesh_in!O18=0,0,SER_hh_tesh_in!O18/SER_summary!O$27)</f>
        <v>26.066522787779213</v>
      </c>
      <c r="P18" s="132">
        <f>IF(SER_hh_tesh_in!P18=0,0,SER_hh_tesh_in!P18/SER_summary!P$27)</f>
        <v>20.728424557558917</v>
      </c>
      <c r="Q18" s="132">
        <f>IF(SER_hh_tesh_in!Q18=0,0,SER_hh_tesh_in!Q18/SER_summary!Q$27)</f>
        <v>25.33807762715869</v>
      </c>
      <c r="R18" s="132">
        <f>IF(SER_hh_tesh_in!R18=0,0,SER_hh_tesh_in!R18/SER_summary!R$27)</f>
        <v>20.366618031423474</v>
      </c>
      <c r="S18" s="132">
        <f>IF(SER_hh_tesh_in!S18=0,0,SER_hh_tesh_in!S18/SER_summary!S$27)</f>
        <v>24.038406968860688</v>
      </c>
      <c r="T18" s="132">
        <f>IF(SER_hh_tesh_in!T18=0,0,SER_hh_tesh_in!T18/SER_summary!T$27)</f>
        <v>20.514658010568478</v>
      </c>
      <c r="U18" s="132">
        <f>IF(SER_hh_tesh_in!U18=0,0,SER_hh_tesh_in!U18/SER_summary!U$27)</f>
        <v>21.361504643132729</v>
      </c>
      <c r="V18" s="132">
        <f>IF(SER_hh_tesh_in!V18=0,0,SER_hh_tesh_in!V18/SER_summary!V$27)</f>
        <v>18.197260113557046</v>
      </c>
      <c r="W18" s="132">
        <f>IF(SER_hh_tesh_in!W18=0,0,SER_hh_tesh_in!W18/SER_summary!W$27)</f>
        <v>18.583963536264619</v>
      </c>
      <c r="X18" s="132">
        <f>IF(SER_hh_tesh_in!X18=0,0,SER_hh_tesh_in!X18/SER_summary!X$27)</f>
        <v>18.040931107532113</v>
      </c>
      <c r="Y18" s="132">
        <f>IF(SER_hh_tesh_in!Y18=0,0,SER_hh_tesh_in!Y18/SER_summary!Y$27)</f>
        <v>17.909962124144094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13.862279712700719</v>
      </c>
      <c r="D19" s="130">
        <f>IF(SER_hh_tesh_in!D19=0,0,SER_hh_tesh_in!D19/SER_summary!D$27)</f>
        <v>13.634805118430961</v>
      </c>
      <c r="E19" s="130">
        <f>IF(SER_hh_tesh_in!E19=0,0,SER_hh_tesh_in!E19/SER_summary!E$27)</f>
        <v>13.644357423930726</v>
      </c>
      <c r="F19" s="130">
        <f>IF(SER_hh_tesh_in!F19=0,0,SER_hh_tesh_in!F19/SER_summary!F$27)</f>
        <v>13.167997048041839</v>
      </c>
      <c r="G19" s="130">
        <f>IF(SER_hh_tesh_in!G19=0,0,SER_hh_tesh_in!G19/SER_summary!G$27)</f>
        <v>13.227570276203741</v>
      </c>
      <c r="H19" s="130">
        <f>IF(SER_hh_tesh_in!H19=0,0,SER_hh_tesh_in!H19/SER_summary!H$27)</f>
        <v>13.093045653778928</v>
      </c>
      <c r="I19" s="130">
        <f>IF(SER_hh_tesh_in!I19=0,0,SER_hh_tesh_in!I19/SER_summary!I$27)</f>
        <v>12.539314335940794</v>
      </c>
      <c r="J19" s="130">
        <f>IF(SER_hh_tesh_in!J19=0,0,SER_hh_tesh_in!J19/SER_summary!J$27)</f>
        <v>12.681931318368667</v>
      </c>
      <c r="K19" s="130">
        <f>IF(SER_hh_tesh_in!K19=0,0,SER_hh_tesh_in!K19/SER_summary!K$27)</f>
        <v>12.663452291124504</v>
      </c>
      <c r="L19" s="130">
        <f>IF(SER_hh_tesh_in!L19=0,0,SER_hh_tesh_in!L19/SER_summary!L$27)</f>
        <v>12.531224367928171</v>
      </c>
      <c r="M19" s="130">
        <f>IF(SER_hh_tesh_in!M19=0,0,SER_hh_tesh_in!M19/SER_summary!M$27)</f>
        <v>13.223249190844083</v>
      </c>
      <c r="N19" s="130">
        <f>IF(SER_hh_tesh_in!N19=0,0,SER_hh_tesh_in!N19/SER_summary!N$27)</f>
        <v>13.043099692551113</v>
      </c>
      <c r="O19" s="130">
        <f>IF(SER_hh_tesh_in!O19=0,0,SER_hh_tesh_in!O19/SER_summary!O$27)</f>
        <v>13.463333257914833</v>
      </c>
      <c r="P19" s="130">
        <f>IF(SER_hh_tesh_in!P19=0,0,SER_hh_tesh_in!P19/SER_summary!P$27)</f>
        <v>14.005559069011083</v>
      </c>
      <c r="Q19" s="130">
        <f>IF(SER_hh_tesh_in!Q19=0,0,SER_hh_tesh_in!Q19/SER_summary!Q$27)</f>
        <v>14.405482805669161</v>
      </c>
      <c r="R19" s="130">
        <f>IF(SER_hh_tesh_in!R19=0,0,SER_hh_tesh_in!R19/SER_summary!R$27)</f>
        <v>13.324853324836907</v>
      </c>
      <c r="S19" s="130">
        <f>IF(SER_hh_tesh_in!S19=0,0,SER_hh_tesh_in!S19/SER_summary!S$27)</f>
        <v>13.930592035385049</v>
      </c>
      <c r="T19" s="130">
        <f>IF(SER_hh_tesh_in!T19=0,0,SER_hh_tesh_in!T19/SER_summary!T$27)</f>
        <v>14.707858893454363</v>
      </c>
      <c r="U19" s="130">
        <f>IF(SER_hh_tesh_in!U19=0,0,SER_hh_tesh_in!U19/SER_summary!U$27)</f>
        <v>14.255982501174547</v>
      </c>
      <c r="V19" s="130">
        <f>IF(SER_hh_tesh_in!V19=0,0,SER_hh_tesh_in!V19/SER_summary!V$27)</f>
        <v>13.769510568071063</v>
      </c>
      <c r="W19" s="130">
        <f>IF(SER_hh_tesh_in!W19=0,0,SER_hh_tesh_in!W19/SER_summary!W$27)</f>
        <v>13.797827826239867</v>
      </c>
      <c r="X19" s="130">
        <f>IF(SER_hh_tesh_in!X19=0,0,SER_hh_tesh_in!X19/SER_summary!X$27)</f>
        <v>13.395796853964974</v>
      </c>
      <c r="Y19" s="130">
        <f>IF(SER_hh_tesh_in!Y19=0,0,SER_hh_tesh_in!Y19/SER_summary!Y$27)</f>
        <v>14.542507086385315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13.184699505793995</v>
      </c>
      <c r="D21" s="132">
        <f>IF(SER_hh_tesh_in!D21=0,0,SER_hh_tesh_in!D21/SER_summary!D$27)</f>
        <v>14.109873735828204</v>
      </c>
      <c r="E21" s="132">
        <f>IF(SER_hh_tesh_in!E21=0,0,SER_hh_tesh_in!E21/SER_summary!E$27)</f>
        <v>13.715611999399476</v>
      </c>
      <c r="F21" s="132">
        <f>IF(SER_hh_tesh_in!F21=0,0,SER_hh_tesh_in!F21/SER_summary!F$27)</f>
        <v>13.366427334425623</v>
      </c>
      <c r="G21" s="132">
        <f>IF(SER_hh_tesh_in!G21=0,0,SER_hh_tesh_in!G21/SER_summary!G$27)</f>
        <v>13.145485558017429</v>
      </c>
      <c r="H21" s="132">
        <f>IF(SER_hh_tesh_in!H21=0,0,SER_hh_tesh_in!H21/SER_summary!H$27)</f>
        <v>12.933660799710003</v>
      </c>
      <c r="I21" s="132">
        <f>IF(SER_hh_tesh_in!I21=0,0,SER_hh_tesh_in!I21/SER_summary!I$27)</f>
        <v>12.901439156984068</v>
      </c>
      <c r="J21" s="132">
        <f>IF(SER_hh_tesh_in!J21=0,0,SER_hh_tesh_in!J21/SER_summary!J$27)</f>
        <v>12.520633255373159</v>
      </c>
      <c r="K21" s="132">
        <f>IF(SER_hh_tesh_in!K21=0,0,SER_hh_tesh_in!K21/SER_summary!K$27)</f>
        <v>12.673691053256981</v>
      </c>
      <c r="L21" s="132">
        <f>IF(SER_hh_tesh_in!L21=0,0,SER_hh_tesh_in!L21/SER_summary!L$27)</f>
        <v>13.199359461070054</v>
      </c>
      <c r="M21" s="132">
        <f>IF(SER_hh_tesh_in!M21=0,0,SER_hh_tesh_in!M21/SER_summary!M$27)</f>
        <v>12.530081095958277</v>
      </c>
      <c r="N21" s="132">
        <f>IF(SER_hh_tesh_in!N21=0,0,SER_hh_tesh_in!N21/SER_summary!N$27)</f>
        <v>13.304830749295704</v>
      </c>
      <c r="O21" s="132">
        <f>IF(SER_hh_tesh_in!O21=0,0,SER_hh_tesh_in!O21/SER_summary!O$27)</f>
        <v>13.378576705571652</v>
      </c>
      <c r="P21" s="132">
        <f>IF(SER_hh_tesh_in!P21=0,0,SER_hh_tesh_in!P21/SER_summary!P$27)</f>
        <v>0</v>
      </c>
      <c r="Q21" s="132">
        <f>IF(SER_hh_tesh_in!Q21=0,0,SER_hh_tesh_in!Q21/SER_summary!Q$27)</f>
        <v>13.658131730785145</v>
      </c>
      <c r="R21" s="132">
        <f>IF(SER_hh_tesh_in!R21=0,0,SER_hh_tesh_in!R21/SER_summary!R$27)</f>
        <v>10.670454423377377</v>
      </c>
      <c r="S21" s="132">
        <f>IF(SER_hh_tesh_in!S21=0,0,SER_hh_tesh_in!S21/SER_summary!S$27)</f>
        <v>12.178431142586156</v>
      </c>
      <c r="T21" s="132">
        <f>IF(SER_hh_tesh_in!T21=0,0,SER_hh_tesh_in!T21/SER_summary!T$27)</f>
        <v>16.408256838562469</v>
      </c>
      <c r="U21" s="132">
        <f>IF(SER_hh_tesh_in!U21=0,0,SER_hh_tesh_in!U21/SER_summary!U$27)</f>
        <v>19.222591303764823</v>
      </c>
      <c r="V21" s="132">
        <f>IF(SER_hh_tesh_in!V21=0,0,SER_hh_tesh_in!V21/SER_summary!V$27)</f>
        <v>15.358113682798331</v>
      </c>
      <c r="W21" s="132">
        <f>IF(SER_hh_tesh_in!W21=0,0,SER_hh_tesh_in!W21/SER_summary!W$27)</f>
        <v>11.591109558190501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14.577367918594373</v>
      </c>
      <c r="D22" s="132">
        <f>IF(SER_hh_tesh_in!D22=0,0,SER_hh_tesh_in!D22/SER_summary!D$27)</f>
        <v>12.960042973982763</v>
      </c>
      <c r="E22" s="132">
        <f>IF(SER_hh_tesh_in!E22=0,0,SER_hh_tesh_in!E22/SER_summary!E$27)</f>
        <v>13.985775104202553</v>
      </c>
      <c r="F22" s="132">
        <f>IF(SER_hh_tesh_in!F22=0,0,SER_hh_tesh_in!F22/SER_summary!F$27)</f>
        <v>13.562424710870474</v>
      </c>
      <c r="G22" s="132">
        <f>IF(SER_hh_tesh_in!G22=0,0,SER_hh_tesh_in!G22/SER_summary!G$27)</f>
        <v>13.250827323406307</v>
      </c>
      <c r="H22" s="132">
        <f>IF(SER_hh_tesh_in!H22=0,0,SER_hh_tesh_in!H22/SER_summary!H$27)</f>
        <v>13.029184348565924</v>
      </c>
      <c r="I22" s="132">
        <f>IF(SER_hh_tesh_in!I22=0,0,SER_hh_tesh_in!I22/SER_summary!I$27)</f>
        <v>12.990282812760338</v>
      </c>
      <c r="J22" s="132">
        <f>IF(SER_hh_tesh_in!J22=0,0,SER_hh_tesh_in!J22/SER_summary!J$27)</f>
        <v>12.362995470255365</v>
      </c>
      <c r="K22" s="132">
        <f>IF(SER_hh_tesh_in!K22=0,0,SER_hh_tesh_in!K22/SER_summary!K$27)</f>
        <v>12.883336113368635</v>
      </c>
      <c r="L22" s="132">
        <f>IF(SER_hh_tesh_in!L22=0,0,SER_hh_tesh_in!L22/SER_summary!L$27)</f>
        <v>0</v>
      </c>
      <c r="M22" s="132">
        <f>IF(SER_hh_tesh_in!M22=0,0,SER_hh_tesh_in!M22/SER_summary!M$27)</f>
        <v>0</v>
      </c>
      <c r="N22" s="132">
        <f>IF(SER_hh_tesh_in!N22=0,0,SER_hh_tesh_in!N22/SER_summary!N$27)</f>
        <v>0</v>
      </c>
      <c r="O22" s="132">
        <f>IF(SER_hh_tesh_in!O22=0,0,SER_hh_tesh_in!O22/SER_summary!O$27)</f>
        <v>0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15.314302797323123</v>
      </c>
      <c r="S22" s="132">
        <f>IF(SER_hh_tesh_in!S22=0,0,SER_hh_tesh_in!S22/SER_summary!S$27)</f>
        <v>12.735989038414585</v>
      </c>
      <c r="T22" s="132">
        <f>IF(SER_hh_tesh_in!T22=0,0,SER_hh_tesh_in!T22/SER_summary!T$27)</f>
        <v>14.927125631123129</v>
      </c>
      <c r="U22" s="132">
        <f>IF(SER_hh_tesh_in!U22=0,0,SER_hh_tesh_in!U22/SER_summary!U$27)</f>
        <v>12.905420382724884</v>
      </c>
      <c r="V22" s="132">
        <f>IF(SER_hh_tesh_in!V22=0,0,SER_hh_tesh_in!V22/SER_summary!V$27)</f>
        <v>14.357865349031414</v>
      </c>
      <c r="W22" s="132">
        <f>IF(SER_hh_tesh_in!W22=0,0,SER_hh_tesh_in!W22/SER_summary!W$27)</f>
        <v>13.781414095249392</v>
      </c>
      <c r="X22" s="132">
        <f>IF(SER_hh_tesh_in!X22=0,0,SER_hh_tesh_in!X22/SER_summary!X$27)</f>
        <v>13.704767313496738</v>
      </c>
      <c r="Y22" s="132">
        <f>IF(SER_hh_tesh_in!Y22=0,0,SER_hh_tesh_in!Y22/SER_summary!Y$27)</f>
        <v>14.286580982333735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14.147144451675578</v>
      </c>
      <c r="D23" s="132">
        <f>IF(SER_hh_tesh_in!D23=0,0,SER_hh_tesh_in!D23/SER_summary!D$27)</f>
        <v>13.593074216594209</v>
      </c>
      <c r="E23" s="132">
        <f>IF(SER_hh_tesh_in!E23=0,0,SER_hh_tesh_in!E23/SER_summary!E$27)</f>
        <v>13.403992077999105</v>
      </c>
      <c r="F23" s="132">
        <f>IF(SER_hh_tesh_in!F23=0,0,SER_hh_tesh_in!F23/SER_summary!F$27)</f>
        <v>13.402757194197971</v>
      </c>
      <c r="G23" s="132">
        <f>IF(SER_hh_tesh_in!G23=0,0,SER_hh_tesh_in!G23/SER_summary!G$27)</f>
        <v>13.199436682200156</v>
      </c>
      <c r="H23" s="132">
        <f>IF(SER_hh_tesh_in!H23=0,0,SER_hh_tesh_in!H23/SER_summary!H$27)</f>
        <v>12.681838231247875</v>
      </c>
      <c r="I23" s="132">
        <f>IF(SER_hh_tesh_in!I23=0,0,SER_hh_tesh_in!I23/SER_summary!I$27)</f>
        <v>12.172471253574889</v>
      </c>
      <c r="J23" s="132">
        <f>IF(SER_hh_tesh_in!J23=0,0,SER_hh_tesh_in!J23/SER_summary!J$27)</f>
        <v>11.331999447401133</v>
      </c>
      <c r="K23" s="132">
        <f>IF(SER_hh_tesh_in!K23=0,0,SER_hh_tesh_in!K23/SER_summary!K$27)</f>
        <v>13.924881487890222</v>
      </c>
      <c r="L23" s="132">
        <f>IF(SER_hh_tesh_in!L23=0,0,SER_hh_tesh_in!L23/SER_summary!L$27)</f>
        <v>13.65536602035839</v>
      </c>
      <c r="M23" s="132">
        <f>IF(SER_hh_tesh_in!M23=0,0,SER_hh_tesh_in!M23/SER_summary!M$27)</f>
        <v>12.993050705094348</v>
      </c>
      <c r="N23" s="132">
        <f>IF(SER_hh_tesh_in!N23=0,0,SER_hh_tesh_in!N23/SER_summary!N$27)</f>
        <v>13.127196757114458</v>
      </c>
      <c r="O23" s="132">
        <f>IF(SER_hh_tesh_in!O23=0,0,SER_hh_tesh_in!O23/SER_summary!O$27)</f>
        <v>13.392062705943781</v>
      </c>
      <c r="P23" s="132">
        <f>IF(SER_hh_tesh_in!P23=0,0,SER_hh_tesh_in!P23/SER_summary!P$27)</f>
        <v>13.518866014730765</v>
      </c>
      <c r="Q23" s="132">
        <f>IF(SER_hh_tesh_in!Q23=0,0,SER_hh_tesh_in!Q23/SER_summary!Q$27)</f>
        <v>13.085426545339958</v>
      </c>
      <c r="R23" s="132">
        <f>IF(SER_hh_tesh_in!R23=0,0,SER_hh_tesh_in!R23/SER_summary!R$27)</f>
        <v>17.033365820436774</v>
      </c>
      <c r="S23" s="132">
        <f>IF(SER_hh_tesh_in!S23=0,0,SER_hh_tesh_in!S23/SER_summary!S$27)</f>
        <v>0</v>
      </c>
      <c r="T23" s="132">
        <f>IF(SER_hh_tesh_in!T23=0,0,SER_hh_tesh_in!T23/SER_summary!T$27)</f>
        <v>0</v>
      </c>
      <c r="U23" s="132">
        <f>IF(SER_hh_tesh_in!U23=0,0,SER_hh_tesh_in!U23/SER_summary!U$27)</f>
        <v>0</v>
      </c>
      <c r="V23" s="132">
        <f>IF(SER_hh_tesh_in!V23=0,0,SER_hh_tesh_in!V23/SER_summary!V$27)</f>
        <v>0</v>
      </c>
      <c r="W23" s="132">
        <f>IF(SER_hh_tesh_in!W23=0,0,SER_hh_tesh_in!W23/SER_summary!W$27)</f>
        <v>10.787806411865844</v>
      </c>
      <c r="X23" s="132">
        <f>IF(SER_hh_tesh_in!X23=0,0,SER_hh_tesh_in!X23/SER_summary!X$27)</f>
        <v>15.495952730712778</v>
      </c>
      <c r="Y23" s="132">
        <f>IF(SER_hh_tesh_in!Y23=0,0,SER_hh_tesh_in!Y23/SER_summary!Y$27)</f>
        <v>13.800066687528162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16.702001490890044</v>
      </c>
      <c r="D25" s="132">
        <f>IF(SER_hh_tesh_in!D25=0,0,SER_hh_tesh_in!D25/SER_summary!D$27)</f>
        <v>14.392193898624235</v>
      </c>
      <c r="E25" s="132">
        <f>IF(SER_hh_tesh_in!E25=0,0,SER_hh_tesh_in!E25/SER_summary!E$27)</f>
        <v>13.04001657715899</v>
      </c>
      <c r="F25" s="132">
        <f>IF(SER_hh_tesh_in!F25=0,0,SER_hh_tesh_in!F25/SER_summary!F$27)</f>
        <v>13.737014760939445</v>
      </c>
      <c r="G25" s="132">
        <f>IF(SER_hh_tesh_in!G25=0,0,SER_hh_tesh_in!G25/SER_summary!G$27)</f>
        <v>13.57733179392917</v>
      </c>
      <c r="H25" s="132">
        <f>IF(SER_hh_tesh_in!H25=0,0,SER_hh_tesh_in!H25/SER_summary!H$27)</f>
        <v>12.040998544324571</v>
      </c>
      <c r="I25" s="132">
        <f>IF(SER_hh_tesh_in!I25=0,0,SER_hh_tesh_in!I25/SER_summary!I$27)</f>
        <v>12.455558217986519</v>
      </c>
      <c r="J25" s="132">
        <f>IF(SER_hh_tesh_in!J25=0,0,SER_hh_tesh_in!J25/SER_summary!J$27)</f>
        <v>11.203465014990062</v>
      </c>
      <c r="K25" s="132">
        <f>IF(SER_hh_tesh_in!K25=0,0,SER_hh_tesh_in!K25/SER_summary!K$27)</f>
        <v>11.953428192938967</v>
      </c>
      <c r="L25" s="132">
        <f>IF(SER_hh_tesh_in!L25=0,0,SER_hh_tesh_in!L25/SER_summary!L$27)</f>
        <v>12.851924033701257</v>
      </c>
      <c r="M25" s="132">
        <f>IF(SER_hh_tesh_in!M25=0,0,SER_hh_tesh_in!M25/SER_summary!M$27)</f>
        <v>13.255413729168067</v>
      </c>
      <c r="N25" s="132">
        <f>IF(SER_hh_tesh_in!N25=0,0,SER_hh_tesh_in!N25/SER_summary!N$27)</f>
        <v>13.312178377226056</v>
      </c>
      <c r="O25" s="132">
        <f>IF(SER_hh_tesh_in!O25=0,0,SER_hh_tesh_in!O25/SER_summary!O$27)</f>
        <v>13.563872372274599</v>
      </c>
      <c r="P25" s="132">
        <f>IF(SER_hh_tesh_in!P25=0,0,SER_hh_tesh_in!P25/SER_summary!P$27)</f>
        <v>14.175770730623835</v>
      </c>
      <c r="Q25" s="132">
        <f>IF(SER_hh_tesh_in!Q25=0,0,SER_hh_tesh_in!Q25/SER_summary!Q$27)</f>
        <v>13.85740014780697</v>
      </c>
      <c r="R25" s="132">
        <f>IF(SER_hh_tesh_in!R25=0,0,SER_hh_tesh_in!R25/SER_summary!R$27)</f>
        <v>12.812465013709241</v>
      </c>
      <c r="S25" s="132">
        <f>IF(SER_hh_tesh_in!S25=0,0,SER_hh_tesh_in!S25/SER_summary!S$27)</f>
        <v>14.631820084851373</v>
      </c>
      <c r="T25" s="132">
        <f>IF(SER_hh_tesh_in!T25=0,0,SER_hh_tesh_in!T25/SER_summary!T$27)</f>
        <v>15.338061233848654</v>
      </c>
      <c r="U25" s="132">
        <f>IF(SER_hh_tesh_in!U25=0,0,SER_hh_tesh_in!U25/SER_summary!U$27)</f>
        <v>13.199665683840752</v>
      </c>
      <c r="V25" s="132">
        <f>IF(SER_hh_tesh_in!V25=0,0,SER_hh_tesh_in!V25/SER_summary!V$27)</f>
        <v>13.132919221406951</v>
      </c>
      <c r="W25" s="132">
        <f>IF(SER_hh_tesh_in!W25=0,0,SER_hh_tesh_in!W25/SER_summary!W$27)</f>
        <v>14.199337807440228</v>
      </c>
      <c r="X25" s="132">
        <f>IF(SER_hh_tesh_in!X25=0,0,SER_hh_tesh_in!X25/SER_summary!X$27)</f>
        <v>14.277042350282205</v>
      </c>
      <c r="Y25" s="132">
        <f>IF(SER_hh_tesh_in!Y25=0,0,SER_hh_tesh_in!Y25/SER_summary!Y$27)</f>
        <v>13.664646116811875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11.772576418645773</v>
      </c>
      <c r="D26" s="65">
        <f>IF(SER_hh_tesh_in!D26=0,0,SER_hh_tesh_in!D26/SER_summary!D$27)</f>
        <v>14.411190265648257</v>
      </c>
      <c r="E26" s="65">
        <f>IF(SER_hh_tesh_in!E26=0,0,SER_hh_tesh_in!E26/SER_summary!E$27)</f>
        <v>12.498325118879446</v>
      </c>
      <c r="F26" s="65">
        <f>IF(SER_hh_tesh_in!F26=0,0,SER_hh_tesh_in!F26/SER_summary!F$27)</f>
        <v>12.13907398935239</v>
      </c>
      <c r="G26" s="65">
        <f>IF(SER_hh_tesh_in!G26=0,0,SER_hh_tesh_in!G26/SER_summary!G$27)</f>
        <v>13.233671784296304</v>
      </c>
      <c r="H26" s="65">
        <f>IF(SER_hh_tesh_in!H26=0,0,SER_hh_tesh_in!H26/SER_summary!H$27)</f>
        <v>13.29755680012296</v>
      </c>
      <c r="I26" s="65">
        <f>IF(SER_hh_tesh_in!I26=0,0,SER_hh_tesh_in!I26/SER_summary!I$27)</f>
        <v>11.697905368762793</v>
      </c>
      <c r="J26" s="65">
        <f>IF(SER_hh_tesh_in!J26=0,0,SER_hh_tesh_in!J26/SER_summary!J$27)</f>
        <v>13.495367174263849</v>
      </c>
      <c r="K26" s="65">
        <f>IF(SER_hh_tesh_in!K26=0,0,SER_hh_tesh_in!K26/SER_summary!K$27)</f>
        <v>12.709100382223914</v>
      </c>
      <c r="L26" s="65">
        <f>IF(SER_hh_tesh_in!L26=0,0,SER_hh_tesh_in!L26/SER_summary!L$27)</f>
        <v>11.922514390049157</v>
      </c>
      <c r="M26" s="65">
        <f>IF(SER_hh_tesh_in!M26=0,0,SER_hh_tesh_in!M26/SER_summary!M$27)</f>
        <v>13.361632672102106</v>
      </c>
      <c r="N26" s="65">
        <f>IF(SER_hh_tesh_in!N26=0,0,SER_hh_tesh_in!N26/SER_summary!N$27)</f>
        <v>12.823379120997448</v>
      </c>
      <c r="O26" s="65">
        <f>IF(SER_hh_tesh_in!O26=0,0,SER_hh_tesh_in!O26/SER_summary!O$27)</f>
        <v>13.44806382054538</v>
      </c>
      <c r="P26" s="65">
        <f>IF(SER_hh_tesh_in!P26=0,0,SER_hh_tesh_in!P26/SER_summary!P$27)</f>
        <v>13.989592153489054</v>
      </c>
      <c r="Q26" s="65">
        <f>IF(SER_hh_tesh_in!Q26=0,0,SER_hh_tesh_in!Q26/SER_summary!Q$27)</f>
        <v>14.660463246463923</v>
      </c>
      <c r="R26" s="65">
        <f>IF(SER_hh_tesh_in!R26=0,0,SER_hh_tesh_in!R26/SER_summary!R$27)</f>
        <v>15.063735334424225</v>
      </c>
      <c r="S26" s="65">
        <f>IF(SER_hh_tesh_in!S26=0,0,SER_hh_tesh_in!S26/SER_summary!S$27)</f>
        <v>14.923893161211046</v>
      </c>
      <c r="T26" s="65">
        <f>IF(SER_hh_tesh_in!T26=0,0,SER_hh_tesh_in!T26/SER_summary!T$27)</f>
        <v>12.416460339935513</v>
      </c>
      <c r="U26" s="65">
        <f>IF(SER_hh_tesh_in!U26=0,0,SER_hh_tesh_in!U26/SER_summary!U$27)</f>
        <v>12.988292926163576</v>
      </c>
      <c r="V26" s="65">
        <f>IF(SER_hh_tesh_in!V26=0,0,SER_hh_tesh_in!V26/SER_summary!V$27)</f>
        <v>12.919581186506118</v>
      </c>
      <c r="W26" s="65">
        <f>IF(SER_hh_tesh_in!W26=0,0,SER_hh_tesh_in!W26/SER_summary!W$27)</f>
        <v>14.13660620616467</v>
      </c>
      <c r="X26" s="65">
        <f>IF(SER_hh_tesh_in!X26=0,0,SER_hh_tesh_in!X26/SER_summary!X$27)</f>
        <v>12.979288892709242</v>
      </c>
      <c r="Y26" s="65">
        <f>IF(SER_hh_tesh_in!Y26=0,0,SER_hh_tesh_in!Y26/SER_summary!Y$27)</f>
        <v>14.790891121868965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18.138416566345626</v>
      </c>
      <c r="D29" s="130">
        <f>IF(SER_hh_tesh_in!D29=0,0,SER_hh_tesh_in!D29/SER_summary!D$27)</f>
        <v>19.037942214060322</v>
      </c>
      <c r="E29" s="130">
        <f>IF(SER_hh_tesh_in!E29=0,0,SER_hh_tesh_in!E29/SER_summary!E$27)</f>
        <v>18.455854078759842</v>
      </c>
      <c r="F29" s="130">
        <f>IF(SER_hh_tesh_in!F29=0,0,SER_hh_tesh_in!F29/SER_summary!F$27)</f>
        <v>15.989308552386682</v>
      </c>
      <c r="G29" s="130">
        <f>IF(SER_hh_tesh_in!G29=0,0,SER_hh_tesh_in!G29/SER_summary!G$27)</f>
        <v>16.23619975016226</v>
      </c>
      <c r="H29" s="130">
        <f>IF(SER_hh_tesh_in!H29=0,0,SER_hh_tesh_in!H29/SER_summary!H$27)</f>
        <v>16.052190313228547</v>
      </c>
      <c r="I29" s="130">
        <f>IF(SER_hh_tesh_in!I29=0,0,SER_hh_tesh_in!I29/SER_summary!I$27)</f>
        <v>18.710562564486086</v>
      </c>
      <c r="J29" s="130">
        <f>IF(SER_hh_tesh_in!J29=0,0,SER_hh_tesh_in!J29/SER_summary!J$27)</f>
        <v>14.824783731204844</v>
      </c>
      <c r="K29" s="130">
        <f>IF(SER_hh_tesh_in!K29=0,0,SER_hh_tesh_in!K29/SER_summary!K$27)</f>
        <v>15.072729197243232</v>
      </c>
      <c r="L29" s="130">
        <f>IF(SER_hh_tesh_in!L29=0,0,SER_hh_tesh_in!L29/SER_summary!L$27)</f>
        <v>15.473589775969307</v>
      </c>
      <c r="M29" s="130">
        <f>IF(SER_hh_tesh_in!M29=0,0,SER_hh_tesh_in!M29/SER_summary!M$27)</f>
        <v>17.127987807262464</v>
      </c>
      <c r="N29" s="130">
        <f>IF(SER_hh_tesh_in!N29=0,0,SER_hh_tesh_in!N29/SER_summary!N$27)</f>
        <v>15.075864885598412</v>
      </c>
      <c r="O29" s="130">
        <f>IF(SER_hh_tesh_in!O29=0,0,SER_hh_tesh_in!O29/SER_summary!O$27)</f>
        <v>16.134412977025573</v>
      </c>
      <c r="P29" s="130">
        <f>IF(SER_hh_tesh_in!P29=0,0,SER_hh_tesh_in!P29/SER_summary!P$27)</f>
        <v>16.95830169415342</v>
      </c>
      <c r="Q29" s="130">
        <f>IF(SER_hh_tesh_in!Q29=0,0,SER_hh_tesh_in!Q29/SER_summary!Q$27)</f>
        <v>17.364515372663174</v>
      </c>
      <c r="R29" s="130">
        <f>IF(SER_hh_tesh_in!R29=0,0,SER_hh_tesh_in!R29/SER_summary!R$27)</f>
        <v>17.427216855422547</v>
      </c>
      <c r="S29" s="130">
        <f>IF(SER_hh_tesh_in!S29=0,0,SER_hh_tesh_in!S29/SER_summary!S$27)</f>
        <v>17.959792637594209</v>
      </c>
      <c r="T29" s="130">
        <f>IF(SER_hh_tesh_in!T29=0,0,SER_hh_tesh_in!T29/SER_summary!T$27)</f>
        <v>19.165126406339173</v>
      </c>
      <c r="U29" s="130">
        <f>IF(SER_hh_tesh_in!U29=0,0,SER_hh_tesh_in!U29/SER_summary!U$27)</f>
        <v>19.911282773353101</v>
      </c>
      <c r="V29" s="130">
        <f>IF(SER_hh_tesh_in!V29=0,0,SER_hh_tesh_in!V29/SER_summary!V$27)</f>
        <v>17.867879722643195</v>
      </c>
      <c r="W29" s="130">
        <f>IF(SER_hh_tesh_in!W29=0,0,SER_hh_tesh_in!W29/SER_summary!W$27)</f>
        <v>18.78995234212125</v>
      </c>
      <c r="X29" s="130">
        <f>IF(SER_hh_tesh_in!X29=0,0,SER_hh_tesh_in!X29/SER_summary!X$27)</f>
        <v>17.793077081904556</v>
      </c>
      <c r="Y29" s="130">
        <f>IF(SER_hh_tesh_in!Y29=0,0,SER_hh_tesh_in!Y29/SER_summary!Y$27)</f>
        <v>18.695433376293181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0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14.835383191861844</v>
      </c>
      <c r="H30" s="132">
        <f>IF(SER_hh_tesh_in!H30=0,0,SER_hh_tesh_in!H30/SER_summary!H$27)</f>
        <v>10.123515503441801</v>
      </c>
      <c r="I30" s="132">
        <f>IF(SER_hh_tesh_in!I30=0,0,SER_hh_tesh_in!I30/SER_summary!I$27)</f>
        <v>21.565542789829045</v>
      </c>
      <c r="J30" s="132">
        <f>IF(SER_hh_tesh_in!J30=0,0,SER_hh_tesh_in!J30/SER_summary!J$27)</f>
        <v>13.147586002818629</v>
      </c>
      <c r="K30" s="132">
        <f>IF(SER_hh_tesh_in!K30=0,0,SER_hh_tesh_in!K30/SER_summary!K$27)</f>
        <v>14.638652615062707</v>
      </c>
      <c r="L30" s="132">
        <f>IF(SER_hh_tesh_in!L30=0,0,SER_hh_tesh_in!L30/SER_summary!L$27)</f>
        <v>19.948877057188742</v>
      </c>
      <c r="M30" s="132">
        <f>IF(SER_hh_tesh_in!M30=0,0,SER_hh_tesh_in!M30/SER_summary!M$27)</f>
        <v>0</v>
      </c>
      <c r="N30" s="132">
        <f>IF(SER_hh_tesh_in!N30=0,0,SER_hh_tesh_in!N30/SER_summary!N$27)</f>
        <v>18.679609277404886</v>
      </c>
      <c r="O30" s="132">
        <f>IF(SER_hh_tesh_in!O30=0,0,SER_hh_tesh_in!O30/SER_summary!O$27)</f>
        <v>0</v>
      </c>
      <c r="P30" s="132">
        <f>IF(SER_hh_tesh_in!P30=0,0,SER_hh_tesh_in!P30/SER_summary!P$27)</f>
        <v>0</v>
      </c>
      <c r="Q30" s="132">
        <f>IF(SER_hh_tesh_in!Q30=0,0,SER_hh_tesh_in!Q30/SER_summary!Q$27)</f>
        <v>18.590587148312039</v>
      </c>
      <c r="R30" s="132">
        <f>IF(SER_hh_tesh_in!R30=0,0,SER_hh_tesh_in!R30/SER_summary!R$27)</f>
        <v>15.9963647455138</v>
      </c>
      <c r="S30" s="132">
        <f>IF(SER_hh_tesh_in!S30=0,0,SER_hh_tesh_in!S30/SER_summary!S$27)</f>
        <v>16.806886610167798</v>
      </c>
      <c r="T30" s="132">
        <f>IF(SER_hh_tesh_in!T30=0,0,SER_hh_tesh_in!T30/SER_summary!T$27)</f>
        <v>18.974726939509534</v>
      </c>
      <c r="U30" s="132">
        <f>IF(SER_hh_tesh_in!U30=0,0,SER_hh_tesh_in!U30/SER_summary!U$27)</f>
        <v>22.235950313138844</v>
      </c>
      <c r="V30" s="132">
        <f>IF(SER_hh_tesh_in!V30=0,0,SER_hh_tesh_in!V30/SER_summary!V$27)</f>
        <v>19.207496392271107</v>
      </c>
      <c r="W30" s="132">
        <f>IF(SER_hh_tesh_in!W30=0,0,SER_hh_tesh_in!W30/SER_summary!W$27)</f>
        <v>0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22.695873653257038</v>
      </c>
      <c r="D31" s="132">
        <f>IF(SER_hh_tesh_in!D31=0,0,SER_hh_tesh_in!D31/SER_summary!D$27)</f>
        <v>20.69644710644846</v>
      </c>
      <c r="E31" s="132">
        <f>IF(SER_hh_tesh_in!E31=0,0,SER_hh_tesh_in!E31/SER_summary!E$27)</f>
        <v>17.156707348186419</v>
      </c>
      <c r="F31" s="132">
        <f>IF(SER_hh_tesh_in!F31=0,0,SER_hh_tesh_in!F31/SER_summary!F$27)</f>
        <v>0</v>
      </c>
      <c r="G31" s="132">
        <f>IF(SER_hh_tesh_in!G31=0,0,SER_hh_tesh_in!G31/SER_summary!G$27)</f>
        <v>0</v>
      </c>
      <c r="H31" s="132">
        <f>IF(SER_hh_tesh_in!H31=0,0,SER_hh_tesh_in!H31/SER_summary!H$27)</f>
        <v>0</v>
      </c>
      <c r="I31" s="132">
        <f>IF(SER_hh_tesh_in!I31=0,0,SER_hh_tesh_in!I31/SER_summary!I$27)</f>
        <v>0</v>
      </c>
      <c r="J31" s="132">
        <f>IF(SER_hh_tesh_in!J31=0,0,SER_hh_tesh_in!J31/SER_summary!J$27)</f>
        <v>0</v>
      </c>
      <c r="K31" s="132">
        <f>IF(SER_hh_tesh_in!K31=0,0,SER_hh_tesh_in!K31/SER_summary!K$27)</f>
        <v>17.79176098933938</v>
      </c>
      <c r="L31" s="132">
        <f>IF(SER_hh_tesh_in!L31=0,0,SER_hh_tesh_in!L31/SER_summary!L$27)</f>
        <v>16.092088238080649</v>
      </c>
      <c r="M31" s="132">
        <f>IF(SER_hh_tesh_in!M31=0,0,SER_hh_tesh_in!M31/SER_summary!M$27)</f>
        <v>15.289604758105977</v>
      </c>
      <c r="N31" s="132">
        <f>IF(SER_hh_tesh_in!N31=0,0,SER_hh_tesh_in!N31/SER_summary!N$27)</f>
        <v>12.760789207914666</v>
      </c>
      <c r="O31" s="132">
        <f>IF(SER_hh_tesh_in!O31=0,0,SER_hh_tesh_in!O31/SER_summary!O$27)</f>
        <v>14.757538465003549</v>
      </c>
      <c r="P31" s="132">
        <f>IF(SER_hh_tesh_in!P31=0,0,SER_hh_tesh_in!P31/SER_summary!P$27)</f>
        <v>17.990354865941597</v>
      </c>
      <c r="Q31" s="132">
        <f>IF(SER_hh_tesh_in!Q31=0,0,SER_hh_tesh_in!Q31/SER_summary!Q$27)</f>
        <v>17.913906854807596</v>
      </c>
      <c r="R31" s="132">
        <f>IF(SER_hh_tesh_in!R31=0,0,SER_hh_tesh_in!R31/SER_summary!R$27)</f>
        <v>23.161385242682144</v>
      </c>
      <c r="S31" s="132">
        <f>IF(SER_hh_tesh_in!S31=0,0,SER_hh_tesh_in!S31/SER_summary!S$27)</f>
        <v>0</v>
      </c>
      <c r="T31" s="132">
        <f>IF(SER_hh_tesh_in!T31=0,0,SER_hh_tesh_in!T31/SER_summary!T$27)</f>
        <v>0</v>
      </c>
      <c r="U31" s="132">
        <f>IF(SER_hh_tesh_in!U31=0,0,SER_hh_tesh_in!U31/SER_summary!U$27)</f>
        <v>0</v>
      </c>
      <c r="V31" s="132">
        <f>IF(SER_hh_tesh_in!V31=0,0,SER_hh_tesh_in!V31/SER_summary!V$27)</f>
        <v>0</v>
      </c>
      <c r="W31" s="132">
        <f>IF(SER_hh_tesh_in!W31=0,0,SER_hh_tesh_in!W31/SER_summary!W$27)</f>
        <v>0</v>
      </c>
      <c r="X31" s="132">
        <f>IF(SER_hh_tesh_in!X31=0,0,SER_hh_tesh_in!X31/SER_summary!X$27)</f>
        <v>19.127459138029156</v>
      </c>
      <c r="Y31" s="132">
        <f>IF(SER_hh_tesh_in!Y31=0,0,SER_hh_tesh_in!Y31/SER_summary!Y$27)</f>
        <v>18.045773971922578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13.604079498713745</v>
      </c>
      <c r="D33" s="68">
        <f>IF(SER_hh_tesh_in!D33=0,0,SER_hh_tesh_in!D33/SER_summary!D$27)</f>
        <v>18.779813319018679</v>
      </c>
      <c r="E33" s="68">
        <f>IF(SER_hh_tesh_in!E33=0,0,SER_hh_tesh_in!E33/SER_summary!E$27)</f>
        <v>18.560884342466334</v>
      </c>
      <c r="F33" s="68">
        <f>IF(SER_hh_tesh_in!F33=0,0,SER_hh_tesh_in!F33/SER_summary!F$27)</f>
        <v>15.989308552386682</v>
      </c>
      <c r="G33" s="68">
        <f>IF(SER_hh_tesh_in!G33=0,0,SER_hh_tesh_in!G33/SER_summary!G$27)</f>
        <v>16.485977371859267</v>
      </c>
      <c r="H33" s="68">
        <f>IF(SER_hh_tesh_in!H33=0,0,SER_hh_tesh_in!H33/SER_summary!H$27)</f>
        <v>17.703981772213901</v>
      </c>
      <c r="I33" s="68">
        <f>IF(SER_hh_tesh_in!I33=0,0,SER_hh_tesh_in!I33/SER_summary!I$27)</f>
        <v>13.364957553620245</v>
      </c>
      <c r="J33" s="68">
        <f>IF(SER_hh_tesh_in!J33=0,0,SER_hh_tesh_in!J33/SER_summary!J$27)</f>
        <v>16.047095003410508</v>
      </c>
      <c r="K33" s="68">
        <f>IF(SER_hh_tesh_in!K33=0,0,SER_hh_tesh_in!K33/SER_summary!K$27)</f>
        <v>15.148144941752554</v>
      </c>
      <c r="L33" s="68">
        <f>IF(SER_hh_tesh_in!L33=0,0,SER_hh_tesh_in!L33/SER_summary!L$27)</f>
        <v>13.574539759857457</v>
      </c>
      <c r="M33" s="68">
        <f>IF(SER_hh_tesh_in!M33=0,0,SER_hh_tesh_in!M33/SER_summary!M$27)</f>
        <v>17.260344994041493</v>
      </c>
      <c r="N33" s="68">
        <f>IF(SER_hh_tesh_in!N33=0,0,SER_hh_tesh_in!N33/SER_summary!N$27)</f>
        <v>15.64487094184002</v>
      </c>
      <c r="O33" s="68">
        <f>IF(SER_hh_tesh_in!O33=0,0,SER_hh_tesh_in!O33/SER_summary!O$27)</f>
        <v>16.669305195350837</v>
      </c>
      <c r="P33" s="68">
        <f>IF(SER_hh_tesh_in!P33=0,0,SER_hh_tesh_in!P33/SER_summary!P$27)</f>
        <v>16.50532194906312</v>
      </c>
      <c r="Q33" s="68">
        <f>IF(SER_hh_tesh_in!Q33=0,0,SER_hh_tesh_in!Q33/SER_summary!Q$27)</f>
        <v>17.186341140299835</v>
      </c>
      <c r="R33" s="68">
        <f>IF(SER_hh_tesh_in!R33=0,0,SER_hh_tesh_in!R33/SER_summary!R$27)</f>
        <v>17.652909492008494</v>
      </c>
      <c r="S33" s="68">
        <f>IF(SER_hh_tesh_in!S33=0,0,SER_hh_tesh_in!S33/SER_summary!S$27)</f>
        <v>18.704408393114445</v>
      </c>
      <c r="T33" s="68">
        <f>IF(SER_hh_tesh_in!T33=0,0,SER_hh_tesh_in!T33/SER_summary!T$27)</f>
        <v>19.325742646697545</v>
      </c>
      <c r="U33" s="68">
        <f>IF(SER_hh_tesh_in!U33=0,0,SER_hh_tesh_in!U33/SER_summary!U$27)</f>
        <v>17.976192430182348</v>
      </c>
      <c r="V33" s="68">
        <f>IF(SER_hh_tesh_in!V33=0,0,SER_hh_tesh_in!V33/SER_summary!V$27)</f>
        <v>17.515335544006028</v>
      </c>
      <c r="W33" s="68">
        <f>IF(SER_hh_tesh_in!W33=0,0,SER_hh_tesh_in!W33/SER_summary!W$27)</f>
        <v>18.78995234212125</v>
      </c>
      <c r="X33" s="68">
        <f>IF(SER_hh_tesh_in!X33=0,0,SER_hh_tesh_in!X33/SER_summary!X$27)</f>
        <v>17.741133076120256</v>
      </c>
      <c r="Y33" s="68">
        <f>IF(SER_hh_tesh_in!Y33=0,0,SER_hh_tesh_in!Y33/SER_summary!Y$27)</f>
        <v>18.747714238246811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82.189641804161766</v>
      </c>
      <c r="D3" s="125">
        <f>IF(SER_hh_emih_in!D3=0,0,SER_hh_emih_in!D3/SER_summary!D$27)</f>
        <v>57.640136537003315</v>
      </c>
      <c r="E3" s="125">
        <f>IF(SER_hh_emih_in!E3=0,0,SER_hh_emih_in!E3/SER_summary!E$27)</f>
        <v>49.168417999825998</v>
      </c>
      <c r="F3" s="125">
        <f>IF(SER_hh_emih_in!F3=0,0,SER_hh_emih_in!F3/SER_summary!F$27)</f>
        <v>36.497363382707121</v>
      </c>
      <c r="G3" s="125">
        <f>IF(SER_hh_emih_in!G3=0,0,SER_hh_emih_in!G3/SER_summary!G$27)</f>
        <v>31.682315140606217</v>
      </c>
      <c r="H3" s="125">
        <f>IF(SER_hh_emih_in!H3=0,0,SER_hh_emih_in!H3/SER_summary!H$27)</f>
        <v>18.045617073856736</v>
      </c>
      <c r="I3" s="125">
        <f>IF(SER_hh_emih_in!I3=0,0,SER_hh_emih_in!I3/SER_summary!I$27)</f>
        <v>15.992620670826129</v>
      </c>
      <c r="J3" s="125">
        <f>IF(SER_hh_emih_in!J3=0,0,SER_hh_emih_in!J3/SER_summary!J$27)</f>
        <v>24.563104767560514</v>
      </c>
      <c r="K3" s="125">
        <f>IF(SER_hh_emih_in!K3=0,0,SER_hh_emih_in!K3/SER_summary!K$27)</f>
        <v>16.838605250062095</v>
      </c>
      <c r="L3" s="125">
        <f>IF(SER_hh_emih_in!L3=0,0,SER_hh_emih_in!L3/SER_summary!L$27)</f>
        <v>6.3000809603869401</v>
      </c>
      <c r="M3" s="125">
        <f>IF(SER_hh_emih_in!M3=0,0,SER_hh_emih_in!M3/SER_summary!M$27)</f>
        <v>7.2532279869001623</v>
      </c>
      <c r="N3" s="125">
        <f>IF(SER_hh_emih_in!N3=0,0,SER_hh_emih_in!N3/SER_summary!N$27)</f>
        <v>1.8908441206001383</v>
      </c>
      <c r="O3" s="125">
        <f>IF(SER_hh_emih_in!O3=0,0,SER_hh_emih_in!O3/SER_summary!O$27)</f>
        <v>8.0357369012399325</v>
      </c>
      <c r="P3" s="125">
        <f>IF(SER_hh_emih_in!P3=0,0,SER_hh_emih_in!P3/SER_summary!P$27)</f>
        <v>8.9118905518358229</v>
      </c>
      <c r="Q3" s="125">
        <f>IF(SER_hh_emih_in!Q3=0,0,SER_hh_emih_in!Q3/SER_summary!Q$27)</f>
        <v>11.263362576407975</v>
      </c>
      <c r="R3" s="125">
        <f>IF(SER_hh_emih_in!R3=0,0,SER_hh_emih_in!R3/SER_summary!R$27)</f>
        <v>11.429847173691659</v>
      </c>
      <c r="S3" s="125">
        <f>IF(SER_hh_emih_in!S3=0,0,SER_hh_emih_in!S3/SER_summary!S$27)</f>
        <v>6.5959505906069591</v>
      </c>
      <c r="T3" s="125">
        <f>IF(SER_hh_emih_in!T3=0,0,SER_hh_emih_in!T3/SER_summary!T$27)</f>
        <v>11.442900491481039</v>
      </c>
      <c r="U3" s="125">
        <f>IF(SER_hh_emih_in!U3=0,0,SER_hh_emih_in!U3/SER_summary!U$27)</f>
        <v>10.688367309421324</v>
      </c>
      <c r="V3" s="125">
        <f>IF(SER_hh_emih_in!V3=0,0,SER_hh_emih_in!V3/SER_summary!V$27)</f>
        <v>7.6766948186999997</v>
      </c>
      <c r="W3" s="125">
        <f>IF(SER_hh_emih_in!W3=0,0,SER_hh_emih_in!W3/SER_summary!W$27)</f>
        <v>5.9010975556487004</v>
      </c>
      <c r="X3" s="125">
        <f>IF(SER_hh_emih_in!X3=0,0,SER_hh_emih_in!X3/SER_summary!X$27)</f>
        <v>6.2747544246786813</v>
      </c>
      <c r="Y3" s="125">
        <f>IF(SER_hh_emih_in!Y3=0,0,SER_hh_emih_in!Y3/SER_summary!Y$27)</f>
        <v>7.8944298596416198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74.371774465211843</v>
      </c>
      <c r="D4" s="130">
        <f>IF(SER_hh_emih_in!D4=0,0,SER_hh_emih_in!D4/SER_summary!D$27)</f>
        <v>52.02270622585047</v>
      </c>
      <c r="E4" s="130">
        <f>IF(SER_hh_emih_in!E4=0,0,SER_hh_emih_in!E4/SER_summary!E$27)</f>
        <v>43.828383438558795</v>
      </c>
      <c r="F4" s="130">
        <f>IF(SER_hh_emih_in!F4=0,0,SER_hh_emih_in!F4/SER_summary!F$27)</f>
        <v>32.071473417628077</v>
      </c>
      <c r="G4" s="130">
        <f>IF(SER_hh_emih_in!G4=0,0,SER_hh_emih_in!G4/SER_summary!G$27)</f>
        <v>27.022223744265212</v>
      </c>
      <c r="H4" s="130">
        <f>IF(SER_hh_emih_in!H4=0,0,SER_hh_emih_in!H4/SER_summary!H$27)</f>
        <v>13.49148312400701</v>
      </c>
      <c r="I4" s="130">
        <f>IF(SER_hh_emih_in!I4=0,0,SER_hh_emih_in!I4/SER_summary!I$27)</f>
        <v>6.9536918381606041</v>
      </c>
      <c r="J4" s="130">
        <f>IF(SER_hh_emih_in!J4=0,0,SER_hh_emih_in!J4/SER_summary!J$27)</f>
        <v>20.163266177019356</v>
      </c>
      <c r="K4" s="130">
        <f>IF(SER_hh_emih_in!K4=0,0,SER_hh_emih_in!K4/SER_summary!K$27)</f>
        <v>12.844014375701496</v>
      </c>
      <c r="L4" s="130">
        <f>IF(SER_hh_emih_in!L4=0,0,SER_hh_emih_in!L4/SER_summary!L$27)</f>
        <v>2.8775635382147899</v>
      </c>
      <c r="M4" s="130">
        <f>IF(SER_hh_emih_in!M4=0,0,SER_hh_emih_in!M4/SER_summary!M$27)</f>
        <v>6.2775953208742008</v>
      </c>
      <c r="N4" s="130">
        <f>IF(SER_hh_emih_in!N4=0,0,SER_hh_emih_in!N4/SER_summary!N$27)</f>
        <v>0.27352565339895651</v>
      </c>
      <c r="O4" s="130">
        <f>IF(SER_hh_emih_in!O4=0,0,SER_hh_emih_in!O4/SER_summary!O$27)</f>
        <v>6.1334567363621284</v>
      </c>
      <c r="P4" s="130">
        <f>IF(SER_hh_emih_in!P4=0,0,SER_hh_emih_in!P4/SER_summary!P$27)</f>
        <v>7.1013809754318409</v>
      </c>
      <c r="Q4" s="130">
        <f>IF(SER_hh_emih_in!Q4=0,0,SER_hh_emih_in!Q4/SER_summary!Q$27)</f>
        <v>9.5157974882294418</v>
      </c>
      <c r="R4" s="130">
        <f>IF(SER_hh_emih_in!R4=0,0,SER_hh_emih_in!R4/SER_summary!R$27)</f>
        <v>8.3154953356512848</v>
      </c>
      <c r="S4" s="130">
        <f>IF(SER_hh_emih_in!S4=0,0,SER_hh_emih_in!S4/SER_summary!S$27)</f>
        <v>2.7015953634365655</v>
      </c>
      <c r="T4" s="130">
        <f>IF(SER_hh_emih_in!T4=0,0,SER_hh_emih_in!T4/SER_summary!T$27)</f>
        <v>5.5196458178826395</v>
      </c>
      <c r="U4" s="130">
        <f>IF(SER_hh_emih_in!U4=0,0,SER_hh_emih_in!U4/SER_summary!U$27)</f>
        <v>4.8627017699995809</v>
      </c>
      <c r="V4" s="130">
        <f>IF(SER_hh_emih_in!V4=0,0,SER_hh_emih_in!V4/SER_summary!V$27)</f>
        <v>3.9539746370491229</v>
      </c>
      <c r="W4" s="130">
        <f>IF(SER_hh_emih_in!W4=0,0,SER_hh_emih_in!W4/SER_summary!W$27)</f>
        <v>4.4562019580268402</v>
      </c>
      <c r="X4" s="130">
        <f>IF(SER_hh_emih_in!X4=0,0,SER_hh_emih_in!X4/SER_summary!X$27)</f>
        <v>5.0501698705380482</v>
      </c>
      <c r="Y4" s="130">
        <f>IF(SER_hh_emih_in!Y4=0,0,SER_hh_emih_in!Y4/SER_summary!Y$27)</f>
        <v>6.6415642570335764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108.69579431114255</v>
      </c>
      <c r="D7" s="132">
        <f>IF(SER_hh_emih_in!D7=0,0,SER_hh_emih_in!D7/SER_summary!D$27)</f>
        <v>84.87834066384201</v>
      </c>
      <c r="E7" s="132">
        <f>IF(SER_hh_emih_in!E7=0,0,SER_hh_emih_in!E7/SER_summary!E$27)</f>
        <v>57.492962822844</v>
      </c>
      <c r="F7" s="132">
        <f>IF(SER_hh_emih_in!F7=0,0,SER_hh_emih_in!F7/SER_summary!F$27)</f>
        <v>53.383293228230606</v>
      </c>
      <c r="G7" s="132">
        <f>IF(SER_hh_emih_in!G7=0,0,SER_hh_emih_in!G7/SER_summary!G$27)</f>
        <v>46.96068070254185</v>
      </c>
      <c r="H7" s="132">
        <f>IF(SER_hh_emih_in!H7=0,0,SER_hh_emih_in!H7/SER_summary!H$27)</f>
        <v>36.878363384610843</v>
      </c>
      <c r="I7" s="132">
        <f>IF(SER_hh_emih_in!I7=0,0,SER_hh_emih_in!I7/SER_summary!I$27)</f>
        <v>21.373917626003543</v>
      </c>
      <c r="J7" s="132">
        <f>IF(SER_hh_emih_in!J7=0,0,SER_hh_emih_in!J7/SER_summary!J$27)</f>
        <v>37.535439431218016</v>
      </c>
      <c r="K7" s="132">
        <f>IF(SER_hh_emih_in!K7=0,0,SER_hh_emih_in!K7/SER_summary!K$27)</f>
        <v>34.426478156747571</v>
      </c>
      <c r="L7" s="132">
        <f>IF(SER_hh_emih_in!L7=0,0,SER_hh_emih_in!L7/SER_summary!L$27)</f>
        <v>0</v>
      </c>
      <c r="M7" s="132">
        <f>IF(SER_hh_emih_in!M7=0,0,SER_hh_emih_in!M7/SER_summary!M$27)</f>
        <v>0</v>
      </c>
      <c r="N7" s="132">
        <f>IF(SER_hh_emih_in!N7=0,0,SER_hh_emih_in!N7/SER_summary!N$27)</f>
        <v>0</v>
      </c>
      <c r="O7" s="132">
        <f>IF(SER_hh_emih_in!O7=0,0,SER_hh_emih_in!O7/SER_summary!O$27)</f>
        <v>0</v>
      </c>
      <c r="P7" s="132">
        <f>IF(SER_hh_emih_in!P7=0,0,SER_hh_emih_in!P7/SER_summary!P$27)</f>
        <v>0</v>
      </c>
      <c r="Q7" s="132">
        <f>IF(SER_hh_emih_in!Q7=0,0,SER_hh_emih_in!Q7/SER_summary!Q$27)</f>
        <v>0</v>
      </c>
      <c r="R7" s="132">
        <f>IF(SER_hh_emih_in!R7=0,0,SER_hh_emih_in!R7/SER_summary!R$27)</f>
        <v>21.612362826614579</v>
      </c>
      <c r="S7" s="132">
        <f>IF(SER_hh_emih_in!S7=0,0,SER_hh_emih_in!S7/SER_summary!S$27)</f>
        <v>16.877670311870915</v>
      </c>
      <c r="T7" s="132">
        <f>IF(SER_hh_emih_in!T7=0,0,SER_hh_emih_in!T7/SER_summary!T$27)</f>
        <v>18.112134352577232</v>
      </c>
      <c r="U7" s="132">
        <f>IF(SER_hh_emih_in!U7=0,0,SER_hh_emih_in!U7/SER_summary!U$27)</f>
        <v>15.048401548706286</v>
      </c>
      <c r="V7" s="132">
        <f>IF(SER_hh_emih_in!V7=0,0,SER_hh_emih_in!V7/SER_summary!V$27)</f>
        <v>16.922732689740613</v>
      </c>
      <c r="W7" s="132">
        <f>IF(SER_hh_emih_in!W7=0,0,SER_hh_emih_in!W7/SER_summary!W$27)</f>
        <v>10.318701127363582</v>
      </c>
      <c r="X7" s="132">
        <f>IF(SER_hh_emih_in!X7=0,0,SER_hh_emih_in!X7/SER_summary!X$27)</f>
        <v>10.091523850547706</v>
      </c>
      <c r="Y7" s="132">
        <f>IF(SER_hh_emih_in!Y7=0,0,SER_hh_emih_in!Y7/SER_summary!Y$27)</f>
        <v>14.369520041350572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80.011691962409742</v>
      </c>
      <c r="D9" s="132">
        <f>IF(SER_hh_emih_in!D9=0,0,SER_hh_emih_in!D9/SER_summary!D$27)</f>
        <v>77.453427078856876</v>
      </c>
      <c r="E9" s="132">
        <f>IF(SER_hh_emih_in!E9=0,0,SER_hh_emih_in!E9/SER_summary!E$27)</f>
        <v>36.142160870522517</v>
      </c>
      <c r="F9" s="132">
        <f>IF(SER_hh_emih_in!F9=0,0,SER_hh_emih_in!F9/SER_summary!F$27)</f>
        <v>0</v>
      </c>
      <c r="G9" s="132">
        <f>IF(SER_hh_emih_in!G9=0,0,SER_hh_emih_in!G9/SER_summary!G$27)</f>
        <v>0</v>
      </c>
      <c r="H9" s="132">
        <f>IF(SER_hh_emih_in!H9=0,0,SER_hh_emih_in!H9/SER_summary!H$27)</f>
        <v>0</v>
      </c>
      <c r="I9" s="132">
        <f>IF(SER_hh_emih_in!I9=0,0,SER_hh_emih_in!I9/SER_summary!I$27)</f>
        <v>0</v>
      </c>
      <c r="J9" s="132">
        <f>IF(SER_hh_emih_in!J9=0,0,SER_hh_emih_in!J9/SER_summary!J$27)</f>
        <v>0</v>
      </c>
      <c r="K9" s="132">
        <f>IF(SER_hh_emih_in!K9=0,0,SER_hh_emih_in!K9/SER_summary!K$27)</f>
        <v>20.122235204854476</v>
      </c>
      <c r="L9" s="132">
        <f>IF(SER_hh_emih_in!L9=0,0,SER_hh_emih_in!L9/SER_summary!L$27)</f>
        <v>23.800966338568461</v>
      </c>
      <c r="M9" s="132">
        <f>IF(SER_hh_emih_in!M9=0,0,SER_hh_emih_in!M9/SER_summary!M$27)</f>
        <v>33.898702302439311</v>
      </c>
      <c r="N9" s="132">
        <f>IF(SER_hh_emih_in!N9=0,0,SER_hh_emih_in!N9/SER_summary!N$27)</f>
        <v>8.1992804926054301</v>
      </c>
      <c r="O9" s="132">
        <f>IF(SER_hh_emih_in!O9=0,0,SER_hh_emih_in!O9/SER_summary!O$27)</f>
        <v>16.884993702248543</v>
      </c>
      <c r="P9" s="132">
        <f>IF(SER_hh_emih_in!P9=0,0,SER_hh_emih_in!P9/SER_summary!P$27)</f>
        <v>13.298823723485247</v>
      </c>
      <c r="Q9" s="132">
        <f>IF(SER_hh_emih_in!Q9=0,0,SER_hh_emih_in!Q9/SER_summary!Q$27)</f>
        <v>15.098891075698006</v>
      </c>
      <c r="R9" s="132">
        <f>IF(SER_hh_emih_in!R9=0,0,SER_hh_emih_in!R9/SER_summary!R$27)</f>
        <v>17.955278302532694</v>
      </c>
      <c r="S9" s="132">
        <f>IF(SER_hh_emih_in!S9=0,0,SER_hh_emih_in!S9/SER_summary!S$27)</f>
        <v>0</v>
      </c>
      <c r="T9" s="132">
        <f>IF(SER_hh_emih_in!T9=0,0,SER_hh_emih_in!T9/SER_summary!T$27)</f>
        <v>0</v>
      </c>
      <c r="U9" s="132">
        <f>IF(SER_hh_emih_in!U9=0,0,SER_hh_emih_in!U9/SER_summary!U$27)</f>
        <v>0</v>
      </c>
      <c r="V9" s="132">
        <f>IF(SER_hh_emih_in!V9=0,0,SER_hh_emih_in!V9/SER_summary!V$27)</f>
        <v>0</v>
      </c>
      <c r="W9" s="132">
        <f>IF(SER_hh_emih_in!W9=0,0,SER_hh_emih_in!W9/SER_summary!W$27)</f>
        <v>5.6032979211034277</v>
      </c>
      <c r="X9" s="132">
        <f>IF(SER_hh_emih_in!X9=0,0,SER_hh_emih_in!X9/SER_summary!X$27)</f>
        <v>9.7108867529260952</v>
      </c>
      <c r="Y9" s="132">
        <f>IF(SER_hh_emih_in!Y9=0,0,SER_hh_emih_in!Y9/SER_summary!Y$27)</f>
        <v>8.6098532996278667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4.1140429414211006</v>
      </c>
      <c r="D19" s="130">
        <f>IF(SER_hh_emih_in!D19=0,0,SER_hh_emih_in!D19/SER_summary!D$27)</f>
        <v>4.7047354067524347</v>
      </c>
      <c r="E19" s="130">
        <f>IF(SER_hh_emih_in!E19=0,0,SER_hh_emih_in!E19/SER_summary!E$27)</f>
        <v>4.9242742327174964</v>
      </c>
      <c r="F19" s="130">
        <f>IF(SER_hh_emih_in!F19=0,0,SER_hh_emih_in!F19/SER_summary!F$27)</f>
        <v>4.4258899650790404</v>
      </c>
      <c r="G19" s="130">
        <f>IF(SER_hh_emih_in!G19=0,0,SER_hh_emih_in!G19/SER_summary!G$27)</f>
        <v>3.8131467003726378</v>
      </c>
      <c r="H19" s="130">
        <f>IF(SER_hh_emih_in!H19=0,0,SER_hh_emih_in!H19/SER_summary!H$27)</f>
        <v>3.7224940593773126</v>
      </c>
      <c r="I19" s="130">
        <f>IF(SER_hh_emih_in!I19=0,0,SER_hh_emih_in!I19/SER_summary!I$27)</f>
        <v>3.742796241420038</v>
      </c>
      <c r="J19" s="130">
        <f>IF(SER_hh_emih_in!J19=0,0,SER_hh_emih_in!J19/SER_summary!J$27)</f>
        <v>2.3131783392612739</v>
      </c>
      <c r="K19" s="130">
        <f>IF(SER_hh_emih_in!K19=0,0,SER_hh_emih_in!K19/SER_summary!K$27)</f>
        <v>1.2740154520425098</v>
      </c>
      <c r="L19" s="130">
        <f>IF(SER_hh_emih_in!L19=0,0,SER_hh_emih_in!L19/SER_summary!L$27)</f>
        <v>1.0270707040231062</v>
      </c>
      <c r="M19" s="130">
        <f>IF(SER_hh_emih_in!M19=0,0,SER_hh_emih_in!M19/SER_summary!M$27)</f>
        <v>0.65457367501081054</v>
      </c>
      <c r="N19" s="130">
        <f>IF(SER_hh_emih_in!N19=0,0,SER_hh_emih_in!N19/SER_summary!N$27)</f>
        <v>0.8704059289144358</v>
      </c>
      <c r="O19" s="130">
        <f>IF(SER_hh_emih_in!O19=0,0,SER_hh_emih_in!O19/SER_summary!O$27)</f>
        <v>0.62217528135420253</v>
      </c>
      <c r="P19" s="130">
        <f>IF(SER_hh_emih_in!P19=0,0,SER_hh_emih_in!P19/SER_summary!P$27)</f>
        <v>8.5124504127847028E-2</v>
      </c>
      <c r="Q19" s="130">
        <f>IF(SER_hh_emih_in!Q19=0,0,SER_hh_emih_in!Q19/SER_summary!Q$27)</f>
        <v>0.39107083833484341</v>
      </c>
      <c r="R19" s="130">
        <f>IF(SER_hh_emih_in!R19=0,0,SER_hh_emih_in!R19/SER_summary!R$27)</f>
        <v>1.9850165812996179</v>
      </c>
      <c r="S19" s="130">
        <f>IF(SER_hh_emih_in!S19=0,0,SER_hh_emih_in!S19/SER_summary!S$27)</f>
        <v>1.4536695252614835</v>
      </c>
      <c r="T19" s="130">
        <f>IF(SER_hh_emih_in!T19=0,0,SER_hh_emih_in!T19/SER_summary!T$27)</f>
        <v>2.7354003223020462</v>
      </c>
      <c r="U19" s="130">
        <f>IF(SER_hh_emih_in!U19=0,0,SER_hh_emih_in!U19/SER_summary!U$27)</f>
        <v>2.1432094975652713</v>
      </c>
      <c r="V19" s="130">
        <f>IF(SER_hh_emih_in!V19=0,0,SER_hh_emih_in!V19/SER_summary!V$27)</f>
        <v>2.271190902997986</v>
      </c>
      <c r="W19" s="130">
        <f>IF(SER_hh_emih_in!W19=0,0,SER_hh_emih_in!W19/SER_summary!W$27)</f>
        <v>1.4448955976218585</v>
      </c>
      <c r="X19" s="130">
        <f>IF(SER_hh_emih_in!X19=0,0,SER_hh_emih_in!X19/SER_summary!X$27)</f>
        <v>1.0109647676116953</v>
      </c>
      <c r="Y19" s="130">
        <f>IF(SER_hh_emih_in!Y19=0,0,SER_hh_emih_in!Y19/SER_summary!Y$27)</f>
        <v>0.84909751307529957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5.1081451033431868</v>
      </c>
      <c r="D21" s="132">
        <f>IF(SER_hh_emih_in!D21=0,0,SER_hh_emih_in!D21/SER_summary!D$27)</f>
        <v>5.4454888219935329</v>
      </c>
      <c r="E21" s="132">
        <f>IF(SER_hh_emih_in!E21=0,0,SER_hh_emih_in!E21/SER_summary!E$27)</f>
        <v>5.2701641477221157</v>
      </c>
      <c r="F21" s="132">
        <f>IF(SER_hh_emih_in!F21=0,0,SER_hh_emih_in!F21/SER_summary!F$27)</f>
        <v>5.1132417686666392</v>
      </c>
      <c r="G21" s="132">
        <f>IF(SER_hh_emih_in!G21=0,0,SER_hh_emih_in!G21/SER_summary!G$27)</f>
        <v>5.0041059419850296</v>
      </c>
      <c r="H21" s="132">
        <f>IF(SER_hh_emih_in!H21=0,0,SER_hh_emih_in!H21/SER_summary!H$27)</f>
        <v>4.8973598470928694</v>
      </c>
      <c r="I21" s="132">
        <f>IF(SER_hh_emih_in!I21=0,0,SER_hh_emih_in!I21/SER_summary!I$27)</f>
        <v>4.856799255499773</v>
      </c>
      <c r="J21" s="132">
        <f>IF(SER_hh_emih_in!J21=0,0,SER_hh_emih_in!J21/SER_summary!J$27)</f>
        <v>4.6818292619304396</v>
      </c>
      <c r="K21" s="132">
        <f>IF(SER_hh_emih_in!K21=0,0,SER_hh_emih_in!K21/SER_summary!K$27)</f>
        <v>4.701459505315829</v>
      </c>
      <c r="L21" s="132">
        <f>IF(SER_hh_emih_in!L21=0,0,SER_hh_emih_in!L21/SER_summary!L$27)</f>
        <v>4.8513062147428387</v>
      </c>
      <c r="M21" s="132">
        <f>IF(SER_hh_emih_in!M21=0,0,SER_hh_emih_in!M21/SER_summary!M$27)</f>
        <v>4.5203360635450398</v>
      </c>
      <c r="N21" s="132">
        <f>IF(SER_hh_emih_in!N21=0,0,SER_hh_emih_in!N21/SER_summary!N$27)</f>
        <v>4.6581422323324082</v>
      </c>
      <c r="O21" s="132">
        <f>IF(SER_hh_emih_in!O21=0,0,SER_hh_emih_in!O21/SER_summary!O$27)</f>
        <v>4.4901803141290175</v>
      </c>
      <c r="P21" s="132">
        <f>IF(SER_hh_emih_in!P21=0,0,SER_hh_emih_in!P21/SER_summary!P$27)</f>
        <v>0</v>
      </c>
      <c r="Q21" s="132">
        <f>IF(SER_hh_emih_in!Q21=0,0,SER_hh_emih_in!Q21/SER_summary!Q$27)</f>
        <v>4.18502449566311</v>
      </c>
      <c r="R21" s="132">
        <f>IF(SER_hh_emih_in!R21=0,0,SER_hh_emih_in!R21/SER_summary!R$27)</f>
        <v>3.1843686201975312</v>
      </c>
      <c r="S21" s="132">
        <f>IF(SER_hh_emih_in!S21=0,0,SER_hh_emih_in!S21/SER_summary!S$27)</f>
        <v>3.5483058575612625</v>
      </c>
      <c r="T21" s="132">
        <f>IF(SER_hh_emih_in!T21=0,0,SER_hh_emih_in!T21/SER_summary!T$27)</f>
        <v>4.6812988439599428</v>
      </c>
      <c r="U21" s="132">
        <f>IF(SER_hh_emih_in!U21=0,0,SER_hh_emih_in!U21/SER_summary!U$27)</f>
        <v>5.3887998912759203</v>
      </c>
      <c r="V21" s="132">
        <f>IF(SER_hh_emih_in!V21=0,0,SER_hh_emih_in!V21/SER_summary!V$27)</f>
        <v>4.2472625766612175</v>
      </c>
      <c r="W21" s="132">
        <f>IF(SER_hh_emih_in!W21=0,0,SER_hh_emih_in!W21/SER_summary!W$27)</f>
        <v>3.1790973050696243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7.0500821704542229</v>
      </c>
      <c r="D22" s="132">
        <f>IF(SER_hh_emih_in!D22=0,0,SER_hh_emih_in!D22/SER_summary!D$27)</f>
        <v>6.247451131163567</v>
      </c>
      <c r="E22" s="132">
        <f>IF(SER_hh_emih_in!E22=0,0,SER_hh_emih_in!E22/SER_summary!E$27)</f>
        <v>6.7027354961387928</v>
      </c>
      <c r="F22" s="132">
        <f>IF(SER_hh_emih_in!F22=0,0,SER_hh_emih_in!F22/SER_summary!F$27)</f>
        <v>6.4556469133660261</v>
      </c>
      <c r="G22" s="132">
        <f>IF(SER_hh_emih_in!G22=0,0,SER_hh_emih_in!G22/SER_summary!G$27)</f>
        <v>6.2741470697692643</v>
      </c>
      <c r="H22" s="132">
        <f>IF(SER_hh_emih_in!H22=0,0,SER_hh_emih_in!H22/SER_summary!H$27)</f>
        <v>6.1338258432607926</v>
      </c>
      <c r="I22" s="132">
        <f>IF(SER_hh_emih_in!I22=0,0,SER_hh_emih_in!I22/SER_summary!I$27)</f>
        <v>6.0764357036348446</v>
      </c>
      <c r="J22" s="132">
        <f>IF(SER_hh_emih_in!J22=0,0,SER_hh_emih_in!J22/SER_summary!J$27)</f>
        <v>5.7426475498207266</v>
      </c>
      <c r="K22" s="132">
        <f>IF(SER_hh_emih_in!K22=0,0,SER_hh_emih_in!K22/SER_summary!K$27)</f>
        <v>5.9333964231159353</v>
      </c>
      <c r="L22" s="132">
        <f>IF(SER_hh_emih_in!L22=0,0,SER_hh_emih_in!L22/SER_summary!L$27)</f>
        <v>0</v>
      </c>
      <c r="M22" s="132">
        <f>IF(SER_hh_emih_in!M22=0,0,SER_hh_emih_in!M22/SER_summary!M$27)</f>
        <v>0</v>
      </c>
      <c r="N22" s="132">
        <f>IF(SER_hh_emih_in!N22=0,0,SER_hh_emih_in!N22/SER_summary!N$27)</f>
        <v>0</v>
      </c>
      <c r="O22" s="132">
        <f>IF(SER_hh_emih_in!O22=0,0,SER_hh_emih_in!O22/SER_summary!O$27)</f>
        <v>0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5.59546699567505</v>
      </c>
      <c r="S22" s="132">
        <f>IF(SER_hh_emih_in!S22=0,0,SER_hh_emih_in!S22/SER_summary!S$27)</f>
        <v>4.5387181531047567</v>
      </c>
      <c r="T22" s="132">
        <f>IF(SER_hh_emih_in!T22=0,0,SER_hh_emih_in!T22/SER_summary!T$27)</f>
        <v>5.2028617736476868</v>
      </c>
      <c r="U22" s="132">
        <f>IF(SER_hh_emih_in!U22=0,0,SER_hh_emih_in!U22/SER_summary!U$27)</f>
        <v>4.4155020949494048</v>
      </c>
      <c r="V22" s="132">
        <f>IF(SER_hh_emih_in!V22=0,0,SER_hh_emih_in!V22/SER_summary!V$27)</f>
        <v>4.8430451770585492</v>
      </c>
      <c r="W22" s="132">
        <f>IF(SER_hh_emih_in!W22=0,0,SER_hh_emih_in!W22/SER_summary!W$27)</f>
        <v>4.6075831815337143</v>
      </c>
      <c r="X22" s="132">
        <f>IF(SER_hh_emih_in!X22=0,0,SER_hh_emih_in!X22/SER_summary!X$27)</f>
        <v>4.5599995170820762</v>
      </c>
      <c r="Y22" s="132">
        <f>IF(SER_hh_emih_in!Y22=0,0,SER_hh_emih_in!Y22/SER_summary!Y$27)</f>
        <v>4.7454365522805277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4.6984926106396765</v>
      </c>
      <c r="D23" s="132">
        <f>IF(SER_hh_emih_in!D23=0,0,SER_hh_emih_in!D23/SER_summary!D$27)</f>
        <v>4.4782281935189969</v>
      </c>
      <c r="E23" s="132">
        <f>IF(SER_hh_emih_in!E23=0,0,SER_hh_emih_in!E23/SER_summary!E$27)</f>
        <v>4.3297837202988587</v>
      </c>
      <c r="F23" s="132">
        <f>IF(SER_hh_emih_in!F23=0,0,SER_hh_emih_in!F23/SER_summary!F$27)</f>
        <v>4.2720445298141616</v>
      </c>
      <c r="G23" s="132">
        <f>IF(SER_hh_emih_in!G23=0,0,SER_hh_emih_in!G23/SER_summary!G$27)</f>
        <v>4.0467480576930051</v>
      </c>
      <c r="H23" s="132">
        <f>IF(SER_hh_emih_in!H23=0,0,SER_hh_emih_in!H23/SER_summary!H$27)</f>
        <v>3.6975332503181249</v>
      </c>
      <c r="I23" s="132">
        <f>IF(SER_hh_emih_in!I23=0,0,SER_hh_emih_in!I23/SER_summary!I$27)</f>
        <v>3.3634120697634957</v>
      </c>
      <c r="J23" s="132">
        <f>IF(SER_hh_emih_in!J23=0,0,SER_hh_emih_in!J23/SER_summary!J$27)</f>
        <v>3.0585593753762788</v>
      </c>
      <c r="K23" s="132">
        <f>IF(SER_hh_emih_in!K23=0,0,SER_hh_emih_in!K23/SER_summary!K$27)</f>
        <v>3.9053370938690004</v>
      </c>
      <c r="L23" s="132">
        <f>IF(SER_hh_emih_in!L23=0,0,SER_hh_emih_in!L23/SER_summary!L$27)</f>
        <v>3.8090449674714129</v>
      </c>
      <c r="M23" s="132">
        <f>IF(SER_hh_emih_in!M23=0,0,SER_hh_emih_in!M23/SER_summary!M$27)</f>
        <v>3.6993814509572953</v>
      </c>
      <c r="N23" s="132">
        <f>IF(SER_hh_emih_in!N23=0,0,SER_hh_emih_in!N23/SER_summary!N$27)</f>
        <v>3.3155614013068955</v>
      </c>
      <c r="O23" s="132">
        <f>IF(SER_hh_emih_in!O23=0,0,SER_hh_emih_in!O23/SER_summary!O$27)</f>
        <v>3.5485271186798228</v>
      </c>
      <c r="P23" s="132">
        <f>IF(SER_hh_emih_in!P23=0,0,SER_hh_emih_in!P23/SER_summary!P$27)</f>
        <v>3.4902430876205965</v>
      </c>
      <c r="Q23" s="132">
        <f>IF(SER_hh_emih_in!Q23=0,0,SER_hh_emih_in!Q23/SER_summary!Q$27)</f>
        <v>3.3163436574417098</v>
      </c>
      <c r="R23" s="132">
        <f>IF(SER_hh_emih_in!R23=0,0,SER_hh_emih_in!R23/SER_summary!R$27)</f>
        <v>4.2757111209435426</v>
      </c>
      <c r="S23" s="132">
        <f>IF(SER_hh_emih_in!S23=0,0,SER_hh_emih_in!S23/SER_summary!S$27)</f>
        <v>0</v>
      </c>
      <c r="T23" s="132">
        <f>IF(SER_hh_emih_in!T23=0,0,SER_hh_emih_in!T23/SER_summary!T$27)</f>
        <v>0</v>
      </c>
      <c r="U23" s="132">
        <f>IF(SER_hh_emih_in!U23=0,0,SER_hh_emih_in!U23/SER_summary!U$27)</f>
        <v>0</v>
      </c>
      <c r="V23" s="132">
        <f>IF(SER_hh_emih_in!V23=0,0,SER_hh_emih_in!V23/SER_summary!V$27)</f>
        <v>0</v>
      </c>
      <c r="W23" s="132">
        <f>IF(SER_hh_emih_in!W23=0,0,SER_hh_emih_in!W23/SER_summary!W$27)</f>
        <v>2.3745173823683765</v>
      </c>
      <c r="X23" s="132">
        <f>IF(SER_hh_emih_in!X23=0,0,SER_hh_emih_in!X23/SER_summary!X$27)</f>
        <v>3.5313458502034316</v>
      </c>
      <c r="Y23" s="132">
        <f>IF(SER_hh_emih_in!Y23=0,0,SER_hh_emih_in!Y23/SER_summary!Y$27)</f>
        <v>3.1637771754320219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3.7038243975288383</v>
      </c>
      <c r="D29" s="130">
        <f>IF(SER_hh_emih_in!D29=0,0,SER_hh_emih_in!D29/SER_summary!D$27)</f>
        <v>0.91269490440042067</v>
      </c>
      <c r="E29" s="130">
        <f>IF(SER_hh_emih_in!E29=0,0,SER_hh_emih_in!E29/SER_summary!E$27)</f>
        <v>0.41576032854970435</v>
      </c>
      <c r="F29" s="130">
        <f>IF(SER_hh_emih_in!F29=0,0,SER_hh_emih_in!F29/SER_summary!F$27)</f>
        <v>0</v>
      </c>
      <c r="G29" s="130">
        <f>IF(SER_hh_emih_in!G29=0,0,SER_hh_emih_in!G29/SER_summary!G$27)</f>
        <v>0.84694469596836874</v>
      </c>
      <c r="H29" s="130">
        <f>IF(SER_hh_emih_in!H29=0,0,SER_hh_emih_in!H29/SER_summary!H$27)</f>
        <v>0.83163989047241327</v>
      </c>
      <c r="I29" s="130">
        <f>IF(SER_hh_emih_in!I29=0,0,SER_hh_emih_in!I29/SER_summary!I$27)</f>
        <v>5.2961325912454864</v>
      </c>
      <c r="J29" s="130">
        <f>IF(SER_hh_emih_in!J29=0,0,SER_hh_emih_in!J29/SER_summary!J$27)</f>
        <v>2.0866602512798806</v>
      </c>
      <c r="K29" s="130">
        <f>IF(SER_hh_emih_in!K29=0,0,SER_hh_emih_in!K29/SER_summary!K$27)</f>
        <v>2.7205754223180891</v>
      </c>
      <c r="L29" s="130">
        <f>IF(SER_hh_emih_in!L29=0,0,SER_hh_emih_in!L29/SER_summary!L$27)</f>
        <v>2.3954467181490449</v>
      </c>
      <c r="M29" s="130">
        <f>IF(SER_hh_emih_in!M29=0,0,SER_hh_emih_in!M29/SER_summary!M$27)</f>
        <v>0.3210589910151504</v>
      </c>
      <c r="N29" s="130">
        <f>IF(SER_hh_emih_in!N29=0,0,SER_hh_emih_in!N29/SER_summary!N$27)</f>
        <v>0.74691253828674575</v>
      </c>
      <c r="O29" s="130">
        <f>IF(SER_hh_emih_in!O29=0,0,SER_hh_emih_in!O29/SER_summary!O$27)</f>
        <v>1.2801048835236035</v>
      </c>
      <c r="P29" s="130">
        <f>IF(SER_hh_emih_in!P29=0,0,SER_hh_emih_in!P29/SER_summary!P$27)</f>
        <v>1.7253850722761348</v>
      </c>
      <c r="Q29" s="130">
        <f>IF(SER_hh_emih_in!Q29=0,0,SER_hh_emih_in!Q29/SER_summary!Q$27)</f>
        <v>1.3564942498436892</v>
      </c>
      <c r="R29" s="130">
        <f>IF(SER_hh_emih_in!R29=0,0,SER_hh_emih_in!R29/SER_summary!R$27)</f>
        <v>1.1293352567407569</v>
      </c>
      <c r="S29" s="130">
        <f>IF(SER_hh_emih_in!S29=0,0,SER_hh_emih_in!S29/SER_summary!S$27)</f>
        <v>2.4406857019089099</v>
      </c>
      <c r="T29" s="130">
        <f>IF(SER_hh_emih_in!T29=0,0,SER_hh_emih_in!T29/SER_summary!T$27)</f>
        <v>3.1878543512963513</v>
      </c>
      <c r="U29" s="130">
        <f>IF(SER_hh_emih_in!U29=0,0,SER_hh_emih_in!U29/SER_summary!U$27)</f>
        <v>3.6824560418564709</v>
      </c>
      <c r="V29" s="130">
        <f>IF(SER_hh_emih_in!V29=0,0,SER_hh_emih_in!V29/SER_summary!V$27)</f>
        <v>1.4515292786528908</v>
      </c>
      <c r="W29" s="130">
        <f>IF(SER_hh_emih_in!W29=0,0,SER_hh_emih_in!W29/SER_summary!W$27)</f>
        <v>0</v>
      </c>
      <c r="X29" s="130">
        <f>IF(SER_hh_emih_in!X29=0,0,SER_hh_emih_in!X29/SER_summary!X$27)</f>
        <v>0.2136197865289387</v>
      </c>
      <c r="Y29" s="130">
        <f>IF(SER_hh_emih_in!Y29=0,0,SER_hh_emih_in!Y29/SER_summary!Y$27)</f>
        <v>0.40376808953274312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0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5.5968263948035402</v>
      </c>
      <c r="H30" s="132">
        <f>IF(SER_hh_emih_in!H30=0,0,SER_hh_emih_in!H30/SER_summary!H$27)</f>
        <v>3.8165944636642837</v>
      </c>
      <c r="I30" s="132">
        <f>IF(SER_hh_emih_in!I30=0,0,SER_hh_emih_in!I30/SER_summary!I$27)</f>
        <v>8.1246905913344456</v>
      </c>
      <c r="J30" s="132">
        <f>IF(SER_hh_emih_in!J30=0,0,SER_hh_emih_in!J30/SER_summary!J$27)</f>
        <v>4.9498767763513767</v>
      </c>
      <c r="K30" s="132">
        <f>IF(SER_hh_emih_in!K30=0,0,SER_hh_emih_in!K30/SER_summary!K$27)</f>
        <v>5.5074623858928939</v>
      </c>
      <c r="L30" s="132">
        <f>IF(SER_hh_emih_in!L30=0,0,SER_hh_emih_in!L30/SER_summary!L$27)</f>
        <v>7.5001696898738999</v>
      </c>
      <c r="M30" s="132">
        <f>IF(SER_hh_emih_in!M30=0,0,SER_hh_emih_in!M30/SER_summary!M$27)</f>
        <v>0</v>
      </c>
      <c r="N30" s="132">
        <f>IF(SER_hh_emih_in!N30=0,0,SER_hh_emih_in!N30/SER_summary!N$27)</f>
        <v>7.0172687837764904</v>
      </c>
      <c r="O30" s="132">
        <f>IF(SER_hh_emih_in!O30=0,0,SER_hh_emih_in!O30/SER_summary!O$27)</f>
        <v>0</v>
      </c>
      <c r="P30" s="132">
        <f>IF(SER_hh_emih_in!P30=0,0,SER_hh_emih_in!P30/SER_summary!P$27)</f>
        <v>0</v>
      </c>
      <c r="Q30" s="132">
        <f>IF(SER_hh_emih_in!Q30=0,0,SER_hh_emih_in!Q30/SER_summary!Q$27)</f>
        <v>6.9654917808637675</v>
      </c>
      <c r="R30" s="132">
        <f>IF(SER_hh_emih_in!R30=0,0,SER_hh_emih_in!R30/SER_summary!R$27)</f>
        <v>5.9626631627998155</v>
      </c>
      <c r="S30" s="132">
        <f>IF(SER_hh_emih_in!S30=0,0,SER_hh_emih_in!S30/SER_summary!S$27)</f>
        <v>6.2196565817531946</v>
      </c>
      <c r="T30" s="132">
        <f>IF(SER_hh_emih_in!T30=0,0,SER_hh_emih_in!T30/SER_summary!T$27)</f>
        <v>6.9668356514631373</v>
      </c>
      <c r="U30" s="132">
        <f>IF(SER_hh_emih_in!U30=0,0,SER_hh_emih_in!U30/SER_summary!U$27)</f>
        <v>8.1062732850166892</v>
      </c>
      <c r="V30" s="132">
        <f>IF(SER_hh_emih_in!V30=0,0,SER_hh_emih_in!V30/SER_summary!V$27)</f>
        <v>6.9671296940482845</v>
      </c>
      <c r="W30" s="132">
        <f>IF(SER_hh_emih_in!W30=0,0,SER_hh_emih_in!W30/SER_summary!W$27)</f>
        <v>0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7.4265341337966451</v>
      </c>
      <c r="D31" s="132">
        <f>IF(SER_hh_emih_in!D31=0,0,SER_hh_emih_in!D31/SER_summary!D$27)</f>
        <v>6.7768542189228809</v>
      </c>
      <c r="E31" s="132">
        <f>IF(SER_hh_emih_in!E31=0,0,SER_hh_emih_in!E31/SER_summary!E$27)</f>
        <v>5.5584082899688783</v>
      </c>
      <c r="F31" s="132">
        <f>IF(SER_hh_emih_in!F31=0,0,SER_hh_emih_in!F31/SER_summary!F$27)</f>
        <v>0</v>
      </c>
      <c r="G31" s="132">
        <f>IF(SER_hh_emih_in!G31=0,0,SER_hh_emih_in!G31/SER_summary!G$27)</f>
        <v>0</v>
      </c>
      <c r="H31" s="132">
        <f>IF(SER_hh_emih_in!H31=0,0,SER_hh_emih_in!H31/SER_summary!H$27)</f>
        <v>0</v>
      </c>
      <c r="I31" s="132">
        <f>IF(SER_hh_emih_in!I31=0,0,SER_hh_emih_in!I31/SER_summary!I$27)</f>
        <v>0</v>
      </c>
      <c r="J31" s="132">
        <f>IF(SER_hh_emih_in!J31=0,0,SER_hh_emih_in!J31/SER_summary!J$27)</f>
        <v>0</v>
      </c>
      <c r="K31" s="132">
        <f>IF(SER_hh_emih_in!K31=0,0,SER_hh_emih_in!K31/SER_summary!K$27)</f>
        <v>5.311757122736493</v>
      </c>
      <c r="L31" s="132">
        <f>IF(SER_hh_emih_in!L31=0,0,SER_hh_emih_in!L31/SER_summary!L$27)</f>
        <v>4.8365017160879376</v>
      </c>
      <c r="M31" s="132">
        <f>IF(SER_hh_emih_in!M31=0,0,SER_hh_emih_in!M31/SER_summary!M$27)</f>
        <v>4.7804270179809407</v>
      </c>
      <c r="N31" s="132">
        <f>IF(SER_hh_emih_in!N31=0,0,SER_hh_emih_in!N31/SER_summary!N$27)</f>
        <v>3.6373535106556729</v>
      </c>
      <c r="O31" s="132">
        <f>IF(SER_hh_emih_in!O31=0,0,SER_hh_emih_in!O31/SER_summary!O$27)</f>
        <v>4.5752430935298669</v>
      </c>
      <c r="P31" s="132">
        <f>IF(SER_hh_emih_in!P31=0,0,SER_hh_emih_in!P31/SER_summary!P$27)</f>
        <v>5.6564419367360932</v>
      </c>
      <c r="Q31" s="132">
        <f>IF(SER_hh_emih_in!Q31=0,0,SER_hh_emih_in!Q31/SER_summary!Q$27)</f>
        <v>5.7082352363536115</v>
      </c>
      <c r="R31" s="132">
        <f>IF(SER_hh_emih_in!R31=0,0,SER_hh_emih_in!R31/SER_summary!R$27)</f>
        <v>7.4144312702079374</v>
      </c>
      <c r="S31" s="132">
        <f>IF(SER_hh_emih_in!S31=0,0,SER_hh_emih_in!S31/SER_summary!S$27)</f>
        <v>0</v>
      </c>
      <c r="T31" s="132">
        <f>IF(SER_hh_emih_in!T31=0,0,SER_hh_emih_in!T31/SER_summary!T$27)</f>
        <v>0</v>
      </c>
      <c r="U31" s="132">
        <f>IF(SER_hh_emih_in!U31=0,0,SER_hh_emih_in!U31/SER_summary!U$27)</f>
        <v>0</v>
      </c>
      <c r="V31" s="132">
        <f>IF(SER_hh_emih_in!V31=0,0,SER_hh_emih_in!V31/SER_summary!V$27)</f>
        <v>0</v>
      </c>
      <c r="W31" s="132">
        <f>IF(SER_hh_emih_in!W31=0,0,SER_hh_emih_in!W31/SER_summary!W$27)</f>
        <v>0</v>
      </c>
      <c r="X31" s="132">
        <f>IF(SER_hh_emih_in!X31=0,0,SER_hh_emih_in!X31/SER_summary!X$27)</f>
        <v>5.7012676040858388</v>
      </c>
      <c r="Y31" s="132">
        <f>IF(SER_hh_emih_in!Y31=0,0,SER_hh_emih_in!Y31/SER_summary!Y$27)</f>
        <v>5.4211248573371291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86.013260087237285</v>
      </c>
      <c r="C3" s="179">
        <f t="shared" ref="C3:W3" si="1">SUM(C4:C9)</f>
        <v>89.678965832249091</v>
      </c>
      <c r="D3" s="179">
        <f t="shared" si="1"/>
        <v>93.824551461701546</v>
      </c>
      <c r="E3" s="179">
        <f t="shared" si="1"/>
        <v>97.912123790612796</v>
      </c>
      <c r="F3" s="179">
        <f t="shared" si="1"/>
        <v>102.82040542571828</v>
      </c>
      <c r="G3" s="179">
        <f t="shared" si="1"/>
        <v>107.68193762533333</v>
      </c>
      <c r="H3" s="179">
        <f t="shared" si="1"/>
        <v>113.96189052014182</v>
      </c>
      <c r="I3" s="179">
        <f t="shared" si="1"/>
        <v>120.64772457889684</v>
      </c>
      <c r="J3" s="179">
        <f t="shared" si="1"/>
        <v>125.34621656718323</v>
      </c>
      <c r="K3" s="179">
        <f t="shared" si="1"/>
        <v>128.38375762954308</v>
      </c>
      <c r="L3" s="179">
        <f t="shared" si="1"/>
        <v>131.01207602431163</v>
      </c>
      <c r="M3" s="179">
        <f t="shared" si="1"/>
        <v>132.36906637958432</v>
      </c>
      <c r="N3" s="179">
        <f t="shared" si="1"/>
        <v>133.83223684099141</v>
      </c>
      <c r="O3" s="179">
        <f t="shared" si="1"/>
        <v>135.09761497359736</v>
      </c>
      <c r="P3" s="179">
        <f t="shared" si="1"/>
        <v>137.66242296704226</v>
      </c>
      <c r="Q3" s="179">
        <f t="shared" si="1"/>
        <v>140.77627002961032</v>
      </c>
      <c r="R3" s="179">
        <f t="shared" si="1"/>
        <v>142.55634887180457</v>
      </c>
      <c r="S3" s="179">
        <f t="shared" si="1"/>
        <v>140.13233142423303</v>
      </c>
      <c r="T3" s="179">
        <f t="shared" si="1"/>
        <v>139.20338198783276</v>
      </c>
      <c r="U3" s="179">
        <f t="shared" si="1"/>
        <v>138.91475391980802</v>
      </c>
      <c r="V3" s="179">
        <f t="shared" si="1"/>
        <v>129.31990704751951</v>
      </c>
      <c r="W3" s="179">
        <f t="shared" si="1"/>
        <v>131.1440862469629</v>
      </c>
      <c r="X3" s="179">
        <f t="shared" ref="X3:Y3" si="2">SUM(X4:X9)</f>
        <v>130.74778356214392</v>
      </c>
      <c r="Y3" s="179">
        <f t="shared" si="2"/>
        <v>129.38488467168816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4.3676494747538648</v>
      </c>
      <c r="C4" s="180">
        <f t="shared" ref="C4:R9" si="4">C12*C44/11630</f>
        <v>4.4654699872218213</v>
      </c>
      <c r="D4" s="180">
        <f t="shared" si="4"/>
        <v>4.6383855148040389</v>
      </c>
      <c r="E4" s="180">
        <f t="shared" si="4"/>
        <v>4.7519202378823007</v>
      </c>
      <c r="F4" s="180">
        <f t="shared" si="4"/>
        <v>4.94589680867929</v>
      </c>
      <c r="G4" s="180">
        <f t="shared" si="4"/>
        <v>5.1124455350252234</v>
      </c>
      <c r="H4" s="180">
        <f t="shared" si="4"/>
        <v>5.3862369811370243</v>
      </c>
      <c r="I4" s="180">
        <f t="shared" si="4"/>
        <v>5.7165182977501923</v>
      </c>
      <c r="J4" s="180">
        <f t="shared" si="4"/>
        <v>5.9716785871429803</v>
      </c>
      <c r="K4" s="180">
        <f t="shared" si="4"/>
        <v>6.0778377679211841</v>
      </c>
      <c r="L4" s="180">
        <f t="shared" si="4"/>
        <v>6.2383834337719613</v>
      </c>
      <c r="M4" s="180">
        <f t="shared" si="4"/>
        <v>6.3519180299929969</v>
      </c>
      <c r="N4" s="180">
        <f t="shared" si="4"/>
        <v>6.4418630429607981</v>
      </c>
      <c r="O4" s="180">
        <f t="shared" si="4"/>
        <v>6.5376452105728902</v>
      </c>
      <c r="P4" s="180">
        <f t="shared" si="4"/>
        <v>6.6880708582399562</v>
      </c>
      <c r="Q4" s="180">
        <f t="shared" si="4"/>
        <v>6.8107797617775327</v>
      </c>
      <c r="R4" s="180">
        <f t="shared" si="4"/>
        <v>6.944436177225108</v>
      </c>
      <c r="S4" s="180">
        <f t="shared" ref="D4:W9" si="5">S12*S44/11630</f>
        <v>7.1013905121328493</v>
      </c>
      <c r="T4" s="180">
        <f t="shared" si="5"/>
        <v>7.255281948593626</v>
      </c>
      <c r="U4" s="180">
        <f t="shared" si="5"/>
        <v>7.4179289488441187</v>
      </c>
      <c r="V4" s="180">
        <f t="shared" si="5"/>
        <v>7.5425129258362569</v>
      </c>
      <c r="W4" s="180">
        <f t="shared" si="5"/>
        <v>7.6658378756887791</v>
      </c>
      <c r="X4" s="180">
        <f t="shared" ref="X4:Y4" si="6">X12*X44/11630</f>
        <v>7.6972079109680624</v>
      </c>
      <c r="Y4" s="180">
        <f t="shared" si="6"/>
        <v>7.696636207342161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10.752080374934977</v>
      </c>
      <c r="C5" s="180">
        <f t="shared" si="4"/>
        <v>11.004117286590976</v>
      </c>
      <c r="D5" s="180">
        <f t="shared" si="5"/>
        <v>11.28644482086233</v>
      </c>
      <c r="E5" s="180">
        <f t="shared" si="5"/>
        <v>11.565206031810511</v>
      </c>
      <c r="F5" s="180">
        <f t="shared" si="5"/>
        <v>11.872456476395641</v>
      </c>
      <c r="G5" s="180">
        <f t="shared" si="5"/>
        <v>12.138469956803506</v>
      </c>
      <c r="H5" s="180">
        <f t="shared" si="5"/>
        <v>12.386217295796152</v>
      </c>
      <c r="I5" s="180">
        <f t="shared" si="5"/>
        <v>12.548238174795229</v>
      </c>
      <c r="J5" s="180">
        <f t="shared" si="5"/>
        <v>12.787189550991197</v>
      </c>
      <c r="K5" s="180">
        <f t="shared" si="5"/>
        <v>13.012102665232893</v>
      </c>
      <c r="L5" s="180">
        <f t="shared" si="5"/>
        <v>13.191869460336088</v>
      </c>
      <c r="M5" s="180">
        <f t="shared" si="5"/>
        <v>13.392333532271769</v>
      </c>
      <c r="N5" s="180">
        <f t="shared" si="5"/>
        <v>13.631084544011131</v>
      </c>
      <c r="O5" s="180">
        <f t="shared" si="5"/>
        <v>13.879229245307581</v>
      </c>
      <c r="P5" s="180">
        <f t="shared" si="5"/>
        <v>14.153799500864279</v>
      </c>
      <c r="Q5" s="180">
        <f t="shared" si="5"/>
        <v>14.474072264473998</v>
      </c>
      <c r="R5" s="180">
        <f t="shared" si="5"/>
        <v>14.76363098867321</v>
      </c>
      <c r="S5" s="180">
        <f t="shared" si="5"/>
        <v>14.367583637033741</v>
      </c>
      <c r="T5" s="180">
        <f t="shared" si="5"/>
        <v>14.127594928637937</v>
      </c>
      <c r="U5" s="180">
        <f t="shared" si="5"/>
        <v>13.911507510036088</v>
      </c>
      <c r="V5" s="180">
        <f t="shared" si="5"/>
        <v>13.575362274459916</v>
      </c>
      <c r="W5" s="180">
        <f t="shared" si="5"/>
        <v>13.246912096130947</v>
      </c>
      <c r="X5" s="180">
        <f t="shared" ref="X5:Y5" si="7">X13*X45/11630</f>
        <v>12.777939739477262</v>
      </c>
      <c r="Y5" s="180">
        <f t="shared" si="7"/>
        <v>12.445149159656872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33.093859058461689</v>
      </c>
      <c r="C6" s="180">
        <f t="shared" si="4"/>
        <v>33.922540601962481</v>
      </c>
      <c r="D6" s="180">
        <f t="shared" si="5"/>
        <v>35.01271937330597</v>
      </c>
      <c r="E6" s="180">
        <f t="shared" si="5"/>
        <v>35.902730181621806</v>
      </c>
      <c r="F6" s="180">
        <f t="shared" si="5"/>
        <v>37.321854876388066</v>
      </c>
      <c r="G6" s="180">
        <f t="shared" si="5"/>
        <v>38.364305717165891</v>
      </c>
      <c r="H6" s="180">
        <f t="shared" si="5"/>
        <v>39.913833898662332</v>
      </c>
      <c r="I6" s="180">
        <f t="shared" si="5"/>
        <v>42.216380120190102</v>
      </c>
      <c r="J6" s="180">
        <f t="shared" si="5"/>
        <v>43.624591073693331</v>
      </c>
      <c r="K6" s="180">
        <f t="shared" si="5"/>
        <v>44.071621687144841</v>
      </c>
      <c r="L6" s="180">
        <f t="shared" si="5"/>
        <v>44.809337851062054</v>
      </c>
      <c r="M6" s="180">
        <f t="shared" si="5"/>
        <v>45.411793275573558</v>
      </c>
      <c r="N6" s="180">
        <f t="shared" si="5"/>
        <v>45.777531792861986</v>
      </c>
      <c r="O6" s="180">
        <f t="shared" si="5"/>
        <v>45.783915060722265</v>
      </c>
      <c r="P6" s="180">
        <f t="shared" si="5"/>
        <v>46.341906389888848</v>
      </c>
      <c r="Q6" s="180">
        <f t="shared" si="5"/>
        <v>46.789096506500655</v>
      </c>
      <c r="R6" s="180">
        <f t="shared" si="5"/>
        <v>45.965852965264844</v>
      </c>
      <c r="S6" s="180">
        <f t="shared" si="5"/>
        <v>43.236765266137866</v>
      </c>
      <c r="T6" s="180">
        <f t="shared" si="5"/>
        <v>41.23107649604637</v>
      </c>
      <c r="U6" s="180">
        <f t="shared" si="5"/>
        <v>39.533007377450133</v>
      </c>
      <c r="V6" s="180">
        <f t="shared" si="5"/>
        <v>32.874609073201853</v>
      </c>
      <c r="W6" s="180">
        <f t="shared" si="5"/>
        <v>32.708075424971682</v>
      </c>
      <c r="X6" s="180">
        <f t="shared" ref="X6:Y6" si="8">X14*X46/11630</f>
        <v>31.8487850354168</v>
      </c>
      <c r="Y6" s="180">
        <f t="shared" si="8"/>
        <v>30.450518928881898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19.588900296557775</v>
      </c>
      <c r="C7" s="180">
        <f t="shared" si="4"/>
        <v>20.21420437375177</v>
      </c>
      <c r="D7" s="180">
        <f t="shared" si="5"/>
        <v>20.820905529523785</v>
      </c>
      <c r="E7" s="180">
        <f t="shared" si="5"/>
        <v>21.390017744772777</v>
      </c>
      <c r="F7" s="180">
        <f t="shared" si="5"/>
        <v>22.004315725513028</v>
      </c>
      <c r="G7" s="180">
        <f t="shared" si="5"/>
        <v>22.717451630546861</v>
      </c>
      <c r="H7" s="180">
        <f t="shared" si="5"/>
        <v>23.45340225255298</v>
      </c>
      <c r="I7" s="180">
        <f t="shared" si="5"/>
        <v>24.000536635972431</v>
      </c>
      <c r="J7" s="180">
        <f t="shared" si="5"/>
        <v>24.28110205849616</v>
      </c>
      <c r="K7" s="180">
        <f t="shared" si="5"/>
        <v>24.746731812716007</v>
      </c>
      <c r="L7" s="180">
        <f t="shared" si="5"/>
        <v>25.134150638250492</v>
      </c>
      <c r="M7" s="180">
        <f t="shared" si="5"/>
        <v>25.139095881640824</v>
      </c>
      <c r="N7" s="180">
        <f t="shared" si="5"/>
        <v>25.234867014135201</v>
      </c>
      <c r="O7" s="180">
        <f t="shared" si="5"/>
        <v>25.370534152798669</v>
      </c>
      <c r="P7" s="180">
        <f t="shared" si="5"/>
        <v>25.563779231087942</v>
      </c>
      <c r="Q7" s="180">
        <f t="shared" si="5"/>
        <v>25.897630922333637</v>
      </c>
      <c r="R7" s="180">
        <f t="shared" si="5"/>
        <v>25.919551307468254</v>
      </c>
      <c r="S7" s="180">
        <f t="shared" si="5"/>
        <v>25.963486239456941</v>
      </c>
      <c r="T7" s="180">
        <f t="shared" si="5"/>
        <v>26.072760702996863</v>
      </c>
      <c r="U7" s="180">
        <f t="shared" si="5"/>
        <v>26.114068803452689</v>
      </c>
      <c r="V7" s="180">
        <f t="shared" si="5"/>
        <v>26.112733310267171</v>
      </c>
      <c r="W7" s="180">
        <f t="shared" si="5"/>
        <v>26.074044448904438</v>
      </c>
      <c r="X7" s="180">
        <f t="shared" ref="X7:Y7" si="9">X15*X47/11630</f>
        <v>25.758835966420779</v>
      </c>
      <c r="Y7" s="180">
        <f t="shared" si="9"/>
        <v>25.504321277652465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6.8225139027734718</v>
      </c>
      <c r="C8" s="55">
        <f t="shared" si="4"/>
        <v>7.3947106728807404</v>
      </c>
      <c r="D8" s="55">
        <f t="shared" si="5"/>
        <v>8.1065847096007051</v>
      </c>
      <c r="E8" s="55">
        <f t="shared" si="5"/>
        <v>8.7891405895448322</v>
      </c>
      <c r="F8" s="55">
        <f t="shared" si="5"/>
        <v>9.7342305492372798</v>
      </c>
      <c r="G8" s="55">
        <f t="shared" si="5"/>
        <v>11.026026759343649</v>
      </c>
      <c r="H8" s="55">
        <f t="shared" si="5"/>
        <v>13.090923881871712</v>
      </c>
      <c r="I8" s="55">
        <f t="shared" si="5"/>
        <v>15.126221275598031</v>
      </c>
      <c r="J8" s="55">
        <f t="shared" si="5"/>
        <v>16.789543734129815</v>
      </c>
      <c r="K8" s="55">
        <f t="shared" si="5"/>
        <v>17.816436997113239</v>
      </c>
      <c r="L8" s="55">
        <f t="shared" si="5"/>
        <v>18.351424448018417</v>
      </c>
      <c r="M8" s="55">
        <f t="shared" si="5"/>
        <v>18.562381768306292</v>
      </c>
      <c r="N8" s="55">
        <f t="shared" si="5"/>
        <v>18.690495381360837</v>
      </c>
      <c r="O8" s="55">
        <f t="shared" si="5"/>
        <v>18.731570258052233</v>
      </c>
      <c r="P8" s="55">
        <f t="shared" si="5"/>
        <v>18.913930298381697</v>
      </c>
      <c r="Q8" s="55">
        <f t="shared" si="5"/>
        <v>18.895756753317084</v>
      </c>
      <c r="R8" s="55">
        <f t="shared" si="5"/>
        <v>19.767570917977668</v>
      </c>
      <c r="S8" s="55">
        <f t="shared" si="5"/>
        <v>19.589161407127314</v>
      </c>
      <c r="T8" s="55">
        <f t="shared" si="5"/>
        <v>19.794316690984552</v>
      </c>
      <c r="U8" s="55">
        <f t="shared" si="5"/>
        <v>20.266002692056723</v>
      </c>
      <c r="V8" s="55">
        <f t="shared" si="5"/>
        <v>18.392416342855107</v>
      </c>
      <c r="W8" s="55">
        <f t="shared" si="5"/>
        <v>19.547921328549979</v>
      </c>
      <c r="X8" s="55">
        <f t="shared" ref="X8:Y8" si="10">X16*X48/11630</f>
        <v>20.320004968864936</v>
      </c>
      <c r="Y8" s="55">
        <f t="shared" si="10"/>
        <v>20.686009739096214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11.388256979755507</v>
      </c>
      <c r="C9" s="63">
        <f t="shared" si="4"/>
        <v>12.677922909841318</v>
      </c>
      <c r="D9" s="63">
        <f t="shared" si="5"/>
        <v>13.95951151360471</v>
      </c>
      <c r="E9" s="63">
        <f t="shared" si="5"/>
        <v>15.513109004980572</v>
      </c>
      <c r="F9" s="63">
        <f t="shared" si="5"/>
        <v>16.941650989504982</v>
      </c>
      <c r="G9" s="63">
        <f t="shared" si="5"/>
        <v>18.323238026448195</v>
      </c>
      <c r="H9" s="63">
        <f t="shared" si="5"/>
        <v>19.731276210121624</v>
      </c>
      <c r="I9" s="63">
        <f t="shared" si="5"/>
        <v>21.039830074590856</v>
      </c>
      <c r="J9" s="63">
        <f t="shared" si="5"/>
        <v>21.892111562729749</v>
      </c>
      <c r="K9" s="63">
        <f t="shared" si="5"/>
        <v>22.659026699414898</v>
      </c>
      <c r="L9" s="63">
        <f t="shared" si="5"/>
        <v>23.286910192872597</v>
      </c>
      <c r="M9" s="63">
        <f t="shared" si="5"/>
        <v>23.51154389179889</v>
      </c>
      <c r="N9" s="63">
        <f t="shared" si="5"/>
        <v>24.056395065661476</v>
      </c>
      <c r="O9" s="63">
        <f t="shared" si="5"/>
        <v>24.794721046143728</v>
      </c>
      <c r="P9" s="63">
        <f t="shared" si="5"/>
        <v>26.000936688579554</v>
      </c>
      <c r="Q9" s="63">
        <f t="shared" si="5"/>
        <v>27.908933821207402</v>
      </c>
      <c r="R9" s="63">
        <f t="shared" si="5"/>
        <v>29.195306515195512</v>
      </c>
      <c r="S9" s="63">
        <f t="shared" si="5"/>
        <v>29.873944362344311</v>
      </c>
      <c r="T9" s="63">
        <f t="shared" si="5"/>
        <v>30.722351220573415</v>
      </c>
      <c r="U9" s="63">
        <f t="shared" si="5"/>
        <v>31.672238587968248</v>
      </c>
      <c r="V9" s="63">
        <f t="shared" si="5"/>
        <v>30.822273120899219</v>
      </c>
      <c r="W9" s="63">
        <f t="shared" si="5"/>
        <v>31.90129507271708</v>
      </c>
      <c r="X9" s="63">
        <f t="shared" ref="X9:Y9" si="11">X17*X49/11630</f>
        <v>32.3450099409961</v>
      </c>
      <c r="Y9" s="63">
        <f t="shared" si="11"/>
        <v>32.602249359058526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375.16895719540145</v>
      </c>
      <c r="C11" s="179">
        <f t="shared" ref="C11:W11" si="13">SUM(C12:C17)</f>
        <v>391.07634147654892</v>
      </c>
      <c r="D11" s="179">
        <f t="shared" si="13"/>
        <v>409.44359575978262</v>
      </c>
      <c r="E11" s="179">
        <f t="shared" si="13"/>
        <v>428.36740905371494</v>
      </c>
      <c r="F11" s="179">
        <f t="shared" si="13"/>
        <v>452.14506615693097</v>
      </c>
      <c r="G11" s="179">
        <f t="shared" si="13"/>
        <v>478.26216524007816</v>
      </c>
      <c r="H11" s="179">
        <f t="shared" si="13"/>
        <v>517.21110999200323</v>
      </c>
      <c r="I11" s="179">
        <f t="shared" si="13"/>
        <v>558.31723365275093</v>
      </c>
      <c r="J11" s="179">
        <f t="shared" si="13"/>
        <v>587.41486853331435</v>
      </c>
      <c r="K11" s="179">
        <f t="shared" si="13"/>
        <v>604.51755507824214</v>
      </c>
      <c r="L11" s="179">
        <f t="shared" si="13"/>
        <v>615.49153657546481</v>
      </c>
      <c r="M11" s="179">
        <f t="shared" si="13"/>
        <v>619.91563994862781</v>
      </c>
      <c r="N11" s="179">
        <f t="shared" si="13"/>
        <v>624.83669520974945</v>
      </c>
      <c r="O11" s="179">
        <f t="shared" si="13"/>
        <v>628.48053836924066</v>
      </c>
      <c r="P11" s="179">
        <f t="shared" si="13"/>
        <v>639.47655264170999</v>
      </c>
      <c r="Q11" s="179">
        <f t="shared" si="13"/>
        <v>651.62203218491106</v>
      </c>
      <c r="R11" s="179">
        <f t="shared" si="13"/>
        <v>654.25807921524802</v>
      </c>
      <c r="S11" s="179">
        <f t="shared" si="13"/>
        <v>657.56840360763397</v>
      </c>
      <c r="T11" s="179">
        <f t="shared" si="13"/>
        <v>659.3379727378491</v>
      </c>
      <c r="U11" s="179">
        <f t="shared" si="13"/>
        <v>658.23541118849164</v>
      </c>
      <c r="V11" s="179">
        <f t="shared" si="13"/>
        <v>651.44692862909483</v>
      </c>
      <c r="W11" s="179">
        <f t="shared" si="13"/>
        <v>642.04533015509628</v>
      </c>
      <c r="X11" s="179">
        <f t="shared" ref="X11:Y11" si="14">SUM(X12:X17)</f>
        <v>631.15565665216627</v>
      </c>
      <c r="Y11" s="179">
        <f t="shared" si="14"/>
        <v>620.73467230632605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5.7986031268707139</v>
      </c>
      <c r="C12" s="180">
        <f t="shared" ref="C12:W12" si="15">C20*C52</f>
        <v>5.9284721405696086</v>
      </c>
      <c r="D12" s="180">
        <f t="shared" si="15"/>
        <v>6.1580392165720275</v>
      </c>
      <c r="E12" s="180">
        <f t="shared" si="15"/>
        <v>6.3087708181017303</v>
      </c>
      <c r="F12" s="180">
        <f t="shared" si="15"/>
        <v>6.5662990736233029</v>
      </c>
      <c r="G12" s="180">
        <f t="shared" si="15"/>
        <v>6.7874134215003821</v>
      </c>
      <c r="H12" s="180">
        <f t="shared" si="15"/>
        <v>7.1509059464182183</v>
      </c>
      <c r="I12" s="180">
        <f t="shared" si="15"/>
        <v>7.5893958679035078</v>
      </c>
      <c r="J12" s="180">
        <f t="shared" si="15"/>
        <v>7.9281531927480451</v>
      </c>
      <c r="K12" s="180">
        <f t="shared" si="15"/>
        <v>8.0690928357218432</v>
      </c>
      <c r="L12" s="180">
        <f t="shared" si="15"/>
        <v>8.2822373669826419</v>
      </c>
      <c r="M12" s="180">
        <f t="shared" si="15"/>
        <v>8.4329688000934446</v>
      </c>
      <c r="N12" s="180">
        <f t="shared" si="15"/>
        <v>8.5523820992733004</v>
      </c>
      <c r="O12" s="180">
        <f t="shared" si="15"/>
        <v>8.6795449542194891</v>
      </c>
      <c r="P12" s="180">
        <f t="shared" si="15"/>
        <v>8.8792538905628646</v>
      </c>
      <c r="Q12" s="180">
        <f t="shared" si="15"/>
        <v>9.0421653686612657</v>
      </c>
      <c r="R12" s="180">
        <f t="shared" si="15"/>
        <v>9.2196110435077632</v>
      </c>
      <c r="S12" s="180">
        <f t="shared" si="15"/>
        <v>9.4279876319754621</v>
      </c>
      <c r="T12" s="180">
        <f t="shared" si="15"/>
        <v>9.6322978381442788</v>
      </c>
      <c r="U12" s="180">
        <f t="shared" si="15"/>
        <v>9.8482321546868814</v>
      </c>
      <c r="V12" s="180">
        <f t="shared" si="15"/>
        <v>10.013633028250645</v>
      </c>
      <c r="W12" s="180">
        <f t="shared" si="15"/>
        <v>10.177362385189555</v>
      </c>
      <c r="X12" s="180">
        <f t="shared" ref="X12:Y12" si="16">X20*X52</f>
        <v>10.219010046182484</v>
      </c>
      <c r="Y12" s="180">
        <f t="shared" si="16"/>
        <v>10.218251037829832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32.923081254034862</v>
      </c>
      <c r="C13" s="180">
        <f t="shared" ref="C13:W13" si="17">C21*C53/1000</f>
        <v>33.674512206288874</v>
      </c>
      <c r="D13" s="180">
        <f t="shared" si="17"/>
        <v>34.520779058998208</v>
      </c>
      <c r="E13" s="180">
        <f t="shared" si="17"/>
        <v>35.32564558361485</v>
      </c>
      <c r="F13" s="180">
        <f t="shared" si="17"/>
        <v>36.151305337433477</v>
      </c>
      <c r="G13" s="180">
        <f t="shared" si="17"/>
        <v>36.849196877575636</v>
      </c>
      <c r="H13" s="180">
        <f t="shared" si="17"/>
        <v>37.525495333081395</v>
      </c>
      <c r="I13" s="180">
        <f t="shared" si="17"/>
        <v>37.93723140513135</v>
      </c>
      <c r="J13" s="180">
        <f t="shared" si="17"/>
        <v>38.594017757559648</v>
      </c>
      <c r="K13" s="180">
        <f t="shared" si="17"/>
        <v>39.235665247572996</v>
      </c>
      <c r="L13" s="180">
        <f t="shared" si="17"/>
        <v>39.756312417127603</v>
      </c>
      <c r="M13" s="180">
        <f t="shared" si="17"/>
        <v>40.452393425103303</v>
      </c>
      <c r="N13" s="180">
        <f t="shared" si="17"/>
        <v>41.456690823534871</v>
      </c>
      <c r="O13" s="180">
        <f t="shared" si="17"/>
        <v>42.476758001788419</v>
      </c>
      <c r="P13" s="180">
        <f t="shared" si="17"/>
        <v>43.572402083620041</v>
      </c>
      <c r="Q13" s="180">
        <f t="shared" si="17"/>
        <v>44.849795310136514</v>
      </c>
      <c r="R13" s="180">
        <f t="shared" si="17"/>
        <v>44.993858793676026</v>
      </c>
      <c r="S13" s="180">
        <f t="shared" si="17"/>
        <v>44.969630918626109</v>
      </c>
      <c r="T13" s="180">
        <f t="shared" si="17"/>
        <v>44.666863691838614</v>
      </c>
      <c r="U13" s="180">
        <f t="shared" si="17"/>
        <v>44.009476502317952</v>
      </c>
      <c r="V13" s="180">
        <f t="shared" si="17"/>
        <v>43.021255504661532</v>
      </c>
      <c r="W13" s="180">
        <f t="shared" si="17"/>
        <v>41.89597834748507</v>
      </c>
      <c r="X13" s="180">
        <f t="shared" ref="X13:Y13" si="18">X21*X53/1000</f>
        <v>40.497826292367442</v>
      </c>
      <c r="Y13" s="180">
        <f t="shared" si="18"/>
        <v>39.526294621849587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163.93088166928413</v>
      </c>
      <c r="C14" s="180">
        <f t="shared" ref="C14:W14" si="19">C22*C54</f>
        <v>166.97082358639381</v>
      </c>
      <c r="D14" s="180">
        <f t="shared" si="19"/>
        <v>171.17446006966304</v>
      </c>
      <c r="E14" s="180">
        <f t="shared" si="19"/>
        <v>174.59082935280733</v>
      </c>
      <c r="F14" s="180">
        <f t="shared" si="19"/>
        <v>180.32096235227058</v>
      </c>
      <c r="G14" s="180">
        <f t="shared" si="19"/>
        <v>184.27573320986261</v>
      </c>
      <c r="H14" s="180">
        <f t="shared" si="19"/>
        <v>191.04374790971991</v>
      </c>
      <c r="I14" s="180">
        <f t="shared" si="19"/>
        <v>201.12876544990999</v>
      </c>
      <c r="J14" s="180">
        <f t="shared" si="19"/>
        <v>206.87801309467898</v>
      </c>
      <c r="K14" s="180">
        <f t="shared" si="19"/>
        <v>208.55705440479511</v>
      </c>
      <c r="L14" s="180">
        <f t="shared" si="19"/>
        <v>211.44466289643785</v>
      </c>
      <c r="M14" s="180">
        <f t="shared" si="19"/>
        <v>213.59053090018224</v>
      </c>
      <c r="N14" s="180">
        <f t="shared" si="19"/>
        <v>214.78710417708669</v>
      </c>
      <c r="O14" s="180">
        <f t="shared" si="19"/>
        <v>213.97896815225377</v>
      </c>
      <c r="P14" s="180">
        <f t="shared" si="19"/>
        <v>215.91546199326996</v>
      </c>
      <c r="Q14" s="180">
        <f t="shared" si="19"/>
        <v>217.15033580553398</v>
      </c>
      <c r="R14" s="180">
        <f t="shared" si="19"/>
        <v>210.43519914073812</v>
      </c>
      <c r="S14" s="180">
        <f t="shared" si="19"/>
        <v>204.6057269619233</v>
      </c>
      <c r="T14" s="180">
        <f t="shared" si="19"/>
        <v>195.88731087441545</v>
      </c>
      <c r="U14" s="180">
        <f t="shared" si="19"/>
        <v>184.96589492416379</v>
      </c>
      <c r="V14" s="180">
        <f t="shared" si="19"/>
        <v>172.56968120449179</v>
      </c>
      <c r="W14" s="180">
        <f t="shared" si="19"/>
        <v>161.87795028389831</v>
      </c>
      <c r="X14" s="180">
        <f t="shared" ref="X14:Y14" si="20">X22*X54</f>
        <v>153.12094432054363</v>
      </c>
      <c r="Y14" s="180">
        <f t="shared" si="20"/>
        <v>144.33618861089562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26.006724937096685</v>
      </c>
      <c r="C15" s="180">
        <f t="shared" ref="C15:W15" si="21">C23*C55/1000</f>
        <v>26.836894619490089</v>
      </c>
      <c r="D15" s="180">
        <f t="shared" si="21"/>
        <v>27.642366587712512</v>
      </c>
      <c r="E15" s="180">
        <f t="shared" si="21"/>
        <v>28.397934517318198</v>
      </c>
      <c r="F15" s="180">
        <f t="shared" si="21"/>
        <v>29.213492224625181</v>
      </c>
      <c r="G15" s="180">
        <f t="shared" si="21"/>
        <v>30.160269687586759</v>
      </c>
      <c r="H15" s="180">
        <f t="shared" si="21"/>
        <v>31.137336552190785</v>
      </c>
      <c r="I15" s="180">
        <f t="shared" si="21"/>
        <v>31.863726150269329</v>
      </c>
      <c r="J15" s="180">
        <f t="shared" si="21"/>
        <v>32.236211979487479</v>
      </c>
      <c r="K15" s="180">
        <f t="shared" si="21"/>
        <v>32.854393947704025</v>
      </c>
      <c r="L15" s="180">
        <f t="shared" si="21"/>
        <v>33.368741087083684</v>
      </c>
      <c r="M15" s="180">
        <f t="shared" si="21"/>
        <v>33.37530651866242</v>
      </c>
      <c r="N15" s="180">
        <f t="shared" si="21"/>
        <v>33.502454723104165</v>
      </c>
      <c r="O15" s="180">
        <f t="shared" si="21"/>
        <v>33.682569885507817</v>
      </c>
      <c r="P15" s="180">
        <f t="shared" si="21"/>
        <v>33.939126992871337</v>
      </c>
      <c r="Q15" s="180">
        <f t="shared" si="21"/>
        <v>34.382357035015993</v>
      </c>
      <c r="R15" s="180">
        <f t="shared" si="21"/>
        <v>34.411459098841974</v>
      </c>
      <c r="S15" s="180">
        <f t="shared" si="21"/>
        <v>34.469788238000476</v>
      </c>
      <c r="T15" s="180">
        <f t="shared" si="21"/>
        <v>34.614863810028943</v>
      </c>
      <c r="U15" s="180">
        <f t="shared" si="21"/>
        <v>34.669705500474279</v>
      </c>
      <c r="V15" s="180">
        <f t="shared" si="21"/>
        <v>34.667932465571603</v>
      </c>
      <c r="W15" s="180">
        <f t="shared" si="21"/>
        <v>34.616568143922208</v>
      </c>
      <c r="X15" s="180">
        <f t="shared" ref="X15:Y15" si="22">X23*X55/1000</f>
        <v>34.198089302451322</v>
      </c>
      <c r="Y15" s="180">
        <f t="shared" si="22"/>
        <v>33.860189093504353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85.464630413372589</v>
      </c>
      <c r="C16" s="55">
        <f t="shared" ref="C16:W16" si="23">C24*C56</f>
        <v>92.192064756327468</v>
      </c>
      <c r="D16" s="55">
        <f t="shared" si="23"/>
        <v>100.62846604372373</v>
      </c>
      <c r="E16" s="55">
        <f t="shared" si="23"/>
        <v>108.66538758159976</v>
      </c>
      <c r="F16" s="55">
        <f t="shared" si="23"/>
        <v>119.90497856794356</v>
      </c>
      <c r="G16" s="55">
        <f t="shared" si="23"/>
        <v>135.34944171312051</v>
      </c>
      <c r="H16" s="55">
        <f t="shared" si="23"/>
        <v>160.17926187324409</v>
      </c>
      <c r="I16" s="55">
        <f t="shared" si="23"/>
        <v>184.5227815687073</v>
      </c>
      <c r="J16" s="55">
        <f t="shared" si="23"/>
        <v>204.22892830275899</v>
      </c>
      <c r="K16" s="55">
        <f t="shared" si="23"/>
        <v>216.13503260206497</v>
      </c>
      <c r="L16" s="55">
        <f t="shared" si="23"/>
        <v>222.05485338070508</v>
      </c>
      <c r="M16" s="55">
        <f t="shared" si="23"/>
        <v>224.24247608636958</v>
      </c>
      <c r="N16" s="55">
        <f t="shared" si="23"/>
        <v>225.44029593461153</v>
      </c>
      <c r="O16" s="55">
        <f t="shared" si="23"/>
        <v>225.60120448074875</v>
      </c>
      <c r="P16" s="55">
        <f t="shared" si="23"/>
        <v>227.47459429862636</v>
      </c>
      <c r="Q16" s="55">
        <f t="shared" si="23"/>
        <v>226.94699968231521</v>
      </c>
      <c r="R16" s="55">
        <f t="shared" si="23"/>
        <v>232.01917425023353</v>
      </c>
      <c r="S16" s="55">
        <f t="shared" si="23"/>
        <v>237.00945998598456</v>
      </c>
      <c r="T16" s="55">
        <f t="shared" si="23"/>
        <v>243.75152989290902</v>
      </c>
      <c r="U16" s="55">
        <f t="shared" si="23"/>
        <v>250.82906992663854</v>
      </c>
      <c r="V16" s="55">
        <f t="shared" si="23"/>
        <v>255.39986080828552</v>
      </c>
      <c r="W16" s="55">
        <f t="shared" si="23"/>
        <v>255.92414192779012</v>
      </c>
      <c r="X16" s="55">
        <f t="shared" ref="X16:Y16" si="24">X24*X56</f>
        <v>255.30023053429935</v>
      </c>
      <c r="Y16" s="55">
        <f t="shared" si="24"/>
        <v>254.76001103090314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61.045035794742432</v>
      </c>
      <c r="C17" s="63">
        <f t="shared" ref="C17:W17" si="25">C25*C57/1000</f>
        <v>65.473574167479029</v>
      </c>
      <c r="D17" s="63">
        <f t="shared" si="25"/>
        <v>69.319484783113126</v>
      </c>
      <c r="E17" s="63">
        <f t="shared" si="25"/>
        <v>75.078841200273047</v>
      </c>
      <c r="F17" s="63">
        <f t="shared" si="25"/>
        <v>79.988028601034841</v>
      </c>
      <c r="G17" s="63">
        <f t="shared" si="25"/>
        <v>84.840110330432225</v>
      </c>
      <c r="H17" s="63">
        <f t="shared" si="25"/>
        <v>90.174362377348814</v>
      </c>
      <c r="I17" s="63">
        <f t="shared" si="25"/>
        <v>95.275333210829444</v>
      </c>
      <c r="J17" s="63">
        <f t="shared" si="25"/>
        <v>97.549544206081279</v>
      </c>
      <c r="K17" s="63">
        <f t="shared" si="25"/>
        <v>99.66631604038318</v>
      </c>
      <c r="L17" s="63">
        <f t="shared" si="25"/>
        <v>100.58472942712795</v>
      </c>
      <c r="M17" s="63">
        <f t="shared" si="25"/>
        <v>99.821964218216834</v>
      </c>
      <c r="N17" s="63">
        <f t="shared" si="25"/>
        <v>101.09776745213887</v>
      </c>
      <c r="O17" s="63">
        <f t="shared" si="25"/>
        <v>104.06149289472236</v>
      </c>
      <c r="P17" s="63">
        <f t="shared" si="25"/>
        <v>109.69571338275948</v>
      </c>
      <c r="Q17" s="63">
        <f t="shared" si="25"/>
        <v>119.25037898324805</v>
      </c>
      <c r="R17" s="63">
        <f t="shared" si="25"/>
        <v>123.17877688825062</v>
      </c>
      <c r="S17" s="63">
        <f t="shared" si="25"/>
        <v>127.08580987112408</v>
      </c>
      <c r="T17" s="63">
        <f t="shared" si="25"/>
        <v>130.78510663051279</v>
      </c>
      <c r="U17" s="63">
        <f t="shared" si="25"/>
        <v>133.91303218021019</v>
      </c>
      <c r="V17" s="63">
        <f t="shared" si="25"/>
        <v>135.77456561783373</v>
      </c>
      <c r="W17" s="63">
        <f t="shared" si="25"/>
        <v>137.55332906681105</v>
      </c>
      <c r="X17" s="63">
        <f t="shared" ref="X17:Y17" si="26">X25*X57/1000</f>
        <v>137.81955615632202</v>
      </c>
      <c r="Y17" s="63">
        <f t="shared" si="26"/>
        <v>138.03373791134359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7.5795150796533317</v>
      </c>
      <c r="C20" s="181">
        <v>7.8096794462846262</v>
      </c>
      <c r="D20" s="181">
        <v>8.195367995504645</v>
      </c>
      <c r="E20" s="181">
        <v>8.4729556363816076</v>
      </c>
      <c r="F20" s="181">
        <v>8.9234670999289971</v>
      </c>
      <c r="G20" s="181">
        <v>9.3305759593467794</v>
      </c>
      <c r="H20" s="181">
        <v>9.9707935521583622</v>
      </c>
      <c r="I20" s="181">
        <v>10.747014021776161</v>
      </c>
      <c r="J20" s="181">
        <v>11.383888378621174</v>
      </c>
      <c r="K20" s="181">
        <v>11.7180183745675</v>
      </c>
      <c r="L20" s="181">
        <v>12.193183913289195</v>
      </c>
      <c r="M20" s="181">
        <v>12.583399162185646</v>
      </c>
      <c r="N20" s="181">
        <v>12.944701021929768</v>
      </c>
      <c r="O20" s="181">
        <v>13.34614438138882</v>
      </c>
      <c r="P20" s="181">
        <v>13.913494670867776</v>
      </c>
      <c r="Q20" s="181">
        <v>14.450224276278632</v>
      </c>
      <c r="R20" s="181">
        <v>15.028120185667182</v>
      </c>
      <c r="S20" s="181">
        <v>15.683578146115304</v>
      </c>
      <c r="T20" s="181">
        <v>16.349561371932179</v>
      </c>
      <c r="U20" s="181">
        <v>16.973601304901784</v>
      </c>
      <c r="V20" s="181">
        <v>17.555792595950322</v>
      </c>
      <c r="W20" s="181">
        <v>18.097278907169674</v>
      </c>
      <c r="X20" s="181">
        <v>18.44739468900811</v>
      </c>
      <c r="Y20" s="181">
        <v>18.693238954074612</v>
      </c>
      <c r="DA20" s="190" t="s">
        <v>922</v>
      </c>
    </row>
    <row r="21" spans="1:105" ht="12" customHeight="1" x14ac:dyDescent="0.25">
      <c r="A21" s="131" t="s">
        <v>156</v>
      </c>
      <c r="B21" s="181">
        <v>168.11146667033577</v>
      </c>
      <c r="C21" s="181">
        <v>173.74909445454676</v>
      </c>
      <c r="D21" s="181">
        <v>180.07650464980489</v>
      </c>
      <c r="E21" s="181">
        <v>186.50047638196122</v>
      </c>
      <c r="F21" s="181">
        <v>193.50526200378926</v>
      </c>
      <c r="G21" s="181">
        <v>200.35443272708613</v>
      </c>
      <c r="H21" s="181">
        <v>207.58497247923535</v>
      </c>
      <c r="I21" s="181">
        <v>214.01065954060692</v>
      </c>
      <c r="J21" s="181">
        <v>220.35023067494629</v>
      </c>
      <c r="K21" s="181">
        <v>227.47329084147734</v>
      </c>
      <c r="L21" s="181">
        <v>234.62371337964009</v>
      </c>
      <c r="M21" s="181">
        <v>243.73506812126479</v>
      </c>
      <c r="N21" s="181">
        <v>255.83993657514233</v>
      </c>
      <c r="O21" s="181">
        <v>269.85970206376624</v>
      </c>
      <c r="P21" s="181">
        <v>286.03545776686235</v>
      </c>
      <c r="Q21" s="181">
        <v>305.92964734235733</v>
      </c>
      <c r="R21" s="181">
        <v>319.40038280340315</v>
      </c>
      <c r="S21" s="181">
        <v>332.92808559161955</v>
      </c>
      <c r="T21" s="181">
        <v>346.50000054129845</v>
      </c>
      <c r="U21" s="181">
        <v>359.36557061189069</v>
      </c>
      <c r="V21" s="181">
        <v>370.82467199307598</v>
      </c>
      <c r="W21" s="181">
        <v>380.18828045560599</v>
      </c>
      <c r="X21" s="181">
        <v>384.86909031853224</v>
      </c>
      <c r="Y21" s="181">
        <v>390.21653909653162</v>
      </c>
      <c r="DA21" s="190" t="s">
        <v>923</v>
      </c>
    </row>
    <row r="22" spans="1:105" ht="12" customHeight="1" x14ac:dyDescent="0.25">
      <c r="A22" s="131" t="s">
        <v>160</v>
      </c>
      <c r="B22" s="181">
        <v>3.38357496945632</v>
      </c>
      <c r="C22" s="181">
        <v>3.4860874083181117</v>
      </c>
      <c r="D22" s="181">
        <v>3.6394991169651472</v>
      </c>
      <c r="E22" s="181">
        <v>3.7934038580354676</v>
      </c>
      <c r="F22" s="181">
        <v>4.0237311414371568</v>
      </c>
      <c r="G22" s="181">
        <v>4.2364236207214656</v>
      </c>
      <c r="H22" s="181">
        <v>4.5476006598222236</v>
      </c>
      <c r="I22" s="181">
        <v>4.9308484136898727</v>
      </c>
      <c r="J22" s="181">
        <v>5.2106650661017184</v>
      </c>
      <c r="K22" s="181">
        <v>5.3964930463833456</v>
      </c>
      <c r="L22" s="181">
        <v>5.6442493817964987</v>
      </c>
      <c r="M22" s="181">
        <v>5.8958746088633118</v>
      </c>
      <c r="N22" s="181">
        <v>6.1648979280814835</v>
      </c>
      <c r="O22" s="181">
        <v>6.4245775531287155</v>
      </c>
      <c r="P22" s="181">
        <v>6.8155115235064576</v>
      </c>
      <c r="Q22" s="181">
        <v>7.2255832443698313</v>
      </c>
      <c r="R22" s="181">
        <v>7.486271242732208</v>
      </c>
      <c r="S22" s="181">
        <v>7.7869020186496627</v>
      </c>
      <c r="T22" s="181">
        <v>8.086068058426628</v>
      </c>
      <c r="U22" s="181">
        <v>8.3526502617089946</v>
      </c>
      <c r="V22" s="181">
        <v>8.5771436752725236</v>
      </c>
      <c r="W22" s="181">
        <v>8.7394149132404628</v>
      </c>
      <c r="X22" s="181">
        <v>8.8568142448917992</v>
      </c>
      <c r="Y22" s="181">
        <v>8.9487785890477323</v>
      </c>
      <c r="DA22" s="190" t="s">
        <v>924</v>
      </c>
    </row>
    <row r="23" spans="1:105" ht="12" customHeight="1" x14ac:dyDescent="0.25">
      <c r="A23" s="131" t="s">
        <v>172</v>
      </c>
      <c r="B23" s="181">
        <v>35.685868802513433</v>
      </c>
      <c r="C23" s="181">
        <v>37.366423780032946</v>
      </c>
      <c r="D23" s="181">
        <v>39.164411731837454</v>
      </c>
      <c r="E23" s="181">
        <v>41.008451865321156</v>
      </c>
      <c r="F23" s="181">
        <v>43.086845407009129</v>
      </c>
      <c r="G23" s="181">
        <v>45.495052977879133</v>
      </c>
      <c r="H23" s="181">
        <v>48.08312384976059</v>
      </c>
      <c r="I23" s="181">
        <v>50.369318074281509</v>
      </c>
      <c r="J23" s="181">
        <v>52.195332746213282</v>
      </c>
      <c r="K23" s="181">
        <v>54.655135472248951</v>
      </c>
      <c r="L23" s="181">
        <v>57.117413333353269</v>
      </c>
      <c r="M23" s="181">
        <v>58.461985833937042</v>
      </c>
      <c r="N23" s="181">
        <v>60.019829533864552</v>
      </c>
      <c r="O23" s="181">
        <v>61.705712652609805</v>
      </c>
      <c r="P23" s="181">
        <v>63.771542577454063</v>
      </c>
      <c r="Q23" s="181">
        <v>66.412010881163809</v>
      </c>
      <c r="R23" s="181">
        <v>68.201027914967568</v>
      </c>
      <c r="S23" s="181">
        <v>69.991839950194773</v>
      </c>
      <c r="T23" s="181">
        <v>71.827601497141728</v>
      </c>
      <c r="U23" s="181">
        <v>73.577787577132781</v>
      </c>
      <c r="V23" s="181">
        <v>75.149375434285759</v>
      </c>
      <c r="W23" s="181">
        <v>76.471427386957416</v>
      </c>
      <c r="X23" s="181">
        <v>77.007691867828072</v>
      </c>
      <c r="Y23" s="181">
        <v>77.791324743059263</v>
      </c>
      <c r="DA23" s="190" t="s">
        <v>925</v>
      </c>
    </row>
    <row r="24" spans="1:105" ht="12" customHeight="1" x14ac:dyDescent="0.25">
      <c r="A24" s="60" t="s">
        <v>159</v>
      </c>
      <c r="B24" s="36">
        <v>1.6659650345531682</v>
      </c>
      <c r="C24" s="36">
        <v>1.8088125660140955</v>
      </c>
      <c r="D24" s="36">
        <v>1.989208989010917</v>
      </c>
      <c r="E24" s="36">
        <v>2.1635690238800116</v>
      </c>
      <c r="F24" s="36">
        <v>2.4086672308828212</v>
      </c>
      <c r="G24" s="36">
        <v>2.7481501275519751</v>
      </c>
      <c r="H24" s="36">
        <v>3.2980278059845309</v>
      </c>
      <c r="I24" s="36">
        <v>3.8477626200492558</v>
      </c>
      <c r="J24" s="36">
        <v>4.3039398264234263</v>
      </c>
      <c r="K24" s="36">
        <v>4.5956170111404848</v>
      </c>
      <c r="L24" s="36">
        <v>4.7589017035721843</v>
      </c>
      <c r="M24" s="36">
        <v>4.8441663276216911</v>
      </c>
      <c r="N24" s="36">
        <v>4.9166699719760087</v>
      </c>
      <c r="O24" s="36">
        <v>4.9752704850564982</v>
      </c>
      <c r="P24" s="36">
        <v>5.0938616663079648</v>
      </c>
      <c r="Q24" s="36">
        <v>5.1652970111929122</v>
      </c>
      <c r="R24" s="36">
        <v>5.3702528036782784</v>
      </c>
      <c r="S24" s="36">
        <v>5.5920172167318718</v>
      </c>
      <c r="T24" s="36">
        <v>5.8680983072318833</v>
      </c>
      <c r="U24" s="36">
        <v>6.1868982881151382</v>
      </c>
      <c r="V24" s="36">
        <v>6.4743631692595462</v>
      </c>
      <c r="W24" s="36">
        <v>6.7217108117405759</v>
      </c>
      <c r="X24" s="36">
        <v>6.9339541433188225</v>
      </c>
      <c r="Y24" s="36">
        <v>7.1158651101831447</v>
      </c>
      <c r="DA24" s="89" t="s">
        <v>926</v>
      </c>
    </row>
    <row r="25" spans="1:105" ht="12" customHeight="1" x14ac:dyDescent="0.25">
      <c r="A25" s="62" t="s">
        <v>157</v>
      </c>
      <c r="B25" s="38">
        <v>155.68729804241445</v>
      </c>
      <c r="C25" s="38">
        <v>170.87240354645354</v>
      </c>
      <c r="D25" s="38">
        <v>186.23117597761171</v>
      </c>
      <c r="E25" s="38">
        <v>209.20586189252961</v>
      </c>
      <c r="F25" s="38">
        <v>232.32405541046444</v>
      </c>
      <c r="G25" s="38">
        <v>258.16168604514957</v>
      </c>
      <c r="H25" s="38">
        <v>289.62096007876676</v>
      </c>
      <c r="I25" s="38">
        <v>323.25914570475533</v>
      </c>
      <c r="J25" s="38">
        <v>351.42474910696211</v>
      </c>
      <c r="K25" s="38">
        <v>381.20622325456367</v>
      </c>
      <c r="L25" s="38">
        <v>410.89633479271356</v>
      </c>
      <c r="M25" s="38">
        <v>441.42030949159243</v>
      </c>
      <c r="N25" s="38">
        <v>480.498724002139</v>
      </c>
      <c r="O25" s="38">
        <v>524.99417755739421</v>
      </c>
      <c r="P25" s="38">
        <v>579.87753989696728</v>
      </c>
      <c r="Q25" s="38">
        <v>647.6960913667607</v>
      </c>
      <c r="R25" s="38">
        <v>683.60073563508683</v>
      </c>
      <c r="S25" s="38">
        <v>719.5377150398225</v>
      </c>
      <c r="T25" s="38">
        <v>755.56151658288718</v>
      </c>
      <c r="U25" s="38">
        <v>790.57506687185094</v>
      </c>
      <c r="V25" s="38">
        <v>823.67377605595539</v>
      </c>
      <c r="W25" s="38">
        <v>854.37167658001852</v>
      </c>
      <c r="X25" s="38">
        <v>875.33585284110711</v>
      </c>
      <c r="Y25" s="38">
        <v>895.47663067324527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0.55891315379099904</v>
      </c>
      <c r="D28" s="182">
        <v>0.72373619119924637</v>
      </c>
      <c r="E28" s="182">
        <v>0.6251971613105729</v>
      </c>
      <c r="F28" s="182">
        <v>0.80795332585006818</v>
      </c>
      <c r="G28" s="182">
        <v>0.77466117722263661</v>
      </c>
      <c r="H28" s="182">
        <v>1.0181663463611148</v>
      </c>
      <c r="I28" s="182">
        <v>1.1648597282756263</v>
      </c>
      <c r="J28" s="182">
        <v>1.0365065079014677</v>
      </c>
      <c r="K28" s="182">
        <v>0.74506597989595669</v>
      </c>
      <c r="L28" s="182">
        <v>0.89772509119572952</v>
      </c>
      <c r="M28" s="182">
        <v>0.82472714943846448</v>
      </c>
      <c r="N28" s="182">
        <v>0.8081041876224706</v>
      </c>
      <c r="O28" s="182">
        <v>0.86088375671512019</v>
      </c>
      <c r="P28" s="182">
        <v>1.0397862314158708</v>
      </c>
      <c r="Q28" s="182">
        <v>1.0225286787331402</v>
      </c>
      <c r="R28" s="182">
        <v>1.0774360982091178</v>
      </c>
      <c r="S28" s="182">
        <v>1.1691279403851595</v>
      </c>
      <c r="T28" s="182">
        <v>1.1941826664094179</v>
      </c>
      <c r="U28" s="182">
        <v>1.1829530867606053</v>
      </c>
      <c r="V28" s="182">
        <v>1.3059274822477853</v>
      </c>
      <c r="W28" s="182">
        <v>1.1666834725299253</v>
      </c>
      <c r="X28" s="182">
        <v>1.1580691076885046</v>
      </c>
      <c r="Y28" s="182">
        <v>1.0205054422891386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26.726274822837127</v>
      </c>
      <c r="D29" s="182">
        <v>28.323815546881491</v>
      </c>
      <c r="E29" s="182">
        <v>29.367209745800153</v>
      </c>
      <c r="F29" s="182">
        <v>30.935612597239412</v>
      </c>
      <c r="G29" s="182">
        <v>31.81009731031628</v>
      </c>
      <c r="H29" s="182">
        <v>33.265906466502457</v>
      </c>
      <c r="I29" s="182">
        <v>33.581743051030031</v>
      </c>
      <c r="J29" s="182">
        <v>33.065845957176492</v>
      </c>
      <c r="K29" s="182">
        <v>35.446875713412538</v>
      </c>
      <c r="L29" s="182">
        <v>36.517632283962911</v>
      </c>
      <c r="M29" s="182">
        <v>40.046967338864107</v>
      </c>
      <c r="N29" s="182">
        <v>43.914965764193823</v>
      </c>
      <c r="O29" s="182">
        <v>47.285671955126361</v>
      </c>
      <c r="P29" s="182">
        <v>49.757498754126146</v>
      </c>
      <c r="Q29" s="182">
        <v>52.960035532671469</v>
      </c>
      <c r="R29" s="182">
        <v>48.917611174458386</v>
      </c>
      <c r="S29" s="182">
        <v>50.045335072179284</v>
      </c>
      <c r="T29" s="182">
        <v>53.618882288543034</v>
      </c>
      <c r="U29" s="182">
        <v>56.780535834786065</v>
      </c>
      <c r="V29" s="182">
        <v>58.744773336311653</v>
      </c>
      <c r="W29" s="182">
        <v>59.121107216656128</v>
      </c>
      <c r="X29" s="182">
        <v>57.640845395597694</v>
      </c>
      <c r="Y29" s="182">
        <v>54.265059952457761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0.63091213656439038</v>
      </c>
      <c r="D30" s="182">
        <v>0.69553835973824141</v>
      </c>
      <c r="E30" s="182">
        <v>0.71011494917831941</v>
      </c>
      <c r="F30" s="182">
        <v>0.80098691612927464</v>
      </c>
      <c r="G30" s="182">
        <v>0.79817690887167636</v>
      </c>
      <c r="H30" s="182">
        <v>0.91187138934032141</v>
      </c>
      <c r="I30" s="182">
        <v>1.0141598904320395</v>
      </c>
      <c r="J30" s="182">
        <v>0.97535501215008757</v>
      </c>
      <c r="K30" s="182">
        <v>0.89594292945994614</v>
      </c>
      <c r="L30" s="182">
        <v>1.0487432515424278</v>
      </c>
      <c r="M30" s="182">
        <v>1.0498021359384895</v>
      </c>
      <c r="N30" s="182">
        <v>1.1808947085584931</v>
      </c>
      <c r="O30" s="182">
        <v>1.2738395154792714</v>
      </c>
      <c r="P30" s="182">
        <v>1.3662889825278297</v>
      </c>
      <c r="Q30" s="182">
        <v>1.3060146503233199</v>
      </c>
      <c r="R30" s="182">
        <v>1.3094312499048044</v>
      </c>
      <c r="S30" s="182">
        <v>1.3504329118559442</v>
      </c>
      <c r="T30" s="182">
        <v>1.4800607483354584</v>
      </c>
      <c r="U30" s="182">
        <v>1.540421718761638</v>
      </c>
      <c r="V30" s="182">
        <v>1.5907823960913587</v>
      </c>
      <c r="W30" s="182">
        <v>1.4682858882912591</v>
      </c>
      <c r="X30" s="182">
        <v>1.4268305815561408</v>
      </c>
      <c r="Y30" s="182">
        <v>1.4423972560118772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4.9237974454442721</v>
      </c>
      <c r="D31" s="182">
        <v>5.1095466797018645</v>
      </c>
      <c r="E31" s="182">
        <v>5.2253541477054597</v>
      </c>
      <c r="F31" s="182">
        <v>5.5309321805035196</v>
      </c>
      <c r="G31" s="182">
        <v>5.933471122962132</v>
      </c>
      <c r="H31" s="182">
        <v>6.1875912282916232</v>
      </c>
      <c r="I31" s="182">
        <v>5.9615355443271767</v>
      </c>
      <c r="J31" s="182">
        <v>5.5787740619486641</v>
      </c>
      <c r="K31" s="182">
        <v>6.2916109348314535</v>
      </c>
      <c r="L31" s="182">
        <v>6.374799987637104</v>
      </c>
      <c r="M31" s="182">
        <v>6.2683699460280451</v>
      </c>
      <c r="N31" s="182">
        <v>6.6673903796293743</v>
      </c>
      <c r="O31" s="182">
        <v>6.911237266450712</v>
      </c>
      <c r="P31" s="182">
        <v>7.5967621053477785</v>
      </c>
      <c r="Q31" s="182">
        <v>8.5739394266718776</v>
      </c>
      <c r="R31" s="182">
        <v>7.9766082620953824</v>
      </c>
      <c r="S31" s="182">
        <v>7.7523475795543817</v>
      </c>
      <c r="T31" s="182">
        <v>7.4145356088956191</v>
      </c>
      <c r="U31" s="182">
        <v>8.0417970148225066</v>
      </c>
      <c r="V31" s="182">
        <v>7.9463878447900811</v>
      </c>
      <c r="W31" s="182">
        <v>7.5904218986997023</v>
      </c>
      <c r="X31" s="182">
        <v>7.2036548605000235</v>
      </c>
      <c r="Y31" s="182">
        <v>7.6948701416819034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0.19029830483116106</v>
      </c>
      <c r="D32" s="41">
        <v>0.23318690193632774</v>
      </c>
      <c r="E32" s="41">
        <v>0.23309110432750368</v>
      </c>
      <c r="F32" s="41">
        <v>0.31043837040009903</v>
      </c>
      <c r="G32" s="41">
        <v>0.41217588510192593</v>
      </c>
      <c r="H32" s="41">
        <v>0.63075091615553225</v>
      </c>
      <c r="I32" s="41">
        <v>0.63970883660537003</v>
      </c>
      <c r="J32" s="41">
        <v>0.5562761384816528</v>
      </c>
      <c r="K32" s="41">
        <v>0.40304039741027786</v>
      </c>
      <c r="L32" s="41">
        <v>0.28717977183213428</v>
      </c>
      <c r="M32" s="41">
        <v>0.22310179961596344</v>
      </c>
      <c r="N32" s="41">
        <v>0.22585184074823861</v>
      </c>
      <c r="O32" s="41">
        <v>0.2292052083713525</v>
      </c>
      <c r="P32" s="41">
        <v>0.308394274732402</v>
      </c>
      <c r="Q32" s="41">
        <v>0.28259726064297119</v>
      </c>
      <c r="R32" s="41">
        <v>0.39525409731652772</v>
      </c>
      <c r="S32" s="41">
        <v>0.45495131498992158</v>
      </c>
      <c r="T32" s="41">
        <v>0.50917219482751541</v>
      </c>
      <c r="U32" s="41">
        <v>0.62923835128335348</v>
      </c>
      <c r="V32" s="41">
        <v>0.69964076624633353</v>
      </c>
      <c r="W32" s="41">
        <v>0.8780985586365615</v>
      </c>
      <c r="X32" s="41">
        <v>0.85195216818361619</v>
      </c>
      <c r="Y32" s="41">
        <v>0.73818710534597454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46.322565112521971</v>
      </c>
      <c r="D33" s="42">
        <v>46.496232039641058</v>
      </c>
      <c r="E33" s="42">
        <v>54.112145523400784</v>
      </c>
      <c r="F33" s="42">
        <v>54.255653126417712</v>
      </c>
      <c r="G33" s="42">
        <v>56.975090243168012</v>
      </c>
      <c r="H33" s="42">
        <v>77.781839146139163</v>
      </c>
      <c r="I33" s="42">
        <v>80.134417665629627</v>
      </c>
      <c r="J33" s="42">
        <v>82.277748925607568</v>
      </c>
      <c r="K33" s="42">
        <v>84.037127274019269</v>
      </c>
      <c r="L33" s="42">
        <v>86.665201781317933</v>
      </c>
      <c r="M33" s="42">
        <v>108.30581384501806</v>
      </c>
      <c r="N33" s="42">
        <v>119.21283217617616</v>
      </c>
      <c r="O33" s="42">
        <v>126.77320248086278</v>
      </c>
      <c r="P33" s="42">
        <v>138.92048961359234</v>
      </c>
      <c r="Q33" s="42">
        <v>154.48375325111135</v>
      </c>
      <c r="R33" s="42">
        <v>144.2104581133442</v>
      </c>
      <c r="S33" s="42">
        <v>155.14981158091189</v>
      </c>
      <c r="T33" s="42">
        <v>162.79700402392746</v>
      </c>
      <c r="U33" s="42">
        <v>173.93403990255604</v>
      </c>
      <c r="V33" s="42">
        <v>187.5824624352158</v>
      </c>
      <c r="W33" s="42">
        <v>174.90835863740733</v>
      </c>
      <c r="X33" s="42">
        <v>176.11398784200048</v>
      </c>
      <c r="Y33" s="42">
        <v>182.93778185606561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0.32874878715970368</v>
      </c>
      <c r="D36" s="182">
        <v>0.33804764197922843</v>
      </c>
      <c r="E36" s="182">
        <v>0.34760952043360938</v>
      </c>
      <c r="F36" s="182">
        <v>0.35744186230267871</v>
      </c>
      <c r="G36" s="182">
        <v>0.36755231780485431</v>
      </c>
      <c r="H36" s="182">
        <v>0.37794875354953206</v>
      </c>
      <c r="I36" s="182">
        <v>0.38863925865782711</v>
      </c>
      <c r="J36" s="182">
        <v>0.39963215105645489</v>
      </c>
      <c r="K36" s="182">
        <v>0.41093598394963138</v>
      </c>
      <c r="L36" s="182">
        <v>0.42255955247403421</v>
      </c>
      <c r="M36" s="182">
        <v>0.43451190054201305</v>
      </c>
      <c r="N36" s="182">
        <v>0.44680232787834839</v>
      </c>
      <c r="O36" s="182">
        <v>0.45944039725606878</v>
      </c>
      <c r="P36" s="182">
        <v>0.47243594193691507</v>
      </c>
      <c r="Q36" s="182">
        <v>0.48579907332228345</v>
      </c>
      <c r="R36" s="182">
        <v>0.49954018882056772</v>
      </c>
      <c r="S36" s="182">
        <v>0.51366997993704011</v>
      </c>
      <c r="T36" s="182">
        <v>0.52819944059254098</v>
      </c>
      <c r="U36" s="182">
        <v>0.55891315379099993</v>
      </c>
      <c r="V36" s="182">
        <v>0.72373619119924726</v>
      </c>
      <c r="W36" s="182">
        <v>0.62519716131057379</v>
      </c>
      <c r="X36" s="182">
        <v>0.80795332585006818</v>
      </c>
      <c r="Y36" s="182">
        <v>0.77466117722263661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21.088647038626135</v>
      </c>
      <c r="D37" s="182">
        <v>21.996405351623366</v>
      </c>
      <c r="E37" s="182">
        <v>22.943238013643821</v>
      </c>
      <c r="F37" s="182">
        <v>23.930826975411378</v>
      </c>
      <c r="G37" s="182">
        <v>24.960926587019401</v>
      </c>
      <c r="H37" s="182">
        <v>26.035366714353245</v>
      </c>
      <c r="I37" s="182">
        <v>27.156055989658455</v>
      </c>
      <c r="J37" s="182">
        <v>26.726274822837127</v>
      </c>
      <c r="K37" s="182">
        <v>28.323815546881491</v>
      </c>
      <c r="L37" s="182">
        <v>29.367209745800153</v>
      </c>
      <c r="M37" s="182">
        <v>30.935612597239384</v>
      </c>
      <c r="N37" s="182">
        <v>31.810097310316252</v>
      </c>
      <c r="O37" s="182">
        <v>33.265906466502429</v>
      </c>
      <c r="P37" s="182">
        <v>33.581743051030003</v>
      </c>
      <c r="Q37" s="182">
        <v>33.065845957176464</v>
      </c>
      <c r="R37" s="182">
        <v>35.446875713412567</v>
      </c>
      <c r="S37" s="182">
        <v>36.517632283962882</v>
      </c>
      <c r="T37" s="182">
        <v>40.046967338864135</v>
      </c>
      <c r="U37" s="182">
        <v>43.914965764193823</v>
      </c>
      <c r="V37" s="182">
        <v>47.285671955126361</v>
      </c>
      <c r="W37" s="182">
        <v>49.757498754126118</v>
      </c>
      <c r="X37" s="182">
        <v>52.960035532671441</v>
      </c>
      <c r="Y37" s="182">
        <v>48.917611174458386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0.52839969770259865</v>
      </c>
      <c r="D38" s="182">
        <v>0.54212665109120595</v>
      </c>
      <c r="E38" s="182">
        <v>0.55621020810799893</v>
      </c>
      <c r="F38" s="182">
        <v>0.57065963272758502</v>
      </c>
      <c r="G38" s="182">
        <v>0.58548442958736757</v>
      </c>
      <c r="H38" s="182">
        <v>0.60069435023956341</v>
      </c>
      <c r="I38" s="182">
        <v>0.63091213656439038</v>
      </c>
      <c r="J38" s="182">
        <v>0.69553835973824185</v>
      </c>
      <c r="K38" s="182">
        <v>0.71011494917831897</v>
      </c>
      <c r="L38" s="182">
        <v>0.80098691612927464</v>
      </c>
      <c r="M38" s="182">
        <v>0.79817690887167636</v>
      </c>
      <c r="N38" s="182">
        <v>0.91187138934032141</v>
      </c>
      <c r="O38" s="182">
        <v>1.0141598904320395</v>
      </c>
      <c r="P38" s="182">
        <v>0.97535501215008757</v>
      </c>
      <c r="Q38" s="182">
        <v>0.89594292945994702</v>
      </c>
      <c r="R38" s="182">
        <v>1.0487432515424278</v>
      </c>
      <c r="S38" s="182">
        <v>1.0498021359384886</v>
      </c>
      <c r="T38" s="182">
        <v>1.1808947085584922</v>
      </c>
      <c r="U38" s="182">
        <v>1.2738395154792705</v>
      </c>
      <c r="V38" s="182">
        <v>1.3662889825278306</v>
      </c>
      <c r="W38" s="182">
        <v>1.3060146503233199</v>
      </c>
      <c r="X38" s="182">
        <v>1.3094312499048044</v>
      </c>
      <c r="Y38" s="182">
        <v>1.3504329118559451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3.2432424679247589</v>
      </c>
      <c r="D39" s="182">
        <v>3.3115587278973564</v>
      </c>
      <c r="E39" s="182">
        <v>3.3813140142217577</v>
      </c>
      <c r="F39" s="182">
        <v>3.4525386388155468</v>
      </c>
      <c r="G39" s="182">
        <v>3.5252635520921274</v>
      </c>
      <c r="H39" s="182">
        <v>3.5995203564101672</v>
      </c>
      <c r="I39" s="182">
        <v>3.6753413198062574</v>
      </c>
      <c r="J39" s="182">
        <v>3.752759390016891</v>
      </c>
      <c r="K39" s="182">
        <v>3.8318082087957848</v>
      </c>
      <c r="L39" s="182">
        <v>3.9125221265327852</v>
      </c>
      <c r="M39" s="182">
        <v>4.9237974454442721</v>
      </c>
      <c r="N39" s="182">
        <v>5.1095466797018645</v>
      </c>
      <c r="O39" s="182">
        <v>5.2253541477054597</v>
      </c>
      <c r="P39" s="182">
        <v>5.5309321805035196</v>
      </c>
      <c r="Q39" s="182">
        <v>5.933471122962132</v>
      </c>
      <c r="R39" s="182">
        <v>6.1875912282916232</v>
      </c>
      <c r="S39" s="182">
        <v>5.9615355443271767</v>
      </c>
      <c r="T39" s="182">
        <v>5.5787740619486641</v>
      </c>
      <c r="U39" s="182">
        <v>6.2916109348314535</v>
      </c>
      <c r="V39" s="182">
        <v>6.374799987637104</v>
      </c>
      <c r="W39" s="182">
        <v>6.2683699460280451</v>
      </c>
      <c r="X39" s="182">
        <v>6.6673903796293672</v>
      </c>
      <c r="Y39" s="182">
        <v>6.911237266450712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4.7450773370233845E-2</v>
      </c>
      <c r="D40" s="41">
        <v>5.2790478939505947E-2</v>
      </c>
      <c r="E40" s="41">
        <v>5.8731069458409113E-2</v>
      </c>
      <c r="F40" s="41">
        <v>6.534016339728943E-2</v>
      </c>
      <c r="G40" s="41">
        <v>7.2692988432772054E-2</v>
      </c>
      <c r="H40" s="41">
        <v>8.0873237722976388E-2</v>
      </c>
      <c r="I40" s="41">
        <v>8.9974022540645127E-2</v>
      </c>
      <c r="J40" s="41">
        <v>0.10009893210748277</v>
      </c>
      <c r="K40" s="41">
        <v>0.11136321269321936</v>
      </c>
      <c r="L40" s="41">
        <v>0.12389507940043476</v>
      </c>
      <c r="M40" s="41">
        <v>0.13783717556645669</v>
      </c>
      <c r="N40" s="41">
        <v>0.15334819639392094</v>
      </c>
      <c r="O40" s="41">
        <v>0.17060469529086308</v>
      </c>
      <c r="P40" s="41">
        <v>0.18980309348093538</v>
      </c>
      <c r="Q40" s="41">
        <v>0.21116191575802379</v>
      </c>
      <c r="R40" s="41">
        <v>0.1902983048311615</v>
      </c>
      <c r="S40" s="41">
        <v>0.23318690193632818</v>
      </c>
      <c r="T40" s="41">
        <v>0.23309110432750391</v>
      </c>
      <c r="U40" s="41">
        <v>0.31043837040009858</v>
      </c>
      <c r="V40" s="41">
        <v>0.41217588510192549</v>
      </c>
      <c r="W40" s="41">
        <v>0.6307509161555318</v>
      </c>
      <c r="X40" s="41">
        <v>0.63970883660536959</v>
      </c>
      <c r="Y40" s="41">
        <v>0.55627613848165236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31.137459608482885</v>
      </c>
      <c r="D41" s="42">
        <v>31.137459608482885</v>
      </c>
      <c r="E41" s="42">
        <v>31.137459608482885</v>
      </c>
      <c r="F41" s="42">
        <v>31.137459608482914</v>
      </c>
      <c r="G41" s="42">
        <v>31.137459608482857</v>
      </c>
      <c r="H41" s="42">
        <v>46.322565112521943</v>
      </c>
      <c r="I41" s="42">
        <v>46.496232039641029</v>
      </c>
      <c r="J41" s="42">
        <v>54.112145523400784</v>
      </c>
      <c r="K41" s="42">
        <v>54.255653126417712</v>
      </c>
      <c r="L41" s="42">
        <v>56.97509024316804</v>
      </c>
      <c r="M41" s="42">
        <v>77.781839146139191</v>
      </c>
      <c r="N41" s="42">
        <v>80.134417665629542</v>
      </c>
      <c r="O41" s="42">
        <v>82.277748925607625</v>
      </c>
      <c r="P41" s="42">
        <v>84.037127274019326</v>
      </c>
      <c r="Q41" s="42">
        <v>86.665201781317933</v>
      </c>
      <c r="R41" s="42">
        <v>108.30581384501806</v>
      </c>
      <c r="S41" s="42">
        <v>119.21283217617622</v>
      </c>
      <c r="T41" s="42">
        <v>126.77320248086278</v>
      </c>
      <c r="U41" s="42">
        <v>138.92048961359228</v>
      </c>
      <c r="V41" s="42">
        <v>154.48375325111135</v>
      </c>
      <c r="W41" s="42">
        <v>144.2104581133442</v>
      </c>
      <c r="X41" s="42">
        <v>155.14981158091189</v>
      </c>
      <c r="Y41" s="42">
        <v>162.79700402392757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</v>
      </c>
      <c r="C44" s="184">
        <v>8760.0000000000018</v>
      </c>
      <c r="D44" s="184">
        <v>8760.0000000000018</v>
      </c>
      <c r="E44" s="184">
        <v>8760</v>
      </c>
      <c r="F44" s="184">
        <v>8760.0000000000018</v>
      </c>
      <c r="G44" s="184">
        <v>8760</v>
      </c>
      <c r="H44" s="184">
        <v>8760</v>
      </c>
      <c r="I44" s="184">
        <v>8760.0000000000018</v>
      </c>
      <c r="J44" s="184">
        <v>8759.9999999999982</v>
      </c>
      <c r="K44" s="184">
        <v>8760.0000000000018</v>
      </c>
      <c r="L44" s="184">
        <v>8759.9999999999964</v>
      </c>
      <c r="M44" s="184">
        <v>8759.9999999999982</v>
      </c>
      <c r="N44" s="184">
        <v>8759.9999999999964</v>
      </c>
      <c r="O44" s="184">
        <v>8759.9999999999982</v>
      </c>
      <c r="P44" s="184">
        <v>8760</v>
      </c>
      <c r="Q44" s="184">
        <v>8760.0000000000018</v>
      </c>
      <c r="R44" s="184">
        <v>8760</v>
      </c>
      <c r="S44" s="184">
        <v>8760</v>
      </c>
      <c r="T44" s="184">
        <v>8759.9999999999982</v>
      </c>
      <c r="U44" s="184">
        <v>8760.0000000000018</v>
      </c>
      <c r="V44" s="184">
        <v>8760.0000000000018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3798.1467711248556</v>
      </c>
      <c r="C45" s="184">
        <v>3800.4376502639457</v>
      </c>
      <c r="D45" s="184">
        <v>3802.3867608055684</v>
      </c>
      <c r="E45" s="184">
        <v>3807.5269093551447</v>
      </c>
      <c r="F45" s="184">
        <v>3819.4103236849787</v>
      </c>
      <c r="G45" s="184">
        <v>3831.030729560709</v>
      </c>
      <c r="H45" s="184">
        <v>3838.7689721744309</v>
      </c>
      <c r="I45" s="184">
        <v>3846.7754384714899</v>
      </c>
      <c r="J45" s="184">
        <v>3853.3177709620004</v>
      </c>
      <c r="K45" s="184">
        <v>3856.9692406583936</v>
      </c>
      <c r="L45" s="184">
        <v>3859.0460859144596</v>
      </c>
      <c r="M45" s="184">
        <v>3850.2749971690437</v>
      </c>
      <c r="N45" s="184">
        <v>3823.9789548482868</v>
      </c>
      <c r="O45" s="184">
        <v>3800.0884181446013</v>
      </c>
      <c r="P45" s="184">
        <v>3777.8199117677768</v>
      </c>
      <c r="Q45" s="184">
        <v>3753.2715427530056</v>
      </c>
      <c r="R45" s="184">
        <v>3816.0991966842007</v>
      </c>
      <c r="S45" s="184">
        <v>3715.7297999858129</v>
      </c>
      <c r="T45" s="184">
        <v>3678.4299464947726</v>
      </c>
      <c r="U45" s="184">
        <v>3676.2725939991192</v>
      </c>
      <c r="V45" s="184">
        <v>3669.8478786808469</v>
      </c>
      <c r="W45" s="184">
        <v>3677.2404835666271</v>
      </c>
      <c r="X45" s="184">
        <v>3669.5164352099646</v>
      </c>
      <c r="Y45" s="184">
        <v>3661.7923868533017</v>
      </c>
      <c r="DA45" s="193" t="s">
        <v>941</v>
      </c>
    </row>
    <row r="46" spans="1:105" ht="12" customHeight="1" x14ac:dyDescent="0.25">
      <c r="A46" s="131" t="s">
        <v>5</v>
      </c>
      <c r="B46" s="184">
        <v>2347.8284075014831</v>
      </c>
      <c r="C46" s="184">
        <v>2362.8029060819244</v>
      </c>
      <c r="D46" s="184">
        <v>2378.8474410600197</v>
      </c>
      <c r="E46" s="184">
        <v>2391.5846757820996</v>
      </c>
      <c r="F46" s="184">
        <v>2407.1143285295784</v>
      </c>
      <c r="G46" s="184">
        <v>2421.2459650479877</v>
      </c>
      <c r="H46" s="184">
        <v>2429.7988985266629</v>
      </c>
      <c r="I46" s="184">
        <v>2441.1053272242448</v>
      </c>
      <c r="J46" s="184">
        <v>2452.4307179751377</v>
      </c>
      <c r="K46" s="184">
        <v>2457.6150717331475</v>
      </c>
      <c r="L46" s="184">
        <v>2464.6287689138503</v>
      </c>
      <c r="M46" s="184">
        <v>2472.6712067668254</v>
      </c>
      <c r="N46" s="184">
        <v>2478.6995326872147</v>
      </c>
      <c r="O46" s="184">
        <v>2488.4077942526128</v>
      </c>
      <c r="P46" s="184">
        <v>2496.1453262259024</v>
      </c>
      <c r="Q46" s="184">
        <v>2505.9007638740895</v>
      </c>
      <c r="R46" s="184">
        <v>2540.3681141219322</v>
      </c>
      <c r="S46" s="184">
        <v>2457.6222157200982</v>
      </c>
      <c r="T46" s="184">
        <v>2447.9248681730119</v>
      </c>
      <c r="U46" s="184">
        <v>2485.6954088117204</v>
      </c>
      <c r="V46" s="184">
        <v>2215.5207151845043</v>
      </c>
      <c r="W46" s="184">
        <v>2349.8871620581531</v>
      </c>
      <c r="X46" s="184">
        <v>2419.0117923156126</v>
      </c>
      <c r="Y46" s="184">
        <v>2453.5741074443422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8759.9999999999964</v>
      </c>
      <c r="D47" s="184">
        <v>8760</v>
      </c>
      <c r="E47" s="184">
        <v>8760</v>
      </c>
      <c r="F47" s="184">
        <v>8759.9999999999982</v>
      </c>
      <c r="G47" s="184">
        <v>8760</v>
      </c>
      <c r="H47" s="184">
        <v>8759.9999999999964</v>
      </c>
      <c r="I47" s="184">
        <v>8760</v>
      </c>
      <c r="J47" s="184">
        <v>8760</v>
      </c>
      <c r="K47" s="184">
        <v>8759.9999999999964</v>
      </c>
      <c r="L47" s="184">
        <v>8760.0000000000036</v>
      </c>
      <c r="M47" s="184">
        <v>8760</v>
      </c>
      <c r="N47" s="184">
        <v>8759.9999999999982</v>
      </c>
      <c r="O47" s="184">
        <v>8760</v>
      </c>
      <c r="P47" s="184">
        <v>8759.9999999999964</v>
      </c>
      <c r="Q47" s="184">
        <v>8760.0000000000036</v>
      </c>
      <c r="R47" s="184">
        <v>8760.0000000000018</v>
      </c>
      <c r="S47" s="184">
        <v>8760.0000000000018</v>
      </c>
      <c r="T47" s="184">
        <v>8760</v>
      </c>
      <c r="U47" s="184">
        <v>8760.0000000000018</v>
      </c>
      <c r="V47" s="184">
        <v>8760</v>
      </c>
      <c r="W47" s="184">
        <v>8760.0000000000018</v>
      </c>
      <c r="X47" s="184">
        <v>8760.0000000000018</v>
      </c>
      <c r="Y47" s="184">
        <v>8760.0000000000018</v>
      </c>
      <c r="DA47" s="193" t="s">
        <v>943</v>
      </c>
    </row>
    <row r="48" spans="1:105" ht="12" customHeight="1" x14ac:dyDescent="0.25">
      <c r="A48" s="60" t="s">
        <v>4</v>
      </c>
      <c r="B48" s="44">
        <v>928.40554397155961</v>
      </c>
      <c r="C48" s="44">
        <v>932.84042778421974</v>
      </c>
      <c r="D48" s="44">
        <v>936.90765525225345</v>
      </c>
      <c r="E48" s="44">
        <v>940.66479981630187</v>
      </c>
      <c r="F48" s="44">
        <v>944.15680349319439</v>
      </c>
      <c r="G48" s="44">
        <v>947.41943216110064</v>
      </c>
      <c r="H48" s="44">
        <v>950.48162268750605</v>
      </c>
      <c r="I48" s="44">
        <v>953.36712323351685</v>
      </c>
      <c r="J48" s="44">
        <v>956.09566798716776</v>
      </c>
      <c r="K48" s="44">
        <v>958.6838365898825</v>
      </c>
      <c r="L48" s="44">
        <v>961.1456947736292</v>
      </c>
      <c r="M48" s="44">
        <v>962.71011510884898</v>
      </c>
      <c r="N48" s="44">
        <v>964.20411614556406</v>
      </c>
      <c r="O48" s="44">
        <v>965.63386087655897</v>
      </c>
      <c r="P48" s="44">
        <v>967.00473320289143</v>
      </c>
      <c r="Q48" s="44">
        <v>968.32146425684709</v>
      </c>
      <c r="R48" s="44">
        <v>990.85280567430902</v>
      </c>
      <c r="S48" s="44">
        <v>961.2356704173867</v>
      </c>
      <c r="T48" s="44">
        <v>944.43675170896779</v>
      </c>
      <c r="U48" s="44">
        <v>939.65827556412978</v>
      </c>
      <c r="V48" s="44">
        <v>837.52513173047737</v>
      </c>
      <c r="W48" s="44">
        <v>888.31918449952911</v>
      </c>
      <c r="X48" s="44">
        <v>925.66174849634376</v>
      </c>
      <c r="Y48" s="44">
        <v>944.33303049475103</v>
      </c>
      <c r="DA48" s="95" t="s">
        <v>944</v>
      </c>
    </row>
    <row r="49" spans="1:105" ht="12" customHeight="1" x14ac:dyDescent="0.25">
      <c r="A49" s="62" t="s">
        <v>3</v>
      </c>
      <c r="B49" s="185">
        <v>2169.6347123112596</v>
      </c>
      <c r="C49" s="185">
        <v>2251.965702441988</v>
      </c>
      <c r="D49" s="185">
        <v>2342.0416266967486</v>
      </c>
      <c r="E49" s="185">
        <v>2403.0399889452196</v>
      </c>
      <c r="F49" s="185">
        <v>2463.2611211197404</v>
      </c>
      <c r="G49" s="185">
        <v>2511.774883573597</v>
      </c>
      <c r="H49" s="185">
        <v>2544.7891870135027</v>
      </c>
      <c r="I49" s="185">
        <v>2568.2746574711396</v>
      </c>
      <c r="J49" s="185">
        <v>2610.0097088785246</v>
      </c>
      <c r="K49" s="185">
        <v>2644.0676347204349</v>
      </c>
      <c r="L49" s="185">
        <v>2692.5236771583504</v>
      </c>
      <c r="M49" s="185">
        <v>2739.2694343688368</v>
      </c>
      <c r="N49" s="185">
        <v>2767.3793562859132</v>
      </c>
      <c r="O49" s="185">
        <v>2771.0788856199115</v>
      </c>
      <c r="P49" s="185">
        <v>2756.6336401227691</v>
      </c>
      <c r="Q49" s="185">
        <v>2721.8437635845021</v>
      </c>
      <c r="R49" s="185">
        <v>2756.4928257061697</v>
      </c>
      <c r="S49" s="185">
        <v>2733.8533962713241</v>
      </c>
      <c r="T49" s="185">
        <v>2731.9696707110288</v>
      </c>
      <c r="U49" s="185">
        <v>2750.6518878788079</v>
      </c>
      <c r="V49" s="185">
        <v>2640.13392173191</v>
      </c>
      <c r="W49" s="185">
        <v>2697.2234275442024</v>
      </c>
      <c r="X49" s="185">
        <v>2729.4563711053497</v>
      </c>
      <c r="Y49" s="185">
        <v>2746.8948228394747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0.76503616206749836</v>
      </c>
      <c r="C52" s="180">
        <v>0.75911849920933916</v>
      </c>
      <c r="D52" s="180">
        <v>0.7514048447793753</v>
      </c>
      <c r="E52" s="180">
        <v>0.74457734571544432</v>
      </c>
      <c r="F52" s="180">
        <v>0.73584616832122907</v>
      </c>
      <c r="G52" s="180">
        <v>0.72743777566069556</v>
      </c>
      <c r="H52" s="180">
        <v>0.71718523796636757</v>
      </c>
      <c r="I52" s="180">
        <v>0.70618646747138114</v>
      </c>
      <c r="J52" s="180">
        <v>0.69643630796987044</v>
      </c>
      <c r="K52" s="180">
        <v>0.6886055796972298</v>
      </c>
      <c r="L52" s="180">
        <v>0.67925141012233381</v>
      </c>
      <c r="M52" s="180">
        <v>0.67016620003880556</v>
      </c>
      <c r="N52" s="180">
        <v>0.66068595055108736</v>
      </c>
      <c r="O52" s="180">
        <v>0.6503410053260853</v>
      </c>
      <c r="P52" s="180">
        <v>0.63817567768609151</v>
      </c>
      <c r="Q52" s="180">
        <v>0.62574567673007053</v>
      </c>
      <c r="R52" s="180">
        <v>0.61349063819045124</v>
      </c>
      <c r="S52" s="180">
        <v>0.60113754298541233</v>
      </c>
      <c r="T52" s="180">
        <v>0.58914717153699037</v>
      </c>
      <c r="U52" s="180">
        <v>0.58020875934223948</v>
      </c>
      <c r="V52" s="180">
        <v>0.5703891164993905</v>
      </c>
      <c r="W52" s="180">
        <v>0.56236975942043688</v>
      </c>
      <c r="X52" s="180">
        <v>0.55395410671575684</v>
      </c>
      <c r="Y52" s="180">
        <v>0.54662817197886049</v>
      </c>
      <c r="DA52" s="189" t="s">
        <v>946</v>
      </c>
    </row>
    <row r="53" spans="1:105" ht="12" customHeight="1" x14ac:dyDescent="0.25">
      <c r="A53" s="131" t="s">
        <v>100</v>
      </c>
      <c r="B53" s="180">
        <v>195.84078294074112</v>
      </c>
      <c r="C53" s="180">
        <v>193.81115229408127</v>
      </c>
      <c r="D53" s="180">
        <v>191.70062816429513</v>
      </c>
      <c r="E53" s="180">
        <v>189.41316541876478</v>
      </c>
      <c r="F53" s="180">
        <v>186.82337091549249</v>
      </c>
      <c r="G53" s="180">
        <v>183.92004796704433</v>
      </c>
      <c r="H53" s="180">
        <v>180.7717335455728</v>
      </c>
      <c r="I53" s="180">
        <v>177.26795238408695</v>
      </c>
      <c r="J53" s="180">
        <v>175.14852441653363</v>
      </c>
      <c r="K53" s="180">
        <v>172.48471283125599</v>
      </c>
      <c r="L53" s="180">
        <v>169.44711957907973</v>
      </c>
      <c r="M53" s="180">
        <v>165.96870420376746</v>
      </c>
      <c r="N53" s="180">
        <v>162.0415146224002</v>
      </c>
      <c r="O53" s="180">
        <v>157.40311605232341</v>
      </c>
      <c r="P53" s="180">
        <v>152.33217036726407</v>
      </c>
      <c r="Q53" s="180">
        <v>146.60166381307386</v>
      </c>
      <c r="R53" s="180">
        <v>140.86977103396453</v>
      </c>
      <c r="S53" s="180">
        <v>135.07310697057659</v>
      </c>
      <c r="T53" s="180">
        <v>128.90869732196401</v>
      </c>
      <c r="U53" s="180">
        <v>122.46436526288021</v>
      </c>
      <c r="V53" s="180">
        <v>116.01508409199057</v>
      </c>
      <c r="W53" s="180">
        <v>110.19797427021741</v>
      </c>
      <c r="X53" s="180">
        <v>105.22493832604199</v>
      </c>
      <c r="Y53" s="180">
        <v>101.29323250461096</v>
      </c>
      <c r="DA53" s="189" t="s">
        <v>947</v>
      </c>
    </row>
    <row r="54" spans="1:105" ht="12" customHeight="1" x14ac:dyDescent="0.25">
      <c r="A54" s="131" t="s">
        <v>140</v>
      </c>
      <c r="B54" s="180">
        <v>48.44901713397676</v>
      </c>
      <c r="C54" s="180">
        <v>47.89633879746868</v>
      </c>
      <c r="D54" s="180">
        <v>47.032422475870668</v>
      </c>
      <c r="E54" s="180">
        <v>46.024846255949306</v>
      </c>
      <c r="F54" s="180">
        <v>44.814366570194181</v>
      </c>
      <c r="G54" s="180">
        <v>43.497947728485265</v>
      </c>
      <c r="H54" s="180">
        <v>42.009789821164347</v>
      </c>
      <c r="I54" s="180">
        <v>40.789890212706922</v>
      </c>
      <c r="J54" s="180">
        <v>39.702803859057418</v>
      </c>
      <c r="K54" s="180">
        <v>38.646775343214266</v>
      </c>
      <c r="L54" s="180">
        <v>37.461963246765237</v>
      </c>
      <c r="M54" s="180">
        <v>36.227115579949754</v>
      </c>
      <c r="N54" s="180">
        <v>34.840334208733353</v>
      </c>
      <c r="O54" s="180">
        <v>33.306309462798502</v>
      </c>
      <c r="P54" s="180">
        <v>31.68000835279717</v>
      </c>
      <c r="Q54" s="180">
        <v>30.052983746985042</v>
      </c>
      <c r="R54" s="180">
        <v>28.109480984279323</v>
      </c>
      <c r="S54" s="180">
        <v>26.275626233885021</v>
      </c>
      <c r="T54" s="180">
        <v>24.225285943552993</v>
      </c>
      <c r="U54" s="180">
        <v>22.144575569277915</v>
      </c>
      <c r="V54" s="180">
        <v>20.119714410521251</v>
      </c>
      <c r="W54" s="180">
        <v>18.522744587701016</v>
      </c>
      <c r="X54" s="180">
        <v>17.288489979210834</v>
      </c>
      <c r="Y54" s="180">
        <v>16.129149601214447</v>
      </c>
      <c r="DA54" s="189" t="s">
        <v>948</v>
      </c>
    </row>
    <row r="55" spans="1:105" ht="12" customHeight="1" x14ac:dyDescent="0.25">
      <c r="A55" s="131" t="s">
        <v>173</v>
      </c>
      <c r="B55" s="180">
        <v>728.76815977267097</v>
      </c>
      <c r="C55" s="180">
        <v>718.20880631960836</v>
      </c>
      <c r="D55" s="180">
        <v>705.80318624424876</v>
      </c>
      <c r="E55" s="180">
        <v>692.48979723940624</v>
      </c>
      <c r="F55" s="180">
        <v>678.01418155975955</v>
      </c>
      <c r="G55" s="180">
        <v>662.93514818526444</v>
      </c>
      <c r="H55" s="180">
        <v>647.57307885156922</v>
      </c>
      <c r="I55" s="180">
        <v>632.60189671971943</v>
      </c>
      <c r="J55" s="180">
        <v>617.60717450021775</v>
      </c>
      <c r="K55" s="180">
        <v>601.12180975904425</v>
      </c>
      <c r="L55" s="180">
        <v>584.21309964326178</v>
      </c>
      <c r="M55" s="180">
        <v>570.88903229298342</v>
      </c>
      <c r="N55" s="180">
        <v>558.18976800327835</v>
      </c>
      <c r="O55" s="180">
        <v>545.85821048909372</v>
      </c>
      <c r="P55" s="180">
        <v>532.19862059398031</v>
      </c>
      <c r="Q55" s="180">
        <v>517.71293443499292</v>
      </c>
      <c r="R55" s="180">
        <v>504.55924420590657</v>
      </c>
      <c r="S55" s="180">
        <v>492.48295604928654</v>
      </c>
      <c r="T55" s="180">
        <v>481.91590820983203</v>
      </c>
      <c r="U55" s="180">
        <v>471.19798844358388</v>
      </c>
      <c r="V55" s="180">
        <v>461.32030060431993</v>
      </c>
      <c r="W55" s="180">
        <v>452.67323138558595</v>
      </c>
      <c r="X55" s="180">
        <v>444.08666813630919</v>
      </c>
      <c r="Y55" s="180">
        <v>435.26947516760788</v>
      </c>
      <c r="DA55" s="189" t="s">
        <v>949</v>
      </c>
    </row>
    <row r="56" spans="1:105" ht="12" customHeight="1" x14ac:dyDescent="0.25">
      <c r="A56" s="60" t="s">
        <v>99</v>
      </c>
      <c r="B56" s="55">
        <v>51.300374642193631</v>
      </c>
      <c r="C56" s="55">
        <v>50.968279681671035</v>
      </c>
      <c r="D56" s="55">
        <v>50.587176410136095</v>
      </c>
      <c r="E56" s="55">
        <v>50.225061637611141</v>
      </c>
      <c r="F56" s="55">
        <v>49.780632638073527</v>
      </c>
      <c r="G56" s="55">
        <v>49.251109084673061</v>
      </c>
      <c r="H56" s="55">
        <v>48.568196296764455</v>
      </c>
      <c r="I56" s="55">
        <v>47.955864170837337</v>
      </c>
      <c r="J56" s="55">
        <v>47.451622592147906</v>
      </c>
      <c r="K56" s="55">
        <v>47.030688605712854</v>
      </c>
      <c r="L56" s="55">
        <v>46.660945573644355</v>
      </c>
      <c r="M56" s="55">
        <v>46.291242067335133</v>
      </c>
      <c r="N56" s="55">
        <v>45.852232755009815</v>
      </c>
      <c r="O56" s="55">
        <v>45.344510445885206</v>
      </c>
      <c r="P56" s="55">
        <v>44.656610092731498</v>
      </c>
      <c r="Q56" s="55">
        <v>43.936873173127054</v>
      </c>
      <c r="R56" s="55">
        <v>43.204516199184383</v>
      </c>
      <c r="S56" s="55">
        <v>42.383535457800214</v>
      </c>
      <c r="T56" s="55">
        <v>41.538419626083638</v>
      </c>
      <c r="U56" s="55">
        <v>40.54197406291199</v>
      </c>
      <c r="V56" s="55">
        <v>39.447873733888002</v>
      </c>
      <c r="W56" s="55">
        <v>38.074256553967842</v>
      </c>
      <c r="X56" s="55">
        <v>36.818851878374858</v>
      </c>
      <c r="Y56" s="55">
        <v>35.801692005983831</v>
      </c>
      <c r="DA56" s="101" t="s">
        <v>950</v>
      </c>
    </row>
    <row r="57" spans="1:105" ht="12" customHeight="1" x14ac:dyDescent="0.25">
      <c r="A57" s="62" t="s">
        <v>98</v>
      </c>
      <c r="B57" s="63">
        <v>392.10029695622126</v>
      </c>
      <c r="C57" s="63">
        <v>383.17231342555158</v>
      </c>
      <c r="D57" s="63">
        <v>372.22277322378369</v>
      </c>
      <c r="E57" s="63">
        <v>358.87541831328571</v>
      </c>
      <c r="F57" s="63">
        <v>344.29507723474416</v>
      </c>
      <c r="G57" s="63">
        <v>328.63168671587715</v>
      </c>
      <c r="H57" s="63">
        <v>311.35302622028649</v>
      </c>
      <c r="I57" s="63">
        <v>294.7336045299333</v>
      </c>
      <c r="J57" s="63">
        <v>277.58302297710514</v>
      </c>
      <c r="K57" s="63">
        <v>261.44986613670142</v>
      </c>
      <c r="L57" s="63">
        <v>244.79344523204452</v>
      </c>
      <c r="M57" s="63">
        <v>226.13813200662918</v>
      </c>
      <c r="N57" s="63">
        <v>210.40173969679225</v>
      </c>
      <c r="O57" s="63">
        <v>198.21456569077091</v>
      </c>
      <c r="P57" s="63">
        <v>189.17048141276558</v>
      </c>
      <c r="Q57" s="63">
        <v>184.11471147155962</v>
      </c>
      <c r="R57" s="63">
        <v>180.19111224889718</v>
      </c>
      <c r="S57" s="63">
        <v>176.62147127908449</v>
      </c>
      <c r="T57" s="63">
        <v>173.09656958443739</v>
      </c>
      <c r="U57" s="63">
        <v>169.38686507035638</v>
      </c>
      <c r="V57" s="63">
        <v>164.84021898568983</v>
      </c>
      <c r="W57" s="63">
        <v>160.99940206050138</v>
      </c>
      <c r="X57" s="63">
        <v>157.4476307682319</v>
      </c>
      <c r="Y57" s="63">
        <v>154.14555018322014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0.68234880772641737</v>
      </c>
      <c r="D60" s="180">
        <v>0.67453549035490512</v>
      </c>
      <c r="E60" s="180">
        <v>0.66645448943964924</v>
      </c>
      <c r="F60" s="180">
        <v>0.65719663380457005</v>
      </c>
      <c r="G60" s="180">
        <v>0.64841917630416701</v>
      </c>
      <c r="H60" s="180">
        <v>0.64099249707482808</v>
      </c>
      <c r="I60" s="180">
        <v>0.63167520560340595</v>
      </c>
      <c r="J60" s="180">
        <v>0.62179095549761099</v>
      </c>
      <c r="K60" s="180">
        <v>0.611114375472676</v>
      </c>
      <c r="L60" s="180">
        <v>0.59753021809383655</v>
      </c>
      <c r="M60" s="180">
        <v>0.58582859822558409</v>
      </c>
      <c r="N60" s="180">
        <v>0.5707596178405292</v>
      </c>
      <c r="O60" s="180">
        <v>0.55600000514370418</v>
      </c>
      <c r="P60" s="180">
        <v>0.53966815411802149</v>
      </c>
      <c r="Q60" s="180">
        <v>0.52278762230036002</v>
      </c>
      <c r="R60" s="180">
        <v>0.51939227266510501</v>
      </c>
      <c r="S60" s="180">
        <v>0.51436004368342192</v>
      </c>
      <c r="T60" s="180">
        <v>0.50947136993307152</v>
      </c>
      <c r="U60" s="180">
        <v>0.50492960992237357</v>
      </c>
      <c r="V60" s="180">
        <v>0.50047696297575206</v>
      </c>
      <c r="W60" s="180">
        <v>0.49747410119789753</v>
      </c>
      <c r="X60" s="180">
        <v>0.49447123942004301</v>
      </c>
      <c r="Y60" s="180">
        <v>0.49146837764218854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182.64603398032807</v>
      </c>
      <c r="D61" s="180">
        <v>181.96913089347657</v>
      </c>
      <c r="E61" s="180">
        <v>180.40829436177913</v>
      </c>
      <c r="F61" s="180">
        <v>178.18595406106471</v>
      </c>
      <c r="G61" s="180">
        <v>175.61275878457403</v>
      </c>
      <c r="H61" s="180">
        <v>173.60371835378371</v>
      </c>
      <c r="I61" s="180">
        <v>170.62840752310268</v>
      </c>
      <c r="J61" s="180">
        <v>167.4910860910783</v>
      </c>
      <c r="K61" s="180">
        <v>163.50404575920092</v>
      </c>
      <c r="L61" s="180">
        <v>159.34043436092091</v>
      </c>
      <c r="M61" s="180">
        <v>155.02728585026466</v>
      </c>
      <c r="N61" s="180">
        <v>150.07540663223247</v>
      </c>
      <c r="O61" s="180">
        <v>143.70425446625978</v>
      </c>
      <c r="P61" s="180">
        <v>137.17818602995763</v>
      </c>
      <c r="Q61" s="180">
        <v>128.69378975774353</v>
      </c>
      <c r="R61" s="180">
        <v>121.42398064007229</v>
      </c>
      <c r="S61" s="180">
        <v>115.78516771946553</v>
      </c>
      <c r="T61" s="180">
        <v>110.14040528690153</v>
      </c>
      <c r="U61" s="180">
        <v>104.49301098610623</v>
      </c>
      <c r="V61" s="180">
        <v>98.850176922918294</v>
      </c>
      <c r="W61" s="180">
        <v>96.418462570614508</v>
      </c>
      <c r="X61" s="180">
        <v>93.986748218310723</v>
      </c>
      <c r="Y61" s="180">
        <v>91.555033866006937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45.395208405169107</v>
      </c>
      <c r="D62" s="180">
        <v>43.806555690529095</v>
      </c>
      <c r="E62" s="180">
        <v>42.759566209662559</v>
      </c>
      <c r="F62" s="180">
        <v>41.671131763860068</v>
      </c>
      <c r="G62" s="180">
        <v>40.493424025554255</v>
      </c>
      <c r="H62" s="180">
        <v>39.337856178213158</v>
      </c>
      <c r="I62" s="180">
        <v>38.184714097087564</v>
      </c>
      <c r="J62" s="180">
        <v>37.13354325795811</v>
      </c>
      <c r="K62" s="180">
        <v>35.764832158776677</v>
      </c>
      <c r="L62" s="180">
        <v>34.580093613433341</v>
      </c>
      <c r="M62" s="180">
        <v>32.831695461620669</v>
      </c>
      <c r="N62" s="180">
        <v>31.389452908167836</v>
      </c>
      <c r="O62" s="180">
        <v>29.766127506087084</v>
      </c>
      <c r="P62" s="180">
        <v>27.92592333282651</v>
      </c>
      <c r="Q62" s="180">
        <v>25.48066539682636</v>
      </c>
      <c r="R62" s="180">
        <v>22.567433877987945</v>
      </c>
      <c r="S62" s="180">
        <v>21.206023336560541</v>
      </c>
      <c r="T62" s="180">
        <v>19.154094038488832</v>
      </c>
      <c r="U62" s="180">
        <v>17.524975895236544</v>
      </c>
      <c r="V62" s="180">
        <v>16.19245204132017</v>
      </c>
      <c r="W62" s="180">
        <v>15.382829439254161</v>
      </c>
      <c r="X62" s="180">
        <v>14.573206837188151</v>
      </c>
      <c r="Y62" s="180">
        <v>13.763584235122142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648.63381624167096</v>
      </c>
      <c r="D63" s="180">
        <v>629.96401248635129</v>
      </c>
      <c r="E63" s="180">
        <v>616.18061290208868</v>
      </c>
      <c r="F63" s="180">
        <v>602.36824985934265</v>
      </c>
      <c r="G63" s="180">
        <v>592.54982819874567</v>
      </c>
      <c r="H63" s="180">
        <v>581.85529036690298</v>
      </c>
      <c r="I63" s="180">
        <v>571.1383087349335</v>
      </c>
      <c r="J63" s="180">
        <v>557.00004148670712</v>
      </c>
      <c r="K63" s="180">
        <v>542.09992011113343</v>
      </c>
      <c r="L63" s="180">
        <v>527.96459436060502</v>
      </c>
      <c r="M63" s="180">
        <v>510.54851366041709</v>
      </c>
      <c r="N63" s="180">
        <v>501.84233144588137</v>
      </c>
      <c r="O63" s="180">
        <v>491.93464971479563</v>
      </c>
      <c r="P63" s="180">
        <v>472.33479148941632</v>
      </c>
      <c r="Q63" s="180">
        <v>461.76059097899252</v>
      </c>
      <c r="R63" s="180">
        <v>455.00350968494234</v>
      </c>
      <c r="S63" s="180">
        <v>446.72796618953714</v>
      </c>
      <c r="T63" s="180">
        <v>438.65902431929919</v>
      </c>
      <c r="U63" s="180">
        <v>430.93893929431459</v>
      </c>
      <c r="V63" s="180">
        <v>423.32386996509541</v>
      </c>
      <c r="W63" s="180">
        <v>414.85739256579348</v>
      </c>
      <c r="X63" s="180">
        <v>406.3909151664916</v>
      </c>
      <c r="Y63" s="180">
        <v>397.92443776718966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48.14376461229255</v>
      </c>
      <c r="D64" s="55">
        <v>47.792446925585871</v>
      </c>
      <c r="E64" s="55">
        <v>47.405701886862126</v>
      </c>
      <c r="F64" s="55">
        <v>47.003100257874038</v>
      </c>
      <c r="G64" s="55">
        <v>46.518103990720824</v>
      </c>
      <c r="H64" s="55">
        <v>45.94309229143289</v>
      </c>
      <c r="I64" s="55">
        <v>45.269377414787961</v>
      </c>
      <c r="J64" s="55">
        <v>44.656345534167443</v>
      </c>
      <c r="K64" s="55">
        <v>43.715416481913941</v>
      </c>
      <c r="L64" s="55">
        <v>42.745645662614017</v>
      </c>
      <c r="M64" s="55">
        <v>41.499985512367317</v>
      </c>
      <c r="N64" s="55">
        <v>40.135337148123206</v>
      </c>
      <c r="O64" s="55">
        <v>38.886521792450537</v>
      </c>
      <c r="P64" s="55">
        <v>37.647779394644573</v>
      </c>
      <c r="Q64" s="55">
        <v>36.465642833169944</v>
      </c>
      <c r="R64" s="55">
        <v>36.01190084673361</v>
      </c>
      <c r="S64" s="55">
        <v>35.465021945572758</v>
      </c>
      <c r="T64" s="55">
        <v>34.942829737944884</v>
      </c>
      <c r="U64" s="55">
        <v>34.437039378387361</v>
      </c>
      <c r="V64" s="55">
        <v>33.93803322050239</v>
      </c>
      <c r="W64" s="55">
        <v>33.598652888297366</v>
      </c>
      <c r="X64" s="55">
        <v>33.259272556092341</v>
      </c>
      <c r="Y64" s="55">
        <v>32.919892223887317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359.16718971133992</v>
      </c>
      <c r="D65" s="63">
        <v>345.29502865726243</v>
      </c>
      <c r="E65" s="63">
        <v>332.05786616496277</v>
      </c>
      <c r="F65" s="63">
        <v>315.5098791240103</v>
      </c>
      <c r="G65" s="63">
        <v>299.44821176288866</v>
      </c>
      <c r="H65" s="63">
        <v>282.47978988154682</v>
      </c>
      <c r="I65" s="63">
        <v>264.00502086804539</v>
      </c>
      <c r="J65" s="63">
        <v>246.0273261688628</v>
      </c>
      <c r="K65" s="63">
        <v>228.88652929904268</v>
      </c>
      <c r="L65" s="63">
        <v>207.45930206749259</v>
      </c>
      <c r="M65" s="63">
        <v>195.82542817175022</v>
      </c>
      <c r="N65" s="63">
        <v>188.1650778066832</v>
      </c>
      <c r="O65" s="63">
        <v>183.05367033263124</v>
      </c>
      <c r="P65" s="63">
        <v>179.01741457450225</v>
      </c>
      <c r="Q65" s="63">
        <v>178.23342128944</v>
      </c>
      <c r="R65" s="63">
        <v>174.31073032814285</v>
      </c>
      <c r="S65" s="63">
        <v>169.76317635502167</v>
      </c>
      <c r="T65" s="63">
        <v>165.27083489434443</v>
      </c>
      <c r="U65" s="63">
        <v>160.96396339343164</v>
      </c>
      <c r="V65" s="63">
        <v>156.70815347865994</v>
      </c>
      <c r="W65" s="63">
        <v>153.88740671604407</v>
      </c>
      <c r="X65" s="63">
        <v>151.06665995342817</v>
      </c>
      <c r="Y65" s="63">
        <v>148.2459131908123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370.7784646169481</v>
      </c>
      <c r="C68" s="187">
        <f>1000000*C20/SER_summary!C$8</f>
        <v>372.23562136242134</v>
      </c>
      <c r="D68" s="187">
        <f>1000000*D20/SER_summary!D$8</f>
        <v>376.7279044070512</v>
      </c>
      <c r="E68" s="187">
        <f>1000000*E20/SER_summary!E$8</f>
        <v>379.88861746319776</v>
      </c>
      <c r="F68" s="187">
        <f>1000000*F20/SER_summary!F$8</f>
        <v>385.32046423034791</v>
      </c>
      <c r="G68" s="187">
        <f>1000000*G20/SER_summary!G$8</f>
        <v>390.20334340319363</v>
      </c>
      <c r="H68" s="187">
        <f>1000000*H20/SER_summary!H$8</f>
        <v>396.64165534782393</v>
      </c>
      <c r="I68" s="187">
        <f>1000000*I20/SER_summary!I$8</f>
        <v>402.69265922342902</v>
      </c>
      <c r="J68" s="187">
        <f>1000000*J20/SER_summary!J$8</f>
        <v>413.29694925248805</v>
      </c>
      <c r="K68" s="187">
        <f>1000000*K20/SER_summary!K$8</f>
        <v>421.42229874516477</v>
      </c>
      <c r="L68" s="187">
        <f>1000000*L20/SER_summary!L$8</f>
        <v>434.02425532697424</v>
      </c>
      <c r="M68" s="187">
        <f>1000000*M20/SER_summary!M$8</f>
        <v>445.29153657137283</v>
      </c>
      <c r="N68" s="187">
        <f>1000000*N20/SER_summary!N$8</f>
        <v>457.01705358064299</v>
      </c>
      <c r="O68" s="187">
        <f>1000000*O20/SER_summary!O$8</f>
        <v>469.45382302898832</v>
      </c>
      <c r="P68" s="187">
        <f>1000000*P20/SER_summary!P$8</f>
        <v>483.18087504316719</v>
      </c>
      <c r="Q68" s="187">
        <f>1000000*Q20/SER_summary!Q$8</f>
        <v>497.52219999730539</v>
      </c>
      <c r="R68" s="187">
        <f>1000000*R20/SER_summary!R$8</f>
        <v>511.81704400260315</v>
      </c>
      <c r="S68" s="187">
        <f>1000000*S20/SER_summary!S$8</f>
        <v>526.16747103093019</v>
      </c>
      <c r="T68" s="187">
        <f>1000000*T20/SER_summary!T$8</f>
        <v>540.27951767871332</v>
      </c>
      <c r="U68" s="187">
        <f>1000000*U20/SER_summary!U$8</f>
        <v>553.97489107290505</v>
      </c>
      <c r="V68" s="187">
        <f>1000000*V20/SER_summary!V$8</f>
        <v>566.92172428547894</v>
      </c>
      <c r="W68" s="187">
        <f>1000000*W20/SER_summary!W$8</f>
        <v>578.82581607210818</v>
      </c>
      <c r="X68" s="187">
        <f>1000000*X20/SER_summary!X$8</f>
        <v>584.87127125135123</v>
      </c>
      <c r="Y68" s="187">
        <f>1000000*Y20/SER_summary!Y$8</f>
        <v>587.91763558714842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8.4573534801993089E-2</v>
      </c>
      <c r="C69" s="187">
        <f>1000*C21/SER_summary!C$3</f>
        <v>8.7306978692738513E-2</v>
      </c>
      <c r="D69" s="187">
        <f>1000*D21/SER_summary!D$3</f>
        <v>9.0308002327855741E-2</v>
      </c>
      <c r="E69" s="187">
        <f>1000*E21/SER_summary!E$3</f>
        <v>9.3482401735691209E-2</v>
      </c>
      <c r="F69" s="187">
        <f>1000*F21/SER_summary!F$3</f>
        <v>9.6925497626912216E-2</v>
      </c>
      <c r="G69" s="187">
        <f>1000*G21/SER_summary!G$3</f>
        <v>0.10029807554457427</v>
      </c>
      <c r="H69" s="187">
        <f>1000*H21/SER_summary!H$3</f>
        <v>0.10361851076005155</v>
      </c>
      <c r="I69" s="187">
        <f>1000*I21/SER_summary!I$3</f>
        <v>0.10645299838816646</v>
      </c>
      <c r="J69" s="187">
        <f>1000*J21/SER_summary!J$3</f>
        <v>0.10961231092701837</v>
      </c>
      <c r="K69" s="187">
        <f>1000*K21/SER_summary!K$3</f>
        <v>0.11192557764880338</v>
      </c>
      <c r="L69" s="187">
        <f>1000*L21/SER_summary!L$3</f>
        <v>0.11461966988359419</v>
      </c>
      <c r="M69" s="187">
        <f>1000*M21/SER_summary!M$3</f>
        <v>0.11888419463828202</v>
      </c>
      <c r="N69" s="187">
        <f>1000*N21/SER_summary!N$3</f>
        <v>0.12446627800547523</v>
      </c>
      <c r="O69" s="187">
        <f>1000*O21/SER_summary!O$3</f>
        <v>0.13107487346581673</v>
      </c>
      <c r="P69" s="187">
        <f>1000*P21/SER_summary!P$3</f>
        <v>0.13877906916350483</v>
      </c>
      <c r="Q69" s="187">
        <f>1000*Q21/SER_summary!Q$3</f>
        <v>0.14830263377324904</v>
      </c>
      <c r="R69" s="187">
        <f>1000*R21/SER_summary!R$3</f>
        <v>0.15473415347991712</v>
      </c>
      <c r="S69" s="187">
        <f>1000*S21/SER_summary!S$3</f>
        <v>0.16115440794020003</v>
      </c>
      <c r="T69" s="187">
        <f>1000*T21/SER_summary!T$3</f>
        <v>0.16764398539890971</v>
      </c>
      <c r="U69" s="187">
        <f>1000*U21/SER_summary!U$3</f>
        <v>0.17269652027475058</v>
      </c>
      <c r="V69" s="187">
        <f>1000*V21/SER_summary!V$3</f>
        <v>0.17693190149207222</v>
      </c>
      <c r="W69" s="187">
        <f>1000*W21/SER_summary!W$3</f>
        <v>0.18027142090957179</v>
      </c>
      <c r="X69" s="187">
        <f>1000*X21/SER_summary!X$3</f>
        <v>0.18264651824643943</v>
      </c>
      <c r="Y69" s="187">
        <f>1000*Y21/SER_summary!Y$3</f>
        <v>0.1843276808084999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165.51939258741231</v>
      </c>
      <c r="C70" s="187">
        <f>1000000*C22/SER_summary!C$8</f>
        <v>166.15866521593878</v>
      </c>
      <c r="D70" s="187">
        <f>1000000*D22/SER_summary!D$8</f>
        <v>167.30192911138033</v>
      </c>
      <c r="E70" s="187">
        <f>1000000*E22/SER_summary!E$8</f>
        <v>170.07889678082469</v>
      </c>
      <c r="F70" s="187">
        <f>1000000*F22/SER_summary!F$8</f>
        <v>173.7470350923364</v>
      </c>
      <c r="G70" s="187">
        <f>1000000*G22/SER_summary!G$8</f>
        <v>177.16662594894174</v>
      </c>
      <c r="H70" s="187">
        <f>1000000*H22/SER_summary!H$8</f>
        <v>180.90514502552151</v>
      </c>
      <c r="I70" s="187">
        <f>1000000*I22/SER_summary!I$8</f>
        <v>184.75982779151877</v>
      </c>
      <c r="J70" s="187">
        <f>1000000*J22/SER_summary!J$8</f>
        <v>189.17542967486423</v>
      </c>
      <c r="K70" s="187">
        <f>1000000*K22/SER_summary!K$8</f>
        <v>194.07739705418453</v>
      </c>
      <c r="L70" s="187">
        <f>1000000*L22/SER_summary!L$8</f>
        <v>200.91070160469067</v>
      </c>
      <c r="M70" s="187">
        <f>1000000*M22/SER_summary!M$8</f>
        <v>208.63862221762943</v>
      </c>
      <c r="N70" s="187">
        <f>1000000*N22/SER_summary!N$8</f>
        <v>217.65380922619323</v>
      </c>
      <c r="O70" s="187">
        <f>1000000*O22/SER_summary!O$8</f>
        <v>225.98605316066906</v>
      </c>
      <c r="P70" s="187">
        <f>1000000*P22/SER_summary!P$8</f>
        <v>236.68567097594968</v>
      </c>
      <c r="Q70" s="187">
        <f>1000000*Q22/SER_summary!Q$8</f>
        <v>248.77732021805946</v>
      </c>
      <c r="R70" s="187">
        <f>1000000*R22/SER_summary!R$8</f>
        <v>254.96210908076301</v>
      </c>
      <c r="S70" s="187">
        <f>1000000*S22/SER_summary!S$8</f>
        <v>261.24233284949617</v>
      </c>
      <c r="T70" s="187">
        <f>1000000*T22/SER_summary!T$8</f>
        <v>267.20820523197278</v>
      </c>
      <c r="U70" s="187">
        <f>1000000*U22/SER_summary!U$8</f>
        <v>272.60912023213609</v>
      </c>
      <c r="V70" s="187">
        <f>1000000*V22/SER_summary!V$8</f>
        <v>276.97804330130106</v>
      </c>
      <c r="W70" s="187">
        <f>1000000*W22/SER_summary!W$8</f>
        <v>279.52262851765397</v>
      </c>
      <c r="X70" s="187">
        <f>1000000*X22/SER_summary!X$8</f>
        <v>280.80367412171796</v>
      </c>
      <c r="Y70" s="187">
        <f>1000000*Y22/SER_summary!Y$8</f>
        <v>281.4463968706213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1.7952850729850225E-2</v>
      </c>
      <c r="C71" s="187">
        <f>1000*C23/SER_summary!C$3</f>
        <v>1.8776210460426965E-2</v>
      </c>
      <c r="D71" s="187">
        <f>1000*D23/SER_summary!D$3</f>
        <v>1.9640873154029816E-2</v>
      </c>
      <c r="E71" s="187">
        <f>1000*E23/SER_summary!E$3</f>
        <v>2.0555274958018819E-2</v>
      </c>
      <c r="F71" s="187">
        <f>1000*F23/SER_summary!F$3</f>
        <v>2.1581914047207763E-2</v>
      </c>
      <c r="G71" s="187">
        <f>1000*G23/SER_summary!G$3</f>
        <v>2.277497032818503E-2</v>
      </c>
      <c r="H71" s="187">
        <f>1000*H23/SER_summary!H$3</f>
        <v>2.4001263802955131E-2</v>
      </c>
      <c r="I71" s="187">
        <f>1000*I23/SER_summary!I$3</f>
        <v>2.5054662918587663E-2</v>
      </c>
      <c r="J71" s="187">
        <f>1000*J23/SER_summary!J$3</f>
        <v>2.5964352405679677E-2</v>
      </c>
      <c r="K71" s="187">
        <f>1000*K23/SER_summary!K$3</f>
        <v>2.6892421464408876E-2</v>
      </c>
      <c r="L71" s="187">
        <f>1000*L23/SER_summary!L$3</f>
        <v>2.7903313635994395E-2</v>
      </c>
      <c r="M71" s="187">
        <f>1000*M23/SER_summary!M$3</f>
        <v>2.8515412888244468E-2</v>
      </c>
      <c r="N71" s="187">
        <f>1000*N23/SER_summary!N$3</f>
        <v>2.9199681991044769E-2</v>
      </c>
      <c r="O71" s="187">
        <f>1000*O23/SER_summary!O$3</f>
        <v>2.9971382967538124E-2</v>
      </c>
      <c r="P71" s="187">
        <f>1000*P23/SER_summary!P$3</f>
        <v>3.0940763033768168E-2</v>
      </c>
      <c r="Q71" s="187">
        <f>1000*Q23/SER_summary!Q$3</f>
        <v>3.2193925019736447E-2</v>
      </c>
      <c r="R71" s="187">
        <f>1000*R23/SER_summary!R$3</f>
        <v>3.3040124211054206E-2</v>
      </c>
      <c r="S71" s="187">
        <f>1000*S23/SER_summary!S$3</f>
        <v>3.3879669562196901E-2</v>
      </c>
      <c r="T71" s="187">
        <f>1000*T23/SER_summary!T$3</f>
        <v>3.4751703774356386E-2</v>
      </c>
      <c r="U71" s="187">
        <f>1000*U23/SER_summary!U$3</f>
        <v>3.5358500989535711E-2</v>
      </c>
      <c r="V71" s="187">
        <f>1000*V23/SER_summary!V$3</f>
        <v>3.5856087514527804E-2</v>
      </c>
      <c r="W71" s="187">
        <f>1000*W23/SER_summary!W$3</f>
        <v>3.625996271507817E-2</v>
      </c>
      <c r="X71" s="187">
        <f>1000*X23/SER_summary!X$3</f>
        <v>3.6545379069575487E-2</v>
      </c>
      <c r="Y71" s="187">
        <f>1000*Y23/SER_summary!Y$3</f>
        <v>3.6746506209368507E-2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81.49650091406599</v>
      </c>
      <c r="C72" s="187">
        <f>1000000*C24/SER_summary!C$8</f>
        <v>86.214098039418275</v>
      </c>
      <c r="D72" s="187">
        <f>1000000*D24/SER_summary!D$8</f>
        <v>91.440742413130238</v>
      </c>
      <c r="E72" s="187">
        <f>1000000*E24/SER_summary!E$8</f>
        <v>97.004549597639382</v>
      </c>
      <c r="F72" s="187">
        <f>1000000*F24/SER_summary!F$8</f>
        <v>104.00764245408381</v>
      </c>
      <c r="G72" s="187">
        <f>1000000*G24/SER_summary!G$8</f>
        <v>114.92724271436794</v>
      </c>
      <c r="H72" s="187">
        <f>1000000*H24/SER_summary!H$8</f>
        <v>131.19669979183215</v>
      </c>
      <c r="I72" s="187">
        <f>1000000*I24/SER_summary!I$8</f>
        <v>144.17639712654463</v>
      </c>
      <c r="J72" s="187">
        <f>1000000*J24/SER_summary!J$8</f>
        <v>156.25638102422567</v>
      </c>
      <c r="K72" s="187">
        <f>1000000*K24/SER_summary!K$8</f>
        <v>165.27499984046474</v>
      </c>
      <c r="L72" s="187">
        <f>1000000*L24/SER_summary!L$8</f>
        <v>169.39617927160501</v>
      </c>
      <c r="M72" s="187">
        <f>1000000*M24/SER_summary!M$8</f>
        <v>171.42158804881302</v>
      </c>
      <c r="N72" s="187">
        <f>1000000*N24/SER_summary!N$8</f>
        <v>173.58469849664556</v>
      </c>
      <c r="O72" s="187">
        <f>1000000*O24/SER_summary!O$8</f>
        <v>175.00633014806405</v>
      </c>
      <c r="P72" s="187">
        <f>1000000*P24/SER_summary!P$8</f>
        <v>176.89707693847276</v>
      </c>
      <c r="Q72" s="187">
        <f>1000000*Q24/SER_summary!Q$8</f>
        <v>177.84152574481826</v>
      </c>
      <c r="R72" s="187">
        <f>1000000*R24/SER_summary!R$8</f>
        <v>182.89625592339399</v>
      </c>
      <c r="S72" s="187">
        <f>1000000*S24/SER_summary!S$8</f>
        <v>187.60626749056135</v>
      </c>
      <c r="T72" s="187">
        <f>1000000*T24/SER_summary!T$8</f>
        <v>193.91427396732902</v>
      </c>
      <c r="U72" s="187">
        <f>1000000*U24/SER_summary!U$8</f>
        <v>201.9245205345984</v>
      </c>
      <c r="V72" s="187">
        <f>1000000*V24/SER_summary!V$8</f>
        <v>209.07384907325127</v>
      </c>
      <c r="W72" s="187">
        <f>1000000*W24/SER_summary!W$8</f>
        <v>214.98810765772402</v>
      </c>
      <c r="X72" s="187">
        <f>1000000*X24/SER_summary!X$8</f>
        <v>219.83974664009918</v>
      </c>
      <c r="Y72" s="187">
        <f>1000000*Y24/SER_summary!Y$8</f>
        <v>223.79977065579962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7.8323182707332864E-2</v>
      </c>
      <c r="C73" s="52">
        <f>1000*C25/SER_summary!C$3</f>
        <v>8.5861473652226253E-2</v>
      </c>
      <c r="D73" s="52">
        <f>1000*D25/SER_summary!D$3</f>
        <v>9.3394557532154407E-2</v>
      </c>
      <c r="E73" s="52">
        <f>1000*E25/SER_summary!E$3</f>
        <v>0.10486335909858614</v>
      </c>
      <c r="F73" s="52">
        <f>1000*F25/SER_summary!F$3</f>
        <v>0.11636957283838949</v>
      </c>
      <c r="G73" s="52">
        <f>1000*G25/SER_summary!G$3</f>
        <v>0.12923657309315204</v>
      </c>
      <c r="H73" s="52">
        <f>1000*H25/SER_summary!H$3</f>
        <v>0.14456775078581399</v>
      </c>
      <c r="I73" s="52">
        <f>1000*I25/SER_summary!I$3</f>
        <v>0.16079528650832919</v>
      </c>
      <c r="J73" s="52">
        <f>1000*J25/SER_summary!J$3</f>
        <v>0.17481478802436992</v>
      </c>
      <c r="K73" s="52">
        <f>1000*K25/SER_summary!K$3</f>
        <v>0.18756807264383199</v>
      </c>
      <c r="L73" s="52">
        <f>1000*L25/SER_summary!L$3</f>
        <v>0.20073334264432685</v>
      </c>
      <c r="M73" s="52">
        <f>1000*M25/SER_summary!M$3</f>
        <v>0.21530712997269641</v>
      </c>
      <c r="N73" s="52">
        <f>1000*N25/SER_summary!N$3</f>
        <v>0.23376290880747955</v>
      </c>
      <c r="O73" s="52">
        <f>1000*O25/SER_summary!O$3</f>
        <v>0.25499748523907334</v>
      </c>
      <c r="P73" s="52">
        <f>1000*P25/SER_summary!P$3</f>
        <v>0.28134576686403873</v>
      </c>
      <c r="Q73" s="52">
        <f>1000*Q25/SER_summary!Q$3</f>
        <v>0.31397753394863703</v>
      </c>
      <c r="R73" s="52">
        <f>1000*R25/SER_summary!R$3</f>
        <v>0.33117174193197846</v>
      </c>
      <c r="S73" s="52">
        <f>1000*S25/SER_summary!S$3</f>
        <v>0.34829345878654167</v>
      </c>
      <c r="T73" s="52">
        <f>1000*T25/SER_summary!T$3</f>
        <v>0.36555654734812237</v>
      </c>
      <c r="U73" s="52">
        <f>1000*U25/SER_summary!U$3</f>
        <v>0.37991831780734708</v>
      </c>
      <c r="V73" s="52">
        <f>1000*V25/SER_summary!V$3</f>
        <v>0.39300019231044203</v>
      </c>
      <c r="W73" s="52">
        <f>1000*W25/SER_summary!W$3</f>
        <v>0.40511189860298075</v>
      </c>
      <c r="X73" s="52">
        <f>1000*X25/SER_summary!X$3</f>
        <v>0.41540630266095308</v>
      </c>
      <c r="Y73" s="52">
        <f>1000*Y25/SER_summary!Y$3</f>
        <v>0.42299880710431942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4.3676494747538648</v>
      </c>
      <c r="C3" s="198">
        <f>'SER_se-appl'!C4</f>
        <v>4.4654699872218213</v>
      </c>
      <c r="D3" s="198">
        <f>'SER_se-appl'!D4</f>
        <v>4.6383855148040389</v>
      </c>
      <c r="E3" s="198">
        <f>'SER_se-appl'!E4</f>
        <v>4.7519202378823007</v>
      </c>
      <c r="F3" s="198">
        <f>'SER_se-appl'!F4</f>
        <v>4.94589680867929</v>
      </c>
      <c r="G3" s="198">
        <f>'SER_se-appl'!G4</f>
        <v>5.1124455350252234</v>
      </c>
      <c r="H3" s="198">
        <f>'SER_se-appl'!H4</f>
        <v>5.3862369811370243</v>
      </c>
      <c r="I3" s="198">
        <f>'SER_se-appl'!I4</f>
        <v>5.7165182977501923</v>
      </c>
      <c r="J3" s="198">
        <f>'SER_se-appl'!J4</f>
        <v>5.9716785871429803</v>
      </c>
      <c r="K3" s="198">
        <f>'SER_se-appl'!K4</f>
        <v>6.0778377679211841</v>
      </c>
      <c r="L3" s="198">
        <f>'SER_se-appl'!L4</f>
        <v>6.2383834337719613</v>
      </c>
      <c r="M3" s="198">
        <f>'SER_se-appl'!M4</f>
        <v>6.3519180299929969</v>
      </c>
      <c r="N3" s="198">
        <f>'SER_se-appl'!N4</f>
        <v>6.4418630429607981</v>
      </c>
      <c r="O3" s="198">
        <f>'SER_se-appl'!O4</f>
        <v>6.5376452105728902</v>
      </c>
      <c r="P3" s="198">
        <f>'SER_se-appl'!P4</f>
        <v>6.6880708582399562</v>
      </c>
      <c r="Q3" s="198">
        <f>'SER_se-appl'!Q4</f>
        <v>6.8107797617775327</v>
      </c>
      <c r="R3" s="198">
        <f>'SER_se-appl'!R4</f>
        <v>6.944436177225108</v>
      </c>
      <c r="S3" s="198">
        <f>'SER_se-appl'!S4</f>
        <v>7.1013905121328493</v>
      </c>
      <c r="T3" s="198">
        <f>'SER_se-appl'!T4</f>
        <v>7.255281948593626</v>
      </c>
      <c r="U3" s="198">
        <f>'SER_se-appl'!U4</f>
        <v>7.4179289488441187</v>
      </c>
      <c r="V3" s="198">
        <f>'SER_se-appl'!V4</f>
        <v>7.5425129258362569</v>
      </c>
      <c r="W3" s="198">
        <f>'SER_se-appl'!W4</f>
        <v>7.6658378756887791</v>
      </c>
      <c r="X3" s="198">
        <f>'SER_se-appl'!X4</f>
        <v>7.6972079109680624</v>
      </c>
      <c r="Y3" s="198">
        <f>'SER_se-appl'!Y4</f>
        <v>7.696636207342161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5.7986031268707139</v>
      </c>
      <c r="C5" s="59">
        <f>'SER_se-appl'!C12</f>
        <v>5.9284721405696086</v>
      </c>
      <c r="D5" s="59">
        <f>'SER_se-appl'!D12</f>
        <v>6.1580392165720275</v>
      </c>
      <c r="E5" s="59">
        <f>'SER_se-appl'!E12</f>
        <v>6.3087708181017303</v>
      </c>
      <c r="F5" s="59">
        <f>'SER_se-appl'!F12</f>
        <v>6.5662990736233029</v>
      </c>
      <c r="G5" s="59">
        <f>'SER_se-appl'!G12</f>
        <v>6.7874134215003821</v>
      </c>
      <c r="H5" s="59">
        <f>'SER_se-appl'!H12</f>
        <v>7.1509059464182183</v>
      </c>
      <c r="I5" s="59">
        <f>'SER_se-appl'!I12</f>
        <v>7.5893958679035078</v>
      </c>
      <c r="J5" s="59">
        <f>'SER_se-appl'!J12</f>
        <v>7.9281531927480451</v>
      </c>
      <c r="K5" s="59">
        <f>'SER_se-appl'!K12</f>
        <v>8.0690928357218432</v>
      </c>
      <c r="L5" s="59">
        <f>'SER_se-appl'!L12</f>
        <v>8.2822373669826419</v>
      </c>
      <c r="M5" s="59">
        <f>'SER_se-appl'!M12</f>
        <v>8.4329688000934446</v>
      </c>
      <c r="N5" s="59">
        <f>'SER_se-appl'!N12</f>
        <v>8.5523820992733004</v>
      </c>
      <c r="O5" s="59">
        <f>'SER_se-appl'!O12</f>
        <v>8.6795449542194891</v>
      </c>
      <c r="P5" s="59">
        <f>'SER_se-appl'!P12</f>
        <v>8.8792538905628646</v>
      </c>
      <c r="Q5" s="59">
        <f>'SER_se-appl'!Q12</f>
        <v>9.0421653686612657</v>
      </c>
      <c r="R5" s="59">
        <f>'SER_se-appl'!R12</f>
        <v>9.2196110435077632</v>
      </c>
      <c r="S5" s="59">
        <f>'SER_se-appl'!S12</f>
        <v>9.4279876319754621</v>
      </c>
      <c r="T5" s="59">
        <f>'SER_se-appl'!T12</f>
        <v>9.6322978381442788</v>
      </c>
      <c r="U5" s="59">
        <f>'SER_se-appl'!U12</f>
        <v>9.8482321546868814</v>
      </c>
      <c r="V5" s="59">
        <f>'SER_se-appl'!V12</f>
        <v>10.013633028250645</v>
      </c>
      <c r="W5" s="59">
        <f>'SER_se-appl'!W12</f>
        <v>10.177362385189555</v>
      </c>
      <c r="X5" s="59">
        <f>'SER_se-appl'!X12</f>
        <v>10.219010046182484</v>
      </c>
      <c r="Y5" s="59">
        <f>'SER_se-appl'!Y12</f>
        <v>10.218251037829832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370.7784646169481</v>
      </c>
      <c r="C6" s="201">
        <f>'SER_se-appl'!C68</f>
        <v>372.23562136242134</v>
      </c>
      <c r="D6" s="201">
        <f>'SER_se-appl'!D68</f>
        <v>376.7279044070512</v>
      </c>
      <c r="E6" s="201">
        <f>'SER_se-appl'!E68</f>
        <v>379.88861746319776</v>
      </c>
      <c r="F6" s="201">
        <f>'SER_se-appl'!F68</f>
        <v>385.32046423034791</v>
      </c>
      <c r="G6" s="201">
        <f>'SER_se-appl'!G68</f>
        <v>390.20334340319363</v>
      </c>
      <c r="H6" s="201">
        <f>'SER_se-appl'!H68</f>
        <v>396.64165534782393</v>
      </c>
      <c r="I6" s="201">
        <f>'SER_se-appl'!I68</f>
        <v>402.69265922342902</v>
      </c>
      <c r="J6" s="201">
        <f>'SER_se-appl'!J68</f>
        <v>413.29694925248805</v>
      </c>
      <c r="K6" s="201">
        <f>'SER_se-appl'!K68</f>
        <v>421.42229874516477</v>
      </c>
      <c r="L6" s="201">
        <f>'SER_se-appl'!L68</f>
        <v>434.02425532697424</v>
      </c>
      <c r="M6" s="201">
        <f>'SER_se-appl'!M68</f>
        <v>445.29153657137283</v>
      </c>
      <c r="N6" s="201">
        <f>'SER_se-appl'!N68</f>
        <v>457.01705358064299</v>
      </c>
      <c r="O6" s="201">
        <f>'SER_se-appl'!O68</f>
        <v>469.45382302898832</v>
      </c>
      <c r="P6" s="201">
        <f>'SER_se-appl'!P68</f>
        <v>483.18087504316719</v>
      </c>
      <c r="Q6" s="201">
        <f>'SER_se-appl'!Q68</f>
        <v>497.52219999730539</v>
      </c>
      <c r="R6" s="201">
        <f>'SER_se-appl'!R68</f>
        <v>511.81704400260315</v>
      </c>
      <c r="S6" s="201">
        <f>'SER_se-appl'!S68</f>
        <v>526.16747103093019</v>
      </c>
      <c r="T6" s="201">
        <f>'SER_se-appl'!T68</f>
        <v>540.27951767871332</v>
      </c>
      <c r="U6" s="201">
        <f>'SER_se-appl'!U68</f>
        <v>553.97489107290505</v>
      </c>
      <c r="V6" s="201">
        <f>'SER_se-appl'!V68</f>
        <v>566.92172428547894</v>
      </c>
      <c r="W6" s="201">
        <f>'SER_se-appl'!W68</f>
        <v>578.82581607210818</v>
      </c>
      <c r="X6" s="201">
        <f>'SER_se-appl'!X68</f>
        <v>584.87127125135123</v>
      </c>
      <c r="Y6" s="201">
        <f>'SER_se-appl'!Y68</f>
        <v>587.91763558714842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7.5795150796533317</v>
      </c>
      <c r="C8" s="34">
        <f>'SER_se-appl'!C20</f>
        <v>7.8096794462846262</v>
      </c>
      <c r="D8" s="34">
        <f>'SER_se-appl'!D20</f>
        <v>8.195367995504645</v>
      </c>
      <c r="E8" s="34">
        <f>'SER_se-appl'!E20</f>
        <v>8.4729556363816076</v>
      </c>
      <c r="F8" s="34">
        <f>'SER_se-appl'!F20</f>
        <v>8.9234670999289971</v>
      </c>
      <c r="G8" s="34">
        <f>'SER_se-appl'!G20</f>
        <v>9.3305759593467794</v>
      </c>
      <c r="H8" s="34">
        <f>'SER_se-appl'!H20</f>
        <v>9.9707935521583622</v>
      </c>
      <c r="I8" s="34">
        <f>'SER_se-appl'!I20</f>
        <v>10.747014021776161</v>
      </c>
      <c r="J8" s="34">
        <f>'SER_se-appl'!J20</f>
        <v>11.383888378621174</v>
      </c>
      <c r="K8" s="34">
        <f>'SER_se-appl'!K20</f>
        <v>11.7180183745675</v>
      </c>
      <c r="L8" s="34">
        <f>'SER_se-appl'!L20</f>
        <v>12.193183913289195</v>
      </c>
      <c r="M8" s="34">
        <f>'SER_se-appl'!M20</f>
        <v>12.583399162185646</v>
      </c>
      <c r="N8" s="34">
        <f>'SER_se-appl'!N20</f>
        <v>12.944701021929768</v>
      </c>
      <c r="O8" s="34">
        <f>'SER_se-appl'!O20</f>
        <v>13.34614438138882</v>
      </c>
      <c r="P8" s="34">
        <f>'SER_se-appl'!P20</f>
        <v>13.913494670867776</v>
      </c>
      <c r="Q8" s="34">
        <f>'SER_se-appl'!Q20</f>
        <v>14.450224276278632</v>
      </c>
      <c r="R8" s="34">
        <f>'SER_se-appl'!R20</f>
        <v>15.028120185667182</v>
      </c>
      <c r="S8" s="34">
        <f>'SER_se-appl'!S20</f>
        <v>15.683578146115304</v>
      </c>
      <c r="T8" s="34">
        <f>'SER_se-appl'!T20</f>
        <v>16.349561371932179</v>
      </c>
      <c r="U8" s="34">
        <f>'SER_se-appl'!U20</f>
        <v>16.973601304901784</v>
      </c>
      <c r="V8" s="34">
        <f>'SER_se-appl'!V20</f>
        <v>17.555792595950322</v>
      </c>
      <c r="W8" s="34">
        <f>'SER_se-appl'!W20</f>
        <v>18.097278907169674</v>
      </c>
      <c r="X8" s="34">
        <f>'SER_se-appl'!X20</f>
        <v>18.44739468900811</v>
      </c>
      <c r="Y8" s="34">
        <f>'SER_se-appl'!Y20</f>
        <v>18.693238954074612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0.55891315379099904</v>
      </c>
      <c r="D9" s="36">
        <f>'SER_se-appl'!D28</f>
        <v>0.72373619119924637</v>
      </c>
      <c r="E9" s="36">
        <f>'SER_se-appl'!E28</f>
        <v>0.6251971613105729</v>
      </c>
      <c r="F9" s="36">
        <f>'SER_se-appl'!F28</f>
        <v>0.80795332585006818</v>
      </c>
      <c r="G9" s="36">
        <f>'SER_se-appl'!G28</f>
        <v>0.77466117722263661</v>
      </c>
      <c r="H9" s="36">
        <f>'SER_se-appl'!H28</f>
        <v>1.0181663463611148</v>
      </c>
      <c r="I9" s="36">
        <f>'SER_se-appl'!I28</f>
        <v>1.1648597282756263</v>
      </c>
      <c r="J9" s="36">
        <f>'SER_se-appl'!J28</f>
        <v>1.0365065079014677</v>
      </c>
      <c r="K9" s="36">
        <f>'SER_se-appl'!K28</f>
        <v>0.74506597989595669</v>
      </c>
      <c r="L9" s="36">
        <f>'SER_se-appl'!L28</f>
        <v>0.89772509119572952</v>
      </c>
      <c r="M9" s="36">
        <f>'SER_se-appl'!M28</f>
        <v>0.82472714943846448</v>
      </c>
      <c r="N9" s="36">
        <f>'SER_se-appl'!N28</f>
        <v>0.8081041876224706</v>
      </c>
      <c r="O9" s="36">
        <f>'SER_se-appl'!O28</f>
        <v>0.86088375671512019</v>
      </c>
      <c r="P9" s="36">
        <f>'SER_se-appl'!P28</f>
        <v>1.0397862314158708</v>
      </c>
      <c r="Q9" s="36">
        <f>'SER_se-appl'!Q28</f>
        <v>1.0225286787331402</v>
      </c>
      <c r="R9" s="36">
        <f>'SER_se-appl'!R28</f>
        <v>1.0774360982091178</v>
      </c>
      <c r="S9" s="36">
        <f>'SER_se-appl'!S28</f>
        <v>1.1691279403851595</v>
      </c>
      <c r="T9" s="36">
        <f>'SER_se-appl'!T28</f>
        <v>1.1941826664094179</v>
      </c>
      <c r="U9" s="36">
        <f>'SER_se-appl'!U28</f>
        <v>1.1829530867606053</v>
      </c>
      <c r="V9" s="36">
        <f>'SER_se-appl'!V28</f>
        <v>1.3059274822477853</v>
      </c>
      <c r="W9" s="36">
        <f>'SER_se-appl'!W28</f>
        <v>1.1666834725299253</v>
      </c>
      <c r="X9" s="36">
        <f>'SER_se-appl'!X28</f>
        <v>1.1580691076885046</v>
      </c>
      <c r="Y9" s="36">
        <f>'SER_se-appl'!Y28</f>
        <v>1.0205054422891386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0.32874878715970368</v>
      </c>
      <c r="D10" s="38">
        <f>'SER_se-appl'!D36</f>
        <v>0.33804764197922843</v>
      </c>
      <c r="E10" s="38">
        <f>'SER_se-appl'!E36</f>
        <v>0.34760952043360938</v>
      </c>
      <c r="F10" s="38">
        <f>'SER_se-appl'!F36</f>
        <v>0.35744186230267871</v>
      </c>
      <c r="G10" s="38">
        <f>'SER_se-appl'!G36</f>
        <v>0.36755231780485431</v>
      </c>
      <c r="H10" s="38">
        <f>'SER_se-appl'!H36</f>
        <v>0.37794875354953206</v>
      </c>
      <c r="I10" s="38">
        <f>'SER_se-appl'!I36</f>
        <v>0.38863925865782711</v>
      </c>
      <c r="J10" s="38">
        <f>'SER_se-appl'!J36</f>
        <v>0.39963215105645489</v>
      </c>
      <c r="K10" s="38">
        <f>'SER_se-appl'!K36</f>
        <v>0.41093598394963138</v>
      </c>
      <c r="L10" s="38">
        <f>'SER_se-appl'!L36</f>
        <v>0.42255955247403421</v>
      </c>
      <c r="M10" s="38">
        <f>'SER_se-appl'!M36</f>
        <v>0.43451190054201305</v>
      </c>
      <c r="N10" s="38">
        <f>'SER_se-appl'!N36</f>
        <v>0.44680232787834839</v>
      </c>
      <c r="O10" s="38">
        <f>'SER_se-appl'!O36</f>
        <v>0.45944039725606878</v>
      </c>
      <c r="P10" s="38">
        <f>'SER_se-appl'!P36</f>
        <v>0.47243594193691507</v>
      </c>
      <c r="Q10" s="38">
        <f>'SER_se-appl'!Q36</f>
        <v>0.48579907332228345</v>
      </c>
      <c r="R10" s="38">
        <f>'SER_se-appl'!R36</f>
        <v>0.49954018882056772</v>
      </c>
      <c r="S10" s="38">
        <f>'SER_se-appl'!S36</f>
        <v>0.51366997993704011</v>
      </c>
      <c r="T10" s="38">
        <f>'SER_se-appl'!T36</f>
        <v>0.52819944059254098</v>
      </c>
      <c r="U10" s="38">
        <f>'SER_se-appl'!U36</f>
        <v>0.55891315379099993</v>
      </c>
      <c r="V10" s="38">
        <f>'SER_se-appl'!V36</f>
        <v>0.72373619119924726</v>
      </c>
      <c r="W10" s="38">
        <f>'SER_se-appl'!W36</f>
        <v>0.62519716131057379</v>
      </c>
      <c r="X10" s="38">
        <f>'SER_se-appl'!X36</f>
        <v>0.80795332585006818</v>
      </c>
      <c r="Y10" s="38">
        <f>'SER_se-appl'!Y36</f>
        <v>0.77466117722263661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</v>
      </c>
      <c r="C12" s="204">
        <f>'SER_se-appl'!C44</f>
        <v>8760.0000000000018</v>
      </c>
      <c r="D12" s="204">
        <f>'SER_se-appl'!D44</f>
        <v>8760.0000000000018</v>
      </c>
      <c r="E12" s="204">
        <f>'SER_se-appl'!E44</f>
        <v>8760</v>
      </c>
      <c r="F12" s="204">
        <f>'SER_se-appl'!F44</f>
        <v>8760.0000000000018</v>
      </c>
      <c r="G12" s="204">
        <f>'SER_se-appl'!G44</f>
        <v>8760</v>
      </c>
      <c r="H12" s="204">
        <f>'SER_se-appl'!H44</f>
        <v>8760</v>
      </c>
      <c r="I12" s="204">
        <f>'SER_se-appl'!I44</f>
        <v>8760.0000000000018</v>
      </c>
      <c r="J12" s="204">
        <f>'SER_se-appl'!J44</f>
        <v>8759.9999999999982</v>
      </c>
      <c r="K12" s="204">
        <f>'SER_se-appl'!K44</f>
        <v>8760.0000000000018</v>
      </c>
      <c r="L12" s="204">
        <f>'SER_se-appl'!L44</f>
        <v>8759.9999999999964</v>
      </c>
      <c r="M12" s="204">
        <f>'SER_se-appl'!M44</f>
        <v>8759.9999999999982</v>
      </c>
      <c r="N12" s="204">
        <f>'SER_se-appl'!N44</f>
        <v>8759.9999999999964</v>
      </c>
      <c r="O12" s="204">
        <f>'SER_se-appl'!O44</f>
        <v>8759.9999999999982</v>
      </c>
      <c r="P12" s="204">
        <f>'SER_se-appl'!P44</f>
        <v>8760</v>
      </c>
      <c r="Q12" s="204">
        <f>'SER_se-appl'!Q44</f>
        <v>8760.0000000000018</v>
      </c>
      <c r="R12" s="204">
        <f>'SER_se-appl'!R44</f>
        <v>8760</v>
      </c>
      <c r="S12" s="204">
        <f>'SER_se-appl'!S44</f>
        <v>8760</v>
      </c>
      <c r="T12" s="204">
        <f>'SER_se-appl'!T44</f>
        <v>8759.9999999999982</v>
      </c>
      <c r="U12" s="204">
        <f>'SER_se-appl'!U44</f>
        <v>8760.0000000000018</v>
      </c>
      <c r="V12" s="204">
        <f>'SER_se-appl'!V44</f>
        <v>8760.0000000000018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0.76503616206749836</v>
      </c>
      <c r="C14" s="59">
        <f>'SER_se-appl'!C52</f>
        <v>0.75911849920933916</v>
      </c>
      <c r="D14" s="59">
        <f>'SER_se-appl'!D52</f>
        <v>0.7514048447793753</v>
      </c>
      <c r="E14" s="59">
        <f>'SER_se-appl'!E52</f>
        <v>0.74457734571544432</v>
      </c>
      <c r="F14" s="59">
        <f>'SER_se-appl'!F52</f>
        <v>0.73584616832122907</v>
      </c>
      <c r="G14" s="59">
        <f>'SER_se-appl'!G52</f>
        <v>0.72743777566069556</v>
      </c>
      <c r="H14" s="59">
        <f>'SER_se-appl'!H52</f>
        <v>0.71718523796636757</v>
      </c>
      <c r="I14" s="59">
        <f>'SER_se-appl'!I52</f>
        <v>0.70618646747138114</v>
      </c>
      <c r="J14" s="59">
        <f>'SER_se-appl'!J52</f>
        <v>0.69643630796987044</v>
      </c>
      <c r="K14" s="59">
        <f>'SER_se-appl'!K52</f>
        <v>0.6886055796972298</v>
      </c>
      <c r="L14" s="59">
        <f>'SER_se-appl'!L52</f>
        <v>0.67925141012233381</v>
      </c>
      <c r="M14" s="59">
        <f>'SER_se-appl'!M52</f>
        <v>0.67016620003880556</v>
      </c>
      <c r="N14" s="59">
        <f>'SER_se-appl'!N52</f>
        <v>0.66068595055108736</v>
      </c>
      <c r="O14" s="59">
        <f>'SER_se-appl'!O52</f>
        <v>0.6503410053260853</v>
      </c>
      <c r="P14" s="59">
        <f>'SER_se-appl'!P52</f>
        <v>0.63817567768609151</v>
      </c>
      <c r="Q14" s="59">
        <f>'SER_se-appl'!Q52</f>
        <v>0.62574567673007053</v>
      </c>
      <c r="R14" s="59">
        <f>'SER_se-appl'!R52</f>
        <v>0.61349063819045124</v>
      </c>
      <c r="S14" s="59">
        <f>'SER_se-appl'!S52</f>
        <v>0.60113754298541233</v>
      </c>
      <c r="T14" s="59">
        <f>'SER_se-appl'!T52</f>
        <v>0.58914717153699037</v>
      </c>
      <c r="U14" s="59">
        <f>'SER_se-appl'!U52</f>
        <v>0.58020875934223948</v>
      </c>
      <c r="V14" s="59">
        <f>'SER_se-appl'!V52</f>
        <v>0.5703891164993905</v>
      </c>
      <c r="W14" s="59">
        <f>'SER_se-appl'!W52</f>
        <v>0.56236975942043688</v>
      </c>
      <c r="X14" s="59">
        <f>'SER_se-appl'!X52</f>
        <v>0.55395410671575684</v>
      </c>
      <c r="Y14" s="59">
        <f>'SER_se-appl'!Y52</f>
        <v>0.54662817197886049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0.68234880772641737</v>
      </c>
      <c r="D15" s="63">
        <f>'SER_se-appl'!D60</f>
        <v>0.67453549035490512</v>
      </c>
      <c r="E15" s="63">
        <f>'SER_se-appl'!E60</f>
        <v>0.66645448943964924</v>
      </c>
      <c r="F15" s="63">
        <f>'SER_se-appl'!F60</f>
        <v>0.65719663380457005</v>
      </c>
      <c r="G15" s="63">
        <f>'SER_se-appl'!G60</f>
        <v>0.64841917630416701</v>
      </c>
      <c r="H15" s="63">
        <f>'SER_se-appl'!H60</f>
        <v>0.64099249707482808</v>
      </c>
      <c r="I15" s="63">
        <f>'SER_se-appl'!I60</f>
        <v>0.63167520560340595</v>
      </c>
      <c r="J15" s="63">
        <f>'SER_se-appl'!J60</f>
        <v>0.62179095549761099</v>
      </c>
      <c r="K15" s="63">
        <f>'SER_se-appl'!K60</f>
        <v>0.611114375472676</v>
      </c>
      <c r="L15" s="63">
        <f>'SER_se-appl'!L60</f>
        <v>0.59753021809383655</v>
      </c>
      <c r="M15" s="63">
        <f>'SER_se-appl'!M60</f>
        <v>0.58582859822558409</v>
      </c>
      <c r="N15" s="63">
        <f>'SER_se-appl'!N60</f>
        <v>0.5707596178405292</v>
      </c>
      <c r="O15" s="63">
        <f>'SER_se-appl'!O60</f>
        <v>0.55600000514370418</v>
      </c>
      <c r="P15" s="63">
        <f>'SER_se-appl'!P60</f>
        <v>0.53966815411802149</v>
      </c>
      <c r="Q15" s="63">
        <f>'SER_se-appl'!Q60</f>
        <v>0.52278762230036002</v>
      </c>
      <c r="R15" s="63">
        <f>'SER_se-appl'!R60</f>
        <v>0.51939227266510501</v>
      </c>
      <c r="S15" s="63">
        <f>'SER_se-appl'!S60</f>
        <v>0.51436004368342192</v>
      </c>
      <c r="T15" s="63">
        <f>'SER_se-appl'!T60</f>
        <v>0.50947136993307152</v>
      </c>
      <c r="U15" s="63">
        <f>'SER_se-appl'!U60</f>
        <v>0.50492960992237357</v>
      </c>
      <c r="V15" s="63">
        <f>'SER_se-appl'!V60</f>
        <v>0.50047696297575206</v>
      </c>
      <c r="W15" s="63">
        <f>'SER_se-appl'!W60</f>
        <v>0.49747410119789753</v>
      </c>
      <c r="X15" s="63">
        <f>'SER_se-appl'!X60</f>
        <v>0.49447123942004301</v>
      </c>
      <c r="Y15" s="63">
        <f>'SER_se-appl'!Y60</f>
        <v>0.49146837764218854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10.752080374934977</v>
      </c>
      <c r="C3" s="198">
        <f>'SER_se-appl'!C5</f>
        <v>11.004117286590976</v>
      </c>
      <c r="D3" s="198">
        <f>'SER_se-appl'!D5</f>
        <v>11.28644482086233</v>
      </c>
      <c r="E3" s="198">
        <f>'SER_se-appl'!E5</f>
        <v>11.565206031810511</v>
      </c>
      <c r="F3" s="198">
        <f>'SER_se-appl'!F5</f>
        <v>11.872456476395641</v>
      </c>
      <c r="G3" s="198">
        <f>'SER_se-appl'!G5</f>
        <v>12.138469956803506</v>
      </c>
      <c r="H3" s="198">
        <f>'SER_se-appl'!H5</f>
        <v>12.386217295796152</v>
      </c>
      <c r="I3" s="198">
        <f>'SER_se-appl'!I5</f>
        <v>12.548238174795229</v>
      </c>
      <c r="J3" s="198">
        <f>'SER_se-appl'!J5</f>
        <v>12.787189550991197</v>
      </c>
      <c r="K3" s="198">
        <f>'SER_se-appl'!K5</f>
        <v>13.012102665232893</v>
      </c>
      <c r="L3" s="198">
        <f>'SER_se-appl'!L5</f>
        <v>13.191869460336088</v>
      </c>
      <c r="M3" s="198">
        <f>'SER_se-appl'!M5</f>
        <v>13.392333532271769</v>
      </c>
      <c r="N3" s="198">
        <f>'SER_se-appl'!N5</f>
        <v>13.631084544011131</v>
      </c>
      <c r="O3" s="198">
        <f>'SER_se-appl'!O5</f>
        <v>13.879229245307581</v>
      </c>
      <c r="P3" s="198">
        <f>'SER_se-appl'!P5</f>
        <v>14.153799500864279</v>
      </c>
      <c r="Q3" s="198">
        <f>'SER_se-appl'!Q5</f>
        <v>14.474072264473998</v>
      </c>
      <c r="R3" s="198">
        <f>'SER_se-appl'!R5</f>
        <v>14.76363098867321</v>
      </c>
      <c r="S3" s="198">
        <f>'SER_se-appl'!S5</f>
        <v>14.367583637033741</v>
      </c>
      <c r="T3" s="198">
        <f>'SER_se-appl'!T5</f>
        <v>14.127594928637937</v>
      </c>
      <c r="U3" s="198">
        <f>'SER_se-appl'!U5</f>
        <v>13.911507510036088</v>
      </c>
      <c r="V3" s="198">
        <f>'SER_se-appl'!V5</f>
        <v>13.575362274459916</v>
      </c>
      <c r="W3" s="198">
        <f>'SER_se-appl'!W5</f>
        <v>13.246912096130947</v>
      </c>
      <c r="X3" s="198">
        <f>'SER_se-appl'!X5</f>
        <v>12.777939739477262</v>
      </c>
      <c r="Y3" s="198">
        <f>'SER_se-appl'!Y5</f>
        <v>12.445149159656872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32.923081254034862</v>
      </c>
      <c r="C5" s="59">
        <f>'SER_se-appl'!C13</f>
        <v>33.674512206288874</v>
      </c>
      <c r="D5" s="59">
        <f>'SER_se-appl'!D13</f>
        <v>34.520779058998208</v>
      </c>
      <c r="E5" s="59">
        <f>'SER_se-appl'!E13</f>
        <v>35.32564558361485</v>
      </c>
      <c r="F5" s="59">
        <f>'SER_se-appl'!F13</f>
        <v>36.151305337433477</v>
      </c>
      <c r="G5" s="59">
        <f>'SER_se-appl'!G13</f>
        <v>36.849196877575636</v>
      </c>
      <c r="H5" s="59">
        <f>'SER_se-appl'!H13</f>
        <v>37.525495333081395</v>
      </c>
      <c r="I5" s="59">
        <f>'SER_se-appl'!I13</f>
        <v>37.93723140513135</v>
      </c>
      <c r="J5" s="59">
        <f>'SER_se-appl'!J13</f>
        <v>38.594017757559648</v>
      </c>
      <c r="K5" s="59">
        <f>'SER_se-appl'!K13</f>
        <v>39.235665247572996</v>
      </c>
      <c r="L5" s="59">
        <f>'SER_se-appl'!L13</f>
        <v>39.756312417127603</v>
      </c>
      <c r="M5" s="59">
        <f>'SER_se-appl'!M13</f>
        <v>40.452393425103303</v>
      </c>
      <c r="N5" s="59">
        <f>'SER_se-appl'!N13</f>
        <v>41.456690823534871</v>
      </c>
      <c r="O5" s="59">
        <f>'SER_se-appl'!O13</f>
        <v>42.476758001788419</v>
      </c>
      <c r="P5" s="59">
        <f>'SER_se-appl'!P13</f>
        <v>43.572402083620041</v>
      </c>
      <c r="Q5" s="59">
        <f>'SER_se-appl'!Q13</f>
        <v>44.849795310136514</v>
      </c>
      <c r="R5" s="59">
        <f>'SER_se-appl'!R13</f>
        <v>44.993858793676026</v>
      </c>
      <c r="S5" s="59">
        <f>'SER_se-appl'!S13</f>
        <v>44.969630918626109</v>
      </c>
      <c r="T5" s="59">
        <f>'SER_se-appl'!T13</f>
        <v>44.666863691838614</v>
      </c>
      <c r="U5" s="59">
        <f>'SER_se-appl'!U13</f>
        <v>44.009476502317952</v>
      </c>
      <c r="V5" s="59">
        <f>'SER_se-appl'!V13</f>
        <v>43.021255504661532</v>
      </c>
      <c r="W5" s="59">
        <f>'SER_se-appl'!W13</f>
        <v>41.89597834748507</v>
      </c>
      <c r="X5" s="59">
        <f>'SER_se-appl'!X13</f>
        <v>40.497826292367442</v>
      </c>
      <c r="Y5" s="59">
        <f>'SER_se-appl'!Y13</f>
        <v>39.526294621849587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8.4573534801993089E-2</v>
      </c>
      <c r="C6" s="201">
        <f>'SER_se-appl'!C69</f>
        <v>8.7306978692738513E-2</v>
      </c>
      <c r="D6" s="201">
        <f>'SER_se-appl'!D69</f>
        <v>9.0308002327855741E-2</v>
      </c>
      <c r="E6" s="201">
        <f>'SER_se-appl'!E69</f>
        <v>9.3482401735691209E-2</v>
      </c>
      <c r="F6" s="201">
        <f>'SER_se-appl'!F69</f>
        <v>9.6925497626912216E-2</v>
      </c>
      <c r="G6" s="201">
        <f>'SER_se-appl'!G69</f>
        <v>0.10029807554457427</v>
      </c>
      <c r="H6" s="201">
        <f>'SER_se-appl'!H69</f>
        <v>0.10361851076005155</v>
      </c>
      <c r="I6" s="201">
        <f>'SER_se-appl'!I69</f>
        <v>0.10645299838816646</v>
      </c>
      <c r="J6" s="201">
        <f>'SER_se-appl'!J69</f>
        <v>0.10961231092701837</v>
      </c>
      <c r="K6" s="201">
        <f>'SER_se-appl'!K69</f>
        <v>0.11192557764880338</v>
      </c>
      <c r="L6" s="201">
        <f>'SER_se-appl'!L69</f>
        <v>0.11461966988359419</v>
      </c>
      <c r="M6" s="201">
        <f>'SER_se-appl'!M69</f>
        <v>0.11888419463828202</v>
      </c>
      <c r="N6" s="201">
        <f>'SER_se-appl'!N69</f>
        <v>0.12446627800547523</v>
      </c>
      <c r="O6" s="201">
        <f>'SER_se-appl'!O69</f>
        <v>0.13107487346581673</v>
      </c>
      <c r="P6" s="201">
        <f>'SER_se-appl'!P69</f>
        <v>0.13877906916350483</v>
      </c>
      <c r="Q6" s="201">
        <f>'SER_se-appl'!Q69</f>
        <v>0.14830263377324904</v>
      </c>
      <c r="R6" s="201">
        <f>'SER_se-appl'!R69</f>
        <v>0.15473415347991712</v>
      </c>
      <c r="S6" s="201">
        <f>'SER_se-appl'!S69</f>
        <v>0.16115440794020003</v>
      </c>
      <c r="T6" s="201">
        <f>'SER_se-appl'!T69</f>
        <v>0.16764398539890971</v>
      </c>
      <c r="U6" s="201">
        <f>'SER_se-appl'!U69</f>
        <v>0.17269652027475058</v>
      </c>
      <c r="V6" s="201">
        <f>'SER_se-appl'!V69</f>
        <v>0.17693190149207222</v>
      </c>
      <c r="W6" s="201">
        <f>'SER_se-appl'!W69</f>
        <v>0.18027142090957179</v>
      </c>
      <c r="X6" s="201">
        <f>'SER_se-appl'!X69</f>
        <v>0.18264651824643943</v>
      </c>
      <c r="Y6" s="201">
        <f>'SER_se-appl'!Y69</f>
        <v>0.1843276808084999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168.11146667033577</v>
      </c>
      <c r="C8" s="34">
        <f>'SER_se-appl'!C21</f>
        <v>173.74909445454676</v>
      </c>
      <c r="D8" s="34">
        <f>'SER_se-appl'!D21</f>
        <v>180.07650464980489</v>
      </c>
      <c r="E8" s="34">
        <f>'SER_se-appl'!E21</f>
        <v>186.50047638196122</v>
      </c>
      <c r="F8" s="34">
        <f>'SER_se-appl'!F21</f>
        <v>193.50526200378926</v>
      </c>
      <c r="G8" s="34">
        <f>'SER_se-appl'!G21</f>
        <v>200.35443272708613</v>
      </c>
      <c r="H8" s="34">
        <f>'SER_se-appl'!H21</f>
        <v>207.58497247923535</v>
      </c>
      <c r="I8" s="34">
        <f>'SER_se-appl'!I21</f>
        <v>214.01065954060692</v>
      </c>
      <c r="J8" s="34">
        <f>'SER_se-appl'!J21</f>
        <v>220.35023067494629</v>
      </c>
      <c r="K8" s="34">
        <f>'SER_se-appl'!K21</f>
        <v>227.47329084147734</v>
      </c>
      <c r="L8" s="34">
        <f>'SER_se-appl'!L21</f>
        <v>234.62371337964009</v>
      </c>
      <c r="M8" s="34">
        <f>'SER_se-appl'!M21</f>
        <v>243.73506812126479</v>
      </c>
      <c r="N8" s="34">
        <f>'SER_se-appl'!N21</f>
        <v>255.83993657514233</v>
      </c>
      <c r="O8" s="34">
        <f>'SER_se-appl'!O21</f>
        <v>269.85970206376624</v>
      </c>
      <c r="P8" s="34">
        <f>'SER_se-appl'!P21</f>
        <v>286.03545776686235</v>
      </c>
      <c r="Q8" s="34">
        <f>'SER_se-appl'!Q21</f>
        <v>305.92964734235733</v>
      </c>
      <c r="R8" s="34">
        <f>'SER_se-appl'!R21</f>
        <v>319.40038280340315</v>
      </c>
      <c r="S8" s="34">
        <f>'SER_se-appl'!S21</f>
        <v>332.92808559161955</v>
      </c>
      <c r="T8" s="34">
        <f>'SER_se-appl'!T21</f>
        <v>346.50000054129845</v>
      </c>
      <c r="U8" s="34">
        <f>'SER_se-appl'!U21</f>
        <v>359.36557061189069</v>
      </c>
      <c r="V8" s="34">
        <f>'SER_se-appl'!V21</f>
        <v>370.82467199307598</v>
      </c>
      <c r="W8" s="34">
        <f>'SER_se-appl'!W21</f>
        <v>380.18828045560599</v>
      </c>
      <c r="X8" s="34">
        <f>'SER_se-appl'!X21</f>
        <v>384.86909031853224</v>
      </c>
      <c r="Y8" s="34">
        <f>'SER_se-appl'!Y21</f>
        <v>390.21653909653162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26.726274822837127</v>
      </c>
      <c r="D9" s="36">
        <f>'SER_se-appl'!D29</f>
        <v>28.323815546881491</v>
      </c>
      <c r="E9" s="36">
        <f>'SER_se-appl'!E29</f>
        <v>29.367209745800153</v>
      </c>
      <c r="F9" s="36">
        <f>'SER_se-appl'!F29</f>
        <v>30.935612597239412</v>
      </c>
      <c r="G9" s="36">
        <f>'SER_se-appl'!G29</f>
        <v>31.81009731031628</v>
      </c>
      <c r="H9" s="36">
        <f>'SER_se-appl'!H29</f>
        <v>33.265906466502457</v>
      </c>
      <c r="I9" s="36">
        <f>'SER_se-appl'!I29</f>
        <v>33.581743051030031</v>
      </c>
      <c r="J9" s="36">
        <f>'SER_se-appl'!J29</f>
        <v>33.065845957176492</v>
      </c>
      <c r="K9" s="36">
        <f>'SER_se-appl'!K29</f>
        <v>35.446875713412538</v>
      </c>
      <c r="L9" s="36">
        <f>'SER_se-appl'!L29</f>
        <v>36.517632283962911</v>
      </c>
      <c r="M9" s="36">
        <f>'SER_se-appl'!M29</f>
        <v>40.046967338864107</v>
      </c>
      <c r="N9" s="36">
        <f>'SER_se-appl'!N29</f>
        <v>43.914965764193823</v>
      </c>
      <c r="O9" s="36">
        <f>'SER_se-appl'!O29</f>
        <v>47.285671955126361</v>
      </c>
      <c r="P9" s="36">
        <f>'SER_se-appl'!P29</f>
        <v>49.757498754126146</v>
      </c>
      <c r="Q9" s="36">
        <f>'SER_se-appl'!Q29</f>
        <v>52.960035532671469</v>
      </c>
      <c r="R9" s="36">
        <f>'SER_se-appl'!R29</f>
        <v>48.917611174458386</v>
      </c>
      <c r="S9" s="36">
        <f>'SER_se-appl'!S29</f>
        <v>50.045335072179284</v>
      </c>
      <c r="T9" s="36">
        <f>'SER_se-appl'!T29</f>
        <v>53.618882288543034</v>
      </c>
      <c r="U9" s="36">
        <f>'SER_se-appl'!U29</f>
        <v>56.780535834786065</v>
      </c>
      <c r="V9" s="36">
        <f>'SER_se-appl'!V29</f>
        <v>58.744773336311653</v>
      </c>
      <c r="W9" s="36">
        <f>'SER_se-appl'!W29</f>
        <v>59.121107216656128</v>
      </c>
      <c r="X9" s="36">
        <f>'SER_se-appl'!X29</f>
        <v>57.640845395597694</v>
      </c>
      <c r="Y9" s="36">
        <f>'SER_se-appl'!Y29</f>
        <v>54.265059952457761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21.088647038626135</v>
      </c>
      <c r="D10" s="38">
        <f>'SER_se-appl'!D37</f>
        <v>21.996405351623366</v>
      </c>
      <c r="E10" s="38">
        <f>'SER_se-appl'!E37</f>
        <v>22.943238013643821</v>
      </c>
      <c r="F10" s="38">
        <f>'SER_se-appl'!F37</f>
        <v>23.930826975411378</v>
      </c>
      <c r="G10" s="38">
        <f>'SER_se-appl'!G37</f>
        <v>24.960926587019401</v>
      </c>
      <c r="H10" s="38">
        <f>'SER_se-appl'!H37</f>
        <v>26.035366714353245</v>
      </c>
      <c r="I10" s="38">
        <f>'SER_se-appl'!I37</f>
        <v>27.156055989658455</v>
      </c>
      <c r="J10" s="38">
        <f>'SER_se-appl'!J37</f>
        <v>26.726274822837127</v>
      </c>
      <c r="K10" s="38">
        <f>'SER_se-appl'!K37</f>
        <v>28.323815546881491</v>
      </c>
      <c r="L10" s="38">
        <f>'SER_se-appl'!L37</f>
        <v>29.367209745800153</v>
      </c>
      <c r="M10" s="38">
        <f>'SER_se-appl'!M37</f>
        <v>30.935612597239384</v>
      </c>
      <c r="N10" s="38">
        <f>'SER_se-appl'!N37</f>
        <v>31.810097310316252</v>
      </c>
      <c r="O10" s="38">
        <f>'SER_se-appl'!O37</f>
        <v>33.265906466502429</v>
      </c>
      <c r="P10" s="38">
        <f>'SER_se-appl'!P37</f>
        <v>33.581743051030003</v>
      </c>
      <c r="Q10" s="38">
        <f>'SER_se-appl'!Q37</f>
        <v>33.065845957176464</v>
      </c>
      <c r="R10" s="38">
        <f>'SER_se-appl'!R37</f>
        <v>35.446875713412567</v>
      </c>
      <c r="S10" s="38">
        <f>'SER_se-appl'!S37</f>
        <v>36.517632283962882</v>
      </c>
      <c r="T10" s="38">
        <f>'SER_se-appl'!T37</f>
        <v>40.046967338864135</v>
      </c>
      <c r="U10" s="38">
        <f>'SER_se-appl'!U37</f>
        <v>43.914965764193823</v>
      </c>
      <c r="V10" s="38">
        <f>'SER_se-appl'!V37</f>
        <v>47.285671955126361</v>
      </c>
      <c r="W10" s="38">
        <f>'SER_se-appl'!W37</f>
        <v>49.757498754126118</v>
      </c>
      <c r="X10" s="38">
        <f>'SER_se-appl'!X37</f>
        <v>52.960035532671441</v>
      </c>
      <c r="Y10" s="38">
        <f>'SER_se-appl'!Y37</f>
        <v>48.917611174458386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3798.1467711248556</v>
      </c>
      <c r="C12" s="204">
        <f>'SER_se-appl'!C45</f>
        <v>3800.4376502639457</v>
      </c>
      <c r="D12" s="204">
        <f>'SER_se-appl'!D45</f>
        <v>3802.3867608055684</v>
      </c>
      <c r="E12" s="204">
        <f>'SER_se-appl'!E45</f>
        <v>3807.5269093551447</v>
      </c>
      <c r="F12" s="204">
        <f>'SER_se-appl'!F45</f>
        <v>3819.4103236849787</v>
      </c>
      <c r="G12" s="204">
        <f>'SER_se-appl'!G45</f>
        <v>3831.030729560709</v>
      </c>
      <c r="H12" s="204">
        <f>'SER_se-appl'!H45</f>
        <v>3838.7689721744309</v>
      </c>
      <c r="I12" s="204">
        <f>'SER_se-appl'!I45</f>
        <v>3846.7754384714899</v>
      </c>
      <c r="J12" s="204">
        <f>'SER_se-appl'!J45</f>
        <v>3853.3177709620004</v>
      </c>
      <c r="K12" s="204">
        <f>'SER_se-appl'!K45</f>
        <v>3856.9692406583936</v>
      </c>
      <c r="L12" s="204">
        <f>'SER_se-appl'!L45</f>
        <v>3859.0460859144596</v>
      </c>
      <c r="M12" s="204">
        <f>'SER_se-appl'!M45</f>
        <v>3850.2749971690437</v>
      </c>
      <c r="N12" s="204">
        <f>'SER_se-appl'!N45</f>
        <v>3823.9789548482868</v>
      </c>
      <c r="O12" s="204">
        <f>'SER_se-appl'!O45</f>
        <v>3800.0884181446013</v>
      </c>
      <c r="P12" s="204">
        <f>'SER_se-appl'!P45</f>
        <v>3777.8199117677768</v>
      </c>
      <c r="Q12" s="204">
        <f>'SER_se-appl'!Q45</f>
        <v>3753.2715427530056</v>
      </c>
      <c r="R12" s="204">
        <f>'SER_se-appl'!R45</f>
        <v>3816.0991966842007</v>
      </c>
      <c r="S12" s="204">
        <f>'SER_se-appl'!S45</f>
        <v>3715.7297999858129</v>
      </c>
      <c r="T12" s="204">
        <f>'SER_se-appl'!T45</f>
        <v>3678.4299464947726</v>
      </c>
      <c r="U12" s="204">
        <f>'SER_se-appl'!U45</f>
        <v>3676.2725939991192</v>
      </c>
      <c r="V12" s="204">
        <f>'SER_se-appl'!V45</f>
        <v>3669.8478786808469</v>
      </c>
      <c r="W12" s="204">
        <f>'SER_se-appl'!W45</f>
        <v>3677.2404835666271</v>
      </c>
      <c r="X12" s="204">
        <f>'SER_se-appl'!X45</f>
        <v>3669.5164352099646</v>
      </c>
      <c r="Y12" s="204">
        <f>'SER_se-appl'!Y45</f>
        <v>3661.7923868533017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195.84078294074112</v>
      </c>
      <c r="C14" s="59">
        <f>'SER_se-appl'!C53</f>
        <v>193.81115229408127</v>
      </c>
      <c r="D14" s="59">
        <f>'SER_se-appl'!D53</f>
        <v>191.70062816429513</v>
      </c>
      <c r="E14" s="59">
        <f>'SER_se-appl'!E53</f>
        <v>189.41316541876478</v>
      </c>
      <c r="F14" s="59">
        <f>'SER_se-appl'!F53</f>
        <v>186.82337091549249</v>
      </c>
      <c r="G14" s="59">
        <f>'SER_se-appl'!G53</f>
        <v>183.92004796704433</v>
      </c>
      <c r="H14" s="59">
        <f>'SER_se-appl'!H53</f>
        <v>180.7717335455728</v>
      </c>
      <c r="I14" s="59">
        <f>'SER_se-appl'!I53</f>
        <v>177.26795238408695</v>
      </c>
      <c r="J14" s="59">
        <f>'SER_se-appl'!J53</f>
        <v>175.14852441653363</v>
      </c>
      <c r="K14" s="59">
        <f>'SER_se-appl'!K53</f>
        <v>172.48471283125599</v>
      </c>
      <c r="L14" s="59">
        <f>'SER_se-appl'!L53</f>
        <v>169.44711957907973</v>
      </c>
      <c r="M14" s="59">
        <f>'SER_se-appl'!M53</f>
        <v>165.96870420376746</v>
      </c>
      <c r="N14" s="59">
        <f>'SER_se-appl'!N53</f>
        <v>162.0415146224002</v>
      </c>
      <c r="O14" s="59">
        <f>'SER_se-appl'!O53</f>
        <v>157.40311605232341</v>
      </c>
      <c r="P14" s="59">
        <f>'SER_se-appl'!P53</f>
        <v>152.33217036726407</v>
      </c>
      <c r="Q14" s="59">
        <f>'SER_se-appl'!Q53</f>
        <v>146.60166381307386</v>
      </c>
      <c r="R14" s="59">
        <f>'SER_se-appl'!R53</f>
        <v>140.86977103396453</v>
      </c>
      <c r="S14" s="59">
        <f>'SER_se-appl'!S53</f>
        <v>135.07310697057659</v>
      </c>
      <c r="T14" s="59">
        <f>'SER_se-appl'!T53</f>
        <v>128.90869732196401</v>
      </c>
      <c r="U14" s="59">
        <f>'SER_se-appl'!U53</f>
        <v>122.46436526288021</v>
      </c>
      <c r="V14" s="59">
        <f>'SER_se-appl'!V53</f>
        <v>116.01508409199057</v>
      </c>
      <c r="W14" s="59">
        <f>'SER_se-appl'!W53</f>
        <v>110.19797427021741</v>
      </c>
      <c r="X14" s="59">
        <f>'SER_se-appl'!X53</f>
        <v>105.22493832604199</v>
      </c>
      <c r="Y14" s="59">
        <f>'SER_se-appl'!Y53</f>
        <v>101.29323250461096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182.64603398032807</v>
      </c>
      <c r="D15" s="63">
        <f>'SER_se-appl'!D61</f>
        <v>181.96913089347657</v>
      </c>
      <c r="E15" s="63">
        <f>'SER_se-appl'!E61</f>
        <v>180.40829436177913</v>
      </c>
      <c r="F15" s="63">
        <f>'SER_se-appl'!F61</f>
        <v>178.18595406106471</v>
      </c>
      <c r="G15" s="63">
        <f>'SER_se-appl'!G61</f>
        <v>175.61275878457403</v>
      </c>
      <c r="H15" s="63">
        <f>'SER_se-appl'!H61</f>
        <v>173.60371835378371</v>
      </c>
      <c r="I15" s="63">
        <f>'SER_se-appl'!I61</f>
        <v>170.62840752310268</v>
      </c>
      <c r="J15" s="63">
        <f>'SER_se-appl'!J61</f>
        <v>167.4910860910783</v>
      </c>
      <c r="K15" s="63">
        <f>'SER_se-appl'!K61</f>
        <v>163.50404575920092</v>
      </c>
      <c r="L15" s="63">
        <f>'SER_se-appl'!L61</f>
        <v>159.34043436092091</v>
      </c>
      <c r="M15" s="63">
        <f>'SER_se-appl'!M61</f>
        <v>155.02728585026466</v>
      </c>
      <c r="N15" s="63">
        <f>'SER_se-appl'!N61</f>
        <v>150.07540663223247</v>
      </c>
      <c r="O15" s="63">
        <f>'SER_se-appl'!O61</f>
        <v>143.70425446625978</v>
      </c>
      <c r="P15" s="63">
        <f>'SER_se-appl'!P61</f>
        <v>137.17818602995763</v>
      </c>
      <c r="Q15" s="63">
        <f>'SER_se-appl'!Q61</f>
        <v>128.69378975774353</v>
      </c>
      <c r="R15" s="63">
        <f>'SER_se-appl'!R61</f>
        <v>121.42398064007229</v>
      </c>
      <c r="S15" s="63">
        <f>'SER_se-appl'!S61</f>
        <v>115.78516771946553</v>
      </c>
      <c r="T15" s="63">
        <f>'SER_se-appl'!T61</f>
        <v>110.14040528690153</v>
      </c>
      <c r="U15" s="63">
        <f>'SER_se-appl'!U61</f>
        <v>104.49301098610623</v>
      </c>
      <c r="V15" s="63">
        <f>'SER_se-appl'!V61</f>
        <v>98.850176922918294</v>
      </c>
      <c r="W15" s="63">
        <f>'SER_se-appl'!W61</f>
        <v>96.418462570614508</v>
      </c>
      <c r="X15" s="63">
        <f>'SER_se-appl'!X61</f>
        <v>93.986748218310723</v>
      </c>
      <c r="Y15" s="63">
        <f>'SER_se-appl'!Y61</f>
        <v>91.555033866006937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33.093859058461689</v>
      </c>
      <c r="C3" s="198">
        <f>'SER_se-appl'!C6</f>
        <v>33.922540601962481</v>
      </c>
      <c r="D3" s="198">
        <f>'SER_se-appl'!D6</f>
        <v>35.01271937330597</v>
      </c>
      <c r="E3" s="198">
        <f>'SER_se-appl'!E6</f>
        <v>35.902730181621806</v>
      </c>
      <c r="F3" s="198">
        <f>'SER_se-appl'!F6</f>
        <v>37.321854876388066</v>
      </c>
      <c r="G3" s="198">
        <f>'SER_se-appl'!G6</f>
        <v>38.364305717165891</v>
      </c>
      <c r="H3" s="198">
        <f>'SER_se-appl'!H6</f>
        <v>39.913833898662332</v>
      </c>
      <c r="I3" s="198">
        <f>'SER_se-appl'!I6</f>
        <v>42.216380120190102</v>
      </c>
      <c r="J3" s="198">
        <f>'SER_se-appl'!J6</f>
        <v>43.624591073693331</v>
      </c>
      <c r="K3" s="198">
        <f>'SER_se-appl'!K6</f>
        <v>44.071621687144841</v>
      </c>
      <c r="L3" s="198">
        <f>'SER_se-appl'!L6</f>
        <v>44.809337851062054</v>
      </c>
      <c r="M3" s="198">
        <f>'SER_se-appl'!M6</f>
        <v>45.411793275573558</v>
      </c>
      <c r="N3" s="198">
        <f>'SER_se-appl'!N6</f>
        <v>45.777531792861986</v>
      </c>
      <c r="O3" s="198">
        <f>'SER_se-appl'!O6</f>
        <v>45.783915060722265</v>
      </c>
      <c r="P3" s="198">
        <f>'SER_se-appl'!P6</f>
        <v>46.341906389888848</v>
      </c>
      <c r="Q3" s="198">
        <f>'SER_se-appl'!Q6</f>
        <v>46.789096506500655</v>
      </c>
      <c r="R3" s="198">
        <f>'SER_se-appl'!R6</f>
        <v>45.965852965264844</v>
      </c>
      <c r="S3" s="198">
        <f>'SER_se-appl'!S6</f>
        <v>43.236765266137866</v>
      </c>
      <c r="T3" s="198">
        <f>'SER_se-appl'!T6</f>
        <v>41.23107649604637</v>
      </c>
      <c r="U3" s="198">
        <f>'SER_se-appl'!U6</f>
        <v>39.533007377450133</v>
      </c>
      <c r="V3" s="198">
        <f>'SER_se-appl'!V6</f>
        <v>32.874609073201853</v>
      </c>
      <c r="W3" s="198">
        <f>'SER_se-appl'!W6</f>
        <v>32.708075424971682</v>
      </c>
      <c r="X3" s="198">
        <f>'SER_se-appl'!X6</f>
        <v>31.8487850354168</v>
      </c>
      <c r="Y3" s="198">
        <f>'SER_se-appl'!Y6</f>
        <v>30.450518928881898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163.93088166928413</v>
      </c>
      <c r="C5" s="59">
        <f>'SER_se-appl'!C14</f>
        <v>166.97082358639381</v>
      </c>
      <c r="D5" s="59">
        <f>'SER_se-appl'!D14</f>
        <v>171.17446006966304</v>
      </c>
      <c r="E5" s="59">
        <f>'SER_se-appl'!E14</f>
        <v>174.59082935280733</v>
      </c>
      <c r="F5" s="59">
        <f>'SER_se-appl'!F14</f>
        <v>180.32096235227058</v>
      </c>
      <c r="G5" s="59">
        <f>'SER_se-appl'!G14</f>
        <v>184.27573320986261</v>
      </c>
      <c r="H5" s="59">
        <f>'SER_se-appl'!H14</f>
        <v>191.04374790971991</v>
      </c>
      <c r="I5" s="59">
        <f>'SER_se-appl'!I14</f>
        <v>201.12876544990999</v>
      </c>
      <c r="J5" s="59">
        <f>'SER_se-appl'!J14</f>
        <v>206.87801309467898</v>
      </c>
      <c r="K5" s="59">
        <f>'SER_se-appl'!K14</f>
        <v>208.55705440479511</v>
      </c>
      <c r="L5" s="59">
        <f>'SER_se-appl'!L14</f>
        <v>211.44466289643785</v>
      </c>
      <c r="M5" s="59">
        <f>'SER_se-appl'!M14</f>
        <v>213.59053090018224</v>
      </c>
      <c r="N5" s="59">
        <f>'SER_se-appl'!N14</f>
        <v>214.78710417708669</v>
      </c>
      <c r="O5" s="59">
        <f>'SER_se-appl'!O14</f>
        <v>213.97896815225377</v>
      </c>
      <c r="P5" s="59">
        <f>'SER_se-appl'!P14</f>
        <v>215.91546199326996</v>
      </c>
      <c r="Q5" s="59">
        <f>'SER_se-appl'!Q14</f>
        <v>217.15033580553398</v>
      </c>
      <c r="R5" s="59">
        <f>'SER_se-appl'!R14</f>
        <v>210.43519914073812</v>
      </c>
      <c r="S5" s="59">
        <f>'SER_se-appl'!S14</f>
        <v>204.6057269619233</v>
      </c>
      <c r="T5" s="59">
        <f>'SER_se-appl'!T14</f>
        <v>195.88731087441545</v>
      </c>
      <c r="U5" s="59">
        <f>'SER_se-appl'!U14</f>
        <v>184.96589492416379</v>
      </c>
      <c r="V5" s="59">
        <f>'SER_se-appl'!V14</f>
        <v>172.56968120449179</v>
      </c>
      <c r="W5" s="59">
        <f>'SER_se-appl'!W14</f>
        <v>161.87795028389831</v>
      </c>
      <c r="X5" s="59">
        <f>'SER_se-appl'!X14</f>
        <v>153.12094432054363</v>
      </c>
      <c r="Y5" s="59">
        <f>'SER_se-appl'!Y14</f>
        <v>144.33618861089562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165.51939258741231</v>
      </c>
      <c r="C6" s="201">
        <f>'SER_se-appl'!C70</f>
        <v>166.15866521593878</v>
      </c>
      <c r="D6" s="201">
        <f>'SER_se-appl'!D70</f>
        <v>167.30192911138033</v>
      </c>
      <c r="E6" s="201">
        <f>'SER_se-appl'!E70</f>
        <v>170.07889678082469</v>
      </c>
      <c r="F6" s="201">
        <f>'SER_se-appl'!F70</f>
        <v>173.7470350923364</v>
      </c>
      <c r="G6" s="201">
        <f>'SER_se-appl'!G70</f>
        <v>177.16662594894174</v>
      </c>
      <c r="H6" s="201">
        <f>'SER_se-appl'!H70</f>
        <v>180.90514502552151</v>
      </c>
      <c r="I6" s="201">
        <f>'SER_se-appl'!I70</f>
        <v>184.75982779151877</v>
      </c>
      <c r="J6" s="201">
        <f>'SER_se-appl'!J70</f>
        <v>189.17542967486423</v>
      </c>
      <c r="K6" s="201">
        <f>'SER_se-appl'!K70</f>
        <v>194.07739705418453</v>
      </c>
      <c r="L6" s="201">
        <f>'SER_se-appl'!L70</f>
        <v>200.91070160469067</v>
      </c>
      <c r="M6" s="201">
        <f>'SER_se-appl'!M70</f>
        <v>208.63862221762943</v>
      </c>
      <c r="N6" s="201">
        <f>'SER_se-appl'!N70</f>
        <v>217.65380922619323</v>
      </c>
      <c r="O6" s="201">
        <f>'SER_se-appl'!O70</f>
        <v>225.98605316066906</v>
      </c>
      <c r="P6" s="201">
        <f>'SER_se-appl'!P70</f>
        <v>236.68567097594968</v>
      </c>
      <c r="Q6" s="201">
        <f>'SER_se-appl'!Q70</f>
        <v>248.77732021805946</v>
      </c>
      <c r="R6" s="201">
        <f>'SER_se-appl'!R70</f>
        <v>254.96210908076301</v>
      </c>
      <c r="S6" s="201">
        <f>'SER_se-appl'!S70</f>
        <v>261.24233284949617</v>
      </c>
      <c r="T6" s="201">
        <f>'SER_se-appl'!T70</f>
        <v>267.20820523197278</v>
      </c>
      <c r="U6" s="201">
        <f>'SER_se-appl'!U70</f>
        <v>272.60912023213609</v>
      </c>
      <c r="V6" s="201">
        <f>'SER_se-appl'!V70</f>
        <v>276.97804330130106</v>
      </c>
      <c r="W6" s="201">
        <f>'SER_se-appl'!W70</f>
        <v>279.52262851765397</v>
      </c>
      <c r="X6" s="201">
        <f>'SER_se-appl'!X70</f>
        <v>280.80367412171796</v>
      </c>
      <c r="Y6" s="201">
        <f>'SER_se-appl'!Y70</f>
        <v>281.4463968706213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3.38357496945632</v>
      </c>
      <c r="C8" s="34">
        <f>'SER_se-appl'!C22</f>
        <v>3.4860874083181117</v>
      </c>
      <c r="D8" s="34">
        <f>'SER_se-appl'!D22</f>
        <v>3.6394991169651472</v>
      </c>
      <c r="E8" s="34">
        <f>'SER_se-appl'!E22</f>
        <v>3.7934038580354676</v>
      </c>
      <c r="F8" s="34">
        <f>'SER_se-appl'!F22</f>
        <v>4.0237311414371568</v>
      </c>
      <c r="G8" s="34">
        <f>'SER_se-appl'!G22</f>
        <v>4.2364236207214656</v>
      </c>
      <c r="H8" s="34">
        <f>'SER_se-appl'!H22</f>
        <v>4.5476006598222236</v>
      </c>
      <c r="I8" s="34">
        <f>'SER_se-appl'!I22</f>
        <v>4.9308484136898727</v>
      </c>
      <c r="J8" s="34">
        <f>'SER_se-appl'!J22</f>
        <v>5.2106650661017184</v>
      </c>
      <c r="K8" s="34">
        <f>'SER_se-appl'!K22</f>
        <v>5.3964930463833456</v>
      </c>
      <c r="L8" s="34">
        <f>'SER_se-appl'!L22</f>
        <v>5.6442493817964987</v>
      </c>
      <c r="M8" s="34">
        <f>'SER_se-appl'!M22</f>
        <v>5.8958746088633118</v>
      </c>
      <c r="N8" s="34">
        <f>'SER_se-appl'!N22</f>
        <v>6.1648979280814835</v>
      </c>
      <c r="O8" s="34">
        <f>'SER_se-appl'!O22</f>
        <v>6.4245775531287155</v>
      </c>
      <c r="P8" s="34">
        <f>'SER_se-appl'!P22</f>
        <v>6.8155115235064576</v>
      </c>
      <c r="Q8" s="34">
        <f>'SER_se-appl'!Q22</f>
        <v>7.2255832443698313</v>
      </c>
      <c r="R8" s="34">
        <f>'SER_se-appl'!R22</f>
        <v>7.486271242732208</v>
      </c>
      <c r="S8" s="34">
        <f>'SER_se-appl'!S22</f>
        <v>7.7869020186496627</v>
      </c>
      <c r="T8" s="34">
        <f>'SER_se-appl'!T22</f>
        <v>8.086068058426628</v>
      </c>
      <c r="U8" s="34">
        <f>'SER_se-appl'!U22</f>
        <v>8.3526502617089946</v>
      </c>
      <c r="V8" s="34">
        <f>'SER_se-appl'!V22</f>
        <v>8.5771436752725236</v>
      </c>
      <c r="W8" s="34">
        <f>'SER_se-appl'!W22</f>
        <v>8.7394149132404628</v>
      </c>
      <c r="X8" s="34">
        <f>'SER_se-appl'!X22</f>
        <v>8.8568142448917992</v>
      </c>
      <c r="Y8" s="34">
        <f>'SER_se-appl'!Y22</f>
        <v>8.9487785890477323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0.63091213656439038</v>
      </c>
      <c r="D9" s="36">
        <f>'SER_se-appl'!D30</f>
        <v>0.69553835973824141</v>
      </c>
      <c r="E9" s="36">
        <f>'SER_se-appl'!E30</f>
        <v>0.71011494917831941</v>
      </c>
      <c r="F9" s="36">
        <f>'SER_se-appl'!F30</f>
        <v>0.80098691612927464</v>
      </c>
      <c r="G9" s="36">
        <f>'SER_se-appl'!G30</f>
        <v>0.79817690887167636</v>
      </c>
      <c r="H9" s="36">
        <f>'SER_se-appl'!H30</f>
        <v>0.91187138934032141</v>
      </c>
      <c r="I9" s="36">
        <f>'SER_se-appl'!I30</f>
        <v>1.0141598904320395</v>
      </c>
      <c r="J9" s="36">
        <f>'SER_se-appl'!J30</f>
        <v>0.97535501215008757</v>
      </c>
      <c r="K9" s="36">
        <f>'SER_se-appl'!K30</f>
        <v>0.89594292945994614</v>
      </c>
      <c r="L9" s="36">
        <f>'SER_se-appl'!L30</f>
        <v>1.0487432515424278</v>
      </c>
      <c r="M9" s="36">
        <f>'SER_se-appl'!M30</f>
        <v>1.0498021359384895</v>
      </c>
      <c r="N9" s="36">
        <f>'SER_se-appl'!N30</f>
        <v>1.1808947085584931</v>
      </c>
      <c r="O9" s="36">
        <f>'SER_se-appl'!O30</f>
        <v>1.2738395154792714</v>
      </c>
      <c r="P9" s="36">
        <f>'SER_se-appl'!P30</f>
        <v>1.3662889825278297</v>
      </c>
      <c r="Q9" s="36">
        <f>'SER_se-appl'!Q30</f>
        <v>1.3060146503233199</v>
      </c>
      <c r="R9" s="36">
        <f>'SER_se-appl'!R30</f>
        <v>1.3094312499048044</v>
      </c>
      <c r="S9" s="36">
        <f>'SER_se-appl'!S30</f>
        <v>1.3504329118559442</v>
      </c>
      <c r="T9" s="36">
        <f>'SER_se-appl'!T30</f>
        <v>1.4800607483354584</v>
      </c>
      <c r="U9" s="36">
        <f>'SER_se-appl'!U30</f>
        <v>1.540421718761638</v>
      </c>
      <c r="V9" s="36">
        <f>'SER_se-appl'!V30</f>
        <v>1.5907823960913587</v>
      </c>
      <c r="W9" s="36">
        <f>'SER_se-appl'!W30</f>
        <v>1.4682858882912591</v>
      </c>
      <c r="X9" s="36">
        <f>'SER_se-appl'!X30</f>
        <v>1.4268305815561408</v>
      </c>
      <c r="Y9" s="36">
        <f>'SER_se-appl'!Y30</f>
        <v>1.4423972560118772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0.52839969770259865</v>
      </c>
      <c r="D10" s="38">
        <f>'SER_se-appl'!D38</f>
        <v>0.54212665109120595</v>
      </c>
      <c r="E10" s="38">
        <f>'SER_se-appl'!E38</f>
        <v>0.55621020810799893</v>
      </c>
      <c r="F10" s="38">
        <f>'SER_se-appl'!F38</f>
        <v>0.57065963272758502</v>
      </c>
      <c r="G10" s="38">
        <f>'SER_se-appl'!G38</f>
        <v>0.58548442958736757</v>
      </c>
      <c r="H10" s="38">
        <f>'SER_se-appl'!H38</f>
        <v>0.60069435023956341</v>
      </c>
      <c r="I10" s="38">
        <f>'SER_se-appl'!I38</f>
        <v>0.63091213656439038</v>
      </c>
      <c r="J10" s="38">
        <f>'SER_se-appl'!J38</f>
        <v>0.69553835973824185</v>
      </c>
      <c r="K10" s="38">
        <f>'SER_se-appl'!K38</f>
        <v>0.71011494917831897</v>
      </c>
      <c r="L10" s="38">
        <f>'SER_se-appl'!L38</f>
        <v>0.80098691612927464</v>
      </c>
      <c r="M10" s="38">
        <f>'SER_se-appl'!M38</f>
        <v>0.79817690887167636</v>
      </c>
      <c r="N10" s="38">
        <f>'SER_se-appl'!N38</f>
        <v>0.91187138934032141</v>
      </c>
      <c r="O10" s="38">
        <f>'SER_se-appl'!O38</f>
        <v>1.0141598904320395</v>
      </c>
      <c r="P10" s="38">
        <f>'SER_se-appl'!P38</f>
        <v>0.97535501215008757</v>
      </c>
      <c r="Q10" s="38">
        <f>'SER_se-appl'!Q38</f>
        <v>0.89594292945994702</v>
      </c>
      <c r="R10" s="38">
        <f>'SER_se-appl'!R38</f>
        <v>1.0487432515424278</v>
      </c>
      <c r="S10" s="38">
        <f>'SER_se-appl'!S38</f>
        <v>1.0498021359384886</v>
      </c>
      <c r="T10" s="38">
        <f>'SER_se-appl'!T38</f>
        <v>1.1808947085584922</v>
      </c>
      <c r="U10" s="38">
        <f>'SER_se-appl'!U38</f>
        <v>1.2738395154792705</v>
      </c>
      <c r="V10" s="38">
        <f>'SER_se-appl'!V38</f>
        <v>1.3662889825278306</v>
      </c>
      <c r="W10" s="38">
        <f>'SER_se-appl'!W38</f>
        <v>1.3060146503233199</v>
      </c>
      <c r="X10" s="38">
        <f>'SER_se-appl'!X38</f>
        <v>1.3094312499048044</v>
      </c>
      <c r="Y10" s="38">
        <f>'SER_se-appl'!Y38</f>
        <v>1.3504329118559451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2347.8284075014831</v>
      </c>
      <c r="C12" s="204">
        <f>'SER_se-appl'!C46</f>
        <v>2362.8029060819244</v>
      </c>
      <c r="D12" s="204">
        <f>'SER_se-appl'!D46</f>
        <v>2378.8474410600197</v>
      </c>
      <c r="E12" s="204">
        <f>'SER_se-appl'!E46</f>
        <v>2391.5846757820996</v>
      </c>
      <c r="F12" s="204">
        <f>'SER_se-appl'!F46</f>
        <v>2407.1143285295784</v>
      </c>
      <c r="G12" s="204">
        <f>'SER_se-appl'!G46</f>
        <v>2421.2459650479877</v>
      </c>
      <c r="H12" s="204">
        <f>'SER_se-appl'!H46</f>
        <v>2429.7988985266629</v>
      </c>
      <c r="I12" s="204">
        <f>'SER_se-appl'!I46</f>
        <v>2441.1053272242448</v>
      </c>
      <c r="J12" s="204">
        <f>'SER_se-appl'!J46</f>
        <v>2452.4307179751377</v>
      </c>
      <c r="K12" s="204">
        <f>'SER_se-appl'!K46</f>
        <v>2457.6150717331475</v>
      </c>
      <c r="L12" s="204">
        <f>'SER_se-appl'!L46</f>
        <v>2464.6287689138503</v>
      </c>
      <c r="M12" s="204">
        <f>'SER_se-appl'!M46</f>
        <v>2472.6712067668254</v>
      </c>
      <c r="N12" s="204">
        <f>'SER_se-appl'!N46</f>
        <v>2478.6995326872147</v>
      </c>
      <c r="O12" s="204">
        <f>'SER_se-appl'!O46</f>
        <v>2488.4077942526128</v>
      </c>
      <c r="P12" s="204">
        <f>'SER_se-appl'!P46</f>
        <v>2496.1453262259024</v>
      </c>
      <c r="Q12" s="204">
        <f>'SER_se-appl'!Q46</f>
        <v>2505.9007638740895</v>
      </c>
      <c r="R12" s="204">
        <f>'SER_se-appl'!R46</f>
        <v>2540.3681141219322</v>
      </c>
      <c r="S12" s="204">
        <f>'SER_se-appl'!S46</f>
        <v>2457.6222157200982</v>
      </c>
      <c r="T12" s="204">
        <f>'SER_se-appl'!T46</f>
        <v>2447.9248681730119</v>
      </c>
      <c r="U12" s="204">
        <f>'SER_se-appl'!U46</f>
        <v>2485.6954088117204</v>
      </c>
      <c r="V12" s="204">
        <f>'SER_se-appl'!V46</f>
        <v>2215.5207151845043</v>
      </c>
      <c r="W12" s="204">
        <f>'SER_se-appl'!W46</f>
        <v>2349.8871620581531</v>
      </c>
      <c r="X12" s="204">
        <f>'SER_se-appl'!X46</f>
        <v>2419.0117923156126</v>
      </c>
      <c r="Y12" s="204">
        <f>'SER_se-appl'!Y46</f>
        <v>2453.5741074443422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48.44901713397676</v>
      </c>
      <c r="C14" s="59">
        <f>'SER_se-appl'!C54</f>
        <v>47.89633879746868</v>
      </c>
      <c r="D14" s="59">
        <f>'SER_se-appl'!D54</f>
        <v>47.032422475870668</v>
      </c>
      <c r="E14" s="59">
        <f>'SER_se-appl'!E54</f>
        <v>46.024846255949306</v>
      </c>
      <c r="F14" s="59">
        <f>'SER_se-appl'!F54</f>
        <v>44.814366570194181</v>
      </c>
      <c r="G14" s="59">
        <f>'SER_se-appl'!G54</f>
        <v>43.497947728485265</v>
      </c>
      <c r="H14" s="59">
        <f>'SER_se-appl'!H54</f>
        <v>42.009789821164347</v>
      </c>
      <c r="I14" s="59">
        <f>'SER_se-appl'!I54</f>
        <v>40.789890212706922</v>
      </c>
      <c r="J14" s="59">
        <f>'SER_se-appl'!J54</f>
        <v>39.702803859057418</v>
      </c>
      <c r="K14" s="59">
        <f>'SER_se-appl'!K54</f>
        <v>38.646775343214266</v>
      </c>
      <c r="L14" s="59">
        <f>'SER_se-appl'!L54</f>
        <v>37.461963246765237</v>
      </c>
      <c r="M14" s="59">
        <f>'SER_se-appl'!M54</f>
        <v>36.227115579949754</v>
      </c>
      <c r="N14" s="59">
        <f>'SER_se-appl'!N54</f>
        <v>34.840334208733353</v>
      </c>
      <c r="O14" s="59">
        <f>'SER_se-appl'!O54</f>
        <v>33.306309462798502</v>
      </c>
      <c r="P14" s="59">
        <f>'SER_se-appl'!P54</f>
        <v>31.68000835279717</v>
      </c>
      <c r="Q14" s="59">
        <f>'SER_se-appl'!Q54</f>
        <v>30.052983746985042</v>
      </c>
      <c r="R14" s="59">
        <f>'SER_se-appl'!R54</f>
        <v>28.109480984279323</v>
      </c>
      <c r="S14" s="59">
        <f>'SER_se-appl'!S54</f>
        <v>26.275626233885021</v>
      </c>
      <c r="T14" s="59">
        <f>'SER_se-appl'!T54</f>
        <v>24.225285943552993</v>
      </c>
      <c r="U14" s="59">
        <f>'SER_se-appl'!U54</f>
        <v>22.144575569277915</v>
      </c>
      <c r="V14" s="59">
        <f>'SER_se-appl'!V54</f>
        <v>20.119714410521251</v>
      </c>
      <c r="W14" s="59">
        <f>'SER_se-appl'!W54</f>
        <v>18.522744587701016</v>
      </c>
      <c r="X14" s="59">
        <f>'SER_se-appl'!X54</f>
        <v>17.288489979210834</v>
      </c>
      <c r="Y14" s="59">
        <f>'SER_se-appl'!Y54</f>
        <v>16.129149601214447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45.395208405169107</v>
      </c>
      <c r="D15" s="63">
        <f>'SER_se-appl'!D62</f>
        <v>43.806555690529095</v>
      </c>
      <c r="E15" s="63">
        <f>'SER_se-appl'!E62</f>
        <v>42.759566209662559</v>
      </c>
      <c r="F15" s="63">
        <f>'SER_se-appl'!F62</f>
        <v>41.671131763860068</v>
      </c>
      <c r="G15" s="63">
        <f>'SER_se-appl'!G62</f>
        <v>40.493424025554255</v>
      </c>
      <c r="H15" s="63">
        <f>'SER_se-appl'!H62</f>
        <v>39.337856178213158</v>
      </c>
      <c r="I15" s="63">
        <f>'SER_se-appl'!I62</f>
        <v>38.184714097087564</v>
      </c>
      <c r="J15" s="63">
        <f>'SER_se-appl'!J62</f>
        <v>37.13354325795811</v>
      </c>
      <c r="K15" s="63">
        <f>'SER_se-appl'!K62</f>
        <v>35.764832158776677</v>
      </c>
      <c r="L15" s="63">
        <f>'SER_se-appl'!L62</f>
        <v>34.580093613433341</v>
      </c>
      <c r="M15" s="63">
        <f>'SER_se-appl'!M62</f>
        <v>32.831695461620669</v>
      </c>
      <c r="N15" s="63">
        <f>'SER_se-appl'!N62</f>
        <v>31.389452908167836</v>
      </c>
      <c r="O15" s="63">
        <f>'SER_se-appl'!O62</f>
        <v>29.766127506087084</v>
      </c>
      <c r="P15" s="63">
        <f>'SER_se-appl'!P62</f>
        <v>27.92592333282651</v>
      </c>
      <c r="Q15" s="63">
        <f>'SER_se-appl'!Q62</f>
        <v>25.48066539682636</v>
      </c>
      <c r="R15" s="63">
        <f>'SER_se-appl'!R62</f>
        <v>22.567433877987945</v>
      </c>
      <c r="S15" s="63">
        <f>'SER_se-appl'!S62</f>
        <v>21.206023336560541</v>
      </c>
      <c r="T15" s="63">
        <f>'SER_se-appl'!T62</f>
        <v>19.154094038488832</v>
      </c>
      <c r="U15" s="63">
        <f>'SER_se-appl'!U62</f>
        <v>17.524975895236544</v>
      </c>
      <c r="V15" s="63">
        <f>'SER_se-appl'!V62</f>
        <v>16.19245204132017</v>
      </c>
      <c r="W15" s="63">
        <f>'SER_se-appl'!W62</f>
        <v>15.382829439254161</v>
      </c>
      <c r="X15" s="63">
        <f>'SER_se-appl'!X62</f>
        <v>14.573206837188151</v>
      </c>
      <c r="Y15" s="63">
        <f>'SER_se-appl'!Y62</f>
        <v>13.763584235122142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19.588900296557775</v>
      </c>
      <c r="C3" s="198">
        <f>'SER_se-appl'!C7</f>
        <v>20.21420437375177</v>
      </c>
      <c r="D3" s="198">
        <f>'SER_se-appl'!D7</f>
        <v>20.820905529523785</v>
      </c>
      <c r="E3" s="198">
        <f>'SER_se-appl'!E7</f>
        <v>21.390017744772777</v>
      </c>
      <c r="F3" s="198">
        <f>'SER_se-appl'!F7</f>
        <v>22.004315725513028</v>
      </c>
      <c r="G3" s="198">
        <f>'SER_se-appl'!G7</f>
        <v>22.717451630546861</v>
      </c>
      <c r="H3" s="198">
        <f>'SER_se-appl'!H7</f>
        <v>23.45340225255298</v>
      </c>
      <c r="I3" s="198">
        <f>'SER_se-appl'!I7</f>
        <v>24.000536635972431</v>
      </c>
      <c r="J3" s="198">
        <f>'SER_se-appl'!J7</f>
        <v>24.28110205849616</v>
      </c>
      <c r="K3" s="198">
        <f>'SER_se-appl'!K7</f>
        <v>24.746731812716007</v>
      </c>
      <c r="L3" s="198">
        <f>'SER_se-appl'!L7</f>
        <v>25.134150638250492</v>
      </c>
      <c r="M3" s="198">
        <f>'SER_se-appl'!M7</f>
        <v>25.139095881640824</v>
      </c>
      <c r="N3" s="198">
        <f>'SER_se-appl'!N7</f>
        <v>25.234867014135201</v>
      </c>
      <c r="O3" s="198">
        <f>'SER_se-appl'!O7</f>
        <v>25.370534152798669</v>
      </c>
      <c r="P3" s="198">
        <f>'SER_se-appl'!P7</f>
        <v>25.563779231087942</v>
      </c>
      <c r="Q3" s="198">
        <f>'SER_se-appl'!Q7</f>
        <v>25.897630922333637</v>
      </c>
      <c r="R3" s="198">
        <f>'SER_se-appl'!R7</f>
        <v>25.919551307468254</v>
      </c>
      <c r="S3" s="198">
        <f>'SER_se-appl'!S7</f>
        <v>25.963486239456941</v>
      </c>
      <c r="T3" s="198">
        <f>'SER_se-appl'!T7</f>
        <v>26.072760702996863</v>
      </c>
      <c r="U3" s="198">
        <f>'SER_se-appl'!U7</f>
        <v>26.114068803452689</v>
      </c>
      <c r="V3" s="198">
        <f>'SER_se-appl'!V7</f>
        <v>26.112733310267171</v>
      </c>
      <c r="W3" s="198">
        <f>'SER_se-appl'!W7</f>
        <v>26.074044448904438</v>
      </c>
      <c r="X3" s="198">
        <f>'SER_se-appl'!X7</f>
        <v>25.758835966420779</v>
      </c>
      <c r="Y3" s="198">
        <f>'SER_se-appl'!Y7</f>
        <v>25.504321277652465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26.006724937096685</v>
      </c>
      <c r="C5" s="59">
        <f>'SER_se-appl'!C15</f>
        <v>26.836894619490089</v>
      </c>
      <c r="D5" s="59">
        <f>'SER_se-appl'!D15</f>
        <v>27.642366587712512</v>
      </c>
      <c r="E5" s="59">
        <f>'SER_se-appl'!E15</f>
        <v>28.397934517318198</v>
      </c>
      <c r="F5" s="59">
        <f>'SER_se-appl'!F15</f>
        <v>29.213492224625181</v>
      </c>
      <c r="G5" s="59">
        <f>'SER_se-appl'!G15</f>
        <v>30.160269687586759</v>
      </c>
      <c r="H5" s="59">
        <f>'SER_se-appl'!H15</f>
        <v>31.137336552190785</v>
      </c>
      <c r="I5" s="59">
        <f>'SER_se-appl'!I15</f>
        <v>31.863726150269329</v>
      </c>
      <c r="J5" s="59">
        <f>'SER_se-appl'!J15</f>
        <v>32.236211979487479</v>
      </c>
      <c r="K5" s="59">
        <f>'SER_se-appl'!K15</f>
        <v>32.854393947704025</v>
      </c>
      <c r="L5" s="59">
        <f>'SER_se-appl'!L15</f>
        <v>33.368741087083684</v>
      </c>
      <c r="M5" s="59">
        <f>'SER_se-appl'!M15</f>
        <v>33.37530651866242</v>
      </c>
      <c r="N5" s="59">
        <f>'SER_se-appl'!N15</f>
        <v>33.502454723104165</v>
      </c>
      <c r="O5" s="59">
        <f>'SER_se-appl'!O15</f>
        <v>33.682569885507817</v>
      </c>
      <c r="P5" s="59">
        <f>'SER_se-appl'!P15</f>
        <v>33.939126992871337</v>
      </c>
      <c r="Q5" s="59">
        <f>'SER_se-appl'!Q15</f>
        <v>34.382357035015993</v>
      </c>
      <c r="R5" s="59">
        <f>'SER_se-appl'!R15</f>
        <v>34.411459098841974</v>
      </c>
      <c r="S5" s="59">
        <f>'SER_se-appl'!S15</f>
        <v>34.469788238000476</v>
      </c>
      <c r="T5" s="59">
        <f>'SER_se-appl'!T15</f>
        <v>34.614863810028943</v>
      </c>
      <c r="U5" s="59">
        <f>'SER_se-appl'!U15</f>
        <v>34.669705500474279</v>
      </c>
      <c r="V5" s="59">
        <f>'SER_se-appl'!V15</f>
        <v>34.667932465571603</v>
      </c>
      <c r="W5" s="59">
        <f>'SER_se-appl'!W15</f>
        <v>34.616568143922208</v>
      </c>
      <c r="X5" s="59">
        <f>'SER_se-appl'!X15</f>
        <v>34.198089302451322</v>
      </c>
      <c r="Y5" s="59">
        <f>'SER_se-appl'!Y15</f>
        <v>33.860189093504353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1.7952850729850225E-2</v>
      </c>
      <c r="C6" s="201">
        <f>'SER_se-appl'!C71</f>
        <v>1.8776210460426965E-2</v>
      </c>
      <c r="D6" s="201">
        <f>'SER_se-appl'!D71</f>
        <v>1.9640873154029816E-2</v>
      </c>
      <c r="E6" s="201">
        <f>'SER_se-appl'!E71</f>
        <v>2.0555274958018819E-2</v>
      </c>
      <c r="F6" s="201">
        <f>'SER_se-appl'!F71</f>
        <v>2.1581914047207763E-2</v>
      </c>
      <c r="G6" s="201">
        <f>'SER_se-appl'!G71</f>
        <v>2.277497032818503E-2</v>
      </c>
      <c r="H6" s="201">
        <f>'SER_se-appl'!H71</f>
        <v>2.4001263802955131E-2</v>
      </c>
      <c r="I6" s="201">
        <f>'SER_se-appl'!I71</f>
        <v>2.5054662918587663E-2</v>
      </c>
      <c r="J6" s="201">
        <f>'SER_se-appl'!J71</f>
        <v>2.5964352405679677E-2</v>
      </c>
      <c r="K6" s="201">
        <f>'SER_se-appl'!K71</f>
        <v>2.6892421464408876E-2</v>
      </c>
      <c r="L6" s="201">
        <f>'SER_se-appl'!L71</f>
        <v>2.7903313635994395E-2</v>
      </c>
      <c r="M6" s="201">
        <f>'SER_se-appl'!M71</f>
        <v>2.8515412888244468E-2</v>
      </c>
      <c r="N6" s="201">
        <f>'SER_se-appl'!N71</f>
        <v>2.9199681991044769E-2</v>
      </c>
      <c r="O6" s="201">
        <f>'SER_se-appl'!O71</f>
        <v>2.9971382967538124E-2</v>
      </c>
      <c r="P6" s="201">
        <f>'SER_se-appl'!P71</f>
        <v>3.0940763033768168E-2</v>
      </c>
      <c r="Q6" s="201">
        <f>'SER_se-appl'!Q71</f>
        <v>3.2193925019736447E-2</v>
      </c>
      <c r="R6" s="201">
        <f>'SER_se-appl'!R71</f>
        <v>3.3040124211054206E-2</v>
      </c>
      <c r="S6" s="201">
        <f>'SER_se-appl'!S71</f>
        <v>3.3879669562196901E-2</v>
      </c>
      <c r="T6" s="201">
        <f>'SER_se-appl'!T71</f>
        <v>3.4751703774356386E-2</v>
      </c>
      <c r="U6" s="201">
        <f>'SER_se-appl'!U71</f>
        <v>3.5358500989535711E-2</v>
      </c>
      <c r="V6" s="201">
        <f>'SER_se-appl'!V71</f>
        <v>3.5856087514527804E-2</v>
      </c>
      <c r="W6" s="201">
        <f>'SER_se-appl'!W71</f>
        <v>3.625996271507817E-2</v>
      </c>
      <c r="X6" s="201">
        <f>'SER_se-appl'!X71</f>
        <v>3.6545379069575487E-2</v>
      </c>
      <c r="Y6" s="201">
        <f>'SER_se-appl'!Y71</f>
        <v>3.6746506209368507E-2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35.685868802513433</v>
      </c>
      <c r="C8" s="34">
        <f>'SER_se-appl'!C23</f>
        <v>37.366423780032946</v>
      </c>
      <c r="D8" s="34">
        <f>'SER_se-appl'!D23</f>
        <v>39.164411731837454</v>
      </c>
      <c r="E8" s="34">
        <f>'SER_se-appl'!E23</f>
        <v>41.008451865321156</v>
      </c>
      <c r="F8" s="34">
        <f>'SER_se-appl'!F23</f>
        <v>43.086845407009129</v>
      </c>
      <c r="G8" s="34">
        <f>'SER_se-appl'!G23</f>
        <v>45.495052977879133</v>
      </c>
      <c r="H8" s="34">
        <f>'SER_se-appl'!H23</f>
        <v>48.08312384976059</v>
      </c>
      <c r="I8" s="34">
        <f>'SER_se-appl'!I23</f>
        <v>50.369318074281509</v>
      </c>
      <c r="J8" s="34">
        <f>'SER_se-appl'!J23</f>
        <v>52.195332746213282</v>
      </c>
      <c r="K8" s="34">
        <f>'SER_se-appl'!K23</f>
        <v>54.655135472248951</v>
      </c>
      <c r="L8" s="34">
        <f>'SER_se-appl'!L23</f>
        <v>57.117413333353269</v>
      </c>
      <c r="M8" s="34">
        <f>'SER_se-appl'!M23</f>
        <v>58.461985833937042</v>
      </c>
      <c r="N8" s="34">
        <f>'SER_se-appl'!N23</f>
        <v>60.019829533864552</v>
      </c>
      <c r="O8" s="34">
        <f>'SER_se-appl'!O23</f>
        <v>61.705712652609805</v>
      </c>
      <c r="P8" s="34">
        <f>'SER_se-appl'!P23</f>
        <v>63.771542577454063</v>
      </c>
      <c r="Q8" s="34">
        <f>'SER_se-appl'!Q23</f>
        <v>66.412010881163809</v>
      </c>
      <c r="R8" s="34">
        <f>'SER_se-appl'!R23</f>
        <v>68.201027914967568</v>
      </c>
      <c r="S8" s="34">
        <f>'SER_se-appl'!S23</f>
        <v>69.991839950194773</v>
      </c>
      <c r="T8" s="34">
        <f>'SER_se-appl'!T23</f>
        <v>71.827601497141728</v>
      </c>
      <c r="U8" s="34">
        <f>'SER_se-appl'!U23</f>
        <v>73.577787577132781</v>
      </c>
      <c r="V8" s="34">
        <f>'SER_se-appl'!V23</f>
        <v>75.149375434285759</v>
      </c>
      <c r="W8" s="34">
        <f>'SER_se-appl'!W23</f>
        <v>76.471427386957416</v>
      </c>
      <c r="X8" s="34">
        <f>'SER_se-appl'!X23</f>
        <v>77.007691867828072</v>
      </c>
      <c r="Y8" s="34">
        <f>'SER_se-appl'!Y23</f>
        <v>77.791324743059263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4.9237974454442721</v>
      </c>
      <c r="D9" s="36">
        <f>'SER_se-appl'!D31</f>
        <v>5.1095466797018645</v>
      </c>
      <c r="E9" s="36">
        <f>'SER_se-appl'!E31</f>
        <v>5.2253541477054597</v>
      </c>
      <c r="F9" s="36">
        <f>'SER_se-appl'!F31</f>
        <v>5.5309321805035196</v>
      </c>
      <c r="G9" s="36">
        <f>'SER_se-appl'!G31</f>
        <v>5.933471122962132</v>
      </c>
      <c r="H9" s="36">
        <f>'SER_se-appl'!H31</f>
        <v>6.1875912282916232</v>
      </c>
      <c r="I9" s="36">
        <f>'SER_se-appl'!I31</f>
        <v>5.9615355443271767</v>
      </c>
      <c r="J9" s="36">
        <f>'SER_se-appl'!J31</f>
        <v>5.5787740619486641</v>
      </c>
      <c r="K9" s="36">
        <f>'SER_se-appl'!K31</f>
        <v>6.2916109348314535</v>
      </c>
      <c r="L9" s="36">
        <f>'SER_se-appl'!L31</f>
        <v>6.374799987637104</v>
      </c>
      <c r="M9" s="36">
        <f>'SER_se-appl'!M31</f>
        <v>6.2683699460280451</v>
      </c>
      <c r="N9" s="36">
        <f>'SER_se-appl'!N31</f>
        <v>6.6673903796293743</v>
      </c>
      <c r="O9" s="36">
        <f>'SER_se-appl'!O31</f>
        <v>6.911237266450712</v>
      </c>
      <c r="P9" s="36">
        <f>'SER_se-appl'!P31</f>
        <v>7.5967621053477785</v>
      </c>
      <c r="Q9" s="36">
        <f>'SER_se-appl'!Q31</f>
        <v>8.5739394266718776</v>
      </c>
      <c r="R9" s="36">
        <f>'SER_se-appl'!R31</f>
        <v>7.9766082620953824</v>
      </c>
      <c r="S9" s="36">
        <f>'SER_se-appl'!S31</f>
        <v>7.7523475795543817</v>
      </c>
      <c r="T9" s="36">
        <f>'SER_se-appl'!T31</f>
        <v>7.4145356088956191</v>
      </c>
      <c r="U9" s="36">
        <f>'SER_se-appl'!U31</f>
        <v>8.0417970148225066</v>
      </c>
      <c r="V9" s="36">
        <f>'SER_se-appl'!V31</f>
        <v>7.9463878447900811</v>
      </c>
      <c r="W9" s="36">
        <f>'SER_se-appl'!W31</f>
        <v>7.5904218986997023</v>
      </c>
      <c r="X9" s="36">
        <f>'SER_se-appl'!X31</f>
        <v>7.2036548605000235</v>
      </c>
      <c r="Y9" s="36">
        <f>'SER_se-appl'!Y31</f>
        <v>7.6948701416819034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3.2432424679247589</v>
      </c>
      <c r="D10" s="38">
        <f>'SER_se-appl'!D39</f>
        <v>3.3115587278973564</v>
      </c>
      <c r="E10" s="38">
        <f>'SER_se-appl'!E39</f>
        <v>3.3813140142217577</v>
      </c>
      <c r="F10" s="38">
        <f>'SER_se-appl'!F39</f>
        <v>3.4525386388155468</v>
      </c>
      <c r="G10" s="38">
        <f>'SER_se-appl'!G39</f>
        <v>3.5252635520921274</v>
      </c>
      <c r="H10" s="38">
        <f>'SER_se-appl'!H39</f>
        <v>3.5995203564101672</v>
      </c>
      <c r="I10" s="38">
        <f>'SER_se-appl'!I39</f>
        <v>3.6753413198062574</v>
      </c>
      <c r="J10" s="38">
        <f>'SER_se-appl'!J39</f>
        <v>3.752759390016891</v>
      </c>
      <c r="K10" s="38">
        <f>'SER_se-appl'!K39</f>
        <v>3.8318082087957848</v>
      </c>
      <c r="L10" s="38">
        <f>'SER_se-appl'!L39</f>
        <v>3.9125221265327852</v>
      </c>
      <c r="M10" s="38">
        <f>'SER_se-appl'!M39</f>
        <v>4.9237974454442721</v>
      </c>
      <c r="N10" s="38">
        <f>'SER_se-appl'!N39</f>
        <v>5.1095466797018645</v>
      </c>
      <c r="O10" s="38">
        <f>'SER_se-appl'!O39</f>
        <v>5.2253541477054597</v>
      </c>
      <c r="P10" s="38">
        <f>'SER_se-appl'!P39</f>
        <v>5.5309321805035196</v>
      </c>
      <c r="Q10" s="38">
        <f>'SER_se-appl'!Q39</f>
        <v>5.933471122962132</v>
      </c>
      <c r="R10" s="38">
        <f>'SER_se-appl'!R39</f>
        <v>6.1875912282916232</v>
      </c>
      <c r="S10" s="38">
        <f>'SER_se-appl'!S39</f>
        <v>5.9615355443271767</v>
      </c>
      <c r="T10" s="38">
        <f>'SER_se-appl'!T39</f>
        <v>5.5787740619486641</v>
      </c>
      <c r="U10" s="38">
        <f>'SER_se-appl'!U39</f>
        <v>6.2916109348314535</v>
      </c>
      <c r="V10" s="38">
        <f>'SER_se-appl'!V39</f>
        <v>6.374799987637104</v>
      </c>
      <c r="W10" s="38">
        <f>'SER_se-appl'!W39</f>
        <v>6.2683699460280451</v>
      </c>
      <c r="X10" s="38">
        <f>'SER_se-appl'!X39</f>
        <v>6.6673903796293672</v>
      </c>
      <c r="Y10" s="38">
        <f>'SER_se-appl'!Y39</f>
        <v>6.911237266450712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8759.9999999999964</v>
      </c>
      <c r="D12" s="204">
        <f>'SER_se-appl'!D47</f>
        <v>8760</v>
      </c>
      <c r="E12" s="204">
        <f>'SER_se-appl'!E47</f>
        <v>8760</v>
      </c>
      <c r="F12" s="204">
        <f>'SER_se-appl'!F47</f>
        <v>8759.9999999999982</v>
      </c>
      <c r="G12" s="204">
        <f>'SER_se-appl'!G47</f>
        <v>8760</v>
      </c>
      <c r="H12" s="204">
        <f>'SER_se-appl'!H47</f>
        <v>8759.9999999999964</v>
      </c>
      <c r="I12" s="204">
        <f>'SER_se-appl'!I47</f>
        <v>8760</v>
      </c>
      <c r="J12" s="204">
        <f>'SER_se-appl'!J47</f>
        <v>8760</v>
      </c>
      <c r="K12" s="204">
        <f>'SER_se-appl'!K47</f>
        <v>8759.9999999999964</v>
      </c>
      <c r="L12" s="204">
        <f>'SER_se-appl'!L47</f>
        <v>8760.0000000000036</v>
      </c>
      <c r="M12" s="204">
        <f>'SER_se-appl'!M47</f>
        <v>8760</v>
      </c>
      <c r="N12" s="204">
        <f>'SER_se-appl'!N47</f>
        <v>8759.9999999999982</v>
      </c>
      <c r="O12" s="204">
        <f>'SER_se-appl'!O47</f>
        <v>8760</v>
      </c>
      <c r="P12" s="204">
        <f>'SER_se-appl'!P47</f>
        <v>8759.9999999999964</v>
      </c>
      <c r="Q12" s="204">
        <f>'SER_se-appl'!Q47</f>
        <v>8760.0000000000036</v>
      </c>
      <c r="R12" s="204">
        <f>'SER_se-appl'!R47</f>
        <v>8760.0000000000018</v>
      </c>
      <c r="S12" s="204">
        <f>'SER_se-appl'!S47</f>
        <v>8760.0000000000018</v>
      </c>
      <c r="T12" s="204">
        <f>'SER_se-appl'!T47</f>
        <v>8760</v>
      </c>
      <c r="U12" s="204">
        <f>'SER_se-appl'!U47</f>
        <v>8760.0000000000018</v>
      </c>
      <c r="V12" s="204">
        <f>'SER_se-appl'!V47</f>
        <v>8760</v>
      </c>
      <c r="W12" s="204">
        <f>'SER_se-appl'!W47</f>
        <v>8760.0000000000018</v>
      </c>
      <c r="X12" s="204">
        <f>'SER_se-appl'!X47</f>
        <v>8760.0000000000018</v>
      </c>
      <c r="Y12" s="204">
        <f>'SER_se-appl'!Y47</f>
        <v>8760.0000000000018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728.76815977267097</v>
      </c>
      <c r="C14" s="59">
        <f>'SER_se-appl'!C55</f>
        <v>718.20880631960836</v>
      </c>
      <c r="D14" s="59">
        <f>'SER_se-appl'!D55</f>
        <v>705.80318624424876</v>
      </c>
      <c r="E14" s="59">
        <f>'SER_se-appl'!E55</f>
        <v>692.48979723940624</v>
      </c>
      <c r="F14" s="59">
        <f>'SER_se-appl'!F55</f>
        <v>678.01418155975955</v>
      </c>
      <c r="G14" s="59">
        <f>'SER_se-appl'!G55</f>
        <v>662.93514818526444</v>
      </c>
      <c r="H14" s="59">
        <f>'SER_se-appl'!H55</f>
        <v>647.57307885156922</v>
      </c>
      <c r="I14" s="59">
        <f>'SER_se-appl'!I55</f>
        <v>632.60189671971943</v>
      </c>
      <c r="J14" s="59">
        <f>'SER_se-appl'!J55</f>
        <v>617.60717450021775</v>
      </c>
      <c r="K14" s="59">
        <f>'SER_se-appl'!K55</f>
        <v>601.12180975904425</v>
      </c>
      <c r="L14" s="59">
        <f>'SER_se-appl'!L55</f>
        <v>584.21309964326178</v>
      </c>
      <c r="M14" s="59">
        <f>'SER_se-appl'!M55</f>
        <v>570.88903229298342</v>
      </c>
      <c r="N14" s="59">
        <f>'SER_se-appl'!N55</f>
        <v>558.18976800327835</v>
      </c>
      <c r="O14" s="59">
        <f>'SER_se-appl'!O55</f>
        <v>545.85821048909372</v>
      </c>
      <c r="P14" s="59">
        <f>'SER_se-appl'!P55</f>
        <v>532.19862059398031</v>
      </c>
      <c r="Q14" s="59">
        <f>'SER_se-appl'!Q55</f>
        <v>517.71293443499292</v>
      </c>
      <c r="R14" s="59">
        <f>'SER_se-appl'!R55</f>
        <v>504.55924420590657</v>
      </c>
      <c r="S14" s="59">
        <f>'SER_se-appl'!S55</f>
        <v>492.48295604928654</v>
      </c>
      <c r="T14" s="59">
        <f>'SER_se-appl'!T55</f>
        <v>481.91590820983203</v>
      </c>
      <c r="U14" s="59">
        <f>'SER_se-appl'!U55</f>
        <v>471.19798844358388</v>
      </c>
      <c r="V14" s="59">
        <f>'SER_se-appl'!V55</f>
        <v>461.32030060431993</v>
      </c>
      <c r="W14" s="59">
        <f>'SER_se-appl'!W55</f>
        <v>452.67323138558595</v>
      </c>
      <c r="X14" s="59">
        <f>'SER_se-appl'!X55</f>
        <v>444.08666813630919</v>
      </c>
      <c r="Y14" s="59">
        <f>'SER_se-appl'!Y55</f>
        <v>435.26947516760788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648.63381624167096</v>
      </c>
      <c r="D15" s="63">
        <f>'SER_se-appl'!D63</f>
        <v>629.96401248635129</v>
      </c>
      <c r="E15" s="63">
        <f>'SER_se-appl'!E63</f>
        <v>616.18061290208868</v>
      </c>
      <c r="F15" s="63">
        <f>'SER_se-appl'!F63</f>
        <v>602.36824985934265</v>
      </c>
      <c r="G15" s="63">
        <f>'SER_se-appl'!G63</f>
        <v>592.54982819874567</v>
      </c>
      <c r="H15" s="63">
        <f>'SER_se-appl'!H63</f>
        <v>581.85529036690298</v>
      </c>
      <c r="I15" s="63">
        <f>'SER_se-appl'!I63</f>
        <v>571.1383087349335</v>
      </c>
      <c r="J15" s="63">
        <f>'SER_se-appl'!J63</f>
        <v>557.00004148670712</v>
      </c>
      <c r="K15" s="63">
        <f>'SER_se-appl'!K63</f>
        <v>542.09992011113343</v>
      </c>
      <c r="L15" s="63">
        <f>'SER_se-appl'!L63</f>
        <v>527.96459436060502</v>
      </c>
      <c r="M15" s="63">
        <f>'SER_se-appl'!M63</f>
        <v>510.54851366041709</v>
      </c>
      <c r="N15" s="63">
        <f>'SER_se-appl'!N63</f>
        <v>501.84233144588137</v>
      </c>
      <c r="O15" s="63">
        <f>'SER_se-appl'!O63</f>
        <v>491.93464971479563</v>
      </c>
      <c r="P15" s="63">
        <f>'SER_se-appl'!P63</f>
        <v>472.33479148941632</v>
      </c>
      <c r="Q15" s="63">
        <f>'SER_se-appl'!Q63</f>
        <v>461.76059097899252</v>
      </c>
      <c r="R15" s="63">
        <f>'SER_se-appl'!R63</f>
        <v>455.00350968494234</v>
      </c>
      <c r="S15" s="63">
        <f>'SER_se-appl'!S63</f>
        <v>446.72796618953714</v>
      </c>
      <c r="T15" s="63">
        <f>'SER_se-appl'!T63</f>
        <v>438.65902431929919</v>
      </c>
      <c r="U15" s="63">
        <f>'SER_se-appl'!U63</f>
        <v>430.93893929431459</v>
      </c>
      <c r="V15" s="63">
        <f>'SER_se-appl'!V63</f>
        <v>423.32386996509541</v>
      </c>
      <c r="W15" s="63">
        <f>'SER_se-appl'!W63</f>
        <v>414.85739256579348</v>
      </c>
      <c r="X15" s="63">
        <f>'SER_se-appl'!X63</f>
        <v>406.3909151664916</v>
      </c>
      <c r="Y15" s="63">
        <f>'SER_se-appl'!Y63</f>
        <v>397.92443776718966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6.8225139027734718</v>
      </c>
      <c r="C3" s="198">
        <f>'SER_se-appl'!C8</f>
        <v>7.3947106728807404</v>
      </c>
      <c r="D3" s="198">
        <f>'SER_se-appl'!D8</f>
        <v>8.1065847096007051</v>
      </c>
      <c r="E3" s="198">
        <f>'SER_se-appl'!E8</f>
        <v>8.7891405895448322</v>
      </c>
      <c r="F3" s="198">
        <f>'SER_se-appl'!F8</f>
        <v>9.7342305492372798</v>
      </c>
      <c r="G3" s="198">
        <f>'SER_se-appl'!G8</f>
        <v>11.026026759343649</v>
      </c>
      <c r="H3" s="198">
        <f>'SER_se-appl'!H8</f>
        <v>13.090923881871712</v>
      </c>
      <c r="I3" s="198">
        <f>'SER_se-appl'!I8</f>
        <v>15.126221275598031</v>
      </c>
      <c r="J3" s="198">
        <f>'SER_se-appl'!J8</f>
        <v>16.789543734129815</v>
      </c>
      <c r="K3" s="198">
        <f>'SER_se-appl'!K8</f>
        <v>17.816436997113239</v>
      </c>
      <c r="L3" s="198">
        <f>'SER_se-appl'!L8</f>
        <v>18.351424448018417</v>
      </c>
      <c r="M3" s="198">
        <f>'SER_se-appl'!M8</f>
        <v>18.562381768306292</v>
      </c>
      <c r="N3" s="198">
        <f>'SER_se-appl'!N8</f>
        <v>18.690495381360837</v>
      </c>
      <c r="O3" s="198">
        <f>'SER_se-appl'!O8</f>
        <v>18.731570258052233</v>
      </c>
      <c r="P3" s="198">
        <f>'SER_se-appl'!P8</f>
        <v>18.913930298381697</v>
      </c>
      <c r="Q3" s="198">
        <f>'SER_se-appl'!Q8</f>
        <v>18.895756753317084</v>
      </c>
      <c r="R3" s="198">
        <f>'SER_se-appl'!R8</f>
        <v>19.767570917977668</v>
      </c>
      <c r="S3" s="198">
        <f>'SER_se-appl'!S8</f>
        <v>19.589161407127314</v>
      </c>
      <c r="T3" s="198">
        <f>'SER_se-appl'!T8</f>
        <v>19.794316690984552</v>
      </c>
      <c r="U3" s="198">
        <f>'SER_se-appl'!U8</f>
        <v>20.266002692056723</v>
      </c>
      <c r="V3" s="198">
        <f>'SER_se-appl'!V8</f>
        <v>18.392416342855107</v>
      </c>
      <c r="W3" s="198">
        <f>'SER_se-appl'!W8</f>
        <v>19.547921328549979</v>
      </c>
      <c r="X3" s="198">
        <f>'SER_se-appl'!X8</f>
        <v>20.320004968864936</v>
      </c>
      <c r="Y3" s="198">
        <f>'SER_se-appl'!Y8</f>
        <v>20.686009739096214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85.464630413372589</v>
      </c>
      <c r="C5" s="59">
        <f>'SER_se-appl'!C16</f>
        <v>92.192064756327468</v>
      </c>
      <c r="D5" s="59">
        <f>'SER_se-appl'!D16</f>
        <v>100.62846604372373</v>
      </c>
      <c r="E5" s="59">
        <f>'SER_se-appl'!E16</f>
        <v>108.66538758159976</v>
      </c>
      <c r="F5" s="59">
        <f>'SER_se-appl'!F16</f>
        <v>119.90497856794356</v>
      </c>
      <c r="G5" s="59">
        <f>'SER_se-appl'!G16</f>
        <v>135.34944171312051</v>
      </c>
      <c r="H5" s="59">
        <f>'SER_se-appl'!H16</f>
        <v>160.17926187324409</v>
      </c>
      <c r="I5" s="59">
        <f>'SER_se-appl'!I16</f>
        <v>184.5227815687073</v>
      </c>
      <c r="J5" s="59">
        <f>'SER_se-appl'!J16</f>
        <v>204.22892830275899</v>
      </c>
      <c r="K5" s="59">
        <f>'SER_se-appl'!K16</f>
        <v>216.13503260206497</v>
      </c>
      <c r="L5" s="59">
        <f>'SER_se-appl'!L16</f>
        <v>222.05485338070508</v>
      </c>
      <c r="M5" s="59">
        <f>'SER_se-appl'!M16</f>
        <v>224.24247608636958</v>
      </c>
      <c r="N5" s="59">
        <f>'SER_se-appl'!N16</f>
        <v>225.44029593461153</v>
      </c>
      <c r="O5" s="59">
        <f>'SER_se-appl'!O16</f>
        <v>225.60120448074875</v>
      </c>
      <c r="P5" s="59">
        <f>'SER_se-appl'!P16</f>
        <v>227.47459429862636</v>
      </c>
      <c r="Q5" s="59">
        <f>'SER_se-appl'!Q16</f>
        <v>226.94699968231521</v>
      </c>
      <c r="R5" s="59">
        <f>'SER_se-appl'!R16</f>
        <v>232.01917425023353</v>
      </c>
      <c r="S5" s="59">
        <f>'SER_se-appl'!S16</f>
        <v>237.00945998598456</v>
      </c>
      <c r="T5" s="59">
        <f>'SER_se-appl'!T16</f>
        <v>243.75152989290902</v>
      </c>
      <c r="U5" s="59">
        <f>'SER_se-appl'!U16</f>
        <v>250.82906992663854</v>
      </c>
      <c r="V5" s="59">
        <f>'SER_se-appl'!V16</f>
        <v>255.39986080828552</v>
      </c>
      <c r="W5" s="59">
        <f>'SER_se-appl'!W16</f>
        <v>255.92414192779012</v>
      </c>
      <c r="X5" s="59">
        <f>'SER_se-appl'!X16</f>
        <v>255.30023053429935</v>
      </c>
      <c r="Y5" s="59">
        <f>'SER_se-appl'!Y16</f>
        <v>254.76001103090314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81.49650091406599</v>
      </c>
      <c r="C6" s="201">
        <f>'SER_se-appl'!C72</f>
        <v>86.214098039418275</v>
      </c>
      <c r="D6" s="201">
        <f>'SER_se-appl'!D72</f>
        <v>91.440742413130238</v>
      </c>
      <c r="E6" s="201">
        <f>'SER_se-appl'!E72</f>
        <v>97.004549597639382</v>
      </c>
      <c r="F6" s="201">
        <f>'SER_se-appl'!F72</f>
        <v>104.00764245408381</v>
      </c>
      <c r="G6" s="201">
        <f>'SER_se-appl'!G72</f>
        <v>114.92724271436794</v>
      </c>
      <c r="H6" s="201">
        <f>'SER_se-appl'!H72</f>
        <v>131.19669979183215</v>
      </c>
      <c r="I6" s="201">
        <f>'SER_se-appl'!I72</f>
        <v>144.17639712654463</v>
      </c>
      <c r="J6" s="201">
        <f>'SER_se-appl'!J72</f>
        <v>156.25638102422567</v>
      </c>
      <c r="K6" s="201">
        <f>'SER_se-appl'!K72</f>
        <v>165.27499984046474</v>
      </c>
      <c r="L6" s="201">
        <f>'SER_se-appl'!L72</f>
        <v>169.39617927160501</v>
      </c>
      <c r="M6" s="201">
        <f>'SER_se-appl'!M72</f>
        <v>171.42158804881302</v>
      </c>
      <c r="N6" s="201">
        <f>'SER_se-appl'!N72</f>
        <v>173.58469849664556</v>
      </c>
      <c r="O6" s="201">
        <f>'SER_se-appl'!O72</f>
        <v>175.00633014806405</v>
      </c>
      <c r="P6" s="201">
        <f>'SER_se-appl'!P72</f>
        <v>176.89707693847276</v>
      </c>
      <c r="Q6" s="201">
        <f>'SER_se-appl'!Q72</f>
        <v>177.84152574481826</v>
      </c>
      <c r="R6" s="201">
        <f>'SER_se-appl'!R72</f>
        <v>182.89625592339399</v>
      </c>
      <c r="S6" s="201">
        <f>'SER_se-appl'!S72</f>
        <v>187.60626749056135</v>
      </c>
      <c r="T6" s="201">
        <f>'SER_se-appl'!T72</f>
        <v>193.91427396732902</v>
      </c>
      <c r="U6" s="201">
        <f>'SER_se-appl'!U72</f>
        <v>201.9245205345984</v>
      </c>
      <c r="V6" s="201">
        <f>'SER_se-appl'!V72</f>
        <v>209.07384907325127</v>
      </c>
      <c r="W6" s="201">
        <f>'SER_se-appl'!W72</f>
        <v>214.98810765772402</v>
      </c>
      <c r="X6" s="201">
        <f>'SER_se-appl'!X72</f>
        <v>219.83974664009918</v>
      </c>
      <c r="Y6" s="201">
        <f>'SER_se-appl'!Y72</f>
        <v>223.79977065579962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1.6659650345531682</v>
      </c>
      <c r="C8" s="34">
        <f>'SER_se-appl'!C24</f>
        <v>1.8088125660140955</v>
      </c>
      <c r="D8" s="34">
        <f>'SER_se-appl'!D24</f>
        <v>1.989208989010917</v>
      </c>
      <c r="E8" s="34">
        <f>'SER_se-appl'!E24</f>
        <v>2.1635690238800116</v>
      </c>
      <c r="F8" s="34">
        <f>'SER_se-appl'!F24</f>
        <v>2.4086672308828212</v>
      </c>
      <c r="G8" s="34">
        <f>'SER_se-appl'!G24</f>
        <v>2.7481501275519751</v>
      </c>
      <c r="H8" s="34">
        <f>'SER_se-appl'!H24</f>
        <v>3.2980278059845309</v>
      </c>
      <c r="I8" s="34">
        <f>'SER_se-appl'!I24</f>
        <v>3.8477626200492558</v>
      </c>
      <c r="J8" s="34">
        <f>'SER_se-appl'!J24</f>
        <v>4.3039398264234263</v>
      </c>
      <c r="K8" s="34">
        <f>'SER_se-appl'!K24</f>
        <v>4.5956170111404848</v>
      </c>
      <c r="L8" s="34">
        <f>'SER_se-appl'!L24</f>
        <v>4.7589017035721843</v>
      </c>
      <c r="M8" s="34">
        <f>'SER_se-appl'!M24</f>
        <v>4.8441663276216911</v>
      </c>
      <c r="N8" s="34">
        <f>'SER_se-appl'!N24</f>
        <v>4.9166699719760087</v>
      </c>
      <c r="O8" s="34">
        <f>'SER_se-appl'!O24</f>
        <v>4.9752704850564982</v>
      </c>
      <c r="P8" s="34">
        <f>'SER_se-appl'!P24</f>
        <v>5.0938616663079648</v>
      </c>
      <c r="Q8" s="34">
        <f>'SER_se-appl'!Q24</f>
        <v>5.1652970111929122</v>
      </c>
      <c r="R8" s="34">
        <f>'SER_se-appl'!R24</f>
        <v>5.3702528036782784</v>
      </c>
      <c r="S8" s="34">
        <f>'SER_se-appl'!S24</f>
        <v>5.5920172167318718</v>
      </c>
      <c r="T8" s="34">
        <f>'SER_se-appl'!T24</f>
        <v>5.8680983072318833</v>
      </c>
      <c r="U8" s="34">
        <f>'SER_se-appl'!U24</f>
        <v>6.1868982881151382</v>
      </c>
      <c r="V8" s="34">
        <f>'SER_se-appl'!V24</f>
        <v>6.4743631692595462</v>
      </c>
      <c r="W8" s="34">
        <f>'SER_se-appl'!W24</f>
        <v>6.7217108117405759</v>
      </c>
      <c r="X8" s="34">
        <f>'SER_se-appl'!X24</f>
        <v>6.9339541433188225</v>
      </c>
      <c r="Y8" s="34">
        <f>'SER_se-appl'!Y24</f>
        <v>7.1158651101831447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0.19029830483116106</v>
      </c>
      <c r="D9" s="36">
        <f>'SER_se-appl'!D32</f>
        <v>0.23318690193632774</v>
      </c>
      <c r="E9" s="36">
        <f>'SER_se-appl'!E32</f>
        <v>0.23309110432750368</v>
      </c>
      <c r="F9" s="36">
        <f>'SER_se-appl'!F32</f>
        <v>0.31043837040009903</v>
      </c>
      <c r="G9" s="36">
        <f>'SER_se-appl'!G32</f>
        <v>0.41217588510192593</v>
      </c>
      <c r="H9" s="36">
        <f>'SER_se-appl'!H32</f>
        <v>0.63075091615553225</v>
      </c>
      <c r="I9" s="36">
        <f>'SER_se-appl'!I32</f>
        <v>0.63970883660537003</v>
      </c>
      <c r="J9" s="36">
        <f>'SER_se-appl'!J32</f>
        <v>0.5562761384816528</v>
      </c>
      <c r="K9" s="36">
        <f>'SER_se-appl'!K32</f>
        <v>0.40304039741027786</v>
      </c>
      <c r="L9" s="36">
        <f>'SER_se-appl'!L32</f>
        <v>0.28717977183213428</v>
      </c>
      <c r="M9" s="36">
        <f>'SER_se-appl'!M32</f>
        <v>0.22310179961596344</v>
      </c>
      <c r="N9" s="36">
        <f>'SER_se-appl'!N32</f>
        <v>0.22585184074823861</v>
      </c>
      <c r="O9" s="36">
        <f>'SER_se-appl'!O32</f>
        <v>0.2292052083713525</v>
      </c>
      <c r="P9" s="36">
        <f>'SER_se-appl'!P32</f>
        <v>0.308394274732402</v>
      </c>
      <c r="Q9" s="36">
        <f>'SER_se-appl'!Q32</f>
        <v>0.28259726064297119</v>
      </c>
      <c r="R9" s="36">
        <f>'SER_se-appl'!R32</f>
        <v>0.39525409731652772</v>
      </c>
      <c r="S9" s="36">
        <f>'SER_se-appl'!S32</f>
        <v>0.45495131498992158</v>
      </c>
      <c r="T9" s="36">
        <f>'SER_se-appl'!T32</f>
        <v>0.50917219482751541</v>
      </c>
      <c r="U9" s="36">
        <f>'SER_se-appl'!U32</f>
        <v>0.62923835128335348</v>
      </c>
      <c r="V9" s="36">
        <f>'SER_se-appl'!V32</f>
        <v>0.69964076624633353</v>
      </c>
      <c r="W9" s="36">
        <f>'SER_se-appl'!W32</f>
        <v>0.8780985586365615</v>
      </c>
      <c r="X9" s="36">
        <f>'SER_se-appl'!X32</f>
        <v>0.85195216818361619</v>
      </c>
      <c r="Y9" s="36">
        <f>'SER_se-appl'!Y32</f>
        <v>0.73818710534597454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4.7450773370233845E-2</v>
      </c>
      <c r="D10" s="38">
        <f>'SER_se-appl'!D40</f>
        <v>5.2790478939505947E-2</v>
      </c>
      <c r="E10" s="38">
        <f>'SER_se-appl'!E40</f>
        <v>5.8731069458409113E-2</v>
      </c>
      <c r="F10" s="38">
        <f>'SER_se-appl'!F40</f>
        <v>6.534016339728943E-2</v>
      </c>
      <c r="G10" s="38">
        <f>'SER_se-appl'!G40</f>
        <v>7.2692988432772054E-2</v>
      </c>
      <c r="H10" s="38">
        <f>'SER_se-appl'!H40</f>
        <v>8.0873237722976388E-2</v>
      </c>
      <c r="I10" s="38">
        <f>'SER_se-appl'!I40</f>
        <v>8.9974022540645127E-2</v>
      </c>
      <c r="J10" s="38">
        <f>'SER_se-appl'!J40</f>
        <v>0.10009893210748277</v>
      </c>
      <c r="K10" s="38">
        <f>'SER_se-appl'!K40</f>
        <v>0.11136321269321936</v>
      </c>
      <c r="L10" s="38">
        <f>'SER_se-appl'!L40</f>
        <v>0.12389507940043476</v>
      </c>
      <c r="M10" s="38">
        <f>'SER_se-appl'!M40</f>
        <v>0.13783717556645669</v>
      </c>
      <c r="N10" s="38">
        <f>'SER_se-appl'!N40</f>
        <v>0.15334819639392094</v>
      </c>
      <c r="O10" s="38">
        <f>'SER_se-appl'!O40</f>
        <v>0.17060469529086308</v>
      </c>
      <c r="P10" s="38">
        <f>'SER_se-appl'!P40</f>
        <v>0.18980309348093538</v>
      </c>
      <c r="Q10" s="38">
        <f>'SER_se-appl'!Q40</f>
        <v>0.21116191575802379</v>
      </c>
      <c r="R10" s="38">
        <f>'SER_se-appl'!R40</f>
        <v>0.1902983048311615</v>
      </c>
      <c r="S10" s="38">
        <f>'SER_se-appl'!S40</f>
        <v>0.23318690193632818</v>
      </c>
      <c r="T10" s="38">
        <f>'SER_se-appl'!T40</f>
        <v>0.23309110432750391</v>
      </c>
      <c r="U10" s="38">
        <f>'SER_se-appl'!U40</f>
        <v>0.31043837040009858</v>
      </c>
      <c r="V10" s="38">
        <f>'SER_se-appl'!V40</f>
        <v>0.41217588510192549</v>
      </c>
      <c r="W10" s="38">
        <f>'SER_se-appl'!W40</f>
        <v>0.6307509161555318</v>
      </c>
      <c r="X10" s="38">
        <f>'SER_se-appl'!X40</f>
        <v>0.63970883660536959</v>
      </c>
      <c r="Y10" s="38">
        <f>'SER_se-appl'!Y40</f>
        <v>0.55627613848165236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928.40554397155961</v>
      </c>
      <c r="C12" s="204">
        <f>'SER_se-appl'!C48</f>
        <v>932.84042778421974</v>
      </c>
      <c r="D12" s="204">
        <f>'SER_se-appl'!D48</f>
        <v>936.90765525225345</v>
      </c>
      <c r="E12" s="204">
        <f>'SER_se-appl'!E48</f>
        <v>940.66479981630187</v>
      </c>
      <c r="F12" s="204">
        <f>'SER_se-appl'!F48</f>
        <v>944.15680349319439</v>
      </c>
      <c r="G12" s="204">
        <f>'SER_se-appl'!G48</f>
        <v>947.41943216110064</v>
      </c>
      <c r="H12" s="204">
        <f>'SER_se-appl'!H48</f>
        <v>950.48162268750605</v>
      </c>
      <c r="I12" s="204">
        <f>'SER_se-appl'!I48</f>
        <v>953.36712323351685</v>
      </c>
      <c r="J12" s="204">
        <f>'SER_se-appl'!J48</f>
        <v>956.09566798716776</v>
      </c>
      <c r="K12" s="204">
        <f>'SER_se-appl'!K48</f>
        <v>958.6838365898825</v>
      </c>
      <c r="L12" s="204">
        <f>'SER_se-appl'!L48</f>
        <v>961.1456947736292</v>
      </c>
      <c r="M12" s="204">
        <f>'SER_se-appl'!M48</f>
        <v>962.71011510884898</v>
      </c>
      <c r="N12" s="204">
        <f>'SER_se-appl'!N48</f>
        <v>964.20411614556406</v>
      </c>
      <c r="O12" s="204">
        <f>'SER_se-appl'!O48</f>
        <v>965.63386087655897</v>
      </c>
      <c r="P12" s="204">
        <f>'SER_se-appl'!P48</f>
        <v>967.00473320289143</v>
      </c>
      <c r="Q12" s="204">
        <f>'SER_se-appl'!Q48</f>
        <v>968.32146425684709</v>
      </c>
      <c r="R12" s="204">
        <f>'SER_se-appl'!R48</f>
        <v>990.85280567430902</v>
      </c>
      <c r="S12" s="204">
        <f>'SER_se-appl'!S48</f>
        <v>961.2356704173867</v>
      </c>
      <c r="T12" s="204">
        <f>'SER_se-appl'!T48</f>
        <v>944.43675170896779</v>
      </c>
      <c r="U12" s="204">
        <f>'SER_se-appl'!U48</f>
        <v>939.65827556412978</v>
      </c>
      <c r="V12" s="204">
        <f>'SER_se-appl'!V48</f>
        <v>837.52513173047737</v>
      </c>
      <c r="W12" s="204">
        <f>'SER_se-appl'!W48</f>
        <v>888.31918449952911</v>
      </c>
      <c r="X12" s="204">
        <f>'SER_se-appl'!X48</f>
        <v>925.66174849634376</v>
      </c>
      <c r="Y12" s="204">
        <f>'SER_se-appl'!Y48</f>
        <v>944.33303049475103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51.300374642193631</v>
      </c>
      <c r="C14" s="59">
        <f>'SER_se-appl'!C56</f>
        <v>50.968279681671035</v>
      </c>
      <c r="D14" s="59">
        <f>'SER_se-appl'!D56</f>
        <v>50.587176410136095</v>
      </c>
      <c r="E14" s="59">
        <f>'SER_se-appl'!E56</f>
        <v>50.225061637611141</v>
      </c>
      <c r="F14" s="59">
        <f>'SER_se-appl'!F56</f>
        <v>49.780632638073527</v>
      </c>
      <c r="G14" s="59">
        <f>'SER_se-appl'!G56</f>
        <v>49.251109084673061</v>
      </c>
      <c r="H14" s="59">
        <f>'SER_se-appl'!H56</f>
        <v>48.568196296764455</v>
      </c>
      <c r="I14" s="59">
        <f>'SER_se-appl'!I56</f>
        <v>47.955864170837337</v>
      </c>
      <c r="J14" s="59">
        <f>'SER_se-appl'!J56</f>
        <v>47.451622592147906</v>
      </c>
      <c r="K14" s="59">
        <f>'SER_se-appl'!K56</f>
        <v>47.030688605712854</v>
      </c>
      <c r="L14" s="59">
        <f>'SER_se-appl'!L56</f>
        <v>46.660945573644355</v>
      </c>
      <c r="M14" s="59">
        <f>'SER_se-appl'!M56</f>
        <v>46.291242067335133</v>
      </c>
      <c r="N14" s="59">
        <f>'SER_se-appl'!N56</f>
        <v>45.852232755009815</v>
      </c>
      <c r="O14" s="59">
        <f>'SER_se-appl'!O56</f>
        <v>45.344510445885206</v>
      </c>
      <c r="P14" s="59">
        <f>'SER_se-appl'!P56</f>
        <v>44.656610092731498</v>
      </c>
      <c r="Q14" s="59">
        <f>'SER_se-appl'!Q56</f>
        <v>43.936873173127054</v>
      </c>
      <c r="R14" s="59">
        <f>'SER_se-appl'!R56</f>
        <v>43.204516199184383</v>
      </c>
      <c r="S14" s="59">
        <f>'SER_se-appl'!S56</f>
        <v>42.383535457800214</v>
      </c>
      <c r="T14" s="59">
        <f>'SER_se-appl'!T56</f>
        <v>41.538419626083638</v>
      </c>
      <c r="U14" s="59">
        <f>'SER_se-appl'!U56</f>
        <v>40.54197406291199</v>
      </c>
      <c r="V14" s="59">
        <f>'SER_se-appl'!V56</f>
        <v>39.447873733888002</v>
      </c>
      <c r="W14" s="59">
        <f>'SER_se-appl'!W56</f>
        <v>38.074256553967842</v>
      </c>
      <c r="X14" s="59">
        <f>'SER_se-appl'!X56</f>
        <v>36.818851878374858</v>
      </c>
      <c r="Y14" s="59">
        <f>'SER_se-appl'!Y56</f>
        <v>35.801692005983831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48.14376461229255</v>
      </c>
      <c r="D15" s="63">
        <f>'SER_se-appl'!D64</f>
        <v>47.792446925585871</v>
      </c>
      <c r="E15" s="63">
        <f>'SER_se-appl'!E64</f>
        <v>47.405701886862126</v>
      </c>
      <c r="F15" s="63">
        <f>'SER_se-appl'!F64</f>
        <v>47.003100257874038</v>
      </c>
      <c r="G15" s="63">
        <f>'SER_se-appl'!G64</f>
        <v>46.518103990720824</v>
      </c>
      <c r="H15" s="63">
        <f>'SER_se-appl'!H64</f>
        <v>45.94309229143289</v>
      </c>
      <c r="I15" s="63">
        <f>'SER_se-appl'!I64</f>
        <v>45.269377414787961</v>
      </c>
      <c r="J15" s="63">
        <f>'SER_se-appl'!J64</f>
        <v>44.656345534167443</v>
      </c>
      <c r="K15" s="63">
        <f>'SER_se-appl'!K64</f>
        <v>43.715416481913941</v>
      </c>
      <c r="L15" s="63">
        <f>'SER_se-appl'!L64</f>
        <v>42.745645662614017</v>
      </c>
      <c r="M15" s="63">
        <f>'SER_se-appl'!M64</f>
        <v>41.499985512367317</v>
      </c>
      <c r="N15" s="63">
        <f>'SER_se-appl'!N64</f>
        <v>40.135337148123206</v>
      </c>
      <c r="O15" s="63">
        <f>'SER_se-appl'!O64</f>
        <v>38.886521792450537</v>
      </c>
      <c r="P15" s="63">
        <f>'SER_se-appl'!P64</f>
        <v>37.647779394644573</v>
      </c>
      <c r="Q15" s="63">
        <f>'SER_se-appl'!Q64</f>
        <v>36.465642833169944</v>
      </c>
      <c r="R15" s="63">
        <f>'SER_se-appl'!R64</f>
        <v>36.01190084673361</v>
      </c>
      <c r="S15" s="63">
        <f>'SER_se-appl'!S64</f>
        <v>35.465021945572758</v>
      </c>
      <c r="T15" s="63">
        <f>'SER_se-appl'!T64</f>
        <v>34.942829737944884</v>
      </c>
      <c r="U15" s="63">
        <f>'SER_se-appl'!U64</f>
        <v>34.437039378387361</v>
      </c>
      <c r="V15" s="63">
        <f>'SER_se-appl'!V64</f>
        <v>33.93803322050239</v>
      </c>
      <c r="W15" s="63">
        <f>'SER_se-appl'!W64</f>
        <v>33.598652888297366</v>
      </c>
      <c r="X15" s="63">
        <f>'SER_se-appl'!X64</f>
        <v>33.259272556092341</v>
      </c>
      <c r="Y15" s="63">
        <f>'SER_se-appl'!Y64</f>
        <v>32.919892223887317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11.388256979755507</v>
      </c>
      <c r="C3" s="198">
        <f>'SER_se-appl'!C9</f>
        <v>12.677922909841318</v>
      </c>
      <c r="D3" s="198">
        <f>'SER_se-appl'!D9</f>
        <v>13.95951151360471</v>
      </c>
      <c r="E3" s="198">
        <f>'SER_se-appl'!E9</f>
        <v>15.513109004980572</v>
      </c>
      <c r="F3" s="198">
        <f>'SER_se-appl'!F9</f>
        <v>16.941650989504982</v>
      </c>
      <c r="G3" s="198">
        <f>'SER_se-appl'!G9</f>
        <v>18.323238026448195</v>
      </c>
      <c r="H3" s="198">
        <f>'SER_se-appl'!H9</f>
        <v>19.731276210121624</v>
      </c>
      <c r="I3" s="198">
        <f>'SER_se-appl'!I9</f>
        <v>21.039830074590856</v>
      </c>
      <c r="J3" s="198">
        <f>'SER_se-appl'!J9</f>
        <v>21.892111562729749</v>
      </c>
      <c r="K3" s="198">
        <f>'SER_se-appl'!K9</f>
        <v>22.659026699414898</v>
      </c>
      <c r="L3" s="198">
        <f>'SER_se-appl'!L9</f>
        <v>23.286910192872597</v>
      </c>
      <c r="M3" s="198">
        <f>'SER_se-appl'!M9</f>
        <v>23.51154389179889</v>
      </c>
      <c r="N3" s="198">
        <f>'SER_se-appl'!N9</f>
        <v>24.056395065661476</v>
      </c>
      <c r="O3" s="198">
        <f>'SER_se-appl'!O9</f>
        <v>24.794721046143728</v>
      </c>
      <c r="P3" s="198">
        <f>'SER_se-appl'!P9</f>
        <v>26.000936688579554</v>
      </c>
      <c r="Q3" s="198">
        <f>'SER_se-appl'!Q9</f>
        <v>27.908933821207402</v>
      </c>
      <c r="R3" s="198">
        <f>'SER_se-appl'!R9</f>
        <v>29.195306515195512</v>
      </c>
      <c r="S3" s="198">
        <f>'SER_se-appl'!S9</f>
        <v>29.873944362344311</v>
      </c>
      <c r="T3" s="198">
        <f>'SER_se-appl'!T9</f>
        <v>30.722351220573415</v>
      </c>
      <c r="U3" s="198">
        <f>'SER_se-appl'!U9</f>
        <v>31.672238587968248</v>
      </c>
      <c r="V3" s="198">
        <f>'SER_se-appl'!V9</f>
        <v>30.822273120899219</v>
      </c>
      <c r="W3" s="198">
        <f>'SER_se-appl'!W9</f>
        <v>31.90129507271708</v>
      </c>
      <c r="X3" s="198">
        <f>'SER_se-appl'!X9</f>
        <v>32.3450099409961</v>
      </c>
      <c r="Y3" s="198">
        <f>'SER_se-appl'!Y9</f>
        <v>32.602249359058526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61.045035794742432</v>
      </c>
      <c r="C5" s="59">
        <f>'SER_se-appl'!C17</f>
        <v>65.473574167479029</v>
      </c>
      <c r="D5" s="59">
        <f>'SER_se-appl'!D17</f>
        <v>69.319484783113126</v>
      </c>
      <c r="E5" s="59">
        <f>'SER_se-appl'!E17</f>
        <v>75.078841200273047</v>
      </c>
      <c r="F5" s="59">
        <f>'SER_se-appl'!F17</f>
        <v>79.988028601034841</v>
      </c>
      <c r="G5" s="59">
        <f>'SER_se-appl'!G17</f>
        <v>84.840110330432225</v>
      </c>
      <c r="H5" s="59">
        <f>'SER_se-appl'!H17</f>
        <v>90.174362377348814</v>
      </c>
      <c r="I5" s="59">
        <f>'SER_se-appl'!I17</f>
        <v>95.275333210829444</v>
      </c>
      <c r="J5" s="59">
        <f>'SER_se-appl'!J17</f>
        <v>97.549544206081279</v>
      </c>
      <c r="K5" s="59">
        <f>'SER_se-appl'!K17</f>
        <v>99.66631604038318</v>
      </c>
      <c r="L5" s="59">
        <f>'SER_se-appl'!L17</f>
        <v>100.58472942712795</v>
      </c>
      <c r="M5" s="59">
        <f>'SER_se-appl'!M17</f>
        <v>99.821964218216834</v>
      </c>
      <c r="N5" s="59">
        <f>'SER_se-appl'!N17</f>
        <v>101.09776745213887</v>
      </c>
      <c r="O5" s="59">
        <f>'SER_se-appl'!O17</f>
        <v>104.06149289472236</v>
      </c>
      <c r="P5" s="59">
        <f>'SER_se-appl'!P17</f>
        <v>109.69571338275948</v>
      </c>
      <c r="Q5" s="59">
        <f>'SER_se-appl'!Q17</f>
        <v>119.25037898324805</v>
      </c>
      <c r="R5" s="59">
        <f>'SER_se-appl'!R17</f>
        <v>123.17877688825062</v>
      </c>
      <c r="S5" s="59">
        <f>'SER_se-appl'!S17</f>
        <v>127.08580987112408</v>
      </c>
      <c r="T5" s="59">
        <f>'SER_se-appl'!T17</f>
        <v>130.78510663051279</v>
      </c>
      <c r="U5" s="59">
        <f>'SER_se-appl'!U17</f>
        <v>133.91303218021019</v>
      </c>
      <c r="V5" s="59">
        <f>'SER_se-appl'!V17</f>
        <v>135.77456561783373</v>
      </c>
      <c r="W5" s="59">
        <f>'SER_se-appl'!W17</f>
        <v>137.55332906681105</v>
      </c>
      <c r="X5" s="59">
        <f>'SER_se-appl'!X17</f>
        <v>137.81955615632202</v>
      </c>
      <c r="Y5" s="59">
        <f>'SER_se-appl'!Y17</f>
        <v>138.03373791134359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7.8323182707332864E-2</v>
      </c>
      <c r="C6" s="201">
        <f>'SER_se-appl'!C73</f>
        <v>8.5861473652226253E-2</v>
      </c>
      <c r="D6" s="201">
        <f>'SER_se-appl'!D73</f>
        <v>9.3394557532154407E-2</v>
      </c>
      <c r="E6" s="201">
        <f>'SER_se-appl'!E73</f>
        <v>0.10486335909858614</v>
      </c>
      <c r="F6" s="201">
        <f>'SER_se-appl'!F73</f>
        <v>0.11636957283838949</v>
      </c>
      <c r="G6" s="201">
        <f>'SER_se-appl'!G73</f>
        <v>0.12923657309315204</v>
      </c>
      <c r="H6" s="201">
        <f>'SER_se-appl'!H73</f>
        <v>0.14456775078581399</v>
      </c>
      <c r="I6" s="201">
        <f>'SER_se-appl'!I73</f>
        <v>0.16079528650832919</v>
      </c>
      <c r="J6" s="201">
        <f>'SER_se-appl'!J73</f>
        <v>0.17481478802436992</v>
      </c>
      <c r="K6" s="201">
        <f>'SER_se-appl'!K73</f>
        <v>0.18756807264383199</v>
      </c>
      <c r="L6" s="201">
        <f>'SER_se-appl'!L73</f>
        <v>0.20073334264432685</v>
      </c>
      <c r="M6" s="201">
        <f>'SER_se-appl'!M73</f>
        <v>0.21530712997269641</v>
      </c>
      <c r="N6" s="201">
        <f>'SER_se-appl'!N73</f>
        <v>0.23376290880747955</v>
      </c>
      <c r="O6" s="201">
        <f>'SER_se-appl'!O73</f>
        <v>0.25499748523907334</v>
      </c>
      <c r="P6" s="201">
        <f>'SER_se-appl'!P73</f>
        <v>0.28134576686403873</v>
      </c>
      <c r="Q6" s="201">
        <f>'SER_se-appl'!Q73</f>
        <v>0.31397753394863703</v>
      </c>
      <c r="R6" s="201">
        <f>'SER_se-appl'!R73</f>
        <v>0.33117174193197846</v>
      </c>
      <c r="S6" s="201">
        <f>'SER_se-appl'!S73</f>
        <v>0.34829345878654167</v>
      </c>
      <c r="T6" s="201">
        <f>'SER_se-appl'!T73</f>
        <v>0.36555654734812237</v>
      </c>
      <c r="U6" s="201">
        <f>'SER_se-appl'!U73</f>
        <v>0.37991831780734708</v>
      </c>
      <c r="V6" s="201">
        <f>'SER_se-appl'!V73</f>
        <v>0.39300019231044203</v>
      </c>
      <c r="W6" s="201">
        <f>'SER_se-appl'!W73</f>
        <v>0.40511189860298075</v>
      </c>
      <c r="X6" s="201">
        <f>'SER_se-appl'!X73</f>
        <v>0.41540630266095308</v>
      </c>
      <c r="Y6" s="201">
        <f>'SER_se-appl'!Y73</f>
        <v>0.42299880710431942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155.68729804241445</v>
      </c>
      <c r="C8" s="34">
        <f>'SER_se-appl'!C25</f>
        <v>170.87240354645354</v>
      </c>
      <c r="D8" s="34">
        <f>'SER_se-appl'!D25</f>
        <v>186.23117597761171</v>
      </c>
      <c r="E8" s="34">
        <f>'SER_se-appl'!E25</f>
        <v>209.20586189252961</v>
      </c>
      <c r="F8" s="34">
        <f>'SER_se-appl'!F25</f>
        <v>232.32405541046444</v>
      </c>
      <c r="G8" s="34">
        <f>'SER_se-appl'!G25</f>
        <v>258.16168604514957</v>
      </c>
      <c r="H8" s="34">
        <f>'SER_se-appl'!H25</f>
        <v>289.62096007876676</v>
      </c>
      <c r="I8" s="34">
        <f>'SER_se-appl'!I25</f>
        <v>323.25914570475533</v>
      </c>
      <c r="J8" s="34">
        <f>'SER_se-appl'!J25</f>
        <v>351.42474910696211</v>
      </c>
      <c r="K8" s="34">
        <f>'SER_se-appl'!K25</f>
        <v>381.20622325456367</v>
      </c>
      <c r="L8" s="34">
        <f>'SER_se-appl'!L25</f>
        <v>410.89633479271356</v>
      </c>
      <c r="M8" s="34">
        <f>'SER_se-appl'!M25</f>
        <v>441.42030949159243</v>
      </c>
      <c r="N8" s="34">
        <f>'SER_se-appl'!N25</f>
        <v>480.498724002139</v>
      </c>
      <c r="O8" s="34">
        <f>'SER_se-appl'!O25</f>
        <v>524.99417755739421</v>
      </c>
      <c r="P8" s="34">
        <f>'SER_se-appl'!P25</f>
        <v>579.87753989696728</v>
      </c>
      <c r="Q8" s="34">
        <f>'SER_se-appl'!Q25</f>
        <v>647.6960913667607</v>
      </c>
      <c r="R8" s="34">
        <f>'SER_se-appl'!R25</f>
        <v>683.60073563508683</v>
      </c>
      <c r="S8" s="34">
        <f>'SER_se-appl'!S25</f>
        <v>719.5377150398225</v>
      </c>
      <c r="T8" s="34">
        <f>'SER_se-appl'!T25</f>
        <v>755.56151658288718</v>
      </c>
      <c r="U8" s="34">
        <f>'SER_se-appl'!U25</f>
        <v>790.57506687185094</v>
      </c>
      <c r="V8" s="34">
        <f>'SER_se-appl'!V25</f>
        <v>823.67377605595539</v>
      </c>
      <c r="W8" s="34">
        <f>'SER_se-appl'!W25</f>
        <v>854.37167658001852</v>
      </c>
      <c r="X8" s="34">
        <f>'SER_se-appl'!X25</f>
        <v>875.33585284110711</v>
      </c>
      <c r="Y8" s="34">
        <f>'SER_se-appl'!Y25</f>
        <v>895.47663067324527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46.322565112521971</v>
      </c>
      <c r="D9" s="36">
        <f>'SER_se-appl'!D33</f>
        <v>46.496232039641058</v>
      </c>
      <c r="E9" s="36">
        <f>'SER_se-appl'!E33</f>
        <v>54.112145523400784</v>
      </c>
      <c r="F9" s="36">
        <f>'SER_se-appl'!F33</f>
        <v>54.255653126417712</v>
      </c>
      <c r="G9" s="36">
        <f>'SER_se-appl'!G33</f>
        <v>56.975090243168012</v>
      </c>
      <c r="H9" s="36">
        <f>'SER_se-appl'!H33</f>
        <v>77.781839146139163</v>
      </c>
      <c r="I9" s="36">
        <f>'SER_se-appl'!I33</f>
        <v>80.134417665629627</v>
      </c>
      <c r="J9" s="36">
        <f>'SER_se-appl'!J33</f>
        <v>82.277748925607568</v>
      </c>
      <c r="K9" s="36">
        <f>'SER_se-appl'!K33</f>
        <v>84.037127274019269</v>
      </c>
      <c r="L9" s="36">
        <f>'SER_se-appl'!L33</f>
        <v>86.665201781317933</v>
      </c>
      <c r="M9" s="36">
        <f>'SER_se-appl'!M33</f>
        <v>108.30581384501806</v>
      </c>
      <c r="N9" s="36">
        <f>'SER_se-appl'!N33</f>
        <v>119.21283217617616</v>
      </c>
      <c r="O9" s="36">
        <f>'SER_se-appl'!O33</f>
        <v>126.77320248086278</v>
      </c>
      <c r="P9" s="36">
        <f>'SER_se-appl'!P33</f>
        <v>138.92048961359234</v>
      </c>
      <c r="Q9" s="36">
        <f>'SER_se-appl'!Q33</f>
        <v>154.48375325111135</v>
      </c>
      <c r="R9" s="36">
        <f>'SER_se-appl'!R33</f>
        <v>144.2104581133442</v>
      </c>
      <c r="S9" s="36">
        <f>'SER_se-appl'!S33</f>
        <v>155.14981158091189</v>
      </c>
      <c r="T9" s="36">
        <f>'SER_se-appl'!T33</f>
        <v>162.79700402392746</v>
      </c>
      <c r="U9" s="36">
        <f>'SER_se-appl'!U33</f>
        <v>173.93403990255604</v>
      </c>
      <c r="V9" s="36">
        <f>'SER_se-appl'!V33</f>
        <v>187.5824624352158</v>
      </c>
      <c r="W9" s="36">
        <f>'SER_se-appl'!W33</f>
        <v>174.90835863740733</v>
      </c>
      <c r="X9" s="36">
        <f>'SER_se-appl'!X33</f>
        <v>176.11398784200048</v>
      </c>
      <c r="Y9" s="36">
        <f>'SER_se-appl'!Y33</f>
        <v>182.93778185606561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31.137459608482885</v>
      </c>
      <c r="D10" s="38">
        <f>'SER_se-appl'!D41</f>
        <v>31.137459608482885</v>
      </c>
      <c r="E10" s="38">
        <f>'SER_se-appl'!E41</f>
        <v>31.137459608482885</v>
      </c>
      <c r="F10" s="38">
        <f>'SER_se-appl'!F41</f>
        <v>31.137459608482914</v>
      </c>
      <c r="G10" s="38">
        <f>'SER_se-appl'!G41</f>
        <v>31.137459608482857</v>
      </c>
      <c r="H10" s="38">
        <f>'SER_se-appl'!H41</f>
        <v>46.322565112521943</v>
      </c>
      <c r="I10" s="38">
        <f>'SER_se-appl'!I41</f>
        <v>46.496232039641029</v>
      </c>
      <c r="J10" s="38">
        <f>'SER_se-appl'!J41</f>
        <v>54.112145523400784</v>
      </c>
      <c r="K10" s="38">
        <f>'SER_se-appl'!K41</f>
        <v>54.255653126417712</v>
      </c>
      <c r="L10" s="38">
        <f>'SER_se-appl'!L41</f>
        <v>56.97509024316804</v>
      </c>
      <c r="M10" s="38">
        <f>'SER_se-appl'!M41</f>
        <v>77.781839146139191</v>
      </c>
      <c r="N10" s="38">
        <f>'SER_se-appl'!N41</f>
        <v>80.134417665629542</v>
      </c>
      <c r="O10" s="38">
        <f>'SER_se-appl'!O41</f>
        <v>82.277748925607625</v>
      </c>
      <c r="P10" s="38">
        <f>'SER_se-appl'!P41</f>
        <v>84.037127274019326</v>
      </c>
      <c r="Q10" s="38">
        <f>'SER_se-appl'!Q41</f>
        <v>86.665201781317933</v>
      </c>
      <c r="R10" s="38">
        <f>'SER_se-appl'!R41</f>
        <v>108.30581384501806</v>
      </c>
      <c r="S10" s="38">
        <f>'SER_se-appl'!S41</f>
        <v>119.21283217617622</v>
      </c>
      <c r="T10" s="38">
        <f>'SER_se-appl'!T41</f>
        <v>126.77320248086278</v>
      </c>
      <c r="U10" s="38">
        <f>'SER_se-appl'!U41</f>
        <v>138.92048961359228</v>
      </c>
      <c r="V10" s="38">
        <f>'SER_se-appl'!V41</f>
        <v>154.48375325111135</v>
      </c>
      <c r="W10" s="38">
        <f>'SER_se-appl'!W41</f>
        <v>144.2104581133442</v>
      </c>
      <c r="X10" s="38">
        <f>'SER_se-appl'!X41</f>
        <v>155.14981158091189</v>
      </c>
      <c r="Y10" s="38">
        <f>'SER_se-appl'!Y41</f>
        <v>162.79700402392757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2169.6347123112596</v>
      </c>
      <c r="C12" s="204">
        <f>'SER_se-appl'!C49</f>
        <v>2251.965702441988</v>
      </c>
      <c r="D12" s="204">
        <f>'SER_se-appl'!D49</f>
        <v>2342.0416266967486</v>
      </c>
      <c r="E12" s="204">
        <f>'SER_se-appl'!E49</f>
        <v>2403.0399889452196</v>
      </c>
      <c r="F12" s="204">
        <f>'SER_se-appl'!F49</f>
        <v>2463.2611211197404</v>
      </c>
      <c r="G12" s="204">
        <f>'SER_se-appl'!G49</f>
        <v>2511.774883573597</v>
      </c>
      <c r="H12" s="204">
        <f>'SER_se-appl'!H49</f>
        <v>2544.7891870135027</v>
      </c>
      <c r="I12" s="204">
        <f>'SER_se-appl'!I49</f>
        <v>2568.2746574711396</v>
      </c>
      <c r="J12" s="204">
        <f>'SER_se-appl'!J49</f>
        <v>2610.0097088785246</v>
      </c>
      <c r="K12" s="204">
        <f>'SER_se-appl'!K49</f>
        <v>2644.0676347204349</v>
      </c>
      <c r="L12" s="204">
        <f>'SER_se-appl'!L49</f>
        <v>2692.5236771583504</v>
      </c>
      <c r="M12" s="204">
        <f>'SER_se-appl'!M49</f>
        <v>2739.2694343688368</v>
      </c>
      <c r="N12" s="204">
        <f>'SER_se-appl'!N49</f>
        <v>2767.3793562859132</v>
      </c>
      <c r="O12" s="204">
        <f>'SER_se-appl'!O49</f>
        <v>2771.0788856199115</v>
      </c>
      <c r="P12" s="204">
        <f>'SER_se-appl'!P49</f>
        <v>2756.6336401227691</v>
      </c>
      <c r="Q12" s="204">
        <f>'SER_se-appl'!Q49</f>
        <v>2721.8437635845021</v>
      </c>
      <c r="R12" s="204">
        <f>'SER_se-appl'!R49</f>
        <v>2756.4928257061697</v>
      </c>
      <c r="S12" s="204">
        <f>'SER_se-appl'!S49</f>
        <v>2733.8533962713241</v>
      </c>
      <c r="T12" s="204">
        <f>'SER_se-appl'!T49</f>
        <v>2731.9696707110288</v>
      </c>
      <c r="U12" s="204">
        <f>'SER_se-appl'!U49</f>
        <v>2750.6518878788079</v>
      </c>
      <c r="V12" s="204">
        <f>'SER_se-appl'!V49</f>
        <v>2640.13392173191</v>
      </c>
      <c r="W12" s="204">
        <f>'SER_se-appl'!W49</f>
        <v>2697.2234275442024</v>
      </c>
      <c r="X12" s="204">
        <f>'SER_se-appl'!X49</f>
        <v>2729.4563711053497</v>
      </c>
      <c r="Y12" s="204">
        <f>'SER_se-appl'!Y49</f>
        <v>2746.8948228394747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392.10029695622126</v>
      </c>
      <c r="C14" s="59">
        <f>'SER_se-appl'!C57</f>
        <v>383.17231342555158</v>
      </c>
      <c r="D14" s="59">
        <f>'SER_se-appl'!D57</f>
        <v>372.22277322378369</v>
      </c>
      <c r="E14" s="59">
        <f>'SER_se-appl'!E57</f>
        <v>358.87541831328571</v>
      </c>
      <c r="F14" s="59">
        <f>'SER_se-appl'!F57</f>
        <v>344.29507723474416</v>
      </c>
      <c r="G14" s="59">
        <f>'SER_se-appl'!G57</f>
        <v>328.63168671587715</v>
      </c>
      <c r="H14" s="59">
        <f>'SER_se-appl'!H57</f>
        <v>311.35302622028649</v>
      </c>
      <c r="I14" s="59">
        <f>'SER_se-appl'!I57</f>
        <v>294.7336045299333</v>
      </c>
      <c r="J14" s="59">
        <f>'SER_se-appl'!J57</f>
        <v>277.58302297710514</v>
      </c>
      <c r="K14" s="59">
        <f>'SER_se-appl'!K57</f>
        <v>261.44986613670142</v>
      </c>
      <c r="L14" s="59">
        <f>'SER_se-appl'!L57</f>
        <v>244.79344523204452</v>
      </c>
      <c r="M14" s="59">
        <f>'SER_se-appl'!M57</f>
        <v>226.13813200662918</v>
      </c>
      <c r="N14" s="59">
        <f>'SER_se-appl'!N57</f>
        <v>210.40173969679225</v>
      </c>
      <c r="O14" s="59">
        <f>'SER_se-appl'!O57</f>
        <v>198.21456569077091</v>
      </c>
      <c r="P14" s="59">
        <f>'SER_se-appl'!P57</f>
        <v>189.17048141276558</v>
      </c>
      <c r="Q14" s="59">
        <f>'SER_se-appl'!Q57</f>
        <v>184.11471147155962</v>
      </c>
      <c r="R14" s="59">
        <f>'SER_se-appl'!R57</f>
        <v>180.19111224889718</v>
      </c>
      <c r="S14" s="59">
        <f>'SER_se-appl'!S57</f>
        <v>176.62147127908449</v>
      </c>
      <c r="T14" s="59">
        <f>'SER_se-appl'!T57</f>
        <v>173.09656958443739</v>
      </c>
      <c r="U14" s="59">
        <f>'SER_se-appl'!U57</f>
        <v>169.38686507035638</v>
      </c>
      <c r="V14" s="59">
        <f>'SER_se-appl'!V57</f>
        <v>164.84021898568983</v>
      </c>
      <c r="W14" s="59">
        <f>'SER_se-appl'!W57</f>
        <v>160.99940206050138</v>
      </c>
      <c r="X14" s="59">
        <f>'SER_se-appl'!X57</f>
        <v>157.4476307682319</v>
      </c>
      <c r="Y14" s="59">
        <f>'SER_se-appl'!Y57</f>
        <v>154.14555018322014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359.16718971133992</v>
      </c>
      <c r="D15" s="63">
        <f>'SER_se-appl'!D65</f>
        <v>345.29502865726243</v>
      </c>
      <c r="E15" s="63">
        <f>'SER_se-appl'!E65</f>
        <v>332.05786616496277</v>
      </c>
      <c r="F15" s="63">
        <f>'SER_se-appl'!F65</f>
        <v>315.5098791240103</v>
      </c>
      <c r="G15" s="63">
        <f>'SER_se-appl'!G65</f>
        <v>299.44821176288866</v>
      </c>
      <c r="H15" s="63">
        <f>'SER_se-appl'!H65</f>
        <v>282.47978988154682</v>
      </c>
      <c r="I15" s="63">
        <f>'SER_se-appl'!I65</f>
        <v>264.00502086804539</v>
      </c>
      <c r="J15" s="63">
        <f>'SER_se-appl'!J65</f>
        <v>246.0273261688628</v>
      </c>
      <c r="K15" s="63">
        <f>'SER_se-appl'!K65</f>
        <v>228.88652929904268</v>
      </c>
      <c r="L15" s="63">
        <f>'SER_se-appl'!L65</f>
        <v>207.45930206749259</v>
      </c>
      <c r="M15" s="63">
        <f>'SER_se-appl'!M65</f>
        <v>195.82542817175022</v>
      </c>
      <c r="N15" s="63">
        <f>'SER_se-appl'!N65</f>
        <v>188.1650778066832</v>
      </c>
      <c r="O15" s="63">
        <f>'SER_se-appl'!O65</f>
        <v>183.05367033263124</v>
      </c>
      <c r="P15" s="63">
        <f>'SER_se-appl'!P65</f>
        <v>179.01741457450225</v>
      </c>
      <c r="Q15" s="63">
        <f>'SER_se-appl'!Q65</f>
        <v>178.23342128944</v>
      </c>
      <c r="R15" s="63">
        <f>'SER_se-appl'!R65</f>
        <v>174.31073032814285</v>
      </c>
      <c r="S15" s="63">
        <f>'SER_se-appl'!S65</f>
        <v>169.76317635502167</v>
      </c>
      <c r="T15" s="63">
        <f>'SER_se-appl'!T65</f>
        <v>165.27083489434443</v>
      </c>
      <c r="U15" s="63">
        <f>'SER_se-appl'!U65</f>
        <v>160.96396339343164</v>
      </c>
      <c r="V15" s="63">
        <f>'SER_se-appl'!V65</f>
        <v>156.70815347865994</v>
      </c>
      <c r="W15" s="63">
        <f>'SER_se-appl'!W65</f>
        <v>153.88740671604407</v>
      </c>
      <c r="X15" s="63">
        <f>'SER_se-appl'!X65</f>
        <v>151.06665995342817</v>
      </c>
      <c r="Y15" s="63">
        <f>'SER_se-appl'!Y65</f>
        <v>148.2459131908123</v>
      </c>
      <c r="DA15" s="105" t="s">
        <v>957</v>
      </c>
    </row>
    <row r="17" spans="1:105" ht="12" customHeight="1" x14ac:dyDescent="0.25">
      <c r="A17" s="197" t="s">
        <v>184</v>
      </c>
      <c r="B17" s="198">
        <v>3.765316765878759</v>
      </c>
      <c r="C17" s="198">
        <v>4.5516111850077952</v>
      </c>
      <c r="D17" s="198">
        <v>5.3423570595243017</v>
      </c>
      <c r="E17" s="198">
        <v>6.1140118596202448</v>
      </c>
      <c r="F17" s="198">
        <v>6.8522967151135337</v>
      </c>
      <c r="G17" s="198">
        <v>7.5306335317575135</v>
      </c>
      <c r="H17" s="198">
        <v>8.110530152059507</v>
      </c>
      <c r="I17" s="198">
        <v>8.6309373917826093</v>
      </c>
      <c r="J17" s="198">
        <v>9.1162976351013452</v>
      </c>
      <c r="K17" s="198">
        <v>9.5802968129626098</v>
      </c>
      <c r="L17" s="198">
        <v>10.040844709010031</v>
      </c>
      <c r="M17" s="198">
        <v>10.321483656593182</v>
      </c>
      <c r="N17" s="198">
        <v>10.646278331642021</v>
      </c>
      <c r="O17" s="198">
        <v>10.832544207805865</v>
      </c>
      <c r="P17" s="198">
        <v>11.018810083969704</v>
      </c>
      <c r="Q17" s="198">
        <v>11.205075960133547</v>
      </c>
      <c r="R17" s="198">
        <v>11.391341836297379</v>
      </c>
      <c r="S17" s="198">
        <v>11.577607712461234</v>
      </c>
      <c r="T17" s="198">
        <v>11.763873588625074</v>
      </c>
      <c r="U17" s="198">
        <v>11.950139464788913</v>
      </c>
      <c r="V17" s="198">
        <v>12.136405340952757</v>
      </c>
      <c r="W17" s="198">
        <v>12.322671217116604</v>
      </c>
      <c r="X17" s="198">
        <v>12.50893709328045</v>
      </c>
      <c r="Y17" s="198">
        <v>12.634026464213242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1107.219903216333</v>
      </c>
      <c r="C3" s="219">
        <v>1033.570647519517</v>
      </c>
      <c r="D3" s="219">
        <v>1144.524642275933</v>
      </c>
      <c r="E3" s="219">
        <v>903.69991623802559</v>
      </c>
      <c r="F3" s="219">
        <v>1021.442234405373</v>
      </c>
      <c r="G3" s="219">
        <v>1067.2561872794761</v>
      </c>
      <c r="H3" s="219">
        <v>977.15685640507479</v>
      </c>
      <c r="I3" s="219">
        <v>1021.889364235687</v>
      </c>
      <c r="J3" s="219">
        <v>911.41789540012599</v>
      </c>
      <c r="K3" s="219">
        <v>850.38300251409123</v>
      </c>
      <c r="L3" s="219">
        <v>893.54677865693679</v>
      </c>
      <c r="M3" s="219">
        <v>1006.265500549611</v>
      </c>
      <c r="N3" s="219">
        <v>879.01807792312502</v>
      </c>
      <c r="O3" s="219">
        <v>883.66237631743354</v>
      </c>
      <c r="P3" s="219">
        <v>909.20962563611636</v>
      </c>
      <c r="Q3" s="219">
        <v>1009.7856430000001</v>
      </c>
      <c r="R3" s="219">
        <v>975.04995940031279</v>
      </c>
      <c r="S3" s="219">
        <v>937.89247457958561</v>
      </c>
      <c r="T3" s="219">
        <v>1148.1034138289649</v>
      </c>
      <c r="U3" s="219">
        <v>1054.643705737285</v>
      </c>
      <c r="V3" s="219">
        <v>1081.022847080834</v>
      </c>
      <c r="W3" s="219">
        <v>934.4177899140135</v>
      </c>
      <c r="X3" s="219">
        <v>1028.006893896918</v>
      </c>
      <c r="Y3" s="219">
        <v>981.2</v>
      </c>
      <c r="DA3" s="210" t="s">
        <v>974</v>
      </c>
    </row>
    <row r="5" spans="1:105" x14ac:dyDescent="0.25">
      <c r="A5" s="218" t="s">
        <v>120</v>
      </c>
      <c r="B5" s="219">
        <v>738.20033245373554</v>
      </c>
      <c r="C5" s="219">
        <v>743.74809790176857</v>
      </c>
      <c r="D5" s="219">
        <v>744.82352504273842</v>
      </c>
      <c r="E5" s="219">
        <v>714.98259918425845</v>
      </c>
      <c r="F5" s="219">
        <v>644.39120006133965</v>
      </c>
      <c r="G5" s="219">
        <v>566.99547791967075</v>
      </c>
      <c r="H5" s="219">
        <v>587.88988890193161</v>
      </c>
      <c r="I5" s="219">
        <v>640.34350777594125</v>
      </c>
      <c r="J5" s="219">
        <v>627.3624264943561</v>
      </c>
      <c r="K5" s="219">
        <v>499.73836186444169</v>
      </c>
      <c r="L5" s="219">
        <v>551.69870247227436</v>
      </c>
      <c r="M5" s="219">
        <v>589.63208495726406</v>
      </c>
      <c r="N5" s="219">
        <v>604.03910438601906</v>
      </c>
      <c r="O5" s="219">
        <v>597.58510458143462</v>
      </c>
      <c r="P5" s="219">
        <v>663.16986990901694</v>
      </c>
      <c r="Q5" s="219">
        <v>635.65175265964774</v>
      </c>
      <c r="R5" s="219">
        <v>619.71087857170096</v>
      </c>
      <c r="S5" s="219">
        <v>669.45403169527503</v>
      </c>
      <c r="T5" s="219">
        <v>649.17835969260716</v>
      </c>
      <c r="U5" s="219">
        <v>642.03305727715406</v>
      </c>
      <c r="V5" s="219">
        <v>595.47140461914978</v>
      </c>
      <c r="W5" s="219">
        <v>638.29821920503673</v>
      </c>
      <c r="X5" s="219">
        <v>750.03432663544027</v>
      </c>
      <c r="Y5" s="219">
        <v>730.17060407800182</v>
      </c>
      <c r="DA5" s="210" t="s">
        <v>975</v>
      </c>
    </row>
    <row r="6" spans="1:105" x14ac:dyDescent="0.25">
      <c r="A6" s="220" t="s">
        <v>119</v>
      </c>
      <c r="B6" s="221">
        <v>922.7504155671694</v>
      </c>
      <c r="C6" s="221">
        <v>876.61289478881099</v>
      </c>
      <c r="D6" s="221">
        <v>830.47537401045247</v>
      </c>
      <c r="E6" s="221">
        <v>830.47537401045247</v>
      </c>
      <c r="F6" s="221">
        <v>784.33785323209395</v>
      </c>
      <c r="G6" s="221">
        <v>738.20033245373543</v>
      </c>
      <c r="H6" s="221">
        <v>738.20033245373543</v>
      </c>
      <c r="I6" s="221">
        <v>692.06281167537691</v>
      </c>
      <c r="J6" s="221">
        <v>692.06281167537691</v>
      </c>
      <c r="K6" s="221">
        <v>692.06281167537691</v>
      </c>
      <c r="L6" s="221">
        <v>645.92529089701839</v>
      </c>
      <c r="M6" s="221">
        <v>645.92529089701839</v>
      </c>
      <c r="N6" s="221">
        <v>645.92529089701839</v>
      </c>
      <c r="O6" s="221">
        <v>645.92529089701839</v>
      </c>
      <c r="P6" s="221">
        <v>738.20033245373531</v>
      </c>
      <c r="Q6" s="221">
        <v>738.20033245373531</v>
      </c>
      <c r="R6" s="221">
        <v>692.06281167537691</v>
      </c>
      <c r="S6" s="221">
        <v>738.20033245373543</v>
      </c>
      <c r="T6" s="221">
        <v>738.20033245373543</v>
      </c>
      <c r="U6" s="221">
        <v>692.06281167537691</v>
      </c>
      <c r="V6" s="221">
        <v>645.92529089701839</v>
      </c>
      <c r="W6" s="221">
        <v>692.06281167537691</v>
      </c>
      <c r="X6" s="221">
        <v>830.47537401045224</v>
      </c>
      <c r="Y6" s="221">
        <v>784.33785323209372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46.137520778358457</v>
      </c>
      <c r="K7" s="225">
        <v>0</v>
      </c>
      <c r="L7" s="225">
        <v>0</v>
      </c>
      <c r="M7" s="225">
        <v>46.137520778358457</v>
      </c>
      <c r="N7" s="225">
        <v>0</v>
      </c>
      <c r="O7" s="225">
        <v>46.137520778358457</v>
      </c>
      <c r="P7" s="225">
        <v>138.41256233507539</v>
      </c>
      <c r="Q7" s="225">
        <v>0</v>
      </c>
      <c r="R7" s="225">
        <v>0</v>
      </c>
      <c r="S7" s="225">
        <v>92.275041556716928</v>
      </c>
      <c r="T7" s="225">
        <v>0</v>
      </c>
      <c r="U7" s="225">
        <v>0</v>
      </c>
      <c r="V7" s="225">
        <v>0</v>
      </c>
      <c r="W7" s="225">
        <v>46.137520778358521</v>
      </c>
      <c r="X7" s="225">
        <v>184.55008311343391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46.137520778358407</v>
      </c>
      <c r="D8" s="227">
        <f t="shared" ref="D8" si="1">IF(C6=0,0,C6+D7-D6)</f>
        <v>46.137520778358521</v>
      </c>
      <c r="E8" s="227">
        <f t="shared" ref="E8" si="2">IF(D6=0,0,D6+E7-E6)</f>
        <v>0</v>
      </c>
      <c r="F8" s="227">
        <f t="shared" ref="F8" si="3">IF(E6=0,0,E6+F7-F6)</f>
        <v>46.137520778358521</v>
      </c>
      <c r="G8" s="227">
        <f t="shared" ref="G8" si="4">IF(F6=0,0,F6+G7-G6)</f>
        <v>46.137520778358521</v>
      </c>
      <c r="H8" s="227">
        <f t="shared" ref="H8" si="5">IF(G6=0,0,G6+H7-H6)</f>
        <v>0</v>
      </c>
      <c r="I8" s="227">
        <f t="shared" ref="I8" si="6">IF(H6=0,0,H6+I7-I6)</f>
        <v>46.137520778358521</v>
      </c>
      <c r="J8" s="227">
        <f t="shared" ref="J8" si="7">IF(I6=0,0,I6+J7-J6)</f>
        <v>46.137520778358407</v>
      </c>
      <c r="K8" s="227">
        <f t="shared" ref="K8" si="8">IF(J6=0,0,J6+K7-K6)</f>
        <v>0</v>
      </c>
      <c r="L8" s="227">
        <f t="shared" ref="L8" si="9">IF(K6=0,0,K6+L7-L6)</f>
        <v>46.137520778358521</v>
      </c>
      <c r="M8" s="227">
        <f t="shared" ref="M8" si="10">IF(L6=0,0,L6+M7-M6)</f>
        <v>46.137520778358407</v>
      </c>
      <c r="N8" s="227">
        <f t="shared" ref="N8" si="11">IF(M6=0,0,M6+N7-N6)</f>
        <v>0</v>
      </c>
      <c r="O8" s="227">
        <f t="shared" ref="O8" si="12">IF(N6=0,0,N6+O7-O6)</f>
        <v>46.137520778358407</v>
      </c>
      <c r="P8" s="227">
        <f t="shared" ref="P8" si="13">IF(O6=0,0,O6+P7-P6)</f>
        <v>46.137520778358407</v>
      </c>
      <c r="Q8" s="227">
        <f t="shared" ref="Q8" si="14">IF(P6=0,0,P6+Q7-Q6)</f>
        <v>0</v>
      </c>
      <c r="R8" s="227">
        <f t="shared" ref="R8" si="15">IF(Q6=0,0,Q6+R7-R6)</f>
        <v>46.137520778358407</v>
      </c>
      <c r="S8" s="227">
        <f t="shared" ref="S8" si="16">IF(R6=0,0,R6+S7-S6)</f>
        <v>46.137520778358407</v>
      </c>
      <c r="T8" s="227">
        <f t="shared" ref="T8" si="17">IF(S6=0,0,S6+T7-T6)</f>
        <v>0</v>
      </c>
      <c r="U8" s="227">
        <f t="shared" ref="U8" si="18">IF(T6=0,0,T6+U7-U6)</f>
        <v>46.137520778358521</v>
      </c>
      <c r="V8" s="227">
        <f t="shared" ref="V8" si="19">IF(U6=0,0,U6+V7-V6)</f>
        <v>46.137520778358521</v>
      </c>
      <c r="W8" s="227">
        <f t="shared" ref="W8" si="20">IF(V6=0,0,V6+W7-W6)</f>
        <v>0</v>
      </c>
      <c r="X8" s="227">
        <f t="shared" ref="X8" si="21">IF(W6=0,0,W6+X7-X6)</f>
        <v>46.137520778358521</v>
      </c>
      <c r="Y8" s="227">
        <f t="shared" ref="Y8" si="22">IF(X6=0,0,X6+Y7-Y6)</f>
        <v>46.137520778358521</v>
      </c>
      <c r="DA8" s="213" t="s">
        <v>978</v>
      </c>
    </row>
    <row r="9" spans="1:105" x14ac:dyDescent="0.25">
      <c r="A9" s="222" t="s">
        <v>116</v>
      </c>
      <c r="B9" s="223">
        <f>B6-B5</f>
        <v>184.55008311343386</v>
      </c>
      <c r="C9" s="223">
        <f t="shared" ref="C9:W9" si="23">C6-C5</f>
        <v>132.86479688704242</v>
      </c>
      <c r="D9" s="223">
        <f t="shared" si="23"/>
        <v>85.651848967714045</v>
      </c>
      <c r="E9" s="223">
        <f t="shared" si="23"/>
        <v>115.49277482619402</v>
      </c>
      <c r="F9" s="223">
        <f t="shared" si="23"/>
        <v>139.9466531707543</v>
      </c>
      <c r="G9" s="223">
        <f t="shared" si="23"/>
        <v>171.20485453406468</v>
      </c>
      <c r="H9" s="223">
        <f t="shared" si="23"/>
        <v>150.31044355180381</v>
      </c>
      <c r="I9" s="223">
        <f t="shared" si="23"/>
        <v>51.719303899435658</v>
      </c>
      <c r="J9" s="223">
        <f t="shared" si="23"/>
        <v>64.700385181020806</v>
      </c>
      <c r="K9" s="223">
        <f t="shared" si="23"/>
        <v>192.32444981093522</v>
      </c>
      <c r="L9" s="223">
        <f t="shared" si="23"/>
        <v>94.226588424744023</v>
      </c>
      <c r="M9" s="223">
        <f t="shared" si="23"/>
        <v>56.29320593975433</v>
      </c>
      <c r="N9" s="223">
        <f t="shared" si="23"/>
        <v>41.886186510999323</v>
      </c>
      <c r="O9" s="223">
        <f t="shared" si="23"/>
        <v>48.340186315583765</v>
      </c>
      <c r="P9" s="223">
        <f t="shared" si="23"/>
        <v>75.030462544718375</v>
      </c>
      <c r="Q9" s="223">
        <f t="shared" si="23"/>
        <v>102.54857979408757</v>
      </c>
      <c r="R9" s="223">
        <f t="shared" si="23"/>
        <v>72.351933103675947</v>
      </c>
      <c r="S9" s="223">
        <f t="shared" si="23"/>
        <v>68.746300758460393</v>
      </c>
      <c r="T9" s="223">
        <f t="shared" si="23"/>
        <v>89.021972761128268</v>
      </c>
      <c r="U9" s="223">
        <f t="shared" si="23"/>
        <v>50.029754398222849</v>
      </c>
      <c r="V9" s="223">
        <f t="shared" si="23"/>
        <v>50.453886277868605</v>
      </c>
      <c r="W9" s="223">
        <f t="shared" si="23"/>
        <v>53.764592470340176</v>
      </c>
      <c r="X9" s="223">
        <f t="shared" ref="X9:Y9" si="24">X6-X5</f>
        <v>80.441047375011976</v>
      </c>
      <c r="Y9" s="223">
        <f t="shared" si="24"/>
        <v>54.167249154091905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83.026655202063637</v>
      </c>
      <c r="C12" s="229">
        <f t="shared" ref="C12:W12" si="25">SUM(C13,C14,C18,C19,C26,C27)</f>
        <v>81.677987962166796</v>
      </c>
      <c r="D12" s="229">
        <f t="shared" si="25"/>
        <v>84.767669819432498</v>
      </c>
      <c r="E12" s="229">
        <f t="shared" si="25"/>
        <v>85.467497850386934</v>
      </c>
      <c r="F12" s="229">
        <f t="shared" si="25"/>
        <v>75.591057609630255</v>
      </c>
      <c r="G12" s="229">
        <f t="shared" si="25"/>
        <v>76.144110060189163</v>
      </c>
      <c r="H12" s="229">
        <f t="shared" si="25"/>
        <v>76.459329320722262</v>
      </c>
      <c r="I12" s="229">
        <f t="shared" si="25"/>
        <v>75.441874462596729</v>
      </c>
      <c r="J12" s="229">
        <f t="shared" si="25"/>
        <v>77.476870163370592</v>
      </c>
      <c r="K12" s="229">
        <f t="shared" si="25"/>
        <v>68.880739466895974</v>
      </c>
      <c r="L12" s="229">
        <f t="shared" si="25"/>
        <v>70.880137575236461</v>
      </c>
      <c r="M12" s="229">
        <f t="shared" si="25"/>
        <v>68.409888220120379</v>
      </c>
      <c r="N12" s="229">
        <f t="shared" si="25"/>
        <v>71.465176268271705</v>
      </c>
      <c r="O12" s="229">
        <f t="shared" si="25"/>
        <v>70.452192605331035</v>
      </c>
      <c r="P12" s="229">
        <f t="shared" si="25"/>
        <v>75.742390369733442</v>
      </c>
      <c r="Q12" s="229">
        <f t="shared" si="25"/>
        <v>74.166122098022356</v>
      </c>
      <c r="R12" s="229">
        <f t="shared" si="25"/>
        <v>73.381513327601027</v>
      </c>
      <c r="S12" s="229">
        <f t="shared" si="25"/>
        <v>73.144453998280298</v>
      </c>
      <c r="T12" s="229">
        <f t="shared" si="25"/>
        <v>74.68116938950989</v>
      </c>
      <c r="U12" s="229">
        <f t="shared" si="25"/>
        <v>73.39114359415305</v>
      </c>
      <c r="V12" s="229">
        <f t="shared" si="25"/>
        <v>72.065606190885632</v>
      </c>
      <c r="W12" s="229">
        <f t="shared" si="25"/>
        <v>73.795528804815135</v>
      </c>
      <c r="X12" s="229">
        <f t="shared" ref="X12:Y12" si="26">SUM(X13,X14,X18,X19,X26,X27)</f>
        <v>74.198280309544288</v>
      </c>
      <c r="Y12" s="229">
        <f t="shared" si="26"/>
        <v>74.023903697334489</v>
      </c>
      <c r="DA12" s="210" t="s">
        <v>980</v>
      </c>
    </row>
    <row r="13" spans="1:105" x14ac:dyDescent="0.25">
      <c r="A13" s="58" t="s">
        <v>29</v>
      </c>
      <c r="B13" s="59">
        <v>4.8165090283748917</v>
      </c>
      <c r="C13" s="59">
        <v>1.3564918314703354</v>
      </c>
      <c r="D13" s="59">
        <v>6.5193465176268264</v>
      </c>
      <c r="E13" s="59">
        <v>4.1380911435941528</v>
      </c>
      <c r="F13" s="59">
        <v>0.47403267411865863</v>
      </c>
      <c r="G13" s="59">
        <v>0</v>
      </c>
      <c r="H13" s="59">
        <v>0</v>
      </c>
      <c r="I13" s="59">
        <v>0</v>
      </c>
      <c r="J13" s="59">
        <v>0</v>
      </c>
      <c r="K13" s="59">
        <v>2.6249355116079101</v>
      </c>
      <c r="L13" s="59">
        <v>1.3377472055030091</v>
      </c>
      <c r="M13" s="59">
        <v>0.902493551160791</v>
      </c>
      <c r="N13" s="59">
        <v>0.45150472914875323</v>
      </c>
      <c r="O13" s="59">
        <v>0.4545141874462596</v>
      </c>
      <c r="P13" s="59">
        <v>0.45520206362854682</v>
      </c>
      <c r="Q13" s="59">
        <v>0</v>
      </c>
      <c r="R13" s="59">
        <v>0</v>
      </c>
      <c r="S13" s="59">
        <v>0.1116079105760963</v>
      </c>
      <c r="T13" s="59">
        <v>7.5580395528804814E-2</v>
      </c>
      <c r="U13" s="59">
        <v>6.5520206362854688E-2</v>
      </c>
      <c r="V13" s="59">
        <v>6.0877042132416161E-2</v>
      </c>
      <c r="W13" s="59">
        <v>3.0524505588993979E-2</v>
      </c>
      <c r="X13" s="59">
        <v>8.5984522785898538E-3</v>
      </c>
      <c r="Y13" s="59">
        <v>2.0636285468615648E-3</v>
      </c>
      <c r="DA13" s="9" t="s">
        <v>981</v>
      </c>
    </row>
    <row r="14" spans="1:105" x14ac:dyDescent="0.25">
      <c r="A14" s="60" t="s">
        <v>28</v>
      </c>
      <c r="B14" s="55">
        <f>SUM(B15:B17)</f>
        <v>78.210146173688742</v>
      </c>
      <c r="C14" s="55">
        <f t="shared" ref="C14:W14" si="27">SUM(C15:C17)</f>
        <v>80.32149613069646</v>
      </c>
      <c r="D14" s="55">
        <f t="shared" si="27"/>
        <v>78.248323301805669</v>
      </c>
      <c r="E14" s="55">
        <f t="shared" si="27"/>
        <v>81.329406706792781</v>
      </c>
      <c r="F14" s="55">
        <f t="shared" si="27"/>
        <v>75.117024935511594</v>
      </c>
      <c r="G14" s="55">
        <f t="shared" si="27"/>
        <v>76.144110060189163</v>
      </c>
      <c r="H14" s="55">
        <f t="shared" si="27"/>
        <v>76.459329320722262</v>
      </c>
      <c r="I14" s="55">
        <f t="shared" si="27"/>
        <v>75.441874462596729</v>
      </c>
      <c r="J14" s="55">
        <f t="shared" si="27"/>
        <v>77.476870163370592</v>
      </c>
      <c r="K14" s="55">
        <f t="shared" si="27"/>
        <v>66.255803955288059</v>
      </c>
      <c r="L14" s="55">
        <f t="shared" si="27"/>
        <v>67.273344797936375</v>
      </c>
      <c r="M14" s="55">
        <f t="shared" si="27"/>
        <v>65.238349097162512</v>
      </c>
      <c r="N14" s="55">
        <f t="shared" si="27"/>
        <v>68.290799656061907</v>
      </c>
      <c r="O14" s="55">
        <f t="shared" si="27"/>
        <v>67.274806534823725</v>
      </c>
      <c r="P14" s="55">
        <f t="shared" si="27"/>
        <v>71.370077386070506</v>
      </c>
      <c r="Q14" s="55">
        <f t="shared" si="27"/>
        <v>71.371625107480654</v>
      </c>
      <c r="R14" s="55">
        <f t="shared" si="27"/>
        <v>70.324247635425621</v>
      </c>
      <c r="S14" s="55">
        <f t="shared" si="27"/>
        <v>70.444196044711944</v>
      </c>
      <c r="T14" s="55">
        <f t="shared" si="27"/>
        <v>70.492605331040409</v>
      </c>
      <c r="U14" s="55">
        <f t="shared" si="27"/>
        <v>69.741788478073943</v>
      </c>
      <c r="V14" s="55">
        <f t="shared" si="27"/>
        <v>68.246345657781589</v>
      </c>
      <c r="W14" s="55">
        <f t="shared" si="27"/>
        <v>68.353568357695607</v>
      </c>
      <c r="X14" s="55">
        <f t="shared" ref="X14:Y14" si="28">SUM(X15:X17)</f>
        <v>68.971453138435081</v>
      </c>
      <c r="Y14" s="55">
        <f t="shared" si="28"/>
        <v>69.33439380911436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DA15" s="10" t="s">
        <v>982</v>
      </c>
    </row>
    <row r="16" spans="1:105" x14ac:dyDescent="0.25">
      <c r="A16" s="61" t="s">
        <v>165</v>
      </c>
      <c r="B16" s="55">
        <v>72.919690455717969</v>
      </c>
      <c r="C16" s="55">
        <v>71.8926053310404</v>
      </c>
      <c r="D16" s="55">
        <v>70.865606190885643</v>
      </c>
      <c r="E16" s="55">
        <v>73.946689595872741</v>
      </c>
      <c r="F16" s="55">
        <v>69.838521066208074</v>
      </c>
      <c r="G16" s="55">
        <v>70.865606190885643</v>
      </c>
      <c r="H16" s="55">
        <v>71.22381771281168</v>
      </c>
      <c r="I16" s="55">
        <v>70.206362854686148</v>
      </c>
      <c r="J16" s="55">
        <v>72.24135855546001</v>
      </c>
      <c r="K16" s="55">
        <v>62.066466036113503</v>
      </c>
      <c r="L16" s="55">
        <v>63.084006878761819</v>
      </c>
      <c r="M16" s="55">
        <v>61.049011177987957</v>
      </c>
      <c r="N16" s="55">
        <v>64.101461736887359</v>
      </c>
      <c r="O16" s="55">
        <v>63.085468615649177</v>
      </c>
      <c r="P16" s="55">
        <v>66.133361994840925</v>
      </c>
      <c r="Q16" s="55">
        <v>66.134909716251073</v>
      </c>
      <c r="R16" s="55">
        <v>66.134909716251073</v>
      </c>
      <c r="S16" s="55">
        <v>65.540154772141008</v>
      </c>
      <c r="T16" s="55">
        <v>65.476096302665511</v>
      </c>
      <c r="U16" s="55">
        <v>64.761822871883055</v>
      </c>
      <c r="V16" s="55">
        <v>63.620206362854681</v>
      </c>
      <c r="W16" s="55">
        <v>63.714789337919171</v>
      </c>
      <c r="X16" s="55">
        <v>64.088220120378324</v>
      </c>
      <c r="Y16" s="55">
        <v>64.457609630266546</v>
      </c>
      <c r="DA16" s="10" t="s">
        <v>983</v>
      </c>
    </row>
    <row r="17" spans="1:105" x14ac:dyDescent="0.25">
      <c r="A17" s="61" t="s">
        <v>113</v>
      </c>
      <c r="B17" s="55">
        <v>5.2904557179707652</v>
      </c>
      <c r="C17" s="55">
        <v>8.4288907996560631</v>
      </c>
      <c r="D17" s="55">
        <v>7.3827171109200336</v>
      </c>
      <c r="E17" s="55">
        <v>7.3827171109200336</v>
      </c>
      <c r="F17" s="55">
        <v>5.2785038693035249</v>
      </c>
      <c r="G17" s="55">
        <v>5.2785038693035249</v>
      </c>
      <c r="H17" s="55">
        <v>5.235511607910575</v>
      </c>
      <c r="I17" s="55">
        <v>5.235511607910575</v>
      </c>
      <c r="J17" s="55">
        <v>5.235511607910575</v>
      </c>
      <c r="K17" s="55">
        <v>4.1893379191745481</v>
      </c>
      <c r="L17" s="55">
        <v>4.1893379191745481</v>
      </c>
      <c r="M17" s="55">
        <v>4.1893379191745481</v>
      </c>
      <c r="N17" s="55">
        <v>4.1893379191745481</v>
      </c>
      <c r="O17" s="55">
        <v>4.1893379191745481</v>
      </c>
      <c r="P17" s="55">
        <v>5.2367153912295779</v>
      </c>
      <c r="Q17" s="55">
        <v>5.2367153912295779</v>
      </c>
      <c r="R17" s="55">
        <v>4.1893379191745481</v>
      </c>
      <c r="S17" s="55">
        <v>4.9040412725709368</v>
      </c>
      <c r="T17" s="55">
        <v>5.0165090283748919</v>
      </c>
      <c r="U17" s="55">
        <v>4.979965606190885</v>
      </c>
      <c r="V17" s="55">
        <v>4.6261392949269124</v>
      </c>
      <c r="W17" s="55">
        <v>4.6387790197764396</v>
      </c>
      <c r="X17" s="55">
        <v>4.8832330180567505</v>
      </c>
      <c r="Y17" s="55">
        <v>4.8767841788478075</v>
      </c>
      <c r="DA17" s="10" t="s">
        <v>984</v>
      </c>
    </row>
    <row r="18" spans="1:105" x14ac:dyDescent="0.25">
      <c r="A18" s="60" t="s">
        <v>149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1.6337059329320719E-3</v>
      </c>
      <c r="V18" s="55">
        <v>0</v>
      </c>
      <c r="W18" s="55">
        <v>0</v>
      </c>
      <c r="X18" s="55">
        <v>0</v>
      </c>
      <c r="Y18" s="55">
        <v>0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0</v>
      </c>
      <c r="F19" s="55">
        <f t="shared" si="29"/>
        <v>0</v>
      </c>
      <c r="G19" s="55">
        <f t="shared" si="29"/>
        <v>0</v>
      </c>
      <c r="H19" s="55">
        <f t="shared" si="29"/>
        <v>0</v>
      </c>
      <c r="I19" s="55">
        <f t="shared" si="29"/>
        <v>0</v>
      </c>
      <c r="J19" s="55">
        <f t="shared" si="29"/>
        <v>0</v>
      </c>
      <c r="K19" s="55">
        <f t="shared" si="29"/>
        <v>0</v>
      </c>
      <c r="L19" s="55">
        <f t="shared" si="29"/>
        <v>2.2690455717970761</v>
      </c>
      <c r="M19" s="55">
        <f t="shared" si="29"/>
        <v>2.2690455717970761</v>
      </c>
      <c r="N19" s="55">
        <f t="shared" si="29"/>
        <v>2.7228718830610492</v>
      </c>
      <c r="O19" s="55">
        <f t="shared" si="29"/>
        <v>2.7228718830610492</v>
      </c>
      <c r="P19" s="55">
        <f t="shared" si="29"/>
        <v>3.9171109200343932</v>
      </c>
      <c r="Q19" s="55">
        <f t="shared" si="29"/>
        <v>2.7944969905417021</v>
      </c>
      <c r="R19" s="55">
        <f t="shared" si="29"/>
        <v>3.0572656921754078</v>
      </c>
      <c r="S19" s="55">
        <f t="shared" si="29"/>
        <v>2.5886500429922612</v>
      </c>
      <c r="T19" s="55">
        <f t="shared" si="29"/>
        <v>2.663886500429923</v>
      </c>
      <c r="U19" s="55">
        <f t="shared" si="29"/>
        <v>2.109974204643164</v>
      </c>
      <c r="V19" s="55">
        <f t="shared" si="29"/>
        <v>2.177815993121238</v>
      </c>
      <c r="W19" s="55">
        <f t="shared" si="29"/>
        <v>2.8398968185726572</v>
      </c>
      <c r="X19" s="55">
        <f t="shared" ref="X19:Y19" si="30">SUM(X20:X25)</f>
        <v>2.92536543422184</v>
      </c>
      <c r="Y19" s="55">
        <f t="shared" si="30"/>
        <v>2.592175408426483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2.2690455717970761</v>
      </c>
      <c r="M24" s="55">
        <v>2.2690455717970761</v>
      </c>
      <c r="N24" s="55">
        <v>2.7228718830610492</v>
      </c>
      <c r="O24" s="55">
        <v>2.7228718830610492</v>
      </c>
      <c r="P24" s="55">
        <v>3.9171109200343932</v>
      </c>
      <c r="Q24" s="55">
        <v>2.7944969905417021</v>
      </c>
      <c r="R24" s="55">
        <v>3.0572656921754078</v>
      </c>
      <c r="S24" s="55">
        <v>2.5886500429922612</v>
      </c>
      <c r="T24" s="55">
        <v>2.663886500429923</v>
      </c>
      <c r="U24" s="55">
        <v>2.109974204643164</v>
      </c>
      <c r="V24" s="55">
        <v>2.177815993121238</v>
      </c>
      <c r="W24" s="55">
        <v>2.8398968185726572</v>
      </c>
      <c r="X24" s="55">
        <v>2.92536543422184</v>
      </c>
      <c r="Y24" s="55">
        <v>2.592175408426483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1.449097162510748</v>
      </c>
      <c r="U27" s="63">
        <v>1.4722269991401551</v>
      </c>
      <c r="V27" s="63">
        <v>1.580567497850387</v>
      </c>
      <c r="W27" s="63">
        <v>2.571539122957867</v>
      </c>
      <c r="X27" s="63">
        <v>2.2928632846087704</v>
      </c>
      <c r="Y27" s="63">
        <v>2.0952708512467759</v>
      </c>
      <c r="DA27" s="11" t="s">
        <v>993</v>
      </c>
    </row>
    <row r="29" spans="1:105" x14ac:dyDescent="0.25">
      <c r="A29" s="218" t="s">
        <v>84</v>
      </c>
      <c r="B29" s="219">
        <v>261.19750429030864</v>
      </c>
      <c r="C29" s="219">
        <v>253.49193653593315</v>
      </c>
      <c r="D29" s="219">
        <v>269.56647804104011</v>
      </c>
      <c r="E29" s="219">
        <v>268.98211621328852</v>
      </c>
      <c r="F29" s="219">
        <v>234.00416747999998</v>
      </c>
      <c r="G29" s="219">
        <v>235.28399976</v>
      </c>
      <c r="H29" s="219">
        <v>236.27058191999996</v>
      </c>
      <c r="I29" s="219">
        <v>233.11401083999996</v>
      </c>
      <c r="J29" s="219">
        <v>239.42741975999999</v>
      </c>
      <c r="K29" s="219">
        <v>215.26913916000001</v>
      </c>
      <c r="L29" s="219">
        <v>213.24875219999998</v>
      </c>
      <c r="M29" s="219">
        <v>205.18470120000001</v>
      </c>
      <c r="N29" s="219">
        <v>212.84075040000002</v>
      </c>
      <c r="O29" s="219">
        <v>209.70081863999999</v>
      </c>
      <c r="P29" s="219">
        <v>222.19834295999999</v>
      </c>
      <c r="Q29" s="219">
        <v>220.37226767999999</v>
      </c>
      <c r="R29" s="219">
        <v>217.3333518</v>
      </c>
      <c r="S29" s="219">
        <v>218.02310616</v>
      </c>
      <c r="T29" s="219">
        <v>218.00263787999998</v>
      </c>
      <c r="U29" s="219">
        <v>215.64344591999998</v>
      </c>
      <c r="V29" s="219">
        <v>211.05131507999999</v>
      </c>
      <c r="W29" s="219">
        <v>211.25866920000001</v>
      </c>
      <c r="X29" s="219">
        <v>213.04255848</v>
      </c>
      <c r="Y29" s="219">
        <v>214.13716236000002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74.98659928428107</v>
      </c>
      <c r="C31" s="59">
        <f t="shared" si="31"/>
        <v>79.025065348157028</v>
      </c>
      <c r="D31" s="59">
        <f t="shared" si="31"/>
        <v>74.063647638786179</v>
      </c>
      <c r="E31" s="59">
        <f t="shared" si="31"/>
        <v>94.57508661301641</v>
      </c>
      <c r="F31" s="59">
        <f t="shared" si="31"/>
        <v>74.004241320249676</v>
      </c>
      <c r="G31" s="59">
        <f t="shared" si="31"/>
        <v>71.34567217107147</v>
      </c>
      <c r="H31" s="59">
        <f t="shared" si="31"/>
        <v>78.246730624204403</v>
      </c>
      <c r="I31" s="59">
        <f t="shared" si="31"/>
        <v>73.825873037657843</v>
      </c>
      <c r="J31" s="59">
        <f t="shared" si="31"/>
        <v>85.006966128701151</v>
      </c>
      <c r="K31" s="59">
        <f t="shared" si="31"/>
        <v>80.999666342407394</v>
      </c>
      <c r="L31" s="59">
        <f t="shared" si="31"/>
        <v>79.324484479451939</v>
      </c>
      <c r="M31" s="59">
        <f t="shared" si="31"/>
        <v>67.983934839021771</v>
      </c>
      <c r="N31" s="59">
        <f t="shared" si="31"/>
        <v>81.301145065325642</v>
      </c>
      <c r="O31" s="59">
        <f t="shared" si="31"/>
        <v>79.72750056297842</v>
      </c>
      <c r="P31" s="59">
        <f t="shared" si="31"/>
        <v>83.305750658701271</v>
      </c>
      <c r="Q31" s="59">
        <f t="shared" si="31"/>
        <v>73.447392139266483</v>
      </c>
      <c r="R31" s="59">
        <f t="shared" si="31"/>
        <v>75.259234278347165</v>
      </c>
      <c r="S31" s="59">
        <f t="shared" si="31"/>
        <v>77.988102027439353</v>
      </c>
      <c r="T31" s="59">
        <f t="shared" si="31"/>
        <v>65.047423855700927</v>
      </c>
      <c r="U31" s="59">
        <f t="shared" si="31"/>
        <v>69.588566446567313</v>
      </c>
      <c r="V31" s="59">
        <f t="shared" si="31"/>
        <v>66.664276694511784</v>
      </c>
      <c r="W31" s="59">
        <f t="shared" si="31"/>
        <v>78.974875694100291</v>
      </c>
      <c r="X31" s="59">
        <f t="shared" si="31"/>
        <v>72.176831449327253</v>
      </c>
      <c r="Y31" s="59">
        <f t="shared" si="31"/>
        <v>75.442217384156635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112.4717120162867</v>
      </c>
      <c r="C32" s="55">
        <f t="shared" si="32"/>
        <v>109.81942433546165</v>
      </c>
      <c r="D32" s="55">
        <f t="shared" si="32"/>
        <v>113.80906613357637</v>
      </c>
      <c r="E32" s="55">
        <f t="shared" si="32"/>
        <v>119.53787119840251</v>
      </c>
      <c r="F32" s="55">
        <f t="shared" si="32"/>
        <v>117.30616060932356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117.81469406104161</v>
      </c>
      <c r="J32" s="55">
        <f t="shared" si="32"/>
        <v>123.49619118298853</v>
      </c>
      <c r="K32" s="55">
        <f t="shared" si="32"/>
        <v>137.83360398812141</v>
      </c>
      <c r="L32" s="55">
        <f t="shared" si="32"/>
        <v>128.47617233393538</v>
      </c>
      <c r="M32" s="55">
        <f t="shared" si="32"/>
        <v>116.02131221383358</v>
      </c>
      <c r="N32" s="55">
        <f t="shared" si="32"/>
        <v>118.31216844961241</v>
      </c>
      <c r="O32" s="55">
        <f t="shared" si="32"/>
        <v>117.89482713876833</v>
      </c>
      <c r="P32" s="55">
        <f t="shared" si="32"/>
        <v>114.2126532077292</v>
      </c>
      <c r="Q32" s="55">
        <f t="shared" si="32"/>
        <v>116.67728719019789</v>
      </c>
      <c r="R32" s="55">
        <f t="shared" si="32"/>
        <v>118.41249825520165</v>
      </c>
      <c r="S32" s="55">
        <f t="shared" si="32"/>
        <v>109.25986032686185</v>
      </c>
      <c r="T32" s="55">
        <f t="shared" si="32"/>
        <v>115.03952384499109</v>
      </c>
      <c r="U32" s="55">
        <f t="shared" si="32"/>
        <v>114.31053707016743</v>
      </c>
      <c r="V32" s="55">
        <f t="shared" si="32"/>
        <v>121.02278233994659</v>
      </c>
      <c r="W32" s="55">
        <f t="shared" si="32"/>
        <v>115.6129323010225</v>
      </c>
      <c r="X32" s="55">
        <f t="shared" si="32"/>
        <v>98.926512660278419</v>
      </c>
      <c r="Y32" s="55">
        <f t="shared" si="32"/>
        <v>101.37891512464496</v>
      </c>
      <c r="DA32" s="216"/>
    </row>
    <row r="33" spans="1:105" x14ac:dyDescent="0.25">
      <c r="A33" s="35" t="s">
        <v>111</v>
      </c>
      <c r="B33" s="55">
        <f>IF(AGR_ued!B$5=0,"",AGR_ued!B$5/B$5*1000)</f>
        <v>43.279911344599</v>
      </c>
      <c r="C33" s="55">
        <f>IF(AGR_ued!C$5=0,"",AGR_ued!C$5/C$5*1000)</f>
        <v>42.312694582287975</v>
      </c>
      <c r="D33" s="55">
        <f>IF(AGR_ued!D$5=0,"",AGR_ued!D$5/D$5*1000)</f>
        <v>43.484195928417208</v>
      </c>
      <c r="E33" s="55">
        <f>IF(AGR_ued!E$5=0,"",AGR_ued!E$5/E$5*1000)</f>
        <v>45.917068725208964</v>
      </c>
      <c r="F33" s="55">
        <f>IF(AGR_ued!F$5=0,"",AGR_ued!F$5/F$5*1000)</f>
        <v>45.497734291010623</v>
      </c>
      <c r="G33" s="55">
        <f>IF(AGR_ued!G$5=0,"",AGR_ued!G$5/G$5*1000)</f>
        <v>52.143697181866983</v>
      </c>
      <c r="H33" s="55">
        <f>IF(AGR_ued!H$5=0,"",AGR_ued!H$5/H$5*1000)</f>
        <v>50.504599810907912</v>
      </c>
      <c r="I33" s="55">
        <f>IF(AGR_ued!I$5=0,"",AGR_ued!I$5/I$5*1000)</f>
        <v>45.744616703893229</v>
      </c>
      <c r="J33" s="55">
        <f>IF(AGR_ued!J$5=0,"",AGR_ued!J$5/J$5*1000)</f>
        <v>47.962782584845179</v>
      </c>
      <c r="K33" s="55">
        <f>IF(AGR_ued!K$5=0,"",AGR_ued!K$5/K$5*1000)</f>
        <v>53.244855691026082</v>
      </c>
      <c r="L33" s="55">
        <f>IF(AGR_ued!L$5=0,"",AGR_ued!L$5/L$5*1000)</f>
        <v>49.877958267616236</v>
      </c>
      <c r="M33" s="55">
        <f>IF(AGR_ued!M$5=0,"",AGR_ued!M$5/M$5*1000)</f>
        <v>45.07169724170879</v>
      </c>
      <c r="N33" s="55">
        <f>IF(AGR_ued!N$5=0,"",AGR_ued!N$5/N$5*1000)</f>
        <v>46.034574842447064</v>
      </c>
      <c r="O33" s="55">
        <f>IF(AGR_ued!O$5=0,"",AGR_ued!O$5/O$5*1000)</f>
        <v>45.867540697081246</v>
      </c>
      <c r="P33" s="55">
        <f>IF(AGR_ued!P$5=0,"",AGR_ued!P$5/P$5*1000)</f>
        <v>44.411207160811372</v>
      </c>
      <c r="Q33" s="55">
        <f>IF(AGR_ued!Q$5=0,"",AGR_ued!Q$5/Q$5*1000)</f>
        <v>45.371924806454835</v>
      </c>
      <c r="R33" s="55">
        <f>IF(AGR_ued!R$5=0,"",AGR_ued!R$5/R$5*1000)</f>
        <v>46.132034868262444</v>
      </c>
      <c r="S33" s="55">
        <f>IF(AGR_ued!S$5=0,"",AGR_ued!S$5/S$5*1000)</f>
        <v>42.492598299073229</v>
      </c>
      <c r="T33" s="55">
        <f>IF(AGR_ued!T$5=0,"",AGR_ued!T$5/T$5*1000)</f>
        <v>45.021719284259852</v>
      </c>
      <c r="U33" s="55">
        <f>IF(AGR_ued!U$5=0,"",AGR_ued!U$5/U$5*1000)</f>
        <v>44.72969843537976</v>
      </c>
      <c r="V33" s="55">
        <f>IF(AGR_ued!V$5=0,"",AGR_ued!V$5/V$5*1000)</f>
        <v>47.410437479151142</v>
      </c>
      <c r="W33" s="55">
        <f>IF(AGR_ued!W$5=0,"",AGR_ued!W$5/W$5*1000)</f>
        <v>45.509941775948981</v>
      </c>
      <c r="X33" s="55">
        <f>IF(AGR_ued!X$5=0,"",AGR_ued!X$5/X$5*1000)</f>
        <v>38.879304343632739</v>
      </c>
      <c r="Y33" s="55">
        <f>IF(AGR_ued!Y$5=0,"",AGR_ued!Y$5/Y$5*1000)</f>
        <v>39.801994752642301</v>
      </c>
      <c r="DA33" s="216"/>
    </row>
    <row r="34" spans="1:105" x14ac:dyDescent="0.25">
      <c r="A34" s="37" t="s">
        <v>110</v>
      </c>
      <c r="B34" s="217">
        <f t="shared" ref="B34:Y34" si="33">IF(B$12=0,"",B$29/B$12)</f>
        <v>3.1459475713507552</v>
      </c>
      <c r="C34" s="217">
        <f t="shared" si="33"/>
        <v>3.1035526567249732</v>
      </c>
      <c r="D34" s="217">
        <f t="shared" si="33"/>
        <v>3.1800623824537828</v>
      </c>
      <c r="E34" s="217">
        <f t="shared" si="33"/>
        <v>3.1471860412264401</v>
      </c>
      <c r="F34" s="217">
        <f t="shared" si="33"/>
        <v>3.0956593925230118</v>
      </c>
      <c r="G34" s="217">
        <f t="shared" si="33"/>
        <v>3.0899829228290474</v>
      </c>
      <c r="H34" s="217">
        <f t="shared" si="33"/>
        <v>3.0901471935350227</v>
      </c>
      <c r="I34" s="217">
        <f t="shared" si="33"/>
        <v>3.0899816912101699</v>
      </c>
      <c r="J34" s="217">
        <f t="shared" si="33"/>
        <v>3.0903083624200938</v>
      </c>
      <c r="K34" s="217">
        <f t="shared" si="33"/>
        <v>3.1252443110524122</v>
      </c>
      <c r="L34" s="217">
        <f t="shared" si="33"/>
        <v>3.0085826508680924</v>
      </c>
      <c r="M34" s="217">
        <f t="shared" si="33"/>
        <v>2.9993427344857451</v>
      </c>
      <c r="N34" s="217">
        <f t="shared" si="33"/>
        <v>2.9782442514522227</v>
      </c>
      <c r="O34" s="217">
        <f t="shared" si="33"/>
        <v>2.9764981171662241</v>
      </c>
      <c r="P34" s="217">
        <f t="shared" si="33"/>
        <v>2.933606159976569</v>
      </c>
      <c r="Q34" s="217">
        <f t="shared" si="33"/>
        <v>2.9713332913475359</v>
      </c>
      <c r="R34" s="217">
        <f t="shared" si="33"/>
        <v>2.9616907848404144</v>
      </c>
      <c r="S34" s="217">
        <f t="shared" si="33"/>
        <v>2.9807195794383254</v>
      </c>
      <c r="T34" s="217">
        <f t="shared" si="33"/>
        <v>2.9191111984733031</v>
      </c>
      <c r="U34" s="217">
        <f t="shared" si="33"/>
        <v>2.9382761374109441</v>
      </c>
      <c r="V34" s="217">
        <f t="shared" si="33"/>
        <v>2.928599733428626</v>
      </c>
      <c r="W34" s="217">
        <f t="shared" si="33"/>
        <v>2.8627570344914375</v>
      </c>
      <c r="X34" s="217">
        <f t="shared" si="33"/>
        <v>2.8712600560446662</v>
      </c>
      <c r="Y34" s="217">
        <f t="shared" si="33"/>
        <v>2.892810992994292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83.026655202063665</v>
      </c>
      <c r="C5" s="80">
        <f t="shared" ref="C5:W5" si="1">SUM(C6:C9,C16:C17,C25:C27)</f>
        <v>81.677987962166782</v>
      </c>
      <c r="D5" s="80">
        <f t="shared" si="1"/>
        <v>84.767669819432484</v>
      </c>
      <c r="E5" s="80">
        <f t="shared" si="1"/>
        <v>85.467497850386934</v>
      </c>
      <c r="F5" s="80">
        <f t="shared" si="1"/>
        <v>75.591057609630255</v>
      </c>
      <c r="G5" s="80">
        <f t="shared" si="1"/>
        <v>76.144110060189178</v>
      </c>
      <c r="H5" s="80">
        <f t="shared" si="1"/>
        <v>76.459329320722262</v>
      </c>
      <c r="I5" s="80">
        <f t="shared" si="1"/>
        <v>75.441874462596729</v>
      </c>
      <c r="J5" s="80">
        <f t="shared" si="1"/>
        <v>77.476870163370592</v>
      </c>
      <c r="K5" s="80">
        <f t="shared" si="1"/>
        <v>68.880739466895974</v>
      </c>
      <c r="L5" s="80">
        <f t="shared" si="1"/>
        <v>70.880137575236446</v>
      </c>
      <c r="M5" s="80">
        <f t="shared" si="1"/>
        <v>68.409888220120393</v>
      </c>
      <c r="N5" s="80">
        <f t="shared" si="1"/>
        <v>71.465176268271676</v>
      </c>
      <c r="O5" s="80">
        <f t="shared" si="1"/>
        <v>70.452192605331049</v>
      </c>
      <c r="P5" s="80">
        <f t="shared" si="1"/>
        <v>75.742390369733414</v>
      </c>
      <c r="Q5" s="80">
        <f t="shared" si="1"/>
        <v>74.166122098022328</v>
      </c>
      <c r="R5" s="80">
        <f t="shared" si="1"/>
        <v>73.381513327601013</v>
      </c>
      <c r="S5" s="80">
        <f t="shared" si="1"/>
        <v>73.144453998280298</v>
      </c>
      <c r="T5" s="80">
        <f t="shared" si="1"/>
        <v>74.681169389509876</v>
      </c>
      <c r="U5" s="80">
        <f t="shared" si="1"/>
        <v>73.391143594153036</v>
      </c>
      <c r="V5" s="80">
        <f t="shared" si="1"/>
        <v>72.065606190885617</v>
      </c>
      <c r="W5" s="80">
        <f t="shared" si="1"/>
        <v>73.795528804815063</v>
      </c>
      <c r="X5" s="80">
        <f t="shared" ref="X5:Y5" si="2">SUM(X6:X9,X16:X17,X25:X27)</f>
        <v>74.198280309544288</v>
      </c>
      <c r="Y5" s="80">
        <f t="shared" si="2"/>
        <v>74.023903697334447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0.28886895287858072</v>
      </c>
      <c r="U6" s="239">
        <v>0.2934110520743593</v>
      </c>
      <c r="V6" s="239">
        <v>0.31479158362176918</v>
      </c>
      <c r="W6" s="239">
        <v>0.50886951100193167</v>
      </c>
      <c r="X6" s="239">
        <v>0.4547491904262298</v>
      </c>
      <c r="Y6" s="239">
        <v>0.41612376309127802</v>
      </c>
      <c r="DA6" s="267" t="s">
        <v>995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0.18776481937107739</v>
      </c>
      <c r="U7" s="241">
        <v>0.1907171838483335</v>
      </c>
      <c r="V7" s="241">
        <v>0.20461452935414989</v>
      </c>
      <c r="W7" s="241">
        <v>0.3307651821512555</v>
      </c>
      <c r="X7" s="241">
        <v>0.29558697377704929</v>
      </c>
      <c r="Y7" s="241">
        <v>0.27048044600933058</v>
      </c>
      <c r="DA7" s="268" t="s">
        <v>996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0.25998205759072263</v>
      </c>
      <c r="U8" s="241">
        <v>0.26406994686692342</v>
      </c>
      <c r="V8" s="241">
        <v>0.28331242525959233</v>
      </c>
      <c r="W8" s="241">
        <v>0.45798255990173858</v>
      </c>
      <c r="X8" s="241">
        <v>0.40927427138360678</v>
      </c>
      <c r="Y8" s="241">
        <v>0.37451138678215012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18.271777979983881</v>
      </c>
      <c r="C9" s="243">
        <f t="shared" ref="C9:W9" si="4">SUM(C10:C15)</f>
        <v>17.988989706959899</v>
      </c>
      <c r="D9" s="243">
        <f t="shared" si="4"/>
        <v>18.318912603804041</v>
      </c>
      <c r="E9" s="243">
        <f t="shared" si="4"/>
        <v>18.707765881820869</v>
      </c>
      <c r="F9" s="243">
        <f t="shared" si="4"/>
        <v>16.927666260683971</v>
      </c>
      <c r="G9" s="243">
        <f t="shared" si="4"/>
        <v>17.092706083454651</v>
      </c>
      <c r="H9" s="243">
        <f t="shared" si="4"/>
        <v>17.168597014118159</v>
      </c>
      <c r="I9" s="243">
        <f t="shared" si="4"/>
        <v>16.934618789175911</v>
      </c>
      <c r="J9" s="243">
        <f t="shared" si="4"/>
        <v>17.402583785819029</v>
      </c>
      <c r="K9" s="243">
        <f t="shared" si="4"/>
        <v>15.295211812083441</v>
      </c>
      <c r="L9" s="243">
        <f t="shared" si="4"/>
        <v>15.927753212940555</v>
      </c>
      <c r="M9" s="243">
        <f t="shared" si="4"/>
        <v>15.39403110456364</v>
      </c>
      <c r="N9" s="243">
        <f t="shared" si="4"/>
        <v>16.144268183474296</v>
      </c>
      <c r="O9" s="243">
        <f t="shared" si="4"/>
        <v>15.911333482395017</v>
      </c>
      <c r="P9" s="243">
        <f t="shared" si="4"/>
        <v>17.082582117278498</v>
      </c>
      <c r="Q9" s="243">
        <f t="shared" si="4"/>
        <v>16.721299493358114</v>
      </c>
      <c r="R9" s="243">
        <f t="shared" si="4"/>
        <v>16.628221222079446</v>
      </c>
      <c r="S9" s="243">
        <f t="shared" si="4"/>
        <v>16.497448841434835</v>
      </c>
      <c r="T9" s="243">
        <f t="shared" si="4"/>
        <v>16.384504274653807</v>
      </c>
      <c r="U9" s="243">
        <f t="shared" si="4"/>
        <v>16.068235487153277</v>
      </c>
      <c r="V9" s="243">
        <f t="shared" si="4"/>
        <v>15.75982890583583</v>
      </c>
      <c r="W9" s="243">
        <f t="shared" si="4"/>
        <v>15.87511656780651</v>
      </c>
      <c r="X9" s="243">
        <f t="shared" ref="X9:Y9" si="5">SUM(X10:X15)</f>
        <v>16.036482090254534</v>
      </c>
      <c r="Y9" s="243">
        <f t="shared" si="5"/>
        <v>16.047748634755141</v>
      </c>
      <c r="DA9" s="269"/>
    </row>
    <row r="10" spans="1:105" x14ac:dyDescent="0.25">
      <c r="A10" s="253" t="s">
        <v>166</v>
      </c>
      <c r="B10" s="254">
        <v>18.271777979983881</v>
      </c>
      <c r="C10" s="254">
        <v>17.988989706959899</v>
      </c>
      <c r="D10" s="254">
        <v>18.318912603804041</v>
      </c>
      <c r="E10" s="254">
        <v>18.707765881820869</v>
      </c>
      <c r="F10" s="254">
        <v>16.927666260683971</v>
      </c>
      <c r="G10" s="254">
        <v>17.092706083454651</v>
      </c>
      <c r="H10" s="254">
        <v>17.168597014118159</v>
      </c>
      <c r="I10" s="254">
        <v>16.934618789175911</v>
      </c>
      <c r="J10" s="254">
        <v>17.402583785819029</v>
      </c>
      <c r="K10" s="254">
        <v>15.295211812083441</v>
      </c>
      <c r="L10" s="254">
        <v>15.033661573711401</v>
      </c>
      <c r="M10" s="254">
        <v>14.5036490388029</v>
      </c>
      <c r="N10" s="254">
        <v>15.087576280719389</v>
      </c>
      <c r="O10" s="254">
        <v>14.85344861239563</v>
      </c>
      <c r="P10" s="254">
        <v>15.54443266143009</v>
      </c>
      <c r="Q10" s="254">
        <v>15.62964320804703</v>
      </c>
      <c r="R10" s="254">
        <v>15.452493263924801</v>
      </c>
      <c r="S10" s="254">
        <v>15.488581296375431</v>
      </c>
      <c r="T10" s="254">
        <v>15.34730338703282</v>
      </c>
      <c r="U10" s="254">
        <v>15.24422336017531</v>
      </c>
      <c r="V10" s="254">
        <v>14.91285019169861</v>
      </c>
      <c r="W10" s="254">
        <v>14.758636867042179</v>
      </c>
      <c r="X10" s="254">
        <v>14.89036850497415</v>
      </c>
      <c r="Y10" s="254">
        <v>15.03367747914905</v>
      </c>
      <c r="DA10" s="270" t="s">
        <v>998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6.3351931612189659E-4</v>
      </c>
      <c r="V11" s="255">
        <v>0</v>
      </c>
      <c r="W11" s="255">
        <v>0</v>
      </c>
      <c r="X11" s="255">
        <v>0</v>
      </c>
      <c r="Y11" s="255">
        <v>0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0.89409163922915413</v>
      </c>
      <c r="M12" s="255">
        <v>0.89038206576074008</v>
      </c>
      <c r="N12" s="255">
        <v>1.0566919027549071</v>
      </c>
      <c r="O12" s="255">
        <v>1.0578848699993879</v>
      </c>
      <c r="P12" s="255">
        <v>1.5381494558484099</v>
      </c>
      <c r="Q12" s="255">
        <v>1.0916562853110849</v>
      </c>
      <c r="R12" s="255">
        <v>1.1757279581546449</v>
      </c>
      <c r="S12" s="255">
        <v>1.008867545059404</v>
      </c>
      <c r="T12" s="255">
        <v>1.032448488936524</v>
      </c>
      <c r="U12" s="255">
        <v>0.81820686833238021</v>
      </c>
      <c r="V12" s="255">
        <v>0.84036913383495138</v>
      </c>
      <c r="W12" s="255">
        <v>1.089288132270382</v>
      </c>
      <c r="X12" s="255">
        <v>1.126996252231194</v>
      </c>
      <c r="Y12" s="255">
        <v>0.99941911923621485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4.7523986844626694E-3</v>
      </c>
      <c r="U15" s="255">
        <v>5.171739329464302E-3</v>
      </c>
      <c r="V15" s="255">
        <v>6.6095803022701554E-3</v>
      </c>
      <c r="W15" s="255">
        <v>2.7191568493948541E-2</v>
      </c>
      <c r="X15" s="255">
        <v>1.9117333049192921E-2</v>
      </c>
      <c r="Y15" s="255">
        <v>1.465203636987864E-2</v>
      </c>
      <c r="DA15" s="271" t="s">
        <v>1003</v>
      </c>
    </row>
    <row r="16" spans="1:105" x14ac:dyDescent="0.25">
      <c r="A16" s="256" t="s">
        <v>168</v>
      </c>
      <c r="B16" s="257">
        <v>24.260957250397379</v>
      </c>
      <c r="C16" s="257">
        <v>23.88547577233518</v>
      </c>
      <c r="D16" s="257">
        <v>24.323541805374301</v>
      </c>
      <c r="E16" s="257">
        <v>24.839854600165129</v>
      </c>
      <c r="F16" s="257">
        <v>22.476268480786889</v>
      </c>
      <c r="G16" s="257">
        <v>22.69540556143874</v>
      </c>
      <c r="H16" s="257">
        <v>22.796172253467141</v>
      </c>
      <c r="I16" s="257">
        <v>22.485499930332178</v>
      </c>
      <c r="J16" s="257">
        <v>23.106855924843401</v>
      </c>
      <c r="K16" s="257">
        <v>20.30872312017096</v>
      </c>
      <c r="L16" s="257">
        <v>20.91269820689115</v>
      </c>
      <c r="M16" s="257">
        <v>20.205351774036</v>
      </c>
      <c r="N16" s="257">
        <v>21.158233026730549</v>
      </c>
      <c r="O16" s="257">
        <v>20.848262378570482</v>
      </c>
      <c r="P16" s="257">
        <v>22.268273909323081</v>
      </c>
      <c r="Q16" s="257">
        <v>21.914095786131931</v>
      </c>
      <c r="R16" s="257">
        <v>21.770199628309999</v>
      </c>
      <c r="S16" s="257">
        <v>21.6397875032835</v>
      </c>
      <c r="T16" s="257">
        <v>21.70645854937403</v>
      </c>
      <c r="U16" s="257">
        <v>21.348128110682961</v>
      </c>
      <c r="V16" s="257">
        <v>20.94819566930062</v>
      </c>
      <c r="W16" s="257">
        <v>21.169470896647741</v>
      </c>
      <c r="X16" s="257">
        <v>21.336939016674211</v>
      </c>
      <c r="Y16" s="257">
        <v>21.360443332802799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35.831974851867521</v>
      </c>
      <c r="C17" s="257">
        <f t="shared" ref="C17:W17" si="7">SUM(C18:C24)</f>
        <v>35.213729258225939</v>
      </c>
      <c r="D17" s="257">
        <f t="shared" si="7"/>
        <v>37.451244146637976</v>
      </c>
      <c r="E17" s="257">
        <f t="shared" si="7"/>
        <v>37.146692298456756</v>
      </c>
      <c r="F17" s="257">
        <f t="shared" si="7"/>
        <v>31.868120568530966</v>
      </c>
      <c r="G17" s="257">
        <f t="shared" si="7"/>
        <v>31.994887099391889</v>
      </c>
      <c r="H17" s="257">
        <f t="shared" si="7"/>
        <v>32.114085577597891</v>
      </c>
      <c r="I17" s="257">
        <f t="shared" si="7"/>
        <v>31.700979543497724</v>
      </c>
      <c r="J17" s="257">
        <f t="shared" si="7"/>
        <v>32.527255520561788</v>
      </c>
      <c r="K17" s="257">
        <f t="shared" si="7"/>
        <v>29.374314139782911</v>
      </c>
      <c r="L17" s="257">
        <f t="shared" si="7"/>
        <v>30.021136914270389</v>
      </c>
      <c r="M17" s="257">
        <f t="shared" si="7"/>
        <v>28.927878612290318</v>
      </c>
      <c r="N17" s="257">
        <f t="shared" si="7"/>
        <v>30.096944255080622</v>
      </c>
      <c r="O17" s="257">
        <f t="shared" si="7"/>
        <v>29.686429384633499</v>
      </c>
      <c r="P17" s="257">
        <f t="shared" si="7"/>
        <v>32.11249993377978</v>
      </c>
      <c r="Q17" s="257">
        <f t="shared" si="7"/>
        <v>31.319750687174583</v>
      </c>
      <c r="R17" s="257">
        <f t="shared" si="7"/>
        <v>30.799767191770378</v>
      </c>
      <c r="S17" s="257">
        <f t="shared" si="7"/>
        <v>30.84895214476343</v>
      </c>
      <c r="T17" s="257">
        <f t="shared" si="7"/>
        <v>30.974784895166106</v>
      </c>
      <c r="U17" s="257">
        <f t="shared" si="7"/>
        <v>30.405504010043874</v>
      </c>
      <c r="V17" s="257">
        <f t="shared" si="7"/>
        <v>29.758253323277899</v>
      </c>
      <c r="W17" s="257">
        <f t="shared" si="7"/>
        <v>30.138703532007046</v>
      </c>
      <c r="X17" s="257">
        <f t="shared" ref="X17:Y17" si="8">SUM(X18:X24)</f>
        <v>30.451042602243881</v>
      </c>
      <c r="Y17" s="257">
        <f t="shared" si="8"/>
        <v>30.430505715857002</v>
      </c>
      <c r="DA17" s="272"/>
    </row>
    <row r="18" spans="1:105" x14ac:dyDescent="0.25">
      <c r="A18" s="61" t="s">
        <v>29</v>
      </c>
      <c r="B18" s="55">
        <v>4.8165090283167986</v>
      </c>
      <c r="C18" s="55">
        <v>1.3564918314564449</v>
      </c>
      <c r="D18" s="55">
        <v>6.5193465174183611</v>
      </c>
      <c r="E18" s="55">
        <v>4.1380911434519811</v>
      </c>
      <c r="F18" s="55">
        <v>0.47403267410397792</v>
      </c>
      <c r="G18" s="55">
        <v>0</v>
      </c>
      <c r="H18" s="55">
        <v>0</v>
      </c>
      <c r="I18" s="55">
        <v>0</v>
      </c>
      <c r="J18" s="55">
        <v>0</v>
      </c>
      <c r="K18" s="55">
        <v>2.6249355115567048</v>
      </c>
      <c r="L18" s="55">
        <v>1.3377472054162001</v>
      </c>
      <c r="M18" s="55">
        <v>0.90249355111855378</v>
      </c>
      <c r="N18" s="55">
        <v>0.45150472914011269</v>
      </c>
      <c r="O18" s="55">
        <v>0.45451418743644828</v>
      </c>
      <c r="P18" s="55">
        <v>0.45520206359509779</v>
      </c>
      <c r="Q18" s="55">
        <v>0</v>
      </c>
      <c r="R18" s="55">
        <v>0</v>
      </c>
      <c r="S18" s="55">
        <v>0.11160791057311401</v>
      </c>
      <c r="T18" s="55">
        <v>7.5580395528217853E-2</v>
      </c>
      <c r="U18" s="55">
        <v>6.5520206362341474E-2</v>
      </c>
      <c r="V18" s="55">
        <v>6.0877042131929571E-2</v>
      </c>
      <c r="W18" s="55">
        <v>3.0524505588757252E-2</v>
      </c>
      <c r="X18" s="55">
        <v>8.5984522785208569E-3</v>
      </c>
      <c r="Y18" s="55">
        <v>2.0636285468448061E-3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1006</v>
      </c>
    </row>
    <row r="20" spans="1:105" x14ac:dyDescent="0.25">
      <c r="A20" s="61" t="s">
        <v>166</v>
      </c>
      <c r="B20" s="55">
        <v>25.725010105643769</v>
      </c>
      <c r="C20" s="55">
        <v>25.42834662719974</v>
      </c>
      <c r="D20" s="55">
        <v>23.54918051853565</v>
      </c>
      <c r="E20" s="55">
        <v>25.625884044338392</v>
      </c>
      <c r="F20" s="55">
        <v>26.115584025286939</v>
      </c>
      <c r="G20" s="55">
        <v>26.716383230164791</v>
      </c>
      <c r="H20" s="55">
        <v>26.878573969755891</v>
      </c>
      <c r="I20" s="55">
        <v>26.465467935663629</v>
      </c>
      <c r="J20" s="55">
        <v>27.291743912712789</v>
      </c>
      <c r="K20" s="55">
        <v>22.560040709133379</v>
      </c>
      <c r="L20" s="55">
        <v>23.119097857437719</v>
      </c>
      <c r="M20" s="55">
        <v>22.457383636196809</v>
      </c>
      <c r="N20" s="55">
        <v>23.789921626560911</v>
      </c>
      <c r="O20" s="55">
        <v>23.377590265074829</v>
      </c>
      <c r="P20" s="55">
        <v>24.0416210152712</v>
      </c>
      <c r="Q20" s="55">
        <v>24.380194590934501</v>
      </c>
      <c r="R20" s="55">
        <v>24.72889153954641</v>
      </c>
      <c r="S20" s="55">
        <v>24.253520463844509</v>
      </c>
      <c r="T20" s="55">
        <v>24.25125745982912</v>
      </c>
      <c r="U20" s="55">
        <v>24.067250674618499</v>
      </c>
      <c r="V20" s="55">
        <v>23.733790126987021</v>
      </c>
      <c r="W20" s="55">
        <v>23.718791320397141</v>
      </c>
      <c r="X20" s="55">
        <v>23.760841949980261</v>
      </c>
      <c r="Y20" s="55">
        <v>23.958901619332462</v>
      </c>
      <c r="DA20" s="101" t="s">
        <v>1007</v>
      </c>
    </row>
    <row r="21" spans="1:105" x14ac:dyDescent="0.25">
      <c r="A21" s="61" t="s">
        <v>129</v>
      </c>
      <c r="B21" s="55">
        <v>5.2904557179069567</v>
      </c>
      <c r="C21" s="55">
        <v>8.4288907995697535</v>
      </c>
      <c r="D21" s="55">
        <v>7.382717110683962</v>
      </c>
      <c r="E21" s="55">
        <v>7.3827171106663849</v>
      </c>
      <c r="F21" s="55">
        <v>5.2785038691400503</v>
      </c>
      <c r="G21" s="55">
        <v>5.2785038692270971</v>
      </c>
      <c r="H21" s="55">
        <v>5.2355116078420014</v>
      </c>
      <c r="I21" s="55">
        <v>5.2355116078340957</v>
      </c>
      <c r="J21" s="55">
        <v>5.2355116078489994</v>
      </c>
      <c r="K21" s="55">
        <v>4.1893379190928268</v>
      </c>
      <c r="L21" s="55">
        <v>4.1893379189026936</v>
      </c>
      <c r="M21" s="55">
        <v>4.1893379189784836</v>
      </c>
      <c r="N21" s="55">
        <v>4.1893379190943767</v>
      </c>
      <c r="O21" s="55">
        <v>4.1893379190841156</v>
      </c>
      <c r="P21" s="55">
        <v>5.2367153908447763</v>
      </c>
      <c r="Q21" s="55">
        <v>5.236715391047392</v>
      </c>
      <c r="R21" s="55">
        <v>4.189337918433429</v>
      </c>
      <c r="S21" s="55">
        <v>4.904041272439895</v>
      </c>
      <c r="T21" s="55">
        <v>5.0165090283359328</v>
      </c>
      <c r="U21" s="55">
        <v>4.9799656061518771</v>
      </c>
      <c r="V21" s="55">
        <v>4.6261392948899349</v>
      </c>
      <c r="W21" s="55">
        <v>4.638779019740463</v>
      </c>
      <c r="X21" s="55">
        <v>4.8832330180175658</v>
      </c>
      <c r="Y21" s="55">
        <v>4.8767841788082036</v>
      </c>
      <c r="DA21" s="101" t="s">
        <v>1008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1.000186616797462E-3</v>
      </c>
      <c r="V22" s="55">
        <v>0</v>
      </c>
      <c r="W22" s="55">
        <v>0</v>
      </c>
      <c r="X22" s="55">
        <v>0</v>
      </c>
      <c r="Y22" s="55">
        <v>0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1.374953932513775</v>
      </c>
      <c r="M24" s="55">
        <v>1.37866350599647</v>
      </c>
      <c r="N24" s="55">
        <v>1.66617998028522</v>
      </c>
      <c r="O24" s="55">
        <v>1.664987013038109</v>
      </c>
      <c r="P24" s="55">
        <v>2.3789614640687038</v>
      </c>
      <c r="Q24" s="55">
        <v>1.702840705192691</v>
      </c>
      <c r="R24" s="55">
        <v>1.8815377337905359</v>
      </c>
      <c r="S24" s="55">
        <v>1.579782497905915</v>
      </c>
      <c r="T24" s="55">
        <v>1.6314380114728371</v>
      </c>
      <c r="U24" s="55">
        <v>1.291767336294364</v>
      </c>
      <c r="V24" s="55">
        <v>1.337446859269013</v>
      </c>
      <c r="W24" s="55">
        <v>1.7506086862806829</v>
      </c>
      <c r="X24" s="55">
        <v>1.7983691819675349</v>
      </c>
      <c r="Y24" s="55">
        <v>1.59275628916949</v>
      </c>
      <c r="DA24" s="101" t="s">
        <v>1011</v>
      </c>
    </row>
    <row r="25" spans="1:105" x14ac:dyDescent="0.25">
      <c r="A25" s="256" t="s">
        <v>167</v>
      </c>
      <c r="B25" s="257">
        <v>4.6619451198148676</v>
      </c>
      <c r="C25" s="257">
        <v>4.5897932246457582</v>
      </c>
      <c r="D25" s="257">
        <v>4.673971263616167</v>
      </c>
      <c r="E25" s="257">
        <v>4.7731850699441782</v>
      </c>
      <c r="F25" s="257">
        <v>4.3190022996284236</v>
      </c>
      <c r="G25" s="257">
        <v>4.3611113159038908</v>
      </c>
      <c r="H25" s="257">
        <v>4.3804744755390699</v>
      </c>
      <c r="I25" s="257">
        <v>4.3207761995909166</v>
      </c>
      <c r="J25" s="257">
        <v>4.4401749321463617</v>
      </c>
      <c r="K25" s="257">
        <v>3.9024903948586611</v>
      </c>
      <c r="L25" s="257">
        <v>4.0185492411343544</v>
      </c>
      <c r="M25" s="257">
        <v>3.8826267292304371</v>
      </c>
      <c r="N25" s="257">
        <v>4.0657308029862111</v>
      </c>
      <c r="O25" s="257">
        <v>4.0061673597320491</v>
      </c>
      <c r="P25" s="257">
        <v>4.2790344093520503</v>
      </c>
      <c r="Q25" s="257">
        <v>4.2109761313577181</v>
      </c>
      <c r="R25" s="257">
        <v>4.183325285441196</v>
      </c>
      <c r="S25" s="257">
        <v>4.1582655087985403</v>
      </c>
      <c r="T25" s="257">
        <v>4.1710769059230133</v>
      </c>
      <c r="U25" s="257">
        <v>4.1022207259011134</v>
      </c>
      <c r="V25" s="257">
        <v>4.0253703743624278</v>
      </c>
      <c r="W25" s="257">
        <v>4.0678902533441184</v>
      </c>
      <c r="X25" s="257">
        <v>4.1000706482404983</v>
      </c>
      <c r="Y25" s="257">
        <v>4.1045871984631184</v>
      </c>
      <c r="DA25" s="272" t="s">
        <v>1012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0.28886895287858072</v>
      </c>
      <c r="U26" s="257">
        <v>0.2934110520743593</v>
      </c>
      <c r="V26" s="257">
        <v>0.31479158362176918</v>
      </c>
      <c r="W26" s="257">
        <v>0.50886951100193167</v>
      </c>
      <c r="X26" s="257">
        <v>0.4547491904262298</v>
      </c>
      <c r="Y26" s="257">
        <v>0.41612376309127802</v>
      </c>
      <c r="DA26" s="272" t="s">
        <v>1013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0.41885998167394189</v>
      </c>
      <c r="U27" s="258">
        <v>0.42544602550782101</v>
      </c>
      <c r="V27" s="258">
        <v>0.4564477962515654</v>
      </c>
      <c r="W27" s="258">
        <v>0.73786079095280099</v>
      </c>
      <c r="X27" s="258">
        <v>0.65938632611803316</v>
      </c>
      <c r="Y27" s="258">
        <v>0.60337945648235303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0.99999999999999978</v>
      </c>
      <c r="D31" s="235">
        <f t="shared" si="9"/>
        <v>1</v>
      </c>
      <c r="E31" s="235">
        <f t="shared" si="9"/>
        <v>1</v>
      </c>
      <c r="F31" s="235">
        <f t="shared" si="9"/>
        <v>0.99999999999999989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0.99999999999999989</v>
      </c>
      <c r="K31" s="235">
        <f t="shared" si="9"/>
        <v>1</v>
      </c>
      <c r="L31" s="235">
        <f t="shared" si="9"/>
        <v>1</v>
      </c>
      <c r="M31" s="235">
        <f t="shared" si="9"/>
        <v>1</v>
      </c>
      <c r="N31" s="235">
        <f t="shared" si="9"/>
        <v>1</v>
      </c>
      <c r="O31" s="235">
        <f t="shared" si="9"/>
        <v>1</v>
      </c>
      <c r="P31" s="235">
        <f t="shared" si="9"/>
        <v>0.99999999999999989</v>
      </c>
      <c r="Q31" s="235">
        <f t="shared" si="9"/>
        <v>1.0000000000000002</v>
      </c>
      <c r="R31" s="235">
        <f t="shared" ref="R31:W31" si="10">SUM(R32:R40)</f>
        <v>1.0000000000000002</v>
      </c>
      <c r="S31" s="235">
        <f t="shared" si="10"/>
        <v>1</v>
      </c>
      <c r="T31" s="235">
        <f t="shared" si="10"/>
        <v>0.99999999999999978</v>
      </c>
      <c r="U31" s="235">
        <f t="shared" si="10"/>
        <v>0.99999999999999967</v>
      </c>
      <c r="V31" s="235">
        <f t="shared" si="10"/>
        <v>1.0000000000000002</v>
      </c>
      <c r="W31" s="235">
        <f t="shared" si="10"/>
        <v>1.0000000000000002</v>
      </c>
      <c r="X31" s="235">
        <f t="shared" ref="X31:Y31" si="11">SUM(X32:X40)</f>
        <v>0.99999999999999989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0</v>
      </c>
      <c r="C32" s="244">
        <f t="shared" si="12"/>
        <v>0</v>
      </c>
      <c r="D32" s="244">
        <f t="shared" si="12"/>
        <v>0</v>
      </c>
      <c r="E32" s="244">
        <f t="shared" si="12"/>
        <v>0</v>
      </c>
      <c r="F32" s="244">
        <f t="shared" si="12"/>
        <v>0</v>
      </c>
      <c r="G32" s="244">
        <f t="shared" si="12"/>
        <v>0</v>
      </c>
      <c r="H32" s="244">
        <f t="shared" si="12"/>
        <v>0</v>
      </c>
      <c r="I32" s="244">
        <f t="shared" si="12"/>
        <v>0</v>
      </c>
      <c r="J32" s="244">
        <f t="shared" si="12"/>
        <v>0</v>
      </c>
      <c r="K32" s="244">
        <f t="shared" si="12"/>
        <v>0</v>
      </c>
      <c r="L32" s="244">
        <f t="shared" si="12"/>
        <v>0</v>
      </c>
      <c r="M32" s="244">
        <f t="shared" si="12"/>
        <v>0</v>
      </c>
      <c r="N32" s="244">
        <f t="shared" si="12"/>
        <v>0</v>
      </c>
      <c r="O32" s="244">
        <f t="shared" si="12"/>
        <v>0</v>
      </c>
      <c r="P32" s="244">
        <f t="shared" si="12"/>
        <v>0</v>
      </c>
      <c r="Q32" s="244">
        <f t="shared" si="12"/>
        <v>0</v>
      </c>
      <c r="R32" s="244">
        <f t="shared" si="12"/>
        <v>0</v>
      </c>
      <c r="S32" s="244">
        <f t="shared" si="12"/>
        <v>0</v>
      </c>
      <c r="T32" s="244">
        <f t="shared" si="12"/>
        <v>3.868029320375865E-3</v>
      </c>
      <c r="U32" s="244">
        <f t="shared" si="12"/>
        <v>3.9979081631006897E-3</v>
      </c>
      <c r="V32" s="244">
        <f t="shared" si="12"/>
        <v>4.3681251051709315E-3</v>
      </c>
      <c r="W32" s="244">
        <f t="shared" si="12"/>
        <v>6.8956686027396366E-3</v>
      </c>
      <c r="X32" s="244">
        <f t="shared" si="12"/>
        <v>6.1288373332789277E-3</v>
      </c>
      <c r="Y32" s="244">
        <f t="shared" si="12"/>
        <v>5.621478229420402E-3</v>
      </c>
      <c r="DA32" s="275"/>
    </row>
    <row r="33" spans="1:105" x14ac:dyDescent="0.25">
      <c r="A33" s="240" t="s">
        <v>124</v>
      </c>
      <c r="B33" s="245">
        <f t="shared" ref="B33:Y33" si="13">IF(B$7=0,0,B$7/B$5)</f>
        <v>0</v>
      </c>
      <c r="C33" s="245">
        <f t="shared" si="13"/>
        <v>0</v>
      </c>
      <c r="D33" s="245">
        <f t="shared" si="13"/>
        <v>0</v>
      </c>
      <c r="E33" s="245">
        <f t="shared" si="13"/>
        <v>0</v>
      </c>
      <c r="F33" s="245">
        <f t="shared" si="13"/>
        <v>0</v>
      </c>
      <c r="G33" s="245">
        <f t="shared" si="13"/>
        <v>0</v>
      </c>
      <c r="H33" s="245">
        <f t="shared" si="13"/>
        <v>0</v>
      </c>
      <c r="I33" s="245">
        <f t="shared" si="13"/>
        <v>0</v>
      </c>
      <c r="J33" s="245">
        <f t="shared" si="13"/>
        <v>0</v>
      </c>
      <c r="K33" s="245">
        <f t="shared" si="13"/>
        <v>0</v>
      </c>
      <c r="L33" s="245">
        <f t="shared" si="13"/>
        <v>0</v>
      </c>
      <c r="M33" s="245">
        <f t="shared" si="13"/>
        <v>0</v>
      </c>
      <c r="N33" s="245">
        <f t="shared" si="13"/>
        <v>0</v>
      </c>
      <c r="O33" s="245">
        <f t="shared" si="13"/>
        <v>0</v>
      </c>
      <c r="P33" s="245">
        <f t="shared" si="13"/>
        <v>0</v>
      </c>
      <c r="Q33" s="245">
        <f t="shared" si="13"/>
        <v>0</v>
      </c>
      <c r="R33" s="245">
        <f t="shared" si="13"/>
        <v>0</v>
      </c>
      <c r="S33" s="245">
        <f t="shared" si="13"/>
        <v>0</v>
      </c>
      <c r="T33" s="245">
        <f t="shared" si="13"/>
        <v>2.5142190582443111E-3</v>
      </c>
      <c r="U33" s="245">
        <f t="shared" si="13"/>
        <v>2.5986403060154475E-3</v>
      </c>
      <c r="V33" s="245">
        <f t="shared" si="13"/>
        <v>2.8392813183611048E-3</v>
      </c>
      <c r="W33" s="245">
        <f t="shared" si="13"/>
        <v>4.4821845917807626E-3</v>
      </c>
      <c r="X33" s="245">
        <f t="shared" si="13"/>
        <v>3.9837442666313021E-3</v>
      </c>
      <c r="Y33" s="245">
        <f t="shared" si="13"/>
        <v>3.6539608491232595E-3</v>
      </c>
      <c r="DA33" s="276"/>
    </row>
    <row r="34" spans="1:105" x14ac:dyDescent="0.25">
      <c r="A34" s="240" t="s">
        <v>123</v>
      </c>
      <c r="B34" s="245">
        <f t="shared" ref="B34:Y34" si="14">IF(B$8=0,0,B$8/B$5)</f>
        <v>0</v>
      </c>
      <c r="C34" s="245">
        <f t="shared" si="14"/>
        <v>0</v>
      </c>
      <c r="D34" s="245">
        <f t="shared" si="14"/>
        <v>0</v>
      </c>
      <c r="E34" s="245">
        <f t="shared" si="14"/>
        <v>0</v>
      </c>
      <c r="F34" s="245">
        <f t="shared" si="14"/>
        <v>0</v>
      </c>
      <c r="G34" s="245">
        <f t="shared" si="14"/>
        <v>0</v>
      </c>
      <c r="H34" s="245">
        <f t="shared" si="14"/>
        <v>0</v>
      </c>
      <c r="I34" s="245">
        <f t="shared" si="14"/>
        <v>0</v>
      </c>
      <c r="J34" s="245">
        <f t="shared" si="14"/>
        <v>0</v>
      </c>
      <c r="K34" s="245">
        <f t="shared" si="14"/>
        <v>0</v>
      </c>
      <c r="L34" s="245">
        <f t="shared" si="14"/>
        <v>0</v>
      </c>
      <c r="M34" s="245">
        <f t="shared" si="14"/>
        <v>0</v>
      </c>
      <c r="N34" s="245">
        <f t="shared" si="14"/>
        <v>0</v>
      </c>
      <c r="O34" s="245">
        <f t="shared" si="14"/>
        <v>0</v>
      </c>
      <c r="P34" s="245">
        <f t="shared" si="14"/>
        <v>0</v>
      </c>
      <c r="Q34" s="245">
        <f t="shared" si="14"/>
        <v>0</v>
      </c>
      <c r="R34" s="245">
        <f t="shared" si="14"/>
        <v>0</v>
      </c>
      <c r="S34" s="245">
        <f t="shared" si="14"/>
        <v>0</v>
      </c>
      <c r="T34" s="245">
        <f t="shared" si="14"/>
        <v>3.4812263883382778E-3</v>
      </c>
      <c r="U34" s="245">
        <f t="shared" si="14"/>
        <v>3.5981173467906215E-3</v>
      </c>
      <c r="V34" s="245">
        <f t="shared" si="14"/>
        <v>3.9313125946538394E-3</v>
      </c>
      <c r="W34" s="245">
        <f t="shared" si="14"/>
        <v>6.2061017424656735E-3</v>
      </c>
      <c r="X34" s="245">
        <f t="shared" si="14"/>
        <v>5.5159535999510347E-3</v>
      </c>
      <c r="Y34" s="245">
        <f t="shared" si="14"/>
        <v>5.0593304064783604E-3</v>
      </c>
      <c r="DA34" s="276"/>
    </row>
    <row r="35" spans="1:105" x14ac:dyDescent="0.25">
      <c r="A35" s="242" t="s">
        <v>122</v>
      </c>
      <c r="B35" s="246">
        <f t="shared" ref="B35:Y35" si="15">IF(B$9=0,0,B$9/B$5)</f>
        <v>0.22007122815577096</v>
      </c>
      <c r="C35" s="246">
        <f t="shared" si="15"/>
        <v>0.2202428115062334</v>
      </c>
      <c r="D35" s="246">
        <f t="shared" si="15"/>
        <v>0.21610730415058005</v>
      </c>
      <c r="E35" s="246">
        <f t="shared" si="15"/>
        <v>0.21888748766892999</v>
      </c>
      <c r="F35" s="246">
        <f t="shared" si="15"/>
        <v>0.22393741794303718</v>
      </c>
      <c r="G35" s="246">
        <f t="shared" si="15"/>
        <v>0.22447837488603495</v>
      </c>
      <c r="H35" s="246">
        <f t="shared" si="15"/>
        <v>0.22454548276380276</v>
      </c>
      <c r="I35" s="246">
        <f t="shared" si="15"/>
        <v>0.22447240222765028</v>
      </c>
      <c r="J35" s="246">
        <f t="shared" si="15"/>
        <v>0.22461650488879195</v>
      </c>
      <c r="K35" s="246">
        <f t="shared" si="15"/>
        <v>0.2220535367427974</v>
      </c>
      <c r="L35" s="246">
        <f t="shared" si="15"/>
        <v>0.22471391503767721</v>
      </c>
      <c r="M35" s="246">
        <f t="shared" si="15"/>
        <v>0.225026403420376</v>
      </c>
      <c r="N35" s="246">
        <f t="shared" si="15"/>
        <v>0.22590398605987697</v>
      </c>
      <c r="O35" s="246">
        <f t="shared" si="15"/>
        <v>0.2258458238699447</v>
      </c>
      <c r="P35" s="246">
        <f t="shared" si="15"/>
        <v>0.2255352918476769</v>
      </c>
      <c r="Q35" s="246">
        <f t="shared" si="15"/>
        <v>0.22545737892643566</v>
      </c>
      <c r="R35" s="246">
        <f t="shared" si="15"/>
        <v>0.2265995952937791</v>
      </c>
      <c r="S35" s="246">
        <f t="shared" si="15"/>
        <v>0.22554613425404346</v>
      </c>
      <c r="T35" s="246">
        <f t="shared" si="15"/>
        <v>0.21939271182536227</v>
      </c>
      <c r="U35" s="246">
        <f t="shared" si="15"/>
        <v>0.21893970716697497</v>
      </c>
      <c r="V35" s="246">
        <f t="shared" si="15"/>
        <v>0.21868724539819426</v>
      </c>
      <c r="W35" s="246">
        <f t="shared" si="15"/>
        <v>0.21512301388604832</v>
      </c>
      <c r="X35" s="246">
        <f t="shared" si="15"/>
        <v>0.21613010467833885</v>
      </c>
      <c r="Y35" s="246">
        <f t="shared" si="15"/>
        <v>0.21679143942976098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0.29220684840733369</v>
      </c>
      <c r="C36" s="259">
        <f t="shared" si="16"/>
        <v>0.29243467387319733</v>
      </c>
      <c r="D36" s="259">
        <f t="shared" si="16"/>
        <v>0.28694361726808104</v>
      </c>
      <c r="E36" s="259">
        <f t="shared" si="16"/>
        <v>0.29063509784325192</v>
      </c>
      <c r="F36" s="259">
        <f t="shared" si="16"/>
        <v>0.29734030970779041</v>
      </c>
      <c r="G36" s="259">
        <f t="shared" si="16"/>
        <v>0.29805858317207778</v>
      </c>
      <c r="H36" s="259">
        <f t="shared" si="16"/>
        <v>0.29814768787526946</v>
      </c>
      <c r="I36" s="259">
        <f t="shared" si="16"/>
        <v>0.29805065277746046</v>
      </c>
      <c r="J36" s="259">
        <f t="shared" si="16"/>
        <v>0.29824198984960842</v>
      </c>
      <c r="K36" s="259">
        <f t="shared" si="16"/>
        <v>0.29483892416589569</v>
      </c>
      <c r="L36" s="259">
        <f t="shared" si="16"/>
        <v>0.29504313792694253</v>
      </c>
      <c r="M36" s="259">
        <f t="shared" si="16"/>
        <v>0.29535718153816976</v>
      </c>
      <c r="N36" s="259">
        <f t="shared" si="16"/>
        <v>0.29606353935663837</v>
      </c>
      <c r="O36" s="259">
        <f t="shared" si="16"/>
        <v>0.295920703211626</v>
      </c>
      <c r="P36" s="259">
        <f t="shared" si="16"/>
        <v>0.29400014708568617</v>
      </c>
      <c r="Q36" s="259">
        <f t="shared" si="16"/>
        <v>0.29547312393074787</v>
      </c>
      <c r="R36" s="259">
        <f t="shared" si="16"/>
        <v>0.29667144545139229</v>
      </c>
      <c r="S36" s="259">
        <f t="shared" si="16"/>
        <v>0.29585001077172951</v>
      </c>
      <c r="T36" s="259">
        <f t="shared" si="16"/>
        <v>0.29065504365847594</v>
      </c>
      <c r="U36" s="259">
        <f t="shared" si="16"/>
        <v>0.29088152963982067</v>
      </c>
      <c r="V36" s="259">
        <f t="shared" si="16"/>
        <v>0.29068229321229255</v>
      </c>
      <c r="W36" s="259">
        <f t="shared" si="16"/>
        <v>0.28686657903949409</v>
      </c>
      <c r="X36" s="259">
        <f t="shared" si="16"/>
        <v>0.28756648978466409</v>
      </c>
      <c r="Y36" s="259">
        <f t="shared" si="16"/>
        <v>0.28856142767261239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0.43157194234384744</v>
      </c>
      <c r="C37" s="259">
        <f t="shared" si="17"/>
        <v>0.43112875496562092</v>
      </c>
      <c r="D37" s="259">
        <f t="shared" si="17"/>
        <v>0.44181047121402056</v>
      </c>
      <c r="E37" s="259">
        <f t="shared" si="17"/>
        <v>0.43462945836419598</v>
      </c>
      <c r="F37" s="259">
        <f t="shared" si="17"/>
        <v>0.42158585388638598</v>
      </c>
      <c r="G37" s="259">
        <f t="shared" si="17"/>
        <v>0.42018860124704438</v>
      </c>
      <c r="H37" s="259">
        <f t="shared" si="17"/>
        <v>0.42001526645479254</v>
      </c>
      <c r="I37" s="259">
        <f t="shared" si="17"/>
        <v>0.42020402819146185</v>
      </c>
      <c r="J37" s="259">
        <f t="shared" si="17"/>
        <v>0.41983182144520831</v>
      </c>
      <c r="K37" s="259">
        <f t="shared" si="17"/>
        <v>0.42645178270625539</v>
      </c>
      <c r="L37" s="259">
        <f t="shared" si="17"/>
        <v>0.42354794927428219</v>
      </c>
      <c r="M37" s="259">
        <f t="shared" si="17"/>
        <v>0.42286107118330574</v>
      </c>
      <c r="N37" s="259">
        <f t="shared" si="17"/>
        <v>0.42114139818392543</v>
      </c>
      <c r="O37" s="259">
        <f t="shared" si="17"/>
        <v>0.42136984367449132</v>
      </c>
      <c r="P37" s="259">
        <f t="shared" si="17"/>
        <v>0.42396998268768532</v>
      </c>
      <c r="Q37" s="259">
        <f t="shared" si="17"/>
        <v>0.42229187398770224</v>
      </c>
      <c r="R37" s="259">
        <f t="shared" si="17"/>
        <v>0.41972106863304021</v>
      </c>
      <c r="S37" s="259">
        <f t="shared" si="17"/>
        <v>0.42175380987174671</v>
      </c>
      <c r="T37" s="259">
        <f t="shared" si="17"/>
        <v>0.41476030903604189</v>
      </c>
      <c r="U37" s="259">
        <f t="shared" si="17"/>
        <v>0.41429391233067303</v>
      </c>
      <c r="V37" s="259">
        <f t="shared" si="17"/>
        <v>0.41293281075656207</v>
      </c>
      <c r="W37" s="259">
        <f t="shared" si="17"/>
        <v>0.40840826023107968</v>
      </c>
      <c r="X37" s="259">
        <f t="shared" si="17"/>
        <v>0.41040092135837408</v>
      </c>
      <c r="Y37" s="259">
        <f t="shared" si="17"/>
        <v>0.41109025863158827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5.6149981093047731E-2</v>
      </c>
      <c r="C38" s="259">
        <f t="shared" si="18"/>
        <v>5.6193759654948272E-2</v>
      </c>
      <c r="D38" s="259">
        <f t="shared" si="18"/>
        <v>5.5138607367318321E-2</v>
      </c>
      <c r="E38" s="259">
        <f t="shared" si="18"/>
        <v>5.5847956123622131E-2</v>
      </c>
      <c r="F38" s="259">
        <f t="shared" si="18"/>
        <v>5.7136418462786338E-2</v>
      </c>
      <c r="G38" s="259">
        <f t="shared" si="18"/>
        <v>5.7274440694842839E-2</v>
      </c>
      <c r="H38" s="259">
        <f t="shared" si="18"/>
        <v>5.729156290613524E-2</v>
      </c>
      <c r="I38" s="259">
        <f t="shared" si="18"/>
        <v>5.7272916803427401E-2</v>
      </c>
      <c r="J38" s="259">
        <f t="shared" si="18"/>
        <v>5.7309683816391198E-2</v>
      </c>
      <c r="K38" s="259">
        <f t="shared" si="18"/>
        <v>5.6655756385051506E-2</v>
      </c>
      <c r="L38" s="259">
        <f t="shared" si="18"/>
        <v>5.6694997761098084E-2</v>
      </c>
      <c r="M38" s="259">
        <f t="shared" si="18"/>
        <v>5.6755343858148524E-2</v>
      </c>
      <c r="N38" s="259">
        <f t="shared" si="18"/>
        <v>5.6891076399559232E-2</v>
      </c>
      <c r="O38" s="259">
        <f t="shared" si="18"/>
        <v>5.686362924393791E-2</v>
      </c>
      <c r="P38" s="259">
        <f t="shared" si="18"/>
        <v>5.6494578378951561E-2</v>
      </c>
      <c r="Q38" s="259">
        <f t="shared" si="18"/>
        <v>5.6777623155114448E-2</v>
      </c>
      <c r="R38" s="259">
        <f t="shared" si="18"/>
        <v>5.7007890621788529E-2</v>
      </c>
      <c r="S38" s="259">
        <f t="shared" si="18"/>
        <v>5.6850045102480436E-2</v>
      </c>
      <c r="T38" s="259">
        <f t="shared" si="18"/>
        <v>5.5851788878240376E-2</v>
      </c>
      <c r="U38" s="259">
        <f t="shared" si="18"/>
        <v>5.5895310047027684E-2</v>
      </c>
      <c r="V38" s="259">
        <f t="shared" si="18"/>
        <v>5.585702510709651E-2</v>
      </c>
      <c r="W38" s="259">
        <f t="shared" si="18"/>
        <v>5.5123803829679907E-2</v>
      </c>
      <c r="X38" s="259">
        <f t="shared" si="18"/>
        <v>5.5258297512228154E-2</v>
      </c>
      <c r="Y38" s="259">
        <f t="shared" si="18"/>
        <v>5.5449483118936375E-2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0</v>
      </c>
      <c r="C39" s="259">
        <f t="shared" si="19"/>
        <v>0</v>
      </c>
      <c r="D39" s="259">
        <f t="shared" si="19"/>
        <v>0</v>
      </c>
      <c r="E39" s="259">
        <f t="shared" si="19"/>
        <v>0</v>
      </c>
      <c r="F39" s="259">
        <f t="shared" si="19"/>
        <v>0</v>
      </c>
      <c r="G39" s="259">
        <f t="shared" si="19"/>
        <v>0</v>
      </c>
      <c r="H39" s="259">
        <f t="shared" si="19"/>
        <v>0</v>
      </c>
      <c r="I39" s="259">
        <f t="shared" si="19"/>
        <v>0</v>
      </c>
      <c r="J39" s="259">
        <f t="shared" si="19"/>
        <v>0</v>
      </c>
      <c r="K39" s="259">
        <f t="shared" si="19"/>
        <v>0</v>
      </c>
      <c r="L39" s="259">
        <f t="shared" si="19"/>
        <v>0</v>
      </c>
      <c r="M39" s="259">
        <f t="shared" si="19"/>
        <v>0</v>
      </c>
      <c r="N39" s="259">
        <f t="shared" si="19"/>
        <v>0</v>
      </c>
      <c r="O39" s="259">
        <f t="shared" si="19"/>
        <v>0</v>
      </c>
      <c r="P39" s="259">
        <f t="shared" si="19"/>
        <v>0</v>
      </c>
      <c r="Q39" s="259">
        <f t="shared" si="19"/>
        <v>0</v>
      </c>
      <c r="R39" s="259">
        <f t="shared" si="19"/>
        <v>0</v>
      </c>
      <c r="S39" s="259">
        <f t="shared" si="19"/>
        <v>0</v>
      </c>
      <c r="T39" s="259">
        <f t="shared" si="19"/>
        <v>3.868029320375865E-3</v>
      </c>
      <c r="U39" s="259">
        <f t="shared" si="19"/>
        <v>3.9979081631006897E-3</v>
      </c>
      <c r="V39" s="259">
        <f t="shared" si="19"/>
        <v>4.3681251051709315E-3</v>
      </c>
      <c r="W39" s="259">
        <f t="shared" si="19"/>
        <v>6.8956686027396366E-3</v>
      </c>
      <c r="X39" s="259">
        <f t="shared" si="19"/>
        <v>6.1288373332789277E-3</v>
      </c>
      <c r="Y39" s="259">
        <f t="shared" si="19"/>
        <v>5.621478229420402E-3</v>
      </c>
      <c r="DA39" s="278"/>
    </row>
    <row r="40" spans="1:105" x14ac:dyDescent="0.25">
      <c r="A40" s="260" t="s">
        <v>33</v>
      </c>
      <c r="B40" s="261">
        <f t="shared" ref="B40:Y40" si="20">IF(B$27=0,0,B$27/B$5)</f>
        <v>0</v>
      </c>
      <c r="C40" s="261">
        <f t="shared" si="20"/>
        <v>0</v>
      </c>
      <c r="D40" s="261">
        <f t="shared" si="20"/>
        <v>0</v>
      </c>
      <c r="E40" s="261">
        <f t="shared" si="20"/>
        <v>0</v>
      </c>
      <c r="F40" s="261">
        <f t="shared" si="20"/>
        <v>0</v>
      </c>
      <c r="G40" s="261">
        <f t="shared" si="20"/>
        <v>0</v>
      </c>
      <c r="H40" s="261">
        <f t="shared" si="20"/>
        <v>0</v>
      </c>
      <c r="I40" s="261">
        <f t="shared" si="20"/>
        <v>0</v>
      </c>
      <c r="J40" s="261">
        <f t="shared" si="20"/>
        <v>0</v>
      </c>
      <c r="K40" s="261">
        <f t="shared" si="20"/>
        <v>0</v>
      </c>
      <c r="L40" s="261">
        <f t="shared" si="20"/>
        <v>0</v>
      </c>
      <c r="M40" s="261">
        <f t="shared" si="20"/>
        <v>0</v>
      </c>
      <c r="N40" s="261">
        <f t="shared" si="20"/>
        <v>0</v>
      </c>
      <c r="O40" s="261">
        <f t="shared" si="20"/>
        <v>0</v>
      </c>
      <c r="P40" s="261">
        <f t="shared" si="20"/>
        <v>0</v>
      </c>
      <c r="Q40" s="261">
        <f t="shared" si="20"/>
        <v>0</v>
      </c>
      <c r="R40" s="261">
        <f t="shared" si="20"/>
        <v>0</v>
      </c>
      <c r="S40" s="261">
        <f t="shared" si="20"/>
        <v>0</v>
      </c>
      <c r="T40" s="261">
        <f t="shared" si="20"/>
        <v>5.6086425145450017E-3</v>
      </c>
      <c r="U40" s="261">
        <f t="shared" si="20"/>
        <v>5.7969668364959998E-3</v>
      </c>
      <c r="V40" s="261">
        <f t="shared" si="20"/>
        <v>6.333781402497852E-3</v>
      </c>
      <c r="W40" s="261">
        <f t="shared" si="20"/>
        <v>9.9987194739724738E-3</v>
      </c>
      <c r="X40" s="261">
        <f t="shared" si="20"/>
        <v>8.8868141332544455E-3</v>
      </c>
      <c r="Y40" s="261">
        <f t="shared" si="20"/>
        <v>8.1511434326595814E-3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112.47171201628672</v>
      </c>
      <c r="C44" s="236">
        <f t="shared" si="21"/>
        <v>109.81942433546162</v>
      </c>
      <c r="D44" s="236">
        <f t="shared" si="21"/>
        <v>113.80906613357635</v>
      </c>
      <c r="E44" s="236">
        <f t="shared" si="21"/>
        <v>119.53787119840251</v>
      </c>
      <c r="F44" s="236">
        <f t="shared" si="21"/>
        <v>117.30616060932354</v>
      </c>
      <c r="G44" s="236">
        <f t="shared" si="21"/>
        <v>134.29403412451362</v>
      </c>
      <c r="H44" s="236">
        <f t="shared" si="21"/>
        <v>130.05722800154632</v>
      </c>
      <c r="I44" s="236">
        <f t="shared" si="21"/>
        <v>117.81469406104159</v>
      </c>
      <c r="J44" s="236">
        <f t="shared" si="21"/>
        <v>123.49619118298853</v>
      </c>
      <c r="K44" s="236">
        <f t="shared" si="21"/>
        <v>137.83360398812141</v>
      </c>
      <c r="L44" s="236">
        <f t="shared" si="21"/>
        <v>128.47617233393535</v>
      </c>
      <c r="M44" s="236">
        <f t="shared" si="21"/>
        <v>116.0213122138336</v>
      </c>
      <c r="N44" s="236">
        <f t="shared" si="21"/>
        <v>118.31216844961237</v>
      </c>
      <c r="O44" s="236">
        <f t="shared" si="21"/>
        <v>117.89482713876835</v>
      </c>
      <c r="P44" s="236">
        <f t="shared" si="21"/>
        <v>114.21265320772916</v>
      </c>
      <c r="Q44" s="236">
        <f t="shared" si="21"/>
        <v>116.67728719019787</v>
      </c>
      <c r="R44" s="236">
        <f t="shared" si="21"/>
        <v>118.41249825520165</v>
      </c>
      <c r="S44" s="236">
        <f t="shared" si="21"/>
        <v>109.25986032686185</v>
      </c>
      <c r="T44" s="236">
        <f t="shared" si="21"/>
        <v>115.03952384499107</v>
      </c>
      <c r="U44" s="236">
        <f t="shared" si="21"/>
        <v>114.3105370701674</v>
      </c>
      <c r="V44" s="236">
        <f t="shared" si="21"/>
        <v>121.02278233994656</v>
      </c>
      <c r="W44" s="236">
        <f t="shared" si="21"/>
        <v>115.61293230102241</v>
      </c>
      <c r="X44" s="236">
        <f t="shared" si="21"/>
        <v>98.926512660278405</v>
      </c>
      <c r="Y44" s="236">
        <f t="shared" si="21"/>
        <v>101.37891512464493</v>
      </c>
      <c r="DA44" s="280"/>
    </row>
    <row r="45" spans="1:105" x14ac:dyDescent="0.25">
      <c r="A45" s="238" t="s">
        <v>125</v>
      </c>
      <c r="B45" s="247">
        <f>IF(B$6=0,0,B$6/AGR!B$5*1000)</f>
        <v>0</v>
      </c>
      <c r="C45" s="247">
        <f>IF(C$6=0,0,C$6/AGR!C$5*1000)</f>
        <v>0</v>
      </c>
      <c r="D45" s="247">
        <f>IF(D$6=0,0,D$6/AGR!D$5*1000)</f>
        <v>0</v>
      </c>
      <c r="E45" s="247">
        <f>IF(E$6=0,0,E$6/AGR!E$5*1000)</f>
        <v>0</v>
      </c>
      <c r="F45" s="247">
        <f>IF(F$6=0,0,F$6/AGR!F$5*1000)</f>
        <v>0</v>
      </c>
      <c r="G45" s="247">
        <f>IF(G$6=0,0,G$6/AGR!G$5*1000)</f>
        <v>0</v>
      </c>
      <c r="H45" s="247">
        <f>IF(H$6=0,0,H$6/AGR!H$5*1000)</f>
        <v>0</v>
      </c>
      <c r="I45" s="247">
        <f>IF(I$6=0,0,I$6/AGR!I$5*1000)</f>
        <v>0</v>
      </c>
      <c r="J45" s="247">
        <f>IF(J$6=0,0,J$6/AGR!J$5*1000)</f>
        <v>0</v>
      </c>
      <c r="K45" s="247">
        <f>IF(K$6=0,0,K$6/AGR!K$5*1000)</f>
        <v>0</v>
      </c>
      <c r="L45" s="247">
        <f>IF(L$6=0,0,L$6/AGR!L$5*1000)</f>
        <v>0</v>
      </c>
      <c r="M45" s="247">
        <f>IF(M$6=0,0,M$6/AGR!M$5*1000)</f>
        <v>0</v>
      </c>
      <c r="N45" s="247">
        <f>IF(N$6=0,0,N$6/AGR!N$5*1000)</f>
        <v>0</v>
      </c>
      <c r="O45" s="247">
        <f>IF(O$6=0,0,O$6/AGR!O$5*1000)</f>
        <v>0</v>
      </c>
      <c r="P45" s="247">
        <f>IF(P$6=0,0,P$6/AGR!P$5*1000)</f>
        <v>0</v>
      </c>
      <c r="Q45" s="247">
        <f>IF(Q$6=0,0,Q$6/AGR!Q$5*1000)</f>
        <v>0</v>
      </c>
      <c r="R45" s="247">
        <f>IF(R$6=0,0,R$6/AGR!R$5*1000)</f>
        <v>0</v>
      </c>
      <c r="S45" s="247">
        <f>IF(S$6=0,0,S$6/AGR!S$5*1000)</f>
        <v>0</v>
      </c>
      <c r="T45" s="247">
        <f>IF(T$6=0,0,T$6/AGR!T$5*1000)</f>
        <v>0.44497625123450396</v>
      </c>
      <c r="U45" s="247">
        <f>IF(U$6=0,0,U$6/AGR!U$5*1000)</f>
        <v>0.45700302928124625</v>
      </c>
      <c r="V45" s="247">
        <f>IF(V$6=0,0,V$6/AGR!V$5*1000)</f>
        <v>0.5286426538367579</v>
      </c>
      <c r="W45" s="247">
        <f>IF(W$6=0,0,W$6/AGR!W$5*1000)</f>
        <v>0.79722846733882324</v>
      </c>
      <c r="X45" s="247">
        <f>IF(X$6=0,0,X$6/AGR!X$5*1000)</f>
        <v>0.60630450404340497</v>
      </c>
      <c r="Y45" s="247">
        <f>IF(Y$6=0,0,Y$6/AGR!Y$5*1000)</f>
        <v>0.56989936429545018</v>
      </c>
      <c r="DA45" s="281"/>
    </row>
    <row r="46" spans="1:105" x14ac:dyDescent="0.25">
      <c r="A46" s="240" t="s">
        <v>124</v>
      </c>
      <c r="B46" s="248">
        <f>IF(B$7=0,0,B$7/AGR!B$5*1000)</f>
        <v>0</v>
      </c>
      <c r="C46" s="248">
        <f>IF(C$7=0,0,C$7/AGR!C$5*1000)</f>
        <v>0</v>
      </c>
      <c r="D46" s="248">
        <f>IF(D$7=0,0,D$7/AGR!D$5*1000)</f>
        <v>0</v>
      </c>
      <c r="E46" s="248">
        <f>IF(E$7=0,0,E$7/AGR!E$5*1000)</f>
        <v>0</v>
      </c>
      <c r="F46" s="248">
        <f>IF(F$7=0,0,F$7/AGR!F$5*1000)</f>
        <v>0</v>
      </c>
      <c r="G46" s="248">
        <f>IF(G$7=0,0,G$7/AGR!G$5*1000)</f>
        <v>0</v>
      </c>
      <c r="H46" s="248">
        <f>IF(H$7=0,0,H$7/AGR!H$5*1000)</f>
        <v>0</v>
      </c>
      <c r="I46" s="248">
        <f>IF(I$7=0,0,I$7/AGR!I$5*1000)</f>
        <v>0</v>
      </c>
      <c r="J46" s="248">
        <f>IF(J$7=0,0,J$7/AGR!J$5*1000)</f>
        <v>0</v>
      </c>
      <c r="K46" s="248">
        <f>IF(K$7=0,0,K$7/AGR!K$5*1000)</f>
        <v>0</v>
      </c>
      <c r="L46" s="248">
        <f>IF(L$7=0,0,L$7/AGR!L$5*1000)</f>
        <v>0</v>
      </c>
      <c r="M46" s="248">
        <f>IF(M$7=0,0,M$7/AGR!M$5*1000)</f>
        <v>0</v>
      </c>
      <c r="N46" s="248">
        <f>IF(N$7=0,0,N$7/AGR!N$5*1000)</f>
        <v>0</v>
      </c>
      <c r="O46" s="248">
        <f>IF(O$7=0,0,O$7/AGR!O$5*1000)</f>
        <v>0</v>
      </c>
      <c r="P46" s="248">
        <f>IF(P$7=0,0,P$7/AGR!P$5*1000)</f>
        <v>0</v>
      </c>
      <c r="Q46" s="248">
        <f>IF(Q$7=0,0,Q$7/AGR!Q$5*1000)</f>
        <v>0</v>
      </c>
      <c r="R46" s="248">
        <f>IF(R$7=0,0,R$7/AGR!R$5*1000)</f>
        <v>0</v>
      </c>
      <c r="S46" s="248">
        <f>IF(S$7=0,0,S$7/AGR!S$5*1000)</f>
        <v>0</v>
      </c>
      <c r="T46" s="248">
        <f>IF(T$7=0,0,T$7/AGR!T$5*1000)</f>
        <v>0.28923456330242742</v>
      </c>
      <c r="U46" s="248">
        <f>IF(U$7=0,0,U$7/AGR!U$5*1000)</f>
        <v>0.29705196903281</v>
      </c>
      <c r="V46" s="248">
        <f>IF(V$7=0,0,V$7/AGR!V$5*1000)</f>
        <v>0.34361772499389248</v>
      </c>
      <c r="W46" s="248">
        <f>IF(W$7=0,0,W$7/AGR!W$5*1000)</f>
        <v>0.51819850377023491</v>
      </c>
      <c r="X46" s="248">
        <f>IF(X$7=0,0,X$7/AGR!X$5*1000)</f>
        <v>0.39409792762821311</v>
      </c>
      <c r="Y46" s="248">
        <f>IF(Y$7=0,0,Y$7/AGR!Y$5*1000)</f>
        <v>0.37043458679204239</v>
      </c>
      <c r="DA46" s="282"/>
    </row>
    <row r="47" spans="1:105" x14ac:dyDescent="0.25">
      <c r="A47" s="240" t="s">
        <v>123</v>
      </c>
      <c r="B47" s="248">
        <f>IF(B$8=0,0,B$8/AGR!B$5*1000)</f>
        <v>0</v>
      </c>
      <c r="C47" s="248">
        <f>IF(C$8=0,0,C$8/AGR!C$5*1000)</f>
        <v>0</v>
      </c>
      <c r="D47" s="248">
        <f>IF(D$8=0,0,D$8/AGR!D$5*1000)</f>
        <v>0</v>
      </c>
      <c r="E47" s="248">
        <f>IF(E$8=0,0,E$8/AGR!E$5*1000)</f>
        <v>0</v>
      </c>
      <c r="F47" s="248">
        <f>IF(F$8=0,0,F$8/AGR!F$5*1000)</f>
        <v>0</v>
      </c>
      <c r="G47" s="248">
        <f>IF(G$8=0,0,G$8/AGR!G$5*1000)</f>
        <v>0</v>
      </c>
      <c r="H47" s="248">
        <f>IF(H$8=0,0,H$8/AGR!H$5*1000)</f>
        <v>0</v>
      </c>
      <c r="I47" s="248">
        <f>IF(I$8=0,0,I$8/AGR!I$5*1000)</f>
        <v>0</v>
      </c>
      <c r="J47" s="248">
        <f>IF(J$8=0,0,J$8/AGR!J$5*1000)</f>
        <v>0</v>
      </c>
      <c r="K47" s="248">
        <f>IF(K$8=0,0,K$8/AGR!K$5*1000)</f>
        <v>0</v>
      </c>
      <c r="L47" s="248">
        <f>IF(L$8=0,0,L$8/AGR!L$5*1000)</f>
        <v>0</v>
      </c>
      <c r="M47" s="248">
        <f>IF(M$8=0,0,M$8/AGR!M$5*1000)</f>
        <v>0</v>
      </c>
      <c r="N47" s="248">
        <f>IF(N$8=0,0,N$8/AGR!N$5*1000)</f>
        <v>0</v>
      </c>
      <c r="O47" s="248">
        <f>IF(O$8=0,0,O$8/AGR!O$5*1000)</f>
        <v>0</v>
      </c>
      <c r="P47" s="248">
        <f>IF(P$8=0,0,P$8/AGR!P$5*1000)</f>
        <v>0</v>
      </c>
      <c r="Q47" s="248">
        <f>IF(Q$8=0,0,Q$8/AGR!Q$5*1000)</f>
        <v>0</v>
      </c>
      <c r="R47" s="248">
        <f>IF(R$8=0,0,R$8/AGR!R$5*1000)</f>
        <v>0</v>
      </c>
      <c r="S47" s="248">
        <f>IF(S$8=0,0,S$8/AGR!S$5*1000)</f>
        <v>0</v>
      </c>
      <c r="T47" s="248">
        <f>IF(T$8=0,0,T$8/AGR!T$5*1000)</f>
        <v>0.40047862611105345</v>
      </c>
      <c r="U47" s="248">
        <f>IF(U$8=0,0,U$8/AGR!U$5*1000)</f>
        <v>0.41130272635312176</v>
      </c>
      <c r="V47" s="248">
        <f>IF(V$8=0,0,V$8/AGR!V$5*1000)</f>
        <v>0.47577838845308218</v>
      </c>
      <c r="W47" s="248">
        <f>IF(W$8=0,0,W$8/AGR!W$5*1000)</f>
        <v>0.71750562060494105</v>
      </c>
      <c r="X47" s="248">
        <f>IF(X$8=0,0,X$8/AGR!X$5*1000)</f>
        <v>0.5456740536390644</v>
      </c>
      <c r="Y47" s="248">
        <f>IF(Y$8=0,0,Y$8/AGR!Y$5*1000)</f>
        <v>0.51290942786590499</v>
      </c>
      <c r="DA47" s="282"/>
    </row>
    <row r="48" spans="1:105" x14ac:dyDescent="0.25">
      <c r="A48" s="242" t="s">
        <v>122</v>
      </c>
      <c r="B48" s="249">
        <f>IF(B$9=0,0,B$9/AGR!B$5*1000)</f>
        <v>24.751787796206404</v>
      </c>
      <c r="C48" s="249">
        <f>IF(C$9=0,0,C$9/AGR!C$5*1000)</f>
        <v>24.186938773638136</v>
      </c>
      <c r="D48" s="249">
        <f>IF(D$9=0,0,D$9/AGR!D$5*1000)</f>
        <v>24.594970470022265</v>
      </c>
      <c r="E48" s="249">
        <f>IF(E$9=0,0,E$9/AGR!E$5*1000)</f>
        <v>26.16534430791047</v>
      </c>
      <c r="F48" s="249">
        <f>IF(F$9=0,0,F$9/AGR!F$5*1000)</f>
        <v>26.269238715663132</v>
      </c>
      <c r="G48" s="249">
        <f>IF(G$9=0,0,G$9/AGR!G$5*1000)</f>
        <v>30.146106537160541</v>
      </c>
      <c r="H48" s="249">
        <f>IF(H$9=0,0,H$9/AGR!H$5*1000)</f>
        <v>29.20376304852919</v>
      </c>
      <c r="I48" s="249">
        <f>IF(I$9=0,0,I$9/AGR!I$5*1000)</f>
        <v>26.446147393597688</v>
      </c>
      <c r="J48" s="249">
        <f>IF(J$9=0,0,J$9/AGR!J$5*1000)</f>
        <v>27.739282830600928</v>
      </c>
      <c r="K48" s="249">
        <f>IF(K$9=0,0,K$9/AGR!K$5*1000)</f>
        <v>30.606439247568506</v>
      </c>
      <c r="L48" s="249">
        <f>IF(L$9=0,0,L$9/AGR!L$5*1000)</f>
        <v>28.870383674213922</v>
      </c>
      <c r="M48" s="249">
        <f>IF(M$9=0,0,M$9/AGR!M$5*1000)</f>
        <v>26.107858607591517</v>
      </c>
      <c r="N48" s="249">
        <f>IF(N$9=0,0,N$9/AGR!N$5*1000)</f>
        <v>26.727190452155046</v>
      </c>
      <c r="O48" s="249">
        <f>IF(O$9=0,0,O$9/AGR!O$5*1000)</f>
        <v>26.626054365159856</v>
      </c>
      <c r="P48" s="249">
        <f>IF(P$9=0,0,P$9/AGR!P$5*1000)</f>
        <v>25.75898407390271</v>
      </c>
      <c r="Q48" s="249">
        <f>IF(Q$9=0,0,Q$9/AGR!Q$5*1000)</f>
        <v>26.305755350148992</v>
      </c>
      <c r="R48" s="249">
        <f>IF(R$9=0,0,R$9/AGR!R$5*1000)</f>
        <v>26.832224182354011</v>
      </c>
      <c r="S48" s="249">
        <f>IF(S$9=0,0,S$9/AGR!S$5*1000)</f>
        <v>24.643139125860422</v>
      </c>
      <c r="T48" s="249">
        <f>IF(T$9=0,0,T$9/AGR!T$5*1000)</f>
        <v>25.238833103451022</v>
      </c>
      <c r="U48" s="249">
        <f>IF(U$9=0,0,U$9/AGR!U$5*1000)</f>
        <v>25.027115512242091</v>
      </c>
      <c r="V48" s="249">
        <f>IF(V$9=0,0,V$9/AGR!V$5*1000)</f>
        <v>26.466138900348142</v>
      </c>
      <c r="W48" s="249">
        <f>IF(W$9=0,0,W$9/AGR!W$5*1000)</f>
        <v>24.871002440799604</v>
      </c>
      <c r="X48" s="249">
        <f>IF(X$9=0,0,X$9/AGR!X$5*1000)</f>
        <v>21.380997536728991</v>
      </c>
      <c r="Y48" s="249">
        <f>IF(Y$9=0,0,Y$9/AGR!Y$5*1000)</f>
        <v>21.978080937699335</v>
      </c>
      <c r="DA48" s="283"/>
    </row>
    <row r="49" spans="1:105" x14ac:dyDescent="0.25">
      <c r="A49" s="127" t="s">
        <v>168</v>
      </c>
      <c r="B49" s="262">
        <f>IF(B$16=0,0,B$16/AGR!B$5*1000)</f>
        <v>32.865004503256387</v>
      </c>
      <c r="C49" s="262">
        <f>IF(C$16=0,0,C$16/AGR!C$5*1000)</f>
        <v>32.115007540482992</v>
      </c>
      <c r="D49" s="262">
        <f>IF(D$16=0,0,D$16/AGR!D$5*1000)</f>
        <v>32.656785114270662</v>
      </c>
      <c r="E49" s="262">
        <f>IF(E$16=0,0,E$16/AGR!E$5*1000)</f>
        <v>34.741900891721755</v>
      </c>
      <c r="F49" s="262">
        <f>IF(F$16=0,0,F$16/AGR!F$5*1000)</f>
        <v>34.879850126208069</v>
      </c>
      <c r="G49" s="262">
        <f>IF(G$16=0,0,G$16/AGR!G$5*1000)</f>
        <v>40.027489539615196</v>
      </c>
      <c r="H49" s="262">
        <f>IF(H$16=0,0,H$16/AGR!H$5*1000)</f>
        <v>38.776261820127793</v>
      </c>
      <c r="I49" s="262">
        <f>IF(I$16=0,0,I$16/AGR!I$5*1000)</f>
        <v>35.114746471670237</v>
      </c>
      <c r="J49" s="262">
        <f>IF(J$16=0,0,J$16/AGR!J$5*1000)</f>
        <v>36.831749797262169</v>
      </c>
      <c r="K49" s="262">
        <f>IF(K$16=0,0,K$16/AGR!K$5*1000)</f>
        <v>40.638711513765827</v>
      </c>
      <c r="L49" s="262">
        <f>IF(L$16=0,0,L$16/AGR!L$5*1000)</f>
        <v>37.906013034246925</v>
      </c>
      <c r="M49" s="262">
        <f>IF(M$16=0,0,M$16/AGR!M$5*1000)</f>
        <v>34.267727773837919</v>
      </c>
      <c r="N49" s="262">
        <f>IF(N$16=0,0,N$16/AGR!N$5*1000)</f>
        <v>35.027919340151037</v>
      </c>
      <c r="O49" s="262">
        <f>IF(O$16=0,0,O$16/AGR!O$5*1000)</f>
        <v>34.887520151917421</v>
      </c>
      <c r="P49" s="262">
        <f>IF(P$16=0,0,P$16/AGR!P$5*1000)</f>
        <v>33.578536842118837</v>
      </c>
      <c r="Q49" s="262">
        <f>IF(Q$16=0,0,Q$16/AGR!Q$5*1000)</f>
        <v>34.475002537852795</v>
      </c>
      <c r="R49" s="262">
        <f>IF(R$16=0,0,R$16/AGR!R$5*1000)</f>
        <v>35.129607016881138</v>
      </c>
      <c r="S49" s="262">
        <f>IF(S$16=0,0,S$16/AGR!S$5*1000)</f>
        <v>32.324530854619738</v>
      </c>
      <c r="T49" s="262">
        <f>IF(T$16=0,0,T$16/AGR!T$5*1000)</f>
        <v>33.436817825616167</v>
      </c>
      <c r="U49" s="262">
        <f>IF(U$16=0,0,U$16/AGR!U$5*1000)</f>
        <v>33.250823876919725</v>
      </c>
      <c r="V49" s="262">
        <f>IF(V$16=0,0,V$16/AGR!V$5*1000)</f>
        <v>35.179179901507808</v>
      </c>
      <c r="W49" s="262">
        <f>IF(W$16=0,0,W$16/AGR!W$5*1000)</f>
        <v>33.165486381918917</v>
      </c>
      <c r="X49" s="262">
        <f>IF(X$16=0,0,X$16/AGR!X$5*1000)</f>
        <v>28.447949992354399</v>
      </c>
      <c r="Y49" s="262">
        <f>IF(Y$16=0,0,Y$16/AGR!Y$5*1000)</f>
        <v>29.254044484268132</v>
      </c>
      <c r="DA49" s="284"/>
    </row>
    <row r="50" spans="1:105" x14ac:dyDescent="0.25">
      <c r="A50" s="127" t="s">
        <v>121</v>
      </c>
      <c r="B50" s="262">
        <f>IF(B$17=0,0,B$17/AGR!B$5*1000)</f>
        <v>48.539635213606708</v>
      </c>
      <c r="C50" s="262">
        <f>IF(C$17=0,0,C$17/AGR!C$5*1000)</f>
        <v>47.34631168478878</v>
      </c>
      <c r="D50" s="262">
        <f>IF(D$17=0,0,D$17/AGR!D$5*1000)</f>
        <v>50.282037136903</v>
      </c>
      <c r="E50" s="262">
        <f>IF(E$17=0,0,E$17/AGR!E$5*1000)</f>
        <v>51.954680212970707</v>
      </c>
      <c r="F50" s="262">
        <f>IF(F$17=0,0,F$17/AGR!F$5*1000)</f>
        <v>49.454617886615203</v>
      </c>
      <c r="G50" s="262">
        <f>IF(G$17=0,0,G$17/AGR!G$5*1000)</f>
        <v>56.428822354602225</v>
      </c>
      <c r="H50" s="262">
        <f>IF(H$17=0,0,H$17/AGR!H$5*1000)</f>
        <v>54.626021273441182</v>
      </c>
      <c r="I50" s="262">
        <f>IF(I$17=0,0,I$17/AGR!I$5*1000)</f>
        <v>49.506209024594376</v>
      </c>
      <c r="J50" s="262">
        <f>IF(J$17=0,0,J$17/AGR!J$5*1000)</f>
        <v>51.847630885899747</v>
      </c>
      <c r="K50" s="262">
        <f>IF(K$17=0,0,K$17/AGR!K$5*1000)</f>
        <v>58.779386137562412</v>
      </c>
      <c r="L50" s="262">
        <f>IF(L$17=0,0,L$17/AGR!L$5*1000)</f>
        <v>54.415819322647586</v>
      </c>
      <c r="M50" s="262">
        <f>IF(M$17=0,0,M$17/AGR!M$5*1000)</f>
        <v>49.060896362834427</v>
      </c>
      <c r="N50" s="262">
        <f>IF(N$17=0,0,N$17/AGR!N$5*1000)</f>
        <v>49.826152043041866</v>
      </c>
      <c r="O50" s="262">
        <f>IF(O$17=0,0,O$17/AGR!O$5*1000)</f>
        <v>49.677324881494002</v>
      </c>
      <c r="P50" s="262">
        <f>IF(P$17=0,0,P$17/AGR!P$5*1000)</f>
        <v>48.422736603195546</v>
      </c>
      <c r="Q50" s="262">
        <f>IF(Q$17=0,0,Q$17/AGR!Q$5*1000)</f>
        <v>49.271870259349974</v>
      </c>
      <c r="R50" s="262">
        <f>IF(R$17=0,0,R$17/AGR!R$5*1000)</f>
        <v>49.700220307181233</v>
      </c>
      <c r="S50" s="262">
        <f>IF(S$17=0,0,S$17/AGR!S$5*1000)</f>
        <v>46.080762358908892</v>
      </c>
      <c r="T50" s="262">
        <f>IF(T$17=0,0,T$17/AGR!T$5*1000)</f>
        <v>47.713828461307607</v>
      </c>
      <c r="U50" s="262">
        <f>IF(U$17=0,0,U$17/AGR!U$5*1000)</f>
        <v>47.358159623420093</v>
      </c>
      <c r="V50" s="262">
        <f>IF(V$17=0,0,V$17/AGR!V$5*1000)</f>
        <v>49.974277677213763</v>
      </c>
      <c r="W50" s="262">
        <f>IF(W$17=0,0,W$17/AGR!W$5*1000)</f>
        <v>47.217276541274153</v>
      </c>
      <c r="X50" s="262">
        <f>IF(X$17=0,0,X$17/AGR!X$5*1000)</f>
        <v>40.59953194254912</v>
      </c>
      <c r="Y50" s="262">
        <f>IF(Y$17=0,0,Y$17/AGR!Y$5*1000)</f>
        <v>41.675884438380116</v>
      </c>
      <c r="DA50" s="284"/>
    </row>
    <row r="51" spans="1:105" x14ac:dyDescent="0.25">
      <c r="A51" s="127" t="s">
        <v>167</v>
      </c>
      <c r="B51" s="262">
        <f>IF(B$25=0,0,B$25/AGR!B$5*1000)</f>
        <v>6.3152845032172085</v>
      </c>
      <c r="C51" s="262">
        <f>IF(C$25=0,0,C$25/AGR!C$5*1000)</f>
        <v>6.1711663365517078</v>
      </c>
      <c r="D51" s="262">
        <f>IF(D$25=0,0,D$25/AGR!D$5*1000)</f>
        <v>6.2752734123804315</v>
      </c>
      <c r="E51" s="262">
        <f>IF(E$25=0,0,E$25/AGR!E$5*1000)</f>
        <v>6.675945785799577</v>
      </c>
      <c r="F51" s="262">
        <f>IF(F$25=0,0,F$25/AGR!F$5*1000)</f>
        <v>6.7024538808371341</v>
      </c>
      <c r="G51" s="262">
        <f>IF(G$25=0,0,G$25/AGR!G$5*1000)</f>
        <v>7.6916156931356561</v>
      </c>
      <c r="H51" s="262">
        <f>IF(H$25=0,0,H$25/AGR!H$5*1000)</f>
        <v>7.4511818594481651</v>
      </c>
      <c r="I51" s="262">
        <f>IF(I$25=0,0,I$25/AGR!I$5*1000)</f>
        <v>6.7475911711792875</v>
      </c>
      <c r="J51" s="262">
        <f>IF(J$25=0,0,J$25/AGR!J$5*1000)</f>
        <v>7.0775276692256712</v>
      </c>
      <c r="K51" s="262">
        <f>IF(K$25=0,0,K$25/AGR!K$5*1000)</f>
        <v>7.809067089224671</v>
      </c>
      <c r="L51" s="262">
        <f>IF(L$25=0,0,L$25/AGR!L$5*1000)</f>
        <v>7.2839563028269163</v>
      </c>
      <c r="M51" s="262">
        <f>IF(M$25=0,0,M$25/AGR!M$5*1000)</f>
        <v>6.5848294695697334</v>
      </c>
      <c r="N51" s="262">
        <f>IF(N$25=0,0,N$25/AGR!N$5*1000)</f>
        <v>6.7309066142644181</v>
      </c>
      <c r="O51" s="262">
        <f>IF(O$25=0,0,O$25/AGR!O$5*1000)</f>
        <v>6.7039277401970736</v>
      </c>
      <c r="P51" s="262">
        <f>IF(P$25=0,0,P$25/AGR!P$5*1000)</f>
        <v>6.4523956885120679</v>
      </c>
      <c r="Q51" s="262">
        <f>IF(Q$25=0,0,Q$25/AGR!Q$5*1000)</f>
        <v>6.6246590428461163</v>
      </c>
      <c r="R51" s="262">
        <f>IF(R$25=0,0,R$25/AGR!R$5*1000)</f>
        <v>6.7504467487852606</v>
      </c>
      <c r="S51" s="262">
        <f>IF(S$25=0,0,S$25/AGR!S$5*1000)</f>
        <v>6.2114279874728089</v>
      </c>
      <c r="T51" s="262">
        <f>IF(T$25=0,0,T$25/AGR!T$5*1000)</f>
        <v>6.425163198443741</v>
      </c>
      <c r="U51" s="262">
        <f>IF(U$25=0,0,U$25/AGR!U$5*1000)</f>
        <v>6.389422911179258</v>
      </c>
      <c r="V51" s="262">
        <f>IF(V$25=0,0,V$25/AGR!V$5*1000)</f>
        <v>6.7599725916930717</v>
      </c>
      <c r="W51" s="262">
        <f>IF(W$25=0,0,W$25/AGR!W$5*1000)</f>
        <v>6.3730246003356221</v>
      </c>
      <c r="X51" s="262">
        <f>IF(X$25=0,0,X$25/AGR!X$5*1000)</f>
        <v>5.46651066842887</v>
      </c>
      <c r="Y51" s="262">
        <f>IF(Y$25=0,0,Y$25/AGR!Y$5*1000)</f>
        <v>5.6214084428200817</v>
      </c>
      <c r="DA51" s="284"/>
    </row>
    <row r="52" spans="1:105" x14ac:dyDescent="0.25">
      <c r="A52" s="127" t="s">
        <v>170</v>
      </c>
      <c r="B52" s="262">
        <f>IF(B$26=0,0,B$26/AGR!B$5*1000)</f>
        <v>0</v>
      </c>
      <c r="C52" s="262">
        <f>IF(C$26=0,0,C$26/AGR!C$5*1000)</f>
        <v>0</v>
      </c>
      <c r="D52" s="262">
        <f>IF(D$26=0,0,D$26/AGR!D$5*1000)</f>
        <v>0</v>
      </c>
      <c r="E52" s="262">
        <f>IF(E$26=0,0,E$26/AGR!E$5*1000)</f>
        <v>0</v>
      </c>
      <c r="F52" s="262">
        <f>IF(F$26=0,0,F$26/AGR!F$5*1000)</f>
        <v>0</v>
      </c>
      <c r="G52" s="262">
        <f>IF(G$26=0,0,G$26/AGR!G$5*1000)</f>
        <v>0</v>
      </c>
      <c r="H52" s="262">
        <f>IF(H$26=0,0,H$26/AGR!H$5*1000)</f>
        <v>0</v>
      </c>
      <c r="I52" s="262">
        <f>IF(I$26=0,0,I$26/AGR!I$5*1000)</f>
        <v>0</v>
      </c>
      <c r="J52" s="262">
        <f>IF(J$26=0,0,J$26/AGR!J$5*1000)</f>
        <v>0</v>
      </c>
      <c r="K52" s="262">
        <f>IF(K$26=0,0,K$26/AGR!K$5*1000)</f>
        <v>0</v>
      </c>
      <c r="L52" s="262">
        <f>IF(L$26=0,0,L$26/AGR!L$5*1000)</f>
        <v>0</v>
      </c>
      <c r="M52" s="262">
        <f>IF(M$26=0,0,M$26/AGR!M$5*1000)</f>
        <v>0</v>
      </c>
      <c r="N52" s="262">
        <f>IF(N$26=0,0,N$26/AGR!N$5*1000)</f>
        <v>0</v>
      </c>
      <c r="O52" s="262">
        <f>IF(O$26=0,0,O$26/AGR!O$5*1000)</f>
        <v>0</v>
      </c>
      <c r="P52" s="262">
        <f>IF(P$26=0,0,P$26/AGR!P$5*1000)</f>
        <v>0</v>
      </c>
      <c r="Q52" s="262">
        <f>IF(Q$26=0,0,Q$26/AGR!Q$5*1000)</f>
        <v>0</v>
      </c>
      <c r="R52" s="262">
        <f>IF(R$26=0,0,R$26/AGR!R$5*1000)</f>
        <v>0</v>
      </c>
      <c r="S52" s="262">
        <f>IF(S$26=0,0,S$26/AGR!S$5*1000)</f>
        <v>0</v>
      </c>
      <c r="T52" s="262">
        <f>IF(T$26=0,0,T$26/AGR!T$5*1000)</f>
        <v>0.44497625123450396</v>
      </c>
      <c r="U52" s="262">
        <f>IF(U$26=0,0,U$26/AGR!U$5*1000)</f>
        <v>0.45700302928124625</v>
      </c>
      <c r="V52" s="262">
        <f>IF(V$26=0,0,V$26/AGR!V$5*1000)</f>
        <v>0.5286426538367579</v>
      </c>
      <c r="W52" s="262">
        <f>IF(W$26=0,0,W$26/AGR!W$5*1000)</f>
        <v>0.79722846733882324</v>
      </c>
      <c r="X52" s="262">
        <f>IF(X$26=0,0,X$26/AGR!X$5*1000)</f>
        <v>0.60630450404340497</v>
      </c>
      <c r="Y52" s="262">
        <f>IF(Y$26=0,0,Y$26/AGR!Y$5*1000)</f>
        <v>0.56989936429545018</v>
      </c>
      <c r="DA52" s="284"/>
    </row>
    <row r="53" spans="1:105" x14ac:dyDescent="0.25">
      <c r="A53" s="260" t="s">
        <v>33</v>
      </c>
      <c r="B53" s="263">
        <f>IF(B$27=0,0,B$27/AGR!B$5*1000)</f>
        <v>0</v>
      </c>
      <c r="C53" s="263">
        <f>IF(C$27=0,0,C$27/AGR!C$5*1000)</f>
        <v>0</v>
      </c>
      <c r="D53" s="263">
        <f>IF(D$27=0,0,D$27/AGR!D$5*1000)</f>
        <v>0</v>
      </c>
      <c r="E53" s="263">
        <f>IF(E$27=0,0,E$27/AGR!E$5*1000)</f>
        <v>0</v>
      </c>
      <c r="F53" s="263">
        <f>IF(F$27=0,0,F$27/AGR!F$5*1000)</f>
        <v>0</v>
      </c>
      <c r="G53" s="263">
        <f>IF(G$27=0,0,G$27/AGR!G$5*1000)</f>
        <v>0</v>
      </c>
      <c r="H53" s="263">
        <f>IF(H$27=0,0,H$27/AGR!H$5*1000)</f>
        <v>0</v>
      </c>
      <c r="I53" s="263">
        <f>IF(I$27=0,0,I$27/AGR!I$5*1000)</f>
        <v>0</v>
      </c>
      <c r="J53" s="263">
        <f>IF(J$27=0,0,J$27/AGR!J$5*1000)</f>
        <v>0</v>
      </c>
      <c r="K53" s="263">
        <f>IF(K$27=0,0,K$27/AGR!K$5*1000)</f>
        <v>0</v>
      </c>
      <c r="L53" s="263">
        <f>IF(L$27=0,0,L$27/AGR!L$5*1000)</f>
        <v>0</v>
      </c>
      <c r="M53" s="263">
        <f>IF(M$27=0,0,M$27/AGR!M$5*1000)</f>
        <v>0</v>
      </c>
      <c r="N53" s="263">
        <f>IF(N$27=0,0,N$27/AGR!N$5*1000)</f>
        <v>0</v>
      </c>
      <c r="O53" s="263">
        <f>IF(O$27=0,0,O$27/AGR!O$5*1000)</f>
        <v>0</v>
      </c>
      <c r="P53" s="263">
        <f>IF(P$27=0,0,P$27/AGR!P$5*1000)</f>
        <v>0</v>
      </c>
      <c r="Q53" s="263">
        <f>IF(Q$27=0,0,Q$27/AGR!Q$5*1000)</f>
        <v>0</v>
      </c>
      <c r="R53" s="263">
        <f>IF(R$27=0,0,R$27/AGR!R$5*1000)</f>
        <v>0</v>
      </c>
      <c r="S53" s="263">
        <f>IF(S$27=0,0,S$27/AGR!S$5*1000)</f>
        <v>0</v>
      </c>
      <c r="T53" s="263">
        <f>IF(T$27=0,0,T$27/AGR!T$5*1000)</f>
        <v>0.64521556429003046</v>
      </c>
      <c r="U53" s="263">
        <f>IF(U$27=0,0,U$27/AGR!U$5*1000)</f>
        <v>0.66265439245780722</v>
      </c>
      <c r="V53" s="263">
        <f>IF(V$27=0,0,V$27/AGR!V$5*1000)</f>
        <v>0.76653184806329899</v>
      </c>
      <c r="W53" s="263">
        <f>IF(W$27=0,0,W$27/AGR!W$5*1000)</f>
        <v>1.1559812776412939</v>
      </c>
      <c r="X53" s="263">
        <f>IF(X$27=0,0,X$27/AGR!X$5*1000)</f>
        <v>0.87914153086293712</v>
      </c>
      <c r="Y53" s="263">
        <f>IF(Y$27=0,0,Y$27/AGR!Y$5*1000)</f>
        <v>0.82635407822840257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31.949244943151182</v>
      </c>
      <c r="C5" s="80">
        <f t="shared" ref="C5:W5" si="1">SUM(C6:C9,C16:C17,C25:C27)</f>
        <v>31.469986112675148</v>
      </c>
      <c r="D5" s="80">
        <f t="shared" si="1"/>
        <v>32.388052095052799</v>
      </c>
      <c r="E5" s="80">
        <f t="shared" si="1"/>
        <v>32.829905144072129</v>
      </c>
      <c r="F5" s="80">
        <f t="shared" si="1"/>
        <v>29.318339599856301</v>
      </c>
      <c r="G5" s="80">
        <f t="shared" si="1"/>
        <v>29.565240504131257</v>
      </c>
      <c r="H5" s="80">
        <f t="shared" si="1"/>
        <v>29.691143571871169</v>
      </c>
      <c r="I5" s="80">
        <f t="shared" si="1"/>
        <v>29.292268322036907</v>
      </c>
      <c r="J5" s="80">
        <f t="shared" si="1"/>
        <v>30.090047663849717</v>
      </c>
      <c r="K5" s="80">
        <f t="shared" si="1"/>
        <v>26.60849696074197</v>
      </c>
      <c r="L5" s="80">
        <f t="shared" si="1"/>
        <v>27.517604858210127</v>
      </c>
      <c r="M5" s="80">
        <f t="shared" si="1"/>
        <v>26.575718817191323</v>
      </c>
      <c r="N5" s="80">
        <f t="shared" si="1"/>
        <v>27.806683358622891</v>
      </c>
      <c r="O5" s="80">
        <f t="shared" si="1"/>
        <v>27.409759104358503</v>
      </c>
      <c r="P5" s="80">
        <f t="shared" si="1"/>
        <v>29.452174475337678</v>
      </c>
      <c r="Q5" s="80">
        <f t="shared" si="1"/>
        <v>28.840743524764765</v>
      </c>
      <c r="R5" s="80">
        <f t="shared" si="1"/>
        <v>28.588523858511262</v>
      </c>
      <c r="S5" s="80">
        <f t="shared" si="1"/>
        <v>28.446841248522361</v>
      </c>
      <c r="T5" s="80">
        <f t="shared" si="1"/>
        <v>29.227125875496831</v>
      </c>
      <c r="U5" s="80">
        <f t="shared" si="1"/>
        <v>28.717945037552003</v>
      </c>
      <c r="V5" s="80">
        <f t="shared" si="1"/>
        <v>28.231559799318514</v>
      </c>
      <c r="W5" s="80">
        <f t="shared" si="1"/>
        <v>29.048914791713145</v>
      </c>
      <c r="X5" s="80">
        <f t="shared" ref="X5:Y5" si="2">SUM(X6:X9,X16:X17,X25:X27)</f>
        <v>29.160812853430929</v>
      </c>
      <c r="Y5" s="80">
        <f t="shared" si="2"/>
        <v>29.06224655204629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0.14550977081779609</v>
      </c>
      <c r="U6" s="239">
        <v>0.1477977280607721</v>
      </c>
      <c r="V6" s="239">
        <v>0.15856758136076979</v>
      </c>
      <c r="W6" s="239">
        <v>0.25632898649782671</v>
      </c>
      <c r="X6" s="239">
        <v>0.22906736711962331</v>
      </c>
      <c r="Y6" s="239">
        <v>0.20961087301307019</v>
      </c>
      <c r="DA6" s="267" t="s">
        <v>1016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9.3789507804792477E-2</v>
      </c>
      <c r="U7" s="241">
        <v>9.5264229278760229E-2</v>
      </c>
      <c r="V7" s="241">
        <v>0.1022060259324119</v>
      </c>
      <c r="W7" s="241">
        <v>0.16521893577741939</v>
      </c>
      <c r="X7" s="241">
        <v>0.14764723698995499</v>
      </c>
      <c r="Y7" s="241">
        <v>0.13510639526087651</v>
      </c>
      <c r="DA7" s="268" t="s">
        <v>1017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0.18638153297388349</v>
      </c>
      <c r="U8" s="241">
        <v>0.18931214702081611</v>
      </c>
      <c r="V8" s="241">
        <v>0.2031071090819612</v>
      </c>
      <c r="W8" s="241">
        <v>0.32832839458547131</v>
      </c>
      <c r="X8" s="241">
        <v>0.29340934837638549</v>
      </c>
      <c r="Y8" s="241">
        <v>0.26848778347049679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11.796500041091379</v>
      </c>
      <c r="C9" s="243">
        <f t="shared" ref="C9:W9" si="4">SUM(C10:C15)</f>
        <v>11.61392821485739</v>
      </c>
      <c r="D9" s="243">
        <f t="shared" si="4"/>
        <v>11.82693077380061</v>
      </c>
      <c r="E9" s="243">
        <f t="shared" si="4"/>
        <v>12.077979561451651</v>
      </c>
      <c r="F9" s="243">
        <f t="shared" si="4"/>
        <v>10.92872384715325</v>
      </c>
      <c r="G9" s="243">
        <f t="shared" si="4"/>
        <v>11.035275726134531</v>
      </c>
      <c r="H9" s="243">
        <f t="shared" si="4"/>
        <v>11.084271908535129</v>
      </c>
      <c r="I9" s="243">
        <f t="shared" si="4"/>
        <v>10.93321249093661</v>
      </c>
      <c r="J9" s="243">
        <f t="shared" si="4"/>
        <v>11.23533684403335</v>
      </c>
      <c r="K9" s="243">
        <f t="shared" si="4"/>
        <v>9.8747897969972325</v>
      </c>
      <c r="L9" s="243">
        <f t="shared" si="4"/>
        <v>10.439174317505019</v>
      </c>
      <c r="M9" s="243">
        <f t="shared" si="4"/>
        <v>10.093949035913935</v>
      </c>
      <c r="N9" s="243">
        <f t="shared" si="4"/>
        <v>10.607330880637633</v>
      </c>
      <c r="O9" s="243">
        <f t="shared" si="4"/>
        <v>10.457153333183815</v>
      </c>
      <c r="P9" s="243">
        <f t="shared" si="4"/>
        <v>11.297126833297627</v>
      </c>
      <c r="Q9" s="243">
        <f t="shared" si="4"/>
        <v>10.985970713716092</v>
      </c>
      <c r="R9" s="243">
        <f t="shared" si="4"/>
        <v>10.940547582585122</v>
      </c>
      <c r="S9" s="243">
        <f t="shared" si="4"/>
        <v>10.827004221305803</v>
      </c>
      <c r="T9" s="243">
        <f t="shared" si="4"/>
        <v>10.759373419855448</v>
      </c>
      <c r="U9" s="243">
        <f t="shared" si="4"/>
        <v>10.517951996051554</v>
      </c>
      <c r="V9" s="243">
        <f t="shared" si="4"/>
        <v>10.323017859832213</v>
      </c>
      <c r="W9" s="243">
        <f t="shared" si="4"/>
        <v>10.445962891011638</v>
      </c>
      <c r="X9" s="243">
        <f t="shared" ref="X9:Y9" si="5">SUM(X10:X15)</f>
        <v>10.554729058534111</v>
      </c>
      <c r="Y9" s="243">
        <f t="shared" si="5"/>
        <v>10.538640067280593</v>
      </c>
      <c r="DA9" s="269"/>
    </row>
    <row r="10" spans="1:105" x14ac:dyDescent="0.25">
      <c r="A10" s="253" t="s">
        <v>166</v>
      </c>
      <c r="B10" s="254">
        <v>11.796500041091379</v>
      </c>
      <c r="C10" s="254">
        <v>11.61392821485739</v>
      </c>
      <c r="D10" s="254">
        <v>11.82693077380061</v>
      </c>
      <c r="E10" s="254">
        <v>12.077979561451651</v>
      </c>
      <c r="F10" s="254">
        <v>10.92872384715325</v>
      </c>
      <c r="G10" s="254">
        <v>11.035275726134531</v>
      </c>
      <c r="H10" s="254">
        <v>11.084271908535129</v>
      </c>
      <c r="I10" s="254">
        <v>10.93321249093661</v>
      </c>
      <c r="J10" s="254">
        <v>11.23533684403335</v>
      </c>
      <c r="K10" s="254">
        <v>9.8747897969972325</v>
      </c>
      <c r="L10" s="254">
        <v>9.7059295251023396</v>
      </c>
      <c r="M10" s="254">
        <v>9.3637464657046028</v>
      </c>
      <c r="N10" s="254">
        <v>9.7407375686398563</v>
      </c>
      <c r="O10" s="254">
        <v>9.5895816684298509</v>
      </c>
      <c r="P10" s="254">
        <v>10.0356900532711</v>
      </c>
      <c r="Q10" s="254">
        <v>10.09070310223488</v>
      </c>
      <c r="R10" s="254">
        <v>9.9763327697250102</v>
      </c>
      <c r="S10" s="254">
        <v>9.9996316778418457</v>
      </c>
      <c r="T10" s="254">
        <v>9.9084208025131755</v>
      </c>
      <c r="U10" s="254">
        <v>9.841870982216955</v>
      </c>
      <c r="V10" s="254">
        <v>9.627932108844357</v>
      </c>
      <c r="W10" s="254">
        <v>9.5283699593568141</v>
      </c>
      <c r="X10" s="254">
        <v>9.6134176363798058</v>
      </c>
      <c r="Y10" s="254">
        <v>9.7059397938619565</v>
      </c>
      <c r="DA10" s="270" t="s">
        <v>1019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4.5376122170468159E-4</v>
      </c>
      <c r="V11" s="255">
        <v>0</v>
      </c>
      <c r="W11" s="255">
        <v>0</v>
      </c>
      <c r="X11" s="255">
        <v>0</v>
      </c>
      <c r="Y11" s="255">
        <v>0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0.73324479240267992</v>
      </c>
      <c r="M12" s="255">
        <v>0.7302025702093321</v>
      </c>
      <c r="N12" s="255">
        <v>0.86659331199777756</v>
      </c>
      <c r="O12" s="255">
        <v>0.86757166475396386</v>
      </c>
      <c r="P12" s="255">
        <v>1.261436780026526</v>
      </c>
      <c r="Q12" s="255">
        <v>0.89526761148121303</v>
      </c>
      <c r="R12" s="255">
        <v>0.96421481286011224</v>
      </c>
      <c r="S12" s="255">
        <v>0.82737254346395772</v>
      </c>
      <c r="T12" s="255">
        <v>0.84671128184288325</v>
      </c>
      <c r="U12" s="255">
        <v>0.6710116714994333</v>
      </c>
      <c r="V12" s="255">
        <v>0.68918695136405239</v>
      </c>
      <c r="W12" s="255">
        <v>0.89332548853931315</v>
      </c>
      <c r="X12" s="255">
        <v>0.92424992780193616</v>
      </c>
      <c r="Y12" s="255">
        <v>0.81962388691994859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4.2413354993880029E-3</v>
      </c>
      <c r="U15" s="255">
        <v>4.6155811134600024E-3</v>
      </c>
      <c r="V15" s="255">
        <v>5.8987996238038069E-3</v>
      </c>
      <c r="W15" s="255">
        <v>2.426744311551041E-2</v>
      </c>
      <c r="X15" s="255">
        <v>1.706149435236894E-2</v>
      </c>
      <c r="Y15" s="255">
        <v>1.3076386498688031E-2</v>
      </c>
      <c r="DA15" s="271" t="s">
        <v>1024</v>
      </c>
    </row>
    <row r="16" spans="1:105" x14ac:dyDescent="0.25">
      <c r="A16" s="256" t="s">
        <v>168</v>
      </c>
      <c r="B16" s="257">
        <v>8.7449481736185675</v>
      </c>
      <c r="C16" s="257">
        <v>8.6096045417940719</v>
      </c>
      <c r="D16" s="257">
        <v>8.7675069986514611</v>
      </c>
      <c r="E16" s="257">
        <v>8.9536137785786174</v>
      </c>
      <c r="F16" s="257">
        <v>8.1016507705028182</v>
      </c>
      <c r="G16" s="257">
        <v>8.1806395092174533</v>
      </c>
      <c r="H16" s="257">
        <v>8.2169612211070717</v>
      </c>
      <c r="I16" s="257">
        <v>8.1049782792654685</v>
      </c>
      <c r="J16" s="257">
        <v>8.3289482534625456</v>
      </c>
      <c r="K16" s="257">
        <v>7.3203513499186119</v>
      </c>
      <c r="L16" s="257">
        <v>7.538056314195666</v>
      </c>
      <c r="M16" s="257">
        <v>7.2830907812090819</v>
      </c>
      <c r="N16" s="257">
        <v>7.6265602117192959</v>
      </c>
      <c r="O16" s="257">
        <v>7.5148301911135187</v>
      </c>
      <c r="P16" s="257">
        <v>8.0266783887838251</v>
      </c>
      <c r="Q16" s="257">
        <v>7.8990136268550541</v>
      </c>
      <c r="R16" s="257">
        <v>7.8471457458993248</v>
      </c>
      <c r="S16" s="257">
        <v>7.8001382324365336</v>
      </c>
      <c r="T16" s="257">
        <v>7.8241700476994342</v>
      </c>
      <c r="U16" s="257">
        <v>7.6950085689069132</v>
      </c>
      <c r="V16" s="257">
        <v>7.5508515005463881</v>
      </c>
      <c r="W16" s="257">
        <v>7.6306109418283086</v>
      </c>
      <c r="X16" s="257">
        <v>7.6909754202472644</v>
      </c>
      <c r="Y16" s="257">
        <v>7.6994476344422553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10.231506459752149</v>
      </c>
      <c r="C17" s="257">
        <f t="shared" ref="C17:W17" si="7">SUM(C18:C24)</f>
        <v>10.088368272074794</v>
      </c>
      <c r="D17" s="257">
        <f t="shared" si="7"/>
        <v>10.614289647551251</v>
      </c>
      <c r="E17" s="257">
        <f t="shared" si="7"/>
        <v>10.593953750884346</v>
      </c>
      <c r="F17" s="257">
        <f t="shared" si="7"/>
        <v>9.198205183461873</v>
      </c>
      <c r="G17" s="257">
        <f t="shared" si="7"/>
        <v>9.2489406289507912</v>
      </c>
      <c r="H17" s="257">
        <f t="shared" si="7"/>
        <v>9.2846401386561599</v>
      </c>
      <c r="I17" s="257">
        <f t="shared" si="7"/>
        <v>9.1638701671189686</v>
      </c>
      <c r="J17" s="257">
        <f t="shared" si="7"/>
        <v>9.405428793705628</v>
      </c>
      <c r="K17" s="257">
        <f t="shared" si="7"/>
        <v>8.4286892514477181</v>
      </c>
      <c r="L17" s="257">
        <f t="shared" si="7"/>
        <v>8.5264239879056056</v>
      </c>
      <c r="M17" s="257">
        <f t="shared" si="7"/>
        <v>8.2190243878477123</v>
      </c>
      <c r="N17" s="257">
        <f t="shared" si="7"/>
        <v>8.5469372946286981</v>
      </c>
      <c r="O17" s="257">
        <f t="shared" si="7"/>
        <v>8.426949506634589</v>
      </c>
      <c r="P17" s="257">
        <f t="shared" si="7"/>
        <v>9.0486940520804389</v>
      </c>
      <c r="Q17" s="257">
        <f t="shared" si="7"/>
        <v>8.8932562765671914</v>
      </c>
      <c r="R17" s="257">
        <f t="shared" si="7"/>
        <v>8.7453044143052079</v>
      </c>
      <c r="S17" s="257">
        <f t="shared" si="7"/>
        <v>8.7704956988801168</v>
      </c>
      <c r="T17" s="257">
        <f t="shared" si="7"/>
        <v>8.8012647448882593</v>
      </c>
      <c r="U17" s="257">
        <f t="shared" si="7"/>
        <v>8.6676205311331422</v>
      </c>
      <c r="V17" s="257">
        <f t="shared" si="7"/>
        <v>8.4812543510155152</v>
      </c>
      <c r="W17" s="257">
        <f t="shared" si="7"/>
        <v>8.5544905085378904</v>
      </c>
      <c r="X17" s="257">
        <f t="shared" ref="X17:Y17" si="8">SUM(X18:X24)</f>
        <v>8.6371246208099528</v>
      </c>
      <c r="Y17" s="257">
        <f t="shared" si="8"/>
        <v>8.6506526949785645</v>
      </c>
      <c r="DA17" s="272"/>
    </row>
    <row r="18" spans="1:105" x14ac:dyDescent="0.25">
      <c r="A18" s="61" t="s">
        <v>29</v>
      </c>
      <c r="B18" s="55">
        <v>1.2691328372292749</v>
      </c>
      <c r="C18" s="55">
        <v>0.35743072765219769</v>
      </c>
      <c r="D18" s="55">
        <v>1.717824402256628</v>
      </c>
      <c r="E18" s="55">
        <v>1.0903721601530689</v>
      </c>
      <c r="F18" s="55">
        <v>0.1249059078033543</v>
      </c>
      <c r="G18" s="55">
        <v>0</v>
      </c>
      <c r="H18" s="55">
        <v>0</v>
      </c>
      <c r="I18" s="55">
        <v>0</v>
      </c>
      <c r="J18" s="55">
        <v>0</v>
      </c>
      <c r="K18" s="55">
        <v>0.69166108352340061</v>
      </c>
      <c r="L18" s="55">
        <v>0.35249158598560948</v>
      </c>
      <c r="M18" s="55">
        <v>0.23780381068080031</v>
      </c>
      <c r="N18" s="55">
        <v>0.11896987518287221</v>
      </c>
      <c r="O18" s="55">
        <v>0.1197628566397109</v>
      </c>
      <c r="P18" s="55">
        <v>0.1199441095379732</v>
      </c>
      <c r="Q18" s="55">
        <v>0</v>
      </c>
      <c r="R18" s="55">
        <v>0</v>
      </c>
      <c r="S18" s="55">
        <v>2.940828375284649E-2</v>
      </c>
      <c r="T18" s="55">
        <v>1.9915162880772001E-2</v>
      </c>
      <c r="U18" s="55">
        <v>1.7264339152613481E-2</v>
      </c>
      <c r="V18" s="55">
        <v>1.6040882047307591E-2</v>
      </c>
      <c r="W18" s="55">
        <v>8.0430976367168762E-3</v>
      </c>
      <c r="X18" s="55">
        <v>2.2656613061168211E-3</v>
      </c>
      <c r="Y18" s="55">
        <v>5.4375871346798443E-4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1027</v>
      </c>
    </row>
    <row r="20" spans="1:105" x14ac:dyDescent="0.25">
      <c r="A20" s="61" t="s">
        <v>166</v>
      </c>
      <c r="B20" s="55">
        <v>7.5206084680505638</v>
      </c>
      <c r="C20" s="55">
        <v>7.4338800329990304</v>
      </c>
      <c r="D20" s="55">
        <v>6.8845129971201056</v>
      </c>
      <c r="E20" s="55">
        <v>7.4916293425615494</v>
      </c>
      <c r="F20" s="55">
        <v>7.6347912619700011</v>
      </c>
      <c r="G20" s="55">
        <v>7.8104326152385513</v>
      </c>
      <c r="H20" s="55">
        <v>7.8578484585987303</v>
      </c>
      <c r="I20" s="55">
        <v>7.7370784870636946</v>
      </c>
      <c r="J20" s="55">
        <v>7.9786371136462906</v>
      </c>
      <c r="K20" s="55">
        <v>6.5953417510787054</v>
      </c>
      <c r="L20" s="55">
        <v>6.7587799735087692</v>
      </c>
      <c r="M20" s="55">
        <v>6.5653303478232141</v>
      </c>
      <c r="N20" s="55">
        <v>6.9548927407309931</v>
      </c>
      <c r="O20" s="55">
        <v>6.8343492417741247</v>
      </c>
      <c r="P20" s="55">
        <v>7.0284760958536596</v>
      </c>
      <c r="Q20" s="55">
        <v>7.127456787784773</v>
      </c>
      <c r="R20" s="55">
        <v>7.229397009139201</v>
      </c>
      <c r="S20" s="55">
        <v>7.0904240904616769</v>
      </c>
      <c r="T20" s="55">
        <v>7.0897625098795318</v>
      </c>
      <c r="U20" s="55">
        <v>7.0359688288916242</v>
      </c>
      <c r="V20" s="55">
        <v>6.9384829111804418</v>
      </c>
      <c r="W20" s="55">
        <v>6.9340980673499741</v>
      </c>
      <c r="X20" s="55">
        <v>6.94639140832947</v>
      </c>
      <c r="Y20" s="55">
        <v>7.0042933963322902</v>
      </c>
      <c r="DA20" s="101" t="s">
        <v>1028</v>
      </c>
    </row>
    <row r="21" spans="1:105" x14ac:dyDescent="0.25">
      <c r="A21" s="61" t="s">
        <v>129</v>
      </c>
      <c r="B21" s="55">
        <v>1.4417651544723109</v>
      </c>
      <c r="C21" s="55">
        <v>2.2970575114235658</v>
      </c>
      <c r="D21" s="55">
        <v>2.0119522481745178</v>
      </c>
      <c r="E21" s="55">
        <v>2.0119522481697278</v>
      </c>
      <c r="F21" s="55">
        <v>1.438508013688518</v>
      </c>
      <c r="G21" s="55">
        <v>1.4385080137122399</v>
      </c>
      <c r="H21" s="55">
        <v>1.4267916800574301</v>
      </c>
      <c r="I21" s="55">
        <v>1.4267916800552749</v>
      </c>
      <c r="J21" s="55">
        <v>1.426791680059337</v>
      </c>
      <c r="K21" s="55">
        <v>1.1416864168456129</v>
      </c>
      <c r="L21" s="55">
        <v>1.1416864167937979</v>
      </c>
      <c r="M21" s="55">
        <v>1.141686416814452</v>
      </c>
      <c r="N21" s="55">
        <v>1.1416864168460359</v>
      </c>
      <c r="O21" s="55">
        <v>1.141686416843239</v>
      </c>
      <c r="P21" s="55">
        <v>1.4271197373136451</v>
      </c>
      <c r="Q21" s="55">
        <v>1.427119737368862</v>
      </c>
      <c r="R21" s="55">
        <v>1.1416864166659131</v>
      </c>
      <c r="S21" s="55">
        <v>1.336458747545318</v>
      </c>
      <c r="T21" s="55">
        <v>1.367108676416994</v>
      </c>
      <c r="U21" s="55">
        <v>1.357149792808573</v>
      </c>
      <c r="V21" s="55">
        <v>1.2607243668124239</v>
      </c>
      <c r="W21" s="55">
        <v>1.2641689689078399</v>
      </c>
      <c r="X21" s="55">
        <v>1.330788042080387</v>
      </c>
      <c r="Y21" s="55">
        <v>1.32903059203173</v>
      </c>
      <c r="DA21" s="101" t="s">
        <v>1029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3.1662693770642382E-4</v>
      </c>
      <c r="V22" s="55">
        <v>0</v>
      </c>
      <c r="W22" s="55">
        <v>0</v>
      </c>
      <c r="X22" s="55">
        <v>0</v>
      </c>
      <c r="Y22" s="55">
        <v>0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0.27346601161742978</v>
      </c>
      <c r="M24" s="55">
        <v>0.27420381252924619</v>
      </c>
      <c r="N24" s="55">
        <v>0.33138826186879672</v>
      </c>
      <c r="O24" s="55">
        <v>0.33115099137751469</v>
      </c>
      <c r="P24" s="55">
        <v>0.4731541093751605</v>
      </c>
      <c r="Q24" s="55">
        <v>0.33867975141355611</v>
      </c>
      <c r="R24" s="55">
        <v>0.37422098850009289</v>
      </c>
      <c r="S24" s="55">
        <v>0.31420457712027589</v>
      </c>
      <c r="T24" s="55">
        <v>0.32447839571096132</v>
      </c>
      <c r="U24" s="55">
        <v>0.25692094334262472</v>
      </c>
      <c r="V24" s="55">
        <v>0.26600619097534062</v>
      </c>
      <c r="W24" s="55">
        <v>0.34818037464335938</v>
      </c>
      <c r="X24" s="55">
        <v>0.35767950909397778</v>
      </c>
      <c r="Y24" s="55">
        <v>0.31678494790107758</v>
      </c>
      <c r="DA24" s="101" t="s">
        <v>1032</v>
      </c>
    </row>
    <row r="25" spans="1:105" x14ac:dyDescent="0.25">
      <c r="A25" s="256" t="s">
        <v>167</v>
      </c>
      <c r="B25" s="257">
        <v>1.1762902686890919</v>
      </c>
      <c r="C25" s="257">
        <v>1.158085083948893</v>
      </c>
      <c r="D25" s="257">
        <v>1.1793246750494759</v>
      </c>
      <c r="E25" s="257">
        <v>1.2043580531575131</v>
      </c>
      <c r="F25" s="257">
        <v>1.0897597987383589</v>
      </c>
      <c r="G25" s="257">
        <v>1.1003846398284809</v>
      </c>
      <c r="H25" s="257">
        <v>1.1052703035728111</v>
      </c>
      <c r="I25" s="257">
        <v>1.09020738471586</v>
      </c>
      <c r="J25" s="257">
        <v>1.120333772648191</v>
      </c>
      <c r="K25" s="257">
        <v>0.98466656237840688</v>
      </c>
      <c r="L25" s="257">
        <v>1.013950238603837</v>
      </c>
      <c r="M25" s="257">
        <v>0.97965461222059347</v>
      </c>
      <c r="N25" s="257">
        <v>1.0258549716372649</v>
      </c>
      <c r="O25" s="257">
        <v>1.010826073426583</v>
      </c>
      <c r="P25" s="257">
        <v>1.0796752011757871</v>
      </c>
      <c r="Q25" s="257">
        <v>1.0625029076264261</v>
      </c>
      <c r="R25" s="257">
        <v>1.0555261157216089</v>
      </c>
      <c r="S25" s="257">
        <v>1.049203095899907</v>
      </c>
      <c r="T25" s="257">
        <v>1.0524356354040241</v>
      </c>
      <c r="U25" s="257">
        <v>1.035062017221646</v>
      </c>
      <c r="V25" s="257">
        <v>1.0156713297860369</v>
      </c>
      <c r="W25" s="257">
        <v>1.0263998387209481</v>
      </c>
      <c r="X25" s="257">
        <v>1.034519515033373</v>
      </c>
      <c r="Y25" s="257">
        <v>1.035659119627244</v>
      </c>
      <c r="DA25" s="272" t="s">
        <v>1033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0.14429155046891159</v>
      </c>
      <c r="U26" s="257">
        <v>0.14656035273655421</v>
      </c>
      <c r="V26" s="257">
        <v>0.15724003989601851</v>
      </c>
      <c r="W26" s="257">
        <v>0.25418297811910678</v>
      </c>
      <c r="X26" s="257">
        <v>0.2271495953691616</v>
      </c>
      <c r="Y26" s="257">
        <v>0.20785599270904079</v>
      </c>
      <c r="DA26" s="272" t="s">
        <v>1034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0.21990966558428501</v>
      </c>
      <c r="U27" s="258">
        <v>0.22336746714184519</v>
      </c>
      <c r="V27" s="258">
        <v>0.23964400186720031</v>
      </c>
      <c r="W27" s="258">
        <v>0.38739131663453719</v>
      </c>
      <c r="X27" s="258">
        <v>0.34619069095109978</v>
      </c>
      <c r="Y27" s="258">
        <v>0.31678599126414653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0.99999999999999989</v>
      </c>
      <c r="F31" s="235">
        <f t="shared" si="9"/>
        <v>1</v>
      </c>
      <c r="G31" s="235">
        <f t="shared" si="9"/>
        <v>0.99999999999999989</v>
      </c>
      <c r="H31" s="235">
        <f t="shared" si="9"/>
        <v>1</v>
      </c>
      <c r="I31" s="235">
        <f t="shared" si="9"/>
        <v>0.99999999999999989</v>
      </c>
      <c r="J31" s="235">
        <f t="shared" si="9"/>
        <v>1</v>
      </c>
      <c r="K31" s="235">
        <f t="shared" si="9"/>
        <v>0.99999999999999989</v>
      </c>
      <c r="L31" s="235">
        <f t="shared" si="9"/>
        <v>1</v>
      </c>
      <c r="M31" s="235">
        <f t="shared" si="9"/>
        <v>1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1</v>
      </c>
      <c r="U31" s="235">
        <f t="shared" si="10"/>
        <v>0.99999999999999989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0.99999999999999967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0</v>
      </c>
      <c r="C32" s="244">
        <f t="shared" si="12"/>
        <v>0</v>
      </c>
      <c r="D32" s="244">
        <f t="shared" si="12"/>
        <v>0</v>
      </c>
      <c r="E32" s="244">
        <f t="shared" si="12"/>
        <v>0</v>
      </c>
      <c r="F32" s="244">
        <f t="shared" si="12"/>
        <v>0</v>
      </c>
      <c r="G32" s="244">
        <f t="shared" si="12"/>
        <v>0</v>
      </c>
      <c r="H32" s="244">
        <f t="shared" si="12"/>
        <v>0</v>
      </c>
      <c r="I32" s="244">
        <f t="shared" si="12"/>
        <v>0</v>
      </c>
      <c r="J32" s="244">
        <f t="shared" si="12"/>
        <v>0</v>
      </c>
      <c r="K32" s="244">
        <f t="shared" si="12"/>
        <v>0</v>
      </c>
      <c r="L32" s="244">
        <f t="shared" si="12"/>
        <v>0</v>
      </c>
      <c r="M32" s="244">
        <f t="shared" si="12"/>
        <v>0</v>
      </c>
      <c r="N32" s="244">
        <f t="shared" si="12"/>
        <v>0</v>
      </c>
      <c r="O32" s="244">
        <f t="shared" si="12"/>
        <v>0</v>
      </c>
      <c r="P32" s="244">
        <f t="shared" si="12"/>
        <v>0</v>
      </c>
      <c r="Q32" s="244">
        <f t="shared" si="12"/>
        <v>0</v>
      </c>
      <c r="R32" s="244">
        <f t="shared" si="12"/>
        <v>0</v>
      </c>
      <c r="S32" s="244">
        <f t="shared" si="12"/>
        <v>0</v>
      </c>
      <c r="T32" s="244">
        <f t="shared" si="12"/>
        <v>4.9785863802566787E-3</v>
      </c>
      <c r="U32" s="244">
        <f t="shared" si="12"/>
        <v>5.1465286902495858E-3</v>
      </c>
      <c r="V32" s="244">
        <f t="shared" si="12"/>
        <v>5.6166780187822804E-3</v>
      </c>
      <c r="W32" s="244">
        <f t="shared" si="12"/>
        <v>8.8240468993681757E-3</v>
      </c>
      <c r="X32" s="244">
        <f t="shared" si="12"/>
        <v>7.8553148799716081E-3</v>
      </c>
      <c r="Y32" s="244">
        <f t="shared" si="12"/>
        <v>7.2124800344559514E-3</v>
      </c>
      <c r="DA32" s="275"/>
    </row>
    <row r="33" spans="1:105" x14ac:dyDescent="0.25">
      <c r="A33" s="240" t="s">
        <v>124</v>
      </c>
      <c r="B33" s="245">
        <f t="shared" ref="B33:Y33" si="13">IF(B$7=0,0,B$7/B$5)</f>
        <v>0</v>
      </c>
      <c r="C33" s="245">
        <f t="shared" si="13"/>
        <v>0</v>
      </c>
      <c r="D33" s="245">
        <f t="shared" si="13"/>
        <v>0</v>
      </c>
      <c r="E33" s="245">
        <f t="shared" si="13"/>
        <v>0</v>
      </c>
      <c r="F33" s="245">
        <f t="shared" si="13"/>
        <v>0</v>
      </c>
      <c r="G33" s="245">
        <f t="shared" si="13"/>
        <v>0</v>
      </c>
      <c r="H33" s="245">
        <f t="shared" si="13"/>
        <v>0</v>
      </c>
      <c r="I33" s="245">
        <f t="shared" si="13"/>
        <v>0</v>
      </c>
      <c r="J33" s="245">
        <f t="shared" si="13"/>
        <v>0</v>
      </c>
      <c r="K33" s="245">
        <f t="shared" si="13"/>
        <v>0</v>
      </c>
      <c r="L33" s="245">
        <f t="shared" si="13"/>
        <v>0</v>
      </c>
      <c r="M33" s="245">
        <f t="shared" si="13"/>
        <v>0</v>
      </c>
      <c r="N33" s="245">
        <f t="shared" si="13"/>
        <v>0</v>
      </c>
      <c r="O33" s="245">
        <f t="shared" si="13"/>
        <v>0</v>
      </c>
      <c r="P33" s="245">
        <f t="shared" si="13"/>
        <v>0</v>
      </c>
      <c r="Q33" s="245">
        <f t="shared" si="13"/>
        <v>0</v>
      </c>
      <c r="R33" s="245">
        <f t="shared" si="13"/>
        <v>0</v>
      </c>
      <c r="S33" s="245">
        <f t="shared" si="13"/>
        <v>0</v>
      </c>
      <c r="T33" s="245">
        <f t="shared" si="13"/>
        <v>3.2089883967490237E-3</v>
      </c>
      <c r="U33" s="245">
        <f t="shared" si="13"/>
        <v>3.317236980368593E-3</v>
      </c>
      <c r="V33" s="245">
        <f t="shared" si="13"/>
        <v>3.6202755589465896E-3</v>
      </c>
      <c r="W33" s="245">
        <f t="shared" si="13"/>
        <v>5.6876112915774674E-3</v>
      </c>
      <c r="X33" s="245">
        <f t="shared" si="13"/>
        <v>5.0632071791710531E-3</v>
      </c>
      <c r="Y33" s="245">
        <f t="shared" si="13"/>
        <v>4.6488627442796086E-3</v>
      </c>
      <c r="DA33" s="276"/>
    </row>
    <row r="34" spans="1:105" x14ac:dyDescent="0.25">
      <c r="A34" s="240" t="s">
        <v>123</v>
      </c>
      <c r="B34" s="245">
        <f t="shared" ref="B34:Y34" si="14">IF(B$8=0,0,B$8/B$5)</f>
        <v>0</v>
      </c>
      <c r="C34" s="245">
        <f t="shared" si="14"/>
        <v>0</v>
      </c>
      <c r="D34" s="245">
        <f t="shared" si="14"/>
        <v>0</v>
      </c>
      <c r="E34" s="245">
        <f t="shared" si="14"/>
        <v>0</v>
      </c>
      <c r="F34" s="245">
        <f t="shared" si="14"/>
        <v>0</v>
      </c>
      <c r="G34" s="245">
        <f t="shared" si="14"/>
        <v>0</v>
      </c>
      <c r="H34" s="245">
        <f t="shared" si="14"/>
        <v>0</v>
      </c>
      <c r="I34" s="245">
        <f t="shared" si="14"/>
        <v>0</v>
      </c>
      <c r="J34" s="245">
        <f t="shared" si="14"/>
        <v>0</v>
      </c>
      <c r="K34" s="245">
        <f t="shared" si="14"/>
        <v>0</v>
      </c>
      <c r="L34" s="245">
        <f t="shared" si="14"/>
        <v>0</v>
      </c>
      <c r="M34" s="245">
        <f t="shared" si="14"/>
        <v>0</v>
      </c>
      <c r="N34" s="245">
        <f t="shared" si="14"/>
        <v>0</v>
      </c>
      <c r="O34" s="245">
        <f t="shared" si="14"/>
        <v>0</v>
      </c>
      <c r="P34" s="245">
        <f t="shared" si="14"/>
        <v>0</v>
      </c>
      <c r="Q34" s="245">
        <f t="shared" si="14"/>
        <v>0</v>
      </c>
      <c r="R34" s="245">
        <f t="shared" si="14"/>
        <v>0</v>
      </c>
      <c r="S34" s="245">
        <f t="shared" si="14"/>
        <v>0</v>
      </c>
      <c r="T34" s="245">
        <f t="shared" si="14"/>
        <v>6.3770051755290902E-3</v>
      </c>
      <c r="U34" s="245">
        <f t="shared" si="14"/>
        <v>6.5921202500133207E-3</v>
      </c>
      <c r="V34" s="245">
        <f t="shared" si="14"/>
        <v>7.1943282810347595E-3</v>
      </c>
      <c r="W34" s="245">
        <f t="shared" si="14"/>
        <v>1.1302604484183153E-2</v>
      </c>
      <c r="X34" s="245">
        <f t="shared" si="14"/>
        <v>1.0061768505944247E-2</v>
      </c>
      <c r="Y34" s="245">
        <f t="shared" si="14"/>
        <v>9.238369889597968E-3</v>
      </c>
      <c r="DA34" s="276"/>
    </row>
    <row r="35" spans="1:105" x14ac:dyDescent="0.25">
      <c r="A35" s="242" t="s">
        <v>122</v>
      </c>
      <c r="B35" s="246">
        <f t="shared" ref="B35:Y35" si="15">IF(B$9=0,0,B$9/B$5)</f>
        <v>0.36922625439447648</v>
      </c>
      <c r="C35" s="246">
        <f t="shared" si="15"/>
        <v>0.36904777057336086</v>
      </c>
      <c r="D35" s="246">
        <f t="shared" si="15"/>
        <v>0.36516338614902827</v>
      </c>
      <c r="E35" s="246">
        <f t="shared" si="15"/>
        <v>0.36789565819481174</v>
      </c>
      <c r="F35" s="246">
        <f t="shared" si="15"/>
        <v>0.37276066777010847</v>
      </c>
      <c r="G35" s="246">
        <f t="shared" si="15"/>
        <v>0.37325168129758768</v>
      </c>
      <c r="H35" s="246">
        <f t="shared" si="15"/>
        <v>0.37331913072678546</v>
      </c>
      <c r="I35" s="246">
        <f t="shared" si="15"/>
        <v>0.37324567598308628</v>
      </c>
      <c r="J35" s="246">
        <f t="shared" si="15"/>
        <v>0.37339046350303795</v>
      </c>
      <c r="K35" s="246">
        <f t="shared" si="15"/>
        <v>0.37111415242906964</v>
      </c>
      <c r="L35" s="246">
        <f t="shared" si="15"/>
        <v>0.37936347917251223</v>
      </c>
      <c r="M35" s="246">
        <f t="shared" si="15"/>
        <v>0.37981847660821699</v>
      </c>
      <c r="N35" s="246">
        <f t="shared" si="15"/>
        <v>0.38146695684037002</v>
      </c>
      <c r="O35" s="246">
        <f t="shared" si="15"/>
        <v>0.38151204807637268</v>
      </c>
      <c r="P35" s="246">
        <f t="shared" si="15"/>
        <v>0.38357530588301669</v>
      </c>
      <c r="Q35" s="246">
        <f t="shared" si="15"/>
        <v>0.38091842896778083</v>
      </c>
      <c r="R35" s="246">
        <f t="shared" si="15"/>
        <v>0.38269018843825142</v>
      </c>
      <c r="S35" s="246">
        <f t="shared" si="15"/>
        <v>0.38060479638906125</v>
      </c>
      <c r="T35" s="246">
        <f t="shared" si="15"/>
        <v>0.36812971161409314</v>
      </c>
      <c r="U35" s="246">
        <f t="shared" si="15"/>
        <v>0.3662501610856253</v>
      </c>
      <c r="V35" s="246">
        <f t="shared" si="15"/>
        <v>0.36565524304049973</v>
      </c>
      <c r="W35" s="246">
        <f t="shared" si="15"/>
        <v>0.35959907507428068</v>
      </c>
      <c r="X35" s="246">
        <f t="shared" si="15"/>
        <v>0.36194906882687561</v>
      </c>
      <c r="Y35" s="246">
        <f t="shared" si="15"/>
        <v>0.3626230356420454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0.273713766606343</v>
      </c>
      <c r="C36" s="259">
        <f t="shared" si="16"/>
        <v>0.27358145348295487</v>
      </c>
      <c r="D36" s="259">
        <f t="shared" si="16"/>
        <v>0.27070189256582916</v>
      </c>
      <c r="E36" s="259">
        <f t="shared" si="16"/>
        <v>0.2727273727805854</v>
      </c>
      <c r="F36" s="259">
        <f t="shared" si="16"/>
        <v>0.27633388797169561</v>
      </c>
      <c r="G36" s="259">
        <f t="shared" si="16"/>
        <v>0.2766978847364473</v>
      </c>
      <c r="H36" s="259">
        <f t="shared" si="16"/>
        <v>0.27674788615726026</v>
      </c>
      <c r="I36" s="259">
        <f t="shared" si="16"/>
        <v>0.27669343289362131</v>
      </c>
      <c r="J36" s="259">
        <f t="shared" si="16"/>
        <v>0.27680076636997064</v>
      </c>
      <c r="K36" s="259">
        <f t="shared" si="16"/>
        <v>0.2751132978581623</v>
      </c>
      <c r="L36" s="259">
        <f t="shared" si="16"/>
        <v>0.27393577141022935</v>
      </c>
      <c r="M36" s="259">
        <f t="shared" si="16"/>
        <v>0.27405056590596488</v>
      </c>
      <c r="N36" s="259">
        <f t="shared" si="16"/>
        <v>0.27427076121806843</v>
      </c>
      <c r="O36" s="259">
        <f t="shared" si="16"/>
        <v>0.27416622533973911</v>
      </c>
      <c r="P36" s="259">
        <f t="shared" si="16"/>
        <v>0.27253262388164623</v>
      </c>
      <c r="Q36" s="259">
        <f t="shared" si="16"/>
        <v>0.27388384145063338</v>
      </c>
      <c r="R36" s="259">
        <f t="shared" si="16"/>
        <v>0.27448586659234259</v>
      </c>
      <c r="S36" s="259">
        <f t="shared" si="16"/>
        <v>0.27420050487474434</v>
      </c>
      <c r="T36" s="259">
        <f t="shared" si="16"/>
        <v>0.26770234203079785</v>
      </c>
      <c r="U36" s="259">
        <f t="shared" si="16"/>
        <v>0.26795122557846002</v>
      </c>
      <c r="V36" s="259">
        <f t="shared" si="16"/>
        <v>0.26746136431075479</v>
      </c>
      <c r="W36" s="259">
        <f t="shared" si="16"/>
        <v>0.26268144598658505</v>
      </c>
      <c r="X36" s="259">
        <f t="shared" si="16"/>
        <v>0.2637435197332772</v>
      </c>
      <c r="Y36" s="259">
        <f t="shared" si="16"/>
        <v>0.26492954082726039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0.32024251208307292</v>
      </c>
      <c r="C37" s="259">
        <f t="shared" si="17"/>
        <v>0.32057110657610072</v>
      </c>
      <c r="D37" s="259">
        <f t="shared" si="17"/>
        <v>0.32772238405694548</v>
      </c>
      <c r="E37" s="259">
        <f t="shared" si="17"/>
        <v>0.32269218276426315</v>
      </c>
      <c r="F37" s="259">
        <f t="shared" si="17"/>
        <v>0.31373554263308134</v>
      </c>
      <c r="G37" s="259">
        <f t="shared" si="17"/>
        <v>0.31283157083259322</v>
      </c>
      <c r="H37" s="259">
        <f t="shared" si="17"/>
        <v>0.31270739424978744</v>
      </c>
      <c r="I37" s="259">
        <f t="shared" si="17"/>
        <v>0.31284262681101022</v>
      </c>
      <c r="J37" s="259">
        <f t="shared" si="17"/>
        <v>0.31257606829933143</v>
      </c>
      <c r="K37" s="259">
        <f t="shared" si="17"/>
        <v>0.31676683068131806</v>
      </c>
      <c r="L37" s="259">
        <f t="shared" si="17"/>
        <v>0.30985342044991498</v>
      </c>
      <c r="M37" s="259">
        <f t="shared" si="17"/>
        <v>0.30926818741515971</v>
      </c>
      <c r="N37" s="259">
        <f t="shared" si="17"/>
        <v>0.30736989321591568</v>
      </c>
      <c r="O37" s="259">
        <f t="shared" si="17"/>
        <v>0.30744339906637835</v>
      </c>
      <c r="P37" s="259">
        <f t="shared" si="17"/>
        <v>0.30723347981173782</v>
      </c>
      <c r="Q37" s="259">
        <f t="shared" si="17"/>
        <v>0.30835738575639676</v>
      </c>
      <c r="R37" s="259">
        <f t="shared" si="17"/>
        <v>0.30590262224055303</v>
      </c>
      <c r="S37" s="259">
        <f t="shared" si="17"/>
        <v>0.30831176024985518</v>
      </c>
      <c r="T37" s="259">
        <f t="shared" si="17"/>
        <v>0.30113343276996601</v>
      </c>
      <c r="U37" s="259">
        <f t="shared" si="17"/>
        <v>0.30181896788921475</v>
      </c>
      <c r="V37" s="259">
        <f t="shared" si="17"/>
        <v>0.30041749061347456</v>
      </c>
      <c r="W37" s="259">
        <f t="shared" si="17"/>
        <v>0.29448571727637313</v>
      </c>
      <c r="X37" s="259">
        <f t="shared" si="17"/>
        <v>0.29618943286053662</v>
      </c>
      <c r="Y37" s="259">
        <f t="shared" si="17"/>
        <v>0.29765946274960176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3.6817466916107766E-2</v>
      </c>
      <c r="C38" s="259">
        <f t="shared" si="18"/>
        <v>3.6799669367583603E-2</v>
      </c>
      <c r="D38" s="259">
        <f t="shared" si="18"/>
        <v>3.6412337228197034E-2</v>
      </c>
      <c r="E38" s="259">
        <f t="shared" si="18"/>
        <v>3.6684786260339705E-2</v>
      </c>
      <c r="F38" s="259">
        <f t="shared" si="18"/>
        <v>3.7169901625114549E-2</v>
      </c>
      <c r="G38" s="259">
        <f t="shared" si="18"/>
        <v>3.7218863133371777E-2</v>
      </c>
      <c r="H38" s="259">
        <f t="shared" si="18"/>
        <v>3.7225588866166927E-2</v>
      </c>
      <c r="I38" s="259">
        <f t="shared" si="18"/>
        <v>3.721826431228218E-2</v>
      </c>
      <c r="J38" s="259">
        <f t="shared" si="18"/>
        <v>3.7232701827659906E-2</v>
      </c>
      <c r="K38" s="259">
        <f t="shared" si="18"/>
        <v>3.7005719031449932E-2</v>
      </c>
      <c r="L38" s="259">
        <f t="shared" si="18"/>
        <v>3.6847328967343454E-2</v>
      </c>
      <c r="M38" s="259">
        <f t="shared" si="18"/>
        <v>3.6862770070658399E-2</v>
      </c>
      <c r="N38" s="259">
        <f t="shared" si="18"/>
        <v>3.689238872564591E-2</v>
      </c>
      <c r="O38" s="259">
        <f t="shared" si="18"/>
        <v>3.6878327517509947E-2</v>
      </c>
      <c r="P38" s="259">
        <f t="shared" si="18"/>
        <v>3.6658590423599216E-2</v>
      </c>
      <c r="Q38" s="259">
        <f t="shared" si="18"/>
        <v>3.6840343825188956E-2</v>
      </c>
      <c r="R38" s="259">
        <f t="shared" si="18"/>
        <v>3.6921322728853026E-2</v>
      </c>
      <c r="S38" s="259">
        <f t="shared" si="18"/>
        <v>3.6882938486339209E-2</v>
      </c>
      <c r="T38" s="259">
        <f t="shared" si="18"/>
        <v>3.6008865185281708E-2</v>
      </c>
      <c r="U38" s="259">
        <f t="shared" si="18"/>
        <v>3.6042342718748989E-2</v>
      </c>
      <c r="V38" s="259">
        <f t="shared" si="18"/>
        <v>3.5976451071277837E-2</v>
      </c>
      <c r="W38" s="259">
        <f t="shared" si="18"/>
        <v>3.5333500272917311E-2</v>
      </c>
      <c r="X38" s="259">
        <f t="shared" si="18"/>
        <v>3.5476360697937685E-2</v>
      </c>
      <c r="Y38" s="259">
        <f t="shared" si="18"/>
        <v>3.5635893383965618E-2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0</v>
      </c>
      <c r="C39" s="259">
        <f t="shared" si="19"/>
        <v>0</v>
      </c>
      <c r="D39" s="259">
        <f t="shared" si="19"/>
        <v>0</v>
      </c>
      <c r="E39" s="259">
        <f t="shared" si="19"/>
        <v>0</v>
      </c>
      <c r="F39" s="259">
        <f t="shared" si="19"/>
        <v>0</v>
      </c>
      <c r="G39" s="259">
        <f t="shared" si="19"/>
        <v>0</v>
      </c>
      <c r="H39" s="259">
        <f t="shared" si="19"/>
        <v>0</v>
      </c>
      <c r="I39" s="259">
        <f t="shared" si="19"/>
        <v>0</v>
      </c>
      <c r="J39" s="259">
        <f t="shared" si="19"/>
        <v>0</v>
      </c>
      <c r="K39" s="259">
        <f t="shared" si="19"/>
        <v>0</v>
      </c>
      <c r="L39" s="259">
        <f t="shared" si="19"/>
        <v>0</v>
      </c>
      <c r="M39" s="259">
        <f t="shared" si="19"/>
        <v>0</v>
      </c>
      <c r="N39" s="259">
        <f t="shared" si="19"/>
        <v>0</v>
      </c>
      <c r="O39" s="259">
        <f t="shared" si="19"/>
        <v>0</v>
      </c>
      <c r="P39" s="259">
        <f t="shared" si="19"/>
        <v>0</v>
      </c>
      <c r="Q39" s="259">
        <f t="shared" si="19"/>
        <v>0</v>
      </c>
      <c r="R39" s="259">
        <f t="shared" si="19"/>
        <v>0</v>
      </c>
      <c r="S39" s="259">
        <f t="shared" si="19"/>
        <v>0</v>
      </c>
      <c r="T39" s="259">
        <f t="shared" si="19"/>
        <v>4.9369052257677319E-3</v>
      </c>
      <c r="U39" s="259">
        <f t="shared" si="19"/>
        <v>5.1034415082593741E-3</v>
      </c>
      <c r="V39" s="259">
        <f t="shared" si="19"/>
        <v>5.5696547060716832E-3</v>
      </c>
      <c r="W39" s="259">
        <f t="shared" si="19"/>
        <v>8.7501712178114886E-3</v>
      </c>
      <c r="X39" s="259">
        <f t="shared" si="19"/>
        <v>7.7895495064170071E-3</v>
      </c>
      <c r="Y39" s="259">
        <f t="shared" si="19"/>
        <v>7.1520965296609368E-3</v>
      </c>
      <c r="DA39" s="278"/>
    </row>
    <row r="40" spans="1:105" x14ac:dyDescent="0.25">
      <c r="A40" s="260" t="s">
        <v>33</v>
      </c>
      <c r="B40" s="261">
        <f t="shared" ref="B40:Y40" si="20">IF(B$27=0,0,B$27/B$5)</f>
        <v>0</v>
      </c>
      <c r="C40" s="261">
        <f t="shared" si="20"/>
        <v>0</v>
      </c>
      <c r="D40" s="261">
        <f t="shared" si="20"/>
        <v>0</v>
      </c>
      <c r="E40" s="261">
        <f t="shared" si="20"/>
        <v>0</v>
      </c>
      <c r="F40" s="261">
        <f t="shared" si="20"/>
        <v>0</v>
      </c>
      <c r="G40" s="261">
        <f t="shared" si="20"/>
        <v>0</v>
      </c>
      <c r="H40" s="261">
        <f t="shared" si="20"/>
        <v>0</v>
      </c>
      <c r="I40" s="261">
        <f t="shared" si="20"/>
        <v>0</v>
      </c>
      <c r="J40" s="261">
        <f t="shared" si="20"/>
        <v>0</v>
      </c>
      <c r="K40" s="261">
        <f t="shared" si="20"/>
        <v>0</v>
      </c>
      <c r="L40" s="261">
        <f t="shared" si="20"/>
        <v>0</v>
      </c>
      <c r="M40" s="261">
        <f t="shared" si="20"/>
        <v>0</v>
      </c>
      <c r="N40" s="261">
        <f t="shared" si="20"/>
        <v>0</v>
      </c>
      <c r="O40" s="261">
        <f t="shared" si="20"/>
        <v>0</v>
      </c>
      <c r="P40" s="261">
        <f t="shared" si="20"/>
        <v>0</v>
      </c>
      <c r="Q40" s="261">
        <f t="shared" si="20"/>
        <v>0</v>
      </c>
      <c r="R40" s="261">
        <f t="shared" si="20"/>
        <v>0</v>
      </c>
      <c r="S40" s="261">
        <f t="shared" si="20"/>
        <v>0</v>
      </c>
      <c r="T40" s="261">
        <f t="shared" si="20"/>
        <v>7.5241632215588758E-3</v>
      </c>
      <c r="U40" s="261">
        <f t="shared" si="20"/>
        <v>7.7779752990601051E-3</v>
      </c>
      <c r="V40" s="261">
        <f t="shared" si="20"/>
        <v>8.4885143991578222E-3</v>
      </c>
      <c r="W40" s="261">
        <f t="shared" si="20"/>
        <v>1.3335827496903577E-2</v>
      </c>
      <c r="X40" s="261">
        <f t="shared" si="20"/>
        <v>1.1871777809868854E-2</v>
      </c>
      <c r="Y40" s="261">
        <f t="shared" si="20"/>
        <v>1.0900258199132285E-2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0.38480708232067945</v>
      </c>
      <c r="C44" s="237">
        <f>IF(C$5=0,0,C$5/AGR_fec!C$5)</f>
        <v>0.38529335623757083</v>
      </c>
      <c r="D44" s="237">
        <f>IF(D$5=0,0,D$5/AGR_fec!D$5)</f>
        <v>0.38208024549977698</v>
      </c>
      <c r="E44" s="237">
        <f>IF(E$5=0,0,E$5/AGR_fec!E$5)</f>
        <v>0.38412151952244733</v>
      </c>
      <c r="F44" s="237">
        <f>IF(F$5=0,0,F$5/AGR_fec!F$5)</f>
        <v>0.38785460247511028</v>
      </c>
      <c r="G44" s="237">
        <f>IF(G$5=0,0,G$5/AGR_fec!G$5)</f>
        <v>0.38828007157429512</v>
      </c>
      <c r="H44" s="237">
        <f>IF(H$5=0,0,H$5/AGR_fec!H$5)</f>
        <v>0.38832597454950701</v>
      </c>
      <c r="I44" s="237">
        <f>IF(I$5=0,0,I$5/AGR_fec!I$5)</f>
        <v>0.38827598771501493</v>
      </c>
      <c r="J44" s="237">
        <f>IF(J$5=0,0,J$5/AGR_fec!J$5)</f>
        <v>0.38837458973756595</v>
      </c>
      <c r="K44" s="237">
        <f>IF(K$5=0,0,K$5/AGR_fec!K$5)</f>
        <v>0.38629807354971835</v>
      </c>
      <c r="L44" s="237">
        <f>IF(L$5=0,0,L$5/AGR_fec!L$5)</f>
        <v>0.38822730597836785</v>
      </c>
      <c r="M44" s="237">
        <f>IF(M$5=0,0,M$5/AGR_fec!M$5)</f>
        <v>0.38847774069852958</v>
      </c>
      <c r="N44" s="237">
        <f>IF(N$5=0,0,N$5/AGR_fec!N$5)</f>
        <v>0.38909416880523662</v>
      </c>
      <c r="O44" s="237">
        <f>IF(O$5=0,0,O$5/AGR_fec!O$5)</f>
        <v>0.38905473471785795</v>
      </c>
      <c r="P44" s="237">
        <f>IF(P$5=0,0,P$5/AGR_fec!P$5)</f>
        <v>0.38884664626463572</v>
      </c>
      <c r="Q44" s="237">
        <f>IF(Q$5=0,0,Q$5/AGR_fec!Q$5)</f>
        <v>0.38886681289129738</v>
      </c>
      <c r="R44" s="237">
        <f>IF(R$5=0,0,R$5/AGR_fec!R$5)</f>
        <v>0.38958754817282093</v>
      </c>
      <c r="S44" s="237">
        <f>IF(S$5=0,0,S$5/AGR_fec!S$5)</f>
        <v>0.38891316693937145</v>
      </c>
      <c r="T44" s="237">
        <f>IF(T$5=0,0,T$5/AGR_fec!T$5)</f>
        <v>0.3913587068121383</v>
      </c>
      <c r="U44" s="237">
        <f>IF(U$5=0,0,U$5/AGR_fec!U$5)</f>
        <v>0.39129987122642301</v>
      </c>
      <c r="V44" s="237">
        <f>IF(V$5=0,0,V$5/AGR_fec!V$5)</f>
        <v>0.39174803753873172</v>
      </c>
      <c r="W44" s="237">
        <f>IF(W$5=0,0,W$5/AGR_fec!W$5)</f>
        <v>0.39364058042792616</v>
      </c>
      <c r="X44" s="237">
        <f>IF(X$5=0,0,X$5/AGR_fec!X$5)</f>
        <v>0.39301197725575737</v>
      </c>
      <c r="Y44" s="237">
        <f>IF(Y$5=0,0,Y$5/AGR_fec!Y$5)</f>
        <v>0.39260624069320466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0.50372242973081882</v>
      </c>
      <c r="U45" s="250">
        <f>IF(U$6=0,0,U$6/AGR_fec!U$6)</f>
        <v>0.50372242973081893</v>
      </c>
      <c r="V45" s="250">
        <f>IF(V$6=0,0,V$6/AGR_fec!V$6)</f>
        <v>0.50372242973081882</v>
      </c>
      <c r="W45" s="250">
        <f>IF(W$6=0,0,W$6/AGR_fec!W$6)</f>
        <v>0.50372242973081893</v>
      </c>
      <c r="X45" s="250">
        <f>IF(X$6=0,0,X$6/AGR_fec!X$6)</f>
        <v>0.50372242973081882</v>
      </c>
      <c r="Y45" s="250">
        <f>IF(Y$6=0,0,Y$6/AGR_fec!Y$6)</f>
        <v>0.50372242973081882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0.499505222112122</v>
      </c>
      <c r="U46" s="251">
        <f>IF(U$7=0,0,U$7/AGR_fec!U$7)</f>
        <v>0.499505222112122</v>
      </c>
      <c r="V46" s="251">
        <f>IF(V$7=0,0,V$7/AGR_fec!V$7)</f>
        <v>0.49950522211212178</v>
      </c>
      <c r="W46" s="251">
        <f>IF(W$7=0,0,W$7/AGR_fec!W$7)</f>
        <v>0.49950522211212206</v>
      </c>
      <c r="X46" s="251">
        <f>IF(X$7=0,0,X$7/AGR_fec!X$7)</f>
        <v>0.499505222112122</v>
      </c>
      <c r="Y46" s="251">
        <f>IF(Y$7=0,0,Y$7/AGR_fec!Y$7)</f>
        <v>0.49950522211212206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0.71690152274775465</v>
      </c>
      <c r="U47" s="251">
        <f>IF(U$8=0,0,U$8/AGR_fec!U$8)</f>
        <v>0.71690152274775487</v>
      </c>
      <c r="V47" s="251">
        <f>IF(V$8=0,0,V$8/AGR_fec!V$8)</f>
        <v>0.71690152274775476</v>
      </c>
      <c r="W47" s="251">
        <f>IF(W$8=0,0,W$8/AGR_fec!W$8)</f>
        <v>0.71690152274775498</v>
      </c>
      <c r="X47" s="251">
        <f>IF(X$8=0,0,X$8/AGR_fec!X$8)</f>
        <v>0.71690152274775465</v>
      </c>
      <c r="Y47" s="251">
        <f>IF(Y$8=0,0,Y$8/AGR_fec!Y$8)</f>
        <v>0.71690152274775476</v>
      </c>
      <c r="DA47" s="288"/>
    </row>
    <row r="48" spans="1:105" x14ac:dyDescent="0.25">
      <c r="A48" s="242" t="s">
        <v>122</v>
      </c>
      <c r="B48" s="252">
        <f>IF(B$9=0,0,B$9/AGR_fec!B$9)</f>
        <v>0.64561314470951037</v>
      </c>
      <c r="C48" s="252">
        <f>IF(C$9=0,0,C$9/AGR_fec!C$9)</f>
        <v>0.64561314470951014</v>
      </c>
      <c r="D48" s="252">
        <f>IF(D$9=0,0,D$9/AGR_fec!D$9)</f>
        <v>0.64561314470951026</v>
      </c>
      <c r="E48" s="252">
        <f>IF(E$9=0,0,E$9/AGR_fec!E$9)</f>
        <v>0.64561314470951003</v>
      </c>
      <c r="F48" s="252">
        <f>IF(F$9=0,0,F$9/AGR_fec!F$9)</f>
        <v>0.64561314470951003</v>
      </c>
      <c r="G48" s="252">
        <f>IF(G$9=0,0,G$9/AGR_fec!G$9)</f>
        <v>0.64561314470951003</v>
      </c>
      <c r="H48" s="252">
        <f>IF(H$9=0,0,H$9/AGR_fec!H$9)</f>
        <v>0.64561314470951003</v>
      </c>
      <c r="I48" s="252">
        <f>IF(I$9=0,0,I$9/AGR_fec!I$9)</f>
        <v>0.6456131447095097</v>
      </c>
      <c r="J48" s="252">
        <f>IF(J$9=0,0,J$9/AGR_fec!J$9)</f>
        <v>0.64561314470950981</v>
      </c>
      <c r="K48" s="252">
        <f>IF(K$9=0,0,K$9/AGR_fec!K$9)</f>
        <v>0.64561314470950992</v>
      </c>
      <c r="L48" s="252">
        <f>IF(L$9=0,0,L$9/AGR_fec!L$9)</f>
        <v>0.65540783925655488</v>
      </c>
      <c r="M48" s="252">
        <f>IF(M$9=0,0,M$9/AGR_fec!M$9)</f>
        <v>0.65570538134884837</v>
      </c>
      <c r="N48" s="252">
        <f>IF(N$9=0,0,N$9/AGR_fec!N$9)</f>
        <v>0.65703386242651618</v>
      </c>
      <c r="O48" s="252">
        <f>IF(O$9=0,0,O$9/AGR_fec!O$9)</f>
        <v>0.65721413888748281</v>
      </c>
      <c r="P48" s="252">
        <f>IF(P$9=0,0,P$9/AGR_fec!P$9)</f>
        <v>0.66132431009191139</v>
      </c>
      <c r="Q48" s="252">
        <f>IF(Q$9=0,0,Q$9/AGR_fec!Q$9)</f>
        <v>0.65700460171052155</v>
      </c>
      <c r="R48" s="252">
        <f>IF(R$9=0,0,R$9/AGR_fec!R$9)</f>
        <v>0.65795056707917365</v>
      </c>
      <c r="S48" s="252">
        <f>IF(S$9=0,0,S$9/AGR_fec!S$9)</f>
        <v>0.65628354573907222</v>
      </c>
      <c r="T48" s="252">
        <f>IF(T$9=0,0,T$9/AGR_fec!T$9)</f>
        <v>0.65667982622457377</v>
      </c>
      <c r="U48" s="252">
        <f>IF(U$9=0,0,U$9/AGR_fec!U$9)</f>
        <v>0.65458039897789444</v>
      </c>
      <c r="V48" s="252">
        <f>IF(V$9=0,0,V$9/AGR_fec!V$9)</f>
        <v>0.6550209346504785</v>
      </c>
      <c r="W48" s="252">
        <f>IF(W$9=0,0,W$9/AGR_fec!W$9)</f>
        <v>0.65800857879653185</v>
      </c>
      <c r="X48" s="252">
        <f>IF(X$9=0,0,X$9/AGR_fec!X$9)</f>
        <v>0.65816985290984009</v>
      </c>
      <c r="Y48" s="252">
        <f>IF(Y$9=0,0,Y$9/AGR_fec!Y$9)</f>
        <v>0.65670520564216162</v>
      </c>
      <c r="DA48" s="289"/>
    </row>
    <row r="49" spans="1:105" x14ac:dyDescent="0.25">
      <c r="A49" s="127" t="s">
        <v>168</v>
      </c>
      <c r="B49" s="264">
        <f>IF(B$16=0,0,B$16/AGR_fec!B$16)</f>
        <v>0.36045355026027798</v>
      </c>
      <c r="C49" s="264">
        <f>IF(C$16=0,0,C$16/AGR_fec!C$16)</f>
        <v>0.36045355026027803</v>
      </c>
      <c r="D49" s="264">
        <f>IF(D$16=0,0,D$16/AGR_fec!D$16)</f>
        <v>0.36045355026027809</v>
      </c>
      <c r="E49" s="264">
        <f>IF(E$16=0,0,E$16/AGR_fec!E$16)</f>
        <v>0.36045355026027792</v>
      </c>
      <c r="F49" s="264">
        <f>IF(F$16=0,0,F$16/AGR_fec!F$16)</f>
        <v>0.36045355026027798</v>
      </c>
      <c r="G49" s="264">
        <f>IF(G$16=0,0,G$16/AGR_fec!G$16)</f>
        <v>0.36045355026027809</v>
      </c>
      <c r="H49" s="264">
        <f>IF(H$16=0,0,H$16/AGR_fec!H$16)</f>
        <v>0.36045355026027792</v>
      </c>
      <c r="I49" s="264">
        <f>IF(I$16=0,0,I$16/AGR_fec!I$16)</f>
        <v>0.36045355026027803</v>
      </c>
      <c r="J49" s="264">
        <f>IF(J$16=0,0,J$16/AGR_fec!J$16)</f>
        <v>0.36045355026027809</v>
      </c>
      <c r="K49" s="264">
        <f>IF(K$16=0,0,K$16/AGR_fec!K$16)</f>
        <v>0.36045355026027792</v>
      </c>
      <c r="L49" s="264">
        <f>IF(L$16=0,0,L$16/AGR_fec!L$16)</f>
        <v>0.36045355026027803</v>
      </c>
      <c r="M49" s="264">
        <f>IF(M$16=0,0,M$16/AGR_fec!M$16)</f>
        <v>0.36045355026027798</v>
      </c>
      <c r="N49" s="264">
        <f>IF(N$16=0,0,N$16/AGR_fec!N$16)</f>
        <v>0.36045355026027809</v>
      </c>
      <c r="O49" s="264">
        <f>IF(O$16=0,0,O$16/AGR_fec!O$16)</f>
        <v>0.36045355026027803</v>
      </c>
      <c r="P49" s="264">
        <f>IF(P$16=0,0,P$16/AGR_fec!P$16)</f>
        <v>0.36045355026027803</v>
      </c>
      <c r="Q49" s="264">
        <f>IF(Q$16=0,0,Q$16/AGR_fec!Q$16)</f>
        <v>0.36045355026027809</v>
      </c>
      <c r="R49" s="264">
        <f>IF(R$16=0,0,R$16/AGR_fec!R$16)</f>
        <v>0.36045355026027803</v>
      </c>
      <c r="S49" s="264">
        <f>IF(S$16=0,0,S$16/AGR_fec!S$16)</f>
        <v>0.36045355026027792</v>
      </c>
      <c r="T49" s="264">
        <f>IF(T$16=0,0,T$16/AGR_fec!T$16)</f>
        <v>0.36045355026027803</v>
      </c>
      <c r="U49" s="264">
        <f>IF(U$16=0,0,U$16/AGR_fec!U$16)</f>
        <v>0.36045355026027798</v>
      </c>
      <c r="V49" s="264">
        <f>IF(V$16=0,0,V$16/AGR_fec!V$16)</f>
        <v>0.36045355026027798</v>
      </c>
      <c r="W49" s="264">
        <f>IF(W$16=0,0,W$16/AGR_fec!W$16)</f>
        <v>0.36045355026027798</v>
      </c>
      <c r="X49" s="264">
        <f>IF(X$16=0,0,X$16/AGR_fec!X$16)</f>
        <v>0.36045355026027798</v>
      </c>
      <c r="Y49" s="264">
        <f>IF(Y$16=0,0,Y$16/AGR_fec!Y$16)</f>
        <v>0.36045355026027809</v>
      </c>
      <c r="DA49" s="290"/>
    </row>
    <row r="50" spans="1:105" x14ac:dyDescent="0.25">
      <c r="A50" s="127" t="s">
        <v>121</v>
      </c>
      <c r="B50" s="264">
        <f>IF(B$17=0,0,B$17/AGR_fec!B$17)</f>
        <v>0.28554123801576886</v>
      </c>
      <c r="C50" s="264">
        <f>IF(C$17=0,0,C$17/AGR_fec!C$17)</f>
        <v>0.28648963016940748</v>
      </c>
      <c r="D50" s="264">
        <f>IF(D$17=0,0,D$17/AGR_fec!D$17)</f>
        <v>0.28341620924505662</v>
      </c>
      <c r="E50" s="264">
        <f>IF(E$17=0,0,E$17/AGR_fec!E$17)</f>
        <v>0.28519238444615075</v>
      </c>
      <c r="F50" s="264">
        <f>IF(F$17=0,0,F$17/AGR_fec!F$17)</f>
        <v>0.28863343740907293</v>
      </c>
      <c r="G50" s="264">
        <f>IF(G$17=0,0,G$17/AGR_fec!G$17)</f>
        <v>0.28907558261477911</v>
      </c>
      <c r="H50" s="264">
        <f>IF(H$17=0,0,H$17/AGR_fec!H$17)</f>
        <v>0.28911426159781206</v>
      </c>
      <c r="I50" s="264">
        <f>IF(I$17=0,0,I$17/AGR_fec!I$17)</f>
        <v>0.28907214537471904</v>
      </c>
      <c r="J50" s="264">
        <f>IF(J$17=0,0,J$17/AGR_fec!J$17)</f>
        <v>0.28915531431048885</v>
      </c>
      <c r="K50" s="264">
        <f>IF(K$17=0,0,K$17/AGR_fec!K$17)</f>
        <v>0.28694080179500697</v>
      </c>
      <c r="L50" s="264">
        <f>IF(L$17=0,0,L$17/AGR_fec!L$17)</f>
        <v>0.28401402692556305</v>
      </c>
      <c r="M50" s="264">
        <f>IF(M$17=0,0,M$17/AGR_fec!M$17)</f>
        <v>0.28412122776109039</v>
      </c>
      <c r="N50" s="264">
        <f>IF(N$17=0,0,N$17/AGR_fec!N$17)</f>
        <v>0.28398023474379469</v>
      </c>
      <c r="O50" s="264">
        <f>IF(O$17=0,0,O$17/AGR_fec!O$17)</f>
        <v>0.28386537826595631</v>
      </c>
      <c r="P50" s="264">
        <f>IF(P$17=0,0,P$17/AGR_fec!P$17)</f>
        <v>0.28178105319548591</v>
      </c>
      <c r="Q50" s="264">
        <f>IF(Q$17=0,0,Q$17/AGR_fec!Q$17)</f>
        <v>0.28395041727484038</v>
      </c>
      <c r="R50" s="264">
        <f>IF(R$17=0,0,R$17/AGR_fec!R$17)</f>
        <v>0.28394060123421749</v>
      </c>
      <c r="S50" s="264">
        <f>IF(S$17=0,0,S$17/AGR_fec!S$17)</f>
        <v>0.28430449299292965</v>
      </c>
      <c r="T50" s="264">
        <f>IF(T$17=0,0,T$17/AGR_fec!T$17)</f>
        <v>0.28414288508139973</v>
      </c>
      <c r="U50" s="264">
        <f>IF(U$17=0,0,U$17/AGR_fec!U$17)</f>
        <v>0.28506748410649468</v>
      </c>
      <c r="V50" s="264">
        <f>IF(V$17=0,0,V$17/AGR_fec!V$17)</f>
        <v>0.28500511299771736</v>
      </c>
      <c r="W50" s="264">
        <f>IF(W$17=0,0,W$17/AGR_fec!W$17)</f>
        <v>0.28383737540180171</v>
      </c>
      <c r="X50" s="264">
        <f>IF(X$17=0,0,X$17/AGR_fec!X$17)</f>
        <v>0.28363970106473463</v>
      </c>
      <c r="Y50" s="264">
        <f>IF(Y$17=0,0,Y$17/AGR_fec!Y$17)</f>
        <v>0.28427567966676298</v>
      </c>
      <c r="DA50" s="290"/>
    </row>
    <row r="51" spans="1:105" x14ac:dyDescent="0.25">
      <c r="A51" s="127" t="s">
        <v>167</v>
      </c>
      <c r="B51" s="264">
        <f>IF(B$25=0,0,B$25/AGR_fec!B$25)</f>
        <v>0.25231748518219455</v>
      </c>
      <c r="C51" s="264">
        <f>IF(C$25=0,0,C$25/AGR_fec!C$25)</f>
        <v>0.25231748518219455</v>
      </c>
      <c r="D51" s="264">
        <f>IF(D$25=0,0,D$25/AGR_fec!D$25)</f>
        <v>0.25231748518219466</v>
      </c>
      <c r="E51" s="264">
        <f>IF(E$25=0,0,E$25/AGR_fec!E$25)</f>
        <v>0.25231748518219471</v>
      </c>
      <c r="F51" s="264">
        <f>IF(F$25=0,0,F$25/AGR_fec!F$25)</f>
        <v>0.25231748518219455</v>
      </c>
      <c r="G51" s="264">
        <f>IF(G$25=0,0,G$25/AGR_fec!G$25)</f>
        <v>0.25231748518219455</v>
      </c>
      <c r="H51" s="264">
        <f>IF(H$25=0,0,H$25/AGR_fec!H$25)</f>
        <v>0.25231748518219466</v>
      </c>
      <c r="I51" s="264">
        <f>IF(I$25=0,0,I$25/AGR_fec!I$25)</f>
        <v>0.25231748518219455</v>
      </c>
      <c r="J51" s="264">
        <f>IF(J$25=0,0,J$25/AGR_fec!J$25)</f>
        <v>0.25231748518219449</v>
      </c>
      <c r="K51" s="264">
        <f>IF(K$25=0,0,K$25/AGR_fec!K$25)</f>
        <v>0.2523174851821946</v>
      </c>
      <c r="L51" s="264">
        <f>IF(L$25=0,0,L$25/AGR_fec!L$25)</f>
        <v>0.25231748518219466</v>
      </c>
      <c r="M51" s="264">
        <f>IF(M$25=0,0,M$25/AGR_fec!M$25)</f>
        <v>0.2523174851821946</v>
      </c>
      <c r="N51" s="264">
        <f>IF(N$25=0,0,N$25/AGR_fec!N$25)</f>
        <v>0.25231748518219443</v>
      </c>
      <c r="O51" s="264">
        <f>IF(O$25=0,0,O$25/AGR_fec!O$25)</f>
        <v>0.2523174851821946</v>
      </c>
      <c r="P51" s="264">
        <f>IF(P$25=0,0,P$25/AGR_fec!P$25)</f>
        <v>0.25231748518219466</v>
      </c>
      <c r="Q51" s="264">
        <f>IF(Q$25=0,0,Q$25/AGR_fec!Q$25)</f>
        <v>0.2523174851821946</v>
      </c>
      <c r="R51" s="264">
        <f>IF(R$25=0,0,R$25/AGR_fec!R$25)</f>
        <v>0.2523174851821946</v>
      </c>
      <c r="S51" s="264">
        <f>IF(S$25=0,0,S$25/AGR_fec!S$25)</f>
        <v>0.25231748518219471</v>
      </c>
      <c r="T51" s="264">
        <f>IF(T$25=0,0,T$25/AGR_fec!T$25)</f>
        <v>0.2523174851821946</v>
      </c>
      <c r="U51" s="264">
        <f>IF(U$25=0,0,U$25/AGR_fec!U$25)</f>
        <v>0.25231748518219466</v>
      </c>
      <c r="V51" s="264">
        <f>IF(V$25=0,0,V$25/AGR_fec!V$25)</f>
        <v>0.2523174851821946</v>
      </c>
      <c r="W51" s="264">
        <f>IF(W$25=0,0,W$25/AGR_fec!W$25)</f>
        <v>0.25231748518219455</v>
      </c>
      <c r="X51" s="264">
        <f>IF(X$25=0,0,X$25/AGR_fec!X$25)</f>
        <v>0.2523174851821946</v>
      </c>
      <c r="Y51" s="264">
        <f>IF(Y$25=0,0,Y$25/AGR_fec!Y$25)</f>
        <v>0.25231748518219471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0.49950522211212212</v>
      </c>
      <c r="U52" s="264">
        <f>IF(U$26=0,0,U$26/AGR_fec!U$26)</f>
        <v>0.49950522211212189</v>
      </c>
      <c r="V52" s="264">
        <f>IF(V$26=0,0,V$26/AGR_fec!V$26)</f>
        <v>0.49950522211212223</v>
      </c>
      <c r="W52" s="264">
        <f>IF(W$26=0,0,W$26/AGR_fec!W$26)</f>
        <v>0.499505222112122</v>
      </c>
      <c r="X52" s="264">
        <f>IF(X$26=0,0,X$26/AGR_fec!X$26)</f>
        <v>0.49950522211212206</v>
      </c>
      <c r="Y52" s="264">
        <f>IF(Y$26=0,0,Y$26/AGR_fec!Y$26)</f>
        <v>0.49950522211212184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0.52501951775252642</v>
      </c>
      <c r="U53" s="265">
        <f>IF(U$27=0,0,U$27/AGR_fec!U$27)</f>
        <v>0.52501951775252631</v>
      </c>
      <c r="V53" s="265">
        <f>IF(V$27=0,0,V$27/AGR_fec!V$27)</f>
        <v>0.52501951775252642</v>
      </c>
      <c r="W53" s="265">
        <f>IF(W$27=0,0,W$27/AGR_fec!W$27)</f>
        <v>0.52501951775252631</v>
      </c>
      <c r="X53" s="265">
        <f>IF(X$27=0,0,X$27/AGR_fec!X$27)</f>
        <v>0.5250195177525262</v>
      </c>
      <c r="Y53" s="265">
        <f>IF(Y$27=0,0,Y$27/AGR_fec!Y$27)</f>
        <v>0.52501951775252653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261.19750429026516</v>
      </c>
      <c r="C5" s="80">
        <f t="shared" ref="C5:W5" si="0">SUM(C6:C9,C16:C17,C25:C27)</f>
        <v>253.49193653593213</v>
      </c>
      <c r="D5" s="80">
        <f t="shared" si="0"/>
        <v>269.56647804082957</v>
      </c>
      <c r="E5" s="80">
        <f t="shared" si="0"/>
        <v>268.98211621315704</v>
      </c>
      <c r="F5" s="80">
        <f t="shared" si="0"/>
        <v>234.00416748001575</v>
      </c>
      <c r="G5" s="80">
        <f t="shared" si="0"/>
        <v>235.28399976001376</v>
      </c>
      <c r="H5" s="80">
        <f t="shared" si="0"/>
        <v>236.27058192001226</v>
      </c>
      <c r="I5" s="80">
        <f t="shared" si="0"/>
        <v>233.11401084001366</v>
      </c>
      <c r="J5" s="80">
        <f t="shared" si="0"/>
        <v>239.42741976001099</v>
      </c>
      <c r="K5" s="80">
        <f t="shared" si="0"/>
        <v>215.26913915996937</v>
      </c>
      <c r="L5" s="80">
        <f t="shared" si="0"/>
        <v>213.24875220014277</v>
      </c>
      <c r="M5" s="80">
        <f t="shared" si="0"/>
        <v>205.18470120012427</v>
      </c>
      <c r="N5" s="80">
        <f t="shared" si="0"/>
        <v>212.84075040007298</v>
      </c>
      <c r="O5" s="80">
        <f t="shared" si="0"/>
        <v>209.70081864008225</v>
      </c>
      <c r="P5" s="80">
        <f t="shared" si="0"/>
        <v>222.19834296041032</v>
      </c>
      <c r="Q5" s="80">
        <f t="shared" si="0"/>
        <v>220.37226768015427</v>
      </c>
      <c r="R5" s="80">
        <f t="shared" si="0"/>
        <v>217.33335180086317</v>
      </c>
      <c r="S5" s="80">
        <f t="shared" si="0"/>
        <v>218.02310616010686</v>
      </c>
      <c r="T5" s="80">
        <f t="shared" si="0"/>
        <v>218.00263787831304</v>
      </c>
      <c r="U5" s="80">
        <f t="shared" si="0"/>
        <v>215.64344591831738</v>
      </c>
      <c r="V5" s="80">
        <f t="shared" si="0"/>
        <v>211.05131507832084</v>
      </c>
      <c r="W5" s="80">
        <f t="shared" si="0"/>
        <v>211.25866919838069</v>
      </c>
      <c r="X5" s="80">
        <f t="shared" ref="X5:Y5" si="1">SUM(X6:X9,X16:X17,X25:X27)</f>
        <v>213.04255847830615</v>
      </c>
      <c r="Y5" s="80">
        <f t="shared" si="1"/>
        <v>214.13716235827445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56.686707514528031</v>
      </c>
      <c r="C9" s="243">
        <f t="shared" ref="C9:W9" si="2">SUM(C10:C15)</f>
        <v>55.809379859878867</v>
      </c>
      <c r="D9" s="243">
        <f t="shared" si="2"/>
        <v>56.83293885759862</v>
      </c>
      <c r="E9" s="243">
        <f t="shared" si="2"/>
        <v>58.039324577759658</v>
      </c>
      <c r="F9" s="243">
        <f t="shared" si="2"/>
        <v>52.516710047271637</v>
      </c>
      <c r="G9" s="243">
        <f t="shared" si="2"/>
        <v>53.028732696184072</v>
      </c>
      <c r="H9" s="243">
        <f t="shared" si="2"/>
        <v>53.264178146224047</v>
      </c>
      <c r="I9" s="243">
        <f t="shared" si="2"/>
        <v>52.53827970237257</v>
      </c>
      <c r="J9" s="243">
        <f t="shared" si="2"/>
        <v>53.990103105700122</v>
      </c>
      <c r="K9" s="243">
        <f t="shared" si="2"/>
        <v>47.452152675789733</v>
      </c>
      <c r="L9" s="243">
        <f t="shared" si="2"/>
        <v>46.640714299119843</v>
      </c>
      <c r="M9" s="243">
        <f t="shared" si="2"/>
        <v>44.996393446584051</v>
      </c>
      <c r="N9" s="243">
        <f t="shared" si="2"/>
        <v>46.807980299737899</v>
      </c>
      <c r="O9" s="243">
        <f t="shared" si="2"/>
        <v>46.081618219930107</v>
      </c>
      <c r="P9" s="243">
        <f t="shared" si="2"/>
        <v>48.225340124154741</v>
      </c>
      <c r="Q9" s="243">
        <f t="shared" si="2"/>
        <v>48.489698925937411</v>
      </c>
      <c r="R9" s="243">
        <f t="shared" si="2"/>
        <v>47.940105608873672</v>
      </c>
      <c r="S9" s="243">
        <f t="shared" si="2"/>
        <v>48.052065799203518</v>
      </c>
      <c r="T9" s="243">
        <f t="shared" si="2"/>
        <v>47.61376255723431</v>
      </c>
      <c r="U9" s="243">
        <f t="shared" si="2"/>
        <v>47.295453150882459</v>
      </c>
      <c r="V9" s="243">
        <f t="shared" si="2"/>
        <v>46.265906796309373</v>
      </c>
      <c r="W9" s="243">
        <f t="shared" si="2"/>
        <v>45.787472478684769</v>
      </c>
      <c r="X9" s="243">
        <f t="shared" ref="X9:Y9" si="3">SUM(X10:X15)</f>
        <v>46.196159188759687</v>
      </c>
      <c r="Y9" s="243">
        <f t="shared" si="3"/>
        <v>46.640763644448612</v>
      </c>
      <c r="DA9" s="269"/>
    </row>
    <row r="10" spans="1:105" x14ac:dyDescent="0.25">
      <c r="A10" s="253" t="s">
        <v>166</v>
      </c>
      <c r="B10" s="254">
        <v>56.686707514528031</v>
      </c>
      <c r="C10" s="254">
        <v>55.809379859878867</v>
      </c>
      <c r="D10" s="254">
        <v>56.83293885759862</v>
      </c>
      <c r="E10" s="254">
        <v>58.039324577759658</v>
      </c>
      <c r="F10" s="254">
        <v>52.516710047271637</v>
      </c>
      <c r="G10" s="254">
        <v>53.028732696184072</v>
      </c>
      <c r="H10" s="254">
        <v>53.264178146224047</v>
      </c>
      <c r="I10" s="254">
        <v>52.53827970237257</v>
      </c>
      <c r="J10" s="254">
        <v>53.990103105700122</v>
      </c>
      <c r="K10" s="254">
        <v>47.452152675789733</v>
      </c>
      <c r="L10" s="254">
        <v>46.640714299119843</v>
      </c>
      <c r="M10" s="254">
        <v>44.996393446584051</v>
      </c>
      <c r="N10" s="254">
        <v>46.807980299737899</v>
      </c>
      <c r="O10" s="254">
        <v>46.081618219930107</v>
      </c>
      <c r="P10" s="254">
        <v>48.225340124154741</v>
      </c>
      <c r="Q10" s="254">
        <v>48.489698925937411</v>
      </c>
      <c r="R10" s="254">
        <v>47.940105608873672</v>
      </c>
      <c r="S10" s="254">
        <v>48.052065799203518</v>
      </c>
      <c r="T10" s="254">
        <v>47.61376255723431</v>
      </c>
      <c r="U10" s="254">
        <v>47.293965144007053</v>
      </c>
      <c r="V10" s="254">
        <v>46.265906796309373</v>
      </c>
      <c r="W10" s="254">
        <v>45.787472478684769</v>
      </c>
      <c r="X10" s="254">
        <v>46.196159188759687</v>
      </c>
      <c r="Y10" s="254">
        <v>46.640763644448612</v>
      </c>
      <c r="DA10" s="270" t="s">
        <v>1040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1.4880068754066669E-3</v>
      </c>
      <c r="V11" s="255">
        <v>0</v>
      </c>
      <c r="W11" s="255">
        <v>0</v>
      </c>
      <c r="X11" s="255">
        <v>0</v>
      </c>
      <c r="Y11" s="255">
        <v>0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75.267649879629133</v>
      </c>
      <c r="C16" s="257">
        <v>74.102749083037182</v>
      </c>
      <c r="D16" s="257">
        <v>75.461813379579183</v>
      </c>
      <c r="E16" s="257">
        <v>77.063631900818777</v>
      </c>
      <c r="F16" s="257">
        <v>69.73079788864068</v>
      </c>
      <c r="G16" s="257">
        <v>70.410652887432121</v>
      </c>
      <c r="H16" s="257">
        <v>70.723273367194821</v>
      </c>
      <c r="I16" s="257">
        <v>69.759437711261256</v>
      </c>
      <c r="J16" s="257">
        <v>71.687144230125568</v>
      </c>
      <c r="K16" s="257">
        <v>63.006164412013042</v>
      </c>
      <c r="L16" s="257">
        <v>64.879948075785407</v>
      </c>
      <c r="M16" s="257">
        <v>62.685463204382643</v>
      </c>
      <c r="N16" s="257">
        <v>65.641699916909772</v>
      </c>
      <c r="O16" s="257">
        <v>64.680041150609782</v>
      </c>
      <c r="P16" s="257">
        <v>69.085511619833426</v>
      </c>
      <c r="Q16" s="257">
        <v>67.986702751896502</v>
      </c>
      <c r="R16" s="257">
        <v>67.540276606621973</v>
      </c>
      <c r="S16" s="257">
        <v>67.135683578191788</v>
      </c>
      <c r="T16" s="257">
        <v>67.342525084998726</v>
      </c>
      <c r="U16" s="257">
        <v>66.230833995391293</v>
      </c>
      <c r="V16" s="257">
        <v>64.990076070516821</v>
      </c>
      <c r="W16" s="257">
        <v>65.676564495812812</v>
      </c>
      <c r="X16" s="257">
        <v>66.196120739783595</v>
      </c>
      <c r="Y16" s="257">
        <v>66.269040972022069</v>
      </c>
      <c r="DA16" s="272" t="s">
        <v>1046</v>
      </c>
    </row>
    <row r="17" spans="1:105" x14ac:dyDescent="0.25">
      <c r="A17" s="256" t="s">
        <v>121</v>
      </c>
      <c r="B17" s="257">
        <f>SUM(B18:B24)</f>
        <v>114.77984071182607</v>
      </c>
      <c r="C17" s="257">
        <f t="shared" ref="C17:W17" si="4">SUM(C18:C24)</f>
        <v>109.34034680476248</v>
      </c>
      <c r="D17" s="257">
        <f t="shared" si="4"/>
        <v>122.77110948474923</v>
      </c>
      <c r="E17" s="257">
        <f t="shared" si="4"/>
        <v>119.0707406377045</v>
      </c>
      <c r="F17" s="257">
        <f t="shared" si="4"/>
        <v>98.357305612492979</v>
      </c>
      <c r="G17" s="257">
        <f t="shared" si="4"/>
        <v>98.314620441044568</v>
      </c>
      <c r="H17" s="257">
        <f t="shared" si="4"/>
        <v>98.693064040760845</v>
      </c>
      <c r="I17" s="257">
        <f t="shared" si="4"/>
        <v>97.411436114176453</v>
      </c>
      <c r="J17" s="257">
        <f t="shared" si="4"/>
        <v>99.97489023940571</v>
      </c>
      <c r="K17" s="257">
        <f t="shared" si="4"/>
        <v>92.703662504337657</v>
      </c>
      <c r="L17" s="257">
        <f t="shared" si="4"/>
        <v>89.260867110816591</v>
      </c>
      <c r="M17" s="257">
        <f t="shared" si="4"/>
        <v>85.45731039101058</v>
      </c>
      <c r="N17" s="257">
        <f t="shared" si="4"/>
        <v>87.777470504501792</v>
      </c>
      <c r="O17" s="257">
        <f t="shared" si="4"/>
        <v>86.510350336763281</v>
      </c>
      <c r="P17" s="257">
        <f t="shared" si="4"/>
        <v>91.61213441900145</v>
      </c>
      <c r="Q17" s="257">
        <f t="shared" si="4"/>
        <v>90.831654486044897</v>
      </c>
      <c r="R17" s="257">
        <f t="shared" si="4"/>
        <v>88.874542573299408</v>
      </c>
      <c r="S17" s="257">
        <f t="shared" si="4"/>
        <v>89.934675692823376</v>
      </c>
      <c r="T17" s="257">
        <f t="shared" si="4"/>
        <v>90.10592282689862</v>
      </c>
      <c r="U17" s="257">
        <f t="shared" si="4"/>
        <v>89.390352070258373</v>
      </c>
      <c r="V17" s="257">
        <f t="shared" si="4"/>
        <v>87.306947485109617</v>
      </c>
      <c r="W17" s="257">
        <f t="shared" si="4"/>
        <v>87.174333025571528</v>
      </c>
      <c r="X17" s="257">
        <f t="shared" ref="X17:Y17" si="5">SUM(X18:X24)</f>
        <v>87.930142289333375</v>
      </c>
      <c r="Y17" s="257">
        <f t="shared" si="5"/>
        <v>88.493209251052463</v>
      </c>
      <c r="DA17" s="272"/>
    </row>
    <row r="18" spans="1:105" x14ac:dyDescent="0.25">
      <c r="A18" s="61" t="s">
        <v>29</v>
      </c>
      <c r="B18" s="55">
        <v>19.620080290072</v>
      </c>
      <c r="C18" s="55">
        <v>5.653300735875308</v>
      </c>
      <c r="D18" s="55">
        <v>28.06332996014272</v>
      </c>
      <c r="E18" s="55">
        <v>17.92015705267282</v>
      </c>
      <c r="F18" s="55">
        <v>1.906615919940952</v>
      </c>
      <c r="G18" s="55">
        <v>0</v>
      </c>
      <c r="H18" s="55">
        <v>0</v>
      </c>
      <c r="I18" s="55">
        <v>0</v>
      </c>
      <c r="J18" s="55">
        <v>0</v>
      </c>
      <c r="K18" s="55">
        <v>10.557803519794041</v>
      </c>
      <c r="L18" s="55">
        <v>5.3805787196508428</v>
      </c>
      <c r="M18" s="55">
        <v>3.6299366398301158</v>
      </c>
      <c r="N18" s="55">
        <v>1.816005839965247</v>
      </c>
      <c r="O18" s="55">
        <v>1.8281102399605369</v>
      </c>
      <c r="P18" s="55">
        <v>1.8308769598654639</v>
      </c>
      <c r="Q18" s="55">
        <v>0</v>
      </c>
      <c r="R18" s="55">
        <v>0</v>
      </c>
      <c r="S18" s="55">
        <v>0.44890031998800478</v>
      </c>
      <c r="T18" s="55">
        <v>0.30399335999763921</v>
      </c>
      <c r="U18" s="55">
        <v>0.26353007999793582</v>
      </c>
      <c r="V18" s="55">
        <v>0.24485471999804281</v>
      </c>
      <c r="W18" s="55">
        <v>0.1227731999990478</v>
      </c>
      <c r="X18" s="55">
        <v>3.4583999999722483E-2</v>
      </c>
      <c r="Y18" s="55">
        <v>8.3001599999325947E-3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1048</v>
      </c>
    </row>
    <row r="20" spans="1:105" x14ac:dyDescent="0.25">
      <c r="A20" s="61" t="s">
        <v>166</v>
      </c>
      <c r="B20" s="55">
        <v>79.809754981939207</v>
      </c>
      <c r="C20" s="55">
        <v>78.889380629141087</v>
      </c>
      <c r="D20" s="55">
        <v>73.059420365298735</v>
      </c>
      <c r="E20" s="55">
        <v>79.502224425775466</v>
      </c>
      <c r="F20" s="55">
        <v>81.021478853029876</v>
      </c>
      <c r="G20" s="55">
        <v>82.885409601267966</v>
      </c>
      <c r="H20" s="55">
        <v>83.38859320096131</v>
      </c>
      <c r="I20" s="55">
        <v>82.106965274400025</v>
      </c>
      <c r="J20" s="55">
        <v>84.670419399585711</v>
      </c>
      <c r="K20" s="55">
        <v>69.990694424780727</v>
      </c>
      <c r="L20" s="55">
        <v>71.725123831954519</v>
      </c>
      <c r="M20" s="55">
        <v>69.672209191749332</v>
      </c>
      <c r="N20" s="55">
        <v>73.806300104769164</v>
      </c>
      <c r="O20" s="55">
        <v>72.52707553706513</v>
      </c>
      <c r="P20" s="55">
        <v>74.587177020252469</v>
      </c>
      <c r="Q20" s="55">
        <v>75.637574046573491</v>
      </c>
      <c r="R20" s="55">
        <v>76.719378015449735</v>
      </c>
      <c r="S20" s="55">
        <v>75.244577853215915</v>
      </c>
      <c r="T20" s="55">
        <v>75.237557067014095</v>
      </c>
      <c r="U20" s="55">
        <v>74.666690957249131</v>
      </c>
      <c r="V20" s="55">
        <v>73.632156685218916</v>
      </c>
      <c r="W20" s="55">
        <v>73.585624105676928</v>
      </c>
      <c r="X20" s="55">
        <v>73.716082769447425</v>
      </c>
      <c r="Y20" s="55">
        <v>74.330546811167466</v>
      </c>
      <c r="DA20" s="101" t="s">
        <v>1049</v>
      </c>
    </row>
    <row r="21" spans="1:105" x14ac:dyDescent="0.25">
      <c r="A21" s="61" t="s">
        <v>129</v>
      </c>
      <c r="B21" s="55">
        <v>15.35000543981486</v>
      </c>
      <c r="C21" s="55">
        <v>24.79766543974608</v>
      </c>
      <c r="D21" s="55">
        <v>21.64835915930777</v>
      </c>
      <c r="E21" s="55">
        <v>21.64835915925622</v>
      </c>
      <c r="F21" s="55">
        <v>15.42921083952216</v>
      </c>
      <c r="G21" s="55">
        <v>15.4292108397766</v>
      </c>
      <c r="H21" s="55">
        <v>15.30447083979954</v>
      </c>
      <c r="I21" s="55">
        <v>15.30447083977643</v>
      </c>
      <c r="J21" s="55">
        <v>15.30447083982</v>
      </c>
      <c r="K21" s="55">
        <v>12.155164559762889</v>
      </c>
      <c r="L21" s="55">
        <v>12.155164559211229</v>
      </c>
      <c r="M21" s="55">
        <v>12.15516455943113</v>
      </c>
      <c r="N21" s="55">
        <v>12.155164559767391</v>
      </c>
      <c r="O21" s="55">
        <v>12.15516455973761</v>
      </c>
      <c r="P21" s="55">
        <v>15.194080438883519</v>
      </c>
      <c r="Q21" s="55">
        <v>15.194080439471399</v>
      </c>
      <c r="R21" s="55">
        <v>12.15516455784968</v>
      </c>
      <c r="S21" s="55">
        <v>14.24119751961946</v>
      </c>
      <c r="T21" s="55">
        <v>14.56437239988689</v>
      </c>
      <c r="U21" s="55">
        <v>14.457781799886749</v>
      </c>
      <c r="V21" s="55">
        <v>13.42993607989265</v>
      </c>
      <c r="W21" s="55">
        <v>13.46593571989556</v>
      </c>
      <c r="X21" s="55">
        <v>14.179475519886219</v>
      </c>
      <c r="Y21" s="55">
        <v>14.15436227988506</v>
      </c>
      <c r="DA21" s="101" t="s">
        <v>1050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2.3492331245634711E-3</v>
      </c>
      <c r="V22" s="55">
        <v>0</v>
      </c>
      <c r="W22" s="55">
        <v>0</v>
      </c>
      <c r="X22" s="55">
        <v>0</v>
      </c>
      <c r="Y22" s="55">
        <v>0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14.463306184281899</v>
      </c>
      <c r="C25" s="257">
        <v>14.23946078825362</v>
      </c>
      <c r="D25" s="257">
        <v>14.50061631890255</v>
      </c>
      <c r="E25" s="257">
        <v>14.808419096874131</v>
      </c>
      <c r="F25" s="257">
        <v>13.39935393161046</v>
      </c>
      <c r="G25" s="257">
        <v>13.529993735352971</v>
      </c>
      <c r="H25" s="257">
        <v>13.59006636583255</v>
      </c>
      <c r="I25" s="257">
        <v>13.40485731220341</v>
      </c>
      <c r="J25" s="257">
        <v>13.7752821847796</v>
      </c>
      <c r="K25" s="257">
        <v>12.10715956782893</v>
      </c>
      <c r="L25" s="257">
        <v>12.46722271442095</v>
      </c>
      <c r="M25" s="257">
        <v>12.045534158147021</v>
      </c>
      <c r="N25" s="257">
        <v>12.613599678923521</v>
      </c>
      <c r="O25" s="257">
        <v>12.42880893277907</v>
      </c>
      <c r="P25" s="257">
        <v>13.275356797420701</v>
      </c>
      <c r="Q25" s="257">
        <v>13.064211516275449</v>
      </c>
      <c r="R25" s="257">
        <v>12.97842701206813</v>
      </c>
      <c r="S25" s="257">
        <v>12.90068108988816</v>
      </c>
      <c r="T25" s="257">
        <v>12.940427409181391</v>
      </c>
      <c r="U25" s="257">
        <v>12.726806701785261</v>
      </c>
      <c r="V25" s="257">
        <v>12.48838472638503</v>
      </c>
      <c r="W25" s="257">
        <v>12.62029919831156</v>
      </c>
      <c r="X25" s="257">
        <v>12.720136260429509</v>
      </c>
      <c r="Y25" s="257">
        <v>12.734148490751309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1</v>
      </c>
      <c r="D31" s="235">
        <f t="shared" si="6"/>
        <v>1.0000000000000002</v>
      </c>
      <c r="E31" s="235">
        <f t="shared" si="6"/>
        <v>1</v>
      </c>
      <c r="F31" s="235">
        <f t="shared" si="6"/>
        <v>1</v>
      </c>
      <c r="G31" s="235">
        <f t="shared" si="6"/>
        <v>0.99999999999999989</v>
      </c>
      <c r="H31" s="235">
        <f t="shared" si="6"/>
        <v>1</v>
      </c>
      <c r="I31" s="235">
        <f t="shared" si="6"/>
        <v>1.0000000000000002</v>
      </c>
      <c r="J31" s="235">
        <f t="shared" si="6"/>
        <v>1</v>
      </c>
      <c r="K31" s="235">
        <f t="shared" si="6"/>
        <v>1</v>
      </c>
      <c r="L31" s="235">
        <f t="shared" si="6"/>
        <v>1.0000000000000002</v>
      </c>
      <c r="M31" s="235">
        <f t="shared" si="6"/>
        <v>1.0000000000000002</v>
      </c>
      <c r="N31" s="235">
        <f t="shared" si="6"/>
        <v>1</v>
      </c>
      <c r="O31" s="235">
        <f t="shared" si="6"/>
        <v>0.99999999999999989</v>
      </c>
      <c r="P31" s="235">
        <f t="shared" si="6"/>
        <v>1</v>
      </c>
      <c r="Q31" s="235">
        <f t="shared" si="6"/>
        <v>0.99999999999999989</v>
      </c>
      <c r="R31" s="235">
        <f t="shared" ref="R31:W31" si="7">SUM(R32:R40)</f>
        <v>1</v>
      </c>
      <c r="S31" s="235">
        <f t="shared" si="7"/>
        <v>0.99999999999999989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0.21702622185674822</v>
      </c>
      <c r="C35" s="246">
        <f t="shared" si="12"/>
        <v>0.22016234765703471</v>
      </c>
      <c r="D35" s="246">
        <f t="shared" si="12"/>
        <v>0.21083088398324693</v>
      </c>
      <c r="E35" s="246">
        <f t="shared" si="12"/>
        <v>0.21577391610587943</v>
      </c>
      <c r="F35" s="246">
        <f t="shared" si="12"/>
        <v>0.22442638784096283</v>
      </c>
      <c r="G35" s="246">
        <f t="shared" si="12"/>
        <v>0.22538180560629964</v>
      </c>
      <c r="H35" s="246">
        <f t="shared" si="12"/>
        <v>0.22543719879716662</v>
      </c>
      <c r="I35" s="246">
        <f t="shared" si="12"/>
        <v>0.22537589874179478</v>
      </c>
      <c r="J35" s="246">
        <f t="shared" si="12"/>
        <v>0.22549674201817343</v>
      </c>
      <c r="K35" s="246">
        <f t="shared" si="12"/>
        <v>0.22043174818721881</v>
      </c>
      <c r="L35" s="246">
        <f t="shared" si="12"/>
        <v>0.21871506312658562</v>
      </c>
      <c r="M35" s="246">
        <f t="shared" si="12"/>
        <v>0.21929701962865836</v>
      </c>
      <c r="N35" s="246">
        <f t="shared" si="12"/>
        <v>0.21992019954709693</v>
      </c>
      <c r="O35" s="246">
        <f t="shared" si="12"/>
        <v>0.21974934823226322</v>
      </c>
      <c r="P35" s="246">
        <f t="shared" si="12"/>
        <v>0.21703735267164967</v>
      </c>
      <c r="Q35" s="246">
        <f t="shared" si="12"/>
        <v>0.22003539481798495</v>
      </c>
      <c r="R35" s="246">
        <f t="shared" si="12"/>
        <v>0.2205832892726006</v>
      </c>
      <c r="S35" s="246">
        <f t="shared" si="12"/>
        <v>0.22039895975023918</v>
      </c>
      <c r="T35" s="246">
        <f t="shared" si="12"/>
        <v>0.2184091120209832</v>
      </c>
      <c r="U35" s="246">
        <f t="shared" si="12"/>
        <v>0.21932246978096098</v>
      </c>
      <c r="V35" s="246">
        <f t="shared" si="12"/>
        <v>0.21921638715750319</v>
      </c>
      <c r="W35" s="246">
        <f t="shared" si="12"/>
        <v>0.21673653749891053</v>
      </c>
      <c r="X35" s="246">
        <f t="shared" si="12"/>
        <v>0.21684005073316739</v>
      </c>
      <c r="Y35" s="246">
        <f t="shared" si="12"/>
        <v>0.21780789065661385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0.28816374063048183</v>
      </c>
      <c r="C36" s="259">
        <f t="shared" si="13"/>
        <v>0.29232783533741014</v>
      </c>
      <c r="D36" s="259">
        <f t="shared" si="13"/>
        <v>0.27993767596039687</v>
      </c>
      <c r="E36" s="259">
        <f t="shared" si="13"/>
        <v>0.28650095027042272</v>
      </c>
      <c r="F36" s="259">
        <f t="shared" si="13"/>
        <v>0.29798955565437002</v>
      </c>
      <c r="G36" s="259">
        <f t="shared" si="13"/>
        <v>0.29925814317696892</v>
      </c>
      <c r="H36" s="259">
        <f t="shared" si="13"/>
        <v>0.29933169331735798</v>
      </c>
      <c r="I36" s="259">
        <f t="shared" si="13"/>
        <v>0.2992503001423506</v>
      </c>
      <c r="J36" s="259">
        <f t="shared" si="13"/>
        <v>0.29941075379745918</v>
      </c>
      <c r="K36" s="259">
        <f t="shared" si="13"/>
        <v>0.292685540797338</v>
      </c>
      <c r="L36" s="259">
        <f t="shared" si="13"/>
        <v>0.3042453820076419</v>
      </c>
      <c r="M36" s="259">
        <f t="shared" si="13"/>
        <v>0.30550749075216471</v>
      </c>
      <c r="N36" s="259">
        <f t="shared" si="13"/>
        <v>0.30840757605639069</v>
      </c>
      <c r="O36" s="259">
        <f t="shared" si="13"/>
        <v>0.30843962160025079</v>
      </c>
      <c r="P36" s="259">
        <f t="shared" si="13"/>
        <v>0.31091821252754609</v>
      </c>
      <c r="Q36" s="259">
        <f t="shared" si="13"/>
        <v>0.30850843197099376</v>
      </c>
      <c r="R36" s="259">
        <f t="shared" si="13"/>
        <v>0.31076811748850841</v>
      </c>
      <c r="S36" s="259">
        <f t="shared" si="13"/>
        <v>0.30792921337837564</v>
      </c>
      <c r="T36" s="259">
        <f t="shared" si="13"/>
        <v>0.30890692764272271</v>
      </c>
      <c r="U36" s="259">
        <f t="shared" si="13"/>
        <v>0.30713121705761731</v>
      </c>
      <c r="V36" s="259">
        <f t="shared" si="13"/>
        <v>0.30793494959460022</v>
      </c>
      <c r="W36" s="259">
        <f t="shared" si="13"/>
        <v>0.31088222199364413</v>
      </c>
      <c r="X36" s="259">
        <f t="shared" si="13"/>
        <v>0.31071782658169805</v>
      </c>
      <c r="Y36" s="259">
        <f t="shared" si="13"/>
        <v>0.30947006228254231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0.43943697327319342</v>
      </c>
      <c r="C37" s="259">
        <f t="shared" si="14"/>
        <v>0.43133658726562152</v>
      </c>
      <c r="D37" s="259">
        <f t="shared" si="14"/>
        <v>0.4554390826968992</v>
      </c>
      <c r="E37" s="259">
        <f t="shared" si="14"/>
        <v>0.44267158840904475</v>
      </c>
      <c r="F37" s="259">
        <f t="shared" si="14"/>
        <v>0.4203228800226082</v>
      </c>
      <c r="G37" s="259">
        <f t="shared" si="14"/>
        <v>0.41785510507014523</v>
      </c>
      <c r="H37" s="259">
        <f t="shared" si="14"/>
        <v>0.41771202846646682</v>
      </c>
      <c r="I37" s="259">
        <f t="shared" si="14"/>
        <v>0.41787036207373224</v>
      </c>
      <c r="J37" s="259">
        <f t="shared" si="14"/>
        <v>0.41755823263523911</v>
      </c>
      <c r="K37" s="259">
        <f t="shared" si="14"/>
        <v>0.43064074519036527</v>
      </c>
      <c r="L37" s="259">
        <f t="shared" si="14"/>
        <v>0.41857626921559465</v>
      </c>
      <c r="M37" s="259">
        <f t="shared" si="14"/>
        <v>0.41648967925567165</v>
      </c>
      <c r="N37" s="259">
        <f t="shared" si="14"/>
        <v>0.41240913847328597</v>
      </c>
      <c r="O37" s="259">
        <f t="shared" si="14"/>
        <v>0.41254178642594808</v>
      </c>
      <c r="P37" s="259">
        <f t="shared" si="14"/>
        <v>0.41229890915669087</v>
      </c>
      <c r="Q37" s="259">
        <f t="shared" si="14"/>
        <v>0.41217370698329836</v>
      </c>
      <c r="R37" s="259">
        <f t="shared" si="14"/>
        <v>0.40893190960737957</v>
      </c>
      <c r="S37" s="259">
        <f t="shared" si="14"/>
        <v>0.41250066232328231</v>
      </c>
      <c r="T37" s="259">
        <f t="shared" si="14"/>
        <v>0.41332491984429509</v>
      </c>
      <c r="U37" s="259">
        <f t="shared" si="14"/>
        <v>0.41452849025663474</v>
      </c>
      <c r="V37" s="259">
        <f t="shared" si="14"/>
        <v>0.41367639643804227</v>
      </c>
      <c r="W37" s="259">
        <f t="shared" si="14"/>
        <v>0.41264263074435636</v>
      </c>
      <c r="X37" s="259">
        <f t="shared" si="14"/>
        <v>0.41273510287047738</v>
      </c>
      <c r="Y37" s="259">
        <f t="shared" si="14"/>
        <v>0.41325479555479411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5.5373064239576456E-2</v>
      </c>
      <c r="C38" s="259">
        <f t="shared" si="15"/>
        <v>5.6173229739933744E-2</v>
      </c>
      <c r="D38" s="259">
        <f t="shared" si="15"/>
        <v>5.3792357359457102E-2</v>
      </c>
      <c r="E38" s="259">
        <f t="shared" si="15"/>
        <v>5.5053545214653152E-2</v>
      </c>
      <c r="F38" s="259">
        <f t="shared" si="15"/>
        <v>5.7261176482058938E-2</v>
      </c>
      <c r="G38" s="259">
        <f t="shared" si="15"/>
        <v>5.7504946146586113E-2</v>
      </c>
      <c r="H38" s="259">
        <f t="shared" si="15"/>
        <v>5.7519079419008544E-2</v>
      </c>
      <c r="I38" s="259">
        <f t="shared" si="15"/>
        <v>5.7503439042122503E-2</v>
      </c>
      <c r="J38" s="259">
        <f t="shared" si="15"/>
        <v>5.7534271549128303E-2</v>
      </c>
      <c r="K38" s="259">
        <f t="shared" si="15"/>
        <v>5.6241965825077872E-2</v>
      </c>
      <c r="L38" s="259">
        <f t="shared" si="15"/>
        <v>5.8463285650177901E-2</v>
      </c>
      <c r="M38" s="259">
        <f t="shared" si="15"/>
        <v>5.8705810363505431E-2</v>
      </c>
      <c r="N38" s="259">
        <f t="shared" si="15"/>
        <v>5.9263085923226454E-2</v>
      </c>
      <c r="O38" s="259">
        <f t="shared" si="15"/>
        <v>5.9269243741537907E-2</v>
      </c>
      <c r="P38" s="259">
        <f t="shared" si="15"/>
        <v>5.9745525644113409E-2</v>
      </c>
      <c r="Q38" s="259">
        <f t="shared" si="15"/>
        <v>5.9282466227722867E-2</v>
      </c>
      <c r="R38" s="259">
        <f t="shared" si="15"/>
        <v>5.9716683631511468E-2</v>
      </c>
      <c r="S38" s="259">
        <f t="shared" si="15"/>
        <v>5.9171164548102763E-2</v>
      </c>
      <c r="T38" s="259">
        <f t="shared" si="15"/>
        <v>5.9359040491999054E-2</v>
      </c>
      <c r="U38" s="259">
        <f t="shared" si="15"/>
        <v>5.9017822904786965E-2</v>
      </c>
      <c r="V38" s="259">
        <f t="shared" si="15"/>
        <v>5.9172266809854317E-2</v>
      </c>
      <c r="W38" s="259">
        <f t="shared" si="15"/>
        <v>5.9738609763088937E-2</v>
      </c>
      <c r="X38" s="259">
        <f t="shared" si="15"/>
        <v>5.9707019814657286E-2</v>
      </c>
      <c r="Y38" s="259">
        <f t="shared" si="15"/>
        <v>5.9467251506049715E-2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3.1459475713502303</v>
      </c>
      <c r="C44" s="237">
        <f>IF(C$5=0,0,C$5/AGR_fec!C$5)</f>
        <v>3.1035526567249612</v>
      </c>
      <c r="D44" s="237">
        <f>IF(D$5=0,0,D$5/AGR_fec!D$5)</f>
        <v>3.1800623824512995</v>
      </c>
      <c r="E44" s="237">
        <f>IF(E$5=0,0,E$5/AGR_fec!E$5)</f>
        <v>3.1471860412249018</v>
      </c>
      <c r="F44" s="237">
        <f>IF(F$5=0,0,F$5/AGR_fec!F$5)</f>
        <v>3.0956593925232205</v>
      </c>
      <c r="G44" s="237">
        <f>IF(G$5=0,0,G$5/AGR_fec!G$5)</f>
        <v>3.0899829228292277</v>
      </c>
      <c r="H44" s="237">
        <f>IF(H$5=0,0,H$5/AGR_fec!H$5)</f>
        <v>3.0901471935351834</v>
      </c>
      <c r="I44" s="237">
        <f>IF(I$5=0,0,I$5/AGR_fec!I$5)</f>
        <v>3.0899816912103515</v>
      </c>
      <c r="J44" s="237">
        <f>IF(J$5=0,0,J$5/AGR_fec!J$5)</f>
        <v>3.0903083624202359</v>
      </c>
      <c r="K44" s="237">
        <f>IF(K$5=0,0,K$5/AGR_fec!K$5)</f>
        <v>3.1252443110519672</v>
      </c>
      <c r="L44" s="237">
        <f>IF(L$5=0,0,L$5/AGR_fec!L$5)</f>
        <v>3.0085826508701072</v>
      </c>
      <c r="M44" s="237">
        <f>IF(M$5=0,0,M$5/AGR_fec!M$5)</f>
        <v>2.9993427344875605</v>
      </c>
      <c r="N44" s="237">
        <f>IF(N$5=0,0,N$5/AGR_fec!N$5)</f>
        <v>2.978244251453245</v>
      </c>
      <c r="O44" s="237">
        <f>IF(O$5=0,0,O$5/AGR_fec!O$5)</f>
        <v>2.9764981171673908</v>
      </c>
      <c r="P44" s="237">
        <f>IF(P$5=0,0,P$5/AGR_fec!P$5)</f>
        <v>2.9336061599819874</v>
      </c>
      <c r="Q44" s="237">
        <f>IF(Q$5=0,0,Q$5/AGR_fec!Q$5)</f>
        <v>2.9713332913496173</v>
      </c>
      <c r="R44" s="237">
        <f>IF(R$5=0,0,R$5/AGR_fec!R$5)</f>
        <v>2.9616907848521774</v>
      </c>
      <c r="S44" s="237">
        <f>IF(S$5=0,0,S$5/AGR_fec!S$5)</f>
        <v>2.9807195794397865</v>
      </c>
      <c r="T44" s="237">
        <f>IF(T$5=0,0,T$5/AGR_fec!T$5)</f>
        <v>2.919111198450715</v>
      </c>
      <c r="U44" s="237">
        <f>IF(U$5=0,0,U$5/AGR_fec!U$5)</f>
        <v>2.9382761373880184</v>
      </c>
      <c r="V44" s="237">
        <f>IF(V$5=0,0,V$5/AGR_fec!V$5)</f>
        <v>2.928599733405326</v>
      </c>
      <c r="W44" s="237">
        <f>IF(W$5=0,0,W$5/AGR_fec!W$5)</f>
        <v>2.8627570344694968</v>
      </c>
      <c r="X44" s="237">
        <f>IF(X$5=0,0,X$5/AGR_fec!X$5)</f>
        <v>2.8712600560218378</v>
      </c>
      <c r="Y44" s="237">
        <f>IF(Y$5=0,0,Y$5/AGR_fec!Y$5)</f>
        <v>2.8928109929709827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3.102418800000001</v>
      </c>
      <c r="C48" s="252">
        <f>IF(C$9=0,0,C$9/AGR_fec!C$9)</f>
        <v>3.1024187999999993</v>
      </c>
      <c r="D48" s="252">
        <f>IF(D$9=0,0,D$9/AGR_fec!D$9)</f>
        <v>3.1024188000000006</v>
      </c>
      <c r="E48" s="252">
        <f>IF(E$9=0,0,E$9/AGR_fec!E$9)</f>
        <v>3.102418800000001</v>
      </c>
      <c r="F48" s="252">
        <f>IF(F$9=0,0,F$9/AGR_fec!F$9)</f>
        <v>3.1024187999999993</v>
      </c>
      <c r="G48" s="252">
        <f>IF(G$9=0,0,G$9/AGR_fec!G$9)</f>
        <v>3.1024187999999997</v>
      </c>
      <c r="H48" s="252">
        <f>IF(H$9=0,0,H$9/AGR_fec!H$9)</f>
        <v>3.1024188000000001</v>
      </c>
      <c r="I48" s="252">
        <f>IF(I$9=0,0,I$9/AGR_fec!I$9)</f>
        <v>3.1024187999999993</v>
      </c>
      <c r="J48" s="252">
        <f>IF(J$9=0,0,J$9/AGR_fec!J$9)</f>
        <v>3.1024187999999997</v>
      </c>
      <c r="K48" s="252">
        <f>IF(K$9=0,0,K$9/AGR_fec!K$9)</f>
        <v>3.1024188000000001</v>
      </c>
      <c r="L48" s="252">
        <f>IF(L$9=0,0,L$9/AGR_fec!L$9)</f>
        <v>2.9282670113965881</v>
      </c>
      <c r="M48" s="252">
        <f>IF(M$9=0,0,M$9/AGR_fec!M$9)</f>
        <v>2.9229766486079556</v>
      </c>
      <c r="N48" s="252">
        <f>IF(N$9=0,0,N$9/AGR_fec!N$9)</f>
        <v>2.8993559675657394</v>
      </c>
      <c r="O48" s="252">
        <f>IF(O$9=0,0,O$9/AGR_fec!O$9)</f>
        <v>2.8961506130782055</v>
      </c>
      <c r="P48" s="252">
        <f>IF(P$9=0,0,P$9/AGR_fec!P$9)</f>
        <v>2.8230708796286899</v>
      </c>
      <c r="Q48" s="252">
        <f>IF(Q$9=0,0,Q$9/AGR_fec!Q$9)</f>
        <v>2.8998762294281053</v>
      </c>
      <c r="R48" s="252">
        <f>IF(R$9=0,0,R$9/AGR_fec!R$9)</f>
        <v>2.8830567604680035</v>
      </c>
      <c r="S48" s="252">
        <f>IF(S$9=0,0,S$9/AGR_fec!S$9)</f>
        <v>2.9126967606358876</v>
      </c>
      <c r="T48" s="252">
        <f>IF(T$9=0,0,T$9/AGR_fec!T$9)</f>
        <v>2.9060239943231578</v>
      </c>
      <c r="U48" s="252">
        <f>IF(U$9=0,0,U$9/AGR_fec!U$9)</f>
        <v>2.9434129957017166</v>
      </c>
      <c r="V48" s="252">
        <f>IF(V$9=0,0,V$9/AGR_fec!V$9)</f>
        <v>2.9356858550144036</v>
      </c>
      <c r="W48" s="252">
        <f>IF(W$9=0,0,W$9/AGR_fec!W$9)</f>
        <v>2.8842290564050517</v>
      </c>
      <c r="X48" s="252">
        <f>IF(X$9=0,0,X$9/AGR_fec!X$9)</f>
        <v>2.8806915961221549</v>
      </c>
      <c r="Y48" s="252">
        <f>IF(Y$9=0,0,Y$9/AGR_fec!Y$9)</f>
        <v>2.9063742650752369</v>
      </c>
      <c r="DA48" s="289"/>
    </row>
    <row r="49" spans="1:105" x14ac:dyDescent="0.25">
      <c r="A49" s="127" t="s">
        <v>168</v>
      </c>
      <c r="B49" s="264">
        <f>IF(B$16=0,0,B$16/AGR_fec!B$16)</f>
        <v>3.1024187999999997</v>
      </c>
      <c r="C49" s="264">
        <f>IF(C$16=0,0,C$16/AGR_fec!C$16)</f>
        <v>3.1024188000000001</v>
      </c>
      <c r="D49" s="264">
        <f>IF(D$16=0,0,D$16/AGR_fec!D$16)</f>
        <v>3.1024188000000006</v>
      </c>
      <c r="E49" s="264">
        <f>IF(E$16=0,0,E$16/AGR_fec!E$16)</f>
        <v>3.1024187999999997</v>
      </c>
      <c r="F49" s="264">
        <f>IF(F$16=0,0,F$16/AGR_fec!F$16)</f>
        <v>3.1024187999999997</v>
      </c>
      <c r="G49" s="264">
        <f>IF(G$16=0,0,G$16/AGR_fec!G$16)</f>
        <v>3.102418800000001</v>
      </c>
      <c r="H49" s="264">
        <f>IF(H$16=0,0,H$16/AGR_fec!H$16)</f>
        <v>3.1024187999999997</v>
      </c>
      <c r="I49" s="264">
        <f>IF(I$16=0,0,I$16/AGR_fec!I$16)</f>
        <v>3.1024188000000006</v>
      </c>
      <c r="J49" s="264">
        <f>IF(J$16=0,0,J$16/AGR_fec!J$16)</f>
        <v>3.1024188000000006</v>
      </c>
      <c r="K49" s="264">
        <f>IF(K$16=0,0,K$16/AGR_fec!K$16)</f>
        <v>3.1024187999999997</v>
      </c>
      <c r="L49" s="264">
        <f>IF(L$16=0,0,L$16/AGR_fec!L$16)</f>
        <v>3.1024188000000006</v>
      </c>
      <c r="M49" s="264">
        <f>IF(M$16=0,0,M$16/AGR_fec!M$16)</f>
        <v>3.1024188000000001</v>
      </c>
      <c r="N49" s="264">
        <f>IF(N$16=0,0,N$16/AGR_fec!N$16)</f>
        <v>3.1024188000000006</v>
      </c>
      <c r="O49" s="264">
        <f>IF(O$16=0,0,O$16/AGR_fec!O$16)</f>
        <v>3.1024188000000001</v>
      </c>
      <c r="P49" s="264">
        <f>IF(P$16=0,0,P$16/AGR_fec!P$16)</f>
        <v>3.1024188000000001</v>
      </c>
      <c r="Q49" s="264">
        <f>IF(Q$16=0,0,Q$16/AGR_fec!Q$16)</f>
        <v>3.102418800000001</v>
      </c>
      <c r="R49" s="264">
        <f>IF(R$16=0,0,R$16/AGR_fec!R$16)</f>
        <v>3.102418800000001</v>
      </c>
      <c r="S49" s="264">
        <f>IF(S$16=0,0,S$16/AGR_fec!S$16)</f>
        <v>3.1024187999999997</v>
      </c>
      <c r="T49" s="264">
        <f>IF(T$16=0,0,T$16/AGR_fec!T$16)</f>
        <v>3.1024188000000001</v>
      </c>
      <c r="U49" s="264">
        <f>IF(U$16=0,0,U$16/AGR_fec!U$16)</f>
        <v>3.1024187999999997</v>
      </c>
      <c r="V49" s="264">
        <f>IF(V$16=0,0,V$16/AGR_fec!V$16)</f>
        <v>3.1024187999999997</v>
      </c>
      <c r="W49" s="264">
        <f>IF(W$16=0,0,W$16/AGR_fec!W$16)</f>
        <v>3.1024188000000001</v>
      </c>
      <c r="X49" s="264">
        <f>IF(X$16=0,0,X$16/AGR_fec!X$16)</f>
        <v>3.1024188000000006</v>
      </c>
      <c r="Y49" s="264">
        <f>IF(Y$16=0,0,Y$16/AGR_fec!Y$16)</f>
        <v>3.1024188000000006</v>
      </c>
      <c r="DA49" s="290"/>
    </row>
    <row r="50" spans="1:105" x14ac:dyDescent="0.25">
      <c r="A50" s="127" t="s">
        <v>121</v>
      </c>
      <c r="B50" s="264">
        <f>IF(B$17=0,0,B$17/AGR_fec!B$17)</f>
        <v>3.20327978534077</v>
      </c>
      <c r="C50" s="264">
        <f>IF(C$17=0,0,C$17/AGR_fec!C$17)</f>
        <v>3.1050487723966507</v>
      </c>
      <c r="D50" s="264">
        <f>IF(D$17=0,0,D$17/AGR_fec!D$17)</f>
        <v>3.2781583704948951</v>
      </c>
      <c r="E50" s="264">
        <f>IF(E$17=0,0,E$17/AGR_fec!E$17)</f>
        <v>3.2054197364606605</v>
      </c>
      <c r="F50" s="264">
        <f>IF(F$17=0,0,F$17/AGR_fec!F$17)</f>
        <v>3.0863855118465491</v>
      </c>
      <c r="G50" s="264">
        <f>IF(G$17=0,0,G$17/AGR_fec!G$17)</f>
        <v>3.0728228587158597</v>
      </c>
      <c r="H50" s="264">
        <f>IF(H$17=0,0,H$17/AGR_fec!H$17)</f>
        <v>3.073201751371275</v>
      </c>
      <c r="I50" s="264">
        <f>IF(I$17=0,0,I$17/AGR_fec!I$17)</f>
        <v>3.0728210142691563</v>
      </c>
      <c r="J50" s="264">
        <f>IF(J$17=0,0,J$17/AGR_fec!J$17)</f>
        <v>3.0735728741764752</v>
      </c>
      <c r="K50" s="264">
        <f>IF(K$17=0,0,K$17/AGR_fec!K$17)</f>
        <v>3.1559430481743593</v>
      </c>
      <c r="L50" s="264">
        <f>IF(L$17=0,0,L$17/AGR_fec!L$17)</f>
        <v>2.9732673804364453</v>
      </c>
      <c r="M50" s="264">
        <f>IF(M$17=0,0,M$17/AGR_fec!M$17)</f>
        <v>2.9541506149262924</v>
      </c>
      <c r="N50" s="264">
        <f>IF(N$17=0,0,N$17/AGR_fec!N$17)</f>
        <v>2.9164911148640682</v>
      </c>
      <c r="O50" s="264">
        <f>IF(O$17=0,0,O$17/AGR_fec!O$17)</f>
        <v>2.9141379455200962</v>
      </c>
      <c r="P50" s="264">
        <f>IF(P$17=0,0,P$17/AGR_fec!P$17)</f>
        <v>2.852849656922313</v>
      </c>
      <c r="Q50" s="264">
        <f>IF(Q$17=0,0,Q$17/AGR_fec!Q$17)</f>
        <v>2.9001397678187906</v>
      </c>
      <c r="R50" s="264">
        <f>IF(R$17=0,0,R$17/AGR_fec!R$17)</f>
        <v>2.8855589076350703</v>
      </c>
      <c r="S50" s="264">
        <f>IF(S$17=0,0,S$17/AGR_fec!S$17)</f>
        <v>2.9153235179850241</v>
      </c>
      <c r="T50" s="264">
        <f>IF(T$17=0,0,T$17/AGR_fec!T$17)</f>
        <v>2.9090088319212333</v>
      </c>
      <c r="U50" s="264">
        <f>IF(U$17=0,0,U$17/AGR_fec!U$17)</f>
        <v>2.9399398227613656</v>
      </c>
      <c r="V50" s="264">
        <f>IF(V$17=0,0,V$17/AGR_fec!V$17)</f>
        <v>2.933873387549101</v>
      </c>
      <c r="W50" s="264">
        <f>IF(W$17=0,0,W$17/AGR_fec!W$17)</f>
        <v>2.8924380550408588</v>
      </c>
      <c r="X50" s="264">
        <f>IF(X$17=0,0,X$17/AGR_fec!X$17)</f>
        <v>2.8875905313946117</v>
      </c>
      <c r="Y50" s="264">
        <f>IF(Y$17=0,0,Y$17/AGR_fec!Y$17)</f>
        <v>2.908042675246755</v>
      </c>
      <c r="DA50" s="290"/>
    </row>
    <row r="51" spans="1:105" x14ac:dyDescent="0.25">
      <c r="A51" s="127" t="s">
        <v>167</v>
      </c>
      <c r="B51" s="264">
        <f>IF(B$25=0,0,B$25/AGR_fec!B$25)</f>
        <v>3.1024188000000001</v>
      </c>
      <c r="C51" s="264">
        <f>IF(C$25=0,0,C$25/AGR_fec!C$25)</f>
        <v>3.1024187999999993</v>
      </c>
      <c r="D51" s="264">
        <f>IF(D$25=0,0,D$25/AGR_fec!D$25)</f>
        <v>3.1024187999999993</v>
      </c>
      <c r="E51" s="264">
        <f>IF(E$25=0,0,E$25/AGR_fec!E$25)</f>
        <v>3.1024187999999993</v>
      </c>
      <c r="F51" s="264">
        <f>IF(F$25=0,0,F$25/AGR_fec!F$25)</f>
        <v>3.102418800000001</v>
      </c>
      <c r="G51" s="264">
        <f>IF(G$25=0,0,G$25/AGR_fec!G$25)</f>
        <v>3.1024188000000001</v>
      </c>
      <c r="H51" s="264">
        <f>IF(H$25=0,0,H$25/AGR_fec!H$25)</f>
        <v>3.1024188000000001</v>
      </c>
      <c r="I51" s="264">
        <f>IF(I$25=0,0,I$25/AGR_fec!I$25)</f>
        <v>3.1024187999999993</v>
      </c>
      <c r="J51" s="264">
        <f>IF(J$25=0,0,J$25/AGR_fec!J$25)</f>
        <v>3.1024188000000006</v>
      </c>
      <c r="K51" s="264">
        <f>IF(K$25=0,0,K$25/AGR_fec!K$25)</f>
        <v>3.1024187999999993</v>
      </c>
      <c r="L51" s="264">
        <f>IF(L$25=0,0,L$25/AGR_fec!L$25)</f>
        <v>3.1024187999999988</v>
      </c>
      <c r="M51" s="264">
        <f>IF(M$25=0,0,M$25/AGR_fec!M$25)</f>
        <v>3.102418800000001</v>
      </c>
      <c r="N51" s="264">
        <f>IF(N$25=0,0,N$25/AGR_fec!N$25)</f>
        <v>3.1024188000000006</v>
      </c>
      <c r="O51" s="264">
        <f>IF(O$25=0,0,O$25/AGR_fec!O$25)</f>
        <v>3.1024187999999997</v>
      </c>
      <c r="P51" s="264">
        <f>IF(P$25=0,0,P$25/AGR_fec!P$25)</f>
        <v>3.102418800000001</v>
      </c>
      <c r="Q51" s="264">
        <f>IF(Q$25=0,0,Q$25/AGR_fec!Q$25)</f>
        <v>3.1024187999999988</v>
      </c>
      <c r="R51" s="264">
        <f>IF(R$25=0,0,R$25/AGR_fec!R$25)</f>
        <v>3.1024187999999993</v>
      </c>
      <c r="S51" s="264">
        <f>IF(S$25=0,0,S$25/AGR_fec!S$25)</f>
        <v>3.1024188000000006</v>
      </c>
      <c r="T51" s="264">
        <f>IF(T$25=0,0,T$25/AGR_fec!T$25)</f>
        <v>3.1024188000000006</v>
      </c>
      <c r="U51" s="264">
        <f>IF(U$25=0,0,U$25/AGR_fec!U$25)</f>
        <v>3.1024187999999997</v>
      </c>
      <c r="V51" s="264">
        <f>IF(V$25=0,0,V$25/AGR_fec!V$25)</f>
        <v>3.1024187999999993</v>
      </c>
      <c r="W51" s="264">
        <f>IF(W$25=0,0,W$25/AGR_fec!W$25)</f>
        <v>3.102418800000001</v>
      </c>
      <c r="X51" s="264">
        <f>IF(X$25=0,0,X$25/AGR_fec!X$25)</f>
        <v>3.1024188000000001</v>
      </c>
      <c r="Y51" s="264">
        <f>IF(Y$25=0,0,Y$25/AGR_fec!Y$25)</f>
        <v>3.1024187999999997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2025-11-06T10:31:24Z</dcterms:created>
  <dcterms:modified xsi:type="dcterms:W3CDTF">2025-11-06T10:31:25Z</dcterms:modified>
</cp:coreProperties>
</file>