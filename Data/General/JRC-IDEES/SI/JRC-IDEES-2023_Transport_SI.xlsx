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I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X27" i="9"/>
  <c r="Y40" i="3"/>
  <c r="X2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Y44" i="12"/>
  <c r="X54" i="3"/>
  <c r="Y53" i="3"/>
  <c r="X53" i="3"/>
  <c r="Y45" i="3"/>
  <c r="X45" i="3"/>
  <c r="X48" i="13"/>
  <c r="X83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4" i="3"/>
  <c r="Y76" i="3"/>
  <c r="X76" i="3"/>
  <c r="Y44" i="3"/>
  <c r="X44" i="3"/>
  <c r="Y42" i="3"/>
  <c r="Y31" i="3"/>
  <c r="Y30" i="3"/>
  <c r="Y25" i="3"/>
  <c r="Y10" i="3"/>
  <c r="X41" i="12" l="1"/>
  <c r="X5" i="9"/>
  <c r="X23" i="10" s="1"/>
  <c r="X35" i="12"/>
  <c r="Y55" i="3"/>
  <c r="Y207" i="3" s="1"/>
  <c r="X90" i="8"/>
  <c r="X75" i="3"/>
  <c r="X227" i="3" s="1"/>
  <c r="X29" i="9"/>
  <c r="Y57" i="8"/>
  <c r="Y79" i="8" s="1"/>
  <c r="Y15" i="14"/>
  <c r="Y21" i="14" s="1"/>
  <c r="Y29" i="9"/>
  <c r="X91" i="8"/>
  <c r="Y54" i="3"/>
  <c r="Y206" i="3" s="1"/>
  <c r="Y91" i="8"/>
  <c r="X31" i="9"/>
  <c r="X55" i="3"/>
  <c r="X207" i="3" s="1"/>
  <c r="Y53" i="9"/>
  <c r="Y75" i="3"/>
  <c r="Y43" i="9"/>
  <c r="Y41" i="12"/>
  <c r="X46" i="3"/>
  <c r="X43" i="3" s="1"/>
  <c r="X4" i="12"/>
  <c r="Y69" i="11"/>
  <c r="X19" i="12"/>
  <c r="X69" i="12" s="1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0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89" i="3" s="1"/>
  <c r="X181" i="3" s="1"/>
  <c r="Y39" i="13"/>
  <c r="Y79" i="11"/>
  <c r="X57" i="8"/>
  <c r="X79" i="8" s="1"/>
  <c r="X7" i="15"/>
  <c r="X21" i="15" s="1"/>
  <c r="X13" i="14"/>
  <c r="X19" i="14" s="1"/>
  <c r="Y15" i="3"/>
  <c r="Y197" i="3" s="1"/>
  <c r="X23" i="3"/>
  <c r="X205" i="3" s="1"/>
  <c r="X14" i="20"/>
  <c r="Y15" i="18"/>
  <c r="Y29" i="13"/>
  <c r="X18" i="11"/>
  <c r="X120" i="11" s="1"/>
  <c r="X243" i="3"/>
  <c r="X237" i="3"/>
  <c r="Y194" i="3"/>
  <c r="Y19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20" i="19" s="1"/>
  <c r="Y10" i="19"/>
  <c r="Y3" i="19" s="1"/>
  <c r="Y28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10" i="17"/>
  <c r="Y23" i="15"/>
  <c r="Y21" i="15"/>
  <c r="Y162" i="3"/>
  <c r="X43" i="13"/>
  <c r="X33" i="13"/>
  <c r="X23" i="13"/>
  <c r="X6" i="13"/>
  <c r="X4" i="13"/>
  <c r="X74" i="3"/>
  <c r="X10" i="20"/>
  <c r="X25" i="19"/>
  <c r="X21" i="19"/>
  <c r="X61" i="3"/>
  <c r="X22" i="15"/>
  <c r="X3" i="18"/>
  <c r="X18" i="18" s="1"/>
  <c r="X30" i="3"/>
  <c r="X14" i="18"/>
  <c r="X18" i="20"/>
  <c r="X14" i="14"/>
  <c r="X20" i="14" s="1"/>
  <c r="X4" i="14"/>
  <c r="Y91" i="3"/>
  <c r="Y243" i="3" s="1"/>
  <c r="Y19" i="20"/>
  <c r="Y11" i="20"/>
  <c r="Y3" i="20"/>
  <c r="Y23" i="20" s="1"/>
  <c r="Y15" i="20"/>
  <c r="Y28" i="11"/>
  <c r="Y80" i="11" s="1"/>
  <c r="Y101" i="11"/>
  <c r="X4" i="10"/>
  <c r="Y18" i="15"/>
  <c r="X7" i="18"/>
  <c r="X110" i="11"/>
  <c r="X111" i="11"/>
  <c r="Y120" i="11"/>
  <c r="Y123" i="11"/>
  <c r="Y121" i="11"/>
  <c r="Y28" i="3"/>
  <c r="Y84" i="3"/>
  <c r="Y192" i="3"/>
  <c r="Y237" i="3"/>
  <c r="Y242" i="3"/>
  <c r="X23" i="20"/>
  <c r="Y19" i="18"/>
  <c r="X19" i="17"/>
  <c r="X11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Y13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25" i="14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22" i="18"/>
  <c r="Y18" i="18"/>
  <c r="X3" i="15"/>
  <c r="X23" i="15"/>
  <c r="X15" i="15"/>
  <c r="X37" i="13"/>
  <c r="X27" i="13"/>
  <c r="X10" i="13"/>
  <c r="X30" i="12"/>
  <c r="X20" i="12"/>
  <c r="X70" i="12" s="1"/>
  <c r="X5" i="12"/>
  <c r="X19" i="13" s="1"/>
  <c r="X40" i="12"/>
  <c r="X117" i="11"/>
  <c r="X11" i="10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9" i="10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122" i="11" l="1"/>
  <c r="Y3" i="16"/>
  <c r="Y19" i="16" s="1"/>
  <c r="X21" i="20"/>
  <c r="Y52" i="3"/>
  <c r="Y204" i="3" s="1"/>
  <c r="X3" i="16"/>
  <c r="X28" i="16" s="1"/>
  <c r="Y3" i="12"/>
  <c r="Y47" i="12" s="1"/>
  <c r="Y13" i="15"/>
  <c r="X96" i="8"/>
  <c r="X3" i="19"/>
  <c r="X29" i="19" s="1"/>
  <c r="X24" i="19"/>
  <c r="Y17" i="15"/>
  <c r="X4" i="8"/>
  <c r="X108" i="8" s="1"/>
  <c r="Y26" i="14"/>
  <c r="X36" i="8"/>
  <c r="X80" i="11"/>
  <c r="Y25" i="19"/>
  <c r="X60" i="3"/>
  <c r="X59" i="3" s="1"/>
  <c r="X153" i="3" s="1"/>
  <c r="X192" i="3"/>
  <c r="X22" i="3"/>
  <c r="Y227" i="3"/>
  <c r="X9" i="20"/>
  <c r="X86" i="3"/>
  <c r="Y20" i="16"/>
  <c r="Y57" i="3"/>
  <c r="Y209" i="3" s="1"/>
  <c r="Y27" i="14"/>
  <c r="Y73" i="3"/>
  <c r="X198" i="3"/>
  <c r="X52" i="3"/>
  <c r="X43" i="11"/>
  <c r="X116" i="11"/>
  <c r="Y25" i="14"/>
  <c r="X235" i="3"/>
  <c r="X4" i="9"/>
  <c r="X22" i="10" s="1"/>
  <c r="Y36" i="8"/>
  <c r="X41" i="9"/>
  <c r="X25" i="8"/>
  <c r="Y22" i="13"/>
  <c r="X112" i="8"/>
  <c r="X233" i="3"/>
  <c r="X22" i="17"/>
  <c r="X13" i="20"/>
  <c r="X44" i="10"/>
  <c r="X118" i="11"/>
  <c r="Y13" i="3"/>
  <c r="X100" i="8"/>
  <c r="Y198" i="3"/>
  <c r="X111" i="8"/>
  <c r="X76" i="11"/>
  <c r="X41" i="3"/>
  <c r="X193" i="3" s="1"/>
  <c r="X11" i="9"/>
  <c r="X46" i="9" s="1"/>
  <c r="X113" i="8"/>
  <c r="Y21" i="18"/>
  <c r="X13" i="11"/>
  <c r="X224" i="3"/>
  <c r="Y111" i="11"/>
  <c r="Y42" i="13"/>
  <c r="Y12" i="14"/>
  <c r="Y18" i="14" s="1"/>
  <c r="X183" i="3"/>
  <c r="X182" i="3"/>
  <c r="X13" i="3"/>
  <c r="X195" i="3" s="1"/>
  <c r="X37" i="9"/>
  <c r="X3" i="12"/>
  <c r="X51" i="12" s="1"/>
  <c r="Y23" i="10"/>
  <c r="Y22" i="10"/>
  <c r="Y117" i="11"/>
  <c r="Y29" i="19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56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Y50" i="12"/>
  <c r="Y54" i="12"/>
  <c r="X70" i="11"/>
  <c r="X100" i="11"/>
  <c r="Y19" i="13"/>
  <c r="Y27" i="16"/>
  <c r="Y28" i="16"/>
  <c r="X85" i="8"/>
  <c r="X15" i="8"/>
  <c r="X49" i="10"/>
  <c r="X8" i="10"/>
  <c r="X60" i="10" s="1"/>
  <c r="Y44" i="10"/>
  <c r="Y55" i="10"/>
  <c r="Y33" i="10"/>
  <c r="Y81" i="3"/>
  <c r="X106" i="8"/>
  <c r="X9" i="17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52" i="12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Y27" i="19"/>
  <c r="Y23" i="19"/>
  <c r="Y19" i="19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38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9" i="20"/>
  <c r="Y22" i="20"/>
  <c r="Y13" i="17"/>
  <c r="Y21" i="17"/>
  <c r="Y17" i="17"/>
  <c r="Y9" i="17"/>
  <c r="X33" i="10"/>
  <c r="Y82" i="3"/>
  <c r="Y234" i="3" s="1"/>
  <c r="Y26" i="8"/>
  <c r="X56" i="8"/>
  <c r="X78" i="8" s="1"/>
  <c r="Y110" i="11"/>
  <c r="Y90" i="11"/>
  <c r="X21" i="18"/>
  <c r="X22" i="18"/>
  <c r="Y86" i="3"/>
  <c r="Y22" i="17"/>
  <c r="Y53" i="12"/>
  <c r="Y49" i="12"/>
  <c r="X23" i="18"/>
  <c r="X28" i="19"/>
  <c r="Y48" i="12" l="1"/>
  <c r="X27" i="16"/>
  <c r="X212" i="3"/>
  <c r="Y51" i="12"/>
  <c r="X23" i="16"/>
  <c r="Y23" i="16"/>
  <c r="Y55" i="12"/>
  <c r="Y17" i="12"/>
  <c r="Y67" i="12" s="1"/>
  <c r="X38" i="10"/>
  <c r="X19" i="19"/>
  <c r="X27" i="19"/>
  <c r="X23" i="19"/>
  <c r="X109" i="8"/>
  <c r="X105" i="8"/>
  <c r="X19" i="16"/>
  <c r="Y225" i="3"/>
  <c r="X204" i="3"/>
  <c r="X234" i="3"/>
  <c r="X110" i="8"/>
  <c r="Y195" i="3"/>
  <c r="X107" i="8"/>
  <c r="X94" i="8"/>
  <c r="Y56" i="3"/>
  <c r="Y208" i="3" s="1"/>
  <c r="X95" i="11"/>
  <c r="Y24" i="14"/>
  <c r="Y37" i="12"/>
  <c r="X24" i="9"/>
  <c r="X10" i="9"/>
  <c r="X57" i="9" s="1"/>
  <c r="X35" i="9"/>
  <c r="X49" i="12"/>
  <c r="X209" i="3"/>
  <c r="X39" i="3"/>
  <c r="X62" i="10"/>
  <c r="X225" i="3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191" i="3"/>
  <c r="X211" i="3"/>
  <c r="X151" i="3"/>
  <c r="X58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63" i="9" l="1"/>
  <c r="X45" i="9"/>
  <c r="X62" i="9"/>
  <c r="X64" i="9"/>
  <c r="X61" i="9"/>
  <c r="X56" i="9"/>
  <c r="X60" i="9"/>
  <c r="X65" i="9"/>
  <c r="X59" i="9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6" i="1"/>
  <c r="B24" i="1"/>
  <c r="S242" i="3" l="1"/>
  <c r="C242" i="3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8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L10" i="20"/>
  <c r="Q14" i="20"/>
  <c r="Q3" i="20"/>
  <c r="Q22" i="20" s="1"/>
  <c r="C19" i="20"/>
  <c r="E14" i="18"/>
  <c r="M14" i="18"/>
  <c r="E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M22" i="20" l="1"/>
  <c r="R25" i="19"/>
  <c r="L20" i="19"/>
  <c r="E13" i="18"/>
  <c r="Q21" i="19"/>
  <c r="Q25" i="19"/>
  <c r="J11" i="20"/>
  <c r="U19" i="18"/>
  <c r="N29" i="3"/>
  <c r="N241" i="3" s="1"/>
  <c r="W23" i="20"/>
  <c r="N13" i="20"/>
  <c r="F20" i="19"/>
  <c r="F24" i="19"/>
  <c r="I21" i="18"/>
  <c r="M23" i="20"/>
  <c r="P10" i="20"/>
  <c r="W24" i="19"/>
  <c r="R21" i="19"/>
  <c r="G18" i="18"/>
  <c r="H25" i="19"/>
  <c r="H20" i="19"/>
  <c r="F18" i="18"/>
  <c r="K23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U121" i="3" l="1"/>
  <c r="E27" i="19"/>
  <c r="N9" i="20"/>
  <c r="H23" i="19"/>
  <c r="N19" i="19"/>
  <c r="N27" i="19"/>
  <c r="E23" i="19"/>
  <c r="U122" i="3"/>
  <c r="Q9" i="20"/>
  <c r="W9" i="20"/>
  <c r="M28" i="19"/>
  <c r="M29" i="19"/>
  <c r="M9" i="20"/>
  <c r="N29" i="19"/>
  <c r="M23" i="19"/>
  <c r="M19" i="19"/>
  <c r="W29" i="19"/>
  <c r="H27" i="19"/>
  <c r="Q23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63" i="9" s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1" i="9"/>
  <c r="W62" i="9"/>
  <c r="W59" i="9"/>
  <c r="W65" i="9"/>
  <c r="W193" i="3"/>
  <c r="W57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64" i="9" l="1"/>
  <c r="W52" i="12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22" i="1"/>
  <c r="B4" i="1"/>
  <c r="B18" i="1"/>
  <c r="B12" i="1"/>
  <c r="B13" i="1"/>
  <c r="B16" i="1"/>
  <c r="B11" i="1"/>
  <c r="B20" i="1"/>
  <c r="B7" i="1"/>
  <c r="B8" i="1"/>
  <c r="B9" i="1"/>
  <c r="B21" i="1"/>
  <c r="B15" i="1"/>
  <c r="B6" i="1"/>
  <c r="B17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 l="1"/>
  <c r="J10" i="6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N58" i="4" l="1"/>
  <c r="R16" i="7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P8" i="3"/>
  <c r="O180" i="4"/>
  <c r="P208" i="4"/>
  <c r="P206" i="4"/>
  <c r="P102" i="5"/>
  <c r="P209" i="4"/>
  <c r="P96" i="6"/>
  <c r="P150" i="4" l="1"/>
  <c r="O179" i="4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 s="1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 s="1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 s="1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 s="1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 s="1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 s="1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<sst xmlns="http://schemas.openxmlformats.org/spreadsheetml/2006/main" count="2657" uniqueCount="1169">
  <si>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</si>
  <si>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</si>
  <si>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</si>
  <si>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</si>
  <si>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</si>
  <si>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</si>
  <si>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</si>
  <si>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</si>
  <si>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</si>
  <si>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</si>
  <si>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</si>
  <si>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</si>
  <si>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</si>
  <si>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</si>
  <si>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</si>
  <si>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</si>
  <si>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</si>
  <si>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</si>
  <si>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</si>
  <si>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</si>
  <si>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</si>
  <si>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</si>
  <si>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</si>
  <si>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</si>
  <si>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</si>
  <si>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</si>
  <si>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</si>
  <si>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</si>
  <si>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</si>
  <si>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</si>
  <si>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</si>
  <si>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</si>
  <si>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</si>
  <si>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</si>
  <si>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</si>
  <si>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</si>
  <si>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</si>
  <si>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</si>
  <si>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</si>
  <si>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</si>
  <si>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</si>
  <si>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</si>
  <si>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</si>
  <si>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</si>
  <si>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</si>
  <si>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</si>
  <si>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</si>
  <si>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</si>
  <si>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</si>
  <si>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</si>
  <si>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</si>
  <si>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</si>
  <si>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</si>
  <si>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</si>
  <si>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</si>
  <si>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</si>
  <si>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</si>
  <si>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</si>
  <si>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</si>
  <si>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</si>
  <si>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</si>
  <si>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</si>
  <si>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</si>
  <si>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</si>
  <si>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</si>
  <si>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</si>
  <si>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</si>
  <si>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</si>
  <si>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</si>
  <si>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</si>
  <si>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</si>
  <si>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</si>
  <si>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</si>
  <si>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</si>
  <si>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</si>
  <si>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</si>
  <si>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</si>
  <si>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</si>
  <si>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</si>
  <si>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</si>
  <si>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</si>
  <si>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</si>
  <si>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</si>
  <si>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</si>
  <si>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</si>
  <si>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</si>
  <si>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</si>
  <si>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</si>
  <si>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</si>
  <si>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</si>
  <si>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</si>
  <si>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</si>
  <si>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</si>
  <si>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</si>
  <si>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</si>
  <si>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</si>
  <si>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</si>
  <si>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</si>
  <si>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</si>
  <si>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</si>
  <si>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</si>
  <si>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</si>
  <si>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</si>
  <si>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</si>
  <si>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</si>
  <si>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</si>
  <si>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</si>
  <si>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</si>
  <si>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</si>
  <si>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</si>
  <si>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</si>
  <si>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</si>
  <si>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</si>
  <si>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</si>
  <si>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</si>
  <si>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</si>
  <si>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</si>
  <si>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</si>
  <si>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</si>
  <si>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</si>
  <si>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</si>
  <si>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</si>
  <si>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</si>
  <si>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</si>
  <si>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</si>
  <si>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</si>
  <si>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</si>
  <si>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</si>
  <si>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</si>
  <si>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</si>
  <si>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</si>
  <si>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</si>
  <si>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</si>
  <si>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</si>
  <si>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</si>
  <si>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</si>
  <si>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</si>
  <si>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</si>
  <si>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</si>
  <si>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</si>
  <si>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</si>
  <si>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</si>
  <si>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</si>
  <si>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</si>
  <si>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</si>
  <si>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</si>
  <si>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</si>
  <si>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</si>
  <si>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</si>
  <si>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</si>
  <si>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</si>
  <si>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</si>
  <si>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</si>
  <si>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</si>
  <si>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</si>
  <si>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</si>
  <si>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</si>
  <si>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</si>
  <si>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</si>
  <si>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</si>
  <si>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</si>
  <si>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</si>
  <si>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</si>
  <si>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</si>
  <si>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</si>
  <si>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</si>
  <si>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</si>
  <si>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</si>
  <si>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</si>
  <si>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</si>
  <si>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</si>
  <si>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</si>
  <si>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</si>
  <si>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</si>
  <si>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</si>
  <si>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</si>
  <si>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</si>
  <si>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</si>
  <si>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</si>
  <si>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</si>
  <si>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</si>
  <si>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</si>
  <si>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</si>
  <si>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</si>
  <si>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</si>
  <si>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</si>
  <si>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</si>
  <si>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SI</t>
  </si>
  <si>
    <t>Slovenia</t>
  </si>
  <si>
    <t>Aviation - SI - Slovenia</t>
  </si>
  <si>
    <t>Activity.Mpkm.SI.Tr.Avia.Passenger</t>
  </si>
  <si>
    <t>Activity.Mpkm.SI.Tr.Avia.Passenger.Domestic</t>
  </si>
  <si>
    <t>Activity.Mpkm.SI.Tr.Avia.Passenger.IntraEEAwCHUK</t>
  </si>
  <si>
    <t>Activity.Mpkm.SI.Tr.Avia.Passenger.ExtraEEAwCHUK</t>
  </si>
  <si>
    <t>Activity.Mtkm.SI.Tr.Avia.Freight</t>
  </si>
  <si>
    <t>Activity.Mtkm.SI.Tr.Avia.Freight.Domestic</t>
  </si>
  <si>
    <t>Activity.Mtkm.SI.Tr.Avia.Freight.IntraEEAwCHUK</t>
  </si>
  <si>
    <t>Activity.Mtkm.SI.Tr.Avia.Freight.ExtraEEAwCHUK</t>
  </si>
  <si>
    <t>VehicleKm.Mkm.SI.Tr.Avia</t>
  </si>
  <si>
    <t>VehicleKm.Mkm.SI.Tr.Avia.Passenger</t>
  </si>
  <si>
    <t>VehicleKm.Mkm.SI.Tr.Avia.Passenger.Domestic</t>
  </si>
  <si>
    <t>VehicleKm.Mkm.SI.Tr.Avia.Passenger.IntraEEAwCHUK</t>
  </si>
  <si>
    <t>VehicleKm.Mkm.SI.Tr.Avia.Passenger.ExtraEEAwCHUK</t>
  </si>
  <si>
    <t>VehicleKm.Mkm.SI.Tr.Avia.Freight</t>
  </si>
  <si>
    <t>VehicleKm.Mkm.SI.Tr.Avia.Freight.Domestic</t>
  </si>
  <si>
    <t>VehicleKm.Mkm.SI.Tr.Avia.Freight.IntraEEAwCHUK</t>
  </si>
  <si>
    <t>VehicleKm.Mkm.SI.Tr.Avia.Freight.ExtraEEAwCHUK</t>
  </si>
  <si>
    <t>Flights.number.SI.Tr.Avia</t>
  </si>
  <si>
    <t>Flights.number.SI.Tr.Avia.Passenger</t>
  </si>
  <si>
    <t>Flights.number.SI.Tr.Avia.Passenger.Domestic</t>
  </si>
  <si>
    <t>Flights.number.SI.Tr.Avia.Passenger.IntraEEAwCHUK</t>
  </si>
  <si>
    <t>Flights.number.SI.Tr.Avia.Passenger.ExtraEEAwCHUK</t>
  </si>
  <si>
    <t>Flights.number.SI.Tr.Avia.Freight</t>
  </si>
  <si>
    <t>Flights.number.SI.Tr.Avia.Freight.Domestic</t>
  </si>
  <si>
    <t>Flights.number.SI.Tr.Avia.Freight.IntraEEAwCHUK</t>
  </si>
  <si>
    <t>Flights.number.SI.Tr.Avia.Freight.ExtraEEAwCHUK</t>
  </si>
  <si>
    <t>VolCarried.passenger.SI.Tr.Avia.Passenger</t>
  </si>
  <si>
    <t>VolCarried.passenger.SI.Tr.Avia.Passenger.Domestic</t>
  </si>
  <si>
    <t>VolCarried.passenger.SI.Tr.Avia.Passenger.IntraEEAwCHUK</t>
  </si>
  <si>
    <t>VolCarried.passenger.SI.Tr.Avia.Passenger.ExtraEEAwCHUK</t>
  </si>
  <si>
    <t>VolCarried.t.SI.Tr.Avia.Freight</t>
  </si>
  <si>
    <t>VolCarried.t.SI.Tr.Avia.Freight.Domestic</t>
  </si>
  <si>
    <t>VolCarried.t.SI.Tr.Avia.Freight.IntraEEAwCHUK</t>
  </si>
  <si>
    <t>VolCarried.t.SI.Tr.Avia.Freight.ExtraEEAwCHUK</t>
  </si>
  <si>
    <t>Stock.number.SI.Tr.Avia</t>
  </si>
  <si>
    <t>Stock.number.SI.Tr.Avia.Passenger</t>
  </si>
  <si>
    <t>Stock.number.SI.Tr.Avia.Passenger.Domestic</t>
  </si>
  <si>
    <t>Stock.number.SI.Tr.Avia.Passenger.IntraEEAwCHUK</t>
  </si>
  <si>
    <t>Stock.number.SI.Tr.Avia.Passenger.ExtraEEAwCHUK</t>
  </si>
  <si>
    <t>Stock.number.SI.Tr.Avia.Freight</t>
  </si>
  <si>
    <t>Stock.number.SI.Tr.Avia.Freight.Domestic</t>
  </si>
  <si>
    <t>Stock.number.SI.Tr.Avia.Freight.IntraEEAwCHUK</t>
  </si>
  <si>
    <t>Stock.number.SI.Tr.Avia.Freight.ExtraEEAwCHUK</t>
  </si>
  <si>
    <t>StockNew.number.SI.Tr.Avia</t>
  </si>
  <si>
    <t>StockNew.number.SI.Tr.Avia.Passenger</t>
  </si>
  <si>
    <t>StockNew.number.SI.Tr.Avia.Passenger.Domestic</t>
  </si>
  <si>
    <t>StockNew.number.SI.Tr.Avia.Passenger.IntraEEAwCHUK</t>
  </si>
  <si>
    <t>StockNew.number.SI.Tr.Avia.Passenger.ExtraEEAwCHUK</t>
  </si>
  <si>
    <t>StockNew.number.SI.Tr.Avia.Freight</t>
  </si>
  <si>
    <t>StockNew.number.SI.Tr.Avia.Freight.Domestic</t>
  </si>
  <si>
    <t>StockNew.number.SI.Tr.Avia.Freight.IntraEEAwCHUK</t>
  </si>
  <si>
    <t>StockNew.number.SI.Tr.Avia.Freight.ExtraEEAwCHUK</t>
  </si>
  <si>
    <t>Load.passenger_per_movement.SI.Tr.Avia.Passenger</t>
  </si>
  <si>
    <t>Load.passenger_per_movement.SI.Tr.Avia.Passenger.Domestic</t>
  </si>
  <si>
    <t>Load.passenger_per_movement.SI.Tr.Avia.Passenger.IntraEEAwCHUK</t>
  </si>
  <si>
    <t>Load.passenger_per_movement.SI.Tr.Avia.Passenger.ExtraEEAwCHUK</t>
  </si>
  <si>
    <t>Load.t_per_movement.SI.Tr.Avia.Freight</t>
  </si>
  <si>
    <t>Load.t_per_movement.SI.Tr.Avia.Freight.Domestic</t>
  </si>
  <si>
    <t>Load.t_per_movement.SI.Tr.Avia.Freight.IntraEEAwCHUK</t>
  </si>
  <si>
    <t>Load.t_per_movement.SI.Tr.Avia.Freight.ExtraEEAwCHUK</t>
  </si>
  <si>
    <t>VehicleKm_per_flight.km.SI.Tr.Avia</t>
  </si>
  <si>
    <t>VehicleKm_per_flight.km.SI.Tr.Avia.Passenger</t>
  </si>
  <si>
    <t>VehicleKm_per_flight.km.SI.Tr.Avia.Passenger.Domestic</t>
  </si>
  <si>
    <t>VehicleKm_per_flight.km.SI.Tr.Avia.Passenger.IntraEEAwCHUK</t>
  </si>
  <si>
    <t>VehicleKm_per_flight.km.SI.Tr.Avia.Passenger.ExtraEEAwCHUK</t>
  </si>
  <si>
    <t>VehicleKm_per_flight.km.SI.Tr.Avia.Freight</t>
  </si>
  <si>
    <t>VehicleKm_per_flight.km.SI.Tr.Avia.Freight.Domestic</t>
  </si>
  <si>
    <t>VehicleKm_per_flight.km.SI.Tr.Avia.Freight.IntraEEAwCHUK</t>
  </si>
  <si>
    <t>VehicleKm_per_flight.km.SI.Tr.Avia.Freight.ExtraEEAwCHUK</t>
  </si>
  <si>
    <t>Activity_per_flight.pkm.SI.Tr.Avia.Passenger</t>
  </si>
  <si>
    <t>Activity_per_flight.pkm.SI.Tr.Avia.Passenger.Domestic</t>
  </si>
  <si>
    <t>Activity_per_flight.pkm.SI.Tr.Avia.Passenger.IntraEEAwCHUK</t>
  </si>
  <si>
    <t>Activity_per_flight.pkm.SI.Tr.Avia.Passenger.ExtraEEAwCHUK</t>
  </si>
  <si>
    <t>Activity_per_flight.tkm.SI.Tr.Avia.Freight</t>
  </si>
  <si>
    <t>Activity_per_flight.tkm.SI.Tr.Avia.Freight.Domestic</t>
  </si>
  <si>
    <t>Activity_per_flight.tkm.SI.Tr.Avia.Freight.IntraEEAwCHUK</t>
  </si>
  <si>
    <t>Activity_per_flight.tkm.SI.Tr.Avia.Freight.ExtraEEAwCHUK</t>
  </si>
  <si>
    <t>Flights_per_vehicle.number.SI.Tr.Avia</t>
  </si>
  <si>
    <t>Flights_per_vehicle.number.SI.Tr.Avia.Passenger</t>
  </si>
  <si>
    <t>Flights_per_vehicle.number.SI.Tr.Avia.Passenger.Domestic</t>
  </si>
  <si>
    <t>Flights_per_vehicle.number.SI.Tr.Avia.Passenger.IntraEEAwCHUK</t>
  </si>
  <si>
    <t>Flights_per_vehicle.number.SI.Tr.Avia.Passenger.ExtraEEAwCHUK</t>
  </si>
  <si>
    <t>Flights_per_vehicle.number.SI.Tr.Avia.Freight</t>
  </si>
  <si>
    <t>Flights_per_vehicle.number.SI.Tr.Avia.Freight.Domestic</t>
  </si>
  <si>
    <t>Flights_per_vehicle.number.SI.Tr.Avia.Freight.IntraEEAwCHUK</t>
  </si>
  <si>
    <t>Flights_per_vehicle.number.SI.Tr.Avia.Freight.ExtraEEAwCHUK</t>
  </si>
  <si>
    <t>Aviation / energy consumption - SI - Slovenia</t>
  </si>
  <si>
    <t>FEC.ktoe.SI.Tr.Avia</t>
  </si>
  <si>
    <t>FEC.ktoe.SI.Tr.Avia.Domestic</t>
  </si>
  <si>
    <t>FEC.ktoe.SI.Tr.Avia.International</t>
  </si>
  <si>
    <t>FEC.ktoe.SI.Tr.Avia.Passenger</t>
  </si>
  <si>
    <t>FEC.ktoe.SI.Tr.Avia.Passenger.Domestic</t>
  </si>
  <si>
    <t>FEC.ktoe.SI.Tr.Avia.Passenger.IntraEEAwCHUK</t>
  </si>
  <si>
    <t>FEC.ktoe.SI.Tr.Avia.Passenger.ExtraEEAwCHUK</t>
  </si>
  <si>
    <t>FEC.ktoe.SI.Tr.Avia.Freight</t>
  </si>
  <si>
    <t>FEC.ktoe.SI.Tr.Avia.Freight.Domestic</t>
  </si>
  <si>
    <t>FEC.ktoe.SI.Tr.Avia.Freight.IntraEEAwCHUK</t>
  </si>
  <si>
    <t>FEC.ktoe.SI.Tr.Avia.Freight.ExtraEEAwCHUK</t>
  </si>
  <si>
    <t>Eff.kgoe_per_100km.SI.Tr.Avia</t>
  </si>
  <si>
    <t>Eff.kgoe_per_100km.SI.Tr.Avia.Passenger</t>
  </si>
  <si>
    <t>Eff.kgoe_per_100km.SI.Tr.Avia.Passenger.Domestic</t>
  </si>
  <si>
    <t>Eff.kgoe_per_100km.SI.Tr.Avia.Passenger.IntraEEAwCHUK</t>
  </si>
  <si>
    <t>Eff.kgoe_per_100km.SI.Tr.Avia.Passenger.ExtraEEAwCHUK</t>
  </si>
  <si>
    <t>Eff.kgoe_per_100km.SI.Tr.Avia.Freight</t>
  </si>
  <si>
    <t>Eff.kgoe_per_100km.SI.Tr.Avia.Freight.Domestic</t>
  </si>
  <si>
    <t>Eff.kgoe_per_100km.SI.Tr.Avia.Freight.IntraEEAwCHUK</t>
  </si>
  <si>
    <t>Eff.kgoe_per_100km.SI.Tr.Avia.Freight.ExtraEEAwCHUK</t>
  </si>
  <si>
    <t>Eff.kgoe_per_kpkm.SI.Tr.Avia.Passenger</t>
  </si>
  <si>
    <t>Eff.kgoe_per_kpkm.SI.Tr.Avia.Passenger.Domestic</t>
  </si>
  <si>
    <t>Eff.kgoe_per_kpkm.SI.Tr.Avia.Passenger.IntraEEAwCHUK</t>
  </si>
  <si>
    <t>Eff.kgoe_per_kpkm.SI.Tr.Avia.Passenger.ExtraEEAwCHUK</t>
  </si>
  <si>
    <t>Eff.kgoe_per_ktkm.SI.Tr.Avia.Freight</t>
  </si>
  <si>
    <t>Eff.kgoe_per_ktkm.SI.Tr.Avia.Freight.Domestic</t>
  </si>
  <si>
    <t>Eff.kgoe_per_ktkm.SI.Tr.Avia.Freight.IntraEEAwCHUK</t>
  </si>
  <si>
    <t>Eff.kgoe_per_ktkm.SI.Tr.Avia.Freight.ExtraEEAwCHUK</t>
  </si>
  <si>
    <t>FEC_per_flight.kgoe.SI.Tr.Avia</t>
  </si>
  <si>
    <t>FEC_per_flight.kgoe.SI.Tr.Avia.Passenger</t>
  </si>
  <si>
    <t>FEC_per_flight.kgoe.SI.Tr.Avia.Passenger.Domestic</t>
  </si>
  <si>
    <t>FEC_per_flight.kgoe.SI.Tr.Avia.Passenger.IntraEEAwCHUK</t>
  </si>
  <si>
    <t>FEC_per_flight.kgoe.SI.Tr.Avia.Passenger.ExtraEEAwCHUK</t>
  </si>
  <si>
    <t>FEC_per_flight.kgoe.SI.Tr.Avia.Freight</t>
  </si>
  <si>
    <t>FEC_per_flight.kgoe.SI.Tr.Avia.Freight.Domestic</t>
  </si>
  <si>
    <t>FEC_per_flight.kgoe.SI.Tr.Avia.Freight.IntraEEAwCHUK</t>
  </si>
  <si>
    <t>FEC_per_flight.kgoe.SI.Tr.Avia.Freight.ExtraEEAwCHUK</t>
  </si>
  <si>
    <t>Eff_theor.kgoe_per_100km.SI.Tr.Avia</t>
  </si>
  <si>
    <t>Eff_theor.kgoe_per_100km.SI.Tr.Avia.Passenger</t>
  </si>
  <si>
    <t>Eff_theor.kgoe_per_100km.SI.Tr.Avia.Passenger.Domestic</t>
  </si>
  <si>
    <t>Eff_theor.kgoe_per_100km.SI.Tr.Avia.Passenger.IntraEEAwCHUK</t>
  </si>
  <si>
    <t>Eff_theor.kgoe_per_100km.SI.Tr.Avia.Passenger.ExtraEEAwCHUK</t>
  </si>
  <si>
    <t>Eff_theor.kgoe_per_100km.SI.Tr.Avia.Freight</t>
  </si>
  <si>
    <t>Eff_theor.kgoe_per_100km.SI.Tr.Avia.Freight.Domestic</t>
  </si>
  <si>
    <t>Eff_theor.kgoe_per_100km.SI.Tr.Avia.Freight.IntraEEAwCHUK</t>
  </si>
  <si>
    <t>Eff_theor.kgoe_per_100km.SI.Tr.Avia.Freight.ExtraEEAwCHUK</t>
  </si>
  <si>
    <t>Aviation / CO2 emissions - SI - Slovenia</t>
  </si>
  <si>
    <t>EMI.ktCO2.SI.Tr.Avia</t>
  </si>
  <si>
    <t>EMI.ktCO2.SI.Tr.Avia.Domestic</t>
  </si>
  <si>
    <t>EMI.ktCO2.SI.Tr.Avia.International</t>
  </si>
  <si>
    <t>EMI.ktCO2.SI.Tr.Avia.Passenger</t>
  </si>
  <si>
    <t>EMI.ktCO2.SI.Tr.Avia.Passenger.Domestic</t>
  </si>
  <si>
    <t>EMI.ktCO2.SI.Tr.Avia.Passenger.IntraEEAwCHUK</t>
  </si>
  <si>
    <t>EMI.ktCO2.SI.Tr.Avia.Passenger.ExtraEEAwCHUK</t>
  </si>
  <si>
    <t>EMI.ktCO2.SI.Tr.Avia.Freight</t>
  </si>
  <si>
    <t>EMI.ktCO2.SI.Tr.Avia.Freight.Domestic</t>
  </si>
  <si>
    <t>EMI.ktCO2.SI.Tr.Avia.Freight.IntraEEAwCHUK</t>
  </si>
  <si>
    <t>EMI.ktCO2.SI.Tr.Avia.Freight.ExtraEEAwCHUK</t>
  </si>
  <si>
    <t>EMIint.gCO2_per_km.SI.Tr.Avia</t>
  </si>
  <si>
    <t>EMIint.gCO2_per_km.SI.Tr.Avia.Passenger</t>
  </si>
  <si>
    <t>EMIint.gCO2_per_km.SI.Tr.Avia.Passenger.Domestic</t>
  </si>
  <si>
    <t>EMIint.gCO2_per_km.SI.Tr.Avia.Passenger.IntraEEAwCHUK</t>
  </si>
  <si>
    <t>EMIint.gCO2_per_km.SI.Tr.Avia.Passenger.ExtraEEAwCHUK</t>
  </si>
  <si>
    <t>EMIint.gCO2_per_km.SI.Tr.Avia.Freight</t>
  </si>
  <si>
    <t>EMIint.gCO2_per_km.SI.Tr.Avia.Freight.Domestic</t>
  </si>
  <si>
    <t>EMIint.gCO2_per_km.SI.Tr.Avia.Freight.IntraEEAwCHUK</t>
  </si>
  <si>
    <t>EMIint.gCO2_per_km.SI.Tr.Avia.Freight.ExtraEEAwCHUK</t>
  </si>
  <si>
    <t>EMIint.gCO2_per_pkm.SI.Tr.Avia.Passenger</t>
  </si>
  <si>
    <t>EMIint.gCO2_per_pkm.SI.Tr.Avia.Passenger.Domestic</t>
  </si>
  <si>
    <t>EMIint.gCO2_per_pkm.SI.Tr.Avia.Passenger.IntraEEAwCHUK</t>
  </si>
  <si>
    <t>EMIint.gCO2_per_pkm.SI.Tr.Avia.Passenger.ExtraEEAwCHUK</t>
  </si>
  <si>
    <t>EMIint.gCO2_per_tkm.SI.Tr.Avia.Freight</t>
  </si>
  <si>
    <t>EMIint.gCO2_per_tkm.SI.Tr.Avia.Freight.Domestic</t>
  </si>
  <si>
    <t>EMIint.gCO2_per_tkm.SI.Tr.Avia.Freight.IntraEEAwCHUK</t>
  </si>
  <si>
    <t>EMIint.gCO2_per_tkm.SI.Tr.Avia.Freight.ExtraEEAwCHUK</t>
  </si>
  <si>
    <t>EMI_per_flight.kgCO2.SI.Tr.Avia</t>
  </si>
  <si>
    <t>EMI_per_flight.kgCO2.SI.Tr.Avia.Passenger</t>
  </si>
  <si>
    <t>EMI_per_flight.kgCO2.SI.Tr.Avia.Passenger.Domestic</t>
  </si>
  <si>
    <t>EMI_per_flight.kgCO2.SI.Tr.Avia.Passenger.IntraEEAwCHUK</t>
  </si>
  <si>
    <t>EMI_per_flight.kgCO2.SI.Tr.Avia.Passenger.ExtraEEAwCHUK</t>
  </si>
  <si>
    <t>EMI_per_flight.kgCO2.SI.Tr.Avia.Freight</t>
  </si>
  <si>
    <t>EMI_per_flight.kgCO2.SI.Tr.Avia.Freight.Domestic</t>
  </si>
  <si>
    <t>EMI_per_flight.kgCO2.SI.Tr.Avia.Freight.IntraEEAwCHUK</t>
  </si>
  <si>
    <t>EMI_per_flight.kgCO2.SI.Tr.Avia.Freight.ExtraEEAwCHUK</t>
  </si>
  <si>
    <t>Aviation / passenger transport specific data - SI - Slovenia</t>
  </si>
  <si>
    <t>TrCap.seats.SI.Tr.Avia.Passenger</t>
  </si>
  <si>
    <t>TrCap.seats.SI.Tr.Avia.Passenger.Domestic</t>
  </si>
  <si>
    <t>TrCap.seats.SI.Tr.Avia.Passenger.IntraEEAwCHUK</t>
  </si>
  <si>
    <t>TrCap.seats.SI.Tr.Avia.Passenger.ExtraEEAwCHUK</t>
  </si>
  <si>
    <t>TrCap_per_flight.seats.SI.Tr.Avia.Passenger</t>
  </si>
  <si>
    <t>TrCap_per_flight.seats.SI.Tr.Avia.Passenger.Domestic</t>
  </si>
  <si>
    <t>TrCap_per_flight.seats.SI.Tr.Avia.Passenger.IntraEEAwCHUK</t>
  </si>
  <si>
    <t>TrCap_per_flight.seats.SI.Tr.Avia.Passenger.ExtraEEAwCHUK</t>
  </si>
  <si>
    <t>Transport overview - SI - Slovenia</t>
  </si>
  <si>
    <t>Activity.Mpkm.SI.Tr</t>
  </si>
  <si>
    <t>Activity.Mpkm.SI.Tr.Road.Passenger</t>
  </si>
  <si>
    <t>Activity.Mpkm.SI.Tr.Road.Passenger.P2W</t>
  </si>
  <si>
    <t>Activity.Mpkm.SI.Tr.Road.Passenger.Car</t>
  </si>
  <si>
    <t>Activity.Mpkm.SI.Tr.Road.Passenger.Bus</t>
  </si>
  <si>
    <t>Activity.Mpkm.SI.Tr.Rail.Passenger</t>
  </si>
  <si>
    <t>Activity.Mpkm.SI.Tr.Rail.Passenger.MTU</t>
  </si>
  <si>
    <t>Activity.Mpkm.SI.Tr.Rail.Passenger.CPT</t>
  </si>
  <si>
    <t>Activity.Mpkm.SI.Tr.Rail.Passenger.HST</t>
  </si>
  <si>
    <t>Activity.Mtkm.SI.Tr</t>
  </si>
  <si>
    <t>Activity.Mtkm.SI.Tr.Road.Freight</t>
  </si>
  <si>
    <t>Activity.Mtkm.SI.Tr.Road.Freight.LCV</t>
  </si>
  <si>
    <t>Activity.Mtkm.SI.Tr.Road.Freight.HGV_All</t>
  </si>
  <si>
    <t>Activity.Mtkm.SI.Tr.Rail.Freight</t>
  </si>
  <si>
    <t>Activity.Mtkm.SI.Tr.DNavi.Freight</t>
  </si>
  <si>
    <t>Activity.Mtkm.SI.Tr.DNavi.Freight.DCS</t>
  </si>
  <si>
    <t>Activity.Mtkm.SI.Tr.DNavi.Freight.IWW</t>
  </si>
  <si>
    <t>Activity.Mtkm.SI.MBunk.Freight</t>
  </si>
  <si>
    <t>Activity.Mtkm.SI.MBunk.Freight.IntraEEA</t>
  </si>
  <si>
    <t>Activity.Mtkm.SI.MBunk.Freight.ExtraEEA</t>
  </si>
  <si>
    <t>FEC.ktoe.SI.Tr.Road.Passenger</t>
  </si>
  <si>
    <t>FEC.ktoe.SI.Tr.Road.Passenger.P2W</t>
  </si>
  <si>
    <t>FEC.ktoe.SI.Tr.Road.Passenger.Car</t>
  </si>
  <si>
    <t>FEC.ktoe.SI.Tr.Road.Passenger.Bus</t>
  </si>
  <si>
    <t>FEC.ktoe.SI.Tr.Rail.Passenger</t>
  </si>
  <si>
    <t>FEC.ktoe.SI.Tr.Rail.Passenger.MTU</t>
  </si>
  <si>
    <t>FEC.ktoe.SI.Tr.Rail.Passenger.CPT</t>
  </si>
  <si>
    <t>FEC.ktoe.SI.Tr.Rail.Passenger.HST</t>
  </si>
  <si>
    <t>FEC.ktoe.SI.Tr.Road.Freight</t>
  </si>
  <si>
    <t>FEC.ktoe.SI.Tr.Road.Freight.LCV</t>
  </si>
  <si>
    <t>FEC.ktoe.SI.Tr.Road.Freight.HGV_All</t>
  </si>
  <si>
    <t>FEC.ktoe.SI.Tr.Rail.Freight</t>
  </si>
  <si>
    <t>EMI.ktCO2.SI.Tr.Road.Passenger</t>
  </si>
  <si>
    <t>EMI.ktCO2.SI.Tr.Road.Passenger.P2W</t>
  </si>
  <si>
    <t>EMI.ktCO2.SI.Tr.Road.Passenger.Car</t>
  </si>
  <si>
    <t>EMI.ktCO2.SI.Tr.Road.Passenger.Bus</t>
  </si>
  <si>
    <t>EMI.ktCO2.SI.Tr.Rail.Passenger</t>
  </si>
  <si>
    <t>EMI.ktCO2.SI.Tr.Rail.Passenger.MTU</t>
  </si>
  <si>
    <t>EMI.ktCO2.SI.Tr.Rail.Passenger.CPT</t>
  </si>
  <si>
    <t>EMI.ktCO2.SI.Tr.Rail.Passenger.HST</t>
  </si>
  <si>
    <t>EMI.ktCO2.SI.Tr.Road.Freight</t>
  </si>
  <si>
    <t>EMI.ktCO2.SI.Tr.Road.Freight.LCV</t>
  </si>
  <si>
    <t>EMI.ktCO2.SI.Tr.Road.Freight.HGV_All</t>
  </si>
  <si>
    <t>EMI.ktCO2.SI.Tr.Rail.Freight</t>
  </si>
  <si>
    <t>Eff.kgoe_per_kpkm.SI.Tr</t>
  </si>
  <si>
    <t>Eff.kgoe_per_kpkm.SI.Tr.Road.Passenger</t>
  </si>
  <si>
    <t>Eff.kgoe_per_kpkm.SI.Tr.Road.Passenger.P2W</t>
  </si>
  <si>
    <t>Eff.kgoe_per_kpkm.SI.Tr.Road.Passenger.Car</t>
  </si>
  <si>
    <t>Eff.kgoe_per_kpkm.SI.Tr.Road.Passenger.Bus</t>
  </si>
  <si>
    <t>Eff.kgoe_per_kpkm.SI.Tr.Rail.Passenger</t>
  </si>
  <si>
    <t>Eff.kgoe_per_kpkm.SI.Tr.Rail.Passenger.MTU</t>
  </si>
  <si>
    <t>Eff.kgoe_per_kpkm.SI.Tr.Rail.Passenger.CPT</t>
  </si>
  <si>
    <t>Eff.kgoe_per_kpkm.SI.Tr.Rail.Passenger.HST</t>
  </si>
  <si>
    <t>Eff.kgoe_per_ktkm.SI.Tr</t>
  </si>
  <si>
    <t>Eff.kgoe_per_ktkm.SI.Tr.Road.Freight</t>
  </si>
  <si>
    <t>Eff.kgoe_per_ktkm.SI.Tr.Road.Freight.LCV</t>
  </si>
  <si>
    <t>Eff.kgoe_per_ktkm.SI.Tr.Road.Freight.HGV_All</t>
  </si>
  <si>
    <t>Eff.kgoe_per_ktkm.SI.Tr.Rail.Freight</t>
  </si>
  <si>
    <t>Eff.kgoe_per_ktkm.SI.Tr.DNavi.Freight</t>
  </si>
  <si>
    <t>Eff.kgoe_per_ktkm.SI.Tr.DNavi.Freight.DCS</t>
  </si>
  <si>
    <t>Eff.kgoe_per_ktkm.SI.Tr.DNavi.Freight.IWW</t>
  </si>
  <si>
    <t>Eff.kgoe_per_ktkm.SI.MBunk.Freight</t>
  </si>
  <si>
    <t>Eff.kgoe_per_ktkm.SI.MBunk.Freight.IntraEEA</t>
  </si>
  <si>
    <t>Eff.kgoe_per_ktkm.SI.MBunk.Freight.ExtraEEA</t>
  </si>
  <si>
    <t>EMIint.gCO2_per_pkm.SI.Tr</t>
  </si>
  <si>
    <t>EMIint.gCO2_per_pkm.SI.Tr.Road.Passenger</t>
  </si>
  <si>
    <t>EMIint.gCO2_per_pkm.SI.Tr.Road.Passenger.P2W</t>
  </si>
  <si>
    <t>EMIint.gCO2_per_pkm.SI.Tr.Road.Passenger.Car</t>
  </si>
  <si>
    <t>EMIint.gCO2_per_pkm.SI.Tr.Road.Passenger.Bus</t>
  </si>
  <si>
    <t>EMIint.gCO2_per_pkm.SI.Tr.Rail.Passenger</t>
  </si>
  <si>
    <t>EMIint.gCO2_per_pkm.SI.Tr.Rail.Passenger.MTU</t>
  </si>
  <si>
    <t>EMIint.gCO2_per_pkm.SI.Tr.Rail.Passenger.CPT</t>
  </si>
  <si>
    <t>EMIint.gCO2_per_pkm.SI.Tr.Rail.Passenger.HST</t>
  </si>
  <si>
    <t>EMIint.gCO2_per_tkm.SI.Tr</t>
  </si>
  <si>
    <t>EMIint.gCO2_per_tkm.SI.Tr.Road.Freight</t>
  </si>
  <si>
    <t>EMIint.gCO2_per_tkm.SI.Tr.Road.Freight.LCV</t>
  </si>
  <si>
    <t>EMIint.gCO2_per_tkm.SI.Tr.Road.Freight.HGV_All</t>
  </si>
  <si>
    <t>EMIint.gCO2_per_tkm.SI.Tr.Rail.Freight</t>
  </si>
  <si>
    <t>EMIint.gCO2_per_tkm.SI.Tr.DNavi.Freight</t>
  </si>
  <si>
    <t>EMIint.gCO2_per_tkm.SI.Tr.DNavi.Freight.DCS</t>
  </si>
  <si>
    <t>EMIint.gCO2_per_tkm.SI.Tr.DNavi.Freight.IWW</t>
  </si>
  <si>
    <t>EMIint.gCO2_per_tkm.SI.MBunk.Freight</t>
  </si>
  <si>
    <t>EMIint.gCO2_per_tkm.SI.MBunk.Freight.IntraEEA</t>
  </si>
  <si>
    <t>EMIint.gCO2_per_tkm.SI.MBunk.Freight.ExtraEEA</t>
  </si>
  <si>
    <t>Road transport - SI - Slovenia</t>
  </si>
  <si>
    <t>Activity.Mpkm.SI.Tr.Road.Passenger.Car.ICE.Gasoline</t>
  </si>
  <si>
    <t>Activity.Mpkm.SI.Tr.Road.Passenger.Car.ICE.Diesel</t>
  </si>
  <si>
    <t>Activity.Mpkm.SI.Tr.Road.Passenger.Car.ICE.LPG</t>
  </si>
  <si>
    <t>Activity.Mpkm.SI.Tr.Road.Passenger.Car.ICE.NGas</t>
  </si>
  <si>
    <t>Activity.Mpkm.SI.Tr.Road.Passenger.Car.PHEV.Gasoline</t>
  </si>
  <si>
    <t>Activity.Mpkm.SI.Tr.Road.Passenger.Car.BEV</t>
  </si>
  <si>
    <t>Activity.Mpkm.SI.Tr.Road.Passenger.Bus.ICE.Gasoline</t>
  </si>
  <si>
    <t>Activity.Mpkm.SI.Tr.Road.Passenger.Bus.ICE.Diesel</t>
  </si>
  <si>
    <t>Activity.Mpkm.SI.Tr.Road.Passenger.Bus.ICE.LPG</t>
  </si>
  <si>
    <t>Activity.Mpkm.SI.Tr.Road.Passenger.Bus.ICE.NGas</t>
  </si>
  <si>
    <t>Activity.Mpkm.SI.Tr.Road.Passenger.Bus.BEV</t>
  </si>
  <si>
    <t>Activity.Mtkm.SI.Tr.Road.Freight.LCV.ICE.Gasoline</t>
  </si>
  <si>
    <t>Activity.Mtkm.SI.Tr.Road.Freight.LCV.ICE.Diesel</t>
  </si>
  <si>
    <t>Activity.Mtkm.SI.Tr.Road.Freight.LCV.ICE.LPG</t>
  </si>
  <si>
    <t>Activity.Mtkm.SI.Tr.Road.Freight.LCV.ICE.NGas</t>
  </si>
  <si>
    <t>Activity.Mtkm.SI.Tr.Road.Freight.LCV.BEV</t>
  </si>
  <si>
    <t>Activity.Mtkm.SI.Tr.Road.Freight.HGV_Domestic</t>
  </si>
  <si>
    <t>Activity.Mtkm.SI.Tr.Road.Freight.HGV_International</t>
  </si>
  <si>
    <t>VehicleKm.Mkm.SI.Tr.Road</t>
  </si>
  <si>
    <t>VehicleKm.Mkm.SI.Tr.Road.Passenger</t>
  </si>
  <si>
    <t>VehicleKm.Mkm.SI.Tr.Road.Passenger.P2W</t>
  </si>
  <si>
    <t>VehicleKm.Mkm.SI.Tr.Road.Passenger.Car</t>
  </si>
  <si>
    <t>VehicleKm.Mkm.SI.Tr.Road.Passenger.Car.ICE.Gasoline</t>
  </si>
  <si>
    <t>VehicleKm.Mkm.SI.Tr.Road.Passenger.Car.ICE.Diesel</t>
  </si>
  <si>
    <t>VehicleKm.Mkm.SI.Tr.Road.Passenger.Car.ICE.LPG</t>
  </si>
  <si>
    <t>VehicleKm.Mkm.SI.Tr.Road.Passenger.Car.ICE.NGas</t>
  </si>
  <si>
    <t>VehicleKm.Mkm.SI.Tr.Road.Passenger.Car.PHEV.Gasoline</t>
  </si>
  <si>
    <t>VehicleKm.Mkm.SI.Tr.Road.Passenger.Car.BEV</t>
  </si>
  <si>
    <t>VehicleKm.Mkm.SI.Tr.Road.Passenger.Bus</t>
  </si>
  <si>
    <t>VehicleKm.Mkm.SI.Tr.Road.Passenger.Bus.ICE.Gasoline</t>
  </si>
  <si>
    <t>VehicleKm.Mkm.SI.Tr.Road.Passenger.Bus.ICE.Diesel</t>
  </si>
  <si>
    <t>VehicleKm.Mkm.SI.Tr.Road.Passenger.Bus.ICE.LPG</t>
  </si>
  <si>
    <t>VehicleKm.Mkm.SI.Tr.Road.Passenger.Bus.ICE.NGas</t>
  </si>
  <si>
    <t>VehicleKm.Mkm.SI.Tr.Road.Passenger.Bus.BEV</t>
  </si>
  <si>
    <t>VehicleKm.Mkm.SI.Tr.Road.Freight</t>
  </si>
  <si>
    <t>VehicleKm.Mkm.SI.Tr.Road.Freight.LCV</t>
  </si>
  <si>
    <t>VehicleKm.Mkm.SI.Tr.Road.Freight.LCV.ICE.Gasoline</t>
  </si>
  <si>
    <t>VehicleKm.Mkm.SI.Tr.Road.Freight.LCV.ICE.Diesel</t>
  </si>
  <si>
    <t>VehicleKm.Mkm.SI.Tr.Road.Freight.LCV.ICE.LPG</t>
  </si>
  <si>
    <t>VehicleKm.Mkm.SI.Tr.Road.Freight.LCV.ICE.NGas</t>
  </si>
  <si>
    <t>VehicleKm.Mkm.SI.Tr.Road.Freight.LCV.BEV</t>
  </si>
  <si>
    <t>VehicleKm.Mkm.SI.Tr.Road.Freight.HGV_All</t>
  </si>
  <si>
    <t>VehicleKm.Mkm.SI.Tr.Road.Freight.HGV_Domestic</t>
  </si>
  <si>
    <t>VehicleKm.Mkm.SI.Tr.Road.Freight.HGV_International</t>
  </si>
  <si>
    <t>Stock.number.SI.Tr.Road</t>
  </si>
  <si>
    <t>Stock.number.SI.Tr.Road.Passenger</t>
  </si>
  <si>
    <t>Stock.number.SI.Tr.Road.Passenger.P2W</t>
  </si>
  <si>
    <t>Stock.number.SI.Tr.Road.Passenger.Car</t>
  </si>
  <si>
    <t>Stock.number.SI.Tr.Road.Passenger.Car.ICE.Gasoline</t>
  </si>
  <si>
    <t>Stock.number.SI.Tr.Road.Passenger.Car.ICE.Diesel</t>
  </si>
  <si>
    <t>Stock.number.SI.Tr.Road.Passenger.Car.ICE.LPG</t>
  </si>
  <si>
    <t>Stock.number.SI.Tr.Road.Passenger.Car.ICE.NGas</t>
  </si>
  <si>
    <t>Stock.number.SI.Tr.Road.Passenger.Car.PHEV.Gasoline</t>
  </si>
  <si>
    <t>Stock.number.SI.Tr.Road.Passenger.Car.BEV</t>
  </si>
  <si>
    <t>Stock.number.SI.Tr.Road.Passenger.Bus</t>
  </si>
  <si>
    <t>Stock.number.SI.Tr.Road.Passenger.Bus.ICE.Gasoline</t>
  </si>
  <si>
    <t>Stock.number.SI.Tr.Road.Passenger.Bus.ICE.Diesel</t>
  </si>
  <si>
    <t>Stock.number.SI.Tr.Road.Passenger.Bus.ICE.LPG</t>
  </si>
  <si>
    <t>Stock.number.SI.Tr.Road.Passenger.Bus.ICE.NGas</t>
  </si>
  <si>
    <t>Stock.number.SI.Tr.Road.Passenger.Bus.BEV</t>
  </si>
  <si>
    <t>Stock.number.SI.Tr.Road.Freight</t>
  </si>
  <si>
    <t>Stock.number.SI.Tr.Road.Freight.LCV</t>
  </si>
  <si>
    <t>Stock.number.SI.Tr.Road.Freight.LCV.ICE.Gasoline</t>
  </si>
  <si>
    <t>Stock.number.SI.Tr.Road.Freight.LCV.ICE.Diesel</t>
  </si>
  <si>
    <t>Stock.number.SI.Tr.Road.Freight.LCV.ICE.LPG</t>
  </si>
  <si>
    <t>Stock.number.SI.Tr.Road.Freight.LCV.ICE.NGas</t>
  </si>
  <si>
    <t>Stock.number.SI.Tr.Road.Freight.LCV.BEV</t>
  </si>
  <si>
    <t>Stock.number.SI.Tr.Road.Freight.HGV_All</t>
  </si>
  <si>
    <t>Stock.number.SI.Tr.Road.Freight.HGV_Domestic</t>
  </si>
  <si>
    <t>Stock.number.SI.Tr.Road.Freight.HGV_International</t>
  </si>
  <si>
    <t>StockNew.number.SI.Tr.Road</t>
  </si>
  <si>
    <t>StockNew.number.SI.Tr.Road.Passenger</t>
  </si>
  <si>
    <t>StockNew.number.SI.Tr.Road.Passenger.P2W</t>
  </si>
  <si>
    <t>StockNew.number.SI.Tr.Road.Passenger.Car</t>
  </si>
  <si>
    <t>StockNew.number.SI.Tr.Road.Passenger.Car.ICE.Gasoline</t>
  </si>
  <si>
    <t>StockNew.number.SI.Tr.Road.Passenger.Car.ICE.Diesel</t>
  </si>
  <si>
    <t>StockNew.number.SI.Tr.Road.Passenger.Car.ICE.LPG</t>
  </si>
  <si>
    <t>StockNew.number.SI.Tr.Road.Passenger.Car.ICE.NGas</t>
  </si>
  <si>
    <t>StockNew.number.SI.Tr.Road.Passenger.Car.PHEV.Gasoline</t>
  </si>
  <si>
    <t>StockNew.number.SI.Tr.Road.Passenger.Car.BEV</t>
  </si>
  <si>
    <t>StockNew.number.SI.Tr.Road.Passenger.Bus</t>
  </si>
  <si>
    <t>StockNew.number.SI.Tr.Road.Passenger.Bus.ICE.Gasoline</t>
  </si>
  <si>
    <t>StockNew.number.SI.Tr.Road.Passenger.Bus.ICE.Diesel</t>
  </si>
  <si>
    <t>StockNew.number.SI.Tr.Road.Passenger.Bus.ICE.LPG</t>
  </si>
  <si>
    <t>StockNew.number.SI.Tr.Road.Passenger.Bus.ICE.NGas</t>
  </si>
  <si>
    <t>StockNew.number.SI.Tr.Road.Passenger.Bus.BEV</t>
  </si>
  <si>
    <t>StockNew.number.SI.Tr.Road.Freight</t>
  </si>
  <si>
    <t>StockNew.number.SI.Tr.Road.Freight.LCV</t>
  </si>
  <si>
    <t>StockNew.number.SI.Tr.Road.Freight.LCV.ICE.Gasoline</t>
  </si>
  <si>
    <t>StockNew.number.SI.Tr.Road.Freight.LCV.ICE.Diesel</t>
  </si>
  <si>
    <t>StockNew.number.SI.Tr.Road.Freight.LCV.ICE.LPG</t>
  </si>
  <si>
    <t>StockNew.number.SI.Tr.Road.Freight.LCV.ICE.NGas</t>
  </si>
  <si>
    <t>StockNew.number.SI.Tr.Road.Freight.LCV.BEV</t>
  </si>
  <si>
    <t>StockNew.number.SI.Tr.Road.Freight.HGV_All</t>
  </si>
  <si>
    <t>StockNew.number.SI.Tr.Road.Freight.HGV_Domestic</t>
  </si>
  <si>
    <t>StockNew.number.SI.Tr.Road.Freight.HGV_International</t>
  </si>
  <si>
    <t>Load.passenger_per_movement.SI.Tr.Road.Passenger</t>
  </si>
  <si>
    <t>Load.passenger_per_movement.SI.Tr.Road.Passenger.P2W</t>
  </si>
  <si>
    <t>Load.passenger_per_movement.SI.Tr.Road.Passenger.Car</t>
  </si>
  <si>
    <t>Load.passenger_per_movement.SI.Tr.Road.Passenger.Car.ICE.Gasoline</t>
  </si>
  <si>
    <t>Load.passenger_per_movement.SI.Tr.Road.Passenger.Car.ICE.Diesel</t>
  </si>
  <si>
    <t>Load.passenger_per_movement.SI.Tr.Road.Passenger.Car.ICE.LPG</t>
  </si>
  <si>
    <t>Load.passenger_per_movement.SI.Tr.Road.Passenger.Car.ICE.NGas</t>
  </si>
  <si>
    <t>Load.passenger_per_movement.SI.Tr.Road.Passenger.Car.PHEV.Gasoline</t>
  </si>
  <si>
    <t>Load.passenger_per_movement.SI.Tr.Road.Passenger.Car.BEV</t>
  </si>
  <si>
    <t>Load.passenger_per_movement.SI.Tr.Road.Passenger.Bus</t>
  </si>
  <si>
    <t>Load.passenger_per_movement.SI.Tr.Road.Passenger.Bus.ICE.Gasoline</t>
  </si>
  <si>
    <t>Load.passenger_per_movement.SI.Tr.Road.Passenger.Bus.ICE.Diesel</t>
  </si>
  <si>
    <t>Load.passenger_per_movement.SI.Tr.Road.Passenger.Bus.ICE.LPG</t>
  </si>
  <si>
    <t>Load.passenger_per_movement.SI.Tr.Road.Passenger.Bus.ICE.NGas</t>
  </si>
  <si>
    <t>Load.passenger_per_movement.SI.Tr.Road.Passenger.Bus.BEV</t>
  </si>
  <si>
    <t>Load.t_per_movement.SI.Tr.Road.Freight</t>
  </si>
  <si>
    <t>Load.t_per_movement.SI.Tr.Road.Freight.LCV</t>
  </si>
  <si>
    <t>Load.t_per_movement.SI.Tr.Road.Freight.LCV.ICE.Gasoline</t>
  </si>
  <si>
    <t>Load.t_per_movement.SI.Tr.Road.Freight.LCV.ICE.Diesel</t>
  </si>
  <si>
    <t>Load.t_per_movement.SI.Tr.Road.Freight.LCV.ICE.LPG</t>
  </si>
  <si>
    <t>Load.t_per_movement.SI.Tr.Road.Freight.LCV.ICE.NGas</t>
  </si>
  <si>
    <t>Load.t_per_movement.SI.Tr.Road.Freight.LCV.BEV</t>
  </si>
  <si>
    <t>Load.t_per_movement.SI.Tr.Road.Freight.HGV_All</t>
  </si>
  <si>
    <t>Load.t_per_movement.SI.Tr.Road.Freight.HGV_Domestic</t>
  </si>
  <si>
    <t>Load.t_per_movement.SI.Tr.Road.Freight.HGV_International</t>
  </si>
  <si>
    <t>VehicleKm_per_vehicle.km.SI.Tr.Road</t>
  </si>
  <si>
    <t>VehicleKm_per_vehicle.km.SI.Tr.Road.Passenger</t>
  </si>
  <si>
    <t>VehicleKm_per_vehicle.km.SI.Tr.Road.Passenger.P2W</t>
  </si>
  <si>
    <t>VehicleKm_per_vehicle.km.SI.Tr.Road.Passenger.Car</t>
  </si>
  <si>
    <t>VehicleKm_per_vehicle.km.SI.Tr.Road.Passenger.Car.ICE.Gasoline</t>
  </si>
  <si>
    <t>VehicleKm_per_vehicle.km.SI.Tr.Road.Passenger.Car.ICE.Diesel</t>
  </si>
  <si>
    <t>VehicleKm_per_vehicle.km.SI.Tr.Road.Passenger.Car.ICE.LPG</t>
  </si>
  <si>
    <t>VehicleKm_per_vehicle.km.SI.Tr.Road.Passenger.Car.ICE.NGas</t>
  </si>
  <si>
    <t>VehicleKm_per_vehicle.km.SI.Tr.Road.Passenger.Car.PHEV.Gasoline</t>
  </si>
  <si>
    <t>VehicleKm_per_vehicle.km.SI.Tr.Road.Passenger.Car.BEV</t>
  </si>
  <si>
    <t>VehicleKm_per_vehicle.km.SI.Tr.Road.Passenger.Bus</t>
  </si>
  <si>
    <t>VehicleKm_per_vehicle.km.SI.Tr.Road.Passenger.Bus.ICE.Gasoline</t>
  </si>
  <si>
    <t>VehicleKm_per_vehicle.km.SI.Tr.Road.Passenger.Bus.ICE.Diesel</t>
  </si>
  <si>
    <t>VehicleKm_per_vehicle.km.SI.Tr.Road.Passenger.Bus.ICE.LPG</t>
  </si>
  <si>
    <t>VehicleKm_per_vehicle.km.SI.Tr.Road.Passenger.Bus.ICE.NGas</t>
  </si>
  <si>
    <t>VehicleKm_per_vehicle.km.SI.Tr.Road.Passenger.Bus.BEV</t>
  </si>
  <si>
    <t>VehicleKm_per_vehicle.km.SI.Tr.Road.Freight</t>
  </si>
  <si>
    <t>VehicleKm_per_vehicle.km.SI.Tr.Road.Freight.LCV</t>
  </si>
  <si>
    <t>VehicleKm_per_vehicle.km.SI.Tr.Road.Freight.LCV.ICE.Gasoline</t>
  </si>
  <si>
    <t>VehicleKm_per_vehicle.km.SI.Tr.Road.Freight.LCV.ICE.Diesel</t>
  </si>
  <si>
    <t>VehicleKm_per_vehicle.km.SI.Tr.Road.Freight.LCV.ICE.LPG</t>
  </si>
  <si>
    <t>VehicleKm_per_vehicle.km.SI.Tr.Road.Freight.LCV.ICE.NGas</t>
  </si>
  <si>
    <t>VehicleKm_per_vehicle.km.SI.Tr.Road.Freight.LCV.BEV</t>
  </si>
  <si>
    <t>VehicleKm_per_vehicle.km.SI.Tr.Road.Freight.HGV_All</t>
  </si>
  <si>
    <t>VehicleKm_per_vehicle.km.SI.Tr.Road.Freight.HGV_Domestic</t>
  </si>
  <si>
    <t>VehicleKm_per_vehicle.km.SI.Tr.Road.Freight.HGV_International</t>
  </si>
  <si>
    <t>Activity_per_vehicle.pkm.SI.Tr.Road.Passenger</t>
  </si>
  <si>
    <t>Activity_per_vehicle.pkm.SI.Tr.Road.Passenger.P2W</t>
  </si>
  <si>
    <t>Activity_per_vehicle.pkm.SI.Tr.Road.Passenger.Car</t>
  </si>
  <si>
    <t>Activity_per_vehicle.pkm.SI.Tr.Road.Passenger.Car.ICE.Gasoline</t>
  </si>
  <si>
    <t>Activity_per_vehicle.pkm.SI.Tr.Road.Passenger.Car.ICE.Diesel</t>
  </si>
  <si>
    <t>Activity_per_vehicle.pkm.SI.Tr.Road.Passenger.Car.ICE.LPG</t>
  </si>
  <si>
    <t>Activity_per_vehicle.pkm.SI.Tr.Road.Passenger.Car.ICE.NGas</t>
  </si>
  <si>
    <t>Activity_per_vehicle.pkm.SI.Tr.Road.Passenger.Car.PHEV.Gasoline</t>
  </si>
  <si>
    <t>Activity_per_vehicle.pkm.SI.Tr.Road.Passenger.Car.BEV</t>
  </si>
  <si>
    <t>Activity_per_vehicle.pkm.SI.Tr.Road.Passenger.Bus</t>
  </si>
  <si>
    <t>Activity_per_vehicle.pkm.SI.Tr.Road.Passenger.Bus.ICE.Gasoline</t>
  </si>
  <si>
    <t>Activity_per_vehicle.pkm.SI.Tr.Road.Passenger.Bus.ICE.Diesel</t>
  </si>
  <si>
    <t>Activity_per_vehicle.pkm.SI.Tr.Road.Passenger.Bus.ICE.LPG</t>
  </si>
  <si>
    <t>Activity_per_vehicle.pkm.SI.Tr.Road.Passenger.Bus.ICE.NGas</t>
  </si>
  <si>
    <t>Activity_per_vehicle.pkm.SI.Tr.Road.Passenger.Bus.BEV</t>
  </si>
  <si>
    <t>Activity_per_vehicle.tkm.SI.Tr.Road.Freight</t>
  </si>
  <si>
    <t>Activity_per_vehicle.tkm.SI.Tr.Road.Freight.LCV</t>
  </si>
  <si>
    <t>Activity_per_vehicle.tkm.SI.Tr.Road.Freight.LCV.ICE.Gasoline</t>
  </si>
  <si>
    <t>Activity_per_vehicle.tkm.SI.Tr.Road.Freight.LCV.ICE.Diesel</t>
  </si>
  <si>
    <t>Activity_per_vehicle.tkm.SI.Tr.Road.Freight.LCV.ICE.LPG</t>
  </si>
  <si>
    <t>Activity_per_vehicle.tkm.SI.Tr.Road.Freight.LCV.ICE.NGas</t>
  </si>
  <si>
    <t>Activity_per_vehicle.tkm.SI.Tr.Road.Freight.LCV.BEV</t>
  </si>
  <si>
    <t>Activity_per_vehicle.tkm.SI.Tr.Road.Freight.HGV_All</t>
  </si>
  <si>
    <t>Activity_per_vehicle.tkm.SI.Tr.Road.Freight.HGV_Domestic</t>
  </si>
  <si>
    <t>Activity_per_vehicle.tkm.SI.Tr.Road.Freight.HGV_International</t>
  </si>
  <si>
    <t>Road transport / energy consumption - SI - Slovenia</t>
  </si>
  <si>
    <t>FEC.ktoe.SI.ES.Tr.Road</t>
  </si>
  <si>
    <t>FEC.ktoe.SI.ES.Tr.Road.LPG</t>
  </si>
  <si>
    <t>FEC.ktoe.SI.ES.Tr.Road.Gasoline</t>
  </si>
  <si>
    <t>FEC.ktoe.SI.ES.Tr.Road.Diesel</t>
  </si>
  <si>
    <t>FEC.ktoe.SI.ES.Tr.Road.NG</t>
  </si>
  <si>
    <t>FEC.ktoe.SI.ES.Tr.Road.Biogas</t>
  </si>
  <si>
    <t>FEC.ktoe.SI.ES.Tr.Road.Biogasoline</t>
  </si>
  <si>
    <t>FEC.ktoe.SI.ES.Tr.Road.Biodiesel</t>
  </si>
  <si>
    <t>FEC.ktoe.SI.ES.Tr.Road.OthLiqBio</t>
  </si>
  <si>
    <t>FEC.ktoe.SI.ES.Tr.Road.Elec</t>
  </si>
  <si>
    <t>FEC.ktoe.SI.Tr.Road</t>
  </si>
  <si>
    <t>FEC.ktoe.SI.Tr.Road.Passenger.P2W.Total.Total.Biogasoline</t>
  </si>
  <si>
    <t>FEC.ktoe.SI.Tr.Road.Passenger.Car.ICE.Gasoline</t>
  </si>
  <si>
    <t>FEC.ktoe.SI.Tr.Road.Passenger.Car.ICE.Gasoline.Biogasoline</t>
  </si>
  <si>
    <t>FEC.ktoe.SI.Tr.Road.Passenger.Car.ICE.Diesel</t>
  </si>
  <si>
    <t>FEC.ktoe.SI.Tr.Road.Passenger.Car.ICE.Diesel.BioDiesel_OthLiqBio</t>
  </si>
  <si>
    <t>FEC.ktoe.SI.Tr.Road.Passenger.Car.ICE.LPG</t>
  </si>
  <si>
    <t>FEC.ktoe.SI.Tr.Road.Passenger.Car.ICE.NGas</t>
  </si>
  <si>
    <t>FEC.ktoe.SI.Tr.Road.Passenger.Car.ICE.NGas.Biogas</t>
  </si>
  <si>
    <t>FEC.ktoe.SI.Tr.Road.Passenger.Car.PHEV.Gasoline</t>
  </si>
  <si>
    <t>FEC.ktoe.SI.Tr.Road.Passenger.Car.PHEV.Gasoline.Biogasoline</t>
  </si>
  <si>
    <t>FEC.ktoe.SI.Tr.Road.Passenger.Car.PHEV.Gasoline.Elec</t>
  </si>
  <si>
    <t>FEC.ktoe.SI.Tr.Road.Passenger.Car.BEV</t>
  </si>
  <si>
    <t>FEC.ktoe.SI.Tr.Road.Passenger.Bus.ICE.Gasoline</t>
  </si>
  <si>
    <t>FEC.ktoe.SI.Tr.Road.Passenger.Bus.ICE.Gasoline.Biogasoline</t>
  </si>
  <si>
    <t>FEC.ktoe.SI.Tr.Road.Passenger.Bus.ICE.Diesel</t>
  </si>
  <si>
    <t>FEC.ktoe.SI.Tr.Road.Passenger.Bus.ICE.Diesel.BioDiesel_OthLiqBio</t>
  </si>
  <si>
    <t>FEC.ktoe.SI.Tr.Road.Passenger.Bus.ICE.LPG</t>
  </si>
  <si>
    <t>FEC.ktoe.SI.Tr.Road.Passenger.Bus.ICE.NGas</t>
  </si>
  <si>
    <t>FEC.ktoe.SI.Tr.Road.Passenger.Bus.ICE.NGas.Biogas</t>
  </si>
  <si>
    <t>FEC.ktoe.SI.Tr.Road.Passenger.Bus.BEV</t>
  </si>
  <si>
    <t>FEC.ktoe.SI.Tr.Road.Freight.LCV.ICE.Gasoline</t>
  </si>
  <si>
    <t>FEC.ktoe.SI.Tr.Road.Freight.LCV.ICE.Gasoline.Biogasoline</t>
  </si>
  <si>
    <t>FEC.ktoe.SI.Tr.Road.Freight.LCV.ICE.Diesel</t>
  </si>
  <si>
    <t>FEC.ktoe.SI.Tr.Road.Freight.LCV.ICE.Diesel.BioDiesel_OthLiqBio</t>
  </si>
  <si>
    <t>FEC.ktoe.SI.Tr.Road.Freight.LCV.ICE.LPG</t>
  </si>
  <si>
    <t>FEC.ktoe.SI.Tr.Road.Freight.LCV.ICE.NGas</t>
  </si>
  <si>
    <t>FEC.ktoe.SI.Tr.Road.Freight.LCV.ICE.NGas.Biogas</t>
  </si>
  <si>
    <t>FEC.ktoe.SI.Tr.Road.Freight.LCV.BEV</t>
  </si>
  <si>
    <t>FEC.ktoe.SI.Tr.Road.Freight.HGV_Domestic</t>
  </si>
  <si>
    <t>FEC.ktoe.SI.Tr.Road.Freight.HGV_Domestic.Total.Total.BioDiesel_OthLiqBio</t>
  </si>
  <si>
    <t>FEC.ktoe.SI.Tr.Road.Freight.HGV_International</t>
  </si>
  <si>
    <t>FEC.ktoe.SI.Tr.Road.Freight.HGV_International.Total.Total.BioDiesel_OthLiqBio</t>
  </si>
  <si>
    <t>Eff.kgoe_per_100km.SI.Tr.Road</t>
  </si>
  <si>
    <t>Eff.kgoe_per_100km.SI.Tr.Road.Passenger</t>
  </si>
  <si>
    <t>Eff.kgoe_per_100km.SI.Tr.Road.Passenger.P2W</t>
  </si>
  <si>
    <t>Eff.kgoe_per_100km.SI.Tr.Road.Passenger.Car</t>
  </si>
  <si>
    <t>Eff.kgoe_per_100km.SI.Tr.Road.Passenger.Car.ICE.Gasoline</t>
  </si>
  <si>
    <t>Eff.kgoe_per_100km.SI.Tr.Road.Passenger.Car.ICE.Diesel</t>
  </si>
  <si>
    <t>Eff.kgoe_per_100km.SI.Tr.Road.Passenger.Car.ICE.LPG</t>
  </si>
  <si>
    <t>Eff.kgoe_per_100km.SI.Tr.Road.Passenger.Car.ICE.NGas</t>
  </si>
  <si>
    <t>Eff.kgoe_per_100km.SI.Tr.Road.Passenger.Car.PHEV.Gasoline</t>
  </si>
  <si>
    <t>Eff.kgoe_per_100km.SI.Tr.Road.Passenger.Car.BEV</t>
  </si>
  <si>
    <t>Eff.kgoe_per_100km.SI.Tr.Road.Passenger.Bus</t>
  </si>
  <si>
    <t>Eff.kgoe_per_100km.SI.Tr.Road.Passenger.Bus.ICE.Gasoline</t>
  </si>
  <si>
    <t>Eff.kgoe_per_100km.SI.Tr.Road.Passenger.Bus.ICE.Diesel</t>
  </si>
  <si>
    <t>Eff.kgoe_per_100km.SI.Tr.Road.Passenger.Bus.ICE.LPG</t>
  </si>
  <si>
    <t>Eff.kgoe_per_100km.SI.Tr.Road.Passenger.Bus.ICE.NGas</t>
  </si>
  <si>
    <t>Eff.kgoe_per_100km.SI.Tr.Road.Passenger.Bus.BEV</t>
  </si>
  <si>
    <t>Eff.kgoe_per_100km.SI.Tr.Road.Freight</t>
  </si>
  <si>
    <t>Eff.kgoe_per_100km.SI.Tr.Road.Freight.LCV</t>
  </si>
  <si>
    <t>Eff.kgoe_per_100km.SI.Tr.Road.Freight.LCV.ICE.Gasoline</t>
  </si>
  <si>
    <t>Eff.kgoe_per_100km.SI.Tr.Road.Freight.LCV.ICE.Diesel</t>
  </si>
  <si>
    <t>Eff.kgoe_per_100km.SI.Tr.Road.Freight.LCV.ICE.LPG</t>
  </si>
  <si>
    <t>Eff.kgoe_per_100km.SI.Tr.Road.Freight.LCV.ICE.NGas</t>
  </si>
  <si>
    <t>Eff.kgoe_per_100km.SI.Tr.Road.Freight.LCV.BEV</t>
  </si>
  <si>
    <t>Eff.kgoe_per_100km.SI.Tr.Road.Freight.HGV_All</t>
  </si>
  <si>
    <t>Eff.kgoe_per_100km.SI.Tr.Road.Freight.HGV_Domestic</t>
  </si>
  <si>
    <t>Eff.kgoe_per_100km.SI.Tr.Road.Freight.HGV_International</t>
  </si>
  <si>
    <t>Eff.kgoe_per_kpkm.SI.Tr.Road.Passenger.Car.ICE.Gasoline</t>
  </si>
  <si>
    <t>Eff.kgoe_per_kpkm.SI.Tr.Road.Passenger.Car.ICE.Diesel</t>
  </si>
  <si>
    <t>Eff.kgoe_per_kpkm.SI.Tr.Road.Passenger.Car.ICE.LPG</t>
  </si>
  <si>
    <t>Eff.kgoe_per_kpkm.SI.Tr.Road.Passenger.Car.ICE.NGas</t>
  </si>
  <si>
    <t>Eff.kgoe_per_kpkm.SI.Tr.Road.Passenger.Car.PHEV.Gasoline</t>
  </si>
  <si>
    <t>Eff.kgoe_per_kpkm.SI.Tr.Road.Passenger.Car.BEV</t>
  </si>
  <si>
    <t>Eff.kgoe_per_kpkm.SI.Tr.Road.Passenger.Bus.ICE.Gasoline</t>
  </si>
  <si>
    <t>Eff.kgoe_per_kpkm.SI.Tr.Road.Passenger.Bus.ICE.Diesel</t>
  </si>
  <si>
    <t>Eff.kgoe_per_kpkm.SI.Tr.Road.Passenger.Bus.ICE.LPG</t>
  </si>
  <si>
    <t>Eff.kgoe_per_kpkm.SI.Tr.Road.Passenger.Bus.ICE.NGas</t>
  </si>
  <si>
    <t>Eff.kgoe_per_kpkm.SI.Tr.Road.Passenger.Bus.BEV</t>
  </si>
  <si>
    <t>Eff.kgoe_per_ktkm.SI.Tr.Road.Freight.LCV.ICE.Gasoline</t>
  </si>
  <si>
    <t>Eff.kgoe_per_ktkm.SI.Tr.Road.Freight.LCV.ICE.Diesel</t>
  </si>
  <si>
    <t>Eff.kgoe_per_ktkm.SI.Tr.Road.Freight.LCV.ICE.LPG</t>
  </si>
  <si>
    <t>Eff.kgoe_per_ktkm.SI.Tr.Road.Freight.LCV.ICE.NGas</t>
  </si>
  <si>
    <t>Eff.kgoe_per_ktkm.SI.Tr.Road.Freight.LCV.BEV</t>
  </si>
  <si>
    <t>Eff.kgoe_per_ktkm.SI.Tr.Road.Freight.HGV_Domestic</t>
  </si>
  <si>
    <t>Eff.kgoe_per_ktkm.SI.Tr.Road.Freight.HGV_International</t>
  </si>
  <si>
    <t>FEC_per_vehicle.kgoe.SI.Tr.Road.Passenger.P2W</t>
  </si>
  <si>
    <t>FEC_per_vehicle.kgoe.SI.Tr.Road.Passenger.Car</t>
  </si>
  <si>
    <t>FEC_per_vehicle.kgoe.SI.Tr.Road.Passenger.Car.ICE.Gasoline</t>
  </si>
  <si>
    <t>FEC_per_vehicle.kgoe.SI.Tr.Road.Passenger.Car.ICE.Diesel</t>
  </si>
  <si>
    <t>FEC_per_vehicle.kgoe.SI.Tr.Road.Passenger.Car.ICE.LPG</t>
  </si>
  <si>
    <t>FEC_per_vehicle.kgoe.SI.Tr.Road.Passenger.Car.ICE.NGas</t>
  </si>
  <si>
    <t>FEC_per_vehicle.kgoe.SI.Tr.Road.Passenger.Car.PHEV.Gasoline</t>
  </si>
  <si>
    <t>FEC_per_vehicle.kgoe.SI.Tr.Road.Passenger.Car.BEV</t>
  </si>
  <si>
    <t>FEC_per_vehicle.kgoe.SI.Tr.Road.Passenger.Bus</t>
  </si>
  <si>
    <t>FEC_per_vehicle.kgoe.SI.Tr.Road.Passenger.Bus.ICE.Gasoline</t>
  </si>
  <si>
    <t>FEC_per_vehicle.kgoe.SI.Tr.Road.Passenger.Bus.ICE.Diesel</t>
  </si>
  <si>
    <t>FEC_per_vehicle.kgoe.SI.Tr.Road.Passenger.Bus.ICE.LPG</t>
  </si>
  <si>
    <t>FEC_per_vehicle.kgoe.SI.Tr.Road.Passenger.Bus.ICE.NGas</t>
  </si>
  <si>
    <t>FEC_per_vehicle.kgoe.SI.Tr.Road.Passenger.Bus.BEV</t>
  </si>
  <si>
    <t>FEC_per_vehicle.kgoe.SI.Tr.Road.Freight.LCV</t>
  </si>
  <si>
    <t>FEC_per_vehicle.kgoe.SI.Tr.Road.Freight.LCV.ICE.Gasoline</t>
  </si>
  <si>
    <t>FEC_per_vehicle.kgoe.SI.Tr.Road.Freight.LCV.ICE.Diesel</t>
  </si>
  <si>
    <t>FEC_per_vehicle.kgoe.SI.Tr.Road.Freight.LCV.ICE.LPG</t>
  </si>
  <si>
    <t>FEC_per_vehicle.kgoe.SI.Tr.Road.Freight.LCV.ICE.NGas</t>
  </si>
  <si>
    <t>FEC_per_vehicle.kgoe.SI.Tr.Road.Freight.LCV.BEV</t>
  </si>
  <si>
    <t>FEC_per_vehicle.kgoe.SI.Tr.Road.Freight.HGV_All</t>
  </si>
  <si>
    <t>FEC_per_vehicle.kgoe.SI.Tr.Road.Freight.HGV_Domestic</t>
  </si>
  <si>
    <t>FEC_per_vehicle.kgoe.SI.Tr.Road.Freight.HGV_International</t>
  </si>
  <si>
    <t>Road transport / CO2 emissions - SI - Slovenia</t>
  </si>
  <si>
    <t>EMI.ktCO2.SI.ES.Tr.Road</t>
  </si>
  <si>
    <t>EMI.ktCO2.SI.ES.Tr.Road.LPG</t>
  </si>
  <si>
    <t>EMI.ktCO2.SI.ES.Tr.Road.Gasoline</t>
  </si>
  <si>
    <t>EMI.ktCO2.SI.ES.Tr.Road.Diesel</t>
  </si>
  <si>
    <t>EMI.ktCO2.SI.ES.Tr.Road.NG</t>
  </si>
  <si>
    <t>EMI.ktCO2.SI.ES.Tr.Road.Biogas</t>
  </si>
  <si>
    <t>EMI.ktCO2.SI.ES.Tr.Road.Biogasoline</t>
  </si>
  <si>
    <t>EMI.ktCO2.SI.ES.Tr.Road.Biodiesel</t>
  </si>
  <si>
    <t>EMI.ktCO2.SI.ES.Tr.Road.OthLiqBio</t>
  </si>
  <si>
    <t>EMI.ktCO2.SI.ES.Tr.Road.Elec</t>
  </si>
  <si>
    <t>EMI.ktCO2.SI.Tr.Road</t>
  </si>
  <si>
    <t>EMI.ktCO2.SI.Tr.Road.Passenger.Car.ICE.Gasoline</t>
  </si>
  <si>
    <t>EMI.ktCO2.SI.Tr.Road.Passenger.Car.ICE.Diesel</t>
  </si>
  <si>
    <t>EMI.ktCO2.SI.Tr.Road.Passenger.Car.ICE.LPG</t>
  </si>
  <si>
    <t>EMI.ktCO2.SI.Tr.Road.Passenger.Car.ICE.NGas</t>
  </si>
  <si>
    <t>EMI.ktCO2.SI.Tr.Road.Passenger.Car.PHEV.Gasoline</t>
  </si>
  <si>
    <t>EMI.ktCO2.SI.Tr.Road.Passenger.Car.BEV</t>
  </si>
  <si>
    <t>EMI.ktCO2.SI.Tr.Road.Passenger.Bus.ICE.Gasoline</t>
  </si>
  <si>
    <t>EMI.ktCO2.SI.Tr.Road.Passenger.Bus.ICE.Diesel</t>
  </si>
  <si>
    <t>EMI.ktCO2.SI.Tr.Road.Passenger.Bus.ICE.LPG</t>
  </si>
  <si>
    <t>EMI.ktCO2.SI.Tr.Road.Passenger.Bus.ICE.NGas</t>
  </si>
  <si>
    <t>EMI.ktCO2.SI.Tr.Road.Passenger.Bus.BEV</t>
  </si>
  <si>
    <t>EMI.ktCO2.SI.Tr.Road.Freight.LCV.ICE.Gasoline</t>
  </si>
  <si>
    <t>EMI.ktCO2.SI.Tr.Road.Freight.LCV.ICE.Diesel</t>
  </si>
  <si>
    <t>EMI.ktCO2.SI.Tr.Road.Freight.LCV.ICE.LPG</t>
  </si>
  <si>
    <t>EMI.ktCO2.SI.Tr.Road.Freight.LCV.ICE.NGas</t>
  </si>
  <si>
    <t>EMI.ktCO2.SI.Tr.Road.Freight.LCV.BEV</t>
  </si>
  <si>
    <t>EMI.ktCO2.SI.Tr.Road.Freight.HGV_Domestic</t>
  </si>
  <si>
    <t>EMI.ktCO2.SI.Tr.Road.Freight.HGV_International</t>
  </si>
  <si>
    <t>EMIint.gCO2_per_km.SI.Tr.Road</t>
  </si>
  <si>
    <t>EMIint.gCO2_per_km.SI.Tr.Road.Passenger</t>
  </si>
  <si>
    <t>EMIint.gCO2_per_km.SI.Tr.Road.Passenger.P2W</t>
  </si>
  <si>
    <t>EMIint.gCO2_per_km.SI.Tr.Road.Passenger.Car</t>
  </si>
  <si>
    <t>EMIint.gCO2_per_km.SI.Tr.Road.Passenger.Car.ICE.Gasoline</t>
  </si>
  <si>
    <t>EMIint.gCO2_per_km.SI.Tr.Road.Passenger.Car.ICE.Diesel</t>
  </si>
  <si>
    <t>EMIint.gCO2_per_km.SI.Tr.Road.Passenger.Car.ICE.LPG</t>
  </si>
  <si>
    <t>EMIint.gCO2_per_km.SI.Tr.Road.Passenger.Car.ICE.NGas</t>
  </si>
  <si>
    <t>EMIint.gCO2_per_km.SI.Tr.Road.Passenger.Car.PHEV.Gasoline</t>
  </si>
  <si>
    <t>EMIint.gCO2_per_km.SI.Tr.Road.Passenger.Car.BEV</t>
  </si>
  <si>
    <t>EMIint.gCO2_per_km.SI.Tr.Road.Passenger.Bus</t>
  </si>
  <si>
    <t>EMIint.gCO2_per_km.SI.Tr.Road.Passenger.Bus.ICE.Gasoline</t>
  </si>
  <si>
    <t>EMIint.gCO2_per_km.SI.Tr.Road.Passenger.Bus.ICE.Diesel</t>
  </si>
  <si>
    <t>EMIint.gCO2_per_km.SI.Tr.Road.Passenger.Bus.ICE.LPG</t>
  </si>
  <si>
    <t>EMIint.gCO2_per_km.SI.Tr.Road.Passenger.Bus.ICE.NGas</t>
  </si>
  <si>
    <t>EMIint.gCO2_per_km.SI.Tr.Road.Passenger.Bus.BEV</t>
  </si>
  <si>
    <t>EMIint.gCO2_per_km.SI.Tr.Road.Freight</t>
  </si>
  <si>
    <t>EMIint.gCO2_per_km.SI.Tr.Road.Freight.LCV</t>
  </si>
  <si>
    <t>EMIint.gCO2_per_km.SI.Tr.Road.Freight.LCV.ICE.Gasoline</t>
  </si>
  <si>
    <t>EMIint.gCO2_per_km.SI.Tr.Road.Freight.LCV.ICE.Diesel</t>
  </si>
  <si>
    <t>EMIint.gCO2_per_km.SI.Tr.Road.Freight.LCV.ICE.LPG</t>
  </si>
  <si>
    <t>EMIint.gCO2_per_km.SI.Tr.Road.Freight.LCV.ICE.NGas</t>
  </si>
  <si>
    <t>EMIint.gCO2_per_km.SI.Tr.Road.Freight.LCV.BEV</t>
  </si>
  <si>
    <t>EMIint.gCO2_per_km.SI.Tr.Road.Freight.HGV_All</t>
  </si>
  <si>
    <t>EMIint.gCO2_per_km.SI.Tr.Road.Freight.HGV_Domestic</t>
  </si>
  <si>
    <t>EMIint.gCO2_per_km.SI.Tr.Road.Freight.HGV_International</t>
  </si>
  <si>
    <t>EMIint.gCO2_per_pkm.SI.Tr.Road.Passenger.Car.ICE.Gasoline</t>
  </si>
  <si>
    <t>EMIint.gCO2_per_pkm.SI.Tr.Road.Passenger.Car.ICE.Diesel</t>
  </si>
  <si>
    <t>EMIint.gCO2_per_pkm.SI.Tr.Road.Passenger.Car.ICE.LPG</t>
  </si>
  <si>
    <t>EMIint.gCO2_per_pkm.SI.Tr.Road.Passenger.Car.ICE.NGas</t>
  </si>
  <si>
    <t>EMIint.gCO2_per_pkm.SI.Tr.Road.Passenger.Car.PHEV.Gasoline</t>
  </si>
  <si>
    <t>EMIint.gCO2_per_pkm.SI.Tr.Road.Passenger.Car.BEV</t>
  </si>
  <si>
    <t>EMIint.gCO2_per_pkm.SI.Tr.Road.Passenger.Bus.ICE.Gasoline</t>
  </si>
  <si>
    <t>EMIint.gCO2_per_pkm.SI.Tr.Road.Passenger.Bus.ICE.Diesel</t>
  </si>
  <si>
    <t>EMIint.gCO2_per_pkm.SI.Tr.Road.Passenger.Bus.ICE.LPG</t>
  </si>
  <si>
    <t>EMIint.gCO2_per_pkm.SI.Tr.Road.Passenger.Bus.ICE.NGas</t>
  </si>
  <si>
    <t>EMIint.gCO2_per_pkm.SI.Tr.Road.Passenger.Bus.BEV</t>
  </si>
  <si>
    <t>EMIint.gCO2_per_tkm.SI.Tr.Road.Freight.LCV.ICE.Gasoline</t>
  </si>
  <si>
    <t>EMIint.gCO2_per_tkm.SI.Tr.Road.Freight.LCV.ICE.Diesel</t>
  </si>
  <si>
    <t>EMIint.gCO2_per_tkm.SI.Tr.Road.Freight.LCV.ICE.LPG</t>
  </si>
  <si>
    <t>EMIint.gCO2_per_tkm.SI.Tr.Road.Freight.LCV.ICE.NGas</t>
  </si>
  <si>
    <t>EMIint.gCO2_per_tkm.SI.Tr.Road.Freight.LCV.BEV</t>
  </si>
  <si>
    <t>EMIint.gCO2_per_tkm.SI.Tr.Road.Freight.HGV_Domestic</t>
  </si>
  <si>
    <t>EMIint.gCO2_per_tkm.SI.Tr.Road.Freight.HGV_International</t>
  </si>
  <si>
    <t>EMI_per_vehicle.kgCO2.SI.Tr.Road.Passenger.P2W</t>
  </si>
  <si>
    <t>EMI_per_vehicle.kgCO2.SI.Tr.Road.Passenger.Car</t>
  </si>
  <si>
    <t>EMI_per_vehicle.kgCO2.SI.Tr.Road.Passenger.Car.ICE.Gasoline</t>
  </si>
  <si>
    <t>EMI_per_vehicle.kgCO2.SI.Tr.Road.Passenger.Car.ICE.Diesel</t>
  </si>
  <si>
    <t>EMI_per_vehicle.kgCO2.SI.Tr.Road.Passenger.Car.ICE.LPG</t>
  </si>
  <si>
    <t>EMI_per_vehicle.kgCO2.SI.Tr.Road.Passenger.Car.ICE.NGas</t>
  </si>
  <si>
    <t>EMI_per_vehicle.kgCO2.SI.Tr.Road.Passenger.Car.PHEV.Gasoline</t>
  </si>
  <si>
    <t>EMI_per_vehicle.kgCO2.SI.Tr.Road.Passenger.Car.BEV</t>
  </si>
  <si>
    <t>EMI_per_vehicle.kgCO2.SI.Tr.Road.Passenger.Bus</t>
  </si>
  <si>
    <t>EMI_per_vehicle.kgCO2.SI.Tr.Road.Passenger.Bus.ICE.Gasoline</t>
  </si>
  <si>
    <t>EMI_per_vehicle.kgCO2.SI.Tr.Road.Passenger.Bus.ICE.Diesel</t>
  </si>
  <si>
    <t>EMI_per_vehicle.kgCO2.SI.Tr.Road.Passenger.Bus.ICE.LPG</t>
  </si>
  <si>
    <t>EMI_per_vehicle.kgCO2.SI.Tr.Road.Passenger.Bus.ICE.NGas</t>
  </si>
  <si>
    <t>EMI_per_vehicle.kgCO2.SI.Tr.Road.Passenger.Bus.BEV</t>
  </si>
  <si>
    <t>EMI_per_vehicle.kgCO2.SI.Tr.Road.Freight.LCV</t>
  </si>
  <si>
    <t>EMI_per_vehicle.kgCO2.SI.Tr.Road.Freight.LCV.ICE.Gasoline</t>
  </si>
  <si>
    <t>EMI_per_vehicle.kgCO2.SI.Tr.Road.Freight.LCV.ICE.Diesel</t>
  </si>
  <si>
    <t>EMI_per_vehicle.kgCO2.SI.Tr.Road.Freight.LCV.ICE.LPG</t>
  </si>
  <si>
    <t>EMI_per_vehicle.kgCO2.SI.Tr.Road.Freight.LCV.ICE.NGas</t>
  </si>
  <si>
    <t>EMI_per_vehicle.kgCO2.SI.Tr.Road.Freight.LCV.BEV</t>
  </si>
  <si>
    <t>EMI_per_vehicle.kgCO2.SI.Tr.Road.Freight.HGV_All</t>
  </si>
  <si>
    <t>EMI_per_vehicle.kgCO2.SI.Tr.Road.Freight.HGV_Domestic</t>
  </si>
  <si>
    <t>EMI_per_vehicle.kgCO2.SI.Tr.Road.Freight.HGV_International</t>
  </si>
  <si>
    <t>Road transport / technologies - SI - Slovenia</t>
  </si>
  <si>
    <t>Stock.number.SI.Tr.Road.Freight.HGV_all</t>
  </si>
  <si>
    <t>StockVin.number.SI.Tr.Road</t>
  </si>
  <si>
    <t>StockVin.number.SI.Tr.Road.Passenger</t>
  </si>
  <si>
    <t>StockVin.number.SI.Tr.Road.Passenger.P2W</t>
  </si>
  <si>
    <t>StockVin.number.SI.Tr.Road.Passenger.Car</t>
  </si>
  <si>
    <t>StockVin.number.SI.Tr.Road.Passenger.Car.ICE.Gasoline</t>
  </si>
  <si>
    <t>StockVin.number.SI.Tr.Road.Passenger.Car.ICE.Diesel</t>
  </si>
  <si>
    <t>StockVin.number.SI.Tr.Road.Passenger.Car.ICE.LPG</t>
  </si>
  <si>
    <t>StockVin.number.SI.Tr.Road.Passenger.Car.ICE.NGas</t>
  </si>
  <si>
    <t>StockVin.number.SI.Tr.Road.Passenger.Car.PHEV.Gasoline</t>
  </si>
  <si>
    <t>StockVin.number.SI.Tr.Road.Passenger.Car.BEV</t>
  </si>
  <si>
    <t>StockVin.number.SI.Tr.Road.Passenger.Bus</t>
  </si>
  <si>
    <t>StockVin.number.SI.Tr.Road.Passenger.Bus.ICE.Gasoline</t>
  </si>
  <si>
    <t>StockVin.number.SI.Tr.Road.Passenger.Bus.ICE.Diesel</t>
  </si>
  <si>
    <t>StockVin.number.SI.Tr.Road.Passenger.Bus.ICE.LPG</t>
  </si>
  <si>
    <t>StockVin.number.SI.Tr.Road.Passenger.Bus.ICE.NGas</t>
  </si>
  <si>
    <t>StockVin.number.SI.Tr.Road.Passenger.Bus.BEV</t>
  </si>
  <si>
    <t>StockVin.number.SI.Tr.Road.Freight</t>
  </si>
  <si>
    <t>StockVin.number.SI.Tr.Road.Freight.LCV</t>
  </si>
  <si>
    <t>StockVin.number.SI.Tr.Road.Freight.LCV.ICE.Gasoline</t>
  </si>
  <si>
    <t>StockVin.number.SI.Tr.Road.Freight.LCV.ICE.Diesel</t>
  </si>
  <si>
    <t>StockVin.number.SI.Tr.Road.Freight.LCV.ICE.LPG</t>
  </si>
  <si>
    <t>StockVin.number.SI.Tr.Road.Freight.LCV.ICE.NGas</t>
  </si>
  <si>
    <t>StockVin.number.SI.Tr.Road.Freight.LCV.BEV</t>
  </si>
  <si>
    <t>StockVin.number.SI.Tr.Road.Freight.HGV_All</t>
  </si>
  <si>
    <t>StockVin.number.SI.Tr.Road.Freight.HGV_Domestic</t>
  </si>
  <si>
    <t>StockVin.number.SI.Tr.Road.Freight.HGV_International</t>
  </si>
  <si>
    <t>Eff_test_stock.kgoe_per_100km.SI.Tr.Road.Passenger.P2W</t>
  </si>
  <si>
    <t>Eff_test_stock.kgoe_per_100km.SI.Tr.Road.Passenger.Car</t>
  </si>
  <si>
    <t>Eff_test_stock.kgoe_per_100km.SI.Tr.Road.Passenger.Car.ICE.Gasoline</t>
  </si>
  <si>
    <t>Eff_test_stock.kgoe_per_100km.SI.Tr.Road.Passenger.Car.ICE.Diesel</t>
  </si>
  <si>
    <t>Eff_test_stock.kgoe_per_100km.SI.Tr.Road.Passenger.Car.ICE.LPG</t>
  </si>
  <si>
    <t>Eff_test_stock.kgoe_per_100km.SI.Tr.Road.Passenger.Car.ICE.NGas</t>
  </si>
  <si>
    <t>Eff_test_stock.kgoe_per_100km.SI.Tr.Road.Passenger.Car.PHEV.Gasoline</t>
  </si>
  <si>
    <t>Eff_test_stock.kgoe_per_100km.SI.Tr.Road.Passenger.Car.BEV</t>
  </si>
  <si>
    <t>Eff_test_stock.kgoe_per_100km.SI.Tr.Road.Passenger.Bus</t>
  </si>
  <si>
    <t>Eff_test_stock.kgoe_per_100km.SI.Tr.Road.Passenger.Bus.ICE.Gasoline</t>
  </si>
  <si>
    <t>Eff_test_stock.kgoe_per_100km.SI.Tr.Road.Passenger.Bus.ICE.Diesel</t>
  </si>
  <si>
    <t>Eff_test_stock.kgoe_per_100km.SI.Tr.Road.Passenger.Bus.ICE.LPG</t>
  </si>
  <si>
    <t>Eff_test_stock.kgoe_per_100km.SI.Tr.Road.Passenger.Bus.ICE.NGas</t>
  </si>
  <si>
    <t>Eff_test_stock.kgoe_per_100km.SI.Tr.Road.Passenger.Bus.BEV</t>
  </si>
  <si>
    <t>Eff_test_stock.kgoe_per_100km.SI.Tr.Road.Freight.LCV</t>
  </si>
  <si>
    <t>Eff_test_stock.kgoe_per_100km.SI.Tr.Road.Freight.LCV.ICE.Gasoline</t>
  </si>
  <si>
    <t>Eff_test_stock.kgoe_per_100km.SI.Tr.Road.Freight.LCV.ICE.Diesel</t>
  </si>
  <si>
    <t>Eff_test_stock.kgoe_per_100km.SI.Tr.Road.Freight.LCV.ICE.LPG</t>
  </si>
  <si>
    <t>Eff_test_stock.kgoe_per_100km.SI.Tr.Road.Freight.LCV.ICE.NGas</t>
  </si>
  <si>
    <t>Eff_test_stock.kgoe_per_100km.SI.Tr.Road.Freight.LCV.BEV</t>
  </si>
  <si>
    <t>Eff_test_stock.kgoe_per_100km.SI.Tr.Road.Freight.HGV_All</t>
  </si>
  <si>
    <t>Eff_test_stock.kgoe_per_100km.SI.Tr.Road.Freight.HGV_Domestic</t>
  </si>
  <si>
    <t>Eff_test_stock.kgoe_per_100km.SI.Tr.Road.Freight.HGV_International</t>
  </si>
  <si>
    <t>Eff_test_new.kgoe_per_100km.SI.Tr.Road.Passenger.P2W</t>
  </si>
  <si>
    <t>Eff_test_new.kgoe_per_100km.SI.Tr.Road.Passenger.Car</t>
  </si>
  <si>
    <t>Eff_test_new.kgoe_per_100km.SI.Tr.Road.Passenger.Car.ICE.Gasoline</t>
  </si>
  <si>
    <t>Eff_test_new.kgoe_per_100km.SI.Tr.Road.Passenger.Car.ICE.Diesel</t>
  </si>
  <si>
    <t>Eff_test_new.kgoe_per_100km.SI.Tr.Road.Passenger.Car.ICE.LPG</t>
  </si>
  <si>
    <t>Eff_test_new.kgoe_per_100km.SI.Tr.Road.Passenger.Car.ICE.NGas</t>
  </si>
  <si>
    <t>Eff_test_new.kgoe_per_100km.SI.Tr.Road.Passenger.Car.PHEV.Gasoline</t>
  </si>
  <si>
    <t>Eff_test_new.kgoe_per_100km.SI.Tr.Road.Passenger.Car.BEV</t>
  </si>
  <si>
    <t>Eff_test_new.kgoe_per_100km.SI.Tr.Road.Passenger.Bus</t>
  </si>
  <si>
    <t>Eff_test_new.kgoe_per_100km.SI.Tr.Road.Passenger.Bus.ICE.Gasoline</t>
  </si>
  <si>
    <t>Eff_test_new.kgoe_per_100km.SI.Tr.Road.Passenger.Bus.ICE.Diesel</t>
  </si>
  <si>
    <t>Eff_test_new.kgoe_per_100km.SI.Tr.Road.Passenger.Bus.ICE.LPG</t>
  </si>
  <si>
    <t>Eff_test_new.kgoe_per_100km.SI.Tr.Road.Passenger.Bus.ICE.NGas</t>
  </si>
  <si>
    <t>Eff_test_new.kgoe_per_100km.SI.Tr.Road.Passenger.Bus.BEV</t>
  </si>
  <si>
    <t>Eff_test_new.kgoe_per_100km.SI.Tr.Road.Freight.LCV</t>
  </si>
  <si>
    <t>Eff_test_new.kgoe_per_100km.SI.Tr.Road.Freight.LCV.ICE.Gasoline</t>
  </si>
  <si>
    <t>Eff_test_new.kgoe_per_100km.SI.Tr.Road.Freight.LCV.ICE.Diesel</t>
  </si>
  <si>
    <t>Eff_test_new.kgoe_per_100km.SI.Tr.Road.Freight.LCV.ICE.LPG</t>
  </si>
  <si>
    <t>Eff_test_new.kgoe_per_100km.SI.Tr.Road.Freight.LCV.ICE.NGas</t>
  </si>
  <si>
    <t>Eff_test_new.kgoe_per_100km.SI.Tr.Road.Freight.LCV.BEV</t>
  </si>
  <si>
    <t>Eff_test_new.kgoe_per_100km.SI.Tr.Road.Freight.HGV_All</t>
  </si>
  <si>
    <t>Eff_test_new.kgoe_per_100km.SI.Tr.Road.Freight.HGV_Domestic</t>
  </si>
  <si>
    <t>Eff_test_new.kgoe_per_100km.SI.Tr.Road.Freight.HGV_International</t>
  </si>
  <si>
    <t>EMIint_test_stock.gCO2_per_km.SI.Tr.Road.Passenger.P2W</t>
  </si>
  <si>
    <t>EMIint_test_stock.gCO2_per_km.SI.Tr.Road.Passenger.Car</t>
  </si>
  <si>
    <t>EMIint_test_stock.gCO2_per_km.SI.Tr.Road.Passenger.Car.ICE.Gasoline</t>
  </si>
  <si>
    <t>EMIint_test_stock.gCO2_per_km.SI.Tr.Road.Passenger.Car.ICE.Diesel</t>
  </si>
  <si>
    <t>EMIint_test_stock.gCO2_per_km.SI.Tr.Road.Passenger.Car.ICE.LPG</t>
  </si>
  <si>
    <t>EMIint_test_stock.gCO2_per_km.SI.Tr.Road.Passenger.Car.ICE.NGas</t>
  </si>
  <si>
    <t>EMIint_test_stock.gCO2_per_km.SI.Tr.Road.Passenger.Car.PHEV.Gasoline</t>
  </si>
  <si>
    <t>EMIint_test_stock.gCO2_per_km.SI.Tr.Road.Passenger.Car.BEV</t>
  </si>
  <si>
    <t>EMIint_test_stock.gCO2_per_km.SI.Tr.Road.Passenger.Bus</t>
  </si>
  <si>
    <t>EMIint_test_stock.gCO2_per_km.SI.Tr.Road.Passenger.Bus.ICE.Gasoline</t>
  </si>
  <si>
    <t>EMIint_test_stock.gCO2_per_km.SI.Tr.Road.Passenger.Bus.ICE.Diesel</t>
  </si>
  <si>
    <t>EMIint_test_stock.gCO2_per_km.SI.Tr.Road.Passenger.Bus.ICE.LPG</t>
  </si>
  <si>
    <t>EMIint_test_stock.gCO2_per_km.SI.Tr.Road.Passenger.Bus.ICE.NGas</t>
  </si>
  <si>
    <t>EMIint_test_stock.gCO2_per_km.SI.Tr.Road.Passenger.Bus.BEV</t>
  </si>
  <si>
    <t>EMIint_test_stock.gCO2_per_km.SI.Tr.Road.Freight.LCV</t>
  </si>
  <si>
    <t>EMIint_test_stock.gCO2_per_km.SI.Tr.Road.Freight.LCV.ICE.Gasoline</t>
  </si>
  <si>
    <t>EMIint_test_stock.gCO2_per_km.SI.Tr.Road.Freight.LCV.ICE.Diesel</t>
  </si>
  <si>
    <t>EMIint_test_stock.gCO2_per_km.SI.Tr.Road.Freight.LCV.ICE.LPG</t>
  </si>
  <si>
    <t>EMIint_test_stock.gCO2_per_km.SI.Tr.Road.Freight.LCV.ICE.NGas</t>
  </si>
  <si>
    <t>EMIint_test_stock.gCO2_per_km.SI.Tr.Road.Freight.LCV.BEV</t>
  </si>
  <si>
    <t>EMIint_test_stock.gCO2_per_km.SI.Tr.Road.Freight.HGV_All</t>
  </si>
  <si>
    <t>EMIint_test_stock.gCO2_per_km.SI.Tr.Road.Freight.HGV_Domestic</t>
  </si>
  <si>
    <t>EMIint_test_stock.gCO2_per_km.SI.Tr.Road.Freight.HGV_International</t>
  </si>
  <si>
    <t>EMIint_test_new.gCO2_per_km.SI.Tr.Road.Passenger.P2W</t>
  </si>
  <si>
    <t>EMIint_test_new.gCO2_per_km.SI.Tr.Road.Passenger.Car</t>
  </si>
  <si>
    <t>EMIint_test_new.gCO2_per_km.SI.Tr.Road.Passenger.Car.ICE.Gasoline</t>
  </si>
  <si>
    <t>EMIint_test_new.gCO2_per_km.SI.Tr.Road.Passenger.Car.ICE.Diesel</t>
  </si>
  <si>
    <t>EMIint_test_new.gCO2_per_km.SI.Tr.Road.Passenger.Car.ICE.LPG</t>
  </si>
  <si>
    <t>EMIint_test_new.gCO2_per_km.SI.Tr.Road.Passenger.Car.ICE.NGas</t>
  </si>
  <si>
    <t>EMIint_test_new.gCO2_per_km.SI.Tr.Road.Passenger.Car.PHEV.Gasoline</t>
  </si>
  <si>
    <t>EMIint_test_new.gCO2_per_km.SI.Tr.Road.Passenger.Car.BEV</t>
  </si>
  <si>
    <t>EMIint_test_new.gCO2_per_km.SI.Tr.Road.Passenger.Bus</t>
  </si>
  <si>
    <t>EMIint_test_new.gCO2_per_km.SI.Tr.Road.Passenger.Bus.ICE.Gasoline</t>
  </si>
  <si>
    <t>EMIint_test_new.gCO2_per_km.SI.Tr.Road.Passenger.Bus.ICE.Diesel</t>
  </si>
  <si>
    <t>EMIint_test_new.gCO2_per_km.SI.Tr.Road.Passenger.Bus.ICE.LPG</t>
  </si>
  <si>
    <t>EMIint_test_new.gCO2_per_km.SI.Tr.Road.Passenger.Bus.ICE.NGas</t>
  </si>
  <si>
    <t>EMIint_test_new.gCO2_per_km.SI.Tr.Road.Passenger.Bus.BEV</t>
  </si>
  <si>
    <t>EMIint_test_new.gCO2_per_km.SI.Tr.Road.Freight.LCV</t>
  </si>
  <si>
    <t>EMIint_test_new.gCO2_per_km.SI.Tr.Road.Freight.LCV.ICE.Gasoline</t>
  </si>
  <si>
    <t>EMIint_test_new.gCO2_per_km.SI.Tr.Road.Freight.LCV.ICE.Diesel</t>
  </si>
  <si>
    <t>EMIint_test_new.gCO2_per_km.SI.Tr.Road.Freight.LCV.ICE.LPG</t>
  </si>
  <si>
    <t>EMIint_test_new.gCO2_per_km.SI.Tr.Road.Freight.LCV.ICE.NGas</t>
  </si>
  <si>
    <t>EMIint_test_new.gCO2_per_km.SI.Tr.Road.Freight.LCV.BEV</t>
  </si>
  <si>
    <t>EMIint_test_new.gCO2_per_km.SI.Tr.Road.Freight.HGV_All</t>
  </si>
  <si>
    <t>EMIint_test_new.gCO2_per_km.SI.Tr.Road.Freight.HGV_Domestic</t>
  </si>
  <si>
    <t>EMIint_test_new.gCO2_per_km.SI.Tr.Road.Freight.HGV_International</t>
  </si>
  <si>
    <t>FEC.ktoe.SI.MBunk</t>
  </si>
  <si>
    <t>FEC.ktoe.SI.MBunk.IntraEEA</t>
  </si>
  <si>
    <t>FEC.ktoe.SI.MBunk.ExtraEEA</t>
  </si>
  <si>
    <t>EMI.ktCO2.SI.MBunk</t>
  </si>
  <si>
    <t>EMI.ktCO2.SI.MBunk.IntraEEA</t>
  </si>
  <si>
    <t>EMI.ktCO2.SI.MBunk.ExtraEEA</t>
  </si>
  <si>
    <t>International maritime bunkers - SI - Slovenia</t>
  </si>
  <si>
    <t>VehicleKm.Mkm.SI.MBunk.Freight</t>
  </si>
  <si>
    <t>VehicleKm.Mkm.SI.MBunk.Freight.IntraEEA</t>
  </si>
  <si>
    <t>VehicleKm.Mkm.SI.MBunk.Freight.ExtraEEA</t>
  </si>
  <si>
    <t>Load.t_per_movement.SI.MBunk.Freight</t>
  </si>
  <si>
    <t>Load.t_per_movement.SI.MBunk.Freight.IntraEEA</t>
  </si>
  <si>
    <t>Load.t_per_movement.SI.MBunk.Freight.ExtraEEA</t>
  </si>
  <si>
    <t>International maritime bunkers / energy consumption - SI - Slovenia</t>
  </si>
  <si>
    <t>FEC.ktoe.SI.ES.MBunk</t>
  </si>
  <si>
    <t>FEC.ktoe.SI.ES.MBunk.IntraEEA</t>
  </si>
  <si>
    <t>FEC.ktoe.SI.ES.MBunk.IntraEEA.Diesel</t>
  </si>
  <si>
    <t>FEC.ktoe.SI.ES.MBunk.IntraEEA.RFO_Other</t>
  </si>
  <si>
    <t>FEC.ktoe.SI.ES.MBunk.IntraEEA.LiqBio</t>
  </si>
  <si>
    <t>FEC.ktoe.SI.ES.MBunk.IntraEEA.NG</t>
  </si>
  <si>
    <t>FEC.ktoe.SI.ES.MBunk.IntraEEA.Biogas</t>
  </si>
  <si>
    <t>FEC.ktoe.SI.ES.MBunk.ExtraEEA</t>
  </si>
  <si>
    <t>FEC.ktoe.SI.ES.MBunk.ExtraEEA.Diesel</t>
  </si>
  <si>
    <t>FEC.ktoe.SI.ES.MBunk.ExtraEEA.RFO_Other</t>
  </si>
  <si>
    <t>FEC.ktoe.SI.ES.MBunk.ExtraEEA.LiqBio</t>
  </si>
  <si>
    <t>FEC.ktoe.SI.ES.MBunk.ExtraEEA.NG</t>
  </si>
  <si>
    <t>FEC.ktoe.SI.ES.MBunk.ExtraEEA.Biogas</t>
  </si>
  <si>
    <t>Eff.kgoe_per_100km.SI.MBunk.Freight</t>
  </si>
  <si>
    <t>Eff.kgoe_per_100km.SI.MBunk.Freight.IntraEEA</t>
  </si>
  <si>
    <t>Eff.kgoe_per_100km.SI.MBunk.Freight.ExtraEEA</t>
  </si>
  <si>
    <t>International maritime bunkers / CO2 emissions - SI - Slovenia</t>
  </si>
  <si>
    <t>EMI.ktCO2.SI.ES.MBunk</t>
  </si>
  <si>
    <t>EMI.ktCO2.SI.ES.MBunk.IntraEEA</t>
  </si>
  <si>
    <t>EMI.ktCO2.SI.ES.MBunk.ExtraEEA</t>
  </si>
  <si>
    <t>EMIint.gCO2_per_km.SI.MBunk.Freight</t>
  </si>
  <si>
    <t>EMIint.gCO2_per_km.SI.MBunk.Freight.IntraEEA</t>
  </si>
  <si>
    <t>EMIint.gCO2_per_km.SI.MBunk.Freight.ExtraEEA</t>
  </si>
  <si>
    <t>FEC.ktoe.SI.Tr.DNavi</t>
  </si>
  <si>
    <t>FEC.ktoe.SI.Tr.Dnavi.DCS</t>
  </si>
  <si>
    <t>FEC.ktoe.SI.Tr.Dnavi.IWW</t>
  </si>
  <si>
    <t>EMI.ktCO2.SI.Tr.DNavi</t>
  </si>
  <si>
    <t>EMI.ktCO2.SI.Tr.Dnavi.DCS</t>
  </si>
  <si>
    <t>EMI.ktCO2.SI.Tr.Dnavi.IWW</t>
  </si>
  <si>
    <t>Domestic navigation - SI - Slovenia</t>
  </si>
  <si>
    <t>VehicleKm.Mkm.SI.Tr.DNavi.Freight</t>
  </si>
  <si>
    <t>VehicleKm.Mkm.SI.Tr.DNavi.Freight.DCS</t>
  </si>
  <si>
    <t>VehicleKm.Mkm.SI.Tr.DNavi.Freight.IWW</t>
  </si>
  <si>
    <t>Load.t_per_movement.SI.Tr.DNavi.Freight</t>
  </si>
  <si>
    <t>Load.t_per_movement.SI.Tr.DNavi.Freight.DCS</t>
  </si>
  <si>
    <t>Load.t_per_movement.SI.Tr.DNavi.Freight.IWW</t>
  </si>
  <si>
    <t>Domestic navigation / energy consumption - SI - Slovenia</t>
  </si>
  <si>
    <t>FEC.ktoe.SI.ES.Tr.DNavi</t>
  </si>
  <si>
    <t>FEC.ktoe.SI.ES.Tr.DNavi.DCS</t>
  </si>
  <si>
    <t>FEC.ktoe.SI.ES.Tr.DNavi.DCS.Diesel</t>
  </si>
  <si>
    <t>FEC.ktoe.SI.ES.Tr.DNavi.DCS.RFO_Other</t>
  </si>
  <si>
    <t>FEC.ktoe.SI.ES.Tr.DNavi.DCS.LiqBio</t>
  </si>
  <si>
    <t>FEC.ktoe.SI.ES.Tr.DNavi.DCS.NG</t>
  </si>
  <si>
    <t>FEC.ktoe.SI.ES.Tr.DNavi.DCS.Biogas</t>
  </si>
  <si>
    <t>FEC.ktoe.SI.ES.Tr.DNavi.IWW</t>
  </si>
  <si>
    <t>FEC.ktoe.SI.ES.Tr.DNavi.IWW.Diesel</t>
  </si>
  <si>
    <t>FEC.ktoe.SI.ES.Tr.DNavi.IWW.RFO_Other</t>
  </si>
  <si>
    <t>FEC.ktoe.SI.ES.Tr.DNavi.IWW.LiqBio</t>
  </si>
  <si>
    <t>FEC.ktoe.SI.ES.Tr.DNavi.IWW.NG</t>
  </si>
  <si>
    <t>FEC.ktoe.SI.ES.Tr.DNavi.IWW.Biogas</t>
  </si>
  <si>
    <t>Eff.kgoe_per_100km.SI.Tr.DNavi.Freight</t>
  </si>
  <si>
    <t>Eff.kgoe_per_100km.SI.Tr.DNavi.Freight.DCS</t>
  </si>
  <si>
    <t>Eff.kgoe_per_100km.SI.Tr.DNavi.Freight.IWW</t>
  </si>
  <si>
    <t>Domestic navigation / CO2 emissions - SI - Slovenia</t>
  </si>
  <si>
    <t>EMI.ktCO2.SI.ES.Tr.DNavi</t>
  </si>
  <si>
    <t>EMI.ktCO2.SI.ES.Tr.DNavi.DCS</t>
  </si>
  <si>
    <t>EMI.ktCO2.SI.ES.Tr.DNavi.IWW</t>
  </si>
  <si>
    <t>EMIint.gCO2_per_km.SI.Tr.DNavi.Freight</t>
  </si>
  <si>
    <t>EMIint.gCO2_per_km.SI.Tr.DNavi.Freight.DCS</t>
  </si>
  <si>
    <t>EMIint.gCO2_per_km.SI.Tr.DNavi.Freight.IWW</t>
  </si>
  <si>
    <t>Rail, metro and tram - SI - Slovenia</t>
  </si>
  <si>
    <t>Activity.Mpkm.SI.Tr.Rail.Passenger.CPT.Diesel</t>
  </si>
  <si>
    <t>Activity.Mpkm.SI.Tr.Rail.Passenger.CPT.Elc</t>
  </si>
  <si>
    <t>Activity.Mtkm.SI.Tr.Rail.Freight.Diesel</t>
  </si>
  <si>
    <t>Activity.Mtkm.SI.Tr.Rail.Freight.Elc</t>
  </si>
  <si>
    <t>VehicleKm.Mkm.SI.Tr.Rail</t>
  </si>
  <si>
    <t>VehicleKm.Mkm.SI.Tr.Rail.Passenger</t>
  </si>
  <si>
    <t>VehicleKm.Mkm.SI.Tr.Rail.Passenger.MTU</t>
  </si>
  <si>
    <t>VehicleKm.Mkm.SI.Tr.Rail.Passenger.CPT</t>
  </si>
  <si>
    <t>VehicleKm.Mkm.SI.Tr.Rail.Passenger.CPT.Diesel</t>
  </si>
  <si>
    <t>VehicleKm.Mkm.SI.Tr.Rail.Passenger.CPT.Elc</t>
  </si>
  <si>
    <t>VehicleKm.Mkm.SI.Tr.Rail.Passenger.HST</t>
  </si>
  <si>
    <t>VehicleKm.Mkm.SI.Tr.Rail.Freight</t>
  </si>
  <si>
    <t>VehicleKm.Mkm.SI.Tr.Rail.Freight.Diesel</t>
  </si>
  <si>
    <t>VehicleKm.Mkm.SI.Tr.Rail.Freight.Elc</t>
  </si>
  <si>
    <t>Stock.number.SI.Tr.Rail</t>
  </si>
  <si>
    <t>Stock.number.SI.Tr.Rail.Passenger</t>
  </si>
  <si>
    <t>Stock.number.SI.Tr.Rail.Passenger.MTU</t>
  </si>
  <si>
    <t>Stock.number.SI.Tr.Rail.Passenger.CPT</t>
  </si>
  <si>
    <t>Stock.number.SI.Tr.Rail.Passenger.CPT.Diesel</t>
  </si>
  <si>
    <t>Stock.number.SI.Tr.Rail.Passenger.CPT.Elc</t>
  </si>
  <si>
    <t>Stock.number.SI.Tr.Rail.Passenger.HST</t>
  </si>
  <si>
    <t>Stock.number.SI.Tr.Rail.Freight</t>
  </si>
  <si>
    <t>Stock.number.SI.Tr.Rail.Freight.Diesel</t>
  </si>
  <si>
    <t>Stock.number.SI.Tr.Rail.Freight.Elc</t>
  </si>
  <si>
    <t>StockNew.number.SI.Tr.Rail</t>
  </si>
  <si>
    <t>StockNew.number.SI.Tr.Rail.Passenger</t>
  </si>
  <si>
    <t>StockNew.number.SI.Tr.Rail.Passenger.MTU</t>
  </si>
  <si>
    <t>StockNew.number.SI.Tr.Rail.Passenger.CPT</t>
  </si>
  <si>
    <t>StockNew.number.SI.Tr.Rail.Passenger.CPT.Diesel</t>
  </si>
  <si>
    <t>StockNew.number.SI.Tr.Rail.Passenger.CPT.Elc</t>
  </si>
  <si>
    <t>StockNew.number.SI.Tr.Rail.Passenger.HST</t>
  </si>
  <si>
    <t>StockNew.number.SI.Tr.Rail.Freight</t>
  </si>
  <si>
    <t>StockNew.number.SI.Tr.Rail.Freight.Diesel</t>
  </si>
  <si>
    <t>StockNew.number.SI.Tr.Rail.Freight.Elc</t>
  </si>
  <si>
    <t>Load.passenger_per_movement.SI.Tr.Rail.Passenger</t>
  </si>
  <si>
    <t>Load.passenger_per_movement.SI.Tr.Rail.Passenger.MTU</t>
  </si>
  <si>
    <t>Load.passenger_per_movement.SI.Tr.Rail.Passenger.CPT</t>
  </si>
  <si>
    <t>Load.passenger_per_movement.SI.Tr.Rail.Passenger.CPT.Diesel</t>
  </si>
  <si>
    <t>Load.passenger_per_movement.SI.Tr.Rail.Passenger.CPT.Elc</t>
  </si>
  <si>
    <t>Load.passenger_per_movement.SI.Tr.Rail.Passenger.HST</t>
  </si>
  <si>
    <t>Load.t_per_movement.SI.Tr.Rail.Freight</t>
  </si>
  <si>
    <t>Load.t_per_movement.SI.Tr.Rail.Freight.Diesel</t>
  </si>
  <si>
    <t>Load.t_per_movement.SI.Tr.Rail.Freight.Elc</t>
  </si>
  <si>
    <t>TrCap.seats.SI.Tr.Rail.Passenger</t>
  </si>
  <si>
    <t>TrCap.seats.SI.Tr.Rail.Passenger.MTU</t>
  </si>
  <si>
    <t>TrCap.seats.SI.Tr.Rail.Passenger.CPT</t>
  </si>
  <si>
    <t>TrCap.seats.SI.Tr.Rail.Passenger.CPT.Diesel</t>
  </si>
  <si>
    <t>TrCap.seats.SI.Tr.Rail.Passenger.CPT.Elc</t>
  </si>
  <si>
    <t>TrCap.seats.SI.Tr.Rail.Passenger.HST</t>
  </si>
  <si>
    <t>TrCap.t.SI.Tr.Rail.Freight</t>
  </si>
  <si>
    <t>TrCap.t.SI.Tr.Rail.Freight.Diesel</t>
  </si>
  <si>
    <t>TrCap.t.SI.Tr.Rail.Freight.Elc</t>
  </si>
  <si>
    <t>VehicleKm_per_vehicle.km.SI.Tr.Rail</t>
  </si>
  <si>
    <t>VehicleKm_per_vehicle.km.SI.Tr.Rail.Passenger</t>
  </si>
  <si>
    <t>VehicleKm_per_vehicle.km.SI.Tr.Rail.Passenger.MTU</t>
  </si>
  <si>
    <t>VehicleKm_per_vehicle.km.SI.Tr.Rail.Passenger.CPT</t>
  </si>
  <si>
    <t>VehicleKm_per_vehicle.km.SI.Tr.Rail.Passenger.CPT.Diesel</t>
  </si>
  <si>
    <t>VehicleKm_per_vehicle.km.SI.Tr.Rail.Passenger.CPT.Elc</t>
  </si>
  <si>
    <t>VehicleKm_per_vehicle.km.SI.Tr.Rail.Passenger.HST</t>
  </si>
  <si>
    <t>VehicleKm_per_vehicle.km.SI.Tr.Rail.Freight</t>
  </si>
  <si>
    <t>VehicleKm_per_vehicle.km.SI.Tr.Rail.Freight.Diesel</t>
  </si>
  <si>
    <t>VehicleKm_per_vehicle.km.SI.Tr.Rail.Freight.Elc</t>
  </si>
  <si>
    <t>Activity_per_vehicle.pkm.SI.Tr.Rail.Passenger</t>
  </si>
  <si>
    <t>Activity_per_vehicle.pkm.SI.Tr.Rail.Passenger.MTU</t>
  </si>
  <si>
    <t>Activity_per_vehicle.pkm.SI.Tr.Rail.Passenger.CPT</t>
  </si>
  <si>
    <t>Activity_per_vehicle.pkm.SI.Tr.Rail.Passenger.CPT.Diesel</t>
  </si>
  <si>
    <t>Activity_per_vehicle.pkm.SI.Tr.Rail.Passenger.CPT.Elc</t>
  </si>
  <si>
    <t>Activity_per_vehicle.pkm.SI.Tr.Rail.Passenger.HST</t>
  </si>
  <si>
    <t>Activity_per_vehicle.tkm.SI.Tr.Rail.Freight</t>
  </si>
  <si>
    <t>Activity_per_vehicle.tkm.SI.Tr.Rail.Freight.Diesel</t>
  </si>
  <si>
    <t>Activity_per_vehicle.tkm.SI.Tr.Rail.Freight.Elc</t>
  </si>
  <si>
    <t>Rail, metro and tram / energy consumption - SI - Slovenia</t>
  </si>
  <si>
    <t>FEC.ktoe.SI.ES.Tr.Rail</t>
  </si>
  <si>
    <t>FEC.ktoe.SI.ES.Tr.Rail.Diesel</t>
  </si>
  <si>
    <t>FEC.ktoe.SI.ES.Tr.Rail.LiqBio</t>
  </si>
  <si>
    <t>FEC.ktoe.SI.ES.Tr.Rail.Elec</t>
  </si>
  <si>
    <t>FEC.ktoe.SI.Tr.Rail</t>
  </si>
  <si>
    <t>FEC.ktoe.SI.Tr.Rail.Passenger.CPT.Diesel</t>
  </si>
  <si>
    <t>FEC.ktoe.SI.Tr.Rail.Passenger.CPT.Elc</t>
  </si>
  <si>
    <t>FEC.ktoe.SI.Tr.Rail.Freight.Diesel</t>
  </si>
  <si>
    <t>FEC.ktoe.SI.Tr.Rail.Freight.Elc</t>
  </si>
  <si>
    <t>Eff.kgoe_per_100km.SI.Tr.Rail</t>
  </si>
  <si>
    <t>Eff.kgoe_per_100km.SI.Tr.Rail.Passenger</t>
  </si>
  <si>
    <t>Eff.kgoe_per_100km.SI.Tr.Rail.Passenger.MTU</t>
  </si>
  <si>
    <t>Eff.kgoe_per_100km.SI.Tr.Rail.Passenger.CPT</t>
  </si>
  <si>
    <t>Eff.kgoe_per_100km.SI.Tr.Rail.Passenger.CPT.Diesel</t>
  </si>
  <si>
    <t>Eff.kgoe_per_100km.SI.Tr.Rail.Passenger.CPT.Elc</t>
  </si>
  <si>
    <t>Eff.kgoe_per_100km.SI.Tr.Rail.Passenger.HST</t>
  </si>
  <si>
    <t>Eff.kgoe_per_100km.SI.Tr.Rail.Freight</t>
  </si>
  <si>
    <t>Eff.kgoe_per_100km.SI.Tr.Rail.Freight.Diesel</t>
  </si>
  <si>
    <t>Eff.kgoe_per_100km.SI.Tr.Rail.Freight.Elc</t>
  </si>
  <si>
    <t>Eff.kgoe_per_kpkm.SI.Tr.Rail.Passenger.CPT.Diesel</t>
  </si>
  <si>
    <t>Eff.kgoe_per_kpkm.SI.Tr.Rail.Passenger.CPT.Elc</t>
  </si>
  <si>
    <t>Eff.kgoe_per_ktkm.SI.Tr.Rail.Freight.Diesel</t>
  </si>
  <si>
    <t>Eff.kgoe_per_ktkm.SI.Tr.Rail.Freight.Elc</t>
  </si>
  <si>
    <t>FEC_per_vehicle.kgoe.SI.Tr.Rail</t>
  </si>
  <si>
    <t>FEC_per_vehicle.kgoe.SI.Tr.Rail.Passenger</t>
  </si>
  <si>
    <t>FEC_per_vehicle.kgoe.SI.Tr.Rail.Passenger.MTU</t>
  </si>
  <si>
    <t>FEC_per_vehicle.kgoe.SI.Tr.Rail.Passenger.CPT</t>
  </si>
  <si>
    <t>FEC_per_vehicle.kgoe.SI.Tr.Rail.Passenger.CPT.Diesel</t>
  </si>
  <si>
    <t>FEC_per_vehicle.kgoe.SI.Tr.Rail.Passenger.CPT.Elc</t>
  </si>
  <si>
    <t>FEC_per_vehicle.kgoe.SI.Tr.Rail.Passenger.HST</t>
  </si>
  <si>
    <t>FEC_per_vehicle.kgoe.SI.Tr.Rail.Freight</t>
  </si>
  <si>
    <t>FEC_per_vehicle.kgoe.SI.Tr.Rail.Freight.Diesel</t>
  </si>
  <si>
    <t>FEC_per_vehicle.kgoe.SI.Tr.Rail.Freight.Elc</t>
  </si>
  <si>
    <t>Rail, metro and tram / CO2 emissions - SI - Slovenia</t>
  </si>
  <si>
    <t>EMI.ktCO2.SI.ES.Tr.Rail</t>
  </si>
  <si>
    <t>EMI.ktCO2.SI.ES.Tr.Rail.Diesel</t>
  </si>
  <si>
    <t>EMI.ktCO2.SI.ES.Tr.Rail.Elec</t>
  </si>
  <si>
    <t>EMI.ktCO2.SI.Tr.Rail</t>
  </si>
  <si>
    <t>EMI.ktCO2.SI.Tr.Rail.Passenger.CPT.Diesel</t>
  </si>
  <si>
    <t>EMI.ktCO2.SI.Tr.Rail.Passenger.CPT.Elc</t>
  </si>
  <si>
    <t>EMI.ktCO2.SI.Tr.Rail.Freight.Diesel</t>
  </si>
  <si>
    <t>EMI.ktCO2.SI.Tr.Rail.Freight.Elc</t>
  </si>
  <si>
    <t>EMIint.gCO2_per_km.SI.Tr.Rail</t>
  </si>
  <si>
    <t>EMIint.gCO2_per_km.SI.Tr.Rail.Passenger</t>
  </si>
  <si>
    <t>EMIint.gCO2_per_km.SI.Tr.Rail.Passenger.MTU</t>
  </si>
  <si>
    <t>EMIint.gCO2_per_km.SI.Tr.Rail.Passenger.CPT</t>
  </si>
  <si>
    <t>EMIint.gCO2_per_km.SI.Tr.Rail.Passenger.CPT.Diesel</t>
  </si>
  <si>
    <t>EMIint.gCO2_per_km.SI.Tr.Rail.Passenger.CPT.Elc</t>
  </si>
  <si>
    <t>EMIint.gCO2_per_km.SI.Tr.Rail.Passenger.HST</t>
  </si>
  <si>
    <t>EMIint.gCO2_per_km.SI.Tr.Rail.Freight</t>
  </si>
  <si>
    <t>EMIint.gCO2_per_km.SI.Tr.Rail.Freight.Diesel</t>
  </si>
  <si>
    <t>EMIint.gCO2_per_km.SI.Tr.Rail.Freight.Elc</t>
  </si>
  <si>
    <t>EMIint.gCO2_per_pkm.SI.Tr.Rail.Passenger.CPT.Diesel</t>
  </si>
  <si>
    <t>EMIint.gCO2_per_pkm.SI.Tr.Rail.Passenger.CPT.Elc</t>
  </si>
  <si>
    <t>EMIint.gCO2_per_tkm.SI.Tr.Rail.Freight.Diesel</t>
  </si>
  <si>
    <t>EMIint.gCO2_per_tkm.SI.Tr.Rail.Freight.Elc</t>
  </si>
  <si>
    <t>EMI_per_vehicle.tCO2.SI.Tr.Rail</t>
  </si>
  <si>
    <t>EMI_per_vehicle.tCO2.SI.Tr.Rail.Passenger</t>
  </si>
  <si>
    <t>EMI_per_vehicle.tCO2.SI.Tr.Rail.Passenger.MTU</t>
  </si>
  <si>
    <t>EMI_per_vehicle.tCO2.SI.Tr.Rail.Passenger.CPT</t>
  </si>
  <si>
    <t>EMI_per_vehicle.tCO2.SI.Tr.Rail.Passenger.CPT.Diesel</t>
  </si>
  <si>
    <t>EMI_per_vehicle.tCO2.SI.Tr.Rail.Passenger.CPT.Elc</t>
  </si>
  <si>
    <t>EMI_per_vehicle.tCO2.SI.Tr.Rail.Passenger.HST</t>
  </si>
  <si>
    <t>EMI_per_vehicle.tCO2.SI.Tr.Rail.Freight</t>
  </si>
  <si>
    <t>EMI_per_vehicle.tCO2.SI.Tr.Rail.Freight.Diesel</t>
  </si>
  <si>
    <t>EMI_per_vehicle.tCO2.SI.Tr.Rail.Freight.Elc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</si>
</sst>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45967.480162037034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25308.031794826991</v>
      </c>
      <c r="C4" s="28">
        <f t="shared" si="0"/>
        <v>25740.944552146138</v>
      </c>
      <c r="D4" s="28">
        <f t="shared" si="0"/>
        <v>26265.022564733317</v>
      </c>
      <c r="E4" s="28">
        <f t="shared" si="0"/>
        <v>26370.520115636766</v>
      </c>
      <c r="F4" s="28">
        <f t="shared" si="0"/>
        <v>26613.915201019689</v>
      </c>
      <c r="G4" s="28">
        <f t="shared" si="0"/>
        <v>27061.289908692324</v>
      </c>
      <c r="H4" s="28">
        <f t="shared" si="0"/>
        <v>27689.700218121921</v>
      </c>
      <c r="I4" s="28">
        <f t="shared" si="0"/>
        <v>29278.5150608205</v>
      </c>
      <c r="J4" s="28">
        <f t="shared" si="0"/>
        <v>29800.207123486118</v>
      </c>
      <c r="K4" s="28">
        <f t="shared" si="0"/>
        <v>30661.028557082187</v>
      </c>
      <c r="L4" s="28">
        <f t="shared" si="0"/>
        <v>30499.234745087149</v>
      </c>
      <c r="M4" s="28">
        <f t="shared" si="0"/>
        <v>30402.700714391198</v>
      </c>
      <c r="N4" s="28">
        <f t="shared" si="0"/>
        <v>30095.721347236642</v>
      </c>
      <c r="O4" s="28">
        <f t="shared" si="0"/>
        <v>30096.595048958363</v>
      </c>
      <c r="P4" s="28">
        <f t="shared" si="0"/>
        <v>30617.217262762922</v>
      </c>
      <c r="Q4" s="28">
        <f t="shared" si="0"/>
        <v>31169.033246952422</v>
      </c>
      <c r="R4" s="28">
        <f t="shared" ref="R4:V4" si="1">R5+R9+R13</f>
        <v>31316.410135861508</v>
      </c>
      <c r="S4" s="28">
        <f t="shared" si="1"/>
        <v>32466.104471666196</v>
      </c>
      <c r="T4" s="28">
        <f t="shared" si="1"/>
        <v>33226.404252993321</v>
      </c>
      <c r="U4" s="28">
        <f t="shared" si="1"/>
        <v>33737.466435564456</v>
      </c>
      <c r="V4" s="28">
        <f t="shared" si="1"/>
        <v>23715.137290925708</v>
      </c>
      <c r="W4" s="28">
        <f t="shared" ref="W4:Y4" si="2">W5+W9+W13</f>
        <v>24822.283104075392</v>
      </c>
      <c r="X4" s="28">
        <f t="shared" si="2"/>
        <v>28046.659590015424</v>
      </c>
      <c r="Y4" s="28">
        <f t="shared" si="2"/>
        <v>29948.502337179492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23917.085886948993</v>
      </c>
      <c r="C5" s="137">
        <f t="shared" si="3"/>
        <v>24278.309533499025</v>
      </c>
      <c r="D5" s="137">
        <f t="shared" si="3"/>
        <v>24710.294883609418</v>
      </c>
      <c r="E5" s="137">
        <f t="shared" si="3"/>
        <v>24878.658425623627</v>
      </c>
      <c r="F5" s="137">
        <f t="shared" si="3"/>
        <v>25375.536408565109</v>
      </c>
      <c r="G5" s="137">
        <f t="shared" si="3"/>
        <v>25700.283601746509</v>
      </c>
      <c r="H5" s="137">
        <f t="shared" si="3"/>
        <v>26285.639262700341</v>
      </c>
      <c r="I5" s="137">
        <f t="shared" si="3"/>
        <v>27758.847998342466</v>
      </c>
      <c r="J5" s="137">
        <f t="shared" si="3"/>
        <v>28208.80311346766</v>
      </c>
      <c r="K5" s="137">
        <f t="shared" si="3"/>
        <v>29162.013414282632</v>
      </c>
      <c r="L5" s="137">
        <f t="shared" si="3"/>
        <v>29066.889092472473</v>
      </c>
      <c r="M5" s="137">
        <f t="shared" si="3"/>
        <v>29022.984653243504</v>
      </c>
      <c r="N5" s="137">
        <f t="shared" si="3"/>
        <v>28804.740960094725</v>
      </c>
      <c r="O5" s="137">
        <f t="shared" si="3"/>
        <v>28727.525657652535</v>
      </c>
      <c r="P5" s="137">
        <f t="shared" si="3"/>
        <v>29330.647348913753</v>
      </c>
      <c r="Q5" s="137">
        <f t="shared" si="3"/>
        <v>29835.213536673451</v>
      </c>
      <c r="R5" s="137">
        <f t="shared" ref="R5:V5" si="4">R6+R7+R8</f>
        <v>30033.437853038042</v>
      </c>
      <c r="S5" s="137">
        <f t="shared" si="4"/>
        <v>31081.852318509627</v>
      </c>
      <c r="T5" s="137">
        <f t="shared" si="4"/>
        <v>31769.872536819563</v>
      </c>
      <c r="U5" s="137">
        <f t="shared" si="4"/>
        <v>32282.79331458352</v>
      </c>
      <c r="V5" s="137">
        <f t="shared" si="4"/>
        <v>23215.692914279975</v>
      </c>
      <c r="W5" s="137">
        <f t="shared" ref="W5:Y5" si="5">W6+W7+W8</f>
        <v>24076.356612498897</v>
      </c>
      <c r="X5" s="137">
        <f t="shared" si="5"/>
        <v>26825.442646062467</v>
      </c>
      <c r="Y5" s="137">
        <f t="shared" si="5"/>
        <v>28470.712434255009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90.085886948994414</v>
      </c>
      <c r="C6" s="102">
        <f>TrRoad_act!C$5</f>
        <v>84.30953349902596</v>
      </c>
      <c r="D6" s="102">
        <f>TrRoad_act!D$5</f>
        <v>84.294883609418889</v>
      </c>
      <c r="E6" s="102">
        <f>TrRoad_act!E$5</f>
        <v>101.65842562362809</v>
      </c>
      <c r="F6" s="102">
        <f>TrRoad_act!F$5</f>
        <v>115.53640856511078</v>
      </c>
      <c r="G6" s="102">
        <f>TrRoad_act!G$5</f>
        <v>129.28360174650706</v>
      </c>
      <c r="H6" s="102">
        <f>TrRoad_act!H$5</f>
        <v>146.63926270034338</v>
      </c>
      <c r="I6" s="102">
        <f>TrRoad_act!I$5</f>
        <v>168.84799834246724</v>
      </c>
      <c r="J6" s="102">
        <f>TrRoad_act!J$5</f>
        <v>184.80311346766177</v>
      </c>
      <c r="K6" s="102">
        <f>TrRoad_act!K$5</f>
        <v>191.01341428263027</v>
      </c>
      <c r="L6" s="102">
        <f>TrRoad_act!L$5</f>
        <v>247.88909247247426</v>
      </c>
      <c r="M6" s="102">
        <f>TrRoad_act!M$5</f>
        <v>291.40529915878801</v>
      </c>
      <c r="N6" s="102">
        <f>TrRoad_act!N$5</f>
        <v>264.92801389613203</v>
      </c>
      <c r="O6" s="102">
        <f>TrRoad_act!O$5</f>
        <v>236.87065419482971</v>
      </c>
      <c r="P6" s="102">
        <f>TrRoad_act!P$5</f>
        <v>242.96207475525549</v>
      </c>
      <c r="Q6" s="102">
        <f>TrRoad_act!Q$5</f>
        <v>262.59819479990398</v>
      </c>
      <c r="R6" s="102">
        <f>TrRoad_act!R$5</f>
        <v>275.23845359536529</v>
      </c>
      <c r="S6" s="102">
        <f>TrRoad_act!S$5</f>
        <v>262.63086694451931</v>
      </c>
      <c r="T6" s="102">
        <f>TrRoad_act!T$5</f>
        <v>252.30274710066092</v>
      </c>
      <c r="U6" s="102">
        <f>TrRoad_act!U$5</f>
        <v>269.49609580938341</v>
      </c>
      <c r="V6" s="102">
        <f>TrRoad_act!V$5</f>
        <v>242.04146430677997</v>
      </c>
      <c r="W6" s="102">
        <f>TrRoad_act!W$5</f>
        <v>252.52966727908432</v>
      </c>
      <c r="X6" s="102">
        <f>TrRoad_act!X$5</f>
        <v>257.97057784647575</v>
      </c>
      <c r="Y6" s="102">
        <f>TrRoad_act!Y$5</f>
        <v>281.69102766886476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20325</v>
      </c>
      <c r="C7" s="102">
        <f>TrRoad_act!C$6</f>
        <v>20801</v>
      </c>
      <c r="D7" s="102">
        <f>TrRoad_act!D$6</f>
        <v>21287</v>
      </c>
      <c r="E7" s="102">
        <f>TrRoad_act!E$6</f>
        <v>21331</v>
      </c>
      <c r="F7" s="102">
        <f>TrRoad_act!F$6</f>
        <v>22042</v>
      </c>
      <c r="G7" s="102">
        <f>TrRoad_act!G$6</f>
        <v>22509</v>
      </c>
      <c r="H7" s="102">
        <f>TrRoad_act!H$6</f>
        <v>23005.999999999996</v>
      </c>
      <c r="I7" s="102">
        <f>TrRoad_act!I$6</f>
        <v>24355</v>
      </c>
      <c r="J7" s="102">
        <f>TrRoad_act!J$6</f>
        <v>24878</v>
      </c>
      <c r="K7" s="102">
        <f>TrRoad_act!K$6</f>
        <v>25775</v>
      </c>
      <c r="L7" s="102">
        <f>TrRoad_act!L$6</f>
        <v>25636</v>
      </c>
      <c r="M7" s="102">
        <f>TrRoad_act!M$6</f>
        <v>25487.43621964116</v>
      </c>
      <c r="N7" s="102">
        <f>TrRoad_act!N$6</f>
        <v>25302.775921222881</v>
      </c>
      <c r="O7" s="102">
        <f>TrRoad_act!O$6</f>
        <v>25168.354826572544</v>
      </c>
      <c r="P7" s="102">
        <f>TrRoad_act!P$6</f>
        <v>25638.692920142625</v>
      </c>
      <c r="Q7" s="102">
        <f>TrRoad_act!Q$6</f>
        <v>25996.532775797914</v>
      </c>
      <c r="R7" s="102">
        <f>TrRoad_act!R$6</f>
        <v>26151</v>
      </c>
      <c r="S7" s="102">
        <f>TrRoad_act!S$6</f>
        <v>27139</v>
      </c>
      <c r="T7" s="102">
        <f>TrRoad_act!T$6</f>
        <v>27766</v>
      </c>
      <c r="U7" s="102">
        <f>TrRoad_act!U$6</f>
        <v>28247.999999999996</v>
      </c>
      <c r="V7" s="102">
        <f>TrRoad_act!V$6</f>
        <v>20979.000000000004</v>
      </c>
      <c r="W7" s="102">
        <f>TrRoad_act!W$6</f>
        <v>21501</v>
      </c>
      <c r="X7" s="102">
        <f>TrRoad_act!X$6</f>
        <v>23419.999999999996</v>
      </c>
      <c r="Y7" s="102">
        <f>TrRoad_act!Y$6</f>
        <v>24741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3502</v>
      </c>
      <c r="C8" s="102">
        <f>TrRoad_act!C$13</f>
        <v>3393</v>
      </c>
      <c r="D8" s="102">
        <f>TrRoad_act!D$13</f>
        <v>3339</v>
      </c>
      <c r="E8" s="102">
        <f>TrRoad_act!E$13</f>
        <v>3446</v>
      </c>
      <c r="F8" s="102">
        <f>TrRoad_act!F$13</f>
        <v>3218</v>
      </c>
      <c r="G8" s="102">
        <f>TrRoad_act!G$13</f>
        <v>3062</v>
      </c>
      <c r="H8" s="102">
        <f>TrRoad_act!H$13</f>
        <v>3133</v>
      </c>
      <c r="I8" s="102">
        <f>TrRoad_act!I$13</f>
        <v>3235</v>
      </c>
      <c r="J8" s="102">
        <f>TrRoad_act!J$13</f>
        <v>3146</v>
      </c>
      <c r="K8" s="102">
        <f>TrRoad_act!K$13</f>
        <v>3196</v>
      </c>
      <c r="L8" s="102">
        <f>TrRoad_act!L$13</f>
        <v>3183</v>
      </c>
      <c r="M8" s="102">
        <f>TrRoad_act!M$13</f>
        <v>3244.1431344435568</v>
      </c>
      <c r="N8" s="102">
        <f>TrRoad_act!N$13</f>
        <v>3237.0370249757102</v>
      </c>
      <c r="O8" s="102">
        <f>TrRoad_act!O$13</f>
        <v>3322.3001768851614</v>
      </c>
      <c r="P8" s="102">
        <f>TrRoad_act!P$13</f>
        <v>3448.9923540158738</v>
      </c>
      <c r="Q8" s="102">
        <f>TrRoad_act!Q$13</f>
        <v>3576.0825660756332</v>
      </c>
      <c r="R8" s="102">
        <f>TrRoad_act!R$13</f>
        <v>3607.1993994426762</v>
      </c>
      <c r="S8" s="102">
        <f>TrRoad_act!S$13</f>
        <v>3680.2214515651085</v>
      </c>
      <c r="T8" s="102">
        <f>TrRoad_act!T$13</f>
        <v>3751.5697897189011</v>
      </c>
      <c r="U8" s="102">
        <f>TrRoad_act!U$13</f>
        <v>3765.2972187741411</v>
      </c>
      <c r="V8" s="102">
        <f>TrRoad_act!V$13</f>
        <v>1994.6514499731879</v>
      </c>
      <c r="W8" s="102">
        <f>TrRoad_act!W$13</f>
        <v>2322.8269452198156</v>
      </c>
      <c r="X8" s="102">
        <f>TrRoad_act!X$13</f>
        <v>3147.4720682159959</v>
      </c>
      <c r="Y8" s="102">
        <f>TrRoad_act!Y$13</f>
        <v>3448.0214065861437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705</v>
      </c>
      <c r="C9" s="110">
        <f t="shared" si="6"/>
        <v>715</v>
      </c>
      <c r="D9" s="110">
        <f t="shared" si="6"/>
        <v>749</v>
      </c>
      <c r="E9" s="110">
        <f t="shared" si="6"/>
        <v>777</v>
      </c>
      <c r="F9" s="110">
        <f t="shared" si="6"/>
        <v>695</v>
      </c>
      <c r="G9" s="110">
        <f t="shared" si="6"/>
        <v>716</v>
      </c>
      <c r="H9" s="110">
        <f t="shared" si="6"/>
        <v>724</v>
      </c>
      <c r="I9" s="110">
        <f t="shared" si="6"/>
        <v>740</v>
      </c>
      <c r="J9" s="110">
        <f t="shared" si="6"/>
        <v>765</v>
      </c>
      <c r="K9" s="110">
        <f t="shared" si="6"/>
        <v>773</v>
      </c>
      <c r="L9" s="110">
        <f t="shared" si="6"/>
        <v>729</v>
      </c>
      <c r="M9" s="110">
        <f t="shared" si="6"/>
        <v>689</v>
      </c>
      <c r="N9" s="110">
        <f t="shared" si="6"/>
        <v>659</v>
      </c>
      <c r="O9" s="110">
        <f t="shared" si="6"/>
        <v>679</v>
      </c>
      <c r="P9" s="110">
        <f t="shared" si="6"/>
        <v>620</v>
      </c>
      <c r="Q9" s="110">
        <f t="shared" si="6"/>
        <v>628</v>
      </c>
      <c r="R9" s="110">
        <f t="shared" ref="R9:V9" si="7">R10+R11+R12</f>
        <v>611</v>
      </c>
      <c r="S9" s="110">
        <f t="shared" si="7"/>
        <v>570</v>
      </c>
      <c r="T9" s="110">
        <f t="shared" si="7"/>
        <v>568</v>
      </c>
      <c r="U9" s="110">
        <f t="shared" si="7"/>
        <v>572</v>
      </c>
      <c r="V9" s="110">
        <f t="shared" si="7"/>
        <v>338</v>
      </c>
      <c r="W9" s="110">
        <f t="shared" ref="W9:Y9" si="8">W10+W11+W12</f>
        <v>504</v>
      </c>
      <c r="X9" s="110">
        <f t="shared" si="8"/>
        <v>645</v>
      </c>
      <c r="Y9" s="110">
        <f t="shared" si="8"/>
        <v>742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X10" s="102">
        <f>TrRail_act!X$5</f>
        <v>0</v>
      </c>
      <c r="Y10" s="102">
        <f>TrRail_act!Y$5</f>
        <v>0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705</v>
      </c>
      <c r="C11" s="102">
        <f>TrRail_act!C$6</f>
        <v>715</v>
      </c>
      <c r="D11" s="102">
        <f>TrRail_act!D$6</f>
        <v>749</v>
      </c>
      <c r="E11" s="102">
        <f>TrRail_act!E$6</f>
        <v>777</v>
      </c>
      <c r="F11" s="102">
        <f>TrRail_act!F$6</f>
        <v>695</v>
      </c>
      <c r="G11" s="102">
        <f>TrRail_act!G$6</f>
        <v>716</v>
      </c>
      <c r="H11" s="102">
        <f>TrRail_act!H$6</f>
        <v>724</v>
      </c>
      <c r="I11" s="102">
        <f>TrRail_act!I$6</f>
        <v>740</v>
      </c>
      <c r="J11" s="102">
        <f>TrRail_act!J$6</f>
        <v>751</v>
      </c>
      <c r="K11" s="102">
        <f>TrRail_act!K$6</f>
        <v>757</v>
      </c>
      <c r="L11" s="102">
        <f>TrRail_act!L$6</f>
        <v>713.9</v>
      </c>
      <c r="M11" s="102">
        <f>TrRail_act!M$6</f>
        <v>675.66</v>
      </c>
      <c r="N11" s="102">
        <f>TrRail_act!N$6</f>
        <v>647.12</v>
      </c>
      <c r="O11" s="102">
        <f>TrRail_act!O$6</f>
        <v>667.95</v>
      </c>
      <c r="P11" s="102">
        <f>TrRail_act!P$6</f>
        <v>612.29999999999995</v>
      </c>
      <c r="Q11" s="102">
        <f>TrRail_act!Q$6</f>
        <v>622.4</v>
      </c>
      <c r="R11" s="102">
        <f>TrRail_act!R$6</f>
        <v>607.1</v>
      </c>
      <c r="S11" s="102">
        <f>TrRail_act!S$6</f>
        <v>568.46</v>
      </c>
      <c r="T11" s="102">
        <f>TrRail_act!T$6</f>
        <v>566.21</v>
      </c>
      <c r="U11" s="102">
        <f>TrRail_act!U$6</f>
        <v>570.26</v>
      </c>
      <c r="V11" s="102">
        <f>TrRail_act!V$6</f>
        <v>337.6</v>
      </c>
      <c r="W11" s="102">
        <f>TrRail_act!W$6</f>
        <v>477</v>
      </c>
      <c r="X11" s="102">
        <f>TrRail_act!X$6</f>
        <v>606.19100000000003</v>
      </c>
      <c r="Y11" s="102">
        <f>TrRail_act!Y$6</f>
        <v>647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14</v>
      </c>
      <c r="K12" s="102">
        <f>TrRail_act!K$9</f>
        <v>16</v>
      </c>
      <c r="L12" s="102">
        <f>TrRail_act!L$9</f>
        <v>15.1</v>
      </c>
      <c r="M12" s="102">
        <f>TrRail_act!M$9</f>
        <v>13.34</v>
      </c>
      <c r="N12" s="102">
        <f>TrRail_act!N$9</f>
        <v>11.88</v>
      </c>
      <c r="O12" s="102">
        <f>TrRail_act!O$9</f>
        <v>11.05</v>
      </c>
      <c r="P12" s="102">
        <f>TrRail_act!P$9</f>
        <v>7.7</v>
      </c>
      <c r="Q12" s="102">
        <f>TrRail_act!Q$9</f>
        <v>5.6</v>
      </c>
      <c r="R12" s="102">
        <f>TrRail_act!R$9</f>
        <v>3.9</v>
      </c>
      <c r="S12" s="102">
        <f>TrRail_act!S$9</f>
        <v>1.54</v>
      </c>
      <c r="T12" s="102">
        <f>TrRail_act!T$9</f>
        <v>1.79</v>
      </c>
      <c r="U12" s="102">
        <f>TrRail_act!U$9</f>
        <v>1.74</v>
      </c>
      <c r="V12" s="102">
        <f>TrRail_act!V$9</f>
        <v>0.4</v>
      </c>
      <c r="W12" s="102">
        <f>TrRail_act!W$9</f>
        <v>27</v>
      </c>
      <c r="X12" s="102">
        <f>TrRail_act!X$9</f>
        <v>38.808999999999997</v>
      </c>
      <c r="Y12" s="102">
        <f>TrRail_act!Y$9</f>
        <v>95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685.94590787799757</v>
      </c>
      <c r="C13" s="110">
        <f t="shared" ref="C13:V13" si="10">C14+C15+C16</f>
        <v>747.63501864711543</v>
      </c>
      <c r="D13" s="110">
        <f t="shared" si="10"/>
        <v>805.72768112389804</v>
      </c>
      <c r="E13" s="110">
        <f t="shared" si="10"/>
        <v>714.86169001313738</v>
      </c>
      <c r="F13" s="110">
        <f t="shared" si="10"/>
        <v>543.37879245457952</v>
      </c>
      <c r="G13" s="110">
        <f t="shared" si="10"/>
        <v>645.0063069458156</v>
      </c>
      <c r="H13" s="110">
        <f t="shared" si="10"/>
        <v>680.06095542158141</v>
      </c>
      <c r="I13" s="110">
        <f t="shared" si="10"/>
        <v>779.66706247803472</v>
      </c>
      <c r="J13" s="110">
        <f t="shared" si="10"/>
        <v>826.40401001845896</v>
      </c>
      <c r="K13" s="110">
        <f t="shared" si="10"/>
        <v>726.01514279955347</v>
      </c>
      <c r="L13" s="110">
        <f t="shared" si="10"/>
        <v>703.34565261467594</v>
      </c>
      <c r="M13" s="110">
        <f t="shared" si="10"/>
        <v>690.71606114769406</v>
      </c>
      <c r="N13" s="110">
        <f t="shared" si="10"/>
        <v>631.98038714191807</v>
      </c>
      <c r="O13" s="110">
        <f t="shared" si="10"/>
        <v>690.06939130582668</v>
      </c>
      <c r="P13" s="110">
        <f t="shared" si="10"/>
        <v>666.56991384917046</v>
      </c>
      <c r="Q13" s="110">
        <f t="shared" si="10"/>
        <v>705.81971027896986</v>
      </c>
      <c r="R13" s="110">
        <f t="shared" si="10"/>
        <v>671.97228282346748</v>
      </c>
      <c r="S13" s="110">
        <f t="shared" si="10"/>
        <v>814.25215315656851</v>
      </c>
      <c r="T13" s="110">
        <f t="shared" si="10"/>
        <v>888.53171617375574</v>
      </c>
      <c r="U13" s="110">
        <f t="shared" si="10"/>
        <v>882.6731209809393</v>
      </c>
      <c r="V13" s="110">
        <f t="shared" si="10"/>
        <v>161.44437664573428</v>
      </c>
      <c r="W13" s="110">
        <f t="shared" ref="W13:Y13" si="11">W14+W15+W16</f>
        <v>241.92649157649305</v>
      </c>
      <c r="X13" s="110">
        <f t="shared" si="11"/>
        <v>576.21694395295731</v>
      </c>
      <c r="Y13" s="110">
        <f t="shared" si="11"/>
        <v>735.78990292448475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377.82888613720093</v>
      </c>
      <c r="C15" s="102">
        <f>TrAvia_act!C$6</f>
        <v>414.15834981038182</v>
      </c>
      <c r="D15" s="102">
        <f>TrAvia_act!D$6</f>
        <v>447.35130827031423</v>
      </c>
      <c r="E15" s="102">
        <f>TrAvia_act!E$6</f>
        <v>395.32808671874386</v>
      </c>
      <c r="F15" s="102">
        <f>TrAvia_act!F$6</f>
        <v>300.17139789719914</v>
      </c>
      <c r="G15" s="102">
        <f>TrAvia_act!G$6</f>
        <v>391.08969247488909</v>
      </c>
      <c r="H15" s="102">
        <f>TrAvia_act!H$6</f>
        <v>419.46706391151389</v>
      </c>
      <c r="I15" s="102">
        <f>TrAvia_act!I$6</f>
        <v>460.49113100162515</v>
      </c>
      <c r="J15" s="102">
        <f>TrAvia_act!J$6</f>
        <v>476.54988509278854</v>
      </c>
      <c r="K15" s="102">
        <f>TrAvia_act!K$6</f>
        <v>388.7045653122741</v>
      </c>
      <c r="L15" s="102">
        <f>TrAvia_act!L$6</f>
        <v>367.2718698591612</v>
      </c>
      <c r="M15" s="102">
        <f>TrAvia_act!M$6</f>
        <v>378.64275568718375</v>
      </c>
      <c r="N15" s="102">
        <f>TrAvia_act!N$6</f>
        <v>303.04552222996506</v>
      </c>
      <c r="O15" s="102">
        <f>TrAvia_act!O$6</f>
        <v>342.85884471600247</v>
      </c>
      <c r="P15" s="102">
        <f>TrAvia_act!P$6</f>
        <v>350.65429193699816</v>
      </c>
      <c r="Q15" s="102">
        <f>TrAvia_act!Q$6</f>
        <v>393.08448351618881</v>
      </c>
      <c r="R15" s="102">
        <f>TrAvia_act!R$6</f>
        <v>411.59114151393709</v>
      </c>
      <c r="S15" s="102">
        <f>TrAvia_act!S$6</f>
        <v>489.2945155260046</v>
      </c>
      <c r="T15" s="102">
        <f>TrAvia_act!T$6</f>
        <v>529.18539785113376</v>
      </c>
      <c r="U15" s="102">
        <f>TrAvia_act!U$6</f>
        <v>497.07410687727656</v>
      </c>
      <c r="V15" s="102">
        <f>TrAvia_act!V$6</f>
        <v>91.55863208406447</v>
      </c>
      <c r="W15" s="102">
        <f>TrAvia_act!W$6</f>
        <v>132.00929708495048</v>
      </c>
      <c r="X15" s="102">
        <f>TrAvia_act!X$6</f>
        <v>290.80962211601098</v>
      </c>
      <c r="Y15" s="102">
        <f>TrAvia_act!Y$6</f>
        <v>363.15241131698633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308.1170217407967</v>
      </c>
      <c r="C16" s="102">
        <f>TrAvia_act!C$7</f>
        <v>333.47666883673361</v>
      </c>
      <c r="D16" s="102">
        <f>TrAvia_act!D$7</f>
        <v>358.3763728535838</v>
      </c>
      <c r="E16" s="102">
        <f>TrAvia_act!E$7</f>
        <v>319.53360329439352</v>
      </c>
      <c r="F16" s="102">
        <f>TrAvia_act!F$7</f>
        <v>243.20739455738038</v>
      </c>
      <c r="G16" s="102">
        <f>TrAvia_act!G$7</f>
        <v>253.91661447092653</v>
      </c>
      <c r="H16" s="102">
        <f>TrAvia_act!H$7</f>
        <v>260.59389151006752</v>
      </c>
      <c r="I16" s="102">
        <f>TrAvia_act!I$7</f>
        <v>319.17593147640952</v>
      </c>
      <c r="J16" s="102">
        <f>TrAvia_act!J$7</f>
        <v>349.85412492567042</v>
      </c>
      <c r="K16" s="102">
        <f>TrAvia_act!K$7</f>
        <v>337.31057748727937</v>
      </c>
      <c r="L16" s="102">
        <f>TrAvia_act!L$7</f>
        <v>336.07378275551474</v>
      </c>
      <c r="M16" s="102">
        <f>TrAvia_act!M$7</f>
        <v>312.07330546051031</v>
      </c>
      <c r="N16" s="102">
        <f>TrAvia_act!N$7</f>
        <v>328.93486491195307</v>
      </c>
      <c r="O16" s="102">
        <f>TrAvia_act!O$7</f>
        <v>347.21054658982428</v>
      </c>
      <c r="P16" s="102">
        <f>TrAvia_act!P$7</f>
        <v>315.91562191217236</v>
      </c>
      <c r="Q16" s="102">
        <f>TrAvia_act!Q$7</f>
        <v>312.73522676278105</v>
      </c>
      <c r="R16" s="102">
        <f>TrAvia_act!R$7</f>
        <v>260.38114130953039</v>
      </c>
      <c r="S16" s="102">
        <f>TrAvia_act!S$7</f>
        <v>324.95763763056385</v>
      </c>
      <c r="T16" s="102">
        <f>TrAvia_act!T$7</f>
        <v>359.34631832262204</v>
      </c>
      <c r="U16" s="102">
        <f>TrAvia_act!U$7</f>
        <v>385.5990141036628</v>
      </c>
      <c r="V16" s="102">
        <f>TrAvia_act!V$7</f>
        <v>69.885744561669824</v>
      </c>
      <c r="W16" s="102">
        <f>TrAvia_act!W$7</f>
        <v>109.91719449154256</v>
      </c>
      <c r="X16" s="102">
        <f>TrAvia_act!X$7</f>
        <v>285.40732183694632</v>
      </c>
      <c r="Y16" s="102">
        <f>TrAvia_act!Y$7</f>
        <v>372.63749160749848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8392.5527445254265</v>
      </c>
      <c r="C17" s="28">
        <f t="shared" si="12"/>
        <v>8658.1247677478295</v>
      </c>
      <c r="D17" s="28">
        <f t="shared" si="12"/>
        <v>9148.2548540959524</v>
      </c>
      <c r="E17" s="28">
        <f t="shared" si="12"/>
        <v>9210.2826737509331</v>
      </c>
      <c r="F17" s="28">
        <f t="shared" si="12"/>
        <v>10284.937369827021</v>
      </c>
      <c r="G17" s="28">
        <f t="shared" si="12"/>
        <v>10654.391396659883</v>
      </c>
      <c r="H17" s="28">
        <f t="shared" si="12"/>
        <v>11526.633457056796</v>
      </c>
      <c r="I17" s="28">
        <f t="shared" si="12"/>
        <v>12191.800921054491</v>
      </c>
      <c r="J17" s="28">
        <f t="shared" si="12"/>
        <v>12095.989115105036</v>
      </c>
      <c r="K17" s="28">
        <f t="shared" si="12"/>
        <v>10274.97992002671</v>
      </c>
      <c r="L17" s="28">
        <f t="shared" si="12"/>
        <v>10891.310670319133</v>
      </c>
      <c r="M17" s="28">
        <f t="shared" si="12"/>
        <v>11199.717639081877</v>
      </c>
      <c r="N17" s="28">
        <f t="shared" si="12"/>
        <v>10735.523573934317</v>
      </c>
      <c r="O17" s="28">
        <f t="shared" si="12"/>
        <v>11088.52456822567</v>
      </c>
      <c r="P17" s="28">
        <f t="shared" si="12"/>
        <v>11602.150109396553</v>
      </c>
      <c r="Q17" s="28">
        <f t="shared" si="12"/>
        <v>12114.992574336999</v>
      </c>
      <c r="R17" s="28">
        <f t="shared" ref="R17:V17" si="13">R18+R21+R22+R26</f>
        <v>13049.572521107288</v>
      </c>
      <c r="S17" s="28">
        <f t="shared" si="13"/>
        <v>14679.311858796189</v>
      </c>
      <c r="T17" s="28">
        <f t="shared" si="13"/>
        <v>14844.083377852894</v>
      </c>
      <c r="U17" s="28">
        <f t="shared" si="13"/>
        <v>15135.426295816178</v>
      </c>
      <c r="V17" s="28">
        <f t="shared" si="13"/>
        <v>13946.514544357922</v>
      </c>
      <c r="W17" s="28">
        <f t="shared" ref="W17:Y17" si="14">W18+W21+W22+W26</f>
        <v>14993.616904995077</v>
      </c>
      <c r="X17" s="28">
        <f t="shared" si="14"/>
        <v>15360.413046419155</v>
      </c>
      <c r="Y17" s="28">
        <f t="shared" si="14"/>
        <v>15629.988310592691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5530.1471621002956</v>
      </c>
      <c r="C18" s="137">
        <f t="shared" si="15"/>
        <v>5815.4156197757102</v>
      </c>
      <c r="D18" s="137">
        <f t="shared" si="15"/>
        <v>6064.5509928965839</v>
      </c>
      <c r="E18" s="137">
        <f t="shared" si="15"/>
        <v>6186.160954250664</v>
      </c>
      <c r="F18" s="137">
        <f t="shared" si="15"/>
        <v>7129.4873633604093</v>
      </c>
      <c r="G18" s="137">
        <f t="shared" si="15"/>
        <v>7403.5423880547569</v>
      </c>
      <c r="H18" s="137">
        <f t="shared" si="15"/>
        <v>8148.3713679114444</v>
      </c>
      <c r="I18" s="137">
        <f t="shared" si="15"/>
        <v>8578.4027260355178</v>
      </c>
      <c r="J18" s="137">
        <f t="shared" si="15"/>
        <v>8571.3897971444021</v>
      </c>
      <c r="K18" s="137">
        <f t="shared" si="15"/>
        <v>7455.5353915071555</v>
      </c>
      <c r="L18" s="137">
        <f t="shared" si="15"/>
        <v>7467.6678503549556</v>
      </c>
      <c r="M18" s="137">
        <f t="shared" si="15"/>
        <v>7445.0636216274797</v>
      </c>
      <c r="N18" s="137">
        <f t="shared" si="15"/>
        <v>7262.6940030292581</v>
      </c>
      <c r="O18" s="137">
        <f t="shared" si="15"/>
        <v>7286.6894498517622</v>
      </c>
      <c r="P18" s="137">
        <f t="shared" si="15"/>
        <v>7489.5885406100269</v>
      </c>
      <c r="Q18" s="137">
        <f t="shared" si="15"/>
        <v>7937.3530768622632</v>
      </c>
      <c r="R18" s="137">
        <f t="shared" ref="R18:V18" si="16">R19+R20</f>
        <v>8686.982961878497</v>
      </c>
      <c r="S18" s="137">
        <f t="shared" si="16"/>
        <v>9547.27147522835</v>
      </c>
      <c r="T18" s="137">
        <f t="shared" si="16"/>
        <v>9689.074592424713</v>
      </c>
      <c r="U18" s="137">
        <f t="shared" si="16"/>
        <v>9839.8474564008848</v>
      </c>
      <c r="V18" s="137">
        <f t="shared" si="16"/>
        <v>9217.9272076967573</v>
      </c>
      <c r="W18" s="137">
        <f t="shared" ref="W18:Y18" si="17">W19+W20</f>
        <v>10053.569805603844</v>
      </c>
      <c r="X18" s="137">
        <f t="shared" si="17"/>
        <v>10428.622938976818</v>
      </c>
      <c r="Y18" s="137">
        <f t="shared" si="17"/>
        <v>10997.324965905907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60.809933327729738</v>
      </c>
      <c r="C19" s="102">
        <f>TrRoad_act!C$20</f>
        <v>64.913490385302765</v>
      </c>
      <c r="D19" s="102">
        <f>TrRoad_act!D$20</f>
        <v>70.603644174411954</v>
      </c>
      <c r="E19" s="102">
        <f>TrRoad_act!E$20</f>
        <v>77.027672148484186</v>
      </c>
      <c r="F19" s="102">
        <f>TrRoad_act!F$20</f>
        <v>87.060122056326662</v>
      </c>
      <c r="G19" s="102">
        <f>TrRoad_act!G$20</f>
        <v>96.230140450282434</v>
      </c>
      <c r="H19" s="102">
        <f>TrRoad_act!H$20</f>
        <v>105.47696969236476</v>
      </c>
      <c r="I19" s="102">
        <f>TrRoad_act!I$20</f>
        <v>121.51471473598146</v>
      </c>
      <c r="J19" s="102">
        <f>TrRoad_act!J$20</f>
        <v>135.96985796333672</v>
      </c>
      <c r="K19" s="102">
        <f>TrRoad_act!K$20</f>
        <v>142.81375345083643</v>
      </c>
      <c r="L19" s="102">
        <f>TrRoad_act!L$20</f>
        <v>146.15468320260734</v>
      </c>
      <c r="M19" s="102">
        <f>TrRoad_act!M$20</f>
        <v>152.80347512846936</v>
      </c>
      <c r="N19" s="102">
        <f>TrRoad_act!N$20</f>
        <v>156.4270832630385</v>
      </c>
      <c r="O19" s="102">
        <f>TrRoad_act!O$20</f>
        <v>162.11233370959499</v>
      </c>
      <c r="P19" s="102">
        <f>TrRoad_act!P$20</f>
        <v>171.35054997370543</v>
      </c>
      <c r="Q19" s="102">
        <f>TrRoad_act!Q$20</f>
        <v>182.64442543432608</v>
      </c>
      <c r="R19" s="102">
        <f>TrRoad_act!R$20</f>
        <v>195.90415268045717</v>
      </c>
      <c r="S19" s="102">
        <f>TrRoad_act!S$20</f>
        <v>212.28305745160267</v>
      </c>
      <c r="T19" s="102">
        <f>TrRoad_act!T$20</f>
        <v>229.07459242471279</v>
      </c>
      <c r="U19" s="102">
        <f>TrRoad_act!U$20</f>
        <v>244.84745640088474</v>
      </c>
      <c r="V19" s="102">
        <f>TrRoad_act!V$20</f>
        <v>254.92720769675665</v>
      </c>
      <c r="W19" s="102">
        <f>TrRoad_act!W$20</f>
        <v>269.56980560384397</v>
      </c>
      <c r="X19" s="102">
        <f>TrRoad_act!X$20</f>
        <v>281.62293897681752</v>
      </c>
      <c r="Y19" s="102">
        <f>TrRoad_act!Y$20</f>
        <v>295.32496590590819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5469.337228772566</v>
      </c>
      <c r="C20" s="102">
        <f>TrRoad_act!C$26</f>
        <v>5750.5021293904074</v>
      </c>
      <c r="D20" s="102">
        <f>TrRoad_act!D$26</f>
        <v>5993.9473487221721</v>
      </c>
      <c r="E20" s="102">
        <f>TrRoad_act!E$26</f>
        <v>6109.1332821021797</v>
      </c>
      <c r="F20" s="102">
        <f>TrRoad_act!F$26</f>
        <v>7042.4272413040826</v>
      </c>
      <c r="G20" s="102">
        <f>TrRoad_act!G$26</f>
        <v>7307.3122476044746</v>
      </c>
      <c r="H20" s="102">
        <f>TrRoad_act!H$26</f>
        <v>8042.8943982190794</v>
      </c>
      <c r="I20" s="102">
        <f>TrRoad_act!I$26</f>
        <v>8456.8880112995357</v>
      </c>
      <c r="J20" s="102">
        <f>TrRoad_act!J$26</f>
        <v>8435.4199391810653</v>
      </c>
      <c r="K20" s="102">
        <f>TrRoad_act!K$26</f>
        <v>7312.7216380563186</v>
      </c>
      <c r="L20" s="102">
        <f>TrRoad_act!L$26</f>
        <v>7321.5131671523486</v>
      </c>
      <c r="M20" s="102">
        <f>TrRoad_act!M$26</f>
        <v>7292.2601464990103</v>
      </c>
      <c r="N20" s="102">
        <f>TrRoad_act!N$26</f>
        <v>7106.2669197662199</v>
      </c>
      <c r="O20" s="102">
        <f>TrRoad_act!O$26</f>
        <v>7124.5771161421671</v>
      </c>
      <c r="P20" s="102">
        <f>TrRoad_act!P$26</f>
        <v>7318.2379906363212</v>
      </c>
      <c r="Q20" s="102">
        <f>TrRoad_act!Q$26</f>
        <v>7754.7086514279372</v>
      </c>
      <c r="R20" s="102">
        <f>TrRoad_act!R$26</f>
        <v>8491.0788091980394</v>
      </c>
      <c r="S20" s="102">
        <f>TrRoad_act!S$26</f>
        <v>9334.9884177767472</v>
      </c>
      <c r="T20" s="102">
        <f>TrRoad_act!T$26</f>
        <v>9460</v>
      </c>
      <c r="U20" s="102">
        <f>TrRoad_act!U$26</f>
        <v>9595</v>
      </c>
      <c r="V20" s="102">
        <f>TrRoad_act!V$26</f>
        <v>8963</v>
      </c>
      <c r="W20" s="102">
        <f>TrRoad_act!W$26</f>
        <v>9784</v>
      </c>
      <c r="X20" s="102">
        <f>TrRoad_act!X$26</f>
        <v>10147</v>
      </c>
      <c r="Y20" s="102">
        <f>TrRoad_act!Y$26</f>
        <v>10702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2857</v>
      </c>
      <c r="C21" s="110">
        <f>TrRail_act!C$10</f>
        <v>2837</v>
      </c>
      <c r="D21" s="110">
        <f>TrRail_act!D$10</f>
        <v>3078</v>
      </c>
      <c r="E21" s="110">
        <f>TrRail_act!E$10</f>
        <v>3018</v>
      </c>
      <c r="F21" s="110">
        <f>TrRail_act!F$10</f>
        <v>3149</v>
      </c>
      <c r="G21" s="110">
        <f>TrRail_act!G$10</f>
        <v>3245</v>
      </c>
      <c r="H21" s="110">
        <f>TrRail_act!H$10</f>
        <v>3373</v>
      </c>
      <c r="I21" s="110">
        <f>TrRail_act!I$10</f>
        <v>3603</v>
      </c>
      <c r="J21" s="110">
        <f>TrRail_act!J$10</f>
        <v>3520</v>
      </c>
      <c r="K21" s="110">
        <f>TrRail_act!K$10</f>
        <v>2817</v>
      </c>
      <c r="L21" s="110">
        <f>TrRail_act!L$10</f>
        <v>3421</v>
      </c>
      <c r="M21" s="110">
        <f>TrRail_act!M$10</f>
        <v>3752</v>
      </c>
      <c r="N21" s="110">
        <f>TrRail_act!N$10</f>
        <v>3470</v>
      </c>
      <c r="O21" s="110">
        <f>TrRail_act!O$10</f>
        <v>3799</v>
      </c>
      <c r="P21" s="110">
        <f>TrRail_act!P$10</f>
        <v>4110</v>
      </c>
      <c r="Q21" s="110">
        <f>TrRail_act!Q$10</f>
        <v>4175</v>
      </c>
      <c r="R21" s="110">
        <f>TrRail_act!R$10</f>
        <v>4360</v>
      </c>
      <c r="S21" s="110">
        <f>TrRail_act!S$10</f>
        <v>5128</v>
      </c>
      <c r="T21" s="110">
        <f>TrRail_act!T$10</f>
        <v>5151</v>
      </c>
      <c r="U21" s="110">
        <f>TrRail_act!U$10</f>
        <v>5292</v>
      </c>
      <c r="V21" s="110">
        <f>TrRail_act!V$10</f>
        <v>4726</v>
      </c>
      <c r="W21" s="110">
        <f>TrRail_act!W$10</f>
        <v>4937</v>
      </c>
      <c r="X21" s="110">
        <f>TrRail_act!X$10</f>
        <v>4928</v>
      </c>
      <c r="Y21" s="110">
        <f>TrRail_act!Y$10</f>
        <v>4629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5.4055824251295936</v>
      </c>
      <c r="C22" s="110">
        <f t="shared" ref="C22:V22" si="19">C23+C24+C25</f>
        <v>5.7091479721178464</v>
      </c>
      <c r="D22" s="110">
        <f t="shared" si="19"/>
        <v>5.7038611993677586</v>
      </c>
      <c r="E22" s="110">
        <f t="shared" si="19"/>
        <v>6.1217195002709275</v>
      </c>
      <c r="F22" s="110">
        <f t="shared" si="19"/>
        <v>6.4500064666120744</v>
      </c>
      <c r="G22" s="110">
        <f t="shared" si="19"/>
        <v>5.849008605125924</v>
      </c>
      <c r="H22" s="110">
        <f t="shared" si="19"/>
        <v>5.2620891453520535</v>
      </c>
      <c r="I22" s="110">
        <f t="shared" si="19"/>
        <v>10.398195018973901</v>
      </c>
      <c r="J22" s="110">
        <f t="shared" si="19"/>
        <v>4.5993179606337522</v>
      </c>
      <c r="K22" s="110">
        <f t="shared" si="19"/>
        <v>2.4445285195543831</v>
      </c>
      <c r="L22" s="110">
        <f t="shared" si="19"/>
        <v>2.6428199641777264</v>
      </c>
      <c r="M22" s="110">
        <f t="shared" si="19"/>
        <v>2.6540174543961617</v>
      </c>
      <c r="N22" s="110">
        <f t="shared" si="19"/>
        <v>2.8295709050597448</v>
      </c>
      <c r="O22" s="110">
        <f t="shared" si="19"/>
        <v>2.8351183739079993</v>
      </c>
      <c r="P22" s="110">
        <f t="shared" si="19"/>
        <v>2.5615687865239849</v>
      </c>
      <c r="Q22" s="110">
        <f t="shared" si="19"/>
        <v>2.6394974747369311</v>
      </c>
      <c r="R22" s="110">
        <f t="shared" si="19"/>
        <v>2.5895592287902591</v>
      </c>
      <c r="S22" s="110">
        <f t="shared" si="19"/>
        <v>4.0403835678389717</v>
      </c>
      <c r="T22" s="110">
        <f t="shared" si="19"/>
        <v>4.0087854281805084</v>
      </c>
      <c r="U22" s="110">
        <f t="shared" si="19"/>
        <v>3.5788394152939387</v>
      </c>
      <c r="V22" s="110">
        <f t="shared" si="19"/>
        <v>2.5873366611656587</v>
      </c>
      <c r="W22" s="110">
        <f t="shared" ref="W22:Y22" si="20">W23+W24+W25</f>
        <v>3.0470993912330582</v>
      </c>
      <c r="X22" s="110">
        <f t="shared" si="20"/>
        <v>3.7901074423373835</v>
      </c>
      <c r="Y22" s="110">
        <f t="shared" si="20"/>
        <v>3.6633446867831965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1.2609623731471966</v>
      </c>
      <c r="C24" s="102">
        <f>TrAvia_act!C$10</f>
        <v>1.1373241637445552</v>
      </c>
      <c r="D24" s="102">
        <f>TrAvia_act!D$10</f>
        <v>0.95558032073967514</v>
      </c>
      <c r="E24" s="102">
        <f>TrAvia_act!E$10</f>
        <v>0.82675380568508061</v>
      </c>
      <c r="F24" s="102">
        <f>TrAvia_act!F$10</f>
        <v>0.73981143726789722</v>
      </c>
      <c r="G24" s="102">
        <f>TrAvia_act!G$10</f>
        <v>0.93036029996719494</v>
      </c>
      <c r="H24" s="102">
        <f>TrAvia_act!H$10</f>
        <v>1.7778935620069927</v>
      </c>
      <c r="I24" s="102">
        <f>TrAvia_act!I$10</f>
        <v>7.739513649804266</v>
      </c>
      <c r="J24" s="102">
        <f>TrAvia_act!J$10</f>
        <v>2.6456661312751448</v>
      </c>
      <c r="K24" s="102">
        <f>TrAvia_act!K$10</f>
        <v>1.3128545377378682</v>
      </c>
      <c r="L24" s="102">
        <f>TrAvia_act!L$10</f>
        <v>1.9730343493341658</v>
      </c>
      <c r="M24" s="102">
        <f>TrAvia_act!M$10</f>
        <v>1.9718931013120349</v>
      </c>
      <c r="N24" s="102">
        <f>TrAvia_act!N$10</f>
        <v>2.0374844555390994</v>
      </c>
      <c r="O24" s="102">
        <f>TrAvia_act!O$10</f>
        <v>2.0147095332404037</v>
      </c>
      <c r="P24" s="102">
        <f>TrAvia_act!P$10</f>
        <v>1.8840725504873495</v>
      </c>
      <c r="Q24" s="102">
        <f>TrAvia_act!Q$10</f>
        <v>2.2802294943657788</v>
      </c>
      <c r="R24" s="102">
        <f>TrAvia_act!R$10</f>
        <v>2.2749142379570366</v>
      </c>
      <c r="S24" s="102">
        <f>TrAvia_act!S$10</f>
        <v>3.2713611755608532</v>
      </c>
      <c r="T24" s="102">
        <f>TrAvia_act!T$10</f>
        <v>3.0643408991967132</v>
      </c>
      <c r="U24" s="102">
        <f>TrAvia_act!U$10</f>
        <v>2.5957366069487016</v>
      </c>
      <c r="V24" s="102">
        <f>TrAvia_act!V$10</f>
        <v>1.9088504167088478</v>
      </c>
      <c r="W24" s="102">
        <f>TrAvia_act!W$10</f>
        <v>2.3755531847568228</v>
      </c>
      <c r="X24" s="102">
        <f>TrAvia_act!X$10</f>
        <v>2.7657222685700549</v>
      </c>
      <c r="Y24" s="102">
        <f>TrAvia_act!Y$10</f>
        <v>2.7812311739504318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4.1446200519823968</v>
      </c>
      <c r="C25" s="102">
        <f>TrAvia_act!C$11</f>
        <v>4.5718238083732912</v>
      </c>
      <c r="D25" s="102">
        <f>TrAvia_act!D$11</f>
        <v>4.7482808786280835</v>
      </c>
      <c r="E25" s="102">
        <f>TrAvia_act!E$11</f>
        <v>5.294965694585847</v>
      </c>
      <c r="F25" s="102">
        <f>TrAvia_act!F$11</f>
        <v>5.7101950293441774</v>
      </c>
      <c r="G25" s="102">
        <f>TrAvia_act!G$11</f>
        <v>4.9186483051587286</v>
      </c>
      <c r="H25" s="102">
        <f>TrAvia_act!H$11</f>
        <v>3.4841955833450609</v>
      </c>
      <c r="I25" s="102">
        <f>TrAvia_act!I$11</f>
        <v>2.6586813691696354</v>
      </c>
      <c r="J25" s="102">
        <f>TrAvia_act!J$11</f>
        <v>1.9536518293586072</v>
      </c>
      <c r="K25" s="102">
        <f>TrAvia_act!K$11</f>
        <v>1.1316739818165149</v>
      </c>
      <c r="L25" s="102">
        <f>TrAvia_act!L$11</f>
        <v>0.66978561484356081</v>
      </c>
      <c r="M25" s="102">
        <f>TrAvia_act!M$11</f>
        <v>0.68212435308412678</v>
      </c>
      <c r="N25" s="102">
        <f>TrAvia_act!N$11</f>
        <v>0.79208644952064544</v>
      </c>
      <c r="O25" s="102">
        <f>TrAvia_act!O$11</f>
        <v>0.82040884066759534</v>
      </c>
      <c r="P25" s="102">
        <f>TrAvia_act!P$11</f>
        <v>0.67749623603663545</v>
      </c>
      <c r="Q25" s="102">
        <f>TrAvia_act!Q$11</f>
        <v>0.3592679803711521</v>
      </c>
      <c r="R25" s="102">
        <f>TrAvia_act!R$11</f>
        <v>0.31464499083322262</v>
      </c>
      <c r="S25" s="102">
        <f>TrAvia_act!S$11</f>
        <v>0.76902239227811886</v>
      </c>
      <c r="T25" s="102">
        <f>TrAvia_act!T$11</f>
        <v>0.94444452898379505</v>
      </c>
      <c r="U25" s="102">
        <f>TrAvia_act!U$11</f>
        <v>0.98310280834523711</v>
      </c>
      <c r="V25" s="102">
        <f>TrAvia_act!V$11</f>
        <v>0.67848624445681083</v>
      </c>
      <c r="W25" s="102">
        <f>TrAvia_act!W$11</f>
        <v>0.67154620647623553</v>
      </c>
      <c r="X25" s="102">
        <f>TrAvia_act!X$11</f>
        <v>1.0243851737673288</v>
      </c>
      <c r="Y25" s="102">
        <f>TrAvia_act!Y$11</f>
        <v>0.88211351283276473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0</v>
      </c>
      <c r="H26" s="110">
        <f t="shared" si="21"/>
        <v>0</v>
      </c>
      <c r="I26" s="110">
        <f t="shared" si="21"/>
        <v>0</v>
      </c>
      <c r="J26" s="110">
        <f t="shared" si="21"/>
        <v>0</v>
      </c>
      <c r="K26" s="110">
        <f t="shared" si="21"/>
        <v>0</v>
      </c>
      <c r="L26" s="110">
        <f t="shared" si="21"/>
        <v>0</v>
      </c>
      <c r="M26" s="110">
        <f t="shared" si="21"/>
        <v>0</v>
      </c>
      <c r="N26" s="110">
        <f t="shared" si="21"/>
        <v>0</v>
      </c>
      <c r="O26" s="110">
        <f t="shared" si="21"/>
        <v>0</v>
      </c>
      <c r="P26" s="110">
        <f t="shared" si="21"/>
        <v>0</v>
      </c>
      <c r="Q26" s="110">
        <f t="shared" si="21"/>
        <v>0</v>
      </c>
      <c r="R26" s="110">
        <f t="shared" ref="R26:V26" si="22">R27+R28</f>
        <v>0</v>
      </c>
      <c r="S26" s="110">
        <f t="shared" si="22"/>
        <v>0</v>
      </c>
      <c r="T26" s="110">
        <f t="shared" si="22"/>
        <v>0</v>
      </c>
      <c r="U26" s="110">
        <f t="shared" si="22"/>
        <v>0</v>
      </c>
      <c r="V26" s="110">
        <f t="shared" si="22"/>
        <v>0</v>
      </c>
      <c r="W26" s="110">
        <f t="shared" ref="W26:Y26" si="23">W27+W28</f>
        <v>0</v>
      </c>
      <c r="X26" s="110">
        <f t="shared" si="23"/>
        <v>0</v>
      </c>
      <c r="Y26" s="110">
        <f t="shared" si="23"/>
        <v>0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X27" s="102">
        <f>TrNavi_act!X4</f>
        <v>0</v>
      </c>
      <c r="Y27" s="102">
        <f>TrNavi_act!Y4</f>
        <v>0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X28" s="169">
        <f>TrNavi_act!X5</f>
        <v>0</v>
      </c>
      <c r="Y28" s="169">
        <f>TrNavi_act!Y5</f>
        <v>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38166.264225999999</v>
      </c>
      <c r="H29" s="28">
        <f t="shared" si="24"/>
        <v>48786.362335999998</v>
      </c>
      <c r="I29" s="28">
        <f t="shared" si="24"/>
        <v>51286.503871000001</v>
      </c>
      <c r="J29" s="28">
        <f t="shared" si="24"/>
        <v>55463.708955000002</v>
      </c>
      <c r="K29" s="28">
        <f t="shared" si="24"/>
        <v>42671.369743000003</v>
      </c>
      <c r="L29" s="28">
        <f t="shared" si="24"/>
        <v>49382.926830999997</v>
      </c>
      <c r="M29" s="28">
        <f t="shared" si="24"/>
        <v>59442.010518000003</v>
      </c>
      <c r="N29" s="28">
        <f t="shared" si="24"/>
        <v>58223.360660000006</v>
      </c>
      <c r="O29" s="28">
        <f t="shared" si="24"/>
        <v>56000.889841999997</v>
      </c>
      <c r="P29" s="28">
        <f t="shared" si="24"/>
        <v>60088.768849999993</v>
      </c>
      <c r="Q29" s="28">
        <f t="shared" si="24"/>
        <v>65890.299039000005</v>
      </c>
      <c r="R29" s="28">
        <f t="shared" si="24"/>
        <v>70290.460858000006</v>
      </c>
      <c r="S29" s="28">
        <f t="shared" si="24"/>
        <v>79231.615078999981</v>
      </c>
      <c r="T29" s="28">
        <f t="shared" si="24"/>
        <v>88755.121930000008</v>
      </c>
      <c r="U29" s="28">
        <f t="shared" si="24"/>
        <v>80751.695527999997</v>
      </c>
      <c r="V29" s="28">
        <f t="shared" si="24"/>
        <v>68812.097248000005</v>
      </c>
      <c r="W29" s="28">
        <f t="shared" si="24"/>
        <v>79163.201593000005</v>
      </c>
      <c r="X29" s="28">
        <f t="shared" ref="X29:Y29" si="25">X30+X31</f>
        <v>0</v>
      </c>
      <c r="Y29" s="28">
        <f t="shared" si="25"/>
        <v>0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6107.9841999999999</v>
      </c>
      <c r="H30" s="102">
        <f>MBunk_act!H$4</f>
        <v>7793.1041509999995</v>
      </c>
      <c r="I30" s="102">
        <f>MBunk_act!I$4</f>
        <v>7507.1204779999998</v>
      </c>
      <c r="J30" s="102">
        <f>MBunk_act!J$4</f>
        <v>8055.4137520000004</v>
      </c>
      <c r="K30" s="102">
        <f>MBunk_act!K$4</f>
        <v>6447.3452349999998</v>
      </c>
      <c r="L30" s="102">
        <f>MBunk_act!L$4</f>
        <v>5315.6158639999994</v>
      </c>
      <c r="M30" s="102">
        <f>MBunk_act!M$4</f>
        <v>4856.571062</v>
      </c>
      <c r="N30" s="102">
        <f>MBunk_act!N$4</f>
        <v>6320.3297009999997</v>
      </c>
      <c r="O30" s="102">
        <f>MBunk_act!O$4</f>
        <v>5002.742569</v>
      </c>
      <c r="P30" s="102">
        <f>MBunk_act!P$4</f>
        <v>5976.4484130000001</v>
      </c>
      <c r="Q30" s="102">
        <f>MBunk_act!Q$4</f>
        <v>6331.6711400000004</v>
      </c>
      <c r="R30" s="102">
        <f>MBunk_act!R$4</f>
        <v>7445.6225779999995</v>
      </c>
      <c r="S30" s="102">
        <f>MBunk_act!S$4</f>
        <v>7451.2124540000004</v>
      </c>
      <c r="T30" s="102">
        <f>MBunk_act!T$4</f>
        <v>7602.7869860000001</v>
      </c>
      <c r="U30" s="102">
        <f>MBunk_act!U$4</f>
        <v>6364.3087960000003</v>
      </c>
      <c r="V30" s="102">
        <f>MBunk_act!V$4</f>
        <v>5097.4985459999998</v>
      </c>
      <c r="W30" s="102">
        <f>MBunk_act!W$4</f>
        <v>4384.2734250000003</v>
      </c>
      <c r="X30" s="102">
        <f>MBunk_act!X$4</f>
        <v>0</v>
      </c>
      <c r="Y30" s="102">
        <f>MBunk_act!Y$4</f>
        <v>0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32058.280026</v>
      </c>
      <c r="H31" s="86">
        <f>MBunk_act!H$5</f>
        <v>40993.258184999999</v>
      </c>
      <c r="I31" s="86">
        <f>MBunk_act!I$5</f>
        <v>43779.383393000004</v>
      </c>
      <c r="J31" s="86">
        <f>MBunk_act!J$5</f>
        <v>47408.295203000001</v>
      </c>
      <c r="K31" s="86">
        <f>MBunk_act!K$5</f>
        <v>36224.024508000002</v>
      </c>
      <c r="L31" s="86">
        <f>MBunk_act!L$5</f>
        <v>44067.310966999998</v>
      </c>
      <c r="M31" s="86">
        <f>MBunk_act!M$5</f>
        <v>54585.439456</v>
      </c>
      <c r="N31" s="86">
        <f>MBunk_act!N$5</f>
        <v>51903.030959000003</v>
      </c>
      <c r="O31" s="86">
        <f>MBunk_act!O$5</f>
        <v>50998.147272999995</v>
      </c>
      <c r="P31" s="86">
        <f>MBunk_act!P$5</f>
        <v>54112.320436999995</v>
      </c>
      <c r="Q31" s="86">
        <f>MBunk_act!Q$5</f>
        <v>59558.627898999999</v>
      </c>
      <c r="R31" s="86">
        <f>MBunk_act!R$5</f>
        <v>62844.838280000004</v>
      </c>
      <c r="S31" s="86">
        <f>MBunk_act!S$5</f>
        <v>71780.402624999988</v>
      </c>
      <c r="T31" s="86">
        <f>MBunk_act!T$5</f>
        <v>81152.334944000002</v>
      </c>
      <c r="U31" s="86">
        <f>MBunk_act!U$5</f>
        <v>74387.386731999999</v>
      </c>
      <c r="V31" s="86">
        <f>MBunk_act!V$5</f>
        <v>63714.598702000003</v>
      </c>
      <c r="W31" s="86">
        <f>MBunk_act!W$5</f>
        <v>74778.928167999999</v>
      </c>
      <c r="X31" s="86">
        <f>MBunk_act!X$5</f>
        <v>0</v>
      </c>
      <c r="Y31" s="86">
        <f>MBunk_act!Y$5</f>
        <v>0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1111.3061441242819</v>
      </c>
      <c r="C34" s="28">
        <f t="shared" si="26"/>
        <v>1109.0024158581846</v>
      </c>
      <c r="D34" s="28">
        <f t="shared" si="26"/>
        <v>1130.1176137499258</v>
      </c>
      <c r="E34" s="28">
        <f t="shared" si="26"/>
        <v>1109.8536153767204</v>
      </c>
      <c r="F34" s="28">
        <f t="shared" si="26"/>
        <v>1069.3186084959593</v>
      </c>
      <c r="G34" s="28">
        <f t="shared" si="26"/>
        <v>1102.1491216971172</v>
      </c>
      <c r="H34" s="28">
        <f t="shared" si="26"/>
        <v>1128.6428370857302</v>
      </c>
      <c r="I34" s="28">
        <f t="shared" si="26"/>
        <v>1168.1862613273815</v>
      </c>
      <c r="J34" s="28">
        <f t="shared" si="26"/>
        <v>1249.6273679793551</v>
      </c>
      <c r="K34" s="28">
        <f t="shared" si="26"/>
        <v>1218.0780205615035</v>
      </c>
      <c r="L34" s="28">
        <f t="shared" si="26"/>
        <v>1235.7268538881603</v>
      </c>
      <c r="M34" s="28">
        <f t="shared" si="26"/>
        <v>1239.810459131407</v>
      </c>
      <c r="N34" s="28">
        <f t="shared" si="26"/>
        <v>1206.5154029858011</v>
      </c>
      <c r="O34" s="28">
        <f t="shared" si="26"/>
        <v>1178.0630326310743</v>
      </c>
      <c r="P34" s="28">
        <f t="shared" si="26"/>
        <v>1169.9319689239865</v>
      </c>
      <c r="Q34" s="28">
        <f t="shared" si="26"/>
        <v>1176.8092658269545</v>
      </c>
      <c r="R34" s="28">
        <f t="shared" ref="R34:V34" si="27">R35+R39+R43</f>
        <v>1177.9315366641654</v>
      </c>
      <c r="S34" s="28">
        <f t="shared" si="27"/>
        <v>1220.2047169796658</v>
      </c>
      <c r="T34" s="28">
        <f t="shared" si="27"/>
        <v>1259.839321816456</v>
      </c>
      <c r="U34" s="28">
        <f t="shared" si="27"/>
        <v>1252.4222208265005</v>
      </c>
      <c r="V34" s="28">
        <f t="shared" si="27"/>
        <v>1037.008079866152</v>
      </c>
      <c r="W34" s="28">
        <f t="shared" ref="W34:Y34" si="28">W35+W39+W43</f>
        <v>1119.2381708543066</v>
      </c>
      <c r="X34" s="28">
        <f t="shared" si="28"/>
        <v>1226.6473659659196</v>
      </c>
      <c r="Y34" s="28">
        <f t="shared" si="28"/>
        <v>1267.1537829354327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1076.2881987238461</v>
      </c>
      <c r="C35" s="137">
        <f t="shared" si="29"/>
        <v>1071.7304632138423</v>
      </c>
      <c r="D35" s="137">
        <f t="shared" si="29"/>
        <v>1090.2601813649869</v>
      </c>
      <c r="E35" s="137">
        <f t="shared" si="29"/>
        <v>1072.1978414560624</v>
      </c>
      <c r="F35" s="137">
        <f t="shared" si="29"/>
        <v>1037.6041957388018</v>
      </c>
      <c r="G35" s="137">
        <f t="shared" si="29"/>
        <v>1066.95938108421</v>
      </c>
      <c r="H35" s="137">
        <f t="shared" si="29"/>
        <v>1091.357506734279</v>
      </c>
      <c r="I35" s="137">
        <f t="shared" si="29"/>
        <v>1124.5804099816471</v>
      </c>
      <c r="J35" s="137">
        <f t="shared" si="29"/>
        <v>1202.5077917073882</v>
      </c>
      <c r="K35" s="137">
        <f t="shared" si="29"/>
        <v>1179.1702055411938</v>
      </c>
      <c r="L35" s="137">
        <f t="shared" si="29"/>
        <v>1197.3029145929215</v>
      </c>
      <c r="M35" s="137">
        <f t="shared" si="29"/>
        <v>1206.449745171727</v>
      </c>
      <c r="N35" s="137">
        <f t="shared" si="29"/>
        <v>1173.208236200815</v>
      </c>
      <c r="O35" s="137">
        <f t="shared" si="29"/>
        <v>1143.3060145656893</v>
      </c>
      <c r="P35" s="137">
        <f t="shared" si="29"/>
        <v>1135.6605175019231</v>
      </c>
      <c r="Q35" s="137">
        <f t="shared" si="29"/>
        <v>1141.2594608278728</v>
      </c>
      <c r="R35" s="137">
        <f t="shared" ref="R35:V35" si="30">R36+R37+R38</f>
        <v>1146.6028390684146</v>
      </c>
      <c r="S35" s="137">
        <f t="shared" si="30"/>
        <v>1180.3237866916936</v>
      </c>
      <c r="T35" s="137">
        <f t="shared" si="30"/>
        <v>1214.2333543101513</v>
      </c>
      <c r="U35" s="137">
        <f t="shared" si="30"/>
        <v>1215.0254634654002</v>
      </c>
      <c r="V35" s="137">
        <f t="shared" si="30"/>
        <v>1020.6144635429251</v>
      </c>
      <c r="W35" s="137">
        <f t="shared" ref="W35:Y35" si="31">W36+W37+W38</f>
        <v>1097.6310055207314</v>
      </c>
      <c r="X35" s="137">
        <f t="shared" si="31"/>
        <v>1195.7898154007205</v>
      </c>
      <c r="Y35" s="137">
        <f t="shared" si="31"/>
        <v>1235.8436438341716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3.5048616008928368</v>
      </c>
      <c r="C36" s="102">
        <f>TrRoad_ene!C$19</f>
        <v>3.2641469409512047</v>
      </c>
      <c r="D36" s="102">
        <f>TrRoad_ene!D$19</f>
        <v>3.2464084590922422</v>
      </c>
      <c r="E36" s="102">
        <f>TrRoad_ene!E$19</f>
        <v>3.8879802172635216</v>
      </c>
      <c r="F36" s="102">
        <f>TrRoad_ene!F$19</f>
        <v>4.3844847471967787</v>
      </c>
      <c r="G36" s="102">
        <f>TrRoad_ene!G$19</f>
        <v>4.8680598212281128</v>
      </c>
      <c r="H36" s="102">
        <f>TrRoad_ene!H$19</f>
        <v>5.4413891519223236</v>
      </c>
      <c r="I36" s="102">
        <f>TrRoad_ene!I$19</f>
        <v>6.0277732562106765</v>
      </c>
      <c r="J36" s="102">
        <f>TrRoad_ene!J$19</f>
        <v>6.4477062636319911</v>
      </c>
      <c r="K36" s="102">
        <f>TrRoad_ene!K$19</f>
        <v>6.8807597015706321</v>
      </c>
      <c r="L36" s="102">
        <f>TrRoad_ene!L$19</f>
        <v>8.4203885650723631</v>
      </c>
      <c r="M36" s="102">
        <f>TrRoad_ene!M$19</f>
        <v>9.8299680969942838</v>
      </c>
      <c r="N36" s="102">
        <f>TrRoad_ene!N$19</f>
        <v>8.9521960595211318</v>
      </c>
      <c r="O36" s="102">
        <f>TrRoad_ene!O$19</f>
        <v>7.9372974957982976</v>
      </c>
      <c r="P36" s="102">
        <f>TrRoad_ene!P$19</f>
        <v>8.0411510489243856</v>
      </c>
      <c r="Q36" s="102">
        <f>TrRoad_ene!Q$19</f>
        <v>8.5127414845508547</v>
      </c>
      <c r="R36" s="102">
        <f>TrRoad_ene!R$19</f>
        <v>8.7524253929715083</v>
      </c>
      <c r="S36" s="102">
        <f>TrRoad_ene!S$19</f>
        <v>8.5107263608797403</v>
      </c>
      <c r="T36" s="102">
        <f>TrRoad_ene!T$19</f>
        <v>8.0750296298827973</v>
      </c>
      <c r="U36" s="102">
        <f>TrRoad_ene!U$19</f>
        <v>8.5057600600925944</v>
      </c>
      <c r="V36" s="102">
        <f>TrRoad_ene!V$19</f>
        <v>7.5898753867538211</v>
      </c>
      <c r="W36" s="102">
        <f>TrRoad_ene!W$19</f>
        <v>7.8434377348131674</v>
      </c>
      <c r="X36" s="102">
        <f>TrRoad_ene!X$19</f>
        <v>7.9217485436482962</v>
      </c>
      <c r="Y36" s="102">
        <f>TrRoad_ene!Y$19</f>
        <v>8.5439312190560237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993.38758348643591</v>
      </c>
      <c r="C37" s="102">
        <f>TrRoad_ene!C$21</f>
        <v>996.05965779623466</v>
      </c>
      <c r="D37" s="102">
        <f>TrRoad_ene!D$21</f>
        <v>1017.1714595675587</v>
      </c>
      <c r="E37" s="102">
        <f>TrRoad_ene!E$21</f>
        <v>1000.6084515788143</v>
      </c>
      <c r="F37" s="102">
        <f>TrRoad_ene!F$21</f>
        <v>964.10435697300613</v>
      </c>
      <c r="G37" s="102">
        <f>TrRoad_ene!G$21</f>
        <v>995.27551454648358</v>
      </c>
      <c r="H37" s="102">
        <f>TrRoad_ene!H$21</f>
        <v>1018.638572111783</v>
      </c>
      <c r="I37" s="102">
        <f>TrRoad_ene!I$21</f>
        <v>1050.8080242388503</v>
      </c>
      <c r="J37" s="102">
        <f>TrRoad_ene!J$21</f>
        <v>1128.1159909652388</v>
      </c>
      <c r="K37" s="102">
        <f>TrRoad_ene!K$21</f>
        <v>1103.4090972609047</v>
      </c>
      <c r="L37" s="102">
        <f>TrRoad_ene!L$21</f>
        <v>1120.4134986866438</v>
      </c>
      <c r="M37" s="102">
        <f>TrRoad_ene!M$21</f>
        <v>1126.8943989858981</v>
      </c>
      <c r="N37" s="102">
        <f>TrRoad_ene!N$21</f>
        <v>1094.8728740337604</v>
      </c>
      <c r="O37" s="102">
        <f>TrRoad_ene!O$21</f>
        <v>1064.3165037279218</v>
      </c>
      <c r="P37" s="102">
        <f>TrRoad_ene!P$21</f>
        <v>1056.5127885123261</v>
      </c>
      <c r="Q37" s="102">
        <f>TrRoad_ene!Q$21</f>
        <v>1058.8671742889694</v>
      </c>
      <c r="R37" s="102">
        <f>TrRoad_ene!R$21</f>
        <v>1066.3141515684881</v>
      </c>
      <c r="S37" s="102">
        <f>TrRoad_ene!S$21</f>
        <v>1097.240358423556</v>
      </c>
      <c r="T37" s="102">
        <f>TrRoad_ene!T$21</f>
        <v>1132.6884520603851</v>
      </c>
      <c r="U37" s="102">
        <f>TrRoad_ene!U$21</f>
        <v>1129.1065312220537</v>
      </c>
      <c r="V37" s="102">
        <f>TrRoad_ene!V$21</f>
        <v>965.42550631516701</v>
      </c>
      <c r="W37" s="102">
        <f>TrRoad_ene!W$21</f>
        <v>1034.3258471976098</v>
      </c>
      <c r="X37" s="102">
        <f>TrRoad_ene!X$21</f>
        <v>1121.8423106679127</v>
      </c>
      <c r="Y37" s="102">
        <f>TrRoad_ene!Y$21</f>
        <v>1156.9902473403483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79.395753636517497</v>
      </c>
      <c r="C38" s="102">
        <f>TrRoad_ene!C$33</f>
        <v>72.406658476656418</v>
      </c>
      <c r="D38" s="102">
        <f>TrRoad_ene!D$33</f>
        <v>69.842313338335913</v>
      </c>
      <c r="E38" s="102">
        <f>TrRoad_ene!E$33</f>
        <v>67.701409659984535</v>
      </c>
      <c r="F38" s="102">
        <f>TrRoad_ene!F$33</f>
        <v>69.115354018598921</v>
      </c>
      <c r="G38" s="102">
        <f>TrRoad_ene!G$33</f>
        <v>66.815806716498386</v>
      </c>
      <c r="H38" s="102">
        <f>TrRoad_ene!H$33</f>
        <v>67.277545470573557</v>
      </c>
      <c r="I38" s="102">
        <f>TrRoad_ene!I$33</f>
        <v>67.744612486586163</v>
      </c>
      <c r="J38" s="102">
        <f>TrRoad_ene!J$33</f>
        <v>67.944094478517414</v>
      </c>
      <c r="K38" s="102">
        <f>TrRoad_ene!K$33</f>
        <v>68.88034857871844</v>
      </c>
      <c r="L38" s="102">
        <f>TrRoad_ene!L$33</f>
        <v>68.469027341205191</v>
      </c>
      <c r="M38" s="102">
        <f>TrRoad_ene!M$33</f>
        <v>69.725378088834873</v>
      </c>
      <c r="N38" s="102">
        <f>TrRoad_ene!N$33</f>
        <v>69.38316610753354</v>
      </c>
      <c r="O38" s="102">
        <f>TrRoad_ene!O$33</f>
        <v>71.052213341969235</v>
      </c>
      <c r="P38" s="102">
        <f>TrRoad_ene!P$33</f>
        <v>71.106577940672608</v>
      </c>
      <c r="Q38" s="102">
        <f>TrRoad_ene!Q$33</f>
        <v>73.879545054352576</v>
      </c>
      <c r="R38" s="102">
        <f>TrRoad_ene!R$33</f>
        <v>71.536262106955007</v>
      </c>
      <c r="S38" s="102">
        <f>TrRoad_ene!S$33</f>
        <v>74.57270190725778</v>
      </c>
      <c r="T38" s="102">
        <f>TrRoad_ene!T$33</f>
        <v>73.469872619883631</v>
      </c>
      <c r="U38" s="102">
        <f>TrRoad_ene!U$33</f>
        <v>77.413172183254005</v>
      </c>
      <c r="V38" s="102">
        <f>TrRoad_ene!V$33</f>
        <v>47.599081841004285</v>
      </c>
      <c r="W38" s="102">
        <f>TrRoad_ene!W$33</f>
        <v>55.461720588308353</v>
      </c>
      <c r="X38" s="102">
        <f>TrRoad_ene!X$33</f>
        <v>66.025756189159466</v>
      </c>
      <c r="Y38" s="102">
        <f>TrRoad_ene!Y$33</f>
        <v>70.309465274767348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10.051627045338581</v>
      </c>
      <c r="C39" s="110">
        <f t="shared" si="32"/>
        <v>10.185715447296154</v>
      </c>
      <c r="D39" s="110">
        <f t="shared" si="32"/>
        <v>10.667740205291002</v>
      </c>
      <c r="E39" s="110">
        <f t="shared" si="32"/>
        <v>11.649298923777243</v>
      </c>
      <c r="F39" s="110">
        <f t="shared" si="32"/>
        <v>12.049685230210645</v>
      </c>
      <c r="G39" s="110">
        <f t="shared" si="32"/>
        <v>12.374959222250588</v>
      </c>
      <c r="H39" s="110">
        <f t="shared" si="32"/>
        <v>12.409900564473379</v>
      </c>
      <c r="I39" s="110">
        <f t="shared" si="32"/>
        <v>12.534541524171637</v>
      </c>
      <c r="J39" s="110">
        <f t="shared" si="32"/>
        <v>12.212136629553601</v>
      </c>
      <c r="K39" s="110">
        <f t="shared" si="32"/>
        <v>11.027853555571847</v>
      </c>
      <c r="L39" s="110">
        <f t="shared" si="32"/>
        <v>10.654275736947113</v>
      </c>
      <c r="M39" s="110">
        <f t="shared" si="32"/>
        <v>9.7181175221685301</v>
      </c>
      <c r="N39" s="110">
        <f t="shared" si="32"/>
        <v>9.7186416663566373</v>
      </c>
      <c r="O39" s="110">
        <f t="shared" si="32"/>
        <v>9.1175518782223861</v>
      </c>
      <c r="P39" s="110">
        <f t="shared" si="32"/>
        <v>8.5941169827497088</v>
      </c>
      <c r="Q39" s="110">
        <f t="shared" si="32"/>
        <v>9.89091092379158</v>
      </c>
      <c r="R39" s="110">
        <f t="shared" ref="R39:V39" si="33">R40+R41+R42</f>
        <v>9.7472827162942774</v>
      </c>
      <c r="S39" s="110">
        <f t="shared" si="33"/>
        <v>13.955746237033406</v>
      </c>
      <c r="T39" s="110">
        <f t="shared" si="33"/>
        <v>10.556378890776511</v>
      </c>
      <c r="U39" s="110">
        <f t="shared" si="33"/>
        <v>10.280449815779969</v>
      </c>
      <c r="V39" s="110">
        <f t="shared" si="33"/>
        <v>7.0730904524032088</v>
      </c>
      <c r="W39" s="110">
        <f t="shared" ref="W39:Y39" si="34">W40+W41+W42</f>
        <v>11.508757721971699</v>
      </c>
      <c r="X39" s="110">
        <f t="shared" si="34"/>
        <v>9.5021985270851133</v>
      </c>
      <c r="Y39" s="110">
        <f t="shared" si="34"/>
        <v>12.154116330969742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X40" s="102">
        <f>TrRail_ene!X$12</f>
        <v>0</v>
      </c>
      <c r="Y40" s="102">
        <f>TrRail_ene!Y$12</f>
        <v>0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10.051627045338581</v>
      </c>
      <c r="C41" s="102">
        <f>TrRail_ene!C$13</f>
        <v>10.185715447296154</v>
      </c>
      <c r="D41" s="102">
        <f>TrRail_ene!D$13</f>
        <v>10.667740205291002</v>
      </c>
      <c r="E41" s="102">
        <f>TrRail_ene!E$13</f>
        <v>11.649298923777243</v>
      </c>
      <c r="F41" s="102">
        <f>TrRail_ene!F$13</f>
        <v>12.049685230210645</v>
      </c>
      <c r="G41" s="102">
        <f>TrRail_ene!G$13</f>
        <v>12.374959222250588</v>
      </c>
      <c r="H41" s="102">
        <f>TrRail_ene!H$13</f>
        <v>12.409900564473379</v>
      </c>
      <c r="I41" s="102">
        <f>TrRail_ene!I$13</f>
        <v>12.534541524171637</v>
      </c>
      <c r="J41" s="102">
        <f>TrRail_ene!J$13</f>
        <v>12.056528709440865</v>
      </c>
      <c r="K41" s="102">
        <f>TrRail_ene!K$13</f>
        <v>10.861625294380953</v>
      </c>
      <c r="L41" s="102">
        <f>TrRail_ene!L$13</f>
        <v>10.497490397584766</v>
      </c>
      <c r="M41" s="102">
        <f>TrRail_ene!M$13</f>
        <v>9.5843031308162203</v>
      </c>
      <c r="N41" s="102">
        <f>TrRail_ene!N$13</f>
        <v>9.5955438872300363</v>
      </c>
      <c r="O41" s="102">
        <f>TrRail_ene!O$13</f>
        <v>9.0059707658074863</v>
      </c>
      <c r="P41" s="102">
        <f>TrRail_ene!P$13</f>
        <v>8.5157750758600486</v>
      </c>
      <c r="Q41" s="102">
        <f>TrRail_ene!Q$13</f>
        <v>9.8331447456188528</v>
      </c>
      <c r="R41" s="102">
        <f>TrRail_ene!R$13</f>
        <v>9.7077114152105182</v>
      </c>
      <c r="S41" s="102">
        <f>TrRail_ene!S$13</f>
        <v>13.940757274154683</v>
      </c>
      <c r="T41" s="102">
        <f>TrRail_ene!T$13</f>
        <v>10.539072591630958</v>
      </c>
      <c r="U41" s="102">
        <f>TrRail_ene!U$13</f>
        <v>10.264070900664739</v>
      </c>
      <c r="V41" s="102">
        <f>TrRail_ene!V$13</f>
        <v>7.0630614941392356</v>
      </c>
      <c r="W41" s="102">
        <f>TrRail_ene!W$13</f>
        <v>11.150368370167785</v>
      </c>
      <c r="X41" s="102">
        <f>TrRail_ene!X$13</f>
        <v>9.1096486156978589</v>
      </c>
      <c r="Y41" s="102">
        <f>TrRail_ene!Y$13</f>
        <v>11.297979309660532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0.15560792011273678</v>
      </c>
      <c r="K42" s="102">
        <f>TrRail_ene!K$16</f>
        <v>0.16622826119089251</v>
      </c>
      <c r="L42" s="102">
        <f>TrRail_ene!L$16</f>
        <v>0.15678533936234818</v>
      </c>
      <c r="M42" s="102">
        <f>TrRail_ene!M$16</f>
        <v>0.13381439135230969</v>
      </c>
      <c r="N42" s="102">
        <f>TrRail_ene!N$16</f>
        <v>0.12309777912660166</v>
      </c>
      <c r="O42" s="102">
        <f>TrRail_ene!O$16</f>
        <v>0.1115811124148996</v>
      </c>
      <c r="P42" s="102">
        <f>TrRail_ene!P$16</f>
        <v>7.8341906889659529E-2</v>
      </c>
      <c r="Q42" s="102">
        <f>TrRail_ene!Q$16</f>
        <v>5.7766178172727667E-2</v>
      </c>
      <c r="R42" s="102">
        <f>TrRail_ene!R$16</f>
        <v>3.9571301083758628E-2</v>
      </c>
      <c r="S42" s="102">
        <f>TrRail_ene!S$16</f>
        <v>1.4988962878723118E-2</v>
      </c>
      <c r="T42" s="102">
        <f>TrRail_ene!T$16</f>
        <v>1.7306299145552411E-2</v>
      </c>
      <c r="U42" s="102">
        <f>TrRail_ene!U$16</f>
        <v>1.6378915115229511E-2</v>
      </c>
      <c r="V42" s="102">
        <f>TrRail_ene!V$16</f>
        <v>1.002895826397327E-2</v>
      </c>
      <c r="W42" s="102">
        <f>TrRail_ene!W$16</f>
        <v>0.35838935180391512</v>
      </c>
      <c r="X42" s="102">
        <f>TrRail_ene!X$16</f>
        <v>0.39254991138725348</v>
      </c>
      <c r="Y42" s="102">
        <f>TrRail_ene!Y$16</f>
        <v>0.85613702130921066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24.966318355097094</v>
      </c>
      <c r="C43" s="110">
        <f t="shared" si="35"/>
        <v>27.086237197046039</v>
      </c>
      <c r="D43" s="110">
        <f t="shared" si="35"/>
        <v>29.189692179647885</v>
      </c>
      <c r="E43" s="110">
        <f t="shared" si="35"/>
        <v>26.006474996880687</v>
      </c>
      <c r="F43" s="110">
        <f t="shared" si="35"/>
        <v>19.664727526946884</v>
      </c>
      <c r="G43" s="110">
        <f t="shared" si="35"/>
        <v>22.814781390656705</v>
      </c>
      <c r="H43" s="110">
        <f t="shared" si="35"/>
        <v>24.875429786977762</v>
      </c>
      <c r="I43" s="110">
        <f t="shared" si="35"/>
        <v>31.071309821562938</v>
      </c>
      <c r="J43" s="110">
        <f t="shared" si="35"/>
        <v>34.907439642413294</v>
      </c>
      <c r="K43" s="110">
        <f t="shared" si="35"/>
        <v>27.879961464737704</v>
      </c>
      <c r="L43" s="110">
        <f t="shared" si="35"/>
        <v>27.769663558291704</v>
      </c>
      <c r="M43" s="110">
        <f t="shared" si="35"/>
        <v>23.642596437511379</v>
      </c>
      <c r="N43" s="110">
        <f t="shared" si="35"/>
        <v>23.588525118629445</v>
      </c>
      <c r="O43" s="110">
        <f t="shared" si="35"/>
        <v>25.639466187162391</v>
      </c>
      <c r="P43" s="110">
        <f t="shared" si="35"/>
        <v>25.67733443931354</v>
      </c>
      <c r="Q43" s="110">
        <f t="shared" si="35"/>
        <v>25.658894075290259</v>
      </c>
      <c r="R43" s="110">
        <f t="shared" ref="R43:V43" si="36">R44+R45+R46</f>
        <v>21.581414879456602</v>
      </c>
      <c r="S43" s="110">
        <f t="shared" si="36"/>
        <v>25.925184050938675</v>
      </c>
      <c r="T43" s="110">
        <f t="shared" si="36"/>
        <v>35.049588615528243</v>
      </c>
      <c r="U43" s="110">
        <f t="shared" si="36"/>
        <v>27.116307545320264</v>
      </c>
      <c r="V43" s="110">
        <f t="shared" si="36"/>
        <v>9.3205258708237757</v>
      </c>
      <c r="W43" s="110">
        <f t="shared" ref="W43:Y43" si="37">W44+W45+W46</f>
        <v>10.098407611603577</v>
      </c>
      <c r="X43" s="110">
        <f t="shared" si="37"/>
        <v>21.355352038114003</v>
      </c>
      <c r="Y43" s="110">
        <f t="shared" si="37"/>
        <v>19.156022770291131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15.301851067624698</v>
      </c>
      <c r="C45" s="102">
        <f>TrAvia_ene!C$8</f>
        <v>16.599524140643709</v>
      </c>
      <c r="D45" s="102">
        <f>TrAvia_ene!D$8</f>
        <v>17.889427062275839</v>
      </c>
      <c r="E45" s="102">
        <f>TrAvia_ene!E$8</f>
        <v>15.939415908189771</v>
      </c>
      <c r="F45" s="102">
        <f>TrAvia_ene!F$8</f>
        <v>12.052647860525624</v>
      </c>
      <c r="G45" s="102">
        <f>TrAvia_ene!G$8</f>
        <v>14.159379775903332</v>
      </c>
      <c r="H45" s="102">
        <f>TrAvia_ene!H$8</f>
        <v>15.839073271302935</v>
      </c>
      <c r="I45" s="102">
        <f>TrAvia_ene!I$8</f>
        <v>20.039995197450388</v>
      </c>
      <c r="J45" s="102">
        <f>TrAvia_ene!J$8</f>
        <v>22.214293815214724</v>
      </c>
      <c r="K45" s="102">
        <f>TrAvia_ene!K$8</f>
        <v>17.305172236760995</v>
      </c>
      <c r="L45" s="102">
        <f>TrAvia_ene!L$8</f>
        <v>16.981918290777795</v>
      </c>
      <c r="M45" s="102">
        <f>TrAvia_ene!M$8</f>
        <v>14.446397145128318</v>
      </c>
      <c r="N45" s="102">
        <f>TrAvia_ene!N$8</f>
        <v>14.241760258800893</v>
      </c>
      <c r="O45" s="102">
        <f>TrAvia_ene!O$8</f>
        <v>15.589347912165584</v>
      </c>
      <c r="P45" s="102">
        <f>TrAvia_ene!P$8</f>
        <v>15.64486290002322</v>
      </c>
      <c r="Q45" s="102">
        <f>TrAvia_ene!Q$8</f>
        <v>16.022717365071973</v>
      </c>
      <c r="R45" s="102">
        <f>TrAvia_ene!R$8</f>
        <v>13.686770707363893</v>
      </c>
      <c r="S45" s="102">
        <f>TrAvia_ene!S$8</f>
        <v>16.951153481517085</v>
      </c>
      <c r="T45" s="102">
        <f>TrAvia_ene!T$8</f>
        <v>22.813461621764166</v>
      </c>
      <c r="U45" s="102">
        <f>TrAvia_ene!U$8</f>
        <v>17.096141372121092</v>
      </c>
      <c r="V45" s="102">
        <f>TrAvia_ene!V$8</f>
        <v>4.9846200991661496</v>
      </c>
      <c r="W45" s="102">
        <f>TrAvia_ene!W$8</f>
        <v>5.8145753781025222</v>
      </c>
      <c r="X45" s="102">
        <f>TrAvia_ene!X$8</f>
        <v>13.620751164251184</v>
      </c>
      <c r="Y45" s="102">
        <f>TrAvia_ene!Y$8</f>
        <v>12.122677518772432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9.6644672874723945</v>
      </c>
      <c r="C46" s="102">
        <f>TrAvia_ene!C$9</f>
        <v>10.486713056402328</v>
      </c>
      <c r="D46" s="102">
        <f>TrAvia_ene!D$9</f>
        <v>11.300265117372044</v>
      </c>
      <c r="E46" s="102">
        <f>TrAvia_ene!E$9</f>
        <v>10.067059088690916</v>
      </c>
      <c r="F46" s="102">
        <f>TrAvia_ene!F$9</f>
        <v>7.6120796664212573</v>
      </c>
      <c r="G46" s="102">
        <f>TrAvia_ene!G$9</f>
        <v>8.6554016147533748</v>
      </c>
      <c r="H46" s="102">
        <f>TrAvia_ene!H$9</f>
        <v>9.0363565156748269</v>
      </c>
      <c r="I46" s="102">
        <f>TrAvia_ene!I$9</f>
        <v>11.03131462411255</v>
      </c>
      <c r="J46" s="102">
        <f>TrAvia_ene!J$9</f>
        <v>12.693145827198569</v>
      </c>
      <c r="K46" s="102">
        <f>TrAvia_ene!K$9</f>
        <v>10.574789227976709</v>
      </c>
      <c r="L46" s="102">
        <f>TrAvia_ene!L$9</f>
        <v>10.787745267513907</v>
      </c>
      <c r="M46" s="102">
        <f>TrAvia_ene!M$9</f>
        <v>9.1961992923830618</v>
      </c>
      <c r="N46" s="102">
        <f>TrAvia_ene!N$9</f>
        <v>9.3467648598285518</v>
      </c>
      <c r="O46" s="102">
        <f>TrAvia_ene!O$9</f>
        <v>10.050118274996807</v>
      </c>
      <c r="P46" s="102">
        <f>TrAvia_ene!P$9</f>
        <v>10.03247153929032</v>
      </c>
      <c r="Q46" s="102">
        <f>TrAvia_ene!Q$9</f>
        <v>9.6361767102182867</v>
      </c>
      <c r="R46" s="102">
        <f>TrAvia_ene!R$9</f>
        <v>7.8946441720927094</v>
      </c>
      <c r="S46" s="102">
        <f>TrAvia_ene!S$9</f>
        <v>8.9740305694215898</v>
      </c>
      <c r="T46" s="102">
        <f>TrAvia_ene!T$9</f>
        <v>12.236126993764078</v>
      </c>
      <c r="U46" s="102">
        <f>TrAvia_ene!U$9</f>
        <v>10.020166173199172</v>
      </c>
      <c r="V46" s="102">
        <f>TrAvia_ene!V$9</f>
        <v>4.3359057716576253</v>
      </c>
      <c r="W46" s="102">
        <f>TrAvia_ene!W$9</f>
        <v>4.2838322335010544</v>
      </c>
      <c r="X46" s="102">
        <f>TrAvia_ene!X$9</f>
        <v>7.734600873862818</v>
      </c>
      <c r="Y46" s="102">
        <f>TrAvia_ene!Y$9</f>
        <v>7.0333452515186972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126.44587651200357</v>
      </c>
      <c r="C47" s="28">
        <f t="shared" si="38"/>
        <v>183.19448869899514</v>
      </c>
      <c r="D47" s="28">
        <f t="shared" si="38"/>
        <v>199.53741634465709</v>
      </c>
      <c r="E47" s="28">
        <f t="shared" si="38"/>
        <v>233.88619545732962</v>
      </c>
      <c r="F47" s="28">
        <f t="shared" si="38"/>
        <v>323.92919889870956</v>
      </c>
      <c r="G47" s="28">
        <f t="shared" si="38"/>
        <v>381.81717236995041</v>
      </c>
      <c r="H47" s="28">
        <f t="shared" si="38"/>
        <v>423.83996600971278</v>
      </c>
      <c r="I47" s="28">
        <f t="shared" si="38"/>
        <v>593.48278424441548</v>
      </c>
      <c r="J47" s="28">
        <f t="shared" si="38"/>
        <v>819.76704302666383</v>
      </c>
      <c r="K47" s="28">
        <f t="shared" si="38"/>
        <v>527.75585734047456</v>
      </c>
      <c r="L47" s="28">
        <f t="shared" si="38"/>
        <v>568.91132323995703</v>
      </c>
      <c r="M47" s="28">
        <f t="shared" si="38"/>
        <v>664.65144862954526</v>
      </c>
      <c r="N47" s="28">
        <f t="shared" si="38"/>
        <v>714.85007428941594</v>
      </c>
      <c r="O47" s="28">
        <f t="shared" si="38"/>
        <v>655.89200247125086</v>
      </c>
      <c r="P47" s="28">
        <f t="shared" si="38"/>
        <v>649.56148721557565</v>
      </c>
      <c r="Q47" s="28">
        <f t="shared" si="38"/>
        <v>620.2033343679534</v>
      </c>
      <c r="R47" s="28">
        <f t="shared" ref="R47:V47" si="39">R48+R51+R52+R56</f>
        <v>725.03726085114715</v>
      </c>
      <c r="S47" s="28">
        <f t="shared" si="39"/>
        <v>739.5288009195408</v>
      </c>
      <c r="T47" s="28">
        <f t="shared" si="39"/>
        <v>749.49783084923604</v>
      </c>
      <c r="U47" s="28">
        <f t="shared" si="39"/>
        <v>700.87663330698774</v>
      </c>
      <c r="V47" s="28">
        <f t="shared" si="39"/>
        <v>555.59458896656997</v>
      </c>
      <c r="W47" s="28">
        <f t="shared" ref="W47:Y47" si="40">W48+W51+W52+W56</f>
        <v>690.5882981892604</v>
      </c>
      <c r="X47" s="28">
        <f t="shared" si="40"/>
        <v>748.49784707294441</v>
      </c>
      <c r="Y47" s="28">
        <f t="shared" si="40"/>
        <v>585.00474779580315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112.24722689954157</v>
      </c>
      <c r="C48" s="137">
        <f t="shared" si="41"/>
        <v>167.93944220318258</v>
      </c>
      <c r="D48" s="137">
        <f t="shared" si="41"/>
        <v>183.30430702710242</v>
      </c>
      <c r="E48" s="137">
        <f t="shared" si="41"/>
        <v>218.26742079673218</v>
      </c>
      <c r="F48" s="137">
        <f t="shared" si="41"/>
        <v>307.82908027151632</v>
      </c>
      <c r="G48" s="137">
        <f t="shared" si="41"/>
        <v>365.43055872662381</v>
      </c>
      <c r="H48" s="137">
        <f t="shared" si="41"/>
        <v>407.47095414276322</v>
      </c>
      <c r="I48" s="137">
        <f t="shared" si="41"/>
        <v>576.47573791173227</v>
      </c>
      <c r="J48" s="137">
        <f t="shared" si="41"/>
        <v>805.18894088074603</v>
      </c>
      <c r="K48" s="137">
        <f t="shared" si="41"/>
        <v>516.78834991882366</v>
      </c>
      <c r="L48" s="137">
        <f t="shared" si="41"/>
        <v>555.99820320587514</v>
      </c>
      <c r="M48" s="137">
        <f t="shared" si="41"/>
        <v>650.4192993046164</v>
      </c>
      <c r="N48" s="137">
        <f t="shared" si="41"/>
        <v>702.01175526184829</v>
      </c>
      <c r="O48" s="137">
        <f t="shared" si="41"/>
        <v>641.92184942743529</v>
      </c>
      <c r="P48" s="137">
        <f t="shared" si="41"/>
        <v>633.34394465655544</v>
      </c>
      <c r="Q48" s="137">
        <f t="shared" si="41"/>
        <v>605.07747298698371</v>
      </c>
      <c r="R48" s="137">
        <f t="shared" ref="R48:V48" si="42">R49+R50</f>
        <v>710.59519318464527</v>
      </c>
      <c r="S48" s="137">
        <f t="shared" si="42"/>
        <v>724.32778795729791</v>
      </c>
      <c r="T48" s="137">
        <f t="shared" si="42"/>
        <v>731.66029018701113</v>
      </c>
      <c r="U48" s="137">
        <f t="shared" si="42"/>
        <v>684.15301233618777</v>
      </c>
      <c r="V48" s="137">
        <f t="shared" si="42"/>
        <v>539.25286565093188</v>
      </c>
      <c r="W48" s="137">
        <f t="shared" ref="W48:Y48" si="43">W49+W50</f>
        <v>675.41309035000677</v>
      </c>
      <c r="X48" s="137">
        <f t="shared" si="43"/>
        <v>729.52143375164314</v>
      </c>
      <c r="Y48" s="137">
        <f t="shared" si="43"/>
        <v>569.3665635952583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40.95258321300895</v>
      </c>
      <c r="C49" s="102">
        <f>TrRoad_ene!C$43</f>
        <v>42.861827949249275</v>
      </c>
      <c r="D49" s="102">
        <f>TrRoad_ene!D$43</f>
        <v>46.132225815867024</v>
      </c>
      <c r="E49" s="102">
        <f>TrRoad_ene!E$43</f>
        <v>49.869891154752729</v>
      </c>
      <c r="F49" s="102">
        <f>TrRoad_ene!F$43</f>
        <v>56.248291178504687</v>
      </c>
      <c r="G49" s="102">
        <f>TrRoad_ene!G$43</f>
        <v>61.840884977548683</v>
      </c>
      <c r="H49" s="102">
        <f>TrRoad_ene!H$43</f>
        <v>67.666188588392728</v>
      </c>
      <c r="I49" s="102">
        <f>TrRoad_ene!I$43</f>
        <v>77.783096495074957</v>
      </c>
      <c r="J49" s="102">
        <f>TrRoad_ene!J$43</f>
        <v>86.331411700355389</v>
      </c>
      <c r="K49" s="102">
        <f>TrRoad_ene!K$43</f>
        <v>90.026836448754608</v>
      </c>
      <c r="L49" s="102">
        <f>TrRoad_ene!L$43</f>
        <v>91.690488612649446</v>
      </c>
      <c r="M49" s="102">
        <f>TrRoad_ene!M$43</f>
        <v>96.176505630421744</v>
      </c>
      <c r="N49" s="102">
        <f>TrRoad_ene!N$43</f>
        <v>97.032864931206916</v>
      </c>
      <c r="O49" s="102">
        <f>TrRoad_ene!O$43</f>
        <v>99.61883864403751</v>
      </c>
      <c r="P49" s="102">
        <f>TrRoad_ene!P$43</f>
        <v>104.67930870601344</v>
      </c>
      <c r="Q49" s="102">
        <f>TrRoad_ene!Q$43</f>
        <v>110.07716119055063</v>
      </c>
      <c r="R49" s="102">
        <f>TrRoad_ene!R$43</f>
        <v>115.66512625475825</v>
      </c>
      <c r="S49" s="102">
        <f>TrRoad_ene!S$43</f>
        <v>122.1436980003502</v>
      </c>
      <c r="T49" s="102">
        <f>TrRoad_ene!T$43</f>
        <v>129.42802716854621</v>
      </c>
      <c r="U49" s="102">
        <f>TrRoad_ene!U$43</f>
        <v>136.46575807792954</v>
      </c>
      <c r="V49" s="102">
        <f>TrRoad_ene!V$43</f>
        <v>141.12793914000574</v>
      </c>
      <c r="W49" s="102">
        <f>TrRoad_ene!W$43</f>
        <v>147.9129910266825</v>
      </c>
      <c r="X49" s="102">
        <f>TrRoad_ene!X$43</f>
        <v>153.5366546197277</v>
      </c>
      <c r="Y49" s="102">
        <f>TrRoad_ene!Y$43</f>
        <v>160.06933769307946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71.294643686532623</v>
      </c>
      <c r="C50" s="102">
        <f>TrRoad_ene!C$52</f>
        <v>125.07761425393332</v>
      </c>
      <c r="D50" s="102">
        <f>TrRoad_ene!D$52</f>
        <v>137.17208121123539</v>
      </c>
      <c r="E50" s="102">
        <f>TrRoad_ene!E$52</f>
        <v>168.39752964197945</v>
      </c>
      <c r="F50" s="102">
        <f>TrRoad_ene!F$52</f>
        <v>251.58078909301162</v>
      </c>
      <c r="G50" s="102">
        <f>TrRoad_ene!G$52</f>
        <v>303.58967374907513</v>
      </c>
      <c r="H50" s="102">
        <f>TrRoad_ene!H$52</f>
        <v>339.80476555437048</v>
      </c>
      <c r="I50" s="102">
        <f>TrRoad_ene!I$52</f>
        <v>498.69264141665735</v>
      </c>
      <c r="J50" s="102">
        <f>TrRoad_ene!J$52</f>
        <v>718.85752918039066</v>
      </c>
      <c r="K50" s="102">
        <f>TrRoad_ene!K$52</f>
        <v>426.76151347006902</v>
      </c>
      <c r="L50" s="102">
        <f>TrRoad_ene!L$52</f>
        <v>464.30771459322568</v>
      </c>
      <c r="M50" s="102">
        <f>TrRoad_ene!M$52</f>
        <v>554.24279367419467</v>
      </c>
      <c r="N50" s="102">
        <f>TrRoad_ene!N$52</f>
        <v>604.97889033064143</v>
      </c>
      <c r="O50" s="102">
        <f>TrRoad_ene!O$52</f>
        <v>542.30301078339778</v>
      </c>
      <c r="P50" s="102">
        <f>TrRoad_ene!P$52</f>
        <v>528.66463595054199</v>
      </c>
      <c r="Q50" s="102">
        <f>TrRoad_ene!Q$52</f>
        <v>495.00031179643304</v>
      </c>
      <c r="R50" s="102">
        <f>TrRoad_ene!R$52</f>
        <v>594.93006692988706</v>
      </c>
      <c r="S50" s="102">
        <f>TrRoad_ene!S$52</f>
        <v>602.18408995694767</v>
      </c>
      <c r="T50" s="102">
        <f>TrRoad_ene!T$52</f>
        <v>602.23226301846489</v>
      </c>
      <c r="U50" s="102">
        <f>TrRoad_ene!U$52</f>
        <v>547.68725425825824</v>
      </c>
      <c r="V50" s="102">
        <f>TrRoad_ene!V$52</f>
        <v>398.12492651092617</v>
      </c>
      <c r="W50" s="102">
        <f>TrRoad_ene!W$52</f>
        <v>527.50009932332432</v>
      </c>
      <c r="X50" s="102">
        <f>TrRoad_ene!X$52</f>
        <v>575.98477913191539</v>
      </c>
      <c r="Y50" s="102">
        <f>TrRoad_ene!Y$52</f>
        <v>409.29722590217881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13.885518268504921</v>
      </c>
      <c r="C51" s="110">
        <f>TrRail_ene!C$17</f>
        <v>14.955213185549926</v>
      </c>
      <c r="D51" s="110">
        <f>TrRail_ene!D$17</f>
        <v>15.930110181639346</v>
      </c>
      <c r="E51" s="110">
        <f>TrRail_ene!E$17</f>
        <v>15.292489554296697</v>
      </c>
      <c r="F51" s="110">
        <f>TrRail_ene!F$17</f>
        <v>15.751948475722285</v>
      </c>
      <c r="G51" s="110">
        <f>TrRail_ene!G$17</f>
        <v>16.028566143183625</v>
      </c>
      <c r="H51" s="110">
        <f>TrRail_ene!H$17</f>
        <v>15.964991954873131</v>
      </c>
      <c r="I51" s="110">
        <f>TrRail_ene!I$17</f>
        <v>15.840350995174873</v>
      </c>
      <c r="J51" s="110">
        <f>TrRail_ene!J$17</f>
        <v>14.127760189019051</v>
      </c>
      <c r="K51" s="110">
        <f>TrRail_ene!K$17</f>
        <v>10.769222970653429</v>
      </c>
      <c r="L51" s="110">
        <f>TrRail_ene!L$17</f>
        <v>12.604537676638438</v>
      </c>
      <c r="M51" s="110">
        <f>TrRail_ene!M$17</f>
        <v>13.956259090041268</v>
      </c>
      <c r="N51" s="110">
        <f>TrRail_ene!N$17</f>
        <v>12.508357473798135</v>
      </c>
      <c r="O51" s="110">
        <f>TrRail_ene!O$17</f>
        <v>13.611252936910894</v>
      </c>
      <c r="P51" s="110">
        <f>TrRail_ene!P$17</f>
        <v>15.896510704266632</v>
      </c>
      <c r="Q51" s="110">
        <f>TrRail_ene!Q$17</f>
        <v>14.78638916219294</v>
      </c>
      <c r="R51" s="110">
        <f>TrRail_ene!R$17</f>
        <v>14.184875495227654</v>
      </c>
      <c r="S51" s="110">
        <f>TrRail_ene!S$17</f>
        <v>14.76282641988834</v>
      </c>
      <c r="T51" s="110">
        <f>TrRail_ene!T$17</f>
        <v>17.339063929515834</v>
      </c>
      <c r="U51" s="110">
        <f>TrRail_ene!U$17</f>
        <v>16.339928516120288</v>
      </c>
      <c r="V51" s="110">
        <f>TrRail_ene!V$17</f>
        <v>15.715301637020692</v>
      </c>
      <c r="W51" s="110">
        <f>TrRail_ene!W$17</f>
        <v>14.581010119816773</v>
      </c>
      <c r="X51" s="110">
        <f>TrRail_ene!X$17</f>
        <v>18.123940767841802</v>
      </c>
      <c r="Y51" s="110">
        <f>TrRail_ene!Y$17</f>
        <v>15.074946437731892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0.31313134395707143</v>
      </c>
      <c r="C52" s="110">
        <f t="shared" si="44"/>
        <v>0.29983331026264393</v>
      </c>
      <c r="D52" s="110">
        <f t="shared" si="44"/>
        <v>0.30299913591531358</v>
      </c>
      <c r="E52" s="110">
        <f t="shared" si="44"/>
        <v>0.32628510630073176</v>
      </c>
      <c r="F52" s="110">
        <f t="shared" si="44"/>
        <v>0.34817015147099889</v>
      </c>
      <c r="G52" s="110">
        <f t="shared" si="44"/>
        <v>0.35804750014294084</v>
      </c>
      <c r="H52" s="110">
        <f t="shared" si="44"/>
        <v>0.40401991207640908</v>
      </c>
      <c r="I52" s="110">
        <f t="shared" si="44"/>
        <v>1.1666953375084228</v>
      </c>
      <c r="J52" s="110">
        <f t="shared" si="44"/>
        <v>0.4503419568988265</v>
      </c>
      <c r="K52" s="110">
        <f t="shared" si="44"/>
        <v>0.19828445099746322</v>
      </c>
      <c r="L52" s="110">
        <f t="shared" si="44"/>
        <v>0.30858235744346563</v>
      </c>
      <c r="M52" s="110">
        <f t="shared" si="44"/>
        <v>0.27589023488759279</v>
      </c>
      <c r="N52" s="110">
        <f t="shared" si="44"/>
        <v>0.32996155376952369</v>
      </c>
      <c r="O52" s="110">
        <f t="shared" si="44"/>
        <v>0.358900106904675</v>
      </c>
      <c r="P52" s="110">
        <f t="shared" si="44"/>
        <v>0.32103185475352131</v>
      </c>
      <c r="Q52" s="110">
        <f t="shared" si="44"/>
        <v>0.33947221877679873</v>
      </c>
      <c r="R52" s="110">
        <f t="shared" si="44"/>
        <v>0.25719217127426541</v>
      </c>
      <c r="S52" s="110">
        <f t="shared" si="44"/>
        <v>0.4381865423545197</v>
      </c>
      <c r="T52" s="110">
        <f t="shared" si="44"/>
        <v>0.49847673270907877</v>
      </c>
      <c r="U52" s="110">
        <f t="shared" si="44"/>
        <v>0.38369245467973417</v>
      </c>
      <c r="V52" s="110">
        <f t="shared" si="44"/>
        <v>0.62642167861732467</v>
      </c>
      <c r="W52" s="110">
        <f t="shared" ref="W52:Y52" si="45">W53+W54+W55</f>
        <v>0.59419771943683208</v>
      </c>
      <c r="X52" s="110">
        <f t="shared" si="45"/>
        <v>0.85247255345950923</v>
      </c>
      <c r="Y52" s="110">
        <f t="shared" si="45"/>
        <v>0.56323776281291216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0.15386874258591346</v>
      </c>
      <c r="C54" s="102">
        <f>TrAvia_ene!C$12</f>
        <v>0.13210400228276223</v>
      </c>
      <c r="D54" s="102">
        <f>TrAvia_ene!D$12</f>
        <v>0.11855931897731074</v>
      </c>
      <c r="E54" s="102">
        <f>TrAvia_ene!E$12</f>
        <v>0.10063519312657958</v>
      </c>
      <c r="F54" s="102">
        <f>TrAvia_ene!F$12</f>
        <v>9.897527481416564E-2</v>
      </c>
      <c r="G54" s="102">
        <f>TrAvia_ene!G$12</f>
        <v>0.1135005525220278</v>
      </c>
      <c r="H54" s="102">
        <f>TrAvia_ene!H$12</f>
        <v>0.2446590208680782</v>
      </c>
      <c r="I54" s="102">
        <f>TrAvia_ene!I$12</f>
        <v>1.0537944542357331</v>
      </c>
      <c r="J54" s="102">
        <f>TrAvia_ene!J$12</f>
        <v>0.37035051616922021</v>
      </c>
      <c r="K54" s="102">
        <f>TrAvia_ene!K$12</f>
        <v>0.16495589256729651</v>
      </c>
      <c r="L54" s="102">
        <f>TrAvia_ene!L$12</f>
        <v>0.28185855403959792</v>
      </c>
      <c r="M54" s="102">
        <f>TrAvia_ene!M$12</f>
        <v>0.25153273711038426</v>
      </c>
      <c r="N54" s="102">
        <f>TrAvia_ene!N$12</f>
        <v>0.30680096485945402</v>
      </c>
      <c r="O54" s="102">
        <f>TrAvia_ene!O$12</f>
        <v>0.33481236852112028</v>
      </c>
      <c r="P54" s="102">
        <f>TrAvia_ene!P$12</f>
        <v>0.30018513725806911</v>
      </c>
      <c r="Q54" s="102">
        <f>TrAvia_ene!Q$12</f>
        <v>0.32807848978936038</v>
      </c>
      <c r="R54" s="102">
        <f>TrAvia_ene!R$12</f>
        <v>0.24657255444855375</v>
      </c>
      <c r="S54" s="102">
        <f>TrAvia_ene!S$12</f>
        <v>0.41490278975425138</v>
      </c>
      <c r="T54" s="102">
        <f>TrAvia_ene!T$12</f>
        <v>0.46563992155034073</v>
      </c>
      <c r="U54" s="102">
        <f>TrAvia_ene!U$12</f>
        <v>0.35656686249802255</v>
      </c>
      <c r="V54" s="102">
        <f>TrAvia_ene!V$12</f>
        <v>0.57984184561875063</v>
      </c>
      <c r="W54" s="102">
        <f>TrAvia_ene!W$12</f>
        <v>0.5616551414329285</v>
      </c>
      <c r="X54" s="102">
        <f>TrAvia_ene!X$12</f>
        <v>0.81819284831335182</v>
      </c>
      <c r="Y54" s="102">
        <f>TrAvia_ene!Y$12</f>
        <v>0.54151104533466787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0.159262601371158</v>
      </c>
      <c r="C55" s="102">
        <f>TrAvia_ene!C$13</f>
        <v>0.1677293079798817</v>
      </c>
      <c r="D55" s="102">
        <f>TrAvia_ene!D$13</f>
        <v>0.18443981693800282</v>
      </c>
      <c r="E55" s="102">
        <f>TrAvia_ene!E$13</f>
        <v>0.2256499131741522</v>
      </c>
      <c r="F55" s="102">
        <f>TrAvia_ene!F$13</f>
        <v>0.24919487665683326</v>
      </c>
      <c r="G55" s="102">
        <f>TrAvia_ene!G$13</f>
        <v>0.24454694762091303</v>
      </c>
      <c r="H55" s="102">
        <f>TrAvia_ene!H$13</f>
        <v>0.15936089120833088</v>
      </c>
      <c r="I55" s="102">
        <f>TrAvia_ene!I$13</f>
        <v>0.11290088327268963</v>
      </c>
      <c r="J55" s="102">
        <f>TrAvia_ene!J$13</f>
        <v>7.9991440729606317E-2</v>
      </c>
      <c r="K55" s="102">
        <f>TrAvia_ene!K$13</f>
        <v>3.332855843016673E-2</v>
      </c>
      <c r="L55" s="102">
        <f>TrAvia_ene!L$13</f>
        <v>2.6723803403867725E-2</v>
      </c>
      <c r="M55" s="102">
        <f>TrAvia_ene!M$13</f>
        <v>2.4357497777208515E-2</v>
      </c>
      <c r="N55" s="102">
        <f>TrAvia_ene!N$13</f>
        <v>2.3160588910069654E-2</v>
      </c>
      <c r="O55" s="102">
        <f>TrAvia_ene!O$13</f>
        <v>2.4087738383554741E-2</v>
      </c>
      <c r="P55" s="102">
        <f>TrAvia_ene!P$13</f>
        <v>2.0846717495452204E-2</v>
      </c>
      <c r="Q55" s="102">
        <f>TrAvia_ene!Q$13</f>
        <v>1.1393728987438363E-2</v>
      </c>
      <c r="R55" s="102">
        <f>TrAvia_ene!R$13</f>
        <v>1.0619616825711664E-2</v>
      </c>
      <c r="S55" s="102">
        <f>TrAvia_ene!S$13</f>
        <v>2.3283752600268333E-2</v>
      </c>
      <c r="T55" s="102">
        <f>TrAvia_ene!T$13</f>
        <v>3.283681115873803E-2</v>
      </c>
      <c r="U55" s="102">
        <f>TrAvia_ene!U$13</f>
        <v>2.7125592181711636E-2</v>
      </c>
      <c r="V55" s="102">
        <f>TrAvia_ene!V$13</f>
        <v>4.6579832998574058E-2</v>
      </c>
      <c r="W55" s="102">
        <f>TrAvia_ene!W$13</f>
        <v>3.2542578003903547E-2</v>
      </c>
      <c r="X55" s="102">
        <f>TrAvia_ene!X$13</f>
        <v>3.4279705146157358E-2</v>
      </c>
      <c r="Y55" s="102">
        <f>TrAvia_ene!Y$13</f>
        <v>2.1726717478244274E-2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0</v>
      </c>
      <c r="C56" s="110">
        <f t="shared" si="46"/>
        <v>0</v>
      </c>
      <c r="D56" s="110">
        <f t="shared" si="46"/>
        <v>0</v>
      </c>
      <c r="E56" s="110">
        <f t="shared" si="46"/>
        <v>0</v>
      </c>
      <c r="F56" s="110">
        <f t="shared" si="46"/>
        <v>0</v>
      </c>
      <c r="G56" s="110">
        <f t="shared" si="46"/>
        <v>0</v>
      </c>
      <c r="H56" s="110">
        <f t="shared" si="46"/>
        <v>0</v>
      </c>
      <c r="I56" s="110">
        <f t="shared" si="46"/>
        <v>0</v>
      </c>
      <c r="J56" s="110">
        <f t="shared" si="46"/>
        <v>0</v>
      </c>
      <c r="K56" s="110">
        <f t="shared" si="46"/>
        <v>0</v>
      </c>
      <c r="L56" s="110">
        <f t="shared" si="46"/>
        <v>0</v>
      </c>
      <c r="M56" s="110">
        <f t="shared" si="46"/>
        <v>0</v>
      </c>
      <c r="N56" s="110">
        <f t="shared" si="46"/>
        <v>0</v>
      </c>
      <c r="O56" s="110">
        <f t="shared" si="46"/>
        <v>0</v>
      </c>
      <c r="P56" s="110">
        <f t="shared" si="46"/>
        <v>0</v>
      </c>
      <c r="Q56" s="110">
        <f t="shared" si="46"/>
        <v>0</v>
      </c>
      <c r="R56" s="110">
        <f t="shared" ref="R56:V56" si="47">R57+R58</f>
        <v>0</v>
      </c>
      <c r="S56" s="110">
        <f t="shared" si="47"/>
        <v>0</v>
      </c>
      <c r="T56" s="110">
        <f t="shared" si="47"/>
        <v>0</v>
      </c>
      <c r="U56" s="110">
        <f t="shared" si="47"/>
        <v>0</v>
      </c>
      <c r="V56" s="110">
        <f t="shared" si="47"/>
        <v>0</v>
      </c>
      <c r="W56" s="110">
        <f t="shared" ref="W56:Y56" si="48">W57+W58</f>
        <v>0</v>
      </c>
      <c r="X56" s="110">
        <f t="shared" si="48"/>
        <v>0</v>
      </c>
      <c r="Y56" s="110">
        <f t="shared" si="48"/>
        <v>0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X57" s="102">
        <f>TrNavi_ene!X4</f>
        <v>0</v>
      </c>
      <c r="Y57" s="102">
        <f>TrNavi_ene!Y4</f>
        <v>0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X58" s="169">
        <f>TrNavi_ene!X10</f>
        <v>0</v>
      </c>
      <c r="Y58" s="169">
        <f>TrNavi_ene!Y10</f>
        <v>0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0</v>
      </c>
      <c r="C59" s="28">
        <f t="shared" ref="C59:W59" si="49">C60+C61</f>
        <v>0</v>
      </c>
      <c r="D59" s="28">
        <f t="shared" si="49"/>
        <v>0</v>
      </c>
      <c r="E59" s="28">
        <f t="shared" si="49"/>
        <v>0</v>
      </c>
      <c r="F59" s="28">
        <f t="shared" si="49"/>
        <v>0</v>
      </c>
      <c r="G59" s="28">
        <f t="shared" si="49"/>
        <v>21.228632846087699</v>
      </c>
      <c r="H59" s="28">
        <f t="shared" si="49"/>
        <v>28.948151332760098</v>
      </c>
      <c r="I59" s="28">
        <f t="shared" si="49"/>
        <v>48.192433361994837</v>
      </c>
      <c r="J59" s="28">
        <f t="shared" si="49"/>
        <v>65.803009458297495</v>
      </c>
      <c r="K59" s="28">
        <f t="shared" si="49"/>
        <v>32.460103181427343</v>
      </c>
      <c r="L59" s="28">
        <f t="shared" si="49"/>
        <v>18.679621668099735</v>
      </c>
      <c r="M59" s="28">
        <f t="shared" si="49"/>
        <v>32.405674978503868</v>
      </c>
      <c r="N59" s="28">
        <f t="shared" si="49"/>
        <v>50.05477214101461</v>
      </c>
      <c r="O59" s="28">
        <f t="shared" si="49"/>
        <v>60.844969905417017</v>
      </c>
      <c r="P59" s="28">
        <f t="shared" si="49"/>
        <v>56.898710232158209</v>
      </c>
      <c r="Q59" s="28">
        <f t="shared" si="49"/>
        <v>63.720722269991398</v>
      </c>
      <c r="R59" s="28">
        <f t="shared" si="49"/>
        <v>121.55064488392088</v>
      </c>
      <c r="S59" s="28">
        <f t="shared" si="49"/>
        <v>154.19406706792779</v>
      </c>
      <c r="T59" s="28">
        <f t="shared" si="49"/>
        <v>225.41092003439377</v>
      </c>
      <c r="U59" s="28">
        <f t="shared" si="49"/>
        <v>190.44746345657776</v>
      </c>
      <c r="V59" s="28">
        <f t="shared" si="49"/>
        <v>115.44995700773856</v>
      </c>
      <c r="W59" s="28">
        <f t="shared" si="49"/>
        <v>85.820722269991407</v>
      </c>
      <c r="X59" s="28">
        <f t="shared" ref="X59:Y59" si="50">X60+X61</f>
        <v>0</v>
      </c>
      <c r="Y59" s="28">
        <f t="shared" si="50"/>
        <v>0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8.8345269098831132</v>
      </c>
      <c r="H60" s="102">
        <f>MBunk_ene!H$4</f>
        <v>11.992171755864502</v>
      </c>
      <c r="I60" s="102">
        <f>MBunk_ene!I$4</f>
        <v>19.182364587834368</v>
      </c>
      <c r="J60" s="102">
        <f>MBunk_ene!J$4</f>
        <v>26.207050944555391</v>
      </c>
      <c r="K60" s="102">
        <f>MBunk_ene!K$4</f>
        <v>13.225317133041562</v>
      </c>
      <c r="L60" s="102">
        <f>MBunk_ene!L$4</f>
        <v>6.3484509826010811</v>
      </c>
      <c r="M60" s="102">
        <f>MBunk_ene!M$4</f>
        <v>9.3645733517831609</v>
      </c>
      <c r="N60" s="102">
        <f>MBunk_ene!N$4</f>
        <v>17.371574628097985</v>
      </c>
      <c r="O60" s="102">
        <f>MBunk_ene!O$4</f>
        <v>18.743383035517276</v>
      </c>
      <c r="P60" s="102">
        <f>MBunk_ene!P$4</f>
        <v>18.698032556182323</v>
      </c>
      <c r="Q60" s="102">
        <f>MBunk_ene!Q$4</f>
        <v>20.493471355180858</v>
      </c>
      <c r="R60" s="102">
        <f>MBunk_ene!R$4</f>
        <v>41.149620218551341</v>
      </c>
      <c r="S60" s="102">
        <f>MBunk_ene!S$4</f>
        <v>48.686628275079542</v>
      </c>
      <c r="T60" s="102">
        <f>MBunk_ene!T$4</f>
        <v>67.28154342239344</v>
      </c>
      <c r="U60" s="102">
        <f>MBunk_ene!U$4</f>
        <v>54.328261644089679</v>
      </c>
      <c r="V60" s="102">
        <f>MBunk_ene!V$4</f>
        <v>27.314642195144483</v>
      </c>
      <c r="W60" s="102">
        <f>MBunk_ene!W$4</f>
        <v>17.190163339869372</v>
      </c>
      <c r="X60" s="102">
        <f>MBunk_ene!X$4</f>
        <v>0</v>
      </c>
      <c r="Y60" s="102">
        <f>MBunk_ene!Y$4</f>
        <v>0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12.394105936204586</v>
      </c>
      <c r="H61" s="86">
        <f>MBunk_ene!H$10</f>
        <v>16.955979576895597</v>
      </c>
      <c r="I61" s="86">
        <f>MBunk_ene!I$10</f>
        <v>29.010068774160469</v>
      </c>
      <c r="J61" s="86">
        <f>MBunk_ene!J$10</f>
        <v>39.595958513742104</v>
      </c>
      <c r="K61" s="86">
        <f>MBunk_ene!K$10</f>
        <v>19.234786048385782</v>
      </c>
      <c r="L61" s="86">
        <f>MBunk_ene!L$10</f>
        <v>12.331170685498655</v>
      </c>
      <c r="M61" s="86">
        <f>MBunk_ene!M$10</f>
        <v>23.041101626720707</v>
      </c>
      <c r="N61" s="86">
        <f>MBunk_ene!N$10</f>
        <v>32.683197512916628</v>
      </c>
      <c r="O61" s="86">
        <f>MBunk_ene!O$10</f>
        <v>42.101586869899741</v>
      </c>
      <c r="P61" s="86">
        <f>MBunk_ene!P$10</f>
        <v>38.200677675975889</v>
      </c>
      <c r="Q61" s="86">
        <f>MBunk_ene!Q$10</f>
        <v>43.22725091481054</v>
      </c>
      <c r="R61" s="86">
        <f>MBunk_ene!R$10</f>
        <v>80.401024665369548</v>
      </c>
      <c r="S61" s="86">
        <f>MBunk_ene!S$10</f>
        <v>105.50743879284826</v>
      </c>
      <c r="T61" s="86">
        <f>MBunk_ene!T$10</f>
        <v>158.12937661200033</v>
      </c>
      <c r="U61" s="86">
        <f>MBunk_ene!U$10</f>
        <v>136.11920181248809</v>
      </c>
      <c r="V61" s="86">
        <f>MBunk_ene!V$10</f>
        <v>88.135314812594075</v>
      </c>
      <c r="W61" s="86">
        <f>MBunk_ene!W$10</f>
        <v>68.630558930122035</v>
      </c>
      <c r="X61" s="86">
        <f>MBunk_ene!X$10</f>
        <v>0</v>
      </c>
      <c r="Y61" s="86">
        <f>MBunk_ene!Y$10</f>
        <v>0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3262.6396872834434</v>
      </c>
      <c r="C64" s="28">
        <f t="shared" si="51"/>
        <v>3256.1254270916747</v>
      </c>
      <c r="D64" s="28">
        <f t="shared" si="51"/>
        <v>3327.4848095076245</v>
      </c>
      <c r="E64" s="28">
        <f t="shared" si="51"/>
        <v>3267.0107613219079</v>
      </c>
      <c r="F64" s="28">
        <f t="shared" si="51"/>
        <v>3156.7296691456718</v>
      </c>
      <c r="G64" s="28">
        <f t="shared" si="51"/>
        <v>3258.9538989618527</v>
      </c>
      <c r="H64" s="28">
        <f t="shared" si="51"/>
        <v>3338.1994130718599</v>
      </c>
      <c r="I64" s="28">
        <f t="shared" si="51"/>
        <v>3450.3571089210991</v>
      </c>
      <c r="J64" s="28">
        <f t="shared" si="51"/>
        <v>3682.0151659965159</v>
      </c>
      <c r="K64" s="28">
        <f t="shared" si="51"/>
        <v>3579.4660176032544</v>
      </c>
      <c r="L64" s="28">
        <f t="shared" si="51"/>
        <v>3609.9817591568949</v>
      </c>
      <c r="M64" s="28">
        <f t="shared" si="51"/>
        <v>3645.7619380768219</v>
      </c>
      <c r="N64" s="28">
        <f t="shared" si="51"/>
        <v>3528.2162258887056</v>
      </c>
      <c r="O64" s="28">
        <f t="shared" si="51"/>
        <v>3431.0058102129733</v>
      </c>
      <c r="P64" s="28">
        <f t="shared" si="51"/>
        <v>3439.0200653375905</v>
      </c>
      <c r="Q64" s="28">
        <f t="shared" si="51"/>
        <v>3481.8772566730968</v>
      </c>
      <c r="R64" s="28">
        <f t="shared" ref="R64:V64" si="52">R65+R69+R73</f>
        <v>3506.5452739424159</v>
      </c>
      <c r="S64" s="28">
        <f t="shared" si="52"/>
        <v>3615.5889097463405</v>
      </c>
      <c r="T64" s="28">
        <f t="shared" si="52"/>
        <v>3663.2794809296934</v>
      </c>
      <c r="U64" s="28">
        <f t="shared" si="52"/>
        <v>3607.7877553993226</v>
      </c>
      <c r="V64" s="28">
        <f t="shared" si="52"/>
        <v>2953.8459136502038</v>
      </c>
      <c r="W64" s="28">
        <f t="shared" ref="W64:Y64" si="53">W65+W69+W73</f>
        <v>3178.8730987668055</v>
      </c>
      <c r="X64" s="28">
        <f t="shared" si="53"/>
        <v>3547.2732141642496</v>
      </c>
      <c r="Y64" s="28">
        <f t="shared" si="53"/>
        <v>3615.3835783005998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3169.9294426656652</v>
      </c>
      <c r="C65" s="137">
        <f t="shared" si="54"/>
        <v>3157.3287845302443</v>
      </c>
      <c r="D65" s="137">
        <f t="shared" si="54"/>
        <v>3221.8777641995357</v>
      </c>
      <c r="E65" s="137">
        <f t="shared" si="54"/>
        <v>3169.6631100597738</v>
      </c>
      <c r="F65" s="137">
        <f t="shared" si="54"/>
        <v>3079.8297706418871</v>
      </c>
      <c r="G65" s="137">
        <f t="shared" si="54"/>
        <v>3173.2002402009111</v>
      </c>
      <c r="H65" s="137">
        <f t="shared" si="54"/>
        <v>3246.1876542758523</v>
      </c>
      <c r="I65" s="137">
        <f t="shared" si="54"/>
        <v>3339.3090327653949</v>
      </c>
      <c r="J65" s="137">
        <f t="shared" si="54"/>
        <v>3560.878827419313</v>
      </c>
      <c r="K65" s="137">
        <f t="shared" si="54"/>
        <v>3480.210906470772</v>
      </c>
      <c r="L65" s="137">
        <f t="shared" si="54"/>
        <v>3512.663341642281</v>
      </c>
      <c r="M65" s="137">
        <f t="shared" si="54"/>
        <v>3560.2595706508191</v>
      </c>
      <c r="N65" s="137">
        <f t="shared" si="54"/>
        <v>3444.2707081356116</v>
      </c>
      <c r="O65" s="137">
        <f t="shared" si="54"/>
        <v>3339.5319378981176</v>
      </c>
      <c r="P65" s="137">
        <f t="shared" si="54"/>
        <v>3346.2735423364588</v>
      </c>
      <c r="Q65" s="137">
        <f t="shared" si="54"/>
        <v>3387.8043464564439</v>
      </c>
      <c r="R65" s="137">
        <f t="shared" ref="R65:V65" si="55">R66+R67+R68</f>
        <v>3426.6250285816031</v>
      </c>
      <c r="S65" s="137">
        <f t="shared" si="55"/>
        <v>3522.3502614552676</v>
      </c>
      <c r="T65" s="137">
        <f t="shared" si="55"/>
        <v>3543.3685704210188</v>
      </c>
      <c r="U65" s="137">
        <f t="shared" si="55"/>
        <v>3513.1725191254941</v>
      </c>
      <c r="V65" s="137">
        <f t="shared" si="55"/>
        <v>2921.4130516112718</v>
      </c>
      <c r="W65" s="137">
        <f t="shared" ref="W65:Y65" si="56">W66+W67+W68</f>
        <v>3142.4938844587914</v>
      </c>
      <c r="X65" s="137">
        <f t="shared" si="56"/>
        <v>3477.9215129763438</v>
      </c>
      <c r="Y65" s="137">
        <f t="shared" si="56"/>
        <v>3548.9835963701889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10.169189103578365</v>
      </c>
      <c r="C66" s="102">
        <f>TrRoad_emi!C$19</f>
        <v>9.4707669757755326</v>
      </c>
      <c r="D66" s="102">
        <f>TrRoad_emi!D$19</f>
        <v>9.4192996150134896</v>
      </c>
      <c r="E66" s="102">
        <f>TrRoad_emi!E$19</f>
        <v>11.280789532531767</v>
      </c>
      <c r="F66" s="102">
        <f>TrRoad_emi!F$19</f>
        <v>12.721373792517488</v>
      </c>
      <c r="G66" s="102">
        <f>TrRoad_emi!G$19</f>
        <v>14.12444385164588</v>
      </c>
      <c r="H66" s="102">
        <f>TrRoad_emi!H$19</f>
        <v>15.787931614178991</v>
      </c>
      <c r="I66" s="102">
        <f>TrRoad_emi!I$19</f>
        <v>17.472018848230732</v>
      </c>
      <c r="J66" s="102">
        <f>TrRoad_emi!J$19</f>
        <v>18.636920993301061</v>
      </c>
      <c r="K66" s="102">
        <f>TrRoad_emi!K$19</f>
        <v>19.880287868543821</v>
      </c>
      <c r="L66" s="102">
        <f>TrRoad_emi!L$19</f>
        <v>24.256798363899136</v>
      </c>
      <c r="M66" s="102">
        <f>TrRoad_emi!M$19</f>
        <v>28.275280537513567</v>
      </c>
      <c r="N66" s="102">
        <f>TrRoad_emi!N$19</f>
        <v>25.681230434230486</v>
      </c>
      <c r="O66" s="102">
        <f>TrRoad_emi!O$19</f>
        <v>22.669961653456639</v>
      </c>
      <c r="P66" s="102">
        <f>TrRoad_emi!P$19</f>
        <v>22.941694756249021</v>
      </c>
      <c r="Q66" s="102">
        <f>TrRoad_emi!Q$19</f>
        <v>24.336090552051395</v>
      </c>
      <c r="R66" s="102">
        <f>TrRoad_emi!R$19</f>
        <v>25.14275717431212</v>
      </c>
      <c r="S66" s="102">
        <f>TrRoad_emi!S$19</f>
        <v>24.449109508111523</v>
      </c>
      <c r="T66" s="102">
        <f>TrRoad_emi!T$19</f>
        <v>23.007938504740213</v>
      </c>
      <c r="U66" s="102">
        <f>TrRoad_emi!U$19</f>
        <v>24.425165290510758</v>
      </c>
      <c r="V66" s="102">
        <f>TrRoad_emi!V$19</f>
        <v>21.484909136664829</v>
      </c>
      <c r="W66" s="102">
        <f>TrRoad_emi!W$19</f>
        <v>22.235720604047543</v>
      </c>
      <c r="X66" s="102">
        <f>TrRoad_emi!X$19</f>
        <v>22.641604957877405</v>
      </c>
      <c r="Y66" s="102">
        <f>TrRoad_emi!Y$19</f>
        <v>24.326755763097587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2913.5245962814161</v>
      </c>
      <c r="C67" s="102">
        <f>TrRoad_emi!C$20</f>
        <v>2923.2968113608522</v>
      </c>
      <c r="D67" s="102">
        <f>TrRoad_emi!D$20</f>
        <v>2995.845430243437</v>
      </c>
      <c r="E67" s="102">
        <f>TrRoad_emi!E$20</f>
        <v>2948.4021047144915</v>
      </c>
      <c r="F67" s="102">
        <f>TrRoad_emi!F$20</f>
        <v>2852.7331108822582</v>
      </c>
      <c r="G67" s="102">
        <f>TrRoad_emi!G$20</f>
        <v>2951.8286950182846</v>
      </c>
      <c r="H67" s="102">
        <f>TrRoad_emi!H$20</f>
        <v>3022.8168146659673</v>
      </c>
      <c r="I67" s="102">
        <f>TrRoad_emi!I$20</f>
        <v>3114.3280499629232</v>
      </c>
      <c r="J67" s="102">
        <f>TrRoad_emi!J$20</f>
        <v>3334.9652622803487</v>
      </c>
      <c r="K67" s="102">
        <f>TrRoad_emi!K$20</f>
        <v>3252.2601281997254</v>
      </c>
      <c r="L67" s="102">
        <f>TrRoad_emi!L$20</f>
        <v>3283.6926975656102</v>
      </c>
      <c r="M67" s="102">
        <f>TrRoad_emi!M$20</f>
        <v>3321.1123335648417</v>
      </c>
      <c r="N67" s="102">
        <f>TrRoad_emi!N$20</f>
        <v>3211.1788962389419</v>
      </c>
      <c r="O67" s="102">
        <f>TrRoad_emi!O$20</f>
        <v>3105.9788625755837</v>
      </c>
      <c r="P67" s="102">
        <f>TrRoad_emi!P$20</f>
        <v>3109.6518698838108</v>
      </c>
      <c r="Q67" s="102">
        <f>TrRoad_emi!Q$20</f>
        <v>3139.7850291784753</v>
      </c>
      <c r="R67" s="102">
        <f>TrRoad_emi!R$20</f>
        <v>3183.8741633793679</v>
      </c>
      <c r="S67" s="102">
        <f>TrRoad_emi!S$20</f>
        <v>3272.131484232998</v>
      </c>
      <c r="T67" s="102">
        <f>TrRoad_emi!T$20</f>
        <v>3304.5756960341137</v>
      </c>
      <c r="U67" s="102">
        <f>TrRoad_emi!U$20</f>
        <v>3266.0420354408466</v>
      </c>
      <c r="V67" s="102">
        <f>TrRoad_emi!V$20</f>
        <v>2764.5684595245716</v>
      </c>
      <c r="W67" s="102">
        <f>TrRoad_emi!W$20</f>
        <v>2962.6239526830345</v>
      </c>
      <c r="X67" s="102">
        <f>TrRoad_emi!X$20</f>
        <v>3263.7565278660763</v>
      </c>
      <c r="Y67" s="102">
        <f>TrRoad_emi!Y$20</f>
        <v>3324.4723685576951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246.23565728067064</v>
      </c>
      <c r="C68" s="102">
        <f>TrRoad_emi!C$27</f>
        <v>224.56120619361687</v>
      </c>
      <c r="D68" s="102">
        <f>TrRoad_emi!D$27</f>
        <v>216.61303434108501</v>
      </c>
      <c r="E68" s="102">
        <f>TrRoad_emi!E$27</f>
        <v>209.98021581275054</v>
      </c>
      <c r="F68" s="102">
        <f>TrRoad_emi!F$27</f>
        <v>214.37528596711124</v>
      </c>
      <c r="G68" s="102">
        <f>TrRoad_emi!G$27</f>
        <v>207.24710133098063</v>
      </c>
      <c r="H68" s="102">
        <f>TrRoad_emi!H$27</f>
        <v>207.58290799570628</v>
      </c>
      <c r="I68" s="102">
        <f>TrRoad_emi!I$27</f>
        <v>207.5089639542411</v>
      </c>
      <c r="J68" s="102">
        <f>TrRoad_emi!J$27</f>
        <v>207.27664414566314</v>
      </c>
      <c r="K68" s="102">
        <f>TrRoad_emi!K$27</f>
        <v>208.0704904025028</v>
      </c>
      <c r="L68" s="102">
        <f>TrRoad_emi!L$27</f>
        <v>204.7138457127717</v>
      </c>
      <c r="M68" s="102">
        <f>TrRoad_emi!M$27</f>
        <v>210.87195654846377</v>
      </c>
      <c r="N68" s="102">
        <f>TrRoad_emi!N$27</f>
        <v>207.41058146243921</v>
      </c>
      <c r="O68" s="102">
        <f>TrRoad_emi!O$27</f>
        <v>210.88311366907746</v>
      </c>
      <c r="P68" s="102">
        <f>TrRoad_emi!P$27</f>
        <v>213.67997769639905</v>
      </c>
      <c r="Q68" s="102">
        <f>TrRoad_emi!Q$27</f>
        <v>223.68322672591728</v>
      </c>
      <c r="R68" s="102">
        <f>TrRoad_emi!R$27</f>
        <v>217.60810802792312</v>
      </c>
      <c r="S68" s="102">
        <f>TrRoad_emi!S$27</f>
        <v>225.7696677141578</v>
      </c>
      <c r="T68" s="102">
        <f>TrRoad_emi!T$27</f>
        <v>215.78493588216506</v>
      </c>
      <c r="U68" s="102">
        <f>TrRoad_emi!U$27</f>
        <v>222.7053183941365</v>
      </c>
      <c r="V68" s="102">
        <f>TrRoad_emi!V$27</f>
        <v>135.35968295003545</v>
      </c>
      <c r="W68" s="102">
        <f>TrRoad_emi!W$27</f>
        <v>157.63421117170938</v>
      </c>
      <c r="X68" s="102">
        <f>TrRoad_emi!X$27</f>
        <v>191.52338015238993</v>
      </c>
      <c r="Y68" s="102">
        <f>TrRoad_emi!Y$27</f>
        <v>200.18447204939625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17.553906783300597</v>
      </c>
      <c r="C69" s="110">
        <f t="shared" si="57"/>
        <v>17.258693533780551</v>
      </c>
      <c r="D69" s="110">
        <f t="shared" si="57"/>
        <v>17.737046394526825</v>
      </c>
      <c r="E69" s="110">
        <f t="shared" si="57"/>
        <v>19.060120319454018</v>
      </c>
      <c r="F69" s="110">
        <f t="shared" si="57"/>
        <v>17.702988313923495</v>
      </c>
      <c r="G69" s="110">
        <f t="shared" si="57"/>
        <v>17.074112444658965</v>
      </c>
      <c r="H69" s="110">
        <f t="shared" si="57"/>
        <v>17.129023654314704</v>
      </c>
      <c r="I69" s="110">
        <f t="shared" si="57"/>
        <v>17.51382634380299</v>
      </c>
      <c r="J69" s="110">
        <f t="shared" si="57"/>
        <v>16.05415187320137</v>
      </c>
      <c r="K69" s="110">
        <f t="shared" si="57"/>
        <v>15.327806639536856</v>
      </c>
      <c r="L69" s="110">
        <f t="shared" si="57"/>
        <v>13.723143824183916</v>
      </c>
      <c r="M69" s="110">
        <f t="shared" si="57"/>
        <v>14.330841858275297</v>
      </c>
      <c r="N69" s="110">
        <f t="shared" si="57"/>
        <v>12.936763574052828</v>
      </c>
      <c r="O69" s="110">
        <f t="shared" si="57"/>
        <v>14.291151368551638</v>
      </c>
      <c r="P69" s="110">
        <f t="shared" si="57"/>
        <v>15.449806906989169</v>
      </c>
      <c r="Q69" s="110">
        <f t="shared" si="57"/>
        <v>16.831705319980987</v>
      </c>
      <c r="R69" s="110">
        <f t="shared" ref="R69:V69" si="58">R70+R71+R72</f>
        <v>14.953513600167838</v>
      </c>
      <c r="S69" s="110">
        <f t="shared" si="58"/>
        <v>15.19582823083857</v>
      </c>
      <c r="T69" s="110">
        <f t="shared" si="58"/>
        <v>14.400811443134259</v>
      </c>
      <c r="U69" s="110">
        <f t="shared" si="58"/>
        <v>12.986766200121659</v>
      </c>
      <c r="V69" s="110">
        <f t="shared" si="58"/>
        <v>4.3751972611532306</v>
      </c>
      <c r="W69" s="110">
        <f t="shared" ref="W69:Y69" si="59">W70+W71+W72</f>
        <v>5.979884969454095</v>
      </c>
      <c r="X69" s="110">
        <f t="shared" si="59"/>
        <v>5.0654884783324565</v>
      </c>
      <c r="Y69" s="110">
        <f t="shared" si="59"/>
        <v>8.7344303495937758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17.553906783300597</v>
      </c>
      <c r="C71" s="102">
        <f>TrRail_emi!C$11</f>
        <v>17.258693533780551</v>
      </c>
      <c r="D71" s="102">
        <f>TrRail_emi!D$11</f>
        <v>17.737046394526825</v>
      </c>
      <c r="E71" s="102">
        <f>TrRail_emi!E$11</f>
        <v>19.060120319454018</v>
      </c>
      <c r="F71" s="102">
        <f>TrRail_emi!F$11</f>
        <v>17.702988313923495</v>
      </c>
      <c r="G71" s="102">
        <f>TrRail_emi!G$11</f>
        <v>17.074112444658965</v>
      </c>
      <c r="H71" s="102">
        <f>TrRail_emi!H$11</f>
        <v>17.129023654314704</v>
      </c>
      <c r="I71" s="102">
        <f>TrRail_emi!I$11</f>
        <v>17.51382634380299</v>
      </c>
      <c r="J71" s="102">
        <f>TrRail_emi!J$11</f>
        <v>16.05415187320137</v>
      </c>
      <c r="K71" s="102">
        <f>TrRail_emi!K$11</f>
        <v>15.327806639536856</v>
      </c>
      <c r="L71" s="102">
        <f>TrRail_emi!L$11</f>
        <v>13.723143824183916</v>
      </c>
      <c r="M71" s="102">
        <f>TrRail_emi!M$11</f>
        <v>14.330841858275297</v>
      </c>
      <c r="N71" s="102">
        <f>TrRail_emi!N$11</f>
        <v>12.936763574052828</v>
      </c>
      <c r="O71" s="102">
        <f>TrRail_emi!O$11</f>
        <v>14.291151368551638</v>
      </c>
      <c r="P71" s="102">
        <f>TrRail_emi!P$11</f>
        <v>15.449806906989169</v>
      </c>
      <c r="Q71" s="102">
        <f>TrRail_emi!Q$11</f>
        <v>16.831705319980987</v>
      </c>
      <c r="R71" s="102">
        <f>TrRail_emi!R$11</f>
        <v>14.953513600167838</v>
      </c>
      <c r="S71" s="102">
        <f>TrRail_emi!S$11</f>
        <v>15.19582823083857</v>
      </c>
      <c r="T71" s="102">
        <f>TrRail_emi!T$11</f>
        <v>14.400811443134259</v>
      </c>
      <c r="U71" s="102">
        <f>TrRail_emi!U$11</f>
        <v>12.986766200121659</v>
      </c>
      <c r="V71" s="102">
        <f>TrRail_emi!V$11</f>
        <v>4.3751972611532306</v>
      </c>
      <c r="W71" s="102">
        <f>TrRail_emi!W$11</f>
        <v>5.979884969454095</v>
      </c>
      <c r="X71" s="102">
        <f>TrRail_emi!X$11</f>
        <v>5.0654884783324565</v>
      </c>
      <c r="Y71" s="102">
        <f>TrRail_emi!Y$11</f>
        <v>8.7344303495937758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75.156337834477654</v>
      </c>
      <c r="C73" s="110">
        <f t="shared" si="60"/>
        <v>81.537949027649901</v>
      </c>
      <c r="D73" s="110">
        <f t="shared" si="60"/>
        <v>87.869998913562114</v>
      </c>
      <c r="E73" s="110">
        <f t="shared" si="60"/>
        <v>78.287530942679922</v>
      </c>
      <c r="F73" s="110">
        <f t="shared" si="60"/>
        <v>59.196910189861441</v>
      </c>
      <c r="G73" s="110">
        <f t="shared" si="60"/>
        <v>68.67954631628271</v>
      </c>
      <c r="H73" s="110">
        <f t="shared" si="60"/>
        <v>74.882735141693203</v>
      </c>
      <c r="I73" s="110">
        <f t="shared" si="60"/>
        <v>93.534249811901304</v>
      </c>
      <c r="J73" s="110">
        <f t="shared" si="60"/>
        <v>105.08218670400147</v>
      </c>
      <c r="K73" s="110">
        <f t="shared" si="60"/>
        <v>83.92730449294541</v>
      </c>
      <c r="L73" s="110">
        <f t="shared" si="60"/>
        <v>83.595273690430275</v>
      </c>
      <c r="M73" s="110">
        <f t="shared" si="60"/>
        <v>71.171525567727727</v>
      </c>
      <c r="N73" s="110">
        <f t="shared" si="60"/>
        <v>71.008754179041318</v>
      </c>
      <c r="O73" s="110">
        <f t="shared" si="60"/>
        <v>77.18272094630386</v>
      </c>
      <c r="P73" s="110">
        <f t="shared" si="60"/>
        <v>77.296716094142397</v>
      </c>
      <c r="Q73" s="110">
        <f t="shared" si="60"/>
        <v>77.241204896671775</v>
      </c>
      <c r="R73" s="110">
        <f t="shared" ref="R73:V73" si="61">R74+R75+R76</f>
        <v>64.966731760645118</v>
      </c>
      <c r="S73" s="110">
        <f t="shared" si="61"/>
        <v>78.042820060233979</v>
      </c>
      <c r="T73" s="110">
        <f t="shared" si="61"/>
        <v>105.51009906553995</v>
      </c>
      <c r="U73" s="110">
        <f t="shared" si="61"/>
        <v>81.628470073707021</v>
      </c>
      <c r="V73" s="110">
        <f t="shared" si="61"/>
        <v>28.057664777778825</v>
      </c>
      <c r="W73" s="110">
        <f t="shared" ref="W73:Y73" si="62">W74+W75+W76</f>
        <v>30.399329338560282</v>
      </c>
      <c r="X73" s="110">
        <f t="shared" si="62"/>
        <v>64.286212709573334</v>
      </c>
      <c r="Y73" s="110">
        <f t="shared" si="62"/>
        <v>57.665551580816874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46.063303045900454</v>
      </c>
      <c r="C75" s="102">
        <f>TrAvia_emi!C$8</f>
        <v>49.969700236201852</v>
      </c>
      <c r="D75" s="102">
        <f>TrAvia_emi!D$8</f>
        <v>53.852706868297957</v>
      </c>
      <c r="E75" s="102">
        <f>TrAvia_emi!E$8</f>
        <v>47.982570351050036</v>
      </c>
      <c r="F75" s="102">
        <f>TrAvia_emi!F$8</f>
        <v>36.282196738900602</v>
      </c>
      <c r="G75" s="102">
        <f>TrAvia_emi!G$8</f>
        <v>42.624111205695762</v>
      </c>
      <c r="H75" s="102">
        <f>TrAvia_emi!H$8</f>
        <v>47.680507988077331</v>
      </c>
      <c r="I75" s="102">
        <f>TrAvia_emi!I$8</f>
        <v>60.326581910840737</v>
      </c>
      <c r="J75" s="102">
        <f>TrAvia_emi!J$8</f>
        <v>66.871893043444004</v>
      </c>
      <c r="K75" s="102">
        <f>TrAvia_emi!K$8</f>
        <v>52.093919191906217</v>
      </c>
      <c r="L75" s="102">
        <f>TrAvia_emi!L$8</f>
        <v>51.120824864376686</v>
      </c>
      <c r="M75" s="102">
        <f>TrAvia_emi!M$8</f>
        <v>43.488122232833504</v>
      </c>
      <c r="N75" s="102">
        <f>TrAvia_emi!N$8</f>
        <v>42.872101931262719</v>
      </c>
      <c r="O75" s="102">
        <f>TrAvia_emi!O$8</f>
        <v>46.928757441992843</v>
      </c>
      <c r="P75" s="102">
        <f>TrAvia_emi!P$8</f>
        <v>47.095874720678587</v>
      </c>
      <c r="Q75" s="102">
        <f>TrAvia_emi!Q$8</f>
        <v>48.233333493075925</v>
      </c>
      <c r="R75" s="102">
        <f>TrAvia_emi!R$8</f>
        <v>41.201411778668046</v>
      </c>
      <c r="S75" s="102">
        <f>TrAvia_emi!S$8</f>
        <v>51.028213276022925</v>
      </c>
      <c r="T75" s="102">
        <f>TrAvia_emi!T$8</f>
        <v>68.6755734038436</v>
      </c>
      <c r="U75" s="102">
        <f>TrAvia_emi!U$8</f>
        <v>51.464671656996757</v>
      </c>
      <c r="V75" s="102">
        <f>TrAvia_emi!V$8</f>
        <v>15.005247743024773</v>
      </c>
      <c r="W75" s="102">
        <f>TrAvia_emi!W$8</f>
        <v>17.503669754795506</v>
      </c>
      <c r="X75" s="102">
        <f>TrAvia_emi!X$8</f>
        <v>41.00267254065605</v>
      </c>
      <c r="Y75" s="102">
        <f>TrAvia_emi!Y$8</f>
        <v>36.493007663393826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29.093034788577203</v>
      </c>
      <c r="C76" s="102">
        <f>TrAvia_emi!C$9</f>
        <v>31.568248791448053</v>
      </c>
      <c r="D76" s="102">
        <f>TrAvia_emi!D$9</f>
        <v>34.017292045264156</v>
      </c>
      <c r="E76" s="102">
        <f>TrAvia_emi!E$9</f>
        <v>30.304960591629886</v>
      </c>
      <c r="F76" s="102">
        <f>TrAvia_emi!F$9</f>
        <v>22.914713450960843</v>
      </c>
      <c r="G76" s="102">
        <f>TrAvia_emi!G$9</f>
        <v>26.055435110586949</v>
      </c>
      <c r="H76" s="102">
        <f>TrAvia_emi!H$9</f>
        <v>27.202227153615876</v>
      </c>
      <c r="I76" s="102">
        <f>TrAvia_emi!I$9</f>
        <v>33.20766790106056</v>
      </c>
      <c r="J76" s="102">
        <f>TrAvia_emi!J$9</f>
        <v>38.210293660557468</v>
      </c>
      <c r="K76" s="102">
        <f>TrAvia_emi!K$9</f>
        <v>31.83338530103919</v>
      </c>
      <c r="L76" s="102">
        <f>TrAvia_emi!L$9</f>
        <v>32.474448826053582</v>
      </c>
      <c r="M76" s="102">
        <f>TrAvia_emi!M$9</f>
        <v>27.683403334894219</v>
      </c>
      <c r="N76" s="102">
        <f>TrAvia_emi!N$9</f>
        <v>28.136652247778606</v>
      </c>
      <c r="O76" s="102">
        <f>TrAvia_emi!O$9</f>
        <v>30.25396350431102</v>
      </c>
      <c r="P76" s="102">
        <f>TrAvia_emi!P$9</f>
        <v>30.200841373463817</v>
      </c>
      <c r="Q76" s="102">
        <f>TrAvia_emi!Q$9</f>
        <v>29.007871403595843</v>
      </c>
      <c r="R76" s="102">
        <f>TrAvia_emi!R$9</f>
        <v>23.765319981977072</v>
      </c>
      <c r="S76" s="102">
        <f>TrAvia_emi!S$9</f>
        <v>27.014606784211058</v>
      </c>
      <c r="T76" s="102">
        <f>TrAvia_emi!T$9</f>
        <v>36.834525661696354</v>
      </c>
      <c r="U76" s="102">
        <f>TrAvia_emi!U$9</f>
        <v>30.163798416710264</v>
      </c>
      <c r="V76" s="102">
        <f>TrAvia_emi!V$9</f>
        <v>13.05241703475405</v>
      </c>
      <c r="W76" s="102">
        <f>TrAvia_emi!W$9</f>
        <v>12.895659583764775</v>
      </c>
      <c r="X76" s="102">
        <f>TrAvia_emi!X$9</f>
        <v>23.283540168917281</v>
      </c>
      <c r="Y76" s="102">
        <f>TrAvia_emi!Y$9</f>
        <v>21.172543917423049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365.30596359655709</v>
      </c>
      <c r="C77" s="28">
        <f t="shared" si="63"/>
        <v>538.29085714832513</v>
      </c>
      <c r="D77" s="28">
        <f t="shared" si="63"/>
        <v>588.63155913237586</v>
      </c>
      <c r="E77" s="28">
        <f t="shared" si="63"/>
        <v>695.85403587809253</v>
      </c>
      <c r="F77" s="28">
        <f t="shared" si="63"/>
        <v>975.08065773432838</v>
      </c>
      <c r="G77" s="28">
        <f t="shared" si="63"/>
        <v>1154.483824558147</v>
      </c>
      <c r="H77" s="28">
        <f t="shared" si="63"/>
        <v>1277.9265036881393</v>
      </c>
      <c r="I77" s="28">
        <f t="shared" si="63"/>
        <v>1788.5089470389019</v>
      </c>
      <c r="J77" s="28">
        <f t="shared" si="63"/>
        <v>2472.0602052434842</v>
      </c>
      <c r="K77" s="28">
        <f t="shared" si="63"/>
        <v>1573.9162963167464</v>
      </c>
      <c r="L77" s="28">
        <f t="shared" si="63"/>
        <v>1677.3790439631057</v>
      </c>
      <c r="M77" s="28">
        <f t="shared" si="63"/>
        <v>1984.375262283178</v>
      </c>
      <c r="N77" s="28">
        <f t="shared" si="63"/>
        <v>2118.8690965912938</v>
      </c>
      <c r="O77" s="28">
        <f t="shared" si="63"/>
        <v>1927.3517125070275</v>
      </c>
      <c r="P77" s="28">
        <f t="shared" si="63"/>
        <v>1935.8305348224078</v>
      </c>
      <c r="Q77" s="28">
        <f t="shared" si="63"/>
        <v>1864.6493509669037</v>
      </c>
      <c r="R77" s="28">
        <f t="shared" si="63"/>
        <v>2198.5482734175821</v>
      </c>
      <c r="S77" s="28">
        <f t="shared" si="63"/>
        <v>2229.2932847736588</v>
      </c>
      <c r="T77" s="28">
        <f t="shared" si="63"/>
        <v>2182.5400830303079</v>
      </c>
      <c r="U77" s="28">
        <f t="shared" si="63"/>
        <v>2002.2346386406775</v>
      </c>
      <c r="V77" s="28">
        <f t="shared" si="63"/>
        <v>1569.8224505097978</v>
      </c>
      <c r="W77" s="28">
        <f t="shared" si="63"/>
        <v>1967.1373173131931</v>
      </c>
      <c r="X77" s="28">
        <f t="shared" si="63"/>
        <v>2169.3094790357504</v>
      </c>
      <c r="Y77" s="28">
        <f t="shared" si="63"/>
        <v>1665.0287607794005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346.86791857433536</v>
      </c>
      <c r="C78" s="137">
        <f t="shared" si="64"/>
        <v>519.5976300697555</v>
      </c>
      <c r="D78" s="137">
        <f t="shared" si="64"/>
        <v>567.22097336046477</v>
      </c>
      <c r="E78" s="137">
        <f t="shared" si="64"/>
        <v>675.69642606022649</v>
      </c>
      <c r="F78" s="137">
        <f t="shared" si="64"/>
        <v>953.50003515811341</v>
      </c>
      <c r="G78" s="137">
        <f t="shared" si="64"/>
        <v>1132.2445922390887</v>
      </c>
      <c r="H78" s="137">
        <f t="shared" si="64"/>
        <v>1255.9593824841472</v>
      </c>
      <c r="I78" s="137">
        <f t="shared" si="64"/>
        <v>1764.630739674606</v>
      </c>
      <c r="J78" s="137">
        <f t="shared" si="64"/>
        <v>2455.1921775006872</v>
      </c>
      <c r="K78" s="137">
        <f t="shared" si="64"/>
        <v>1560.2372654492287</v>
      </c>
      <c r="L78" s="137">
        <f t="shared" si="64"/>
        <v>1661.76331947772</v>
      </c>
      <c r="M78" s="137">
        <f t="shared" si="64"/>
        <v>1966.309078149181</v>
      </c>
      <c r="N78" s="137">
        <f t="shared" si="64"/>
        <v>2102.402633864388</v>
      </c>
      <c r="O78" s="137">
        <f t="shared" si="64"/>
        <v>1908.995152221883</v>
      </c>
      <c r="P78" s="137">
        <f t="shared" si="64"/>
        <v>1909.2793128235394</v>
      </c>
      <c r="Q78" s="137">
        <f t="shared" si="64"/>
        <v>1842.5800202235564</v>
      </c>
      <c r="R78" s="137">
        <f t="shared" ref="R78:V78" si="65">R79+R80</f>
        <v>2181.1615814983952</v>
      </c>
      <c r="S78" s="137">
        <f t="shared" si="65"/>
        <v>2213.9432219447312</v>
      </c>
      <c r="T78" s="137">
        <f t="shared" si="65"/>
        <v>2168.853055418982</v>
      </c>
      <c r="U78" s="137">
        <f t="shared" si="65"/>
        <v>1990.6865301145062</v>
      </c>
      <c r="V78" s="137">
        <f t="shared" si="65"/>
        <v>1555.2059398287297</v>
      </c>
      <c r="W78" s="137">
        <f t="shared" ref="W78:Y78" si="66">W79+W80</f>
        <v>1950.6428459812075</v>
      </c>
      <c r="X78" s="137">
        <f t="shared" si="66"/>
        <v>2150.6370873836559</v>
      </c>
      <c r="Y78" s="137">
        <f t="shared" si="66"/>
        <v>1650.7412763498112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125.68207566193527</v>
      </c>
      <c r="C79" s="102">
        <f>TrRoad_emi!C$34</f>
        <v>131.55448814920473</v>
      </c>
      <c r="D79" s="102">
        <f>TrRoad_emi!D$34</f>
        <v>141.65572977560129</v>
      </c>
      <c r="E79" s="102">
        <f>TrRoad_emi!E$34</f>
        <v>153.25676422539209</v>
      </c>
      <c r="F79" s="102">
        <f>TrRoad_emi!F$34</f>
        <v>172.99106535711911</v>
      </c>
      <c r="G79" s="102">
        <f>TrRoad_emi!G$34</f>
        <v>190.38228091409135</v>
      </c>
      <c r="H79" s="102">
        <f>TrRoad_emi!H$34</f>
        <v>207.32209182480918</v>
      </c>
      <c r="I79" s="102">
        <f>TrRoad_emi!I$34</f>
        <v>236.881015972792</v>
      </c>
      <c r="J79" s="102">
        <f>TrRoad_emi!J$34</f>
        <v>261.95567384639486</v>
      </c>
      <c r="K79" s="102">
        <f>TrRoad_emi!K$34</f>
        <v>271.00629051524714</v>
      </c>
      <c r="L79" s="102">
        <f>TrRoad_emi!L$34</f>
        <v>273.47380305196316</v>
      </c>
      <c r="M79" s="102">
        <f>TrRoad_emi!M$34</f>
        <v>290.01583084031967</v>
      </c>
      <c r="N79" s="102">
        <f>TrRoad_emi!N$34</f>
        <v>289.9875774832181</v>
      </c>
      <c r="O79" s="102">
        <f>TrRoad_emi!O$34</f>
        <v>295.72134349140316</v>
      </c>
      <c r="P79" s="102">
        <f>TrRoad_emi!P$34</f>
        <v>314.7371195545586</v>
      </c>
      <c r="Q79" s="102">
        <f>TrRoad_emi!Q$34</f>
        <v>334.23317043649382</v>
      </c>
      <c r="R79" s="102">
        <f>TrRoad_emi!R$34</f>
        <v>354.01841384301378</v>
      </c>
      <c r="S79" s="102">
        <f>TrRoad_emi!S$34</f>
        <v>372.37483675096325</v>
      </c>
      <c r="T79" s="102">
        <f>TrRoad_emi!T$34</f>
        <v>382.99414103047252</v>
      </c>
      <c r="U79" s="102">
        <f>TrRoad_emi!U$34</f>
        <v>396.66083000769629</v>
      </c>
      <c r="V79" s="102">
        <f>TrRoad_emi!V$34</f>
        <v>406.59494976185135</v>
      </c>
      <c r="W79" s="102">
        <f>TrRoad_emi!W$34</f>
        <v>426.66149491406145</v>
      </c>
      <c r="X79" s="102">
        <f>TrRoad_emi!X$34</f>
        <v>451.96674613105461</v>
      </c>
      <c r="Y79" s="102">
        <f>TrRoad_emi!Y$34</f>
        <v>463.51274295833332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221.18584291240012</v>
      </c>
      <c r="C80" s="102">
        <f>TrRoad_emi!C$40</f>
        <v>388.04314192055074</v>
      </c>
      <c r="D80" s="102">
        <f>TrRoad_emi!D$40</f>
        <v>425.56524358486348</v>
      </c>
      <c r="E80" s="102">
        <f>TrRoad_emi!E$40</f>
        <v>522.4396618348344</v>
      </c>
      <c r="F80" s="102">
        <f>TrRoad_emi!F$40</f>
        <v>780.50896980099424</v>
      </c>
      <c r="G80" s="102">
        <f>TrRoad_emi!G$40</f>
        <v>941.86231132499722</v>
      </c>
      <c r="H80" s="102">
        <f>TrRoad_emi!H$40</f>
        <v>1048.6372906593381</v>
      </c>
      <c r="I80" s="102">
        <f>TrRoad_emi!I$40</f>
        <v>1527.749723701814</v>
      </c>
      <c r="J80" s="102">
        <f>TrRoad_emi!J$40</f>
        <v>2193.2365036542924</v>
      </c>
      <c r="K80" s="102">
        <f>TrRoad_emi!K$40</f>
        <v>1289.2309749339815</v>
      </c>
      <c r="L80" s="102">
        <f>TrRoad_emi!L$40</f>
        <v>1388.2895164257568</v>
      </c>
      <c r="M80" s="102">
        <f>TrRoad_emi!M$40</f>
        <v>1676.2932473088613</v>
      </c>
      <c r="N80" s="102">
        <f>TrRoad_emi!N$40</f>
        <v>1812.41505638117</v>
      </c>
      <c r="O80" s="102">
        <f>TrRoad_emi!O$40</f>
        <v>1613.2738087304799</v>
      </c>
      <c r="P80" s="102">
        <f>TrRoad_emi!P$40</f>
        <v>1594.5421932689808</v>
      </c>
      <c r="Q80" s="102">
        <f>TrRoad_emi!Q$40</f>
        <v>1508.3468497870626</v>
      </c>
      <c r="R80" s="102">
        <f>TrRoad_emi!R$40</f>
        <v>1827.1431676553814</v>
      </c>
      <c r="S80" s="102">
        <f>TrRoad_emi!S$40</f>
        <v>1841.5683851937681</v>
      </c>
      <c r="T80" s="102">
        <f>TrRoad_emi!T$40</f>
        <v>1785.8589143885092</v>
      </c>
      <c r="U80" s="102">
        <f>TrRoad_emi!U$40</f>
        <v>1594.0257001068101</v>
      </c>
      <c r="V80" s="102">
        <f>TrRoad_emi!V$40</f>
        <v>1148.6109900668782</v>
      </c>
      <c r="W80" s="102">
        <f>TrRoad_emi!W$40</f>
        <v>1523.9813510671461</v>
      </c>
      <c r="X80" s="102">
        <f>TrRoad_emi!X$40</f>
        <v>1698.6703412526015</v>
      </c>
      <c r="Y80" s="102">
        <f>TrRoad_emi!Y$40</f>
        <v>1187.2285333914779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17.495422856699395</v>
      </c>
      <c r="C81" s="110">
        <f>TrRail_emi!C$15</f>
        <v>17.790636106219441</v>
      </c>
      <c r="D81" s="110">
        <f>TrRail_emi!D$15</f>
        <v>20.498464685473159</v>
      </c>
      <c r="E81" s="110">
        <f>TrRail_emi!E$15</f>
        <v>19.175390760545969</v>
      </c>
      <c r="F81" s="110">
        <f>TrRail_emi!F$15</f>
        <v>20.53252276607649</v>
      </c>
      <c r="G81" s="110">
        <f>TrRail_emi!G$15</f>
        <v>21.161398635341023</v>
      </c>
      <c r="H81" s="110">
        <f>TrRail_emi!H$15</f>
        <v>20.750896345685288</v>
      </c>
      <c r="I81" s="110">
        <f>TrRail_emi!I$15</f>
        <v>20.366093656197005</v>
      </c>
      <c r="J81" s="110">
        <f>TrRail_emi!J$15</f>
        <v>15.51235920679863</v>
      </c>
      <c r="K81" s="110">
        <f>TrRail_emi!K$15</f>
        <v>13.082133360463144</v>
      </c>
      <c r="L81" s="110">
        <f>TrRail_emi!L$15</f>
        <v>14.686796175816081</v>
      </c>
      <c r="M81" s="110">
        <f>TrRail_emi!M$15</f>
        <v>17.235669221724699</v>
      </c>
      <c r="N81" s="110">
        <f>TrRail_emi!N$15</f>
        <v>15.47317642594717</v>
      </c>
      <c r="O81" s="110">
        <f>TrRail_emi!O$15</f>
        <v>17.276159991448367</v>
      </c>
      <c r="P81" s="110">
        <f>TrRail_emi!P$15</f>
        <v>25.584816853010835</v>
      </c>
      <c r="Q81" s="110">
        <f>TrRail_emi!Q$15</f>
        <v>21.047414400018997</v>
      </c>
      <c r="R81" s="110">
        <f>TrRail_emi!R$15</f>
        <v>16.612463959832166</v>
      </c>
      <c r="S81" s="110">
        <f>TrRail_emi!S$15</f>
        <v>14.030985849161427</v>
      </c>
      <c r="T81" s="110">
        <f>TrRail_emi!T$15</f>
        <v>12.186458516865747</v>
      </c>
      <c r="U81" s="110">
        <f>TrRail_emi!U$15</f>
        <v>10.393075599878342</v>
      </c>
      <c r="V81" s="110">
        <f>TrRail_emi!V$15</f>
        <v>12.730787738846768</v>
      </c>
      <c r="W81" s="110">
        <f>TrRail_emi!W$15</f>
        <v>14.705752470545903</v>
      </c>
      <c r="X81" s="110">
        <f>TrRail_emi!X$15</f>
        <v>16.106185681667544</v>
      </c>
      <c r="Y81" s="110">
        <f>TrRail_emi!Y$15</f>
        <v>12.591964610406222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0.9426221655223368</v>
      </c>
      <c r="C82" s="110">
        <f t="shared" si="67"/>
        <v>0.90259097235009156</v>
      </c>
      <c r="D82" s="110">
        <f t="shared" si="67"/>
        <v>0.91212108643791912</v>
      </c>
      <c r="E82" s="110">
        <f t="shared" si="67"/>
        <v>0.98221905732007087</v>
      </c>
      <c r="F82" s="110">
        <f t="shared" si="67"/>
        <v>1.0480998101385417</v>
      </c>
      <c r="G82" s="110">
        <f t="shared" si="67"/>
        <v>1.0778336837172966</v>
      </c>
      <c r="H82" s="110">
        <f t="shared" si="67"/>
        <v>1.2162248583068056</v>
      </c>
      <c r="I82" s="110">
        <f t="shared" si="67"/>
        <v>3.512113708098711</v>
      </c>
      <c r="J82" s="110">
        <f t="shared" si="67"/>
        <v>1.3556685359985412</v>
      </c>
      <c r="K82" s="110">
        <f t="shared" si="67"/>
        <v>0.59689750705461286</v>
      </c>
      <c r="L82" s="110">
        <f t="shared" si="67"/>
        <v>0.92892830956975336</v>
      </c>
      <c r="M82" s="110">
        <f t="shared" si="67"/>
        <v>0.83051491227228147</v>
      </c>
      <c r="N82" s="110">
        <f t="shared" si="67"/>
        <v>0.99328630095869208</v>
      </c>
      <c r="O82" s="110">
        <f t="shared" si="67"/>
        <v>1.0804002936961268</v>
      </c>
      <c r="P82" s="110">
        <f t="shared" si="67"/>
        <v>0.96640514585758897</v>
      </c>
      <c r="Q82" s="110">
        <f t="shared" si="67"/>
        <v>1.0219163433282101</v>
      </c>
      <c r="R82" s="110">
        <f t="shared" si="67"/>
        <v>0.77422795935489719</v>
      </c>
      <c r="S82" s="110">
        <f t="shared" si="67"/>
        <v>1.3190769797660011</v>
      </c>
      <c r="T82" s="110">
        <f t="shared" si="67"/>
        <v>1.5005690944600809</v>
      </c>
      <c r="U82" s="110">
        <f t="shared" si="67"/>
        <v>1.155032926292987</v>
      </c>
      <c r="V82" s="110">
        <f t="shared" si="67"/>
        <v>1.8857229422211761</v>
      </c>
      <c r="W82" s="110">
        <f t="shared" ref="W82:Y82" si="68">W83+W84+W85</f>
        <v>1.7887188614397149</v>
      </c>
      <c r="X82" s="110">
        <f t="shared" si="68"/>
        <v>2.566205970426652</v>
      </c>
      <c r="Y82" s="110">
        <f t="shared" si="68"/>
        <v>1.6955198191831271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0.46319249139880719</v>
      </c>
      <c r="C84" s="102">
        <f>TrAvia_emi!C$12</f>
        <v>0.39767389342862025</v>
      </c>
      <c r="D84" s="102">
        <f>TrAvia_emi!D$12</f>
        <v>0.35690020866313321</v>
      </c>
      <c r="E84" s="102">
        <f>TrAvia_emi!E$12</f>
        <v>0.30294304771271935</v>
      </c>
      <c r="F84" s="102">
        <f>TrAvia_emi!F$12</f>
        <v>0.29794618034561116</v>
      </c>
      <c r="G84" s="102">
        <f>TrAvia_emi!G$12</f>
        <v>0.34167175746214362</v>
      </c>
      <c r="H84" s="102">
        <f>TrAvia_emi!H$12</f>
        <v>0.7364993013821679</v>
      </c>
      <c r="I84" s="102">
        <f>TrAvia_emi!I$12</f>
        <v>3.1722471404948074</v>
      </c>
      <c r="J84" s="102">
        <f>TrAvia_emi!J$12</f>
        <v>1.1148695660489525</v>
      </c>
      <c r="K84" s="102">
        <f>TrAvia_emi!K$12</f>
        <v>0.49656824098954438</v>
      </c>
      <c r="L84" s="102">
        <f>TrAvia_emi!L$12</f>
        <v>0.84848139832409897</v>
      </c>
      <c r="M84" s="102">
        <f>TrAvia_emi!M$12</f>
        <v>0.75719131262457118</v>
      </c>
      <c r="N84" s="102">
        <f>TrAvia_emi!N$12</f>
        <v>0.92356576708529137</v>
      </c>
      <c r="O84" s="102">
        <f>TrAvia_emi!O$12</f>
        <v>1.0078887532329188</v>
      </c>
      <c r="P84" s="102">
        <f>TrAvia_emi!P$12</f>
        <v>0.90365008039122818</v>
      </c>
      <c r="Q84" s="102">
        <f>TrAvia_emi!Q$12</f>
        <v>0.98761769613501771</v>
      </c>
      <c r="R84" s="102">
        <f>TrAvia_emi!R$12</f>
        <v>0.74225962912398258</v>
      </c>
      <c r="S84" s="102">
        <f>TrAvia_emi!S$12</f>
        <v>1.2489856851028893</v>
      </c>
      <c r="T84" s="102">
        <f>TrAvia_emi!T$12</f>
        <v>1.4017201397302692</v>
      </c>
      <c r="U84" s="102">
        <f>TrAvia_emi!U$12</f>
        <v>1.0733765065929324</v>
      </c>
      <c r="V84" s="102">
        <f>TrAvia_emi!V$12</f>
        <v>1.745503242411105</v>
      </c>
      <c r="W84" s="102">
        <f>TrAvia_emi!W$12</f>
        <v>1.6907556394828465</v>
      </c>
      <c r="X84" s="102">
        <f>TrAvia_emi!X$12</f>
        <v>2.4630134586518873</v>
      </c>
      <c r="Y84" s="102">
        <f>TrAvia_emi!Y$12</f>
        <v>1.6301156816725675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0.47942967412352966</v>
      </c>
      <c r="C85" s="102">
        <f>TrAvia_emi!C$13</f>
        <v>0.50491707892147131</v>
      </c>
      <c r="D85" s="102">
        <f>TrAvia_emi!D$13</f>
        <v>0.5552208777747859</v>
      </c>
      <c r="E85" s="102">
        <f>TrAvia_emi!E$13</f>
        <v>0.67927600960735157</v>
      </c>
      <c r="F85" s="102">
        <f>TrAvia_emi!F$13</f>
        <v>0.75015362979293043</v>
      </c>
      <c r="G85" s="102">
        <f>TrAvia_emi!G$13</f>
        <v>0.73616192625515287</v>
      </c>
      <c r="H85" s="102">
        <f>TrAvia_emi!H$13</f>
        <v>0.47972555692463759</v>
      </c>
      <c r="I85" s="102">
        <f>TrAvia_emi!I$13</f>
        <v>0.33986656760390382</v>
      </c>
      <c r="J85" s="102">
        <f>TrAvia_emi!J$13</f>
        <v>0.24079896994958863</v>
      </c>
      <c r="K85" s="102">
        <f>TrAvia_emi!K$13</f>
        <v>0.10032926606506846</v>
      </c>
      <c r="L85" s="102">
        <f>TrAvia_emi!L$13</f>
        <v>8.0446911245654354E-2</v>
      </c>
      <c r="M85" s="102">
        <f>TrAvia_emi!M$13</f>
        <v>7.3323599647710347E-2</v>
      </c>
      <c r="N85" s="102">
        <f>TrAvia_emi!N$13</f>
        <v>6.9720533873400659E-2</v>
      </c>
      <c r="O85" s="102">
        <f>TrAvia_emi!O$13</f>
        <v>7.2511540463207971E-2</v>
      </c>
      <c r="P85" s="102">
        <f>TrAvia_emi!P$13</f>
        <v>6.275506546636074E-2</v>
      </c>
      <c r="Q85" s="102">
        <f>TrAvia_emi!Q$13</f>
        <v>3.4298647193192394E-2</v>
      </c>
      <c r="R85" s="102">
        <f>TrAvia_emi!R$13</f>
        <v>3.1968330230914631E-2</v>
      </c>
      <c r="S85" s="102">
        <f>TrAvia_emi!S$13</f>
        <v>7.0091294663111717E-2</v>
      </c>
      <c r="T85" s="102">
        <f>TrAvia_emi!T$13</f>
        <v>9.8848954729811769E-2</v>
      </c>
      <c r="U85" s="102">
        <f>TrAvia_emi!U$13</f>
        <v>8.1656419700054619E-2</v>
      </c>
      <c r="V85" s="102">
        <f>TrAvia_emi!V$13</f>
        <v>0.1402196998100711</v>
      </c>
      <c r="W85" s="102">
        <f>TrAvia_emi!W$13</f>
        <v>9.7963221956868518E-2</v>
      </c>
      <c r="X85" s="102">
        <f>TrAvia_emi!X$13</f>
        <v>0.10319251177476484</v>
      </c>
      <c r="Y85" s="102">
        <f>TrAvia_emi!Y$13</f>
        <v>6.540413751055954E-2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0</v>
      </c>
      <c r="H86" s="110">
        <f t="shared" si="69"/>
        <v>0</v>
      </c>
      <c r="I86" s="110">
        <f t="shared" si="69"/>
        <v>0</v>
      </c>
      <c r="J86" s="110">
        <f t="shared" si="69"/>
        <v>0</v>
      </c>
      <c r="K86" s="110">
        <f t="shared" si="69"/>
        <v>0</v>
      </c>
      <c r="L86" s="110">
        <f t="shared" si="69"/>
        <v>0</v>
      </c>
      <c r="M86" s="110">
        <f t="shared" si="69"/>
        <v>0</v>
      </c>
      <c r="N86" s="110">
        <f t="shared" si="69"/>
        <v>0</v>
      </c>
      <c r="O86" s="110">
        <f t="shared" si="69"/>
        <v>0</v>
      </c>
      <c r="P86" s="110">
        <f t="shared" si="69"/>
        <v>0</v>
      </c>
      <c r="Q86" s="110">
        <f t="shared" si="69"/>
        <v>0</v>
      </c>
      <c r="R86" s="110">
        <f t="shared" ref="R86:V86" si="70">R87+R88</f>
        <v>0</v>
      </c>
      <c r="S86" s="110">
        <f t="shared" si="70"/>
        <v>0</v>
      </c>
      <c r="T86" s="110">
        <f t="shared" si="70"/>
        <v>0</v>
      </c>
      <c r="U86" s="110">
        <f t="shared" si="70"/>
        <v>0</v>
      </c>
      <c r="V86" s="110">
        <f t="shared" si="70"/>
        <v>0</v>
      </c>
      <c r="W86" s="110">
        <f t="shared" ref="W86:Y86" si="71">W87+W88</f>
        <v>0</v>
      </c>
      <c r="X86" s="110">
        <f t="shared" si="71"/>
        <v>0</v>
      </c>
      <c r="Y86" s="110">
        <f t="shared" si="71"/>
        <v>0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X87" s="102">
        <f>TrNavi_emi!X$4</f>
        <v>0</v>
      </c>
      <c r="Y87" s="102">
        <f>TrNavi_emi!Y$4</f>
        <v>0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X88" s="169">
        <f>TrNavi_emi!X$5</f>
        <v>0</v>
      </c>
      <c r="Y88" s="169">
        <f>TrNavi_emi!Y$5</f>
        <v>0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68.793150959999991</v>
      </c>
      <c r="H89" s="28">
        <f t="shared" si="72"/>
        <v>93.808892880000002</v>
      </c>
      <c r="I89" s="28">
        <f t="shared" si="72"/>
        <v>156.17158992</v>
      </c>
      <c r="J89" s="28">
        <f t="shared" si="72"/>
        <v>213.24012696</v>
      </c>
      <c r="K89" s="28">
        <f t="shared" si="72"/>
        <v>105.18966504000002</v>
      </c>
      <c r="L89" s="28">
        <f t="shared" si="72"/>
        <v>60.532868159999992</v>
      </c>
      <c r="M89" s="28">
        <f t="shared" si="72"/>
        <v>105.01328592000002</v>
      </c>
      <c r="N89" s="28">
        <f t="shared" si="72"/>
        <v>162.20665368000004</v>
      </c>
      <c r="O89" s="28">
        <f t="shared" si="72"/>
        <v>197.17318727999998</v>
      </c>
      <c r="P89" s="28">
        <f t="shared" si="72"/>
        <v>184.38500448000002</v>
      </c>
      <c r="Q89" s="28">
        <f t="shared" si="72"/>
        <v>206.49230208</v>
      </c>
      <c r="R89" s="28">
        <f t="shared" si="72"/>
        <v>393.89497776000007</v>
      </c>
      <c r="S89" s="28">
        <f t="shared" si="72"/>
        <v>499.67870328000015</v>
      </c>
      <c r="T89" s="28">
        <f t="shared" si="72"/>
        <v>727.73474112000008</v>
      </c>
      <c r="U89" s="28">
        <f t="shared" si="72"/>
        <v>613.18946159999996</v>
      </c>
      <c r="V89" s="28">
        <f t="shared" si="72"/>
        <v>372.8783851199999</v>
      </c>
      <c r="W89" s="28">
        <f t="shared" si="72"/>
        <v>276.42560472000002</v>
      </c>
      <c r="X89" s="28">
        <f t="shared" ref="X89:Y89" si="73">X90+X91</f>
        <v>0</v>
      </c>
      <c r="Y89" s="28">
        <f t="shared" si="73"/>
        <v>0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28.629019484115133</v>
      </c>
      <c r="H90" s="102">
        <f>MBunk_emi!H$4</f>
        <v>38.861630323569017</v>
      </c>
      <c r="I90" s="102">
        <f>MBunk_emi!I$4</f>
        <v>62.162048419610976</v>
      </c>
      <c r="J90" s="102">
        <f>MBunk_emi!J$4</f>
        <v>84.926129012470355</v>
      </c>
      <c r="K90" s="102">
        <f>MBunk_emi!K$4</f>
        <v>42.85774051600665</v>
      </c>
      <c r="L90" s="102">
        <f>MBunk_emi!L$4</f>
        <v>20.572683600240559</v>
      </c>
      <c r="M90" s="102">
        <f>MBunk_emi!M$4</f>
        <v>30.346679078956203</v>
      </c>
      <c r="N90" s="102">
        <f>MBunk_emi!N$4</f>
        <v>56.294032897360601</v>
      </c>
      <c r="O90" s="102">
        <f>MBunk_emi!O$4</f>
        <v>60.739492176062299</v>
      </c>
      <c r="P90" s="102">
        <f>MBunk_emi!P$4</f>
        <v>60.592530174617508</v>
      </c>
      <c r="Q90" s="102">
        <f>MBunk_emi!Q$4</f>
        <v>66.410798983280344</v>
      </c>
      <c r="R90" s="102">
        <f>MBunk_emi!R$4</f>
        <v>133.34876796661783</v>
      </c>
      <c r="S90" s="102">
        <f>MBunk_emi!S$4</f>
        <v>157.77306965286778</v>
      </c>
      <c r="T90" s="102">
        <f>MBunk_emi!T$4</f>
        <v>216.16956382835616</v>
      </c>
      <c r="U90" s="102">
        <f>MBunk_emi!U$4</f>
        <v>173.40115881765988</v>
      </c>
      <c r="V90" s="102">
        <f>MBunk_emi!V$4</f>
        <v>87.755936871289762</v>
      </c>
      <c r="W90" s="102">
        <f>MBunk_emi!W$4</f>
        <v>54.766285456174131</v>
      </c>
      <c r="X90" s="102">
        <f>MBunk_emi!X$4</f>
        <v>0</v>
      </c>
      <c r="Y90" s="102">
        <f>MBunk_emi!Y$4</f>
        <v>0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40.164131475884858</v>
      </c>
      <c r="H91" s="86">
        <f>MBunk_emi!H$5</f>
        <v>54.947262556430985</v>
      </c>
      <c r="I91" s="86">
        <f>MBunk_emi!I$5</f>
        <v>94.00954150038902</v>
      </c>
      <c r="J91" s="86">
        <f>MBunk_emi!J$5</f>
        <v>128.31399794752966</v>
      </c>
      <c r="K91" s="86">
        <f>MBunk_emi!K$5</f>
        <v>62.331924523993365</v>
      </c>
      <c r="L91" s="86">
        <f>MBunk_emi!L$5</f>
        <v>39.960184559759433</v>
      </c>
      <c r="M91" s="86">
        <f>MBunk_emi!M$5</f>
        <v>74.666606841043816</v>
      </c>
      <c r="N91" s="86">
        <f>MBunk_emi!N$5</f>
        <v>105.91262078263944</v>
      </c>
      <c r="O91" s="86">
        <f>MBunk_emi!O$5</f>
        <v>136.43369510393768</v>
      </c>
      <c r="P91" s="86">
        <f>MBunk_emi!P$5</f>
        <v>123.79247430538253</v>
      </c>
      <c r="Q91" s="86">
        <f>MBunk_emi!Q$5</f>
        <v>140.08150309671967</v>
      </c>
      <c r="R91" s="86">
        <f>MBunk_emi!R$5</f>
        <v>260.54620979338222</v>
      </c>
      <c r="S91" s="86">
        <f>MBunk_emi!S$5</f>
        <v>341.90563362713237</v>
      </c>
      <c r="T91" s="86">
        <f>MBunk_emi!T$5</f>
        <v>511.56517729164386</v>
      </c>
      <c r="U91" s="86">
        <f>MBunk_emi!U$5</f>
        <v>439.78830278234005</v>
      </c>
      <c r="V91" s="86">
        <f>MBunk_emi!V$5</f>
        <v>285.12244824871016</v>
      </c>
      <c r="W91" s="86">
        <f>MBunk_emi!W$5</f>
        <v>221.65931926382589</v>
      </c>
      <c r="X91" s="86">
        <f>MBunk_emi!X$5</f>
        <v>0</v>
      </c>
      <c r="Y91" s="86">
        <f>MBunk_emi!Y$5</f>
        <v>0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0.94503934880616403</v>
      </c>
      <c r="C97" s="139">
        <f t="shared" si="75"/>
        <v>0.94317865781171706</v>
      </c>
      <c r="D97" s="139">
        <f t="shared" si="75"/>
        <v>0.94080615475231044</v>
      </c>
      <c r="E97" s="139">
        <f t="shared" si="75"/>
        <v>0.94342691446845917</v>
      </c>
      <c r="F97" s="139">
        <f t="shared" si="75"/>
        <v>0.95346874809283488</v>
      </c>
      <c r="G97" s="139">
        <f t="shared" si="75"/>
        <v>0.94970652502013042</v>
      </c>
      <c r="H97" s="139">
        <f t="shared" si="75"/>
        <v>0.94929302432452223</v>
      </c>
      <c r="I97" s="139">
        <f t="shared" si="75"/>
        <v>0.94809617020121351</v>
      </c>
      <c r="J97" s="139">
        <f t="shared" si="75"/>
        <v>0.94659755204304463</v>
      </c>
      <c r="K97" s="139">
        <f t="shared" si="75"/>
        <v>0.9511100829507787</v>
      </c>
      <c r="L97" s="139">
        <f t="shared" si="75"/>
        <v>0.95303666913002139</v>
      </c>
      <c r="M97" s="139">
        <f t="shared" si="75"/>
        <v>0.95461863489993826</v>
      </c>
      <c r="N97" s="139">
        <f t="shared" si="75"/>
        <v>0.95710418859056678</v>
      </c>
      <c r="O97" s="139">
        <f t="shared" si="75"/>
        <v>0.95451082127135145</v>
      </c>
      <c r="P97" s="139">
        <f t="shared" si="75"/>
        <v>0.95797887499678447</v>
      </c>
      <c r="Q97" s="139">
        <f t="shared" si="75"/>
        <v>0.95720689507078671</v>
      </c>
      <c r="R97" s="139">
        <f t="shared" si="75"/>
        <v>0.95903194915197865</v>
      </c>
      <c r="S97" s="139">
        <f t="shared" si="75"/>
        <v>0.9573631584175849</v>
      </c>
      <c r="T97" s="139">
        <f t="shared" si="75"/>
        <v>0.95616342637971297</v>
      </c>
      <c r="U97" s="139">
        <f t="shared" si="75"/>
        <v>0.95688256189126608</v>
      </c>
      <c r="V97" s="139">
        <f t="shared" si="75"/>
        <v>0.97893984881812857</v>
      </c>
      <c r="W97" s="139">
        <f t="shared" si="75"/>
        <v>0.96994931979266541</v>
      </c>
      <c r="X97" s="139">
        <f t="shared" si="75"/>
        <v>0.95645766869193549</v>
      </c>
      <c r="Y97" s="139">
        <f t="shared" si="75"/>
        <v>0.95065563258267227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3.5595769627335514E-3</v>
      </c>
      <c r="C98" s="140">
        <f t="shared" si="76"/>
        <v>3.2753084615147385E-3</v>
      </c>
      <c r="D98" s="140">
        <f t="shared" si="76"/>
        <v>3.2093969613642623E-3</v>
      </c>
      <c r="E98" s="140">
        <f t="shared" si="76"/>
        <v>3.855002676391973E-3</v>
      </c>
      <c r="F98" s="140">
        <f t="shared" si="76"/>
        <v>4.3412030019801106E-3</v>
      </c>
      <c r="G98" s="140">
        <f t="shared" si="76"/>
        <v>4.7774367808306149E-3</v>
      </c>
      <c r="H98" s="140">
        <f t="shared" si="76"/>
        <v>5.2958053552480573E-3</v>
      </c>
      <c r="I98" s="140">
        <f t="shared" si="76"/>
        <v>5.7669590821705918E-3</v>
      </c>
      <c r="J98" s="140">
        <f t="shared" si="76"/>
        <v>6.2014036580978951E-3</v>
      </c>
      <c r="K98" s="140">
        <f t="shared" si="76"/>
        <v>6.2298436572999225E-3</v>
      </c>
      <c r="L98" s="140">
        <f t="shared" si="76"/>
        <v>8.1277151556205691E-3</v>
      </c>
      <c r="M98" s="140">
        <f t="shared" si="76"/>
        <v>9.5848491190406171E-3</v>
      </c>
      <c r="N98" s="140">
        <f t="shared" si="76"/>
        <v>8.8028464524728019E-3</v>
      </c>
      <c r="O98" s="140">
        <f t="shared" si="76"/>
        <v>7.870347253884049E-3</v>
      </c>
      <c r="P98" s="140">
        <f t="shared" si="76"/>
        <v>7.9354721453000661E-3</v>
      </c>
      <c r="Q98" s="140">
        <f t="shared" si="76"/>
        <v>8.424970794549097E-3</v>
      </c>
      <c r="R98" s="140">
        <f t="shared" si="76"/>
        <v>8.7889528972600918E-3</v>
      </c>
      <c r="S98" s="140">
        <f t="shared" si="76"/>
        <v>8.0893864914936865E-3</v>
      </c>
      <c r="T98" s="140">
        <f t="shared" si="76"/>
        <v>7.5934412035551912E-3</v>
      </c>
      <c r="U98" s="140">
        <f t="shared" si="76"/>
        <v>7.988035981424297E-3</v>
      </c>
      <c r="V98" s="140">
        <f t="shared" si="76"/>
        <v>1.0206201268731176E-2</v>
      </c>
      <c r="W98" s="140">
        <f t="shared" si="76"/>
        <v>1.0173506853510317E-2</v>
      </c>
      <c r="X98" s="140">
        <f t="shared" si="76"/>
        <v>9.1979074020748248E-3</v>
      </c>
      <c r="Y98" s="140">
        <f t="shared" si="76"/>
        <v>9.4058468933573402E-3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0.80310472836352564</v>
      </c>
      <c r="C99" s="140">
        <f t="shared" si="77"/>
        <v>0.80809000453970237</v>
      </c>
      <c r="D99" s="140">
        <f t="shared" si="77"/>
        <v>0.81046951121155975</v>
      </c>
      <c r="E99" s="140">
        <f t="shared" si="77"/>
        <v>0.80889568755041308</v>
      </c>
      <c r="F99" s="140">
        <f t="shared" si="77"/>
        <v>0.82821335506304916</v>
      </c>
      <c r="G99" s="140">
        <f t="shared" si="77"/>
        <v>0.83177853221142684</v>
      </c>
      <c r="H99" s="140">
        <f t="shared" si="77"/>
        <v>0.83085045409568536</v>
      </c>
      <c r="I99" s="140">
        <f t="shared" si="77"/>
        <v>0.83183863489685728</v>
      </c>
      <c r="J99" s="140">
        <f t="shared" si="77"/>
        <v>0.83482641234373056</v>
      </c>
      <c r="K99" s="140">
        <f t="shared" si="77"/>
        <v>0.84064368395255296</v>
      </c>
      <c r="L99" s="140">
        <f t="shared" si="77"/>
        <v>0.8405456797282258</v>
      </c>
      <c r="M99" s="140">
        <f t="shared" si="77"/>
        <v>0.83832803075868245</v>
      </c>
      <c r="N99" s="140">
        <f t="shared" si="77"/>
        <v>0.8407432946792005</v>
      </c>
      <c r="O99" s="140">
        <f t="shared" si="77"/>
        <v>0.83625256563511541</v>
      </c>
      <c r="P99" s="140">
        <f t="shared" si="77"/>
        <v>0.83739461689500938</v>
      </c>
      <c r="Q99" s="140">
        <f t="shared" si="77"/>
        <v>0.83405001912722931</v>
      </c>
      <c r="R99" s="140">
        <f t="shared" si="77"/>
        <v>0.83505739918936561</v>
      </c>
      <c r="S99" s="140">
        <f t="shared" si="77"/>
        <v>0.8359179655719009</v>
      </c>
      <c r="T99" s="140">
        <f t="shared" si="77"/>
        <v>0.83566069288098177</v>
      </c>
      <c r="U99" s="140">
        <f t="shared" si="77"/>
        <v>0.83728871739527777</v>
      </c>
      <c r="V99" s="140">
        <f t="shared" si="77"/>
        <v>0.88462485975265037</v>
      </c>
      <c r="W99" s="140">
        <f t="shared" si="77"/>
        <v>0.86619751736172512</v>
      </c>
      <c r="X99" s="140">
        <f t="shared" si="77"/>
        <v>0.83503705405036854</v>
      </c>
      <c r="Y99" s="140">
        <f t="shared" si="77"/>
        <v>0.82611810505413319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0.13837504347990487</v>
      </c>
      <c r="C100" s="140">
        <f t="shared" si="78"/>
        <v>0.13181334481049997</v>
      </c>
      <c r="D100" s="140">
        <f t="shared" si="78"/>
        <v>0.1271272465793864</v>
      </c>
      <c r="E100" s="140">
        <f t="shared" si="78"/>
        <v>0.13067622424165409</v>
      </c>
      <c r="F100" s="140">
        <f t="shared" si="78"/>
        <v>0.12091419002780565</v>
      </c>
      <c r="G100" s="140">
        <f t="shared" si="78"/>
        <v>0.11315055602787281</v>
      </c>
      <c r="H100" s="140">
        <f t="shared" si="78"/>
        <v>0.11314676487358874</v>
      </c>
      <c r="I100" s="140">
        <f t="shared" si="78"/>
        <v>0.11049057622218572</v>
      </c>
      <c r="J100" s="140">
        <f t="shared" si="78"/>
        <v>0.10556973604121619</v>
      </c>
      <c r="K100" s="140">
        <f t="shared" si="78"/>
        <v>0.10423655534092569</v>
      </c>
      <c r="L100" s="140">
        <f t="shared" si="78"/>
        <v>0.10436327424617502</v>
      </c>
      <c r="M100" s="140">
        <f t="shared" si="78"/>
        <v>0.10670575502221528</v>
      </c>
      <c r="N100" s="140">
        <f t="shared" si="78"/>
        <v>0.10755804745889341</v>
      </c>
      <c r="O100" s="140">
        <f t="shared" si="78"/>
        <v>0.11038790838235189</v>
      </c>
      <c r="P100" s="140">
        <f t="shared" si="78"/>
        <v>0.11264878595647507</v>
      </c>
      <c r="Q100" s="140">
        <f t="shared" si="78"/>
        <v>0.11473190514900836</v>
      </c>
      <c r="R100" s="140">
        <f t="shared" si="78"/>
        <v>0.11518559706535286</v>
      </c>
      <c r="S100" s="140">
        <f t="shared" si="78"/>
        <v>0.1133558063541904</v>
      </c>
      <c r="T100" s="140">
        <f t="shared" si="78"/>
        <v>0.11290929229517598</v>
      </c>
      <c r="U100" s="140">
        <f t="shared" si="78"/>
        <v>0.11160580851456413</v>
      </c>
      <c r="V100" s="140">
        <f t="shared" si="78"/>
        <v>8.4108787796746839E-2</v>
      </c>
      <c r="W100" s="140">
        <f t="shared" si="78"/>
        <v>9.3578295577430082E-2</v>
      </c>
      <c r="X100" s="140">
        <f t="shared" si="78"/>
        <v>0.11222270723949215</v>
      </c>
      <c r="Y100" s="140">
        <f t="shared" si="78"/>
        <v>0.11513168063518175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2.7856769175709006E-2</v>
      </c>
      <c r="C101" s="124">
        <f t="shared" si="79"/>
        <v>2.777675848497126E-2</v>
      </c>
      <c r="D101" s="124">
        <f t="shared" si="79"/>
        <v>2.851701338363594E-2</v>
      </c>
      <c r="E101" s="124">
        <f t="shared" si="79"/>
        <v>2.9464720323785616E-2</v>
      </c>
      <c r="F101" s="124">
        <f t="shared" si="79"/>
        <v>2.6114158505073003E-2</v>
      </c>
      <c r="G101" s="124">
        <f t="shared" si="79"/>
        <v>2.6458457908542433E-2</v>
      </c>
      <c r="H101" s="124">
        <f t="shared" si="79"/>
        <v>2.6146906405514921E-2</v>
      </c>
      <c r="I101" s="124">
        <f t="shared" si="79"/>
        <v>2.5274505843714816E-2</v>
      </c>
      <c r="J101" s="124">
        <f t="shared" si="79"/>
        <v>2.5670962514790334E-2</v>
      </c>
      <c r="K101" s="124">
        <f t="shared" si="79"/>
        <v>2.521115684559936E-2</v>
      </c>
      <c r="L101" s="124">
        <f t="shared" si="79"/>
        <v>2.3902239059208793E-2</v>
      </c>
      <c r="M101" s="124">
        <f t="shared" si="79"/>
        <v>2.2662460367340327E-2</v>
      </c>
      <c r="N101" s="124">
        <f t="shared" si="79"/>
        <v>2.1896800292527586E-2</v>
      </c>
      <c r="O101" s="124">
        <f t="shared" si="79"/>
        <v>2.2560691629583528E-2</v>
      </c>
      <c r="P101" s="124">
        <f t="shared" si="79"/>
        <v>2.0250044106851359E-2</v>
      </c>
      <c r="Q101" s="124">
        <f t="shared" si="79"/>
        <v>2.0148202705690375E-2</v>
      </c>
      <c r="R101" s="124">
        <f t="shared" si="79"/>
        <v>1.9510537681339236E-2</v>
      </c>
      <c r="S101" s="124">
        <f t="shared" si="79"/>
        <v>1.7556772186741718E-2</v>
      </c>
      <c r="T101" s="124">
        <f t="shared" si="79"/>
        <v>1.7094838059367488E-2</v>
      </c>
      <c r="U101" s="124">
        <f t="shared" si="79"/>
        <v>1.6954444433237712E-2</v>
      </c>
      <c r="V101" s="124">
        <f t="shared" si="79"/>
        <v>1.4252500242928443E-2</v>
      </c>
      <c r="W101" s="124">
        <f t="shared" si="79"/>
        <v>2.0304336949458605E-2</v>
      </c>
      <c r="X101" s="124">
        <f t="shared" si="79"/>
        <v>2.2997391112830393E-2</v>
      </c>
      <c r="Y101" s="124">
        <f t="shared" si="79"/>
        <v>2.4775863301813458E-2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0</v>
      </c>
      <c r="C102" s="140">
        <f t="shared" si="80"/>
        <v>0</v>
      </c>
      <c r="D102" s="140">
        <f t="shared" si="80"/>
        <v>0</v>
      </c>
      <c r="E102" s="140">
        <f t="shared" si="80"/>
        <v>0</v>
      </c>
      <c r="F102" s="140">
        <f t="shared" si="80"/>
        <v>0</v>
      </c>
      <c r="G102" s="140">
        <f t="shared" si="80"/>
        <v>0</v>
      </c>
      <c r="H102" s="140">
        <f t="shared" si="80"/>
        <v>0</v>
      </c>
      <c r="I102" s="140">
        <f t="shared" si="80"/>
        <v>0</v>
      </c>
      <c r="J102" s="140">
        <f t="shared" si="80"/>
        <v>0</v>
      </c>
      <c r="K102" s="140">
        <f t="shared" si="80"/>
        <v>0</v>
      </c>
      <c r="L102" s="140">
        <f t="shared" si="80"/>
        <v>0</v>
      </c>
      <c r="M102" s="140">
        <f t="shared" si="80"/>
        <v>0</v>
      </c>
      <c r="N102" s="140">
        <f t="shared" si="80"/>
        <v>0</v>
      </c>
      <c r="O102" s="140">
        <f t="shared" si="80"/>
        <v>0</v>
      </c>
      <c r="P102" s="140">
        <f t="shared" si="80"/>
        <v>0</v>
      </c>
      <c r="Q102" s="140">
        <f t="shared" si="80"/>
        <v>0</v>
      </c>
      <c r="R102" s="140">
        <f t="shared" si="80"/>
        <v>0</v>
      </c>
      <c r="S102" s="140">
        <f t="shared" si="80"/>
        <v>0</v>
      </c>
      <c r="T102" s="140">
        <f t="shared" si="80"/>
        <v>0</v>
      </c>
      <c r="U102" s="140">
        <f t="shared" si="80"/>
        <v>0</v>
      </c>
      <c r="V102" s="140">
        <f t="shared" si="80"/>
        <v>0</v>
      </c>
      <c r="W102" s="140">
        <f t="shared" si="80"/>
        <v>0</v>
      </c>
      <c r="X102" s="140">
        <f t="shared" si="80"/>
        <v>0</v>
      </c>
      <c r="Y102" s="140">
        <f t="shared" si="80"/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2.7856769175709006E-2</v>
      </c>
      <c r="C103" s="140">
        <f t="shared" si="81"/>
        <v>2.777675848497126E-2</v>
      </c>
      <c r="D103" s="140">
        <f t="shared" si="81"/>
        <v>2.851701338363594E-2</v>
      </c>
      <c r="E103" s="140">
        <f t="shared" si="81"/>
        <v>2.9464720323785616E-2</v>
      </c>
      <c r="F103" s="140">
        <f t="shared" si="81"/>
        <v>2.6114158505073003E-2</v>
      </c>
      <c r="G103" s="140">
        <f t="shared" si="81"/>
        <v>2.6458457908542433E-2</v>
      </c>
      <c r="H103" s="140">
        <f t="shared" si="81"/>
        <v>2.6146906405514921E-2</v>
      </c>
      <c r="I103" s="140">
        <f t="shared" si="81"/>
        <v>2.5274505843714816E-2</v>
      </c>
      <c r="J103" s="140">
        <f t="shared" si="81"/>
        <v>2.5201167122362797E-2</v>
      </c>
      <c r="K103" s="140">
        <f t="shared" si="81"/>
        <v>2.468932177505655E-2</v>
      </c>
      <c r="L103" s="140">
        <f t="shared" si="81"/>
        <v>2.340714466991654E-2</v>
      </c>
      <c r="M103" s="140">
        <f t="shared" si="81"/>
        <v>2.2223683558486453E-2</v>
      </c>
      <c r="N103" s="140">
        <f t="shared" si="81"/>
        <v>2.1502059795600079E-2</v>
      </c>
      <c r="O103" s="140">
        <f t="shared" si="81"/>
        <v>2.2193540462415787E-2</v>
      </c>
      <c r="P103" s="140">
        <f t="shared" si="81"/>
        <v>1.9998551623588847E-2</v>
      </c>
      <c r="Q103" s="140">
        <f t="shared" si="81"/>
        <v>1.996853720385619E-2</v>
      </c>
      <c r="R103" s="140">
        <f t="shared" si="81"/>
        <v>1.9386002334437075E-2</v>
      </c>
      <c r="S103" s="140">
        <f t="shared" si="81"/>
        <v>1.7509338100482802E-2</v>
      </c>
      <c r="T103" s="140">
        <f t="shared" si="81"/>
        <v>1.7040965242243779E-2</v>
      </c>
      <c r="U103" s="140">
        <f t="shared" si="81"/>
        <v>1.6902869724647093E-2</v>
      </c>
      <c r="V103" s="140">
        <f t="shared" si="81"/>
        <v>1.4235633378735627E-2</v>
      </c>
      <c r="W103" s="140">
        <f t="shared" si="81"/>
        <v>1.9216604612880463E-2</v>
      </c>
      <c r="X103" s="140">
        <f t="shared" si="81"/>
        <v>2.1613661265236849E-2</v>
      </c>
      <c r="Y103" s="140">
        <f t="shared" si="81"/>
        <v>2.1603751423548933E-2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4.6979539242753552E-4</v>
      </c>
      <c r="K104" s="140">
        <f t="shared" si="82"/>
        <v>5.2183507054280695E-4</v>
      </c>
      <c r="L104" s="140">
        <f t="shared" si="82"/>
        <v>4.9509438929225345E-4</v>
      </c>
      <c r="M104" s="140">
        <f t="shared" si="82"/>
        <v>4.3877680885387514E-4</v>
      </c>
      <c r="N104" s="140">
        <f t="shared" si="82"/>
        <v>3.9474049692750796E-4</v>
      </c>
      <c r="O104" s="140">
        <f t="shared" si="82"/>
        <v>3.6715116716774375E-4</v>
      </c>
      <c r="P104" s="140">
        <f t="shared" si="82"/>
        <v>2.5149248326250881E-4</v>
      </c>
      <c r="Q104" s="140">
        <f t="shared" si="82"/>
        <v>1.7966550183418165E-4</v>
      </c>
      <c r="R104" s="140">
        <f t="shared" si="82"/>
        <v>1.2453534690216536E-4</v>
      </c>
      <c r="S104" s="140">
        <f t="shared" si="82"/>
        <v>4.7434086258916222E-5</v>
      </c>
      <c r="T104" s="140">
        <f t="shared" si="82"/>
        <v>5.3872817123710921E-5</v>
      </c>
      <c r="U104" s="140">
        <f t="shared" si="82"/>
        <v>5.157470859061822E-5</v>
      </c>
      <c r="V104" s="140">
        <f t="shared" si="82"/>
        <v>1.6866864192814725E-5</v>
      </c>
      <c r="W104" s="140">
        <f t="shared" si="82"/>
        <v>1.0877323365781396E-3</v>
      </c>
      <c r="X104" s="140">
        <f t="shared" si="82"/>
        <v>1.383729847593542E-3</v>
      </c>
      <c r="Y104" s="140">
        <f t="shared" si="82"/>
        <v>3.1721118782645267E-3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2.7103882018126996E-2</v>
      </c>
      <c r="C105" s="124">
        <f t="shared" si="83"/>
        <v>2.9044583703311762E-2</v>
      </c>
      <c r="D105" s="124">
        <f t="shared" si="83"/>
        <v>3.0676831864053608E-2</v>
      </c>
      <c r="E105" s="124">
        <f t="shared" si="83"/>
        <v>2.7108365207755239E-2</v>
      </c>
      <c r="F105" s="124">
        <f t="shared" si="83"/>
        <v>2.0417093402092166E-2</v>
      </c>
      <c r="G105" s="124">
        <f t="shared" si="83"/>
        <v>2.3835017071327184E-2</v>
      </c>
      <c r="H105" s="124">
        <f t="shared" si="83"/>
        <v>2.4560069269962907E-2</v>
      </c>
      <c r="I105" s="124">
        <f t="shared" si="83"/>
        <v>2.6629323955071695E-2</v>
      </c>
      <c r="J105" s="124">
        <f t="shared" si="83"/>
        <v>2.7731485442165065E-2</v>
      </c>
      <c r="K105" s="124">
        <f t="shared" si="83"/>
        <v>2.3678760203621939E-2</v>
      </c>
      <c r="L105" s="124">
        <f t="shared" si="83"/>
        <v>2.3061091810769832E-2</v>
      </c>
      <c r="M105" s="124">
        <f t="shared" si="83"/>
        <v>2.2718904732721385E-2</v>
      </c>
      <c r="N105" s="124">
        <f t="shared" si="83"/>
        <v>2.0999011116905688E-2</v>
      </c>
      <c r="O105" s="124">
        <f t="shared" si="83"/>
        <v>2.2928487099065042E-2</v>
      </c>
      <c r="P105" s="124">
        <f t="shared" si="83"/>
        <v>2.1771080896364214E-2</v>
      </c>
      <c r="Q105" s="124">
        <f t="shared" si="83"/>
        <v>2.264490222352283E-2</v>
      </c>
      <c r="R105" s="124">
        <f t="shared" si="83"/>
        <v>2.1457513166682176E-2</v>
      </c>
      <c r="S105" s="124">
        <f t="shared" si="83"/>
        <v>2.5080069395673334E-2</v>
      </c>
      <c r="T105" s="124">
        <f t="shared" si="83"/>
        <v>2.6741735560919421E-2</v>
      </c>
      <c r="U105" s="124">
        <f t="shared" si="83"/>
        <v>2.6162993675496234E-2</v>
      </c>
      <c r="V105" s="124">
        <f t="shared" si="83"/>
        <v>6.8076509389430728E-3</v>
      </c>
      <c r="W105" s="124">
        <f t="shared" si="83"/>
        <v>9.7463432578759404E-3</v>
      </c>
      <c r="X105" s="124">
        <f t="shared" si="83"/>
        <v>2.0544940195234153E-2</v>
      </c>
      <c r="Y105" s="124">
        <f t="shared" si="83"/>
        <v>2.4568504115514325E-2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1.4929208608566308E-2</v>
      </c>
      <c r="C107" s="140">
        <f t="shared" si="85"/>
        <v>1.6089477562541563E-2</v>
      </c>
      <c r="D107" s="140">
        <f t="shared" si="85"/>
        <v>1.7032207269868625E-2</v>
      </c>
      <c r="E107" s="140">
        <f t="shared" si="85"/>
        <v>1.4991288946338551E-2</v>
      </c>
      <c r="F107" s="140">
        <f t="shared" si="85"/>
        <v>1.1278738796225606E-2</v>
      </c>
      <c r="G107" s="140">
        <f t="shared" si="85"/>
        <v>1.4451997439681086E-2</v>
      </c>
      <c r="H107" s="140">
        <f t="shared" si="85"/>
        <v>1.5148848149572514E-2</v>
      </c>
      <c r="I107" s="140">
        <f t="shared" si="85"/>
        <v>1.5727953758755974E-2</v>
      </c>
      <c r="J107" s="140">
        <f t="shared" si="85"/>
        <v>1.5991495734175968E-2</v>
      </c>
      <c r="K107" s="140">
        <f t="shared" si="85"/>
        <v>1.2677479641252603E-2</v>
      </c>
      <c r="L107" s="140">
        <f t="shared" si="85"/>
        <v>1.2042002788883802E-2</v>
      </c>
      <c r="M107" s="140">
        <f t="shared" si="85"/>
        <v>1.2454247379014991E-2</v>
      </c>
      <c r="N107" s="140">
        <f t="shared" si="85"/>
        <v>1.0069388891979171E-2</v>
      </c>
      <c r="O107" s="140">
        <f t="shared" si="85"/>
        <v>1.1391947964820317E-2</v>
      </c>
      <c r="P107" s="140">
        <f t="shared" si="85"/>
        <v>1.1452846577388622E-2</v>
      </c>
      <c r="Q107" s="140">
        <f t="shared" si="85"/>
        <v>1.2611378748958246E-2</v>
      </c>
      <c r="R107" s="140">
        <f t="shared" si="85"/>
        <v>1.3142986048793945E-2</v>
      </c>
      <c r="S107" s="140">
        <f t="shared" si="85"/>
        <v>1.5070933932126704E-2</v>
      </c>
      <c r="T107" s="140">
        <f t="shared" si="85"/>
        <v>1.5926652605012477E-2</v>
      </c>
      <c r="U107" s="140">
        <f t="shared" si="85"/>
        <v>1.473359322421687E-2</v>
      </c>
      <c r="V107" s="140">
        <f t="shared" si="85"/>
        <v>3.860767532604511E-3</v>
      </c>
      <c r="W107" s="140">
        <f t="shared" si="85"/>
        <v>5.3181770803055915E-3</v>
      </c>
      <c r="X107" s="140">
        <f t="shared" si="85"/>
        <v>1.0368779254536923E-2</v>
      </c>
      <c r="Y107" s="140">
        <f t="shared" si="85"/>
        <v>1.2125895553252814E-2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1.2174673409560691E-2</v>
      </c>
      <c r="C108" s="140">
        <f t="shared" si="86"/>
        <v>1.2955106140770199E-2</v>
      </c>
      <c r="D108" s="140">
        <f t="shared" si="86"/>
        <v>1.3644624594184985E-2</v>
      </c>
      <c r="E108" s="140">
        <f t="shared" si="86"/>
        <v>1.2117076261416688E-2</v>
      </c>
      <c r="F108" s="140">
        <f t="shared" si="86"/>
        <v>9.1383546058665614E-3</v>
      </c>
      <c r="G108" s="140">
        <f t="shared" si="86"/>
        <v>9.3830196316460977E-3</v>
      </c>
      <c r="H108" s="140">
        <f t="shared" si="86"/>
        <v>9.4112211203903947E-3</v>
      </c>
      <c r="I108" s="140">
        <f t="shared" si="86"/>
        <v>1.0901370196315719E-2</v>
      </c>
      <c r="J108" s="140">
        <f t="shared" si="86"/>
        <v>1.1739989707989097E-2</v>
      </c>
      <c r="K108" s="140">
        <f t="shared" si="86"/>
        <v>1.1001280562369336E-2</v>
      </c>
      <c r="L108" s="140">
        <f t="shared" si="86"/>
        <v>1.1019089021886029E-2</v>
      </c>
      <c r="M108" s="140">
        <f t="shared" si="86"/>
        <v>1.0264657353706396E-2</v>
      </c>
      <c r="N108" s="140">
        <f t="shared" si="86"/>
        <v>1.0929622224926518E-2</v>
      </c>
      <c r="O108" s="140">
        <f t="shared" si="86"/>
        <v>1.1536539134244728E-2</v>
      </c>
      <c r="P108" s="140">
        <f t="shared" si="86"/>
        <v>1.0318234318975593E-2</v>
      </c>
      <c r="Q108" s="140">
        <f t="shared" si="86"/>
        <v>1.0033523474564583E-2</v>
      </c>
      <c r="R108" s="140">
        <f t="shared" si="86"/>
        <v>8.3145271178882325E-3</v>
      </c>
      <c r="S108" s="140">
        <f t="shared" si="86"/>
        <v>1.0009135463546627E-2</v>
      </c>
      <c r="T108" s="140">
        <f t="shared" si="86"/>
        <v>1.0815082955906944E-2</v>
      </c>
      <c r="U108" s="140">
        <f t="shared" si="86"/>
        <v>1.1429400451279364E-2</v>
      </c>
      <c r="V108" s="140">
        <f t="shared" si="86"/>
        <v>2.9468834063385626E-3</v>
      </c>
      <c r="W108" s="140">
        <f t="shared" si="86"/>
        <v>4.4281661775703481E-3</v>
      </c>
      <c r="X108" s="140">
        <f t="shared" si="86"/>
        <v>1.0176160940697229E-2</v>
      </c>
      <c r="Y108" s="140">
        <f t="shared" si="86"/>
        <v>1.2442608562261512E-2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0.65893504997125985</v>
      </c>
      <c r="C110" s="139">
        <f t="shared" si="88"/>
        <v>0.67167149651603242</v>
      </c>
      <c r="D110" s="139">
        <f t="shared" si="88"/>
        <v>0.66291889432674689</v>
      </c>
      <c r="E110" s="139">
        <f t="shared" si="88"/>
        <v>0.67165809925476694</v>
      </c>
      <c r="F110" s="139">
        <f t="shared" si="88"/>
        <v>0.69319696435646039</v>
      </c>
      <c r="G110" s="139">
        <f t="shared" si="88"/>
        <v>0.69488177338554913</v>
      </c>
      <c r="H110" s="139">
        <f t="shared" si="88"/>
        <v>0.70691684595235194</v>
      </c>
      <c r="I110" s="139">
        <f t="shared" si="88"/>
        <v>0.70362063665435537</v>
      </c>
      <c r="J110" s="139">
        <f t="shared" si="88"/>
        <v>0.70861421216399401</v>
      </c>
      <c r="K110" s="139">
        <f t="shared" si="88"/>
        <v>0.72560096949442743</v>
      </c>
      <c r="L110" s="139">
        <f t="shared" si="88"/>
        <v>0.68565373593701195</v>
      </c>
      <c r="M110" s="139">
        <f t="shared" si="88"/>
        <v>0.66475458235193563</v>
      </c>
      <c r="N110" s="139">
        <f t="shared" si="88"/>
        <v>0.67651046108854584</v>
      </c>
      <c r="O110" s="139">
        <f t="shared" si="88"/>
        <v>0.65713787303424276</v>
      </c>
      <c r="P110" s="139">
        <f t="shared" si="88"/>
        <v>0.64553453196095334</v>
      </c>
      <c r="Q110" s="139">
        <f t="shared" si="88"/>
        <v>0.65516780370760075</v>
      </c>
      <c r="R110" s="139">
        <f t="shared" si="88"/>
        <v>0.66569099852332825</v>
      </c>
      <c r="S110" s="139">
        <f t="shared" si="88"/>
        <v>0.65038958004747338</v>
      </c>
      <c r="T110" s="139">
        <f t="shared" si="88"/>
        <v>0.6527229971559334</v>
      </c>
      <c r="U110" s="139">
        <f t="shared" si="88"/>
        <v>0.65012027174423703</v>
      </c>
      <c r="V110" s="139">
        <f t="shared" si="88"/>
        <v>0.66094845263154867</v>
      </c>
      <c r="W110" s="139">
        <f t="shared" si="88"/>
        <v>0.67052332131111925</v>
      </c>
      <c r="X110" s="139">
        <f t="shared" si="88"/>
        <v>0.67892854882622811</v>
      </c>
      <c r="Y110" s="139">
        <f t="shared" si="88"/>
        <v>0.7036041708651084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7.2457016570312126E-3</v>
      </c>
      <c r="C111" s="140">
        <f t="shared" si="89"/>
        <v>7.4974075942068237E-3</v>
      </c>
      <c r="D111" s="140">
        <f t="shared" si="89"/>
        <v>7.7177172368345804E-3</v>
      </c>
      <c r="E111" s="140">
        <f t="shared" si="89"/>
        <v>8.3632256334554272E-3</v>
      </c>
      <c r="F111" s="140">
        <f t="shared" si="89"/>
        <v>8.464817910484845E-3</v>
      </c>
      <c r="G111" s="140">
        <f t="shared" si="89"/>
        <v>9.0319697172426272E-3</v>
      </c>
      <c r="H111" s="140">
        <f t="shared" si="89"/>
        <v>9.1507177776864249E-3</v>
      </c>
      <c r="I111" s="140">
        <f t="shared" si="89"/>
        <v>9.966920844822277E-3</v>
      </c>
      <c r="J111" s="140">
        <f t="shared" si="89"/>
        <v>1.1240904457622441E-2</v>
      </c>
      <c r="K111" s="140">
        <f t="shared" si="89"/>
        <v>1.3899175916877626E-2</v>
      </c>
      <c r="L111" s="140">
        <f t="shared" si="89"/>
        <v>1.3419384280434337E-2</v>
      </c>
      <c r="M111" s="140">
        <f t="shared" si="89"/>
        <v>1.36435113859706E-2</v>
      </c>
      <c r="N111" s="140">
        <f t="shared" si="89"/>
        <v>1.4570978507544895E-2</v>
      </c>
      <c r="O111" s="140">
        <f t="shared" si="89"/>
        <v>1.4619829059506281E-2</v>
      </c>
      <c r="P111" s="140">
        <f t="shared" si="89"/>
        <v>1.4768861664264199E-2</v>
      </c>
      <c r="Q111" s="140">
        <f t="shared" si="89"/>
        <v>1.5075900733213733E-2</v>
      </c>
      <c r="R111" s="140">
        <f t="shared" si="89"/>
        <v>1.5012304224034018E-2</v>
      </c>
      <c r="S111" s="140">
        <f t="shared" si="89"/>
        <v>1.4461376629477196E-2</v>
      </c>
      <c r="T111" s="140">
        <f t="shared" si="89"/>
        <v>1.5432047004430599E-2</v>
      </c>
      <c r="U111" s="140">
        <f t="shared" si="89"/>
        <v>1.6177110020916086E-2</v>
      </c>
      <c r="V111" s="140">
        <f t="shared" si="89"/>
        <v>1.8278918857176953E-2</v>
      </c>
      <c r="W111" s="140">
        <f t="shared" si="89"/>
        <v>1.797897113898099E-2</v>
      </c>
      <c r="X111" s="140">
        <f t="shared" si="89"/>
        <v>1.8334333726948177E-2</v>
      </c>
      <c r="Y111" s="140">
        <f t="shared" si="89"/>
        <v>1.8894765628568115E-2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0.65168934831422864</v>
      </c>
      <c r="C112" s="140">
        <f t="shared" si="90"/>
        <v>0.66417408892182561</v>
      </c>
      <c r="D112" s="140">
        <f t="shared" si="90"/>
        <v>0.65520117708991232</v>
      </c>
      <c r="E112" s="140">
        <f t="shared" si="90"/>
        <v>0.66329487362131145</v>
      </c>
      <c r="F112" s="140">
        <f t="shared" si="90"/>
        <v>0.68473214644597558</v>
      </c>
      <c r="G112" s="140">
        <f t="shared" si="90"/>
        <v>0.6858498036683065</v>
      </c>
      <c r="H112" s="140">
        <f t="shared" si="90"/>
        <v>0.69776612817466543</v>
      </c>
      <c r="I112" s="140">
        <f t="shared" si="90"/>
        <v>0.69365371580953306</v>
      </c>
      <c r="J112" s="140">
        <f t="shared" si="90"/>
        <v>0.69737330770637151</v>
      </c>
      <c r="K112" s="140">
        <f t="shared" si="90"/>
        <v>0.71170179357754981</v>
      </c>
      <c r="L112" s="140">
        <f t="shared" si="90"/>
        <v>0.67223435165657763</v>
      </c>
      <c r="M112" s="140">
        <f t="shared" si="90"/>
        <v>0.65111107096596499</v>
      </c>
      <c r="N112" s="140">
        <f t="shared" si="90"/>
        <v>0.66193948258100099</v>
      </c>
      <c r="O112" s="140">
        <f t="shared" si="90"/>
        <v>0.64251804397473655</v>
      </c>
      <c r="P112" s="140">
        <f t="shared" si="90"/>
        <v>0.63076567029668906</v>
      </c>
      <c r="Q112" s="140">
        <f t="shared" si="90"/>
        <v>0.64009190297438701</v>
      </c>
      <c r="R112" s="140">
        <f t="shared" si="90"/>
        <v>0.65067869429929426</v>
      </c>
      <c r="S112" s="140">
        <f t="shared" si="90"/>
        <v>0.63592820341799627</v>
      </c>
      <c r="T112" s="140">
        <f t="shared" si="90"/>
        <v>0.63729095015150283</v>
      </c>
      <c r="U112" s="140">
        <f t="shared" si="90"/>
        <v>0.63394316172332099</v>
      </c>
      <c r="V112" s="140">
        <f t="shared" si="90"/>
        <v>0.64266953377437175</v>
      </c>
      <c r="W112" s="140">
        <f t="shared" si="90"/>
        <v>0.6525443501721383</v>
      </c>
      <c r="X112" s="140">
        <f t="shared" si="90"/>
        <v>0.66059421509927985</v>
      </c>
      <c r="Y112" s="140">
        <f t="shared" si="90"/>
        <v>0.68470940523654034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0.34042085727297444</v>
      </c>
      <c r="C113" s="124">
        <f t="shared" si="91"/>
        <v>0.3276691057361566</v>
      </c>
      <c r="D113" s="124">
        <f t="shared" si="91"/>
        <v>0.33645761394829155</v>
      </c>
      <c r="E113" s="124">
        <f t="shared" si="91"/>
        <v>0.32767723933177662</v>
      </c>
      <c r="F113" s="124">
        <f t="shared" si="91"/>
        <v>0.30617590431209035</v>
      </c>
      <c r="G113" s="124">
        <f t="shared" si="91"/>
        <v>0.30456925029216564</v>
      </c>
      <c r="H113" s="124">
        <f t="shared" si="91"/>
        <v>0.29262663834729591</v>
      </c>
      <c r="I113" s="124">
        <f t="shared" si="91"/>
        <v>0.29552647909283364</v>
      </c>
      <c r="J113" s="124">
        <f t="shared" si="91"/>
        <v>0.29100555287408042</v>
      </c>
      <c r="K113" s="124">
        <f t="shared" si="91"/>
        <v>0.27416111972242929</v>
      </c>
      <c r="L113" s="124">
        <f t="shared" si="91"/>
        <v>0.31410361007540327</v>
      </c>
      <c r="M113" s="124">
        <f t="shared" si="91"/>
        <v>0.33500844582967354</v>
      </c>
      <c r="N113" s="124">
        <f t="shared" si="91"/>
        <v>0.32322596807715143</v>
      </c>
      <c r="O113" s="124">
        <f t="shared" si="91"/>
        <v>0.34260644656784101</v>
      </c>
      <c r="P113" s="124">
        <f t="shared" si="91"/>
        <v>0.35424468406690596</v>
      </c>
      <c r="Q113" s="124">
        <f t="shared" si="91"/>
        <v>0.34461432595871649</v>
      </c>
      <c r="R113" s="124">
        <f t="shared" si="91"/>
        <v>0.3341105613189882</v>
      </c>
      <c r="S113" s="124">
        <f t="shared" si="91"/>
        <v>0.34933517656191643</v>
      </c>
      <c r="T113" s="124">
        <f t="shared" si="91"/>
        <v>0.34700694336473475</v>
      </c>
      <c r="U113" s="124">
        <f t="shared" si="91"/>
        <v>0.34964327377173682</v>
      </c>
      <c r="V113" s="124">
        <f t="shared" si="91"/>
        <v>0.33886602885391953</v>
      </c>
      <c r="W113" s="124">
        <f t="shared" si="91"/>
        <v>0.32927345224855342</v>
      </c>
      <c r="X113" s="124">
        <f t="shared" si="91"/>
        <v>0.32082470602239588</v>
      </c>
      <c r="Y113" s="124">
        <f t="shared" si="91"/>
        <v>0.296161449900948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6.440927557656074E-4</v>
      </c>
      <c r="C114" s="124">
        <f t="shared" si="92"/>
        <v>6.5939774781080247E-4</v>
      </c>
      <c r="D114" s="124">
        <f t="shared" si="92"/>
        <v>6.234917249615063E-4</v>
      </c>
      <c r="E114" s="124">
        <f t="shared" si="92"/>
        <v>6.6466141345668673E-4</v>
      </c>
      <c r="F114" s="124">
        <f t="shared" si="92"/>
        <v>6.2713133144927987E-4</v>
      </c>
      <c r="G114" s="124">
        <f t="shared" si="92"/>
        <v>5.4897632228524749E-4</v>
      </c>
      <c r="H114" s="124">
        <f t="shared" si="92"/>
        <v>4.5651570035225812E-4</v>
      </c>
      <c r="I114" s="124">
        <f t="shared" si="92"/>
        <v>8.5288425281099007E-4</v>
      </c>
      <c r="J114" s="124">
        <f t="shared" si="92"/>
        <v>3.8023496192554352E-4</v>
      </c>
      <c r="K114" s="124">
        <f t="shared" si="92"/>
        <v>2.3791078314321695E-4</v>
      </c>
      <c r="L114" s="124">
        <f t="shared" si="92"/>
        <v>2.4265398758479152E-4</v>
      </c>
      <c r="M114" s="124">
        <f t="shared" si="92"/>
        <v>2.369718183907475E-4</v>
      </c>
      <c r="N114" s="124">
        <f t="shared" si="92"/>
        <v>2.6357083430284656E-4</v>
      </c>
      <c r="O114" s="124">
        <f t="shared" si="92"/>
        <v>2.5568039791624508E-4</v>
      </c>
      <c r="P114" s="124">
        <f t="shared" si="92"/>
        <v>2.2078397214059286E-4</v>
      </c>
      <c r="Q114" s="124">
        <f t="shared" si="92"/>
        <v>2.1787033368292257E-4</v>
      </c>
      <c r="R114" s="124">
        <f t="shared" si="92"/>
        <v>1.9844015768345863E-4</v>
      </c>
      <c r="S114" s="124">
        <f t="shared" si="92"/>
        <v>2.7524339061015852E-4</v>
      </c>
      <c r="T114" s="124">
        <f t="shared" si="92"/>
        <v>2.7005947933178174E-4</v>
      </c>
      <c r="U114" s="124">
        <f t="shared" si="92"/>
        <v>2.3645448402620956E-4</v>
      </c>
      <c r="V114" s="124">
        <f t="shared" si="92"/>
        <v>1.8551851453181675E-4</v>
      </c>
      <c r="W114" s="124">
        <f t="shared" si="92"/>
        <v>2.0322644032727864E-4</v>
      </c>
      <c r="X114" s="124">
        <f t="shared" si="92"/>
        <v>2.4674515137605236E-4</v>
      </c>
      <c r="Y114" s="124">
        <f t="shared" si="92"/>
        <v>2.3437923394353978E-4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1.5024777460823693E-4</v>
      </c>
      <c r="C116" s="140">
        <f t="shared" si="96"/>
        <v>1.3135917929725082E-4</v>
      </c>
      <c r="D116" s="140">
        <f t="shared" si="96"/>
        <v>1.0445493003639188E-4</v>
      </c>
      <c r="E116" s="140">
        <f t="shared" si="96"/>
        <v>8.9764216253786379E-5</v>
      </c>
      <c r="F116" s="140">
        <f t="shared" si="96"/>
        <v>7.1931545197181874E-5</v>
      </c>
      <c r="G116" s="140">
        <f t="shared" si="96"/>
        <v>8.73217685863183E-5</v>
      </c>
      <c r="H116" s="140">
        <f t="shared" si="96"/>
        <v>1.542422224694355E-4</v>
      </c>
      <c r="I116" s="140">
        <f t="shared" si="96"/>
        <v>6.3481299439844044E-4</v>
      </c>
      <c r="J116" s="140">
        <f t="shared" si="96"/>
        <v>2.1872259524203209E-4</v>
      </c>
      <c r="K116" s="140">
        <f t="shared" si="96"/>
        <v>1.2777198086577434E-4</v>
      </c>
      <c r="L116" s="140">
        <f t="shared" si="96"/>
        <v>1.8115674128285175E-4</v>
      </c>
      <c r="M116" s="140">
        <f t="shared" si="96"/>
        <v>1.7606632281791037E-4</v>
      </c>
      <c r="N116" s="140">
        <f t="shared" si="96"/>
        <v>1.8978901601837843E-4</v>
      </c>
      <c r="O116" s="140">
        <f t="shared" si="96"/>
        <v>1.81693201908357E-4</v>
      </c>
      <c r="P116" s="140">
        <f t="shared" si="96"/>
        <v>1.6238994778747465E-4</v>
      </c>
      <c r="Q116" s="140">
        <f t="shared" si="96"/>
        <v>1.8821550903761622E-4</v>
      </c>
      <c r="R116" s="140">
        <f t="shared" si="94"/>
        <v>1.7432864059550087E-4</v>
      </c>
      <c r="S116" s="140">
        <f t="shared" si="94"/>
        <v>2.2285521331169054E-4</v>
      </c>
      <c r="T116" s="140">
        <f t="shared" si="94"/>
        <v>2.0643517158955432E-4</v>
      </c>
      <c r="U116" s="140">
        <f t="shared" si="94"/>
        <v>1.7150072658780877E-4</v>
      </c>
      <c r="V116" s="140">
        <f t="shared" si="94"/>
        <v>1.3686935259972E-4</v>
      </c>
      <c r="W116" s="140">
        <f t="shared" si="95"/>
        <v>1.5843763381505463E-4</v>
      </c>
      <c r="X116" s="140">
        <f t="shared" si="95"/>
        <v>1.8005520165454176E-4</v>
      </c>
      <c r="Y116" s="140">
        <f t="shared" si="95"/>
        <v>1.7794198681937256E-4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4.9384498115737042E-4</v>
      </c>
      <c r="C117" s="140">
        <f t="shared" si="97"/>
        <v>5.2803856851355165E-4</v>
      </c>
      <c r="D117" s="140">
        <f t="shared" si="97"/>
        <v>5.190367949251144E-4</v>
      </c>
      <c r="E117" s="140">
        <f t="shared" si="97"/>
        <v>5.7489719720290038E-4</v>
      </c>
      <c r="F117" s="140">
        <f t="shared" si="97"/>
        <v>5.5519978625209808E-4</v>
      </c>
      <c r="G117" s="140">
        <f t="shared" si="97"/>
        <v>4.6165455369892914E-4</v>
      </c>
      <c r="H117" s="140">
        <f t="shared" si="97"/>
        <v>3.0227347788282265E-4</v>
      </c>
      <c r="I117" s="140">
        <f t="shared" si="97"/>
        <v>2.1807125841254971E-4</v>
      </c>
      <c r="J117" s="140">
        <f t="shared" si="97"/>
        <v>1.615123666835114E-4</v>
      </c>
      <c r="K117" s="140">
        <f t="shared" si="97"/>
        <v>1.1013880227744261E-4</v>
      </c>
      <c r="L117" s="140">
        <f t="shared" si="97"/>
        <v>6.1497246301939806E-5</v>
      </c>
      <c r="M117" s="140">
        <f t="shared" si="97"/>
        <v>6.0905495572837094E-5</v>
      </c>
      <c r="N117" s="140">
        <f t="shared" si="97"/>
        <v>7.3781818284468116E-5</v>
      </c>
      <c r="O117" s="140">
        <f t="shared" si="97"/>
        <v>7.3987196007888097E-5</v>
      </c>
      <c r="P117" s="140">
        <f t="shared" si="97"/>
        <v>5.8394024353118213E-5</v>
      </c>
      <c r="Q117" s="140">
        <f t="shared" si="97"/>
        <v>2.9654824645306337E-5</v>
      </c>
      <c r="R117" s="140">
        <f t="shared" ref="R117:V120" si="98">IF(R25=0,0,R25/R$17)</f>
        <v>2.4111517087957776E-5</v>
      </c>
      <c r="S117" s="140">
        <f t="shared" si="98"/>
        <v>5.2388177298468015E-5</v>
      </c>
      <c r="T117" s="140">
        <f t="shared" si="98"/>
        <v>6.3624307742227412E-5</v>
      </c>
      <c r="U117" s="140">
        <f t="shared" si="98"/>
        <v>6.4953757438400805E-5</v>
      </c>
      <c r="V117" s="140">
        <f t="shared" si="98"/>
        <v>4.8649161932096734E-5</v>
      </c>
      <c r="W117" s="140">
        <f t="shared" si="95"/>
        <v>4.4788806512224015E-5</v>
      </c>
      <c r="X117" s="140">
        <f t="shared" si="95"/>
        <v>6.6689949721510593E-5</v>
      </c>
      <c r="Y117" s="140">
        <f t="shared" si="95"/>
        <v>5.6437247124167228E-5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0</v>
      </c>
      <c r="C118" s="124">
        <f t="shared" si="99"/>
        <v>0</v>
      </c>
      <c r="D118" s="124">
        <f t="shared" si="99"/>
        <v>0</v>
      </c>
      <c r="E118" s="124">
        <f t="shared" si="99"/>
        <v>0</v>
      </c>
      <c r="F118" s="124">
        <f t="shared" si="99"/>
        <v>0</v>
      </c>
      <c r="G118" s="124">
        <f t="shared" si="99"/>
        <v>0</v>
      </c>
      <c r="H118" s="124">
        <f t="shared" si="99"/>
        <v>0</v>
      </c>
      <c r="I118" s="124">
        <f t="shared" si="99"/>
        <v>0</v>
      </c>
      <c r="J118" s="124">
        <f t="shared" si="99"/>
        <v>0</v>
      </c>
      <c r="K118" s="124">
        <f t="shared" si="99"/>
        <v>0</v>
      </c>
      <c r="L118" s="124">
        <f t="shared" si="99"/>
        <v>0</v>
      </c>
      <c r="M118" s="124">
        <f t="shared" si="99"/>
        <v>0</v>
      </c>
      <c r="N118" s="124">
        <f t="shared" si="99"/>
        <v>0</v>
      </c>
      <c r="O118" s="124">
        <f t="shared" si="99"/>
        <v>0</v>
      </c>
      <c r="P118" s="124">
        <f t="shared" si="99"/>
        <v>0</v>
      </c>
      <c r="Q118" s="124">
        <f t="shared" si="99"/>
        <v>0</v>
      </c>
      <c r="R118" s="124">
        <f t="shared" si="98"/>
        <v>0</v>
      </c>
      <c r="S118" s="124">
        <f t="shared" si="98"/>
        <v>0</v>
      </c>
      <c r="T118" s="124">
        <f t="shared" si="98"/>
        <v>0</v>
      </c>
      <c r="U118" s="124">
        <f t="shared" si="98"/>
        <v>0</v>
      </c>
      <c r="V118" s="124">
        <f t="shared" si="98"/>
        <v>0</v>
      </c>
      <c r="W118" s="124">
        <f t="shared" si="95"/>
        <v>0</v>
      </c>
      <c r="X118" s="124">
        <f t="shared" si="95"/>
        <v>0</v>
      </c>
      <c r="Y118" s="124">
        <f t="shared" si="95"/>
        <v>0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0</v>
      </c>
      <c r="H119" s="140">
        <f t="shared" si="100"/>
        <v>0</v>
      </c>
      <c r="I119" s="140">
        <f t="shared" si="100"/>
        <v>0</v>
      </c>
      <c r="J119" s="140">
        <f t="shared" si="100"/>
        <v>0</v>
      </c>
      <c r="K119" s="140">
        <f t="shared" si="100"/>
        <v>0</v>
      </c>
      <c r="L119" s="140">
        <f t="shared" si="100"/>
        <v>0</v>
      </c>
      <c r="M119" s="140">
        <f t="shared" si="100"/>
        <v>0</v>
      </c>
      <c r="N119" s="140">
        <f t="shared" si="100"/>
        <v>0</v>
      </c>
      <c r="O119" s="140">
        <f t="shared" si="100"/>
        <v>0</v>
      </c>
      <c r="P119" s="140">
        <f t="shared" si="100"/>
        <v>0</v>
      </c>
      <c r="Q119" s="140">
        <f t="shared" si="100"/>
        <v>0</v>
      </c>
      <c r="R119" s="140">
        <f t="shared" si="98"/>
        <v>0</v>
      </c>
      <c r="S119" s="140">
        <f t="shared" si="98"/>
        <v>0</v>
      </c>
      <c r="T119" s="140">
        <f t="shared" si="98"/>
        <v>0</v>
      </c>
      <c r="U119" s="140">
        <f t="shared" si="98"/>
        <v>0</v>
      </c>
      <c r="V119" s="140">
        <f t="shared" si="98"/>
        <v>0</v>
      </c>
      <c r="W119" s="140">
        <f t="shared" si="95"/>
        <v>0</v>
      </c>
      <c r="X119" s="140">
        <f t="shared" si="95"/>
        <v>0</v>
      </c>
      <c r="Y119" s="140">
        <f t="shared" si="95"/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0</v>
      </c>
      <c r="W120" s="127">
        <f t="shared" si="95"/>
        <v>0</v>
      </c>
      <c r="X120" s="127">
        <f t="shared" si="95"/>
        <v>0</v>
      </c>
      <c r="Y120" s="127">
        <f t="shared" si="95"/>
        <v>0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0</v>
      </c>
      <c r="C121" s="31">
        <f t="shared" si="102"/>
        <v>0</v>
      </c>
      <c r="D121" s="31">
        <f t="shared" si="102"/>
        <v>0</v>
      </c>
      <c r="E121" s="31">
        <f t="shared" si="102"/>
        <v>0</v>
      </c>
      <c r="F121" s="31">
        <f t="shared" si="102"/>
        <v>0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0</v>
      </c>
      <c r="Y121" s="31">
        <f t="shared" si="102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</v>
      </c>
      <c r="C122" s="140">
        <f t="shared" si="103"/>
        <v>0</v>
      </c>
      <c r="D122" s="140">
        <f t="shared" si="103"/>
        <v>0</v>
      </c>
      <c r="E122" s="140">
        <f t="shared" si="103"/>
        <v>0</v>
      </c>
      <c r="F122" s="140">
        <f t="shared" si="103"/>
        <v>0</v>
      </c>
      <c r="G122" s="140">
        <f t="shared" si="103"/>
        <v>0.16003620799331622</v>
      </c>
      <c r="H122" s="140">
        <f t="shared" si="103"/>
        <v>0.15973939801716638</v>
      </c>
      <c r="I122" s="140">
        <f t="shared" si="103"/>
        <v>0.14637614014171296</v>
      </c>
      <c r="J122" s="140">
        <f t="shared" si="103"/>
        <v>0.14523755990670748</v>
      </c>
      <c r="K122" s="140">
        <f t="shared" si="103"/>
        <v>0.15109299921307659</v>
      </c>
      <c r="L122" s="140">
        <f t="shared" si="103"/>
        <v>0.10764076179994937</v>
      </c>
      <c r="M122" s="140">
        <f t="shared" si="103"/>
        <v>8.1702671556328862E-2</v>
      </c>
      <c r="N122" s="140">
        <f t="shared" si="103"/>
        <v>0.10855315854933337</v>
      </c>
      <c r="O122" s="140">
        <f t="shared" si="103"/>
        <v>8.9333269223304423E-2</v>
      </c>
      <c r="P122" s="140">
        <f t="shared" si="103"/>
        <v>9.9460323907102327E-2</v>
      </c>
      <c r="Q122" s="140">
        <f t="shared" si="103"/>
        <v>9.609413270764379E-2</v>
      </c>
      <c r="R122" s="140">
        <f t="shared" si="103"/>
        <v>0.10592650108016168</v>
      </c>
      <c r="S122" s="140">
        <f t="shared" si="103"/>
        <v>9.4043425046562185E-2</v>
      </c>
      <c r="T122" s="140">
        <f t="shared" si="103"/>
        <v>8.5660261860675685E-2</v>
      </c>
      <c r="U122" s="140">
        <f t="shared" si="103"/>
        <v>7.8813314746973062E-2</v>
      </c>
      <c r="V122" s="140">
        <f t="shared" si="103"/>
        <v>7.4078523251929457E-2</v>
      </c>
      <c r="W122" s="140">
        <f t="shared" si="103"/>
        <v>5.5382719960478194E-2</v>
      </c>
      <c r="X122" s="140">
        <f t="shared" si="103"/>
        <v>0</v>
      </c>
      <c r="Y122" s="140">
        <f t="shared" si="103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</v>
      </c>
      <c r="C123" s="127">
        <f t="shared" si="104"/>
        <v>0</v>
      </c>
      <c r="D123" s="127">
        <f t="shared" si="104"/>
        <v>0</v>
      </c>
      <c r="E123" s="127">
        <f t="shared" si="104"/>
        <v>0</v>
      </c>
      <c r="F123" s="127">
        <f t="shared" si="104"/>
        <v>0</v>
      </c>
      <c r="G123" s="127">
        <f t="shared" si="104"/>
        <v>0.83996379200668381</v>
      </c>
      <c r="H123" s="127">
        <f t="shared" si="104"/>
        <v>0.84026060198283359</v>
      </c>
      <c r="I123" s="127">
        <f t="shared" si="104"/>
        <v>0.85362385985828715</v>
      </c>
      <c r="J123" s="127">
        <f t="shared" si="104"/>
        <v>0.8547624400932925</v>
      </c>
      <c r="K123" s="127">
        <f t="shared" si="104"/>
        <v>0.84890700078692338</v>
      </c>
      <c r="L123" s="127">
        <f t="shared" si="104"/>
        <v>0.89235923820005059</v>
      </c>
      <c r="M123" s="127">
        <f t="shared" si="104"/>
        <v>0.91829732844367107</v>
      </c>
      <c r="N123" s="127">
        <f t="shared" si="104"/>
        <v>0.89144684145066655</v>
      </c>
      <c r="O123" s="127">
        <f t="shared" si="104"/>
        <v>0.91066673077669558</v>
      </c>
      <c r="P123" s="127">
        <f t="shared" si="104"/>
        <v>0.90053967609289765</v>
      </c>
      <c r="Q123" s="127">
        <f t="shared" si="104"/>
        <v>0.90390586729235611</v>
      </c>
      <c r="R123" s="127">
        <f t="shared" si="104"/>
        <v>0.89407349891983834</v>
      </c>
      <c r="S123" s="127">
        <f t="shared" si="104"/>
        <v>0.90595657495343795</v>
      </c>
      <c r="T123" s="127">
        <f t="shared" si="104"/>
        <v>0.91433973813932423</v>
      </c>
      <c r="U123" s="127">
        <f t="shared" si="104"/>
        <v>0.92118668525302694</v>
      </c>
      <c r="V123" s="127">
        <f t="shared" si="104"/>
        <v>0.92592147674807046</v>
      </c>
      <c r="W123" s="127">
        <f t="shared" si="104"/>
        <v>0.94461728003952172</v>
      </c>
      <c r="X123" s="127">
        <f t="shared" si="104"/>
        <v>0</v>
      </c>
      <c r="Y123" s="127">
        <f t="shared" si="104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0.96848938018962338</v>
      </c>
      <c r="C127" s="139">
        <f t="shared" ref="C127:Y127" si="107">IF(C35=0,0,C35/C$34)</f>
        <v>0.96639145946720062</v>
      </c>
      <c r="D127" s="139">
        <f t="shared" si="107"/>
        <v>0.96473160678145253</v>
      </c>
      <c r="E127" s="139">
        <f t="shared" si="107"/>
        <v>0.96607140491417287</v>
      </c>
      <c r="F127" s="139">
        <f t="shared" si="107"/>
        <v>0.97034147493068956</v>
      </c>
      <c r="G127" s="139">
        <f t="shared" si="107"/>
        <v>0.96807170652305097</v>
      </c>
      <c r="H127" s="139">
        <f t="shared" si="107"/>
        <v>0.96696445578148915</v>
      </c>
      <c r="I127" s="139">
        <f t="shared" si="107"/>
        <v>0.96267217584275799</v>
      </c>
      <c r="J127" s="139">
        <f t="shared" si="107"/>
        <v>0.96229309834326116</v>
      </c>
      <c r="K127" s="139">
        <f t="shared" si="107"/>
        <v>0.96805802718419121</v>
      </c>
      <c r="L127" s="139">
        <f t="shared" si="107"/>
        <v>0.9689057989034231</v>
      </c>
      <c r="M127" s="139">
        <f t="shared" si="107"/>
        <v>0.97309208539581771</v>
      </c>
      <c r="N127" s="139">
        <f t="shared" si="107"/>
        <v>0.97239391498644789</v>
      </c>
      <c r="O127" s="139">
        <f t="shared" si="107"/>
        <v>0.97049646996582262</v>
      </c>
      <c r="P127" s="139">
        <f t="shared" si="107"/>
        <v>0.970706457869013</v>
      </c>
      <c r="Q127" s="139">
        <f t="shared" si="107"/>
        <v>0.96979136209120465</v>
      </c>
      <c r="R127" s="139">
        <f t="shared" si="107"/>
        <v>0.97340363457415202</v>
      </c>
      <c r="S127" s="139">
        <f t="shared" si="107"/>
        <v>0.96731619724705853</v>
      </c>
      <c r="T127" s="139">
        <f t="shared" si="107"/>
        <v>0.9638001714055493</v>
      </c>
      <c r="U127" s="139">
        <f t="shared" si="107"/>
        <v>0.97014045524006964</v>
      </c>
      <c r="V127" s="139">
        <f t="shared" si="107"/>
        <v>0.98419142855150865</v>
      </c>
      <c r="W127" s="139">
        <f t="shared" si="107"/>
        <v>0.98069475657975225</v>
      </c>
      <c r="X127" s="139">
        <f t="shared" si="107"/>
        <v>0.97484399231485708</v>
      </c>
      <c r="Y127" s="139">
        <f t="shared" si="107"/>
        <v>0.97529097136992371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3.1538218513627457E-3</v>
      </c>
      <c r="C128" s="140">
        <f t="shared" ref="C128:Y128" si="108">IF(C36=0,0,C36/C$34)</f>
        <v>2.9433181517691236E-3</v>
      </c>
      <c r="D128" s="140">
        <f t="shared" si="108"/>
        <v>2.8726288481781088E-3</v>
      </c>
      <c r="E128" s="140">
        <f t="shared" si="108"/>
        <v>3.5031468685569082E-3</v>
      </c>
      <c r="F128" s="140">
        <f t="shared" si="108"/>
        <v>4.1002604016811576E-3</v>
      </c>
      <c r="G128" s="140">
        <f t="shared" si="108"/>
        <v>4.4168794633997902E-3</v>
      </c>
      <c r="H128" s="140">
        <f t="shared" si="108"/>
        <v>4.8211790064362076E-3</v>
      </c>
      <c r="I128" s="140">
        <f t="shared" si="108"/>
        <v>5.1599419165925349E-3</v>
      </c>
      <c r="J128" s="140">
        <f t="shared" si="108"/>
        <v>5.1597031473933855E-3</v>
      </c>
      <c r="K128" s="140">
        <f t="shared" si="108"/>
        <v>5.6488661525956885E-3</v>
      </c>
      <c r="L128" s="140">
        <f t="shared" si="108"/>
        <v>6.8141179732219784E-3</v>
      </c>
      <c r="M128" s="140">
        <f t="shared" si="108"/>
        <v>7.9286055578858521E-3</v>
      </c>
      <c r="N128" s="140">
        <f t="shared" si="108"/>
        <v>7.4198771415324282E-3</v>
      </c>
      <c r="O128" s="140">
        <f t="shared" si="108"/>
        <v>6.7375830290432046E-3</v>
      </c>
      <c r="P128" s="140">
        <f t="shared" si="108"/>
        <v>6.8731783236251065E-3</v>
      </c>
      <c r="Q128" s="140">
        <f t="shared" si="108"/>
        <v>7.2337478398157191E-3</v>
      </c>
      <c r="R128" s="140">
        <f t="shared" si="108"/>
        <v>7.4303345487785099E-3</v>
      </c>
      <c r="S128" s="140">
        <f t="shared" si="108"/>
        <v>6.9748348309503936E-3</v>
      </c>
      <c r="T128" s="140">
        <f t="shared" si="108"/>
        <v>6.4095710381861185E-3</v>
      </c>
      <c r="U128" s="140">
        <f t="shared" si="108"/>
        <v>6.7914477391493892E-3</v>
      </c>
      <c r="V128" s="140">
        <f t="shared" si="108"/>
        <v>7.3190127773483269E-3</v>
      </c>
      <c r="W128" s="140">
        <f t="shared" si="108"/>
        <v>7.0078361684415445E-3</v>
      </c>
      <c r="X128" s="140">
        <f t="shared" si="108"/>
        <v>6.4580487949854604E-3</v>
      </c>
      <c r="Y128" s="140">
        <f t="shared" si="108"/>
        <v>6.7426158798686046E-3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0.89389192054655042</v>
      </c>
      <c r="C129" s="140">
        <f t="shared" ref="C129:Y129" si="109">IF(C37=0,0,C37/C$34)</f>
        <v>0.89815823983165011</v>
      </c>
      <c r="D129" s="140">
        <f t="shared" si="109"/>
        <v>0.90005805342012835</v>
      </c>
      <c r="E129" s="140">
        <f t="shared" si="109"/>
        <v>0.90156795249000043</v>
      </c>
      <c r="F129" s="140">
        <f t="shared" si="109"/>
        <v>0.90160626525433674</v>
      </c>
      <c r="G129" s="140">
        <f t="shared" si="109"/>
        <v>0.90303162698522421</v>
      </c>
      <c r="H129" s="140">
        <f t="shared" si="109"/>
        <v>0.90253403347866068</v>
      </c>
      <c r="I129" s="140">
        <f t="shared" si="109"/>
        <v>0.89952095742406935</v>
      </c>
      <c r="J129" s="140">
        <f t="shared" si="109"/>
        <v>0.90276191116828697</v>
      </c>
      <c r="K129" s="140">
        <f t="shared" si="109"/>
        <v>0.90586077298419743</v>
      </c>
      <c r="L129" s="140">
        <f t="shared" si="109"/>
        <v>0.90668378303936015</v>
      </c>
      <c r="M129" s="140">
        <f t="shared" si="109"/>
        <v>0.90892473981497446</v>
      </c>
      <c r="N129" s="140">
        <f t="shared" si="109"/>
        <v>0.90746696753663025</v>
      </c>
      <c r="O129" s="140">
        <f t="shared" si="109"/>
        <v>0.90344614358273168</v>
      </c>
      <c r="P129" s="140">
        <f t="shared" si="109"/>
        <v>0.90305489257125382</v>
      </c>
      <c r="Q129" s="140">
        <f t="shared" si="109"/>
        <v>0.89977807367525597</v>
      </c>
      <c r="R129" s="140">
        <f t="shared" si="109"/>
        <v>0.90524289262874202</v>
      </c>
      <c r="S129" s="140">
        <f t="shared" si="109"/>
        <v>0.89922645204939089</v>
      </c>
      <c r="T129" s="140">
        <f t="shared" si="109"/>
        <v>0.89907374094916892</v>
      </c>
      <c r="U129" s="140">
        <f t="shared" si="109"/>
        <v>0.90153824520690151</v>
      </c>
      <c r="V129" s="140">
        <f t="shared" si="109"/>
        <v>0.93097201946563013</v>
      </c>
      <c r="W129" s="140">
        <f t="shared" si="109"/>
        <v>0.92413382078285999</v>
      </c>
      <c r="X129" s="140">
        <f t="shared" si="109"/>
        <v>0.91455975188478189</v>
      </c>
      <c r="Y129" s="140">
        <f t="shared" si="109"/>
        <v>0.91306222095641432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7.1443637791710382E-2</v>
      </c>
      <c r="C130" s="140">
        <f t="shared" ref="C130:Y130" si="110">IF(C38=0,0,C38/C$34)</f>
        <v>6.5289901483781373E-2</v>
      </c>
      <c r="D130" s="140">
        <f t="shared" si="110"/>
        <v>6.1800924513146054E-2</v>
      </c>
      <c r="E130" s="140">
        <f t="shared" si="110"/>
        <v>6.1000305555615524E-2</v>
      </c>
      <c r="F130" s="140">
        <f t="shared" si="110"/>
        <v>6.4634949274671755E-2</v>
      </c>
      <c r="G130" s="140">
        <f t="shared" si="110"/>
        <v>6.0623200074427057E-2</v>
      </c>
      <c r="H130" s="140">
        <f t="shared" si="110"/>
        <v>5.9609243296392132E-2</v>
      </c>
      <c r="I130" s="140">
        <f t="shared" si="110"/>
        <v>5.7991276502096178E-2</v>
      </c>
      <c r="J130" s="140">
        <f t="shared" si="110"/>
        <v>5.4371484027580859E-2</v>
      </c>
      <c r="K130" s="140">
        <f t="shared" si="110"/>
        <v>5.6548388047398084E-2</v>
      </c>
      <c r="L130" s="140">
        <f t="shared" si="110"/>
        <v>5.5407897890840843E-2</v>
      </c>
      <c r="M130" s="140">
        <f t="shared" si="110"/>
        <v>5.6238740022957583E-2</v>
      </c>
      <c r="N130" s="140">
        <f t="shared" si="110"/>
        <v>5.7507070308285224E-2</v>
      </c>
      <c r="O130" s="140">
        <f t="shared" si="110"/>
        <v>6.0312743354047814E-2</v>
      </c>
      <c r="P130" s="140">
        <f t="shared" si="110"/>
        <v>6.0778386974134041E-2</v>
      </c>
      <c r="Q130" s="140">
        <f t="shared" si="110"/>
        <v>6.2779540576132997E-2</v>
      </c>
      <c r="R130" s="140">
        <f t="shared" si="110"/>
        <v>6.0730407396631561E-2</v>
      </c>
      <c r="S130" s="140">
        <f t="shared" si="110"/>
        <v>6.1114910366717179E-2</v>
      </c>
      <c r="T130" s="140">
        <f t="shared" si="110"/>
        <v>5.8316859418194394E-2</v>
      </c>
      <c r="U130" s="140">
        <f t="shared" si="110"/>
        <v>6.1810762294018849E-2</v>
      </c>
      <c r="V130" s="140">
        <f t="shared" si="110"/>
        <v>4.590039630853017E-2</v>
      </c>
      <c r="W130" s="140">
        <f t="shared" si="110"/>
        <v>4.955309962845067E-2</v>
      </c>
      <c r="X130" s="140">
        <f t="shared" si="110"/>
        <v>5.3826191635089594E-2</v>
      </c>
      <c r="Y130" s="140">
        <f t="shared" si="110"/>
        <v>5.5486134533640846E-2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9.044876696204485E-3</v>
      </c>
      <c r="C131" s="124">
        <f t="shared" ref="C131:Y131" si="111">IF(C39=0,0,C39/C$34)</f>
        <v>9.1845746245864512E-3</v>
      </c>
      <c r="D131" s="124">
        <f t="shared" si="111"/>
        <v>9.4394955670972988E-3</v>
      </c>
      <c r="E131" s="124">
        <f t="shared" si="111"/>
        <v>1.0496248119913627E-2</v>
      </c>
      <c r="F131" s="124">
        <f t="shared" si="111"/>
        <v>1.1268564050483536E-2</v>
      </c>
      <c r="G131" s="124">
        <f t="shared" si="111"/>
        <v>1.1228026206830626E-2</v>
      </c>
      <c r="H131" s="124">
        <f t="shared" si="111"/>
        <v>1.0995418707052618E-2</v>
      </c>
      <c r="I131" s="124">
        <f t="shared" si="111"/>
        <v>1.0729916914044978E-2</v>
      </c>
      <c r="J131" s="124">
        <f t="shared" si="111"/>
        <v>9.7726225773212706E-3</v>
      </c>
      <c r="K131" s="124">
        <f t="shared" si="111"/>
        <v>9.0534870258050307E-3</v>
      </c>
      <c r="L131" s="124">
        <f t="shared" si="111"/>
        <v>8.6218695526636014E-3</v>
      </c>
      <c r="M131" s="124">
        <f t="shared" si="111"/>
        <v>7.8383896914185573E-3</v>
      </c>
      <c r="N131" s="124">
        <f t="shared" si="111"/>
        <v>8.0551326923018248E-3</v>
      </c>
      <c r="O131" s="124">
        <f t="shared" si="111"/>
        <v>7.7394431585373971E-3</v>
      </c>
      <c r="P131" s="124">
        <f t="shared" si="111"/>
        <v>7.3458262625765471E-3</v>
      </c>
      <c r="Q131" s="124">
        <f t="shared" si="111"/>
        <v>8.4048547296584619E-3</v>
      </c>
      <c r="R131" s="124">
        <f t="shared" si="111"/>
        <v>8.2749144690514222E-3</v>
      </c>
      <c r="S131" s="124">
        <f t="shared" si="111"/>
        <v>1.1437217085652335E-2</v>
      </c>
      <c r="T131" s="124">
        <f t="shared" si="111"/>
        <v>8.3791470134113276E-3</v>
      </c>
      <c r="U131" s="124">
        <f t="shared" si="111"/>
        <v>8.208453702614504E-3</v>
      </c>
      <c r="V131" s="124">
        <f t="shared" si="111"/>
        <v>6.8206705325923227E-3</v>
      </c>
      <c r="W131" s="124">
        <f t="shared" si="111"/>
        <v>1.0282670857434343E-2</v>
      </c>
      <c r="X131" s="124">
        <f t="shared" si="111"/>
        <v>7.7464793800805475E-3</v>
      </c>
      <c r="Y131" s="124">
        <f t="shared" si="111"/>
        <v>9.5916663743954196E-3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0</v>
      </c>
      <c r="C132" s="140">
        <f t="shared" ref="C132:Y132" si="112">IF(C40=0,0,C40/C$34)</f>
        <v>0</v>
      </c>
      <c r="D132" s="140">
        <f t="shared" si="112"/>
        <v>0</v>
      </c>
      <c r="E132" s="140">
        <f t="shared" si="112"/>
        <v>0</v>
      </c>
      <c r="F132" s="140">
        <f t="shared" si="112"/>
        <v>0</v>
      </c>
      <c r="G132" s="140">
        <f t="shared" si="112"/>
        <v>0</v>
      </c>
      <c r="H132" s="140">
        <f t="shared" si="112"/>
        <v>0</v>
      </c>
      <c r="I132" s="140">
        <f t="shared" si="112"/>
        <v>0</v>
      </c>
      <c r="J132" s="140">
        <f t="shared" si="112"/>
        <v>0</v>
      </c>
      <c r="K132" s="140">
        <f t="shared" si="112"/>
        <v>0</v>
      </c>
      <c r="L132" s="140">
        <f t="shared" si="112"/>
        <v>0</v>
      </c>
      <c r="M132" s="140">
        <f t="shared" si="112"/>
        <v>0</v>
      </c>
      <c r="N132" s="140">
        <f t="shared" si="112"/>
        <v>0</v>
      </c>
      <c r="O132" s="140">
        <f t="shared" si="112"/>
        <v>0</v>
      </c>
      <c r="P132" s="140">
        <f t="shared" si="112"/>
        <v>0</v>
      </c>
      <c r="Q132" s="140">
        <f t="shared" si="112"/>
        <v>0</v>
      </c>
      <c r="R132" s="140">
        <f t="shared" si="112"/>
        <v>0</v>
      </c>
      <c r="S132" s="140">
        <f t="shared" si="112"/>
        <v>0</v>
      </c>
      <c r="T132" s="140">
        <f t="shared" si="112"/>
        <v>0</v>
      </c>
      <c r="U132" s="140">
        <f t="shared" si="112"/>
        <v>0</v>
      </c>
      <c r="V132" s="140">
        <f t="shared" si="112"/>
        <v>0</v>
      </c>
      <c r="W132" s="140">
        <f t="shared" si="112"/>
        <v>0</v>
      </c>
      <c r="X132" s="140">
        <f t="shared" si="112"/>
        <v>0</v>
      </c>
      <c r="Y132" s="140">
        <f t="shared" si="112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9.044876696204485E-3</v>
      </c>
      <c r="C133" s="140">
        <f t="shared" ref="C133:Y133" si="113">IF(C41=0,0,C41/C$34)</f>
        <v>9.1845746245864512E-3</v>
      </c>
      <c r="D133" s="140">
        <f t="shared" si="113"/>
        <v>9.4394955670972988E-3</v>
      </c>
      <c r="E133" s="140">
        <f t="shared" si="113"/>
        <v>1.0496248119913627E-2</v>
      </c>
      <c r="F133" s="140">
        <f t="shared" si="113"/>
        <v>1.1268564050483536E-2</v>
      </c>
      <c r="G133" s="140">
        <f t="shared" si="113"/>
        <v>1.1228026206830626E-2</v>
      </c>
      <c r="H133" s="140">
        <f t="shared" si="113"/>
        <v>1.0995418707052618E-2</v>
      </c>
      <c r="I133" s="140">
        <f t="shared" si="113"/>
        <v>1.0729916914044978E-2</v>
      </c>
      <c r="J133" s="140">
        <f t="shared" si="113"/>
        <v>9.6480991200890934E-3</v>
      </c>
      <c r="K133" s="140">
        <f t="shared" si="113"/>
        <v>8.9170193624986474E-3</v>
      </c>
      <c r="L133" s="140">
        <f t="shared" si="113"/>
        <v>8.4949925337908395E-3</v>
      </c>
      <c r="M133" s="140">
        <f t="shared" si="113"/>
        <v>7.7304583617812369E-3</v>
      </c>
      <c r="N133" s="140">
        <f t="shared" si="113"/>
        <v>7.9531051683912578E-3</v>
      </c>
      <c r="O133" s="140">
        <f t="shared" si="113"/>
        <v>7.6447274181022729E-3</v>
      </c>
      <c r="P133" s="140">
        <f t="shared" si="113"/>
        <v>7.2788634741661126E-3</v>
      </c>
      <c r="Q133" s="140">
        <f t="shared" si="113"/>
        <v>8.3557676092132164E-3</v>
      </c>
      <c r="R133" s="140">
        <f t="shared" si="113"/>
        <v>8.2413205802284572E-3</v>
      </c>
      <c r="S133" s="140">
        <f t="shared" si="113"/>
        <v>1.1424933111766523E-2</v>
      </c>
      <c r="T133" s="140">
        <f t="shared" si="113"/>
        <v>8.3654101035960347E-3</v>
      </c>
      <c r="U133" s="140">
        <f t="shared" si="113"/>
        <v>8.1953759123590576E-3</v>
      </c>
      <c r="V133" s="140">
        <f t="shared" si="113"/>
        <v>6.8109994813645757E-3</v>
      </c>
      <c r="W133" s="140">
        <f t="shared" si="113"/>
        <v>9.9624625575955705E-3</v>
      </c>
      <c r="X133" s="140">
        <f t="shared" si="113"/>
        <v>7.4264608301053943E-3</v>
      </c>
      <c r="Y133" s="140">
        <f t="shared" si="113"/>
        <v>8.9160285529733662E-3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1.2452345723217831E-4</v>
      </c>
      <c r="K134" s="140">
        <f t="shared" si="114"/>
        <v>1.3646766330638281E-4</v>
      </c>
      <c r="L134" s="140">
        <f t="shared" si="114"/>
        <v>1.2687701887276301E-4</v>
      </c>
      <c r="M134" s="140">
        <f t="shared" si="114"/>
        <v>1.0793132963732059E-4</v>
      </c>
      <c r="N134" s="140">
        <f t="shared" si="114"/>
        <v>1.0202752391056739E-4</v>
      </c>
      <c r="O134" s="140">
        <f t="shared" si="114"/>
        <v>9.4715740435123781E-5</v>
      </c>
      <c r="P134" s="140">
        <f t="shared" si="114"/>
        <v>6.6962788410434147E-5</v>
      </c>
      <c r="Q134" s="140">
        <f t="shared" si="114"/>
        <v>4.9087120445244666E-5</v>
      </c>
      <c r="R134" s="140">
        <f t="shared" si="114"/>
        <v>3.3593888822963589E-5</v>
      </c>
      <c r="S134" s="140">
        <f t="shared" si="114"/>
        <v>1.2283973885812231E-5</v>
      </c>
      <c r="T134" s="140">
        <f t="shared" si="114"/>
        <v>1.3736909815292888E-5</v>
      </c>
      <c r="U134" s="140">
        <f t="shared" si="114"/>
        <v>1.3077790255446531E-5</v>
      </c>
      <c r="V134" s="140">
        <f t="shared" si="114"/>
        <v>9.6710512277471549E-6</v>
      </c>
      <c r="W134" s="140">
        <f t="shared" si="114"/>
        <v>3.2020829983877251E-4</v>
      </c>
      <c r="X134" s="140">
        <f t="shared" si="114"/>
        <v>3.2001854997515221E-4</v>
      </c>
      <c r="Y134" s="140">
        <f t="shared" si="114"/>
        <v>6.7563782142205449E-4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2.2465743114171974E-2</v>
      </c>
      <c r="C135" s="124">
        <f t="shared" ref="C135:Y135" si="115">IF(C43=0,0,C43/C$34)</f>
        <v>2.4423965908212893E-2</v>
      </c>
      <c r="D135" s="124">
        <f t="shared" si="115"/>
        <v>2.582889765145013E-2</v>
      </c>
      <c r="E135" s="124">
        <f t="shared" si="115"/>
        <v>2.3432346965913377E-2</v>
      </c>
      <c r="F135" s="124">
        <f t="shared" si="115"/>
        <v>1.838996101882687E-2</v>
      </c>
      <c r="G135" s="124">
        <f t="shared" si="115"/>
        <v>2.0700267270118519E-2</v>
      </c>
      <c r="H135" s="124">
        <f t="shared" si="115"/>
        <v>2.2040125511458199E-2</v>
      </c>
      <c r="I135" s="124">
        <f t="shared" si="115"/>
        <v>2.659790724319713E-2</v>
      </c>
      <c r="J135" s="124">
        <f t="shared" si="115"/>
        <v>2.7934279079417534E-2</v>
      </c>
      <c r="K135" s="124">
        <f t="shared" si="115"/>
        <v>2.2888485790003615E-2</v>
      </c>
      <c r="L135" s="124">
        <f t="shared" si="115"/>
        <v>2.2472331543913347E-2</v>
      </c>
      <c r="M135" s="124">
        <f t="shared" si="115"/>
        <v>1.9069524912763709E-2</v>
      </c>
      <c r="N135" s="124">
        <f t="shared" si="115"/>
        <v>1.9550952321250262E-2</v>
      </c>
      <c r="O135" s="124">
        <f t="shared" si="115"/>
        <v>2.1764086875639806E-2</v>
      </c>
      <c r="P135" s="124">
        <f t="shared" si="115"/>
        <v>2.194771586841035E-2</v>
      </c>
      <c r="Q135" s="124">
        <f t="shared" si="115"/>
        <v>2.1803783179136955E-2</v>
      </c>
      <c r="R135" s="124">
        <f t="shared" si="115"/>
        <v>1.8321450956796635E-2</v>
      </c>
      <c r="S135" s="124">
        <f t="shared" si="115"/>
        <v>2.1246585667289063E-2</v>
      </c>
      <c r="T135" s="124">
        <f t="shared" si="115"/>
        <v>2.7820681581039397E-2</v>
      </c>
      <c r="U135" s="124">
        <f t="shared" si="115"/>
        <v>2.165109105731582E-2</v>
      </c>
      <c r="V135" s="124">
        <f t="shared" si="115"/>
        <v>8.9879009158991205E-3</v>
      </c>
      <c r="W135" s="124">
        <f t="shared" si="115"/>
        <v>9.0225725628134482E-3</v>
      </c>
      <c r="X135" s="124">
        <f t="shared" si="115"/>
        <v>1.7409528305062472E-2</v>
      </c>
      <c r="Y135" s="124">
        <f t="shared" si="115"/>
        <v>1.5117362255680705E-2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1.3769249048544294E-2</v>
      </c>
      <c r="C137" s="140">
        <f t="shared" ref="C137:Y137" si="117">IF(C45=0,0,C45/C$34)</f>
        <v>1.4967978340965488E-2</v>
      </c>
      <c r="D137" s="140">
        <f t="shared" si="117"/>
        <v>1.5829703780047836E-2</v>
      </c>
      <c r="E137" s="140">
        <f t="shared" si="117"/>
        <v>1.4361728148066999E-2</v>
      </c>
      <c r="F137" s="140">
        <f t="shared" si="117"/>
        <v>1.1271334628206059E-2</v>
      </c>
      <c r="G137" s="140">
        <f t="shared" si="117"/>
        <v>1.2847063520860371E-2</v>
      </c>
      <c r="H137" s="140">
        <f t="shared" si="117"/>
        <v>1.4033733924366208E-2</v>
      </c>
      <c r="I137" s="140">
        <f t="shared" si="117"/>
        <v>1.7154794454335931E-2</v>
      </c>
      <c r="J137" s="140">
        <f t="shared" si="117"/>
        <v>1.77767343965387E-2</v>
      </c>
      <c r="K137" s="140">
        <f t="shared" si="117"/>
        <v>1.420694893483403E-2</v>
      </c>
      <c r="L137" s="140">
        <f t="shared" si="117"/>
        <v>1.3742453065048262E-2</v>
      </c>
      <c r="M137" s="140">
        <f t="shared" si="117"/>
        <v>1.1652101366566346E-2</v>
      </c>
      <c r="N137" s="140">
        <f t="shared" si="117"/>
        <v>1.1804043465633648E-2</v>
      </c>
      <c r="O137" s="140">
        <f t="shared" si="117"/>
        <v>1.3233033785423594E-2</v>
      </c>
      <c r="P137" s="140">
        <f t="shared" si="117"/>
        <v>1.3372455250036601E-2</v>
      </c>
      <c r="Q137" s="140">
        <f t="shared" si="117"/>
        <v>1.3615390216878234E-2</v>
      </c>
      <c r="R137" s="140">
        <f t="shared" si="117"/>
        <v>1.1619326150417912E-2</v>
      </c>
      <c r="S137" s="140">
        <f t="shared" si="117"/>
        <v>1.3892057001283965E-2</v>
      </c>
      <c r="T137" s="140">
        <f t="shared" si="117"/>
        <v>1.8108231126546647E-2</v>
      </c>
      <c r="U137" s="140">
        <f t="shared" si="117"/>
        <v>1.3650461551887014E-2</v>
      </c>
      <c r="V137" s="140">
        <f t="shared" si="117"/>
        <v>4.8067321710834896E-3</v>
      </c>
      <c r="W137" s="140">
        <f t="shared" si="117"/>
        <v>5.1951189027660645E-3</v>
      </c>
      <c r="X137" s="140">
        <f t="shared" si="117"/>
        <v>1.1104047945780706E-2</v>
      </c>
      <c r="Y137" s="140">
        <f t="shared" si="117"/>
        <v>9.5668558007928374E-3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8.6964940656276777E-3</v>
      </c>
      <c r="C138" s="140">
        <f t="shared" ref="C138:Y138" si="118">IF(C46=0,0,C46/C$34)</f>
        <v>9.4559875672474043E-3</v>
      </c>
      <c r="D138" s="140">
        <f t="shared" si="118"/>
        <v>9.9991938714022958E-3</v>
      </c>
      <c r="E138" s="140">
        <f t="shared" si="118"/>
        <v>9.0706188178463782E-3</v>
      </c>
      <c r="F138" s="140">
        <f t="shared" si="118"/>
        <v>7.1186263906208094E-3</v>
      </c>
      <c r="G138" s="140">
        <f t="shared" si="118"/>
        <v>7.8532037492581482E-3</v>
      </c>
      <c r="H138" s="140">
        <f t="shared" si="118"/>
        <v>8.0063915870919912E-3</v>
      </c>
      <c r="I138" s="140">
        <f t="shared" si="118"/>
        <v>9.4431127888612021E-3</v>
      </c>
      <c r="J138" s="140">
        <f t="shared" si="118"/>
        <v>1.0157544682878833E-2</v>
      </c>
      <c r="K138" s="140">
        <f t="shared" si="118"/>
        <v>8.6815368551695846E-3</v>
      </c>
      <c r="L138" s="140">
        <f t="shared" si="118"/>
        <v>8.7298784788650829E-3</v>
      </c>
      <c r="M138" s="140">
        <f t="shared" si="118"/>
        <v>7.4174235461973628E-3</v>
      </c>
      <c r="N138" s="140">
        <f t="shared" si="118"/>
        <v>7.7469088556166152E-3</v>
      </c>
      <c r="O138" s="140">
        <f t="shared" si="118"/>
        <v>8.5310530902162115E-3</v>
      </c>
      <c r="P138" s="140">
        <f t="shared" si="118"/>
        <v>8.5752606183737475E-3</v>
      </c>
      <c r="Q138" s="140">
        <f t="shared" si="118"/>
        <v>8.1883929622587216E-3</v>
      </c>
      <c r="R138" s="140">
        <f t="shared" si="118"/>
        <v>6.7021248063787219E-3</v>
      </c>
      <c r="S138" s="140">
        <f t="shared" si="118"/>
        <v>7.3545286660050982E-3</v>
      </c>
      <c r="T138" s="140">
        <f t="shared" si="118"/>
        <v>9.7124504544927517E-3</v>
      </c>
      <c r="U138" s="140">
        <f t="shared" si="118"/>
        <v>8.0006295054288069E-3</v>
      </c>
      <c r="V138" s="140">
        <f t="shared" si="118"/>
        <v>4.18116874481563E-3</v>
      </c>
      <c r="W138" s="140">
        <f t="shared" si="118"/>
        <v>3.8274536600473833E-3</v>
      </c>
      <c r="X138" s="140">
        <f t="shared" si="118"/>
        <v>6.3054803592817654E-3</v>
      </c>
      <c r="Y138" s="140">
        <f t="shared" si="118"/>
        <v>5.5505064548878663E-3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0.88770966674335083</v>
      </c>
      <c r="C140" s="139">
        <f t="shared" ref="C140:Y140" si="121">IF(C48=0,0,C48/C$47)</f>
        <v>0.9167275904196116</v>
      </c>
      <c r="D140" s="139">
        <f t="shared" si="121"/>
        <v>0.91864628892700739</v>
      </c>
      <c r="E140" s="139">
        <f t="shared" si="121"/>
        <v>0.93322062197789291</v>
      </c>
      <c r="F140" s="139">
        <f t="shared" si="121"/>
        <v>0.95029741473775686</v>
      </c>
      <c r="G140" s="139">
        <f t="shared" si="121"/>
        <v>0.95708256508837886</v>
      </c>
      <c r="H140" s="139">
        <f t="shared" si="121"/>
        <v>0.9613792629773511</v>
      </c>
      <c r="I140" s="139">
        <f t="shared" si="121"/>
        <v>0.97134365682681845</v>
      </c>
      <c r="J140" s="139">
        <f t="shared" si="121"/>
        <v>0.98221677454598078</v>
      </c>
      <c r="K140" s="139">
        <f t="shared" si="121"/>
        <v>0.97921859649854082</v>
      </c>
      <c r="L140" s="139">
        <f t="shared" si="121"/>
        <v>0.97730205129238501</v>
      </c>
      <c r="M140" s="139">
        <f t="shared" si="121"/>
        <v>0.97858704836305654</v>
      </c>
      <c r="N140" s="139">
        <f t="shared" si="121"/>
        <v>0.98204054320015377</v>
      </c>
      <c r="O140" s="139">
        <f t="shared" si="121"/>
        <v>0.97870052845410638</v>
      </c>
      <c r="P140" s="139">
        <f t="shared" si="121"/>
        <v>0.97503309097259028</v>
      </c>
      <c r="Q140" s="139">
        <f t="shared" si="121"/>
        <v>0.97561144782237519</v>
      </c>
      <c r="R140" s="139">
        <f t="shared" si="121"/>
        <v>0.98008093039308375</v>
      </c>
      <c r="S140" s="139">
        <f t="shared" si="121"/>
        <v>0.97944500208329721</v>
      </c>
      <c r="T140" s="139">
        <f t="shared" si="121"/>
        <v>0.97620067740287697</v>
      </c>
      <c r="U140" s="139">
        <f t="shared" si="121"/>
        <v>0.97613899483010025</v>
      </c>
      <c r="V140" s="139">
        <f t="shared" si="121"/>
        <v>0.9705869645958316</v>
      </c>
      <c r="W140" s="139">
        <f t="shared" si="121"/>
        <v>0.97802568059863826</v>
      </c>
      <c r="X140" s="139">
        <f t="shared" si="121"/>
        <v>0.97464733746996079</v>
      </c>
      <c r="Y140" s="139">
        <f t="shared" si="121"/>
        <v>0.97326827814737094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0.3238744065261891</v>
      </c>
      <c r="C141" s="140">
        <f t="shared" ref="C141:Y141" si="122">IF(C49=0,0,C49/C$47)</f>
        <v>0.23396898156513363</v>
      </c>
      <c r="D141" s="140">
        <f t="shared" si="122"/>
        <v>0.23119586622382507</v>
      </c>
      <c r="E141" s="140">
        <f t="shared" si="122"/>
        <v>0.21322289268607575</v>
      </c>
      <c r="F141" s="140">
        <f t="shared" si="122"/>
        <v>0.17364378194289654</v>
      </c>
      <c r="G141" s="140">
        <f t="shared" si="122"/>
        <v>0.16196465076125438</v>
      </c>
      <c r="H141" s="140">
        <f t="shared" si="122"/>
        <v>0.15965032562984416</v>
      </c>
      <c r="I141" s="140">
        <f t="shared" si="122"/>
        <v>0.13106209406580083</v>
      </c>
      <c r="J141" s="140">
        <f t="shared" si="122"/>
        <v>0.10531212792064802</v>
      </c>
      <c r="K141" s="140">
        <f t="shared" si="122"/>
        <v>0.17058424875173864</v>
      </c>
      <c r="L141" s="140">
        <f t="shared" si="122"/>
        <v>0.16116833127959376</v>
      </c>
      <c r="M141" s="140">
        <f t="shared" si="122"/>
        <v>0.14470216807430347</v>
      </c>
      <c r="N141" s="140">
        <f t="shared" si="122"/>
        <v>0.13573876316325589</v>
      </c>
      <c r="O141" s="140">
        <f t="shared" si="122"/>
        <v>0.15188299029214647</v>
      </c>
      <c r="P141" s="140">
        <f t="shared" si="122"/>
        <v>0.16115381032630804</v>
      </c>
      <c r="Q141" s="140">
        <f t="shared" si="122"/>
        <v>0.17748560043252556</v>
      </c>
      <c r="R141" s="140">
        <f t="shared" si="122"/>
        <v>0.15952990625471417</v>
      </c>
      <c r="S141" s="140">
        <f t="shared" si="122"/>
        <v>0.16516422058001656</v>
      </c>
      <c r="T141" s="140">
        <f t="shared" si="122"/>
        <v>0.17268632655266627</v>
      </c>
      <c r="U141" s="140">
        <f t="shared" si="122"/>
        <v>0.19470724460314087</v>
      </c>
      <c r="V141" s="140">
        <f t="shared" si="122"/>
        <v>0.2540124435022123</v>
      </c>
      <c r="W141" s="140">
        <f t="shared" si="122"/>
        <v>0.21418403904976963</v>
      </c>
      <c r="X141" s="140">
        <f t="shared" si="122"/>
        <v>0.20512638108465378</v>
      </c>
      <c r="Y141" s="140">
        <f t="shared" si="122"/>
        <v>0.27362057880075857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0.56383526021716168</v>
      </c>
      <c r="C142" s="140">
        <f t="shared" ref="C142:Y142" si="123">IF(C50=0,0,C50/C$47)</f>
        <v>0.68275860885447803</v>
      </c>
      <c r="D142" s="140">
        <f t="shared" si="123"/>
        <v>0.68745042270318235</v>
      </c>
      <c r="E142" s="140">
        <f t="shared" si="123"/>
        <v>0.71999772929181716</v>
      </c>
      <c r="F142" s="140">
        <f t="shared" si="123"/>
        <v>0.77665363279486022</v>
      </c>
      <c r="G142" s="140">
        <f t="shared" si="123"/>
        <v>0.79511791432712442</v>
      </c>
      <c r="H142" s="140">
        <f t="shared" si="123"/>
        <v>0.80172893734750694</v>
      </c>
      <c r="I142" s="140">
        <f t="shared" si="123"/>
        <v>0.84028156276101773</v>
      </c>
      <c r="J142" s="140">
        <f t="shared" si="123"/>
        <v>0.87690464662533285</v>
      </c>
      <c r="K142" s="140">
        <f t="shared" si="123"/>
        <v>0.80863434774680221</v>
      </c>
      <c r="L142" s="140">
        <f t="shared" si="123"/>
        <v>0.81613372001279127</v>
      </c>
      <c r="M142" s="140">
        <f t="shared" si="123"/>
        <v>0.83388488028875307</v>
      </c>
      <c r="N142" s="140">
        <f t="shared" si="123"/>
        <v>0.84630178003689793</v>
      </c>
      <c r="O142" s="140">
        <f t="shared" si="123"/>
        <v>0.82681753816195991</v>
      </c>
      <c r="P142" s="140">
        <f t="shared" si="123"/>
        <v>0.81387928064628223</v>
      </c>
      <c r="Q142" s="140">
        <f t="shared" si="123"/>
        <v>0.7981258473898496</v>
      </c>
      <c r="R142" s="140">
        <f t="shared" si="123"/>
        <v>0.82055102413836967</v>
      </c>
      <c r="S142" s="140">
        <f t="shared" si="123"/>
        <v>0.81428078150328054</v>
      </c>
      <c r="T142" s="140">
        <f t="shared" si="123"/>
        <v>0.80351435085021061</v>
      </c>
      <c r="U142" s="140">
        <f t="shared" si="123"/>
        <v>0.78143175022695932</v>
      </c>
      <c r="V142" s="140">
        <f t="shared" si="123"/>
        <v>0.71657452109361941</v>
      </c>
      <c r="W142" s="140">
        <f t="shared" si="123"/>
        <v>0.76384164154886869</v>
      </c>
      <c r="X142" s="140">
        <f t="shared" si="123"/>
        <v>0.76952095638530693</v>
      </c>
      <c r="Y142" s="140">
        <f t="shared" si="123"/>
        <v>0.6996476993466122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0.10981392712467584</v>
      </c>
      <c r="C143" s="124">
        <f t="shared" ref="C143:Y143" si="124">IF(C51=0,0,C51/C$47)</f>
        <v>8.1635715636198383E-2</v>
      </c>
      <c r="D143" s="124">
        <f t="shared" si="124"/>
        <v>7.9835203208823646E-2</v>
      </c>
      <c r="E143" s="124">
        <f t="shared" si="124"/>
        <v>6.5384318746963724E-2</v>
      </c>
      <c r="F143" s="124">
        <f t="shared" si="124"/>
        <v>4.8627751154497842E-2</v>
      </c>
      <c r="G143" s="124">
        <f t="shared" si="124"/>
        <v>4.1979688979659674E-2</v>
      </c>
      <c r="H143" s="124">
        <f t="shared" si="124"/>
        <v>3.7667500083055583E-2</v>
      </c>
      <c r="I143" s="124">
        <f t="shared" si="124"/>
        <v>2.6690497880813509E-2</v>
      </c>
      <c r="J143" s="124">
        <f t="shared" si="124"/>
        <v>1.7233871877622594E-2</v>
      </c>
      <c r="K143" s="124">
        <f t="shared" si="124"/>
        <v>2.0405691042299147E-2</v>
      </c>
      <c r="L143" s="124">
        <f t="shared" si="124"/>
        <v>2.2155540172509557E-2</v>
      </c>
      <c r="M143" s="124">
        <f t="shared" si="124"/>
        <v>2.099786153903356E-2</v>
      </c>
      <c r="N143" s="124">
        <f t="shared" si="124"/>
        <v>1.749787532194334E-2</v>
      </c>
      <c r="O143" s="124">
        <f t="shared" si="124"/>
        <v>2.0752277639652275E-2</v>
      </c>
      <c r="P143" s="124">
        <f t="shared" si="124"/>
        <v>2.4472680442322651E-2</v>
      </c>
      <c r="Q143" s="124">
        <f t="shared" si="124"/>
        <v>2.384119585113435E-2</v>
      </c>
      <c r="R143" s="124">
        <f t="shared" si="124"/>
        <v>1.9564340015540058E-2</v>
      </c>
      <c r="S143" s="124">
        <f t="shared" si="124"/>
        <v>1.9962476649363795E-2</v>
      </c>
      <c r="T143" s="124">
        <f t="shared" si="124"/>
        <v>2.313424164266013E-2</v>
      </c>
      <c r="U143" s="124">
        <f t="shared" si="124"/>
        <v>2.3313558677256273E-2</v>
      </c>
      <c r="V143" s="124">
        <f t="shared" si="124"/>
        <v>2.8285555599545768E-2</v>
      </c>
      <c r="W143" s="124">
        <f t="shared" si="124"/>
        <v>2.1113896887694942E-2</v>
      </c>
      <c r="X143" s="124">
        <f t="shared" si="124"/>
        <v>2.4213751367110539E-2</v>
      </c>
      <c r="Y143" s="124">
        <f t="shared" si="124"/>
        <v>2.5768930071989479E-2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2.4764061319733563E-3</v>
      </c>
      <c r="C144" s="124">
        <f t="shared" ref="C144:Y144" si="125">IF(C52=0,0,C52/C$47)</f>
        <v>1.6366939441900829E-3</v>
      </c>
      <c r="D144" s="124">
        <f t="shared" si="125"/>
        <v>1.518507864168939E-3</v>
      </c>
      <c r="E144" s="124">
        <f t="shared" si="125"/>
        <v>1.3950592751433228E-3</v>
      </c>
      <c r="F144" s="124">
        <f t="shared" si="125"/>
        <v>1.0748341077454686E-3</v>
      </c>
      <c r="G144" s="124">
        <f t="shared" si="125"/>
        <v>9.377459319614398E-4</v>
      </c>
      <c r="H144" s="124">
        <f t="shared" si="125"/>
        <v>9.532369395932579E-4</v>
      </c>
      <c r="I144" s="124">
        <f t="shared" si="125"/>
        <v>1.9658452923681435E-3</v>
      </c>
      <c r="J144" s="124">
        <f t="shared" si="125"/>
        <v>5.4935357639667717E-4</v>
      </c>
      <c r="K144" s="124">
        <f t="shared" si="125"/>
        <v>3.7571245915996097E-4</v>
      </c>
      <c r="L144" s="124">
        <f t="shared" si="125"/>
        <v>5.4240853510541026E-4</v>
      </c>
      <c r="M144" s="124">
        <f t="shared" si="125"/>
        <v>4.1509009790989694E-4</v>
      </c>
      <c r="N144" s="124">
        <f t="shared" si="125"/>
        <v>4.6158147790292407E-4</v>
      </c>
      <c r="O144" s="124">
        <f t="shared" si="125"/>
        <v>5.4719390624130429E-4</v>
      </c>
      <c r="P144" s="124">
        <f t="shared" si="125"/>
        <v>4.942285850869383E-4</v>
      </c>
      <c r="Q144" s="124">
        <f t="shared" si="125"/>
        <v>5.4735632649049429E-4</v>
      </c>
      <c r="R144" s="124">
        <f t="shared" si="125"/>
        <v>3.5472959137622574E-4</v>
      </c>
      <c r="S144" s="124">
        <f t="shared" si="125"/>
        <v>5.9252126733897619E-4</v>
      </c>
      <c r="T144" s="124">
        <f t="shared" si="125"/>
        <v>6.6508095446289421E-4</v>
      </c>
      <c r="U144" s="124">
        <f t="shared" si="125"/>
        <v>5.4744649264355598E-4</v>
      </c>
      <c r="V144" s="124">
        <f t="shared" si="125"/>
        <v>1.1274798046224607E-3</v>
      </c>
      <c r="W144" s="124">
        <f t="shared" si="125"/>
        <v>8.6042251366672906E-4</v>
      </c>
      <c r="X144" s="124">
        <f t="shared" si="125"/>
        <v>1.1389111629287452E-3</v>
      </c>
      <c r="Y144" s="124">
        <f t="shared" si="125"/>
        <v>9.6279178063954991E-4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1.2168743404717245E-3</v>
      </c>
      <c r="C146" s="140">
        <f t="shared" ref="C146:Y146" si="127">IF(C54=0,0,C54/C$47)</f>
        <v>7.2111340914748185E-4</v>
      </c>
      <c r="D146" s="140">
        <f t="shared" si="127"/>
        <v>5.9417086353631817E-4</v>
      </c>
      <c r="E146" s="140">
        <f t="shared" si="127"/>
        <v>4.3027418924747757E-4</v>
      </c>
      <c r="F146" s="140">
        <f t="shared" si="127"/>
        <v>3.0554601175398989E-4</v>
      </c>
      <c r="G146" s="140">
        <f t="shared" si="127"/>
        <v>2.9726413774824883E-4</v>
      </c>
      <c r="H146" s="140">
        <f t="shared" si="127"/>
        <v>5.7724386676284213E-4</v>
      </c>
      <c r="I146" s="140">
        <f t="shared" si="127"/>
        <v>1.7756108217652129E-3</v>
      </c>
      <c r="J146" s="140">
        <f t="shared" si="127"/>
        <v>4.5177531753636766E-4</v>
      </c>
      <c r="K146" s="140">
        <f t="shared" si="127"/>
        <v>3.1256098870898451E-4</v>
      </c>
      <c r="L146" s="140">
        <f t="shared" si="127"/>
        <v>4.95434951855783E-4</v>
      </c>
      <c r="M146" s="140">
        <f t="shared" si="127"/>
        <v>3.7844307362757334E-4</v>
      </c>
      <c r="N146" s="140">
        <f t="shared" si="127"/>
        <v>4.2918225218682964E-4</v>
      </c>
      <c r="O146" s="140">
        <f t="shared" si="127"/>
        <v>5.1046874677481043E-4</v>
      </c>
      <c r="P146" s="140">
        <f t="shared" si="127"/>
        <v>4.6213506060042016E-4</v>
      </c>
      <c r="Q146" s="140">
        <f t="shared" si="127"/>
        <v>5.2898536916720033E-4</v>
      </c>
      <c r="R146" s="140">
        <f t="shared" si="127"/>
        <v>3.400825968021194E-4</v>
      </c>
      <c r="S146" s="140">
        <f t="shared" si="127"/>
        <v>5.6103668881909031E-4</v>
      </c>
      <c r="T146" s="140">
        <f t="shared" si="127"/>
        <v>6.2126920503924148E-4</v>
      </c>
      <c r="U146" s="140">
        <f t="shared" si="127"/>
        <v>5.0874411494589568E-4</v>
      </c>
      <c r="V146" s="140">
        <f t="shared" si="127"/>
        <v>1.0436419956812064E-3</v>
      </c>
      <c r="W146" s="140">
        <f t="shared" si="127"/>
        <v>8.1329953447749142E-4</v>
      </c>
      <c r="X146" s="140">
        <f t="shared" si="127"/>
        <v>1.0931131619322017E-3</v>
      </c>
      <c r="Y146" s="140">
        <f t="shared" si="127"/>
        <v>9.2565239406173702E-4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1.2595317915016322E-3</v>
      </c>
      <c r="C147" s="140">
        <f t="shared" ref="C147:Y147" si="128">IF(C55=0,0,C55/C$47)</f>
        <v>9.1558053504260098E-4</v>
      </c>
      <c r="D147" s="140">
        <f t="shared" si="128"/>
        <v>9.2433700063262081E-4</v>
      </c>
      <c r="E147" s="140">
        <f t="shared" si="128"/>
        <v>9.6478508589584525E-4</v>
      </c>
      <c r="F147" s="140">
        <f t="shared" si="128"/>
        <v>7.6928809599147868E-4</v>
      </c>
      <c r="G147" s="140">
        <f t="shared" si="128"/>
        <v>6.4048179421319091E-4</v>
      </c>
      <c r="H147" s="140">
        <f t="shared" si="128"/>
        <v>3.7599307283041577E-4</v>
      </c>
      <c r="I147" s="140">
        <f t="shared" si="128"/>
        <v>1.9023447060293055E-4</v>
      </c>
      <c r="J147" s="140">
        <f t="shared" si="128"/>
        <v>9.7578258860309551E-5</v>
      </c>
      <c r="K147" s="140">
        <f t="shared" si="128"/>
        <v>6.3151470450976467E-5</v>
      </c>
      <c r="L147" s="140">
        <f t="shared" si="128"/>
        <v>4.6973583249627258E-5</v>
      </c>
      <c r="M147" s="140">
        <f t="shared" si="128"/>
        <v>3.6647024282323619E-5</v>
      </c>
      <c r="N147" s="140">
        <f t="shared" si="128"/>
        <v>3.2399225716094422E-5</v>
      </c>
      <c r="O147" s="140">
        <f t="shared" si="128"/>
        <v>3.6725159466493963E-5</v>
      </c>
      <c r="P147" s="140">
        <f t="shared" si="128"/>
        <v>3.2093524486518119E-5</v>
      </c>
      <c r="Q147" s="140">
        <f t="shared" si="128"/>
        <v>1.8370957323294082E-5</v>
      </c>
      <c r="R147" s="140">
        <f t="shared" si="128"/>
        <v>1.4646994574106325E-5</v>
      </c>
      <c r="S147" s="140">
        <f t="shared" si="128"/>
        <v>3.1484578519885878E-5</v>
      </c>
      <c r="T147" s="140">
        <f t="shared" si="128"/>
        <v>4.3811749423652785E-5</v>
      </c>
      <c r="U147" s="140">
        <f t="shared" si="128"/>
        <v>3.8702377697660355E-5</v>
      </c>
      <c r="V147" s="140">
        <f t="shared" si="128"/>
        <v>8.3837808941254386E-5</v>
      </c>
      <c r="W147" s="140">
        <f t="shared" si="128"/>
        <v>4.7122979189237628E-5</v>
      </c>
      <c r="X147" s="140">
        <f t="shared" si="128"/>
        <v>4.5798000996543483E-5</v>
      </c>
      <c r="Y147" s="140">
        <f t="shared" si="128"/>
        <v>3.7139386577812904E-5</v>
      </c>
      <c r="DA147" s="175"/>
    </row>
    <row r="148" spans="1:105" ht="11.45" customHeight="1" x14ac:dyDescent="0.25">
      <c r="A148" s="109" t="s">
        <v>141</v>
      </c>
      <c r="B148" s="124">
        <f t="shared" si="119"/>
        <v>0</v>
      </c>
      <c r="C148" s="124">
        <f t="shared" ref="C148:Y148" si="129">IF(C56=0,0,C56/C$47)</f>
        <v>0</v>
      </c>
      <c r="D148" s="124">
        <f t="shared" si="129"/>
        <v>0</v>
      </c>
      <c r="E148" s="124">
        <f t="shared" si="129"/>
        <v>0</v>
      </c>
      <c r="F148" s="124">
        <f t="shared" si="129"/>
        <v>0</v>
      </c>
      <c r="G148" s="124">
        <f t="shared" si="129"/>
        <v>0</v>
      </c>
      <c r="H148" s="124">
        <f t="shared" si="129"/>
        <v>0</v>
      </c>
      <c r="I148" s="124">
        <f t="shared" si="129"/>
        <v>0</v>
      </c>
      <c r="J148" s="124">
        <f t="shared" si="129"/>
        <v>0</v>
      </c>
      <c r="K148" s="124">
        <f t="shared" si="129"/>
        <v>0</v>
      </c>
      <c r="L148" s="124">
        <f t="shared" si="129"/>
        <v>0</v>
      </c>
      <c r="M148" s="124">
        <f t="shared" si="129"/>
        <v>0</v>
      </c>
      <c r="N148" s="124">
        <f t="shared" si="129"/>
        <v>0</v>
      </c>
      <c r="O148" s="124">
        <f t="shared" si="129"/>
        <v>0</v>
      </c>
      <c r="P148" s="124">
        <f t="shared" si="129"/>
        <v>0</v>
      </c>
      <c r="Q148" s="124">
        <f t="shared" si="129"/>
        <v>0</v>
      </c>
      <c r="R148" s="124">
        <f t="shared" si="129"/>
        <v>0</v>
      </c>
      <c r="S148" s="124">
        <f t="shared" si="129"/>
        <v>0</v>
      </c>
      <c r="T148" s="124">
        <f t="shared" si="129"/>
        <v>0</v>
      </c>
      <c r="U148" s="124">
        <f t="shared" si="129"/>
        <v>0</v>
      </c>
      <c r="V148" s="124">
        <f t="shared" si="129"/>
        <v>0</v>
      </c>
      <c r="W148" s="124">
        <f t="shared" si="129"/>
        <v>0</v>
      </c>
      <c r="X148" s="124">
        <f t="shared" si="129"/>
        <v>0</v>
      </c>
      <c r="Y148" s="124">
        <f t="shared" si="129"/>
        <v>0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</v>
      </c>
      <c r="H149" s="140">
        <f t="shared" si="130"/>
        <v>0</v>
      </c>
      <c r="I149" s="140">
        <f t="shared" si="130"/>
        <v>0</v>
      </c>
      <c r="J149" s="140">
        <f t="shared" si="130"/>
        <v>0</v>
      </c>
      <c r="K149" s="140">
        <f t="shared" si="130"/>
        <v>0</v>
      </c>
      <c r="L149" s="140">
        <f t="shared" si="130"/>
        <v>0</v>
      </c>
      <c r="M149" s="140">
        <f t="shared" si="130"/>
        <v>0</v>
      </c>
      <c r="N149" s="140">
        <f t="shared" si="130"/>
        <v>0</v>
      </c>
      <c r="O149" s="140">
        <f t="shared" si="130"/>
        <v>0</v>
      </c>
      <c r="P149" s="140">
        <f t="shared" si="130"/>
        <v>0</v>
      </c>
      <c r="Q149" s="140">
        <f t="shared" si="130"/>
        <v>0</v>
      </c>
      <c r="R149" s="140">
        <f t="shared" si="130"/>
        <v>0</v>
      </c>
      <c r="S149" s="140">
        <f t="shared" si="130"/>
        <v>0</v>
      </c>
      <c r="T149" s="140">
        <f t="shared" si="130"/>
        <v>0</v>
      </c>
      <c r="U149" s="140">
        <f t="shared" si="130"/>
        <v>0</v>
      </c>
      <c r="V149" s="140">
        <f t="shared" si="130"/>
        <v>0</v>
      </c>
      <c r="W149" s="140">
        <f t="shared" si="130"/>
        <v>0</v>
      </c>
      <c r="X149" s="140">
        <f t="shared" si="130"/>
        <v>0</v>
      </c>
      <c r="Y149" s="140">
        <f t="shared" si="130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0</v>
      </c>
      <c r="W150" s="127">
        <f t="shared" si="131"/>
        <v>0</v>
      </c>
      <c r="X150" s="127">
        <f t="shared" si="131"/>
        <v>0</v>
      </c>
      <c r="Y150" s="127">
        <f t="shared" si="131"/>
        <v>0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0</v>
      </c>
      <c r="C151" s="31">
        <f t="shared" si="132"/>
        <v>0</v>
      </c>
      <c r="D151" s="31">
        <f t="shared" si="132"/>
        <v>0</v>
      </c>
      <c r="E151" s="31">
        <f t="shared" si="132"/>
        <v>0</v>
      </c>
      <c r="F151" s="31">
        <f t="shared" si="132"/>
        <v>0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0</v>
      </c>
      <c r="Y151" s="31">
        <f t="shared" si="132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</v>
      </c>
      <c r="C152" s="140">
        <f t="shared" si="133"/>
        <v>0</v>
      </c>
      <c r="D152" s="140">
        <f t="shared" si="133"/>
        <v>0</v>
      </c>
      <c r="E152" s="140">
        <f t="shared" si="133"/>
        <v>0</v>
      </c>
      <c r="F152" s="140">
        <f t="shared" si="133"/>
        <v>0</v>
      </c>
      <c r="G152" s="140">
        <f t="shared" si="133"/>
        <v>0.41616089806326179</v>
      </c>
      <c r="H152" s="140">
        <f t="shared" si="133"/>
        <v>0.41426382009731927</v>
      </c>
      <c r="I152" s="140">
        <f t="shared" si="133"/>
        <v>0.39803685453579574</v>
      </c>
      <c r="J152" s="140">
        <f t="shared" si="133"/>
        <v>0.39826523376813106</v>
      </c>
      <c r="K152" s="140">
        <f t="shared" si="133"/>
        <v>0.4074329973359011</v>
      </c>
      <c r="L152" s="140">
        <f t="shared" si="133"/>
        <v>0.33985971961320266</v>
      </c>
      <c r="M152" s="140">
        <f t="shared" si="133"/>
        <v>0.28897942591830289</v>
      </c>
      <c r="N152" s="140">
        <f t="shared" si="133"/>
        <v>0.34705131768772574</v>
      </c>
      <c r="O152" s="140">
        <f t="shared" si="133"/>
        <v>0.308051480092006</v>
      </c>
      <c r="P152" s="140">
        <f t="shared" si="133"/>
        <v>0.32861962037259862</v>
      </c>
      <c r="Q152" s="140">
        <f t="shared" si="133"/>
        <v>0.32161392126642674</v>
      </c>
      <c r="R152" s="140">
        <f t="shared" si="133"/>
        <v>0.33853888852542607</v>
      </c>
      <c r="S152" s="140">
        <f t="shared" si="133"/>
        <v>0.31574903756596168</v>
      </c>
      <c r="T152" s="140">
        <f t="shared" si="133"/>
        <v>0.29848395726403781</v>
      </c>
      <c r="U152" s="140">
        <f t="shared" si="133"/>
        <v>0.28526639661166492</v>
      </c>
      <c r="V152" s="140">
        <f t="shared" si="133"/>
        <v>0.23659291785889183</v>
      </c>
      <c r="W152" s="140">
        <f t="shared" si="133"/>
        <v>0.20030317719523771</v>
      </c>
      <c r="X152" s="140">
        <f t="shared" si="133"/>
        <v>0</v>
      </c>
      <c r="Y152" s="140">
        <f t="shared" si="133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</v>
      </c>
      <c r="C153" s="127">
        <f t="shared" si="134"/>
        <v>0</v>
      </c>
      <c r="D153" s="127">
        <f t="shared" si="134"/>
        <v>0</v>
      </c>
      <c r="E153" s="127">
        <f t="shared" si="134"/>
        <v>0</v>
      </c>
      <c r="F153" s="127">
        <f t="shared" si="134"/>
        <v>0</v>
      </c>
      <c r="G153" s="127">
        <f t="shared" si="134"/>
        <v>0.58383910193673827</v>
      </c>
      <c r="H153" s="127">
        <f t="shared" si="134"/>
        <v>0.58573617990268079</v>
      </c>
      <c r="I153" s="127">
        <f t="shared" si="134"/>
        <v>0.60196314546420426</v>
      </c>
      <c r="J153" s="127">
        <f t="shared" si="134"/>
        <v>0.60173476623186894</v>
      </c>
      <c r="K153" s="127">
        <f t="shared" si="134"/>
        <v>0.5925670026640989</v>
      </c>
      <c r="L153" s="127">
        <f t="shared" si="134"/>
        <v>0.6601402803867974</v>
      </c>
      <c r="M153" s="127">
        <f t="shared" si="134"/>
        <v>0.71102057408169705</v>
      </c>
      <c r="N153" s="127">
        <f t="shared" si="134"/>
        <v>0.65294868231227432</v>
      </c>
      <c r="O153" s="127">
        <f t="shared" si="134"/>
        <v>0.691948519907994</v>
      </c>
      <c r="P153" s="127">
        <f t="shared" si="134"/>
        <v>0.67138037962740149</v>
      </c>
      <c r="Q153" s="127">
        <f t="shared" si="134"/>
        <v>0.67838607873357326</v>
      </c>
      <c r="R153" s="127">
        <f t="shared" si="134"/>
        <v>0.66146111147457398</v>
      </c>
      <c r="S153" s="127">
        <f t="shared" si="134"/>
        <v>0.68425096243403849</v>
      </c>
      <c r="T153" s="127">
        <f t="shared" si="134"/>
        <v>0.70151604273596213</v>
      </c>
      <c r="U153" s="127">
        <f t="shared" si="134"/>
        <v>0.71473360338833503</v>
      </c>
      <c r="V153" s="127">
        <f t="shared" si="134"/>
        <v>0.76340708214110808</v>
      </c>
      <c r="W153" s="127">
        <f t="shared" si="134"/>
        <v>0.79969682280476229</v>
      </c>
      <c r="X153" s="127">
        <f t="shared" si="134"/>
        <v>0</v>
      </c>
      <c r="Y153" s="127">
        <f t="shared" si="134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0.97158428343187009</v>
      </c>
      <c r="C157" s="139">
        <f t="shared" ref="C157:W157" si="138">IF(C65=0,0,C65/C$64)</f>
        <v>0.96965821963139975</v>
      </c>
      <c r="D157" s="139">
        <f t="shared" si="138"/>
        <v>0.96826220062482693</v>
      </c>
      <c r="E157" s="139">
        <f t="shared" si="138"/>
        <v>0.97020283728029566</v>
      </c>
      <c r="F157" s="139">
        <f t="shared" si="138"/>
        <v>0.97563937791207933</v>
      </c>
      <c r="G157" s="139">
        <f t="shared" si="138"/>
        <v>0.97368675304420271</v>
      </c>
      <c r="H157" s="139">
        <f t="shared" si="138"/>
        <v>0.97243670991142583</v>
      </c>
      <c r="I157" s="139">
        <f t="shared" si="138"/>
        <v>0.96781548325285438</v>
      </c>
      <c r="J157" s="139">
        <f t="shared" si="138"/>
        <v>0.96710053242151217</v>
      </c>
      <c r="K157" s="139">
        <f t="shared" si="138"/>
        <v>0.97227097264106954</v>
      </c>
      <c r="L157" s="139">
        <f t="shared" si="138"/>
        <v>0.97304185339226135</v>
      </c>
      <c r="M157" s="139">
        <f t="shared" si="138"/>
        <v>0.97654746281346438</v>
      </c>
      <c r="N157" s="139">
        <f t="shared" si="138"/>
        <v>0.9762073772187958</v>
      </c>
      <c r="O157" s="139">
        <f t="shared" si="138"/>
        <v>0.97333905059485237</v>
      </c>
      <c r="P157" s="139">
        <f t="shared" si="138"/>
        <v>0.97303111897021533</v>
      </c>
      <c r="Q157" s="139">
        <f t="shared" si="138"/>
        <v>0.97298212909821558</v>
      </c>
      <c r="R157" s="139">
        <f t="shared" si="138"/>
        <v>0.97720826650814685</v>
      </c>
      <c r="S157" s="139">
        <f t="shared" si="138"/>
        <v>0.9742120438416727</v>
      </c>
      <c r="T157" s="139">
        <f t="shared" si="138"/>
        <v>0.96726678618628281</v>
      </c>
      <c r="U157" s="139">
        <f t="shared" si="138"/>
        <v>0.97377472215979732</v>
      </c>
      <c r="V157" s="139">
        <f t="shared" si="138"/>
        <v>0.98902012393772665</v>
      </c>
      <c r="W157" s="139">
        <f t="shared" si="138"/>
        <v>0.98855594005242708</v>
      </c>
      <c r="X157" s="139">
        <f t="shared" ref="X157:Y157" si="139">IF(X65=0,0,X65/X$64)</f>
        <v>0.98044929245624934</v>
      </c>
      <c r="Y157" s="139">
        <f t="shared" si="139"/>
        <v>0.98163404228283246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3.1168593771522131E-3</v>
      </c>
      <c r="C158" s="140">
        <f t="shared" ref="C158:W158" si="140">IF(C66=0,0,C66/C$64)</f>
        <v>2.908600171534144E-3</v>
      </c>
      <c r="D158" s="140">
        <f t="shared" si="140"/>
        <v>2.830756608745356E-3</v>
      </c>
      <c r="E158" s="140">
        <f t="shared" si="140"/>
        <v>3.4529392024308177E-3</v>
      </c>
      <c r="F158" s="140">
        <f t="shared" si="140"/>
        <v>4.0299218260144414E-3</v>
      </c>
      <c r="G158" s="140">
        <f t="shared" si="140"/>
        <v>4.3340422385677981E-3</v>
      </c>
      <c r="H158" s="140">
        <f t="shared" si="140"/>
        <v>4.7294752830990125E-3</v>
      </c>
      <c r="I158" s="140">
        <f t="shared" si="140"/>
        <v>5.0638291332383567E-3</v>
      </c>
      <c r="J158" s="140">
        <f t="shared" si="140"/>
        <v>5.0616089703848588E-3</v>
      </c>
      <c r="K158" s="140">
        <f t="shared" si="140"/>
        <v>5.5539814516399021E-3</v>
      </c>
      <c r="L158" s="140">
        <f t="shared" si="140"/>
        <v>6.7193686789055332E-3</v>
      </c>
      <c r="M158" s="140">
        <f t="shared" si="140"/>
        <v>7.7556573955646366E-3</v>
      </c>
      <c r="N158" s="140">
        <f t="shared" si="140"/>
        <v>7.2788142194323037E-3</v>
      </c>
      <c r="O158" s="140">
        <f t="shared" si="140"/>
        <v>6.6073807237445169E-3</v>
      </c>
      <c r="P158" s="140">
        <f t="shared" si="140"/>
        <v>6.6709976447889537E-3</v>
      </c>
      <c r="Q158" s="140">
        <f t="shared" si="140"/>
        <v>6.9893591181052475E-3</v>
      </c>
      <c r="R158" s="140">
        <f t="shared" si="140"/>
        <v>7.1702360044089974E-3</v>
      </c>
      <c r="S158" s="140">
        <f t="shared" si="140"/>
        <v>6.7621375434041816E-3</v>
      </c>
      <c r="T158" s="140">
        <f t="shared" si="140"/>
        <v>6.2806942862304064E-3</v>
      </c>
      <c r="U158" s="140">
        <f t="shared" si="140"/>
        <v>6.7701225644320904E-3</v>
      </c>
      <c r="V158" s="140">
        <f t="shared" si="140"/>
        <v>7.2735375387658376E-3</v>
      </c>
      <c r="W158" s="140">
        <f t="shared" si="140"/>
        <v>6.994843742794749E-3</v>
      </c>
      <c r="X158" s="140">
        <f t="shared" ref="X158:Y158" si="141">IF(X66=0,0,X66/X$64)</f>
        <v>6.3828195887110006E-3</v>
      </c>
      <c r="Y158" s="140">
        <f t="shared" si="141"/>
        <v>6.728679056105108E-3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0.89299612446855592</v>
      </c>
      <c r="C159" s="140">
        <f t="shared" ref="C159:W159" si="142">IF(C67=0,0,C67/C$64)</f>
        <v>0.89778384672727418</v>
      </c>
      <c r="D159" s="140">
        <f t="shared" si="142"/>
        <v>0.90033331532676153</v>
      </c>
      <c r="E159" s="140">
        <f t="shared" si="142"/>
        <v>0.90247701036696315</v>
      </c>
      <c r="F159" s="140">
        <f t="shared" si="142"/>
        <v>0.90369889406916293</v>
      </c>
      <c r="G159" s="140">
        <f t="shared" si="142"/>
        <v>0.90575957394137929</v>
      </c>
      <c r="H159" s="140">
        <f t="shared" si="142"/>
        <v>0.90552314005840862</v>
      </c>
      <c r="I159" s="140">
        <f t="shared" si="142"/>
        <v>0.90261035355170827</v>
      </c>
      <c r="J159" s="140">
        <f t="shared" si="142"/>
        <v>0.90574457516601781</v>
      </c>
      <c r="K159" s="140">
        <f t="shared" si="142"/>
        <v>0.9085880721329993</v>
      </c>
      <c r="L159" s="140">
        <f t="shared" si="142"/>
        <v>0.90961476169134747</v>
      </c>
      <c r="M159" s="140">
        <f t="shared" si="142"/>
        <v>0.91095150752403864</v>
      </c>
      <c r="N159" s="140">
        <f t="shared" si="142"/>
        <v>0.91014231856781769</v>
      </c>
      <c r="O159" s="140">
        <f t="shared" si="142"/>
        <v>0.9052677361635787</v>
      </c>
      <c r="P159" s="140">
        <f t="shared" si="142"/>
        <v>0.90422614896216158</v>
      </c>
      <c r="Q159" s="140">
        <f t="shared" si="142"/>
        <v>0.90175063556907586</v>
      </c>
      <c r="R159" s="140">
        <f t="shared" si="142"/>
        <v>0.90798033809491696</v>
      </c>
      <c r="S159" s="140">
        <f t="shared" si="142"/>
        <v>0.90500650541672378</v>
      </c>
      <c r="T159" s="140">
        <f t="shared" si="142"/>
        <v>0.90208123983907851</v>
      </c>
      <c r="U159" s="140">
        <f t="shared" si="142"/>
        <v>0.90527554747447991</v>
      </c>
      <c r="V159" s="140">
        <f t="shared" si="142"/>
        <v>0.93592169000727143</v>
      </c>
      <c r="W159" s="140">
        <f t="shared" si="142"/>
        <v>0.93197301705196678</v>
      </c>
      <c r="X159" s="140">
        <f t="shared" ref="X159:Y159" si="143">IF(X67=0,0,X67/X$64)</f>
        <v>0.92007475342860767</v>
      </c>
      <c r="Y159" s="140">
        <f t="shared" si="143"/>
        <v>0.91953517422357534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7.5471299586161986E-2</v>
      </c>
      <c r="C160" s="140">
        <f t="shared" ref="C160:W160" si="144">IF(C68=0,0,C68/C$64)</f>
        <v>6.8965772732591496E-2</v>
      </c>
      <c r="D160" s="140">
        <f t="shared" si="144"/>
        <v>6.5098128689320064E-2</v>
      </c>
      <c r="E160" s="140">
        <f t="shared" si="144"/>
        <v>6.4272887710901727E-2</v>
      </c>
      <c r="F160" s="140">
        <f t="shared" si="144"/>
        <v>6.7910562016901863E-2</v>
      </c>
      <c r="G160" s="140">
        <f t="shared" si="144"/>
        <v>6.3593136864255634E-2</v>
      </c>
      <c r="H160" s="140">
        <f t="shared" si="144"/>
        <v>6.2184094569918295E-2</v>
      </c>
      <c r="I160" s="140">
        <f t="shared" si="144"/>
        <v>6.0141300567907764E-2</v>
      </c>
      <c r="J160" s="140">
        <f t="shared" si="144"/>
        <v>5.62943482851095E-2</v>
      </c>
      <c r="K160" s="140">
        <f t="shared" si="144"/>
        <v>5.8128919056430389E-2</v>
      </c>
      <c r="L160" s="140">
        <f t="shared" si="144"/>
        <v>5.6707723022008362E-2</v>
      </c>
      <c r="M160" s="140">
        <f t="shared" si="144"/>
        <v>5.7840297893861102E-2</v>
      </c>
      <c r="N160" s="140">
        <f t="shared" si="144"/>
        <v>5.8786244431545731E-2</v>
      </c>
      <c r="O160" s="140">
        <f t="shared" si="144"/>
        <v>6.1463933707529131E-2</v>
      </c>
      <c r="P160" s="140">
        <f t="shared" si="144"/>
        <v>6.2133972363264831E-2</v>
      </c>
      <c r="Q160" s="140">
        <f t="shared" si="144"/>
        <v>6.4242134411034532E-2</v>
      </c>
      <c r="R160" s="140">
        <f t="shared" si="144"/>
        <v>6.2057692408820919E-2</v>
      </c>
      <c r="S160" s="140">
        <f t="shared" si="144"/>
        <v>6.2443400881544681E-2</v>
      </c>
      <c r="T160" s="140">
        <f t="shared" si="144"/>
        <v>5.8904852060973956E-2</v>
      </c>
      <c r="U160" s="140">
        <f t="shared" si="144"/>
        <v>6.172905212088528E-2</v>
      </c>
      <c r="V160" s="140">
        <f t="shared" si="144"/>
        <v>4.5824896391689317E-2</v>
      </c>
      <c r="W160" s="140">
        <f t="shared" si="144"/>
        <v>4.9588079257665597E-2</v>
      </c>
      <c r="X160" s="140">
        <f t="shared" ref="X160:Y160" si="145">IF(X68=0,0,X68/X$64)</f>
        <v>5.3991719438930656E-2</v>
      </c>
      <c r="Y160" s="140">
        <f t="shared" si="145"/>
        <v>5.5370189003152014E-2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5.3802774642015177E-3</v>
      </c>
      <c r="C161" s="124">
        <f t="shared" ref="C161:W161" si="146">IF(C69=0,0,C69/C$64)</f>
        <v>5.3003773718863691E-3</v>
      </c>
      <c r="D161" s="124">
        <f t="shared" si="146"/>
        <v>5.3304665265027657E-3</v>
      </c>
      <c r="E161" s="124">
        <f t="shared" si="146"/>
        <v>5.8341161728349663E-3</v>
      </c>
      <c r="F161" s="124">
        <f t="shared" si="146"/>
        <v>5.6080153099440349E-3</v>
      </c>
      <c r="G161" s="124">
        <f t="shared" si="146"/>
        <v>5.2391389918396711E-3</v>
      </c>
      <c r="H161" s="124">
        <f t="shared" si="146"/>
        <v>5.1312164238122389E-3</v>
      </c>
      <c r="I161" s="124">
        <f t="shared" si="146"/>
        <v>5.0759459936827907E-3</v>
      </c>
      <c r="J161" s="124">
        <f t="shared" si="146"/>
        <v>4.3601536521255492E-3</v>
      </c>
      <c r="K161" s="124">
        <f t="shared" si="146"/>
        <v>4.2821489474008413E-3</v>
      </c>
      <c r="L161" s="124">
        <f t="shared" si="146"/>
        <v>3.8014440902296785E-3</v>
      </c>
      <c r="M161" s="124">
        <f t="shared" si="146"/>
        <v>3.9308221715197806E-3</v>
      </c>
      <c r="N161" s="124">
        <f t="shared" si="146"/>
        <v>3.666658375166405E-3</v>
      </c>
      <c r="O161" s="124">
        <f t="shared" si="146"/>
        <v>4.1652950064997247E-3</v>
      </c>
      <c r="P161" s="124">
        <f t="shared" si="146"/>
        <v>4.492502693633613E-3</v>
      </c>
      <c r="Q161" s="124">
        <f t="shared" si="146"/>
        <v>4.83408922233621E-3</v>
      </c>
      <c r="R161" s="124">
        <f t="shared" si="146"/>
        <v>4.2644575877258169E-3</v>
      </c>
      <c r="S161" s="124">
        <f t="shared" si="146"/>
        <v>4.2028639345242005E-3</v>
      </c>
      <c r="T161" s="124">
        <f t="shared" si="146"/>
        <v>3.9311255169314895E-3</v>
      </c>
      <c r="U161" s="124">
        <f t="shared" si="146"/>
        <v>3.5996480615263461E-3</v>
      </c>
      <c r="V161" s="124">
        <f t="shared" si="146"/>
        <v>1.4811866932309267E-3</v>
      </c>
      <c r="W161" s="124">
        <f t="shared" si="146"/>
        <v>1.8811335915780653E-3</v>
      </c>
      <c r="X161" s="124">
        <f t="shared" ref="X161:Y161" si="147">IF(X69=0,0,X69/X$64)</f>
        <v>1.4279950182878439E-3</v>
      </c>
      <c r="Y161" s="124">
        <f t="shared" si="147"/>
        <v>2.4159069599191379E-3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5.3802774642015177E-3</v>
      </c>
      <c r="C163" s="140">
        <f t="shared" ref="C163:W163" si="150">IF(C71=0,0,C71/C$64)</f>
        <v>5.3003773718863691E-3</v>
      </c>
      <c r="D163" s="140">
        <f t="shared" si="150"/>
        <v>5.3304665265027657E-3</v>
      </c>
      <c r="E163" s="140">
        <f t="shared" si="150"/>
        <v>5.8341161728349663E-3</v>
      </c>
      <c r="F163" s="140">
        <f t="shared" si="150"/>
        <v>5.6080153099440349E-3</v>
      </c>
      <c r="G163" s="140">
        <f t="shared" si="150"/>
        <v>5.2391389918396711E-3</v>
      </c>
      <c r="H163" s="140">
        <f t="shared" si="150"/>
        <v>5.1312164238122389E-3</v>
      </c>
      <c r="I163" s="140">
        <f t="shared" si="150"/>
        <v>5.0759459936827907E-3</v>
      </c>
      <c r="J163" s="140">
        <f t="shared" si="150"/>
        <v>4.3601536521255492E-3</v>
      </c>
      <c r="K163" s="140">
        <f t="shared" si="150"/>
        <v>4.2821489474008413E-3</v>
      </c>
      <c r="L163" s="140">
        <f t="shared" si="150"/>
        <v>3.8014440902296785E-3</v>
      </c>
      <c r="M163" s="140">
        <f t="shared" si="150"/>
        <v>3.9308221715197806E-3</v>
      </c>
      <c r="N163" s="140">
        <f t="shared" si="150"/>
        <v>3.666658375166405E-3</v>
      </c>
      <c r="O163" s="140">
        <f t="shared" si="150"/>
        <v>4.1652950064997247E-3</v>
      </c>
      <c r="P163" s="140">
        <f t="shared" si="150"/>
        <v>4.492502693633613E-3</v>
      </c>
      <c r="Q163" s="140">
        <f t="shared" si="150"/>
        <v>4.83408922233621E-3</v>
      </c>
      <c r="R163" s="140">
        <f t="shared" si="150"/>
        <v>4.2644575877258169E-3</v>
      </c>
      <c r="S163" s="140">
        <f t="shared" si="150"/>
        <v>4.2028639345242005E-3</v>
      </c>
      <c r="T163" s="140">
        <f t="shared" si="150"/>
        <v>3.9311255169314895E-3</v>
      </c>
      <c r="U163" s="140">
        <f t="shared" si="150"/>
        <v>3.5996480615263461E-3</v>
      </c>
      <c r="V163" s="140">
        <f t="shared" si="150"/>
        <v>1.4811866932309267E-3</v>
      </c>
      <c r="W163" s="140">
        <f t="shared" si="150"/>
        <v>1.8811335915780653E-3</v>
      </c>
      <c r="X163" s="140">
        <f t="shared" ref="X163:Y163" si="151">IF(X71=0,0,X71/X$64)</f>
        <v>1.4279950182878439E-3</v>
      </c>
      <c r="Y163" s="140">
        <f t="shared" si="151"/>
        <v>2.4159069599191379E-3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2.3035439103928367E-2</v>
      </c>
      <c r="C165" s="124">
        <f t="shared" ref="C165:W165" si="154">IF(C73=0,0,C73/C$64)</f>
        <v>2.5041402996713934E-2</v>
      </c>
      <c r="D165" s="124">
        <f t="shared" si="154"/>
        <v>2.6407332848670296E-2</v>
      </c>
      <c r="E165" s="124">
        <f t="shared" si="154"/>
        <v>2.396304654686934E-2</v>
      </c>
      <c r="F165" s="124">
        <f t="shared" si="154"/>
        <v>1.8752606777976754E-2</v>
      </c>
      <c r="G165" s="124">
        <f t="shared" si="154"/>
        <v>2.1074107963957617E-2</v>
      </c>
      <c r="H165" s="124">
        <f t="shared" si="154"/>
        <v>2.2432073664761992E-2</v>
      </c>
      <c r="I165" s="124">
        <f t="shared" si="154"/>
        <v>2.7108570753462898E-2</v>
      </c>
      <c r="J165" s="124">
        <f t="shared" si="154"/>
        <v>2.8539313926362275E-2</v>
      </c>
      <c r="K165" s="124">
        <f t="shared" si="154"/>
        <v>2.3446878411529554E-2</v>
      </c>
      <c r="L165" s="124">
        <f t="shared" si="154"/>
        <v>2.3156702517509065E-2</v>
      </c>
      <c r="M165" s="124">
        <f t="shared" si="154"/>
        <v>1.952171501501589E-2</v>
      </c>
      <c r="N165" s="124">
        <f t="shared" si="154"/>
        <v>2.0125964406037859E-2</v>
      </c>
      <c r="O165" s="124">
        <f t="shared" si="154"/>
        <v>2.2495654398647865E-2</v>
      </c>
      <c r="P165" s="124">
        <f t="shared" si="154"/>
        <v>2.2476378336150994E-2</v>
      </c>
      <c r="Q165" s="124">
        <f t="shared" si="154"/>
        <v>2.2183781679448136E-2</v>
      </c>
      <c r="R165" s="124">
        <f t="shared" si="154"/>
        <v>1.8527275904127394E-2</v>
      </c>
      <c r="S165" s="124">
        <f t="shared" si="154"/>
        <v>2.1585092223802966E-2</v>
      </c>
      <c r="T165" s="124">
        <f t="shared" si="154"/>
        <v>2.88020882967856E-2</v>
      </c>
      <c r="U165" s="124">
        <f t="shared" si="154"/>
        <v>2.2625629778676406E-2</v>
      </c>
      <c r="V165" s="124">
        <f t="shared" si="154"/>
        <v>9.4986893690425008E-3</v>
      </c>
      <c r="W165" s="124">
        <f t="shared" si="154"/>
        <v>9.5629263559949065E-3</v>
      </c>
      <c r="X165" s="124">
        <f t="shared" ref="X165:Y165" si="155">IF(X73=0,0,X73/X$64)</f>
        <v>1.8122712525462856E-2</v>
      </c>
      <c r="Y165" s="124">
        <f t="shared" si="155"/>
        <v>1.5950050757248389E-2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1.4118415596254187E-2</v>
      </c>
      <c r="C167" s="140">
        <f t="shared" ref="C167:W167" si="158">IF(C75=0,0,C75/C$64)</f>
        <v>1.5346368361747686E-2</v>
      </c>
      <c r="D167" s="140">
        <f t="shared" si="158"/>
        <v>1.618420817862927E-2</v>
      </c>
      <c r="E167" s="140">
        <f t="shared" si="158"/>
        <v>1.4686994888145144E-2</v>
      </c>
      <c r="F167" s="140">
        <f t="shared" si="158"/>
        <v>1.1493602728649207E-2</v>
      </c>
      <c r="G167" s="140">
        <f t="shared" si="158"/>
        <v>1.3079077681729027E-2</v>
      </c>
      <c r="H167" s="140">
        <f t="shared" si="158"/>
        <v>1.4283301291519019E-2</v>
      </c>
      <c r="I167" s="140">
        <f t="shared" si="158"/>
        <v>1.7484155989205538E-2</v>
      </c>
      <c r="J167" s="140">
        <f t="shared" si="158"/>
        <v>1.8161764693694713E-2</v>
      </c>
      <c r="K167" s="140">
        <f t="shared" si="158"/>
        <v>1.4553544840408168E-2</v>
      </c>
      <c r="L167" s="140">
        <f t="shared" si="158"/>
        <v>1.41609648676773E-2</v>
      </c>
      <c r="M167" s="140">
        <f t="shared" si="158"/>
        <v>1.1928404259926513E-2</v>
      </c>
      <c r="N167" s="140">
        <f t="shared" si="158"/>
        <v>1.2151211599981764E-2</v>
      </c>
      <c r="O167" s="140">
        <f t="shared" si="158"/>
        <v>1.3677842602977063E-2</v>
      </c>
      <c r="P167" s="140">
        <f t="shared" si="158"/>
        <v>1.3694562353783602E-2</v>
      </c>
      <c r="Q167" s="140">
        <f t="shared" si="158"/>
        <v>1.385268059080361E-2</v>
      </c>
      <c r="R167" s="140">
        <f t="shared" si="158"/>
        <v>1.1749858781188704E-2</v>
      </c>
      <c r="S167" s="140">
        <f t="shared" si="158"/>
        <v>1.4113389146224292E-2</v>
      </c>
      <c r="T167" s="140">
        <f t="shared" si="158"/>
        <v>1.8747019920635325E-2</v>
      </c>
      <c r="U167" s="140">
        <f t="shared" si="158"/>
        <v>1.4264883398413903E-2</v>
      </c>
      <c r="V167" s="140">
        <f t="shared" si="158"/>
        <v>5.0799019927488687E-3</v>
      </c>
      <c r="W167" s="140">
        <f t="shared" si="158"/>
        <v>5.5062499228376825E-3</v>
      </c>
      <c r="X167" s="140">
        <f t="shared" ref="X167:Y167" si="159">IF(X75=0,0,X75/X$64)</f>
        <v>1.1558927115321291E-2</v>
      </c>
      <c r="Y167" s="140">
        <f t="shared" si="159"/>
        <v>1.0093813525741369E-2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8.9170235076741801E-3</v>
      </c>
      <c r="C168" s="140">
        <f t="shared" ref="C168:W168" si="160">IF(C76=0,0,C76/C$64)</f>
        <v>9.6950346349662479E-3</v>
      </c>
      <c r="D168" s="140">
        <f t="shared" si="160"/>
        <v>1.0223124670041025E-2</v>
      </c>
      <c r="E168" s="140">
        <f t="shared" si="160"/>
        <v>9.2760516587241972E-3</v>
      </c>
      <c r="F168" s="140">
        <f t="shared" si="160"/>
        <v>7.2590040493275484E-3</v>
      </c>
      <c r="G168" s="140">
        <f t="shared" si="160"/>
        <v>7.9950302822285914E-3</v>
      </c>
      <c r="H168" s="140">
        <f t="shared" si="160"/>
        <v>8.1487723732429716E-3</v>
      </c>
      <c r="I168" s="140">
        <f t="shared" si="160"/>
        <v>9.6244147642573583E-3</v>
      </c>
      <c r="J168" s="140">
        <f t="shared" si="160"/>
        <v>1.0377549232667562E-2</v>
      </c>
      <c r="K168" s="140">
        <f t="shared" si="160"/>
        <v>8.8933335711213844E-3</v>
      </c>
      <c r="L168" s="140">
        <f t="shared" si="160"/>
        <v>8.9957376498317632E-3</v>
      </c>
      <c r="M168" s="140">
        <f t="shared" si="160"/>
        <v>7.5933107550893763E-3</v>
      </c>
      <c r="N168" s="140">
        <f t="shared" si="160"/>
        <v>7.9747528060560968E-3</v>
      </c>
      <c r="O168" s="140">
        <f t="shared" si="160"/>
        <v>8.8178117956708036E-3</v>
      </c>
      <c r="P168" s="140">
        <f t="shared" si="160"/>
        <v>8.7818159823673959E-3</v>
      </c>
      <c r="Q168" s="140">
        <f t="shared" si="160"/>
        <v>8.3311010886445228E-3</v>
      </c>
      <c r="R168" s="140">
        <f t="shared" si="160"/>
        <v>6.7774171229386913E-3</v>
      </c>
      <c r="S168" s="140">
        <f t="shared" si="160"/>
        <v>7.4717030775786749E-3</v>
      </c>
      <c r="T168" s="140">
        <f t="shared" si="160"/>
        <v>1.0055068376150274E-2</v>
      </c>
      <c r="U168" s="140">
        <f t="shared" si="160"/>
        <v>8.3607463802625025E-3</v>
      </c>
      <c r="V168" s="140">
        <f t="shared" si="160"/>
        <v>4.4187873762936321E-3</v>
      </c>
      <c r="W168" s="140">
        <f t="shared" si="160"/>
        <v>4.056676433157224E-3</v>
      </c>
      <c r="X168" s="140">
        <f t="shared" ref="X168:Y168" si="161">IF(X76=0,0,X76/X$64)</f>
        <v>6.5637854101415665E-3</v>
      </c>
      <c r="Y168" s="140">
        <f t="shared" si="161"/>
        <v>5.8562372315070204E-3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0.94952711737664197</v>
      </c>
      <c r="C170" s="139">
        <f t="shared" ref="C170:W170" si="165">IF(C78=0,0,C78/C$77)</f>
        <v>0.96527299910386788</v>
      </c>
      <c r="D170" s="139">
        <f t="shared" si="165"/>
        <v>0.96362650721026644</v>
      </c>
      <c r="E170" s="139">
        <f t="shared" si="165"/>
        <v>0.97103184176775048</v>
      </c>
      <c r="F170" s="139">
        <f t="shared" si="165"/>
        <v>0.97786785902782736</v>
      </c>
      <c r="G170" s="139">
        <f t="shared" si="165"/>
        <v>0.98073664451074494</v>
      </c>
      <c r="H170" s="139">
        <f t="shared" si="165"/>
        <v>0.98281034070379303</v>
      </c>
      <c r="I170" s="139">
        <f t="shared" si="165"/>
        <v>0.98664909817542201</v>
      </c>
      <c r="J170" s="139">
        <f t="shared" si="165"/>
        <v>0.99317653036644571</v>
      </c>
      <c r="K170" s="139">
        <f t="shared" si="165"/>
        <v>0.99130892100200685</v>
      </c>
      <c r="L170" s="139">
        <f t="shared" si="165"/>
        <v>0.99069040206410897</v>
      </c>
      <c r="M170" s="139">
        <f t="shared" si="165"/>
        <v>0.99089578242715526</v>
      </c>
      <c r="N170" s="139">
        <f t="shared" si="165"/>
        <v>0.99222865501535895</v>
      </c>
      <c r="O170" s="139">
        <f t="shared" si="165"/>
        <v>0.99047575999438786</v>
      </c>
      <c r="P170" s="139">
        <f t="shared" si="165"/>
        <v>0.98628432524373622</v>
      </c>
      <c r="Q170" s="139">
        <f t="shared" si="165"/>
        <v>0.98816435340408459</v>
      </c>
      <c r="R170" s="139">
        <f t="shared" si="165"/>
        <v>0.9920917397496305</v>
      </c>
      <c r="S170" s="139">
        <f t="shared" si="165"/>
        <v>0.99311438161422261</v>
      </c>
      <c r="T170" s="139">
        <f t="shared" si="165"/>
        <v>0.99372885395427768</v>
      </c>
      <c r="U170" s="139">
        <f t="shared" si="165"/>
        <v>0.99423238999900065</v>
      </c>
      <c r="V170" s="139">
        <f t="shared" si="165"/>
        <v>0.99068906762269748</v>
      </c>
      <c r="W170" s="139">
        <f t="shared" si="165"/>
        <v>0.99161498732863529</v>
      </c>
      <c r="X170" s="139">
        <f t="shared" ref="X170:Y170" si="166">IF(X78=0,0,X78/X$77)</f>
        <v>0.99139247219792981</v>
      </c>
      <c r="Y170" s="139">
        <f t="shared" si="166"/>
        <v>0.99141907649517036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0.3440460550508237</v>
      </c>
      <c r="C171" s="140">
        <f t="shared" ref="C171:W171" si="167">IF(C79=0,0,C79/C$77)</f>
        <v>0.24439294556503141</v>
      </c>
      <c r="D171" s="140">
        <f t="shared" si="167"/>
        <v>0.24065262485143901</v>
      </c>
      <c r="E171" s="140">
        <f t="shared" si="167"/>
        <v>0.22024268930480317</v>
      </c>
      <c r="F171" s="140">
        <f t="shared" si="167"/>
        <v>0.17741205713081887</v>
      </c>
      <c r="G171" s="140">
        <f t="shared" si="167"/>
        <v>0.16490684136432654</v>
      </c>
      <c r="H171" s="140">
        <f t="shared" si="167"/>
        <v>0.16223318886216898</v>
      </c>
      <c r="I171" s="140">
        <f t="shared" si="167"/>
        <v>0.13244608944505304</v>
      </c>
      <c r="J171" s="140">
        <f t="shared" si="167"/>
        <v>0.10596654292268488</v>
      </c>
      <c r="K171" s="140">
        <f t="shared" si="167"/>
        <v>0.17218596131792505</v>
      </c>
      <c r="L171" s="140">
        <f t="shared" si="167"/>
        <v>0.16303637751776889</v>
      </c>
      <c r="M171" s="140">
        <f t="shared" si="167"/>
        <v>0.14614969071254894</v>
      </c>
      <c r="N171" s="140">
        <f t="shared" si="167"/>
        <v>0.13685960022246407</v>
      </c>
      <c r="O171" s="140">
        <f t="shared" si="167"/>
        <v>0.15343403156382901</v>
      </c>
      <c r="P171" s="140">
        <f t="shared" si="167"/>
        <v>0.16258505788236904</v>
      </c>
      <c r="Q171" s="140">
        <f t="shared" si="167"/>
        <v>0.1792471974761255</v>
      </c>
      <c r="R171" s="140">
        <f t="shared" si="167"/>
        <v>0.16102371647846603</v>
      </c>
      <c r="S171" s="140">
        <f t="shared" si="167"/>
        <v>0.16703716791968476</v>
      </c>
      <c r="T171" s="140">
        <f t="shared" si="167"/>
        <v>0.17548091969001151</v>
      </c>
      <c r="U171" s="140">
        <f t="shared" si="167"/>
        <v>0.198109063919197</v>
      </c>
      <c r="V171" s="140">
        <f t="shared" si="167"/>
        <v>0.2590069658067447</v>
      </c>
      <c r="W171" s="140">
        <f t="shared" si="167"/>
        <v>0.2168946169435774</v>
      </c>
      <c r="X171" s="140">
        <f t="shared" ref="X171:Y171" si="168">IF(X79=0,0,X79/X$77)</f>
        <v>0.20834590476779369</v>
      </c>
      <c r="Y171" s="140">
        <f t="shared" si="168"/>
        <v>0.27838122312155306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0.60548106232581833</v>
      </c>
      <c r="C172" s="140">
        <f t="shared" ref="C172:W172" si="169">IF(C80=0,0,C80/C$77)</f>
        <v>0.72088005353883633</v>
      </c>
      <c r="D172" s="140">
        <f t="shared" si="169"/>
        <v>0.72297388235882742</v>
      </c>
      <c r="E172" s="140">
        <f t="shared" si="169"/>
        <v>0.75078915246294731</v>
      </c>
      <c r="F172" s="140">
        <f t="shared" si="169"/>
        <v>0.80045580189700838</v>
      </c>
      <c r="G172" s="140">
        <f t="shared" si="169"/>
        <v>0.81582980314641829</v>
      </c>
      <c r="H172" s="140">
        <f t="shared" si="169"/>
        <v>0.82057715184162405</v>
      </c>
      <c r="I172" s="140">
        <f t="shared" si="169"/>
        <v>0.85420300873036892</v>
      </c>
      <c r="J172" s="140">
        <f t="shared" si="169"/>
        <v>0.88720998744376078</v>
      </c>
      <c r="K172" s="140">
        <f t="shared" si="169"/>
        <v>0.81912295968408178</v>
      </c>
      <c r="L172" s="140">
        <f t="shared" si="169"/>
        <v>0.82765402454634007</v>
      </c>
      <c r="M172" s="140">
        <f t="shared" si="169"/>
        <v>0.84474609171460624</v>
      </c>
      <c r="N172" s="140">
        <f t="shared" si="169"/>
        <v>0.85536905479289482</v>
      </c>
      <c r="O172" s="140">
        <f t="shared" si="169"/>
        <v>0.83704172843055891</v>
      </c>
      <c r="P172" s="140">
        <f t="shared" si="169"/>
        <v>0.82369926736136712</v>
      </c>
      <c r="Q172" s="140">
        <f t="shared" si="169"/>
        <v>0.8089171559279591</v>
      </c>
      <c r="R172" s="140">
        <f t="shared" si="169"/>
        <v>0.83106802327116436</v>
      </c>
      <c r="S172" s="140">
        <f t="shared" si="169"/>
        <v>0.8260772136945379</v>
      </c>
      <c r="T172" s="140">
        <f t="shared" si="169"/>
        <v>0.81824793426426612</v>
      </c>
      <c r="U172" s="140">
        <f t="shared" si="169"/>
        <v>0.79612332607980374</v>
      </c>
      <c r="V172" s="140">
        <f t="shared" si="169"/>
        <v>0.73168210181595272</v>
      </c>
      <c r="W172" s="140">
        <f t="shared" si="169"/>
        <v>0.77472037038505792</v>
      </c>
      <c r="X172" s="140">
        <f t="shared" ref="X172:Y172" si="170">IF(X80=0,0,X80/X$77)</f>
        <v>0.78304656743013623</v>
      </c>
      <c r="Y172" s="140">
        <f t="shared" si="170"/>
        <v>0.71303785337361725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4.7892519148746482E-2</v>
      </c>
      <c r="C173" s="124">
        <f t="shared" ref="C173:W173" si="171">IF(C81=0,0,C81/C$77)</f>
        <v>3.3050229016461374E-2</v>
      </c>
      <c r="D173" s="124">
        <f t="shared" si="171"/>
        <v>3.4823930806032966E-2</v>
      </c>
      <c r="E173" s="124">
        <f t="shared" si="171"/>
        <v>2.7556627930380113E-2</v>
      </c>
      <c r="F173" s="124">
        <f t="shared" si="171"/>
        <v>2.1057255728757163E-2</v>
      </c>
      <c r="G173" s="124">
        <f t="shared" si="171"/>
        <v>1.8329748919124162E-2</v>
      </c>
      <c r="H173" s="124">
        <f t="shared" si="171"/>
        <v>1.6237941920601455E-2</v>
      </c>
      <c r="I173" s="124">
        <f t="shared" si="171"/>
        <v>1.1387191375204242E-2</v>
      </c>
      <c r="J173" s="124">
        <f t="shared" si="171"/>
        <v>6.2750733877335926E-3</v>
      </c>
      <c r="K173" s="124">
        <f t="shared" si="171"/>
        <v>8.3118355093455363E-3</v>
      </c>
      <c r="L173" s="124">
        <f t="shared" si="171"/>
        <v>8.7558004427645154E-3</v>
      </c>
      <c r="M173" s="124">
        <f t="shared" si="171"/>
        <v>8.685690428278027E-3</v>
      </c>
      <c r="N173" s="124">
        <f t="shared" si="171"/>
        <v>7.3025636415385278E-3</v>
      </c>
      <c r="O173" s="124">
        <f t="shared" si="171"/>
        <v>8.9636779210246886E-3</v>
      </c>
      <c r="P173" s="124">
        <f t="shared" si="171"/>
        <v>1.3216454846011598E-2</v>
      </c>
      <c r="Q173" s="124">
        <f t="shared" si="171"/>
        <v>1.1287599134445828E-2</v>
      </c>
      <c r="R173" s="124">
        <f t="shared" si="171"/>
        <v>7.5561060726715605E-3</v>
      </c>
      <c r="S173" s="124">
        <f t="shared" si="171"/>
        <v>6.293916527266622E-3</v>
      </c>
      <c r="T173" s="124">
        <f t="shared" si="171"/>
        <v>5.5836126958757528E-3</v>
      </c>
      <c r="U173" s="124">
        <f t="shared" si="171"/>
        <v>5.1907380879866452E-3</v>
      </c>
      <c r="V173" s="124">
        <f t="shared" si="171"/>
        <v>8.1096991157901081E-3</v>
      </c>
      <c r="W173" s="124">
        <f t="shared" si="171"/>
        <v>7.4757122144536907E-3</v>
      </c>
      <c r="X173" s="124">
        <f t="shared" ref="X173:Y173" si="172">IF(X81=0,0,X81/X$77)</f>
        <v>7.4245679730430532E-3</v>
      </c>
      <c r="Y173" s="124">
        <f t="shared" si="172"/>
        <v>7.5626108731670916E-3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2.5803634746115619E-3</v>
      </c>
      <c r="C174" s="124">
        <f t="shared" ref="C174:W174" si="173">IF(C82=0,0,C82/C$77)</f>
        <v>1.6767718796705925E-3</v>
      </c>
      <c r="D174" s="124">
        <f t="shared" si="173"/>
        <v>1.5495619837005623E-3</v>
      </c>
      <c r="E174" s="124">
        <f t="shared" si="173"/>
        <v>1.4115303018694383E-3</v>
      </c>
      <c r="F174" s="124">
        <f t="shared" si="173"/>
        <v>1.0748852434155332E-3</v>
      </c>
      <c r="G174" s="124">
        <f t="shared" si="173"/>
        <v>9.3360657013086647E-4</v>
      </c>
      <c r="H174" s="124">
        <f t="shared" si="173"/>
        <v>9.5171737560551363E-4</v>
      </c>
      <c r="I174" s="124">
        <f t="shared" si="173"/>
        <v>1.963710449373737E-3</v>
      </c>
      <c r="J174" s="124">
        <f t="shared" si="173"/>
        <v>5.4839624582080733E-4</v>
      </c>
      <c r="K174" s="124">
        <f t="shared" si="173"/>
        <v>3.7924348864768907E-4</v>
      </c>
      <c r="L174" s="124">
        <f t="shared" si="173"/>
        <v>5.5379749312653589E-4</v>
      </c>
      <c r="M174" s="124">
        <f t="shared" si="173"/>
        <v>4.1852714456675372E-4</v>
      </c>
      <c r="N174" s="124">
        <f t="shared" si="173"/>
        <v>4.6878134310261542E-4</v>
      </c>
      <c r="O174" s="124">
        <f t="shared" si="173"/>
        <v>5.6056208458744785E-4</v>
      </c>
      <c r="P174" s="124">
        <f t="shared" si="173"/>
        <v>4.9921991025224041E-4</v>
      </c>
      <c r="Q174" s="124">
        <f t="shared" si="173"/>
        <v>5.4804746146952564E-4</v>
      </c>
      <c r="R174" s="124">
        <f t="shared" si="173"/>
        <v>3.5215417769807775E-4</v>
      </c>
      <c r="S174" s="124">
        <f t="shared" si="173"/>
        <v>5.917018585107018E-4</v>
      </c>
      <c r="T174" s="124">
        <f t="shared" si="173"/>
        <v>6.8753334984649774E-4</v>
      </c>
      <c r="U174" s="124">
        <f t="shared" si="173"/>
        <v>5.7687191301272365E-4</v>
      </c>
      <c r="V174" s="124">
        <f t="shared" si="173"/>
        <v>1.2012332615123386E-3</v>
      </c>
      <c r="W174" s="124">
        <f t="shared" si="173"/>
        <v>9.0930045691107607E-4</v>
      </c>
      <c r="X174" s="124">
        <f t="shared" ref="X174:Y174" si="174">IF(X82=0,0,X82/X$77)</f>
        <v>1.1829598290269401E-3</v>
      </c>
      <c r="Y174" s="124">
        <f t="shared" si="174"/>
        <v>1.0183126316625629E-3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1.2679576507279681E-3</v>
      </c>
      <c r="C176" s="140">
        <f t="shared" ref="C176:W176" si="177">IF(C84=0,0,C84/C$77)</f>
        <v>7.3877140610441739E-4</v>
      </c>
      <c r="D176" s="140">
        <f t="shared" si="177"/>
        <v>6.0632190565723784E-4</v>
      </c>
      <c r="E176" s="140">
        <f t="shared" si="177"/>
        <v>4.353543014670282E-4</v>
      </c>
      <c r="F176" s="140">
        <f t="shared" si="177"/>
        <v>3.0556054822983671E-4</v>
      </c>
      <c r="G176" s="140">
        <f t="shared" si="177"/>
        <v>2.9595196588649554E-4</v>
      </c>
      <c r="H176" s="140">
        <f t="shared" si="177"/>
        <v>5.763236768754744E-4</v>
      </c>
      <c r="I176" s="140">
        <f t="shared" si="177"/>
        <v>1.773682567116511E-3</v>
      </c>
      <c r="J176" s="140">
        <f t="shared" si="177"/>
        <v>4.5098803163620525E-4</v>
      </c>
      <c r="K176" s="140">
        <f t="shared" si="177"/>
        <v>3.1549850659250774E-4</v>
      </c>
      <c r="L176" s="140">
        <f t="shared" si="177"/>
        <v>5.0583760502898088E-4</v>
      </c>
      <c r="M176" s="140">
        <f t="shared" si="177"/>
        <v>3.8157667403763322E-4</v>
      </c>
      <c r="N176" s="140">
        <f t="shared" si="177"/>
        <v>4.3587674602978881E-4</v>
      </c>
      <c r="O176" s="140">
        <f t="shared" si="177"/>
        <v>5.2293971395697908E-4</v>
      </c>
      <c r="P176" s="140">
        <f t="shared" si="177"/>
        <v>4.6680226607445711E-4</v>
      </c>
      <c r="Q176" s="140">
        <f t="shared" si="177"/>
        <v>5.2965330753629043E-4</v>
      </c>
      <c r="R176" s="140">
        <f t="shared" si="177"/>
        <v>3.3761352347754485E-4</v>
      </c>
      <c r="S176" s="140">
        <f t="shared" si="177"/>
        <v>5.6026082060786338E-4</v>
      </c>
      <c r="T176" s="140">
        <f t="shared" si="177"/>
        <v>6.4224256435376729E-4</v>
      </c>
      <c r="U176" s="140">
        <f t="shared" si="177"/>
        <v>5.3608927039722502E-4</v>
      </c>
      <c r="V176" s="140">
        <f t="shared" si="177"/>
        <v>1.1119112494819112E-3</v>
      </c>
      <c r="W176" s="140">
        <f t="shared" si="177"/>
        <v>8.5950056694169099E-4</v>
      </c>
      <c r="X176" s="140">
        <f t="shared" ref="X176:Y176" si="178">IF(X84=0,0,X84/X$77)</f>
        <v>1.1353905389961635E-3</v>
      </c>
      <c r="Y176" s="140">
        <f t="shared" si="178"/>
        <v>9.7903154592327273E-4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1.3124058238835939E-3</v>
      </c>
      <c r="C177" s="140">
        <f t="shared" ref="C177:W177" si="179">IF(C85=0,0,C85/C$77)</f>
        <v>9.3800047356617513E-4</v>
      </c>
      <c r="D177" s="140">
        <f t="shared" si="179"/>
        <v>9.4324007804332433E-4</v>
      </c>
      <c r="E177" s="140">
        <f t="shared" si="179"/>
        <v>9.7617600040241013E-4</v>
      </c>
      <c r="F177" s="140">
        <f t="shared" si="179"/>
        <v>7.6932469518569628E-4</v>
      </c>
      <c r="G177" s="140">
        <f t="shared" si="179"/>
        <v>6.3765460424437077E-4</v>
      </c>
      <c r="H177" s="140">
        <f t="shared" si="179"/>
        <v>3.7539369873003912E-4</v>
      </c>
      <c r="I177" s="140">
        <f t="shared" si="179"/>
        <v>1.9002788225722607E-4</v>
      </c>
      <c r="J177" s="140">
        <f t="shared" si="179"/>
        <v>9.7408214184602061E-5</v>
      </c>
      <c r="K177" s="140">
        <f t="shared" si="179"/>
        <v>6.3744982055181335E-5</v>
      </c>
      <c r="L177" s="140">
        <f t="shared" si="179"/>
        <v>4.7959888097555009E-5</v>
      </c>
      <c r="M177" s="140">
        <f t="shared" si="179"/>
        <v>3.6950470529120506E-5</v>
      </c>
      <c r="N177" s="140">
        <f t="shared" si="179"/>
        <v>3.2904597072826614E-5</v>
      </c>
      <c r="O177" s="140">
        <f t="shared" si="179"/>
        <v>3.7622370630468712E-5</v>
      </c>
      <c r="P177" s="140">
        <f t="shared" si="179"/>
        <v>3.2417644177783291E-5</v>
      </c>
      <c r="Q177" s="140">
        <f t="shared" si="179"/>
        <v>1.8394153933235232E-5</v>
      </c>
      <c r="R177" s="140">
        <f t="shared" si="179"/>
        <v>1.4540654220532875E-5</v>
      </c>
      <c r="S177" s="140">
        <f t="shared" si="179"/>
        <v>3.1441037902838399E-5</v>
      </c>
      <c r="T177" s="140">
        <f t="shared" si="179"/>
        <v>4.5290785492730445E-5</v>
      </c>
      <c r="U177" s="140">
        <f t="shared" si="179"/>
        <v>4.0782642615498544E-5</v>
      </c>
      <c r="V177" s="140">
        <f t="shared" si="179"/>
        <v>8.932201203042735E-5</v>
      </c>
      <c r="W177" s="140">
        <f t="shared" si="179"/>
        <v>4.9799889969385163E-5</v>
      </c>
      <c r="X177" s="140">
        <f t="shared" ref="X177:Y177" si="180">IF(X85=0,0,X85/X$77)</f>
        <v>4.7569290030776757E-5</v>
      </c>
      <c r="Y177" s="140">
        <f t="shared" si="180"/>
        <v>3.9281085739290077E-5</v>
      </c>
      <c r="DA177" s="175"/>
    </row>
    <row r="178" spans="1:105" ht="11.45" customHeight="1" x14ac:dyDescent="0.25">
      <c r="A178" s="109" t="s">
        <v>141</v>
      </c>
      <c r="B178" s="124">
        <f t="shared" si="162"/>
        <v>0</v>
      </c>
      <c r="C178" s="124">
        <f t="shared" ref="C178:W178" si="181">IF(C86=0,0,C86/C$77)</f>
        <v>0</v>
      </c>
      <c r="D178" s="124">
        <f t="shared" si="181"/>
        <v>0</v>
      </c>
      <c r="E178" s="124">
        <f t="shared" si="181"/>
        <v>0</v>
      </c>
      <c r="F178" s="124">
        <f t="shared" si="181"/>
        <v>0</v>
      </c>
      <c r="G178" s="124">
        <f t="shared" si="181"/>
        <v>0</v>
      </c>
      <c r="H178" s="124">
        <f t="shared" si="181"/>
        <v>0</v>
      </c>
      <c r="I178" s="124">
        <f t="shared" si="181"/>
        <v>0</v>
      </c>
      <c r="J178" s="124">
        <f t="shared" si="181"/>
        <v>0</v>
      </c>
      <c r="K178" s="124">
        <f t="shared" si="181"/>
        <v>0</v>
      </c>
      <c r="L178" s="124">
        <f t="shared" si="181"/>
        <v>0</v>
      </c>
      <c r="M178" s="124">
        <f t="shared" si="181"/>
        <v>0</v>
      </c>
      <c r="N178" s="124">
        <f t="shared" si="181"/>
        <v>0</v>
      </c>
      <c r="O178" s="124">
        <f t="shared" si="181"/>
        <v>0</v>
      </c>
      <c r="P178" s="124">
        <f t="shared" si="181"/>
        <v>0</v>
      </c>
      <c r="Q178" s="124">
        <f t="shared" si="181"/>
        <v>0</v>
      </c>
      <c r="R178" s="124">
        <f t="shared" si="181"/>
        <v>0</v>
      </c>
      <c r="S178" s="124">
        <f t="shared" si="181"/>
        <v>0</v>
      </c>
      <c r="T178" s="124">
        <f t="shared" si="181"/>
        <v>0</v>
      </c>
      <c r="U178" s="124">
        <f t="shared" si="181"/>
        <v>0</v>
      </c>
      <c r="V178" s="124">
        <f t="shared" si="181"/>
        <v>0</v>
      </c>
      <c r="W178" s="124">
        <f t="shared" si="181"/>
        <v>0</v>
      </c>
      <c r="X178" s="124">
        <f t="shared" ref="X178:Y178" si="182">IF(X86=0,0,X86/X$77)</f>
        <v>0</v>
      </c>
      <c r="Y178" s="124">
        <f t="shared" si="182"/>
        <v>0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</v>
      </c>
      <c r="H179" s="140">
        <f t="shared" si="183"/>
        <v>0</v>
      </c>
      <c r="I179" s="140">
        <f t="shared" si="183"/>
        <v>0</v>
      </c>
      <c r="J179" s="140">
        <f t="shared" si="183"/>
        <v>0</v>
      </c>
      <c r="K179" s="140">
        <f t="shared" si="183"/>
        <v>0</v>
      </c>
      <c r="L179" s="140">
        <f t="shared" si="183"/>
        <v>0</v>
      </c>
      <c r="M179" s="140">
        <f t="shared" si="183"/>
        <v>0</v>
      </c>
      <c r="N179" s="140">
        <f t="shared" si="183"/>
        <v>0</v>
      </c>
      <c r="O179" s="140">
        <f t="shared" si="183"/>
        <v>0</v>
      </c>
      <c r="P179" s="140">
        <f t="shared" si="183"/>
        <v>0</v>
      </c>
      <c r="Q179" s="140">
        <f t="shared" si="183"/>
        <v>0</v>
      </c>
      <c r="R179" s="140">
        <f t="shared" si="183"/>
        <v>0</v>
      </c>
      <c r="S179" s="140">
        <f t="shared" si="183"/>
        <v>0</v>
      </c>
      <c r="T179" s="140">
        <f t="shared" si="183"/>
        <v>0</v>
      </c>
      <c r="U179" s="140">
        <f t="shared" si="183"/>
        <v>0</v>
      </c>
      <c r="V179" s="140">
        <f t="shared" si="183"/>
        <v>0</v>
      </c>
      <c r="W179" s="140">
        <f t="shared" si="183"/>
        <v>0</v>
      </c>
      <c r="X179" s="140">
        <f t="shared" ref="X179:Y179" si="184">IF(X87=0,0,X87/X$77)</f>
        <v>0</v>
      </c>
      <c r="Y179" s="140">
        <f t="shared" si="184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0</v>
      </c>
      <c r="W180" s="127">
        <f t="shared" si="185"/>
        <v>0</v>
      </c>
      <c r="X180" s="127">
        <f t="shared" ref="X180:Y180" si="186">IF(X88=0,0,X88/X$77)</f>
        <v>0</v>
      </c>
      <c r="Y180" s="127">
        <f t="shared" si="186"/>
        <v>0</v>
      </c>
      <c r="DA180" s="178"/>
    </row>
    <row r="181" spans="1:105" ht="11.45" customHeight="1" x14ac:dyDescent="0.25">
      <c r="A181" s="27" t="s">
        <v>169</v>
      </c>
      <c r="B181" s="31">
        <f>IF(B89=0,0,B89/B$89)</f>
        <v>0</v>
      </c>
      <c r="C181" s="31">
        <f t="shared" ref="C181:W181" si="187">IF(C89=0,0,C89/C$89)</f>
        <v>0</v>
      </c>
      <c r="D181" s="31">
        <f t="shared" si="187"/>
        <v>0</v>
      </c>
      <c r="E181" s="31">
        <f t="shared" si="187"/>
        <v>0</v>
      </c>
      <c r="F181" s="31">
        <f t="shared" si="187"/>
        <v>0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0</v>
      </c>
      <c r="Y181" s="31">
        <f t="shared" si="188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189">IF(C90=0,0,C90/C$89)</f>
        <v>0</v>
      </c>
      <c r="D182" s="140">
        <f t="shared" si="189"/>
        <v>0</v>
      </c>
      <c r="E182" s="140">
        <f t="shared" si="189"/>
        <v>0</v>
      </c>
      <c r="F182" s="140">
        <f t="shared" si="189"/>
        <v>0</v>
      </c>
      <c r="G182" s="140">
        <f t="shared" si="189"/>
        <v>0.41616089806326173</v>
      </c>
      <c r="H182" s="140">
        <f t="shared" si="189"/>
        <v>0.41426382009731927</v>
      </c>
      <c r="I182" s="140">
        <f t="shared" si="189"/>
        <v>0.39803685453579568</v>
      </c>
      <c r="J182" s="140">
        <f t="shared" si="189"/>
        <v>0.39826523376813111</v>
      </c>
      <c r="K182" s="140">
        <f t="shared" si="189"/>
        <v>0.40743299733590105</v>
      </c>
      <c r="L182" s="140">
        <f t="shared" si="189"/>
        <v>0.33985971961320266</v>
      </c>
      <c r="M182" s="140">
        <f t="shared" si="189"/>
        <v>0.28897942591830289</v>
      </c>
      <c r="N182" s="140">
        <f t="shared" si="189"/>
        <v>0.34705131768772574</v>
      </c>
      <c r="O182" s="140">
        <f t="shared" si="189"/>
        <v>0.30805148009200606</v>
      </c>
      <c r="P182" s="140">
        <f t="shared" si="189"/>
        <v>0.32861962037259868</v>
      </c>
      <c r="Q182" s="140">
        <f t="shared" si="189"/>
        <v>0.32161392126642679</v>
      </c>
      <c r="R182" s="140">
        <f t="shared" si="189"/>
        <v>0.33853888852542602</v>
      </c>
      <c r="S182" s="140">
        <f t="shared" si="189"/>
        <v>0.31574903756596168</v>
      </c>
      <c r="T182" s="140">
        <f t="shared" si="189"/>
        <v>0.29704444712322836</v>
      </c>
      <c r="U182" s="140">
        <f t="shared" si="189"/>
        <v>0.28278561468620628</v>
      </c>
      <c r="V182" s="140">
        <f t="shared" si="189"/>
        <v>0.23534734211812278</v>
      </c>
      <c r="W182" s="140">
        <f t="shared" si="189"/>
        <v>0.19812305561074409</v>
      </c>
      <c r="X182" s="140">
        <f t="shared" ref="X182:Y182" si="190">IF(X90=0,0,X90/X$89)</f>
        <v>0</v>
      </c>
      <c r="Y182" s="140">
        <f t="shared" si="190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191">IF(C91=0,0,C91/C$89)</f>
        <v>0</v>
      </c>
      <c r="D183" s="127">
        <f t="shared" si="191"/>
        <v>0</v>
      </c>
      <c r="E183" s="127">
        <f t="shared" si="191"/>
        <v>0</v>
      </c>
      <c r="F183" s="127">
        <f t="shared" si="191"/>
        <v>0</v>
      </c>
      <c r="G183" s="127">
        <f t="shared" si="191"/>
        <v>0.58383910193673827</v>
      </c>
      <c r="H183" s="127">
        <f t="shared" si="191"/>
        <v>0.58573617990268068</v>
      </c>
      <c r="I183" s="127">
        <f t="shared" si="191"/>
        <v>0.60196314546420426</v>
      </c>
      <c r="J183" s="127">
        <f t="shared" si="191"/>
        <v>0.60173476623186894</v>
      </c>
      <c r="K183" s="127">
        <f t="shared" si="191"/>
        <v>0.5925670026640989</v>
      </c>
      <c r="L183" s="127">
        <f t="shared" si="191"/>
        <v>0.6601402803867974</v>
      </c>
      <c r="M183" s="127">
        <f t="shared" si="191"/>
        <v>0.71102057408169717</v>
      </c>
      <c r="N183" s="127">
        <f t="shared" si="191"/>
        <v>0.65294868231227421</v>
      </c>
      <c r="O183" s="127">
        <f t="shared" si="191"/>
        <v>0.69194851990799389</v>
      </c>
      <c r="P183" s="127">
        <f t="shared" si="191"/>
        <v>0.67138037962740138</v>
      </c>
      <c r="Q183" s="127">
        <f t="shared" si="191"/>
        <v>0.67838607873357326</v>
      </c>
      <c r="R183" s="127">
        <f t="shared" si="191"/>
        <v>0.66146111147457387</v>
      </c>
      <c r="S183" s="127">
        <f t="shared" si="191"/>
        <v>0.68425096243403838</v>
      </c>
      <c r="T183" s="127">
        <f t="shared" si="191"/>
        <v>0.70295555287677158</v>
      </c>
      <c r="U183" s="127">
        <f t="shared" si="191"/>
        <v>0.71721438531379367</v>
      </c>
      <c r="V183" s="127">
        <f t="shared" si="191"/>
        <v>0.76465265788187731</v>
      </c>
      <c r="W183" s="127">
        <f t="shared" si="191"/>
        <v>0.80187694438925594</v>
      </c>
      <c r="X183" s="127">
        <f t="shared" ref="X183:Y183" si="192">IF(X91=0,0,X91/X$89)</f>
        <v>0</v>
      </c>
      <c r="Y183" s="127">
        <f t="shared" si="19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43.91120388711677</v>
      </c>
      <c r="C186" s="32">
        <f t="shared" si="193"/>
        <v>43.083205964395042</v>
      </c>
      <c r="D186" s="32">
        <f t="shared" si="193"/>
        <v>43.027475455793521</v>
      </c>
      <c r="E186" s="32">
        <f t="shared" si="193"/>
        <v>42.086906534642729</v>
      </c>
      <c r="F186" s="32">
        <f t="shared" si="193"/>
        <v>40.178928970773505</v>
      </c>
      <c r="G186" s="32">
        <f t="shared" si="193"/>
        <v>40.72788567787736</v>
      </c>
      <c r="H186" s="32">
        <f t="shared" si="193"/>
        <v>40.760384843280953</v>
      </c>
      <c r="I186" s="32">
        <f t="shared" si="193"/>
        <v>39.899095254684141</v>
      </c>
      <c r="J186" s="32">
        <f t="shared" si="193"/>
        <v>41.933512837717821</v>
      </c>
      <c r="K186" s="32">
        <f t="shared" si="193"/>
        <v>39.727239361647172</v>
      </c>
      <c r="L186" s="32">
        <f t="shared" si="193"/>
        <v>40.516651129655401</v>
      </c>
      <c r="M186" s="32">
        <f t="shared" si="193"/>
        <v>40.779615955122679</v>
      </c>
      <c r="N186" s="32">
        <f t="shared" si="193"/>
        <v>40.089266811894575</v>
      </c>
      <c r="O186" s="32">
        <f t="shared" si="193"/>
        <v>39.142734608838978</v>
      </c>
      <c r="P186" s="32">
        <f t="shared" si="193"/>
        <v>38.2115709237519</v>
      </c>
      <c r="Q186" s="32">
        <f t="shared" si="193"/>
        <v>37.755719162127626</v>
      </c>
      <c r="R186" s="32">
        <f t="shared" si="193"/>
        <v>37.613875011659623</v>
      </c>
      <c r="S186" s="32">
        <f t="shared" si="193"/>
        <v>37.583958310876575</v>
      </c>
      <c r="T186" s="32">
        <f t="shared" si="193"/>
        <v>37.916811949429011</v>
      </c>
      <c r="U186" s="32">
        <f t="shared" si="193"/>
        <v>37.122592569851527</v>
      </c>
      <c r="V186" s="32">
        <f t="shared" si="193"/>
        <v>43.727686124884876</v>
      </c>
      <c r="W186" s="32">
        <f t="shared" si="193"/>
        <v>45.090057435955472</v>
      </c>
      <c r="X186" s="32">
        <f t="shared" si="193"/>
        <v>43.735952298668913</v>
      </c>
      <c r="Y186" s="32">
        <f t="shared" si="193"/>
        <v>42.311090173024375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45.000808368177999</v>
      </c>
      <c r="C187" s="141">
        <f t="shared" si="194"/>
        <v>44.143537330516232</v>
      </c>
      <c r="D187" s="141">
        <f t="shared" si="194"/>
        <v>44.121698526882703</v>
      </c>
      <c r="E187" s="141">
        <f t="shared" si="194"/>
        <v>43.097092420054231</v>
      </c>
      <c r="F187" s="141">
        <f t="shared" si="194"/>
        <v>40.889941360552868</v>
      </c>
      <c r="G187" s="141">
        <f t="shared" si="194"/>
        <v>41.515471098213986</v>
      </c>
      <c r="H187" s="141">
        <f t="shared" si="194"/>
        <v>41.519154083611319</v>
      </c>
      <c r="I187" s="141">
        <f t="shared" si="194"/>
        <v>40.512502898131721</v>
      </c>
      <c r="J187" s="141">
        <f t="shared" si="194"/>
        <v>42.628812958507901</v>
      </c>
      <c r="K187" s="141">
        <f t="shared" si="194"/>
        <v>40.435143787557323</v>
      </c>
      <c r="L187" s="141">
        <f t="shared" si="194"/>
        <v>41.191298827468607</v>
      </c>
      <c r="M187" s="141">
        <f t="shared" si="194"/>
        <v>41.568769014833165</v>
      </c>
      <c r="N187" s="141">
        <f t="shared" si="194"/>
        <v>40.729692303990667</v>
      </c>
      <c r="O187" s="141">
        <f t="shared" si="194"/>
        <v>39.798276683851178</v>
      </c>
      <c r="P187" s="141">
        <f t="shared" si="194"/>
        <v>38.719244890583084</v>
      </c>
      <c r="Q187" s="141">
        <f t="shared" si="194"/>
        <v>38.252096282972346</v>
      </c>
      <c r="R187" s="141">
        <f t="shared" si="194"/>
        <v>38.177542134172619</v>
      </c>
      <c r="S187" s="141">
        <f t="shared" si="194"/>
        <v>37.974692582552301</v>
      </c>
      <c r="T187" s="141">
        <f t="shared" si="194"/>
        <v>38.219648281651757</v>
      </c>
      <c r="U187" s="141">
        <f t="shared" si="194"/>
        <v>37.636937164186506</v>
      </c>
      <c r="V187" s="141">
        <f t="shared" si="194"/>
        <v>43.962265839377338</v>
      </c>
      <c r="W187" s="141">
        <f t="shared" si="194"/>
        <v>45.589580815184966</v>
      </c>
      <c r="X187" s="141">
        <f t="shared" si="194"/>
        <v>44.576703958927688</v>
      </c>
      <c r="Y187" s="141">
        <f t="shared" si="194"/>
        <v>43.407541932362953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38.905778913818644</v>
      </c>
      <c r="C188" s="97">
        <f t="shared" si="195"/>
        <v>38.716225858240762</v>
      </c>
      <c r="D188" s="97">
        <f t="shared" si="195"/>
        <v>38.512520808908228</v>
      </c>
      <c r="E188" s="97">
        <f t="shared" si="195"/>
        <v>38.245528527640829</v>
      </c>
      <c r="F188" s="97">
        <f t="shared" si="195"/>
        <v>37.948944420631648</v>
      </c>
      <c r="G188" s="97">
        <f t="shared" si="195"/>
        <v>37.654116651028687</v>
      </c>
      <c r="H188" s="97">
        <f t="shared" si="195"/>
        <v>37.107313905701886</v>
      </c>
      <c r="I188" s="97">
        <f t="shared" si="195"/>
        <v>35.69940606571361</v>
      </c>
      <c r="J188" s="97">
        <f t="shared" si="195"/>
        <v>34.889597597392523</v>
      </c>
      <c r="K188" s="97">
        <f t="shared" si="195"/>
        <v>36.022389984556867</v>
      </c>
      <c r="L188" s="97">
        <f t="shared" si="195"/>
        <v>33.968370617224188</v>
      </c>
      <c r="M188" s="97">
        <f t="shared" si="195"/>
        <v>33.732976460520341</v>
      </c>
      <c r="N188" s="97">
        <f t="shared" si="195"/>
        <v>33.791051115609612</v>
      </c>
      <c r="O188" s="97">
        <f t="shared" si="195"/>
        <v>33.508994699148126</v>
      </c>
      <c r="P188" s="97">
        <f t="shared" si="195"/>
        <v>33.096321954875179</v>
      </c>
      <c r="Q188" s="97">
        <f t="shared" si="195"/>
        <v>32.417364830087429</v>
      </c>
      <c r="R188" s="97">
        <f t="shared" si="195"/>
        <v>31.799428018290861</v>
      </c>
      <c r="S188" s="97">
        <f t="shared" si="195"/>
        <v>32.405659166778861</v>
      </c>
      <c r="T188" s="97">
        <f t="shared" si="195"/>
        <v>32.005317907462626</v>
      </c>
      <c r="U188" s="97">
        <f t="shared" si="195"/>
        <v>31.561719046604598</v>
      </c>
      <c r="V188" s="97">
        <f t="shared" si="195"/>
        <v>31.357748592753065</v>
      </c>
      <c r="W188" s="97">
        <f t="shared" si="195"/>
        <v>31.059470434992321</v>
      </c>
      <c r="X188" s="97">
        <f t="shared" si="195"/>
        <v>30.707953634785095</v>
      </c>
      <c r="Y188" s="97">
        <f t="shared" si="195"/>
        <v>30.330860339292173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48.875157859111233</v>
      </c>
      <c r="C189" s="97">
        <f t="shared" si="196"/>
        <v>47.885181375714374</v>
      </c>
      <c r="D189" s="97">
        <f t="shared" si="196"/>
        <v>47.783692374104319</v>
      </c>
      <c r="E189" s="97">
        <f t="shared" si="196"/>
        <v>46.908651801547713</v>
      </c>
      <c r="F189" s="97">
        <f t="shared" si="196"/>
        <v>43.73942278255177</v>
      </c>
      <c r="G189" s="97">
        <f t="shared" si="196"/>
        <v>44.216780600936673</v>
      </c>
      <c r="H189" s="97">
        <f t="shared" si="196"/>
        <v>44.277083026679264</v>
      </c>
      <c r="I189" s="97">
        <f t="shared" si="196"/>
        <v>43.145474204017667</v>
      </c>
      <c r="J189" s="97">
        <f t="shared" si="196"/>
        <v>45.345927766108154</v>
      </c>
      <c r="K189" s="97">
        <f t="shared" si="196"/>
        <v>42.809276324380399</v>
      </c>
      <c r="L189" s="97">
        <f t="shared" si="196"/>
        <v>43.704692568522539</v>
      </c>
      <c r="M189" s="97">
        <f t="shared" si="196"/>
        <v>44.213721194817126</v>
      </c>
      <c r="N189" s="97">
        <f t="shared" si="196"/>
        <v>43.270859981628654</v>
      </c>
      <c r="O189" s="97">
        <f t="shared" si="196"/>
        <v>42.28788536484813</v>
      </c>
      <c r="P189" s="97">
        <f t="shared" si="196"/>
        <v>41.207747672748717</v>
      </c>
      <c r="Q189" s="97">
        <f t="shared" si="196"/>
        <v>40.731092235297886</v>
      </c>
      <c r="R189" s="97">
        <f t="shared" si="196"/>
        <v>40.775272516098354</v>
      </c>
      <c r="S189" s="97">
        <f t="shared" si="196"/>
        <v>40.430390155258337</v>
      </c>
      <c r="T189" s="97">
        <f t="shared" si="196"/>
        <v>40.794080964502811</v>
      </c>
      <c r="U189" s="97">
        <f t="shared" si="196"/>
        <v>39.971202606274915</v>
      </c>
      <c r="V189" s="97">
        <f t="shared" si="196"/>
        <v>46.018661819684773</v>
      </c>
      <c r="W189" s="97">
        <f t="shared" si="196"/>
        <v>48.105941453774697</v>
      </c>
      <c r="X189" s="97">
        <f t="shared" si="196"/>
        <v>47.90103803022685</v>
      </c>
      <c r="Y189" s="97">
        <f t="shared" si="196"/>
        <v>46.764085822737492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22.671545869936466</v>
      </c>
      <c r="C190" s="97">
        <f t="shared" si="197"/>
        <v>21.340011340010733</v>
      </c>
      <c r="D190" s="97">
        <f t="shared" si="197"/>
        <v>20.917134872218003</v>
      </c>
      <c r="E190" s="97">
        <f t="shared" si="197"/>
        <v>19.646375409165564</v>
      </c>
      <c r="F190" s="97">
        <f t="shared" si="197"/>
        <v>21.477735866562746</v>
      </c>
      <c r="G190" s="97">
        <f t="shared" si="197"/>
        <v>21.820968881939383</v>
      </c>
      <c r="H190" s="97">
        <f t="shared" si="197"/>
        <v>21.473841516301807</v>
      </c>
      <c r="I190" s="97">
        <f t="shared" si="197"/>
        <v>20.941147600181193</v>
      </c>
      <c r="J190" s="97">
        <f t="shared" si="197"/>
        <v>21.596978537354548</v>
      </c>
      <c r="K190" s="97">
        <f t="shared" si="197"/>
        <v>21.552048992089624</v>
      </c>
      <c r="L190" s="97">
        <f t="shared" si="197"/>
        <v>21.510847421050954</v>
      </c>
      <c r="M190" s="97">
        <f t="shared" si="197"/>
        <v>21.492694742272626</v>
      </c>
      <c r="N190" s="97">
        <f t="shared" si="197"/>
        <v>21.434158946036206</v>
      </c>
      <c r="O190" s="97">
        <f t="shared" si="197"/>
        <v>21.386452023906095</v>
      </c>
      <c r="P190" s="97">
        <f t="shared" si="197"/>
        <v>20.616623825761415</v>
      </c>
      <c r="Q190" s="97">
        <f t="shared" si="197"/>
        <v>20.659351032665736</v>
      </c>
      <c r="R190" s="97">
        <f t="shared" si="197"/>
        <v>19.831524178565672</v>
      </c>
      <c r="S190" s="97">
        <f t="shared" si="197"/>
        <v>20.263101796644285</v>
      </c>
      <c r="T190" s="97">
        <f t="shared" si="197"/>
        <v>19.58376805923384</v>
      </c>
      <c r="U190" s="97">
        <f t="shared" si="197"/>
        <v>20.559644480989267</v>
      </c>
      <c r="V190" s="97">
        <f t="shared" si="197"/>
        <v>23.863358102812455</v>
      </c>
      <c r="W190" s="97">
        <f t="shared" si="197"/>
        <v>23.876819882102694</v>
      </c>
      <c r="X190" s="97">
        <f t="shared" si="197"/>
        <v>20.977392255805853</v>
      </c>
      <c r="Y190" s="97">
        <f t="shared" si="197"/>
        <v>20.391249642611744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14.257627014664653</v>
      </c>
      <c r="C191" s="130">
        <f t="shared" si="198"/>
        <v>14.24575587034427</v>
      </c>
      <c r="D191" s="130">
        <f t="shared" si="198"/>
        <v>14.242643798786386</v>
      </c>
      <c r="E191" s="130">
        <f t="shared" si="198"/>
        <v>14.992662707564019</v>
      </c>
      <c r="F191" s="130">
        <f t="shared" si="198"/>
        <v>17.337676590231144</v>
      </c>
      <c r="G191" s="130">
        <f t="shared" si="198"/>
        <v>17.283462600908642</v>
      </c>
      <c r="H191" s="130">
        <f t="shared" si="198"/>
        <v>17.140746636012953</v>
      </c>
      <c r="I191" s="130">
        <f t="shared" si="198"/>
        <v>16.938569627258968</v>
      </c>
      <c r="J191" s="130">
        <f t="shared" si="198"/>
        <v>15.96357729353412</v>
      </c>
      <c r="K191" s="130">
        <f t="shared" si="198"/>
        <v>14.266304729070953</v>
      </c>
      <c r="L191" s="130">
        <f t="shared" si="198"/>
        <v>14.61491870637464</v>
      </c>
      <c r="M191" s="130">
        <f t="shared" si="198"/>
        <v>14.104669843495691</v>
      </c>
      <c r="N191" s="130">
        <f t="shared" si="198"/>
        <v>14.747559433014624</v>
      </c>
      <c r="O191" s="130">
        <f t="shared" si="198"/>
        <v>13.427911455408521</v>
      </c>
      <c r="P191" s="130">
        <f t="shared" si="198"/>
        <v>13.861479004435015</v>
      </c>
      <c r="Q191" s="130">
        <f t="shared" si="198"/>
        <v>15.749858158903791</v>
      </c>
      <c r="R191" s="130">
        <f t="shared" si="198"/>
        <v>15.952999535669848</v>
      </c>
      <c r="S191" s="130">
        <f t="shared" si="198"/>
        <v>24.483765328128783</v>
      </c>
      <c r="T191" s="130">
        <f t="shared" si="198"/>
        <v>18.585174103479773</v>
      </c>
      <c r="U191" s="130">
        <f t="shared" si="198"/>
        <v>17.972814363251693</v>
      </c>
      <c r="V191" s="130">
        <f t="shared" si="198"/>
        <v>20.92630311361896</v>
      </c>
      <c r="W191" s="130">
        <f t="shared" si="198"/>
        <v>22.834836749943847</v>
      </c>
      <c r="X191" s="130">
        <f t="shared" si="198"/>
        <v>14.732090739666841</v>
      </c>
      <c r="Y191" s="130">
        <f t="shared" si="198"/>
        <v>16.380210688638467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0</v>
      </c>
      <c r="C192" s="97">
        <f t="shared" si="199"/>
        <v>0</v>
      </c>
      <c r="D192" s="97">
        <f t="shared" si="199"/>
        <v>0</v>
      </c>
      <c r="E192" s="97">
        <f t="shared" si="199"/>
        <v>0</v>
      </c>
      <c r="F192" s="97">
        <f t="shared" si="199"/>
        <v>0</v>
      </c>
      <c r="G192" s="97">
        <f t="shared" si="199"/>
        <v>0</v>
      </c>
      <c r="H192" s="97">
        <f t="shared" si="199"/>
        <v>0</v>
      </c>
      <c r="I192" s="97">
        <f t="shared" si="199"/>
        <v>0</v>
      </c>
      <c r="J192" s="97">
        <f t="shared" si="199"/>
        <v>0</v>
      </c>
      <c r="K192" s="97">
        <f t="shared" si="199"/>
        <v>0</v>
      </c>
      <c r="L192" s="97">
        <f t="shared" si="199"/>
        <v>0</v>
      </c>
      <c r="M192" s="97">
        <f t="shared" si="199"/>
        <v>0</v>
      </c>
      <c r="N192" s="97">
        <f t="shared" si="199"/>
        <v>0</v>
      </c>
      <c r="O192" s="97">
        <f t="shared" si="199"/>
        <v>0</v>
      </c>
      <c r="P192" s="97">
        <f t="shared" si="199"/>
        <v>0</v>
      </c>
      <c r="Q192" s="97">
        <f t="shared" si="199"/>
        <v>0</v>
      </c>
      <c r="R192" s="97">
        <f t="shared" si="199"/>
        <v>0</v>
      </c>
      <c r="S192" s="97">
        <f t="shared" si="199"/>
        <v>0</v>
      </c>
      <c r="T192" s="97">
        <f t="shared" si="199"/>
        <v>0</v>
      </c>
      <c r="U192" s="97">
        <f t="shared" si="199"/>
        <v>0</v>
      </c>
      <c r="V192" s="97">
        <f t="shared" si="199"/>
        <v>0</v>
      </c>
      <c r="W192" s="97">
        <f t="shared" si="199"/>
        <v>0</v>
      </c>
      <c r="X192" s="97">
        <f t="shared" si="199"/>
        <v>0</v>
      </c>
      <c r="Y192" s="97">
        <f t="shared" si="199"/>
        <v>0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14.257627014664653</v>
      </c>
      <c r="C193" s="97">
        <f t="shared" si="200"/>
        <v>14.24575587034427</v>
      </c>
      <c r="D193" s="97">
        <f t="shared" si="200"/>
        <v>14.242643798786386</v>
      </c>
      <c r="E193" s="97">
        <f t="shared" si="200"/>
        <v>14.992662707564019</v>
      </c>
      <c r="F193" s="97">
        <f t="shared" si="200"/>
        <v>17.337676590231144</v>
      </c>
      <c r="G193" s="97">
        <f t="shared" si="200"/>
        <v>17.283462600908642</v>
      </c>
      <c r="H193" s="97">
        <f t="shared" si="200"/>
        <v>17.140746636012953</v>
      </c>
      <c r="I193" s="97">
        <f t="shared" si="200"/>
        <v>16.938569627258968</v>
      </c>
      <c r="J193" s="97">
        <f t="shared" si="200"/>
        <v>16.05396632415561</v>
      </c>
      <c r="K193" s="97">
        <f t="shared" si="200"/>
        <v>14.348250058627416</v>
      </c>
      <c r="L193" s="97">
        <f t="shared" si="200"/>
        <v>14.704426947170145</v>
      </c>
      <c r="M193" s="97">
        <f t="shared" si="200"/>
        <v>14.185097727875293</v>
      </c>
      <c r="N193" s="97">
        <f t="shared" si="200"/>
        <v>14.828074989538317</v>
      </c>
      <c r="O193" s="97">
        <f t="shared" si="200"/>
        <v>13.483001371071916</v>
      </c>
      <c r="P193" s="97">
        <f t="shared" si="200"/>
        <v>13.907847584288829</v>
      </c>
      <c r="Q193" s="97">
        <f t="shared" si="200"/>
        <v>15.798754411341344</v>
      </c>
      <c r="R193" s="97">
        <f t="shared" si="200"/>
        <v>15.990300469791663</v>
      </c>
      <c r="S193" s="97">
        <f t="shared" si="200"/>
        <v>24.523725986269362</v>
      </c>
      <c r="T193" s="97">
        <f t="shared" si="200"/>
        <v>18.613363578232384</v>
      </c>
      <c r="U193" s="97">
        <f t="shared" si="200"/>
        <v>17.998931891882194</v>
      </c>
      <c r="V193" s="97">
        <f t="shared" si="200"/>
        <v>20.921390681692049</v>
      </c>
      <c r="W193" s="97">
        <f t="shared" si="200"/>
        <v>23.376034319010031</v>
      </c>
      <c r="X193" s="97">
        <f t="shared" si="200"/>
        <v>15.02768700904147</v>
      </c>
      <c r="Y193" s="97">
        <f t="shared" si="200"/>
        <v>17.462100942288302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11.114851436624054</v>
      </c>
      <c r="K194" s="97">
        <f t="shared" si="201"/>
        <v>10.389266324430782</v>
      </c>
      <c r="L194" s="97">
        <f t="shared" si="201"/>
        <v>10.383135057109151</v>
      </c>
      <c r="M194" s="97">
        <f t="shared" si="201"/>
        <v>10.031063819513468</v>
      </c>
      <c r="N194" s="97">
        <f t="shared" si="201"/>
        <v>10.361765919747613</v>
      </c>
      <c r="O194" s="97">
        <f t="shared" si="201"/>
        <v>10.097838227592725</v>
      </c>
      <c r="P194" s="97">
        <f t="shared" si="201"/>
        <v>10.174273622033706</v>
      </c>
      <c r="Q194" s="97">
        <f t="shared" si="201"/>
        <v>10.315388959415657</v>
      </c>
      <c r="R194" s="97">
        <f t="shared" si="201"/>
        <v>10.146487457374008</v>
      </c>
      <c r="S194" s="97">
        <f t="shared" si="201"/>
        <v>9.7330927783916348</v>
      </c>
      <c r="T194" s="97">
        <f t="shared" si="201"/>
        <v>9.6683235450013481</v>
      </c>
      <c r="U194" s="97">
        <f t="shared" si="201"/>
        <v>9.4131696064537422</v>
      </c>
      <c r="V194" s="97">
        <f t="shared" si="201"/>
        <v>25.072395659933171</v>
      </c>
      <c r="W194" s="97">
        <f t="shared" si="201"/>
        <v>13.273679696441301</v>
      </c>
      <c r="X194" s="97">
        <f t="shared" si="201"/>
        <v>10.114919513186464</v>
      </c>
      <c r="Y194" s="97">
        <f t="shared" si="201"/>
        <v>9.0119686453601133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36.396920031685077</v>
      </c>
      <c r="C195" s="130">
        <f t="shared" si="202"/>
        <v>36.229224850997475</v>
      </c>
      <c r="D195" s="130">
        <f t="shared" si="202"/>
        <v>36.227739053139643</v>
      </c>
      <c r="E195" s="130">
        <f t="shared" si="202"/>
        <v>36.379729617910776</v>
      </c>
      <c r="F195" s="130">
        <f t="shared" si="202"/>
        <v>36.189722160698125</v>
      </c>
      <c r="G195" s="130">
        <f t="shared" si="202"/>
        <v>35.371408224963737</v>
      </c>
      <c r="H195" s="130">
        <f t="shared" si="202"/>
        <v>36.578235507664246</v>
      </c>
      <c r="I195" s="130">
        <f t="shared" si="202"/>
        <v>39.852023147942454</v>
      </c>
      <c r="J195" s="130">
        <f t="shared" si="202"/>
        <v>42.24016246198223</v>
      </c>
      <c r="K195" s="130">
        <f t="shared" si="202"/>
        <v>38.401349808257535</v>
      </c>
      <c r="L195" s="130">
        <f t="shared" si="202"/>
        <v>39.482242415316612</v>
      </c>
      <c r="M195" s="130">
        <f t="shared" si="202"/>
        <v>34.22911058159967</v>
      </c>
      <c r="N195" s="130">
        <f t="shared" si="202"/>
        <v>37.324773993868234</v>
      </c>
      <c r="O195" s="130">
        <f t="shared" si="202"/>
        <v>37.154910086135708</v>
      </c>
      <c r="P195" s="130">
        <f t="shared" si="202"/>
        <v>38.52159226784984</v>
      </c>
      <c r="Q195" s="130">
        <f t="shared" si="202"/>
        <v>36.353326071255189</v>
      </c>
      <c r="R195" s="130">
        <f t="shared" si="202"/>
        <v>32.116525385208803</v>
      </c>
      <c r="S195" s="130">
        <f t="shared" si="202"/>
        <v>31.839257594144367</v>
      </c>
      <c r="T195" s="130">
        <f t="shared" si="202"/>
        <v>39.446637612960757</v>
      </c>
      <c r="U195" s="130">
        <f t="shared" si="202"/>
        <v>30.720667595706498</v>
      </c>
      <c r="V195" s="130">
        <f t="shared" si="202"/>
        <v>57.732118420428392</v>
      </c>
      <c r="W195" s="130">
        <f t="shared" si="202"/>
        <v>41.741636254046334</v>
      </c>
      <c r="X195" s="130">
        <f t="shared" si="202"/>
        <v>37.061305229263553</v>
      </c>
      <c r="Y195" s="130">
        <f t="shared" si="202"/>
        <v>26.034636645805048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40.499420846473186</v>
      </c>
      <c r="C197" s="97">
        <f t="shared" si="204"/>
        <v>40.080138788083424</v>
      </c>
      <c r="D197" s="97">
        <f t="shared" si="204"/>
        <v>39.989660768949989</v>
      </c>
      <c r="E197" s="97">
        <f t="shared" si="204"/>
        <v>40.319462349584761</v>
      </c>
      <c r="F197" s="97">
        <f t="shared" si="204"/>
        <v>40.152552658109492</v>
      </c>
      <c r="G197" s="97">
        <f t="shared" si="204"/>
        <v>36.204942365778336</v>
      </c>
      <c r="H197" s="97">
        <f t="shared" si="204"/>
        <v>37.759992700271148</v>
      </c>
      <c r="I197" s="97">
        <f t="shared" si="204"/>
        <v>43.518743029558294</v>
      </c>
      <c r="J197" s="97">
        <f t="shared" si="204"/>
        <v>46.614834060634387</v>
      </c>
      <c r="K197" s="97">
        <f t="shared" si="204"/>
        <v>44.520115741008901</v>
      </c>
      <c r="L197" s="97">
        <f t="shared" si="204"/>
        <v>46.238004280833984</v>
      </c>
      <c r="M197" s="97">
        <f t="shared" si="204"/>
        <v>38.153105871285248</v>
      </c>
      <c r="N197" s="97">
        <f t="shared" si="204"/>
        <v>46.995448584762727</v>
      </c>
      <c r="O197" s="97">
        <f t="shared" si="204"/>
        <v>45.468705714967292</v>
      </c>
      <c r="P197" s="97">
        <f t="shared" si="204"/>
        <v>44.616202509890059</v>
      </c>
      <c r="Q197" s="97">
        <f t="shared" si="204"/>
        <v>40.761510659863255</v>
      </c>
      <c r="R197" s="97">
        <f t="shared" si="204"/>
        <v>33.253317010226368</v>
      </c>
      <c r="S197" s="97">
        <f t="shared" si="204"/>
        <v>34.644070071568542</v>
      </c>
      <c r="T197" s="97">
        <f t="shared" si="204"/>
        <v>43.110527452954905</v>
      </c>
      <c r="U197" s="97">
        <f t="shared" si="204"/>
        <v>34.393546426150877</v>
      </c>
      <c r="V197" s="97">
        <f t="shared" si="204"/>
        <v>54.441836730255268</v>
      </c>
      <c r="W197" s="97">
        <f t="shared" si="204"/>
        <v>44.046711152175391</v>
      </c>
      <c r="X197" s="97">
        <f t="shared" si="204"/>
        <v>46.837346939014061</v>
      </c>
      <c r="Y197" s="97">
        <f t="shared" si="204"/>
        <v>33.381789961986129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31.366223238398764</v>
      </c>
      <c r="C198" s="97">
        <f t="shared" si="205"/>
        <v>31.446616919207937</v>
      </c>
      <c r="D198" s="97">
        <f t="shared" si="205"/>
        <v>31.531836285392661</v>
      </c>
      <c r="E198" s="97">
        <f t="shared" si="205"/>
        <v>31.505478562816158</v>
      </c>
      <c r="F198" s="97">
        <f t="shared" si="205"/>
        <v>31.298718035587218</v>
      </c>
      <c r="G198" s="97">
        <f t="shared" si="205"/>
        <v>34.08757490244664</v>
      </c>
      <c r="H198" s="97">
        <f t="shared" si="205"/>
        <v>34.676010490160422</v>
      </c>
      <c r="I198" s="97">
        <f t="shared" si="205"/>
        <v>34.561862396970497</v>
      </c>
      <c r="J198" s="97">
        <f t="shared" si="205"/>
        <v>36.28125245027578</v>
      </c>
      <c r="K198" s="97">
        <f t="shared" si="205"/>
        <v>31.350304241127759</v>
      </c>
      <c r="L198" s="97">
        <f t="shared" si="205"/>
        <v>32.099335982306371</v>
      </c>
      <c r="M198" s="97">
        <f t="shared" si="205"/>
        <v>29.46807410782127</v>
      </c>
      <c r="N198" s="97">
        <f t="shared" si="205"/>
        <v>28.415245256322788</v>
      </c>
      <c r="O198" s="97">
        <f t="shared" si="205"/>
        <v>28.945313941945063</v>
      </c>
      <c r="P198" s="97">
        <f t="shared" si="205"/>
        <v>31.756807335344263</v>
      </c>
      <c r="Q198" s="97">
        <f t="shared" si="205"/>
        <v>30.812572059647163</v>
      </c>
      <c r="R198" s="97">
        <f t="shared" si="205"/>
        <v>30.319569736841583</v>
      </c>
      <c r="S198" s="97">
        <f t="shared" si="205"/>
        <v>27.61600138053668</v>
      </c>
      <c r="T198" s="97">
        <f t="shared" si="205"/>
        <v>34.051070986007574</v>
      </c>
      <c r="U198" s="97">
        <f t="shared" si="205"/>
        <v>25.985974566069284</v>
      </c>
      <c r="V198" s="97">
        <f t="shared" si="205"/>
        <v>62.042778521611915</v>
      </c>
      <c r="W198" s="97">
        <f t="shared" si="205"/>
        <v>38.973267588545198</v>
      </c>
      <c r="X198" s="97">
        <f t="shared" si="205"/>
        <v>27.100218817377112</v>
      </c>
      <c r="Y198" s="97">
        <f t="shared" si="205"/>
        <v>18.874497091470779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15.066438110202629</v>
      </c>
      <c r="C199" s="32">
        <f t="shared" si="206"/>
        <v>21.158679692559812</v>
      </c>
      <c r="D199" s="32">
        <f t="shared" si="206"/>
        <v>21.811527939158594</v>
      </c>
      <c r="E199" s="32">
        <f t="shared" si="206"/>
        <v>25.394030101149795</v>
      </c>
      <c r="F199" s="32">
        <f t="shared" si="206"/>
        <v>31.495495524262743</v>
      </c>
      <c r="G199" s="32">
        <f t="shared" si="206"/>
        <v>35.836600905205046</v>
      </c>
      <c r="H199" s="32">
        <f t="shared" si="206"/>
        <v>36.770490498266945</v>
      </c>
      <c r="I199" s="32">
        <f t="shared" si="206"/>
        <v>48.67884474881042</v>
      </c>
      <c r="J199" s="32">
        <f t="shared" si="206"/>
        <v>67.771807268160345</v>
      </c>
      <c r="K199" s="32">
        <f t="shared" si="206"/>
        <v>51.363200847900309</v>
      </c>
      <c r="L199" s="32">
        <f t="shared" si="206"/>
        <v>52.235340673032788</v>
      </c>
      <c r="M199" s="32">
        <f t="shared" si="206"/>
        <v>59.345375486094092</v>
      </c>
      <c r="N199" s="32">
        <f t="shared" si="206"/>
        <v>66.587350804674372</v>
      </c>
      <c r="O199" s="32">
        <f t="shared" si="206"/>
        <v>59.150520742021804</v>
      </c>
      <c r="P199" s="32">
        <f t="shared" si="206"/>
        <v>55.986302632776436</v>
      </c>
      <c r="Q199" s="32">
        <f t="shared" si="206"/>
        <v>51.193042881571429</v>
      </c>
      <c r="R199" s="32">
        <f t="shared" si="206"/>
        <v>55.560230779852859</v>
      </c>
      <c r="S199" s="32">
        <f t="shared" si="206"/>
        <v>50.37898288647623</v>
      </c>
      <c r="T199" s="32">
        <f t="shared" si="206"/>
        <v>50.491351454376321</v>
      </c>
      <c r="U199" s="32">
        <f t="shared" si="206"/>
        <v>46.307029587975869</v>
      </c>
      <c r="V199" s="32">
        <f t="shared" si="206"/>
        <v>39.837522644059938</v>
      </c>
      <c r="W199" s="32">
        <f t="shared" si="206"/>
        <v>46.058819734095856</v>
      </c>
      <c r="X199" s="32">
        <f t="shared" si="206"/>
        <v>48.729018211358287</v>
      </c>
      <c r="Y199" s="32">
        <f t="shared" si="206"/>
        <v>37.428354786377938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20.297330904465692</v>
      </c>
      <c r="C200" s="141">
        <f t="shared" si="207"/>
        <v>28.878321548006522</v>
      </c>
      <c r="D200" s="141">
        <f t="shared" si="207"/>
        <v>30.225536439846412</v>
      </c>
      <c r="E200" s="141">
        <f t="shared" si="207"/>
        <v>35.283178438277659</v>
      </c>
      <c r="F200" s="141">
        <f t="shared" si="207"/>
        <v>43.176888404838174</v>
      </c>
      <c r="G200" s="141">
        <f t="shared" si="207"/>
        <v>49.358879786550233</v>
      </c>
      <c r="H200" s="141">
        <f t="shared" si="207"/>
        <v>50.006428983759541</v>
      </c>
      <c r="I200" s="141">
        <f t="shared" si="207"/>
        <v>67.200824713221266</v>
      </c>
      <c r="J200" s="141">
        <f t="shared" si="207"/>
        <v>93.939134718735858</v>
      </c>
      <c r="K200" s="141">
        <f t="shared" si="207"/>
        <v>69.316061527588516</v>
      </c>
      <c r="L200" s="141">
        <f t="shared" si="207"/>
        <v>74.45406174291044</v>
      </c>
      <c r="M200" s="141">
        <f t="shared" si="207"/>
        <v>87.362490417836852</v>
      </c>
      <c r="N200" s="141">
        <f t="shared" si="207"/>
        <v>96.659965980811023</v>
      </c>
      <c r="O200" s="141">
        <f t="shared" si="207"/>
        <v>88.095129323851495</v>
      </c>
      <c r="P200" s="141">
        <f t="shared" si="207"/>
        <v>84.563249532659853</v>
      </c>
      <c r="Q200" s="141">
        <f t="shared" si="207"/>
        <v>76.231643865108055</v>
      </c>
      <c r="R200" s="141">
        <f t="shared" si="207"/>
        <v>81.799998492340109</v>
      </c>
      <c r="S200" s="141">
        <f t="shared" si="207"/>
        <v>75.867517733905601</v>
      </c>
      <c r="T200" s="141">
        <f t="shared" si="207"/>
        <v>75.513949573579595</v>
      </c>
      <c r="U200" s="141">
        <f t="shared" si="207"/>
        <v>69.528823019623317</v>
      </c>
      <c r="V200" s="141">
        <f t="shared" si="207"/>
        <v>58.500447389155788</v>
      </c>
      <c r="W200" s="141">
        <f t="shared" si="207"/>
        <v>67.181419476844198</v>
      </c>
      <c r="X200" s="141">
        <f t="shared" si="207"/>
        <v>69.953764559371308</v>
      </c>
      <c r="Y200" s="141">
        <f t="shared" si="207"/>
        <v>51.773187148730997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673.45219723065043</v>
      </c>
      <c r="C201" s="97">
        <f t="shared" si="208"/>
        <v>660.29153100283349</v>
      </c>
      <c r="D201" s="97">
        <f t="shared" si="208"/>
        <v>653.39723402812945</v>
      </c>
      <c r="E201" s="97">
        <f t="shared" si="208"/>
        <v>647.42825226004334</v>
      </c>
      <c r="F201" s="97">
        <f t="shared" si="208"/>
        <v>646.08559981242433</v>
      </c>
      <c r="G201" s="97">
        <f t="shared" si="208"/>
        <v>642.63529792413578</v>
      </c>
      <c r="H201" s="97">
        <f t="shared" si="208"/>
        <v>641.52571680575056</v>
      </c>
      <c r="I201" s="97">
        <f t="shared" si="208"/>
        <v>640.11257125588907</v>
      </c>
      <c r="J201" s="97">
        <f t="shared" si="208"/>
        <v>634.93051322914539</v>
      </c>
      <c r="K201" s="97">
        <f t="shared" si="208"/>
        <v>630.37931763166148</v>
      </c>
      <c r="L201" s="97">
        <f t="shared" si="208"/>
        <v>627.35238176078997</v>
      </c>
      <c r="M201" s="97">
        <f t="shared" si="208"/>
        <v>629.41307813556887</v>
      </c>
      <c r="N201" s="97">
        <f t="shared" si="208"/>
        <v>620.307320875134</v>
      </c>
      <c r="O201" s="97">
        <f t="shared" si="208"/>
        <v>614.5049939413791</v>
      </c>
      <c r="P201" s="97">
        <f t="shared" si="208"/>
        <v>610.90734008193726</v>
      </c>
      <c r="Q201" s="97">
        <f t="shared" si="208"/>
        <v>602.68557843355234</v>
      </c>
      <c r="R201" s="97">
        <f t="shared" si="208"/>
        <v>590.4169190503161</v>
      </c>
      <c r="S201" s="97">
        <f t="shared" si="208"/>
        <v>575.38128321049419</v>
      </c>
      <c r="T201" s="97">
        <f t="shared" si="208"/>
        <v>565.00385223247213</v>
      </c>
      <c r="U201" s="97">
        <f t="shared" si="208"/>
        <v>557.35011538978938</v>
      </c>
      <c r="V201" s="97">
        <f t="shared" si="208"/>
        <v>553.60092951663887</v>
      </c>
      <c r="W201" s="97">
        <f t="shared" si="208"/>
        <v>548.7001435318515</v>
      </c>
      <c r="X201" s="97">
        <f t="shared" si="208"/>
        <v>545.18518689404925</v>
      </c>
      <c r="Y201" s="97">
        <f t="shared" si="208"/>
        <v>542.01085642071405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13.0353351246057</v>
      </c>
      <c r="C202" s="97">
        <f t="shared" si="209"/>
        <v>21.750729143229169</v>
      </c>
      <c r="D202" s="97">
        <f t="shared" si="209"/>
        <v>22.885099456283779</v>
      </c>
      <c r="E202" s="97">
        <f t="shared" si="209"/>
        <v>27.564880624773849</v>
      </c>
      <c r="F202" s="97">
        <f t="shared" si="209"/>
        <v>35.723590812196321</v>
      </c>
      <c r="G202" s="97">
        <f t="shared" si="209"/>
        <v>41.54601082615563</v>
      </c>
      <c r="H202" s="97">
        <f t="shared" si="209"/>
        <v>42.249064668760624</v>
      </c>
      <c r="I202" s="97">
        <f t="shared" si="209"/>
        <v>58.968812256983554</v>
      </c>
      <c r="J202" s="97">
        <f t="shared" si="209"/>
        <v>85.21893804497175</v>
      </c>
      <c r="K202" s="97">
        <f t="shared" si="209"/>
        <v>58.358780026460835</v>
      </c>
      <c r="L202" s="97">
        <f t="shared" si="209"/>
        <v>63.416906313345457</v>
      </c>
      <c r="M202" s="97">
        <f t="shared" si="209"/>
        <v>76.004254173554784</v>
      </c>
      <c r="N202" s="97">
        <f t="shared" si="209"/>
        <v>85.133150381374065</v>
      </c>
      <c r="O202" s="97">
        <f t="shared" si="209"/>
        <v>76.117220986309619</v>
      </c>
      <c r="P202" s="97">
        <f t="shared" si="209"/>
        <v>72.239333652030439</v>
      </c>
      <c r="Q202" s="97">
        <f t="shared" si="209"/>
        <v>63.832225560825506</v>
      </c>
      <c r="R202" s="97">
        <f t="shared" si="209"/>
        <v>70.065309756096426</v>
      </c>
      <c r="S202" s="97">
        <f t="shared" si="209"/>
        <v>64.508284639132512</v>
      </c>
      <c r="T202" s="97">
        <f t="shared" si="209"/>
        <v>63.660915752480435</v>
      </c>
      <c r="U202" s="97">
        <f t="shared" si="209"/>
        <v>57.080485071209822</v>
      </c>
      <c r="V202" s="97">
        <f t="shared" si="209"/>
        <v>44.418713211081801</v>
      </c>
      <c r="W202" s="97">
        <f t="shared" si="209"/>
        <v>53.914564526096107</v>
      </c>
      <c r="X202" s="97">
        <f t="shared" si="209"/>
        <v>56.764046430660827</v>
      </c>
      <c r="Y202" s="97">
        <f t="shared" si="209"/>
        <v>38.244928602334035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4.860174402696857</v>
      </c>
      <c r="C203" s="130">
        <f t="shared" si="210"/>
        <v>5.2714886096404392</v>
      </c>
      <c r="D203" s="130">
        <f t="shared" si="210"/>
        <v>5.1754743929952394</v>
      </c>
      <c r="E203" s="130">
        <f t="shared" si="210"/>
        <v>5.0670939543726634</v>
      </c>
      <c r="F203" s="130">
        <f t="shared" si="210"/>
        <v>5.0022065658057429</v>
      </c>
      <c r="G203" s="130">
        <f t="shared" si="210"/>
        <v>4.9394656835696837</v>
      </c>
      <c r="H203" s="130">
        <f t="shared" si="210"/>
        <v>4.7331728297874687</v>
      </c>
      <c r="I203" s="130">
        <f t="shared" si="210"/>
        <v>4.3964338038231681</v>
      </c>
      <c r="J203" s="130">
        <f t="shared" si="210"/>
        <v>4.0135682355167761</v>
      </c>
      <c r="K203" s="130">
        <f t="shared" si="210"/>
        <v>3.8229403516696587</v>
      </c>
      <c r="L203" s="130">
        <f t="shared" si="210"/>
        <v>3.6844600048636185</v>
      </c>
      <c r="M203" s="130">
        <f t="shared" si="210"/>
        <v>3.7196852585397835</v>
      </c>
      <c r="N203" s="130">
        <f t="shared" si="210"/>
        <v>3.6047139693942754</v>
      </c>
      <c r="O203" s="130">
        <f t="shared" si="210"/>
        <v>3.582851523272149</v>
      </c>
      <c r="P203" s="130">
        <f t="shared" si="210"/>
        <v>3.8677641616220515</v>
      </c>
      <c r="Q203" s="130">
        <f t="shared" si="210"/>
        <v>3.541650098728848</v>
      </c>
      <c r="R203" s="130">
        <f t="shared" si="210"/>
        <v>3.2534118108320307</v>
      </c>
      <c r="S203" s="130">
        <f t="shared" si="210"/>
        <v>2.8788663065304876</v>
      </c>
      <c r="T203" s="130">
        <f t="shared" si="210"/>
        <v>3.3661549076909019</v>
      </c>
      <c r="U203" s="130">
        <f t="shared" si="210"/>
        <v>3.087666008337167</v>
      </c>
      <c r="V203" s="130">
        <f t="shared" si="210"/>
        <v>3.3252860002159736</v>
      </c>
      <c r="W203" s="130">
        <f t="shared" si="210"/>
        <v>2.9534150536392088</v>
      </c>
      <c r="X203" s="130">
        <f t="shared" si="210"/>
        <v>3.677747720747119</v>
      </c>
      <c r="Y203" s="130">
        <f t="shared" si="210"/>
        <v>3.2566313324112968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57.927401587917586</v>
      </c>
      <c r="C204" s="130">
        <f t="shared" si="211"/>
        <v>52.518048529651047</v>
      </c>
      <c r="D204" s="130">
        <f t="shared" si="211"/>
        <v>53.121758283476353</v>
      </c>
      <c r="E204" s="130">
        <f t="shared" si="211"/>
        <v>53.299584583431411</v>
      </c>
      <c r="F204" s="130">
        <f t="shared" si="211"/>
        <v>53.979814326275935</v>
      </c>
      <c r="G204" s="130">
        <f t="shared" si="211"/>
        <v>61.215074949480673</v>
      </c>
      <c r="H204" s="130">
        <f t="shared" si="211"/>
        <v>76.779374297236203</v>
      </c>
      <c r="I204" s="130">
        <f t="shared" si="211"/>
        <v>112.20171725761236</v>
      </c>
      <c r="J204" s="130">
        <f t="shared" si="211"/>
        <v>97.914943205355755</v>
      </c>
      <c r="K204" s="130">
        <f t="shared" si="211"/>
        <v>81.113576467338092</v>
      </c>
      <c r="L204" s="130">
        <f t="shared" si="211"/>
        <v>116.7625345752511</v>
      </c>
      <c r="M204" s="130">
        <f t="shared" si="211"/>
        <v>103.95192934040556</v>
      </c>
      <c r="N204" s="130">
        <f t="shared" si="211"/>
        <v>116.6118697289039</v>
      </c>
      <c r="O204" s="130">
        <f t="shared" si="211"/>
        <v>126.59087190421539</v>
      </c>
      <c r="P204" s="130">
        <f t="shared" si="211"/>
        <v>125.32626741956726</v>
      </c>
      <c r="Q204" s="130">
        <f t="shared" si="211"/>
        <v>128.61244309795472</v>
      </c>
      <c r="R204" s="130">
        <f t="shared" si="211"/>
        <v>99.318898913316445</v>
      </c>
      <c r="S204" s="130">
        <f t="shared" si="211"/>
        <v>108.4517187532487</v>
      </c>
      <c r="T204" s="130">
        <f t="shared" si="211"/>
        <v>124.34607479984915</v>
      </c>
      <c r="U204" s="130">
        <f t="shared" si="211"/>
        <v>107.21141972451998</v>
      </c>
      <c r="V204" s="130">
        <f t="shared" si="211"/>
        <v>242.11061823516476</v>
      </c>
      <c r="W204" s="130">
        <f t="shared" si="211"/>
        <v>195.00437732567048</v>
      </c>
      <c r="X204" s="130">
        <f t="shared" si="211"/>
        <v>224.92041886120884</v>
      </c>
      <c r="Y204" s="130">
        <f t="shared" si="211"/>
        <v>153.7495952387419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122.0248485304738</v>
      </c>
      <c r="C206" s="97">
        <f t="shared" si="213"/>
        <v>116.15334175950295</v>
      </c>
      <c r="D206" s="97">
        <f t="shared" si="213"/>
        <v>124.07049036499505</v>
      </c>
      <c r="E206" s="97">
        <f t="shared" si="213"/>
        <v>121.72328985312541</v>
      </c>
      <c r="F206" s="97">
        <f t="shared" si="213"/>
        <v>133.78446159156249</v>
      </c>
      <c r="G206" s="97">
        <f t="shared" si="213"/>
        <v>121.99634112292829</v>
      </c>
      <c r="H206" s="97">
        <f t="shared" si="213"/>
        <v>137.61173677455272</v>
      </c>
      <c r="I206" s="97">
        <f t="shared" si="213"/>
        <v>136.1577098920659</v>
      </c>
      <c r="J206" s="97">
        <f t="shared" si="213"/>
        <v>139.98384444325956</v>
      </c>
      <c r="K206" s="97">
        <f t="shared" si="213"/>
        <v>125.64673985247902</v>
      </c>
      <c r="L206" s="97">
        <f t="shared" si="213"/>
        <v>142.8553710353375</v>
      </c>
      <c r="M206" s="97">
        <f t="shared" si="213"/>
        <v>127.55901267823414</v>
      </c>
      <c r="N206" s="97">
        <f t="shared" si="213"/>
        <v>150.57830945673516</v>
      </c>
      <c r="O206" s="97">
        <f t="shared" si="213"/>
        <v>166.18394016462372</v>
      </c>
      <c r="P206" s="97">
        <f t="shared" si="213"/>
        <v>159.32780145882427</v>
      </c>
      <c r="Q206" s="97">
        <f t="shared" si="213"/>
        <v>143.87959220771847</v>
      </c>
      <c r="R206" s="97">
        <f t="shared" si="213"/>
        <v>108.38762637047175</v>
      </c>
      <c r="S206" s="97">
        <f t="shared" si="213"/>
        <v>126.82879311946321</v>
      </c>
      <c r="T206" s="97">
        <f t="shared" si="213"/>
        <v>151.95434740057925</v>
      </c>
      <c r="U206" s="97">
        <f t="shared" si="213"/>
        <v>137.36634970724873</v>
      </c>
      <c r="V206" s="97">
        <f t="shared" si="213"/>
        <v>303.76494697708546</v>
      </c>
      <c r="W206" s="97">
        <f t="shared" si="213"/>
        <v>236.43130578464536</v>
      </c>
      <c r="X206" s="97">
        <f t="shared" si="213"/>
        <v>295.83333713994978</v>
      </c>
      <c r="Y206" s="97">
        <f t="shared" si="213"/>
        <v>194.70191849083557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38.426345328079407</v>
      </c>
      <c r="C207" s="97">
        <f t="shared" si="214"/>
        <v>36.687614179856538</v>
      </c>
      <c r="D207" s="97">
        <f t="shared" si="214"/>
        <v>38.843493393190514</v>
      </c>
      <c r="E207" s="97">
        <f t="shared" si="214"/>
        <v>42.615934869017451</v>
      </c>
      <c r="F207" s="97">
        <f t="shared" si="214"/>
        <v>43.640344222262684</v>
      </c>
      <c r="G207" s="97">
        <f t="shared" si="214"/>
        <v>49.71832350046855</v>
      </c>
      <c r="H207" s="97">
        <f t="shared" si="214"/>
        <v>45.738216295921525</v>
      </c>
      <c r="I207" s="97">
        <f t="shared" si="214"/>
        <v>42.464992075357664</v>
      </c>
      <c r="J207" s="97">
        <f t="shared" si="214"/>
        <v>40.944573402246334</v>
      </c>
      <c r="K207" s="97">
        <f t="shared" si="214"/>
        <v>29.450671276076477</v>
      </c>
      <c r="L207" s="97">
        <f t="shared" si="214"/>
        <v>39.899040546144754</v>
      </c>
      <c r="M207" s="97">
        <f t="shared" si="214"/>
        <v>35.708295220775518</v>
      </c>
      <c r="N207" s="97">
        <f t="shared" si="214"/>
        <v>29.2399761719014</v>
      </c>
      <c r="O207" s="97">
        <f t="shared" si="214"/>
        <v>29.360651896380965</v>
      </c>
      <c r="P207" s="97">
        <f t="shared" si="214"/>
        <v>30.770233673039805</v>
      </c>
      <c r="Q207" s="97">
        <f t="shared" si="214"/>
        <v>31.713733507972915</v>
      </c>
      <c r="R207" s="97">
        <f t="shared" si="214"/>
        <v>33.751107232279402</v>
      </c>
      <c r="S207" s="97">
        <f t="shared" si="214"/>
        <v>30.277080139751906</v>
      </c>
      <c r="T207" s="97">
        <f t="shared" si="214"/>
        <v>34.768385173526106</v>
      </c>
      <c r="U207" s="97">
        <f t="shared" si="214"/>
        <v>27.591816391379808</v>
      </c>
      <c r="V207" s="97">
        <f t="shared" si="214"/>
        <v>68.652582685541987</v>
      </c>
      <c r="W207" s="97">
        <f t="shared" si="214"/>
        <v>48.459179264316418</v>
      </c>
      <c r="X207" s="97">
        <f t="shared" si="214"/>
        <v>33.463687316059683</v>
      </c>
      <c r="Y207" s="97">
        <f t="shared" si="214"/>
        <v>24.630296625286284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0</v>
      </c>
      <c r="C208" s="130">
        <f t="shared" si="215"/>
        <v>0</v>
      </c>
      <c r="D208" s="130">
        <f t="shared" si="215"/>
        <v>0</v>
      </c>
      <c r="E208" s="130">
        <f t="shared" si="215"/>
        <v>0</v>
      </c>
      <c r="F208" s="130">
        <f t="shared" si="215"/>
        <v>0</v>
      </c>
      <c r="G208" s="130">
        <f t="shared" si="215"/>
        <v>0</v>
      </c>
      <c r="H208" s="130">
        <f t="shared" si="215"/>
        <v>0</v>
      </c>
      <c r="I208" s="130">
        <f t="shared" si="215"/>
        <v>0</v>
      </c>
      <c r="J208" s="130">
        <f t="shared" si="215"/>
        <v>0</v>
      </c>
      <c r="K208" s="130">
        <f t="shared" si="215"/>
        <v>0</v>
      </c>
      <c r="L208" s="130">
        <f t="shared" si="215"/>
        <v>0</v>
      </c>
      <c r="M208" s="130">
        <f t="shared" si="215"/>
        <v>0</v>
      </c>
      <c r="N208" s="130">
        <f t="shared" si="215"/>
        <v>0</v>
      </c>
      <c r="O208" s="130">
        <f t="shared" si="215"/>
        <v>0</v>
      </c>
      <c r="P208" s="130">
        <f t="shared" si="215"/>
        <v>0</v>
      </c>
      <c r="Q208" s="130">
        <f t="shared" si="215"/>
        <v>0</v>
      </c>
      <c r="R208" s="130">
        <f t="shared" si="215"/>
        <v>0</v>
      </c>
      <c r="S208" s="130">
        <f t="shared" si="215"/>
        <v>0</v>
      </c>
      <c r="T208" s="130">
        <f t="shared" si="215"/>
        <v>0</v>
      </c>
      <c r="U208" s="130">
        <f t="shared" si="215"/>
        <v>0</v>
      </c>
      <c r="V208" s="130">
        <f t="shared" si="215"/>
        <v>0</v>
      </c>
      <c r="W208" s="130">
        <f t="shared" si="215"/>
        <v>0</v>
      </c>
      <c r="X208" s="130">
        <f t="shared" si="215"/>
        <v>0</v>
      </c>
      <c r="Y208" s="130">
        <f t="shared" si="215"/>
        <v>0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0</v>
      </c>
      <c r="H209" s="97">
        <f t="shared" si="216"/>
        <v>0</v>
      </c>
      <c r="I209" s="97">
        <f t="shared" si="216"/>
        <v>0</v>
      </c>
      <c r="J209" s="97">
        <f t="shared" si="216"/>
        <v>0</v>
      </c>
      <c r="K209" s="97">
        <f t="shared" si="216"/>
        <v>0</v>
      </c>
      <c r="L209" s="97">
        <f t="shared" si="216"/>
        <v>0</v>
      </c>
      <c r="M209" s="97">
        <f t="shared" si="216"/>
        <v>0</v>
      </c>
      <c r="N209" s="97">
        <f t="shared" si="216"/>
        <v>0</v>
      </c>
      <c r="O209" s="97">
        <f t="shared" si="216"/>
        <v>0</v>
      </c>
      <c r="P209" s="97">
        <f t="shared" si="216"/>
        <v>0</v>
      </c>
      <c r="Q209" s="97">
        <f t="shared" si="216"/>
        <v>0</v>
      </c>
      <c r="R209" s="97">
        <f t="shared" si="216"/>
        <v>0</v>
      </c>
      <c r="S209" s="97">
        <f t="shared" si="216"/>
        <v>0</v>
      </c>
      <c r="T209" s="97">
        <f t="shared" si="216"/>
        <v>0</v>
      </c>
      <c r="U209" s="97">
        <f t="shared" si="216"/>
        <v>0</v>
      </c>
      <c r="V209" s="97">
        <f t="shared" si="216"/>
        <v>0</v>
      </c>
      <c r="W209" s="97">
        <f t="shared" si="216"/>
        <v>0</v>
      </c>
      <c r="X209" s="97">
        <f t="shared" si="216"/>
        <v>0</v>
      </c>
      <c r="Y209" s="97">
        <f t="shared" si="216"/>
        <v>0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0</v>
      </c>
      <c r="W210" s="98">
        <f t="shared" si="217"/>
        <v>0</v>
      </c>
      <c r="X210" s="98">
        <f t="shared" si="217"/>
        <v>0</v>
      </c>
      <c r="Y210" s="98">
        <f t="shared" si="217"/>
        <v>0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0</v>
      </c>
      <c r="C211" s="32">
        <f t="shared" si="218"/>
        <v>0</v>
      </c>
      <c r="D211" s="32">
        <f t="shared" si="218"/>
        <v>0</v>
      </c>
      <c r="E211" s="32">
        <f t="shared" si="218"/>
        <v>0</v>
      </c>
      <c r="F211" s="32">
        <f t="shared" si="218"/>
        <v>0</v>
      </c>
      <c r="G211" s="32">
        <f t="shared" si="218"/>
        <v>0.55621458574994931</v>
      </c>
      <c r="H211" s="32">
        <f t="shared" si="218"/>
        <v>0.59336564455019702</v>
      </c>
      <c r="I211" s="32">
        <f t="shared" si="218"/>
        <v>0.93967086318093307</v>
      </c>
      <c r="J211" s="32">
        <f t="shared" si="218"/>
        <v>1.1864155985616864</v>
      </c>
      <c r="K211" s="32">
        <f t="shared" si="218"/>
        <v>0.76069981762777228</v>
      </c>
      <c r="L211" s="32">
        <f t="shared" si="218"/>
        <v>0.37826072423827362</v>
      </c>
      <c r="M211" s="32">
        <f t="shared" si="218"/>
        <v>0.54516451741972805</v>
      </c>
      <c r="N211" s="32">
        <f t="shared" si="218"/>
        <v>0.85970255879445834</v>
      </c>
      <c r="O211" s="32">
        <f t="shared" si="218"/>
        <v>1.0865000552149087</v>
      </c>
      <c r="P211" s="32">
        <f t="shared" si="218"/>
        <v>0.94691090067421502</v>
      </c>
      <c r="Q211" s="32">
        <f t="shared" si="218"/>
        <v>0.96707289539353203</v>
      </c>
      <c r="R211" s="32">
        <f t="shared" si="218"/>
        <v>1.7292623124135738</v>
      </c>
      <c r="S211" s="32">
        <f t="shared" si="218"/>
        <v>1.9461179342890398</v>
      </c>
      <c r="T211" s="32">
        <f t="shared" si="218"/>
        <v>2.5396947819211197</v>
      </c>
      <c r="U211" s="32">
        <f t="shared" si="218"/>
        <v>2.3584329989769892</v>
      </c>
      <c r="V211" s="32">
        <f t="shared" si="218"/>
        <v>1.677756697222218</v>
      </c>
      <c r="W211" s="32">
        <f t="shared" si="218"/>
        <v>1.0840986789698017</v>
      </c>
      <c r="X211" s="32">
        <f t="shared" si="218"/>
        <v>0</v>
      </c>
      <c r="Y211" s="32">
        <f t="shared" si="218"/>
        <v>0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0</v>
      </c>
      <c r="C212" s="97">
        <f t="shared" si="219"/>
        <v>0</v>
      </c>
      <c r="D212" s="97">
        <f t="shared" si="219"/>
        <v>0</v>
      </c>
      <c r="E212" s="97">
        <f t="shared" si="219"/>
        <v>0</v>
      </c>
      <c r="F212" s="97">
        <f t="shared" si="219"/>
        <v>0</v>
      </c>
      <c r="G212" s="97">
        <f t="shared" si="219"/>
        <v>1.4463899415265535</v>
      </c>
      <c r="H212" s="97">
        <f t="shared" si="219"/>
        <v>1.5388183608871291</v>
      </c>
      <c r="I212" s="97">
        <f t="shared" si="219"/>
        <v>2.5552226907839386</v>
      </c>
      <c r="J212" s="97">
        <f t="shared" si="219"/>
        <v>3.2533463520788981</v>
      </c>
      <c r="K212" s="97">
        <f t="shared" si="219"/>
        <v>2.0512810546031761</v>
      </c>
      <c r="L212" s="97">
        <f t="shared" si="219"/>
        <v>1.194302061139511</v>
      </c>
      <c r="M212" s="97">
        <f t="shared" si="219"/>
        <v>1.9282273917611958</v>
      </c>
      <c r="N212" s="97">
        <f t="shared" si="219"/>
        <v>2.7485234868917456</v>
      </c>
      <c r="O212" s="97">
        <f t="shared" si="219"/>
        <v>3.7466215334889594</v>
      </c>
      <c r="P212" s="97">
        <f t="shared" si="219"/>
        <v>3.1286194180995976</v>
      </c>
      <c r="Q212" s="97">
        <f t="shared" si="219"/>
        <v>3.2366607333274828</v>
      </c>
      <c r="R212" s="97">
        <f t="shared" si="219"/>
        <v>5.5266862894902093</v>
      </c>
      <c r="S212" s="97">
        <f t="shared" si="219"/>
        <v>6.5340545012836557</v>
      </c>
      <c r="T212" s="97">
        <f t="shared" si="219"/>
        <v>8.8495894395420631</v>
      </c>
      <c r="U212" s="97">
        <f t="shared" si="219"/>
        <v>8.5363962349273912</v>
      </c>
      <c r="V212" s="97">
        <f t="shared" si="219"/>
        <v>5.3584404092823616</v>
      </c>
      <c r="W212" s="97">
        <f t="shared" si="219"/>
        <v>3.920869360438981</v>
      </c>
      <c r="X212" s="97">
        <f t="shared" si="219"/>
        <v>0</v>
      </c>
      <c r="Y212" s="97">
        <f t="shared" si="219"/>
        <v>0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0</v>
      </c>
      <c r="C213" s="98">
        <f t="shared" si="220"/>
        <v>0</v>
      </c>
      <c r="D213" s="98">
        <f t="shared" si="220"/>
        <v>0</v>
      </c>
      <c r="E213" s="98">
        <f t="shared" si="220"/>
        <v>0</v>
      </c>
      <c r="F213" s="98">
        <f t="shared" si="220"/>
        <v>0</v>
      </c>
      <c r="G213" s="98">
        <f t="shared" si="220"/>
        <v>0.38661169364521997</v>
      </c>
      <c r="H213" s="98">
        <f t="shared" si="220"/>
        <v>0.41362849228461729</v>
      </c>
      <c r="I213" s="98">
        <f t="shared" si="220"/>
        <v>0.66264224221118107</v>
      </c>
      <c r="J213" s="98">
        <f t="shared" si="220"/>
        <v>0.83521160894299507</v>
      </c>
      <c r="K213" s="98">
        <f t="shared" si="220"/>
        <v>0.53099528033219556</v>
      </c>
      <c r="L213" s="98">
        <f t="shared" si="220"/>
        <v>0.27982580318397254</v>
      </c>
      <c r="M213" s="98">
        <f t="shared" si="220"/>
        <v>0.42211076536799852</v>
      </c>
      <c r="N213" s="98">
        <f t="shared" si="220"/>
        <v>0.62969728181643603</v>
      </c>
      <c r="O213" s="98">
        <f t="shared" si="220"/>
        <v>0.82555130178600888</v>
      </c>
      <c r="P213" s="98">
        <f t="shared" si="220"/>
        <v>0.70595157197982006</v>
      </c>
      <c r="Q213" s="98">
        <f t="shared" si="220"/>
        <v>0.72579326354051776</v>
      </c>
      <c r="R213" s="98">
        <f t="shared" si="220"/>
        <v>1.2793576507771314</v>
      </c>
      <c r="S213" s="98">
        <f t="shared" si="220"/>
        <v>1.4698641263416607</v>
      </c>
      <c r="T213" s="98">
        <f t="shared" si="220"/>
        <v>1.9485499304624951</v>
      </c>
      <c r="U213" s="98">
        <f t="shared" si="220"/>
        <v>1.8298693877080676</v>
      </c>
      <c r="V213" s="98">
        <f t="shared" si="220"/>
        <v>1.3832828991800195</v>
      </c>
      <c r="W213" s="98">
        <f t="shared" si="220"/>
        <v>0.91777938801068526</v>
      </c>
      <c r="X213" s="98">
        <f t="shared" si="220"/>
        <v>0</v>
      </c>
      <c r="Y213" s="98">
        <f t="shared" si="220"/>
        <v>0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128.91716407398906</v>
      </c>
      <c r="C216" s="32">
        <f t="shared" si="221"/>
        <v>126.49595746167741</v>
      </c>
      <c r="D216" s="32">
        <f t="shared" si="221"/>
        <v>126.68882356017919</v>
      </c>
      <c r="E216" s="32">
        <f t="shared" si="221"/>
        <v>123.88874952013892</v>
      </c>
      <c r="F216" s="32">
        <f t="shared" si="221"/>
        <v>118.61199847156365</v>
      </c>
      <c r="G216" s="32">
        <f t="shared" si="221"/>
        <v>120.42862368933301</v>
      </c>
      <c r="H216" s="32">
        <f t="shared" si="221"/>
        <v>120.55744145930217</v>
      </c>
      <c r="I216" s="32">
        <f t="shared" si="221"/>
        <v>117.84604177341794</v>
      </c>
      <c r="J216" s="32">
        <f t="shared" si="221"/>
        <v>123.55669713096218</v>
      </c>
      <c r="K216" s="32">
        <f t="shared" si="221"/>
        <v>116.74318136259839</v>
      </c>
      <c r="L216" s="32">
        <f t="shared" si="221"/>
        <v>118.36302744410317</v>
      </c>
      <c r="M216" s="32">
        <f t="shared" si="221"/>
        <v>119.91572631411297</v>
      </c>
      <c r="N216" s="32">
        <f t="shared" si="221"/>
        <v>117.23315035984884</v>
      </c>
      <c r="O216" s="32">
        <f t="shared" si="221"/>
        <v>113.99979979900483</v>
      </c>
      <c r="P216" s="32">
        <f t="shared" si="221"/>
        <v>112.32307743134362</v>
      </c>
      <c r="Q216" s="32">
        <f t="shared" si="221"/>
        <v>111.70950440092781</v>
      </c>
      <c r="R216" s="32">
        <f t="shared" si="221"/>
        <v>111.97149541501723</v>
      </c>
      <c r="S216" s="32">
        <f t="shared" si="221"/>
        <v>111.3650365075901</v>
      </c>
      <c r="T216" s="32">
        <f t="shared" si="221"/>
        <v>110.25205896601567</v>
      </c>
      <c r="U216" s="32">
        <f t="shared" si="221"/>
        <v>106.93712766754061</v>
      </c>
      <c r="V216" s="32">
        <f t="shared" si="221"/>
        <v>124.55529468009678</v>
      </c>
      <c r="W216" s="32">
        <f t="shared" si="221"/>
        <v>128.065298644704</v>
      </c>
      <c r="X216" s="32">
        <f t="shared" si="221"/>
        <v>126.4775651010887</v>
      </c>
      <c r="Y216" s="32">
        <f t="shared" si="221"/>
        <v>120.72001256010357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132.53828069394621</v>
      </c>
      <c r="C217" s="141">
        <f t="shared" si="222"/>
        <v>130.0473074607516</v>
      </c>
      <c r="D217" s="141">
        <f t="shared" si="222"/>
        <v>130.38605080899455</v>
      </c>
      <c r="E217" s="141">
        <f t="shared" si="222"/>
        <v>127.40490487200861</v>
      </c>
      <c r="F217" s="141">
        <f t="shared" si="222"/>
        <v>121.37003612669797</v>
      </c>
      <c r="G217" s="141">
        <f t="shared" si="222"/>
        <v>123.4694639706338</v>
      </c>
      <c r="H217" s="141">
        <f t="shared" si="222"/>
        <v>123.49662193235051</v>
      </c>
      <c r="I217" s="141">
        <f t="shared" si="222"/>
        <v>120.2971042949906</v>
      </c>
      <c r="J217" s="141">
        <f t="shared" si="222"/>
        <v>126.23289308291322</v>
      </c>
      <c r="K217" s="141">
        <f t="shared" si="222"/>
        <v>119.34055639540564</v>
      </c>
      <c r="L217" s="141">
        <f t="shared" si="222"/>
        <v>120.84758470255299</v>
      </c>
      <c r="M217" s="141">
        <f t="shared" si="222"/>
        <v>122.67034604426659</v>
      </c>
      <c r="N217" s="141">
        <f t="shared" si="222"/>
        <v>119.57304920419895</v>
      </c>
      <c r="O217" s="141">
        <f t="shared" si="222"/>
        <v>116.24850596934448</v>
      </c>
      <c r="P217" s="141">
        <f t="shared" si="222"/>
        <v>114.08795389101381</v>
      </c>
      <c r="Q217" s="141">
        <f t="shared" si="222"/>
        <v>113.55053123022411</v>
      </c>
      <c r="R217" s="141">
        <f t="shared" si="222"/>
        <v>114.09366604479419</v>
      </c>
      <c r="S217" s="141">
        <f t="shared" si="222"/>
        <v>113.32497900576101</v>
      </c>
      <c r="T217" s="141">
        <f t="shared" si="222"/>
        <v>111.53235085581305</v>
      </c>
      <c r="U217" s="141">
        <f t="shared" si="222"/>
        <v>108.82492369513898</v>
      </c>
      <c r="V217" s="141">
        <f t="shared" si="222"/>
        <v>125.83785728033602</v>
      </c>
      <c r="W217" s="141">
        <f t="shared" si="222"/>
        <v>130.52198615580443</v>
      </c>
      <c r="X217" s="141">
        <f t="shared" si="222"/>
        <v>129.65010713390205</v>
      </c>
      <c r="Y217" s="141">
        <f t="shared" si="222"/>
        <v>124.65383873219029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112.8832656033685</v>
      </c>
      <c r="C218" s="97">
        <f t="shared" si="223"/>
        <v>112.33328643533474</v>
      </c>
      <c r="D218" s="97">
        <f t="shared" si="223"/>
        <v>111.74224593105673</v>
      </c>
      <c r="E218" s="97">
        <f t="shared" si="223"/>
        <v>110.96758053579195</v>
      </c>
      <c r="F218" s="97">
        <f t="shared" si="223"/>
        <v>110.10705586670829</v>
      </c>
      <c r="G218" s="97">
        <f t="shared" si="223"/>
        <v>109.25162712700715</v>
      </c>
      <c r="H218" s="97">
        <f t="shared" si="223"/>
        <v>107.66510498925211</v>
      </c>
      <c r="I218" s="97">
        <f t="shared" si="223"/>
        <v>103.47779671508441</v>
      </c>
      <c r="J218" s="97">
        <f t="shared" si="223"/>
        <v>100.8474405197848</v>
      </c>
      <c r="K218" s="97">
        <f t="shared" si="223"/>
        <v>104.07796721086949</v>
      </c>
      <c r="L218" s="97">
        <f t="shared" si="223"/>
        <v>97.853431637346546</v>
      </c>
      <c r="M218" s="97">
        <f t="shared" si="223"/>
        <v>97.030769924695988</v>
      </c>
      <c r="N218" s="97">
        <f t="shared" si="223"/>
        <v>96.936635943298526</v>
      </c>
      <c r="O218" s="97">
        <f t="shared" si="223"/>
        <v>95.706079465674335</v>
      </c>
      <c r="P218" s="97">
        <f t="shared" si="223"/>
        <v>94.425003488132958</v>
      </c>
      <c r="Q218" s="97">
        <f t="shared" si="223"/>
        <v>92.674249229303129</v>
      </c>
      <c r="R218" s="97">
        <f t="shared" si="223"/>
        <v>91.348998825851197</v>
      </c>
      <c r="S218" s="97">
        <f t="shared" si="223"/>
        <v>93.093054112624131</v>
      </c>
      <c r="T218" s="97">
        <f t="shared" si="223"/>
        <v>91.191787521682286</v>
      </c>
      <c r="U218" s="97">
        <f t="shared" si="223"/>
        <v>90.632724073994979</v>
      </c>
      <c r="V218" s="97">
        <f t="shared" si="223"/>
        <v>88.765407192518794</v>
      </c>
      <c r="W218" s="97">
        <f t="shared" si="223"/>
        <v>88.051914231026302</v>
      </c>
      <c r="X218" s="97">
        <f t="shared" si="223"/>
        <v>87.768167776683228</v>
      </c>
      <c r="Y218" s="97">
        <f t="shared" si="223"/>
        <v>86.359711079240796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143.34684360548172</v>
      </c>
      <c r="C219" s="97">
        <f t="shared" si="224"/>
        <v>140.53635937507102</v>
      </c>
      <c r="D219" s="97">
        <f t="shared" si="224"/>
        <v>140.73591535883108</v>
      </c>
      <c r="E219" s="97">
        <f t="shared" si="224"/>
        <v>138.22146663140461</v>
      </c>
      <c r="F219" s="97">
        <f t="shared" si="224"/>
        <v>129.42260733519001</v>
      </c>
      <c r="G219" s="97">
        <f t="shared" si="224"/>
        <v>131.13993047306789</v>
      </c>
      <c r="H219" s="97">
        <f t="shared" si="224"/>
        <v>131.39254171372545</v>
      </c>
      <c r="I219" s="97">
        <f t="shared" si="224"/>
        <v>127.87222541420337</v>
      </c>
      <c r="J219" s="97">
        <f t="shared" si="224"/>
        <v>134.05278809712792</v>
      </c>
      <c r="K219" s="97">
        <f t="shared" si="224"/>
        <v>126.17886045391758</v>
      </c>
      <c r="L219" s="97">
        <f t="shared" si="224"/>
        <v>128.08912067271064</v>
      </c>
      <c r="M219" s="97">
        <f t="shared" si="224"/>
        <v>130.30389973101813</v>
      </c>
      <c r="N219" s="97">
        <f t="shared" si="224"/>
        <v>126.91014243799009</v>
      </c>
      <c r="O219" s="97">
        <f t="shared" si="224"/>
        <v>123.40810052853818</v>
      </c>
      <c r="P219" s="97">
        <f t="shared" si="224"/>
        <v>121.28745718705353</v>
      </c>
      <c r="Q219" s="97">
        <f t="shared" si="224"/>
        <v>120.77706885979551</v>
      </c>
      <c r="R219" s="97">
        <f t="shared" si="224"/>
        <v>121.74961429311949</v>
      </c>
      <c r="S219" s="97">
        <f t="shared" si="224"/>
        <v>120.56934611566373</v>
      </c>
      <c r="T219" s="97">
        <f t="shared" si="224"/>
        <v>119.01518749672671</v>
      </c>
      <c r="U219" s="97">
        <f t="shared" si="224"/>
        <v>115.62029295669949</v>
      </c>
      <c r="V219" s="97">
        <f t="shared" si="224"/>
        <v>131.7778950152329</v>
      </c>
      <c r="W219" s="97">
        <f t="shared" si="224"/>
        <v>137.79005407576554</v>
      </c>
      <c r="X219" s="97">
        <f t="shared" si="224"/>
        <v>139.35766557925177</v>
      </c>
      <c r="Y219" s="97">
        <f t="shared" si="224"/>
        <v>134.37097807516651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70.312866156673508</v>
      </c>
      <c r="C220" s="97">
        <f t="shared" si="225"/>
        <v>66.183674091841098</v>
      </c>
      <c r="D220" s="97">
        <f t="shared" si="225"/>
        <v>64.873625139588199</v>
      </c>
      <c r="E220" s="97">
        <f t="shared" si="225"/>
        <v>60.934479342063419</v>
      </c>
      <c r="F220" s="97">
        <f t="shared" si="225"/>
        <v>66.61755312837515</v>
      </c>
      <c r="G220" s="97">
        <f t="shared" si="225"/>
        <v>67.683573262893731</v>
      </c>
      <c r="H220" s="97">
        <f t="shared" si="225"/>
        <v>66.256912861700059</v>
      </c>
      <c r="I220" s="97">
        <f t="shared" si="225"/>
        <v>64.144965673644847</v>
      </c>
      <c r="J220" s="97">
        <f t="shared" si="225"/>
        <v>65.885773727165656</v>
      </c>
      <c r="K220" s="97">
        <f t="shared" si="225"/>
        <v>65.103407510169845</v>
      </c>
      <c r="L220" s="97">
        <f t="shared" si="225"/>
        <v>64.314748888712444</v>
      </c>
      <c r="M220" s="97">
        <f t="shared" si="225"/>
        <v>65.000817722746092</v>
      </c>
      <c r="N220" s="97">
        <f t="shared" si="225"/>
        <v>64.074207326681901</v>
      </c>
      <c r="O220" s="97">
        <f t="shared" si="225"/>
        <v>63.475033091920054</v>
      </c>
      <c r="P220" s="97">
        <f t="shared" si="225"/>
        <v>61.954320498158921</v>
      </c>
      <c r="Q220" s="97">
        <f t="shared" si="225"/>
        <v>62.549793689854766</v>
      </c>
      <c r="R220" s="97">
        <f t="shared" si="225"/>
        <v>60.326054628847039</v>
      </c>
      <c r="S220" s="97">
        <f t="shared" si="225"/>
        <v>61.346761515708103</v>
      </c>
      <c r="T220" s="97">
        <f t="shared" si="225"/>
        <v>57.518571685250052</v>
      </c>
      <c r="U220" s="97">
        <f t="shared" si="225"/>
        <v>59.146809788004504</v>
      </c>
      <c r="V220" s="97">
        <f t="shared" si="225"/>
        <v>67.861321310976379</v>
      </c>
      <c r="W220" s="97">
        <f t="shared" si="225"/>
        <v>67.863088766086278</v>
      </c>
      <c r="X220" s="97">
        <f t="shared" si="225"/>
        <v>60.849906210906077</v>
      </c>
      <c r="Y220" s="97">
        <f t="shared" si="225"/>
        <v>58.057781099334058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24.899158557873186</v>
      </c>
      <c r="C221" s="130">
        <f t="shared" si="226"/>
        <v>24.138032914378392</v>
      </c>
      <c r="D221" s="130">
        <f t="shared" si="226"/>
        <v>23.680969819127938</v>
      </c>
      <c r="E221" s="130">
        <f t="shared" si="226"/>
        <v>24.530399381536704</v>
      </c>
      <c r="F221" s="130">
        <f t="shared" si="226"/>
        <v>25.471925631544597</v>
      </c>
      <c r="G221" s="130">
        <f t="shared" si="226"/>
        <v>23.846525760696878</v>
      </c>
      <c r="H221" s="130">
        <f t="shared" si="226"/>
        <v>23.658872450710916</v>
      </c>
      <c r="I221" s="130">
        <f t="shared" si="226"/>
        <v>23.667332897031066</v>
      </c>
      <c r="J221" s="130">
        <f t="shared" si="226"/>
        <v>20.985819442093295</v>
      </c>
      <c r="K221" s="130">
        <f t="shared" si="226"/>
        <v>19.828986597072259</v>
      </c>
      <c r="L221" s="130">
        <f t="shared" si="226"/>
        <v>18.824614299292065</v>
      </c>
      <c r="M221" s="130">
        <f t="shared" si="226"/>
        <v>20.799480200689835</v>
      </c>
      <c r="N221" s="130">
        <f t="shared" si="226"/>
        <v>19.630900719351786</v>
      </c>
      <c r="O221" s="130">
        <f t="shared" si="226"/>
        <v>21.047351058249834</v>
      </c>
      <c r="P221" s="130">
        <f t="shared" si="226"/>
        <v>24.919043398369627</v>
      </c>
      <c r="Q221" s="130">
        <f t="shared" si="226"/>
        <v>26.80207853500157</v>
      </c>
      <c r="R221" s="130">
        <f t="shared" si="226"/>
        <v>24.473835679489095</v>
      </c>
      <c r="S221" s="130">
        <f t="shared" si="226"/>
        <v>26.659347773400999</v>
      </c>
      <c r="T221" s="130">
        <f t="shared" si="226"/>
        <v>25.353541273123692</v>
      </c>
      <c r="U221" s="130">
        <f t="shared" si="226"/>
        <v>22.704136713499405</v>
      </c>
      <c r="V221" s="130">
        <f t="shared" si="226"/>
        <v>12.944370595127902</v>
      </c>
      <c r="W221" s="130">
        <f t="shared" si="226"/>
        <v>11.864851129869237</v>
      </c>
      <c r="X221" s="130">
        <f t="shared" si="226"/>
        <v>7.8534705090425678</v>
      </c>
      <c r="Y221" s="130">
        <f t="shared" si="226"/>
        <v>11.771469473846059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24.899158557873186</v>
      </c>
      <c r="C223" s="97">
        <f t="shared" si="228"/>
        <v>24.138032914378392</v>
      </c>
      <c r="D223" s="97">
        <f t="shared" si="228"/>
        <v>23.680969819127938</v>
      </c>
      <c r="E223" s="97">
        <f t="shared" si="228"/>
        <v>24.530399381536704</v>
      </c>
      <c r="F223" s="97">
        <f t="shared" si="228"/>
        <v>25.471925631544597</v>
      </c>
      <c r="G223" s="97">
        <f t="shared" si="228"/>
        <v>23.846525760696878</v>
      </c>
      <c r="H223" s="97">
        <f t="shared" si="228"/>
        <v>23.658872450710916</v>
      </c>
      <c r="I223" s="97">
        <f t="shared" si="228"/>
        <v>23.667332897031066</v>
      </c>
      <c r="J223" s="97">
        <f t="shared" si="228"/>
        <v>21.377033120108351</v>
      </c>
      <c r="K223" s="97">
        <f t="shared" si="228"/>
        <v>20.248093315108132</v>
      </c>
      <c r="L223" s="97">
        <f t="shared" si="228"/>
        <v>19.222781655951696</v>
      </c>
      <c r="M223" s="97">
        <f t="shared" si="228"/>
        <v>21.210138025449631</v>
      </c>
      <c r="N223" s="97">
        <f t="shared" si="228"/>
        <v>19.991289983392303</v>
      </c>
      <c r="O223" s="97">
        <f t="shared" si="228"/>
        <v>21.395540637101035</v>
      </c>
      <c r="P223" s="97">
        <f t="shared" si="228"/>
        <v>25.232413697516201</v>
      </c>
      <c r="Q223" s="97">
        <f t="shared" si="228"/>
        <v>27.043228341871767</v>
      </c>
      <c r="R223" s="97">
        <f t="shared" si="228"/>
        <v>24.631055180642132</v>
      </c>
      <c r="S223" s="97">
        <f t="shared" si="228"/>
        <v>26.731569909648119</v>
      </c>
      <c r="T223" s="97">
        <f t="shared" si="228"/>
        <v>25.433693228897862</v>
      </c>
      <c r="U223" s="97">
        <f t="shared" si="228"/>
        <v>22.773412478731913</v>
      </c>
      <c r="V223" s="97">
        <f t="shared" si="228"/>
        <v>12.95970752711265</v>
      </c>
      <c r="W223" s="97">
        <f t="shared" si="228"/>
        <v>12.536446476842967</v>
      </c>
      <c r="X223" s="97">
        <f t="shared" si="228"/>
        <v>8.3562581403096647</v>
      </c>
      <c r="Y223" s="97">
        <f t="shared" si="228"/>
        <v>13.499892348676623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109.56598322304588</v>
      </c>
      <c r="C225" s="130">
        <f t="shared" si="230"/>
        <v>109.06116887782633</v>
      </c>
      <c r="D225" s="130">
        <f t="shared" si="230"/>
        <v>109.05669616686561</v>
      </c>
      <c r="E225" s="130">
        <f t="shared" si="230"/>
        <v>109.51423476230933</v>
      </c>
      <c r="F225" s="130">
        <f t="shared" si="230"/>
        <v>108.94225356579342</v>
      </c>
      <c r="G225" s="130">
        <f t="shared" si="230"/>
        <v>106.47887559656407</v>
      </c>
      <c r="H225" s="130">
        <f t="shared" si="230"/>
        <v>110.11179886848836</v>
      </c>
      <c r="I225" s="130">
        <f t="shared" si="230"/>
        <v>119.96691192086419</v>
      </c>
      <c r="J225" s="130">
        <f t="shared" si="230"/>
        <v>127.15594966879978</v>
      </c>
      <c r="K225" s="130">
        <f t="shared" si="230"/>
        <v>115.59993662021594</v>
      </c>
      <c r="L225" s="130">
        <f t="shared" si="230"/>
        <v>118.85375757945786</v>
      </c>
      <c r="M225" s="130">
        <f t="shared" si="230"/>
        <v>103.04020649160684</v>
      </c>
      <c r="N225" s="130">
        <f t="shared" si="230"/>
        <v>112.3591105416623</v>
      </c>
      <c r="O225" s="130">
        <f t="shared" si="230"/>
        <v>111.8477676574671</v>
      </c>
      <c r="P225" s="130">
        <f t="shared" si="230"/>
        <v>115.96190360255724</v>
      </c>
      <c r="Q225" s="130">
        <f t="shared" si="230"/>
        <v>109.43475192289937</v>
      </c>
      <c r="R225" s="130">
        <f t="shared" si="230"/>
        <v>96.680671839127626</v>
      </c>
      <c r="S225" s="130">
        <f t="shared" si="230"/>
        <v>95.846010056822664</v>
      </c>
      <c r="T225" s="130">
        <f t="shared" si="230"/>
        <v>118.7465761153618</v>
      </c>
      <c r="U225" s="130">
        <f t="shared" si="230"/>
        <v>92.478708293497164</v>
      </c>
      <c r="V225" s="130">
        <f t="shared" si="230"/>
        <v>173.79152721650507</v>
      </c>
      <c r="W225" s="130">
        <f t="shared" si="230"/>
        <v>125.65523163860925</v>
      </c>
      <c r="X225" s="130">
        <f t="shared" si="230"/>
        <v>111.56598809566019</v>
      </c>
      <c r="Y225" s="130">
        <f t="shared" si="230"/>
        <v>78.37230621352407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121.91577916881002</v>
      </c>
      <c r="C227" s="97">
        <f t="shared" si="232"/>
        <v>120.65361053104439</v>
      </c>
      <c r="D227" s="97">
        <f t="shared" si="232"/>
        <v>120.38124371764928</v>
      </c>
      <c r="E227" s="97">
        <f t="shared" si="232"/>
        <v>121.37404845000864</v>
      </c>
      <c r="F227" s="97">
        <f t="shared" si="232"/>
        <v>120.87159867019145</v>
      </c>
      <c r="G227" s="97">
        <f t="shared" si="232"/>
        <v>108.98807108917234</v>
      </c>
      <c r="H227" s="97">
        <f t="shared" si="232"/>
        <v>113.66925341755909</v>
      </c>
      <c r="I227" s="97">
        <f t="shared" si="232"/>
        <v>131.00487251431522</v>
      </c>
      <c r="J227" s="97">
        <f t="shared" si="232"/>
        <v>140.3250638292011</v>
      </c>
      <c r="K227" s="97">
        <f t="shared" si="232"/>
        <v>134.01931400022394</v>
      </c>
      <c r="L227" s="97">
        <f t="shared" si="232"/>
        <v>139.19068967623394</v>
      </c>
      <c r="M227" s="97">
        <f t="shared" si="232"/>
        <v>114.852645612904</v>
      </c>
      <c r="N227" s="97">
        <f t="shared" si="232"/>
        <v>141.47083123283824</v>
      </c>
      <c r="O227" s="97">
        <f t="shared" si="232"/>
        <v>136.87486312585858</v>
      </c>
      <c r="P227" s="97">
        <f t="shared" si="232"/>
        <v>134.30856488458517</v>
      </c>
      <c r="Q227" s="97">
        <f t="shared" si="232"/>
        <v>122.70475054528444</v>
      </c>
      <c r="R227" s="97">
        <f t="shared" si="232"/>
        <v>100.10276612640095</v>
      </c>
      <c r="S227" s="97">
        <f t="shared" si="232"/>
        <v>104.28936286188745</v>
      </c>
      <c r="T227" s="97">
        <f t="shared" si="232"/>
        <v>129.77601740848274</v>
      </c>
      <c r="U227" s="97">
        <f t="shared" si="232"/>
        <v>103.53520922726911</v>
      </c>
      <c r="V227" s="97">
        <f t="shared" si="232"/>
        <v>163.88676197398536</v>
      </c>
      <c r="W227" s="97">
        <f t="shared" si="232"/>
        <v>132.59421981113621</v>
      </c>
      <c r="X227" s="97">
        <f t="shared" si="232"/>
        <v>140.99489639410587</v>
      </c>
      <c r="Y227" s="97">
        <f t="shared" si="232"/>
        <v>100.48950943503451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94.42203038380562</v>
      </c>
      <c r="C228" s="97">
        <f t="shared" si="233"/>
        <v>94.664040220767319</v>
      </c>
      <c r="D228" s="97">
        <f t="shared" si="233"/>
        <v>94.920576862811401</v>
      </c>
      <c r="E228" s="97">
        <f t="shared" si="233"/>
        <v>94.841231968048263</v>
      </c>
      <c r="F228" s="97">
        <f t="shared" si="233"/>
        <v>94.218818850734124</v>
      </c>
      <c r="G228" s="97">
        <f t="shared" si="233"/>
        <v>102.61414033452427</v>
      </c>
      <c r="H228" s="97">
        <f t="shared" si="233"/>
        <v>104.38551339782641</v>
      </c>
      <c r="I228" s="97">
        <f t="shared" si="233"/>
        <v>104.04189234273437</v>
      </c>
      <c r="J228" s="97">
        <f t="shared" si="233"/>
        <v>109.21778803858774</v>
      </c>
      <c r="K228" s="97">
        <f t="shared" si="233"/>
        <v>94.374109279865934</v>
      </c>
      <c r="L228" s="97">
        <f t="shared" si="233"/>
        <v>96.628926421427906</v>
      </c>
      <c r="M228" s="97">
        <f t="shared" si="233"/>
        <v>88.708014593056149</v>
      </c>
      <c r="N228" s="97">
        <f t="shared" si="233"/>
        <v>85.538674215364878</v>
      </c>
      <c r="O228" s="97">
        <f t="shared" si="233"/>
        <v>87.134344856325498</v>
      </c>
      <c r="P228" s="97">
        <f t="shared" si="233"/>
        <v>95.597809284214335</v>
      </c>
      <c r="Q228" s="97">
        <f t="shared" si="233"/>
        <v>92.755369146818794</v>
      </c>
      <c r="R228" s="97">
        <f t="shared" si="233"/>
        <v>91.271279718855823</v>
      </c>
      <c r="S228" s="97">
        <f t="shared" si="233"/>
        <v>83.132703023042296</v>
      </c>
      <c r="T228" s="97">
        <f t="shared" si="233"/>
        <v>102.5042522590317</v>
      </c>
      <c r="U228" s="97">
        <f t="shared" si="233"/>
        <v>78.225818307204378</v>
      </c>
      <c r="V228" s="97">
        <f t="shared" si="233"/>
        <v>186.76794697717077</v>
      </c>
      <c r="W228" s="97">
        <f t="shared" si="233"/>
        <v>117.32158597585945</v>
      </c>
      <c r="X228" s="97">
        <f t="shared" si="233"/>
        <v>81.580038027963425</v>
      </c>
      <c r="Y228" s="97">
        <f t="shared" si="233"/>
        <v>56.818072239827728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43.527395622845624</v>
      </c>
      <c r="C229" s="32">
        <f t="shared" si="234"/>
        <v>62.171760235368673</v>
      </c>
      <c r="D229" s="32">
        <f t="shared" si="234"/>
        <v>64.343589954626978</v>
      </c>
      <c r="E229" s="32">
        <f t="shared" si="234"/>
        <v>75.551865293044528</v>
      </c>
      <c r="F229" s="32">
        <f t="shared" si="234"/>
        <v>94.806669469366739</v>
      </c>
      <c r="G229" s="32">
        <f t="shared" si="234"/>
        <v>108.35755714024867</v>
      </c>
      <c r="H229" s="32">
        <f t="shared" si="234"/>
        <v>110.867280411851</v>
      </c>
      <c r="I229" s="32">
        <f t="shared" si="234"/>
        <v>146.69768302648848</v>
      </c>
      <c r="J229" s="32">
        <f t="shared" si="234"/>
        <v>204.37024055820822</v>
      </c>
      <c r="K229" s="32">
        <f t="shared" si="234"/>
        <v>153.17950093985729</v>
      </c>
      <c r="L229" s="32">
        <f t="shared" si="234"/>
        <v>154.01076093938616</v>
      </c>
      <c r="M229" s="32">
        <f t="shared" si="234"/>
        <v>177.18082957365093</v>
      </c>
      <c r="N229" s="32">
        <f t="shared" si="234"/>
        <v>197.36988904163692</v>
      </c>
      <c r="O229" s="32">
        <f t="shared" si="234"/>
        <v>173.81498328730606</v>
      </c>
      <c r="P229" s="32">
        <f t="shared" si="234"/>
        <v>166.8510161107624</v>
      </c>
      <c r="Q229" s="32">
        <f t="shared" si="234"/>
        <v>153.91254592402817</v>
      </c>
      <c r="R229" s="32">
        <f t="shared" si="234"/>
        <v>168.47665085285337</v>
      </c>
      <c r="S229" s="32">
        <f t="shared" si="234"/>
        <v>151.86633448609606</v>
      </c>
      <c r="T229" s="32">
        <f t="shared" si="234"/>
        <v>147.0309770885967</v>
      </c>
      <c r="U229" s="32">
        <f t="shared" si="234"/>
        <v>132.2879580335406</v>
      </c>
      <c r="V229" s="32">
        <f t="shared" si="234"/>
        <v>112.56019885949721</v>
      </c>
      <c r="W229" s="32">
        <f t="shared" si="234"/>
        <v>131.19831790939298</v>
      </c>
      <c r="X229" s="32">
        <f t="shared" si="234"/>
        <v>141.22728812565776</v>
      </c>
      <c r="Y229" s="32">
        <f t="shared" si="234"/>
        <v>106.52783147962971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62.723090074622597</v>
      </c>
      <c r="C230" s="141">
        <f t="shared" si="235"/>
        <v>89.348322466038184</v>
      </c>
      <c r="D230" s="141">
        <f t="shared" si="235"/>
        <v>93.530580256452851</v>
      </c>
      <c r="E230" s="141">
        <f t="shared" si="235"/>
        <v>109.22710079115203</v>
      </c>
      <c r="F230" s="141">
        <f t="shared" si="235"/>
        <v>133.74033595434989</v>
      </c>
      <c r="G230" s="141">
        <f t="shared" si="235"/>
        <v>152.93281687235401</v>
      </c>
      <c r="H230" s="141">
        <f t="shared" si="235"/>
        <v>154.13624708247303</v>
      </c>
      <c r="I230" s="141">
        <f t="shared" si="235"/>
        <v>205.70621315305451</v>
      </c>
      <c r="J230" s="141">
        <f t="shared" si="235"/>
        <v>286.44038313584173</v>
      </c>
      <c r="K230" s="141">
        <f t="shared" si="235"/>
        <v>209.27233035826589</v>
      </c>
      <c r="L230" s="141">
        <f t="shared" si="235"/>
        <v>222.52774932922767</v>
      </c>
      <c r="M230" s="141">
        <f t="shared" si="235"/>
        <v>264.10910343830597</v>
      </c>
      <c r="N230" s="141">
        <f t="shared" si="235"/>
        <v>289.47972102190715</v>
      </c>
      <c r="O230" s="141">
        <f t="shared" si="235"/>
        <v>261.98387695261516</v>
      </c>
      <c r="P230" s="141">
        <f t="shared" si="235"/>
        <v>254.92445979789812</v>
      </c>
      <c r="Q230" s="141">
        <f t="shared" si="235"/>
        <v>232.14036245845722</v>
      </c>
      <c r="R230" s="141">
        <f t="shared" si="235"/>
        <v>251.08390232490279</v>
      </c>
      <c r="S230" s="141">
        <f t="shared" si="235"/>
        <v>231.89276933091278</v>
      </c>
      <c r="T230" s="141">
        <f t="shared" si="235"/>
        <v>223.84522223770202</v>
      </c>
      <c r="U230" s="141">
        <f t="shared" si="235"/>
        <v>202.30867794800537</v>
      </c>
      <c r="V230" s="141">
        <f t="shared" si="235"/>
        <v>168.71536352881679</v>
      </c>
      <c r="W230" s="141">
        <f t="shared" si="235"/>
        <v>194.02489699667896</v>
      </c>
      <c r="X230" s="141">
        <f t="shared" si="235"/>
        <v>206.22445551710214</v>
      </c>
      <c r="Y230" s="141">
        <f t="shared" si="235"/>
        <v>150.10389176162997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2066.8017342591529</v>
      </c>
      <c r="C231" s="97">
        <f t="shared" si="236"/>
        <v>2026.6124555673307</v>
      </c>
      <c r="D231" s="97">
        <f t="shared" si="236"/>
        <v>2006.3515337206898</v>
      </c>
      <c r="E231" s="97">
        <f t="shared" si="236"/>
        <v>1989.6325560762516</v>
      </c>
      <c r="F231" s="97">
        <f t="shared" si="236"/>
        <v>1987.0298969394546</v>
      </c>
      <c r="G231" s="97">
        <f t="shared" si="236"/>
        <v>1978.4059341828861</v>
      </c>
      <c r="H231" s="97">
        <f t="shared" si="236"/>
        <v>1965.5673881178705</v>
      </c>
      <c r="I231" s="97">
        <f t="shared" si="236"/>
        <v>1949.4019015513491</v>
      </c>
      <c r="J231" s="97">
        <f t="shared" si="236"/>
        <v>1926.5716517629173</v>
      </c>
      <c r="K231" s="97">
        <f t="shared" si="236"/>
        <v>1897.6203899615377</v>
      </c>
      <c r="L231" s="97">
        <f t="shared" si="236"/>
        <v>1871.1258309311875</v>
      </c>
      <c r="M231" s="97">
        <f t="shared" si="236"/>
        <v>1897.9661987169411</v>
      </c>
      <c r="N231" s="97">
        <f t="shared" si="236"/>
        <v>1853.8195012918077</v>
      </c>
      <c r="O231" s="97">
        <f t="shared" si="236"/>
        <v>1824.1754758842276</v>
      </c>
      <c r="P231" s="97">
        <f t="shared" si="236"/>
        <v>1836.8025057570958</v>
      </c>
      <c r="Q231" s="97">
        <f t="shared" si="236"/>
        <v>1829.9664478764773</v>
      </c>
      <c r="R231" s="97">
        <f t="shared" si="236"/>
        <v>1807.100099712841</v>
      </c>
      <c r="S231" s="97">
        <f t="shared" si="236"/>
        <v>1754.142988240402</v>
      </c>
      <c r="T231" s="97">
        <f t="shared" si="236"/>
        <v>1671.9189019460839</v>
      </c>
      <c r="U231" s="97">
        <f t="shared" si="236"/>
        <v>1620.0324718025659</v>
      </c>
      <c r="V231" s="97">
        <f t="shared" si="236"/>
        <v>1594.9452921694724</v>
      </c>
      <c r="W231" s="97">
        <f t="shared" si="236"/>
        <v>1582.7495737452036</v>
      </c>
      <c r="X231" s="97">
        <f t="shared" si="236"/>
        <v>1604.8648159596805</v>
      </c>
      <c r="Y231" s="97">
        <f t="shared" si="236"/>
        <v>1569.5007075900603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40.441068754877058</v>
      </c>
      <c r="C232" s="97">
        <f t="shared" si="237"/>
        <v>67.479871007662069</v>
      </c>
      <c r="D232" s="97">
        <f t="shared" si="237"/>
        <v>70.999162793044576</v>
      </c>
      <c r="E232" s="97">
        <f t="shared" si="237"/>
        <v>85.517803870054152</v>
      </c>
      <c r="F232" s="97">
        <f t="shared" si="237"/>
        <v>110.82953973926514</v>
      </c>
      <c r="G232" s="97">
        <f t="shared" si="237"/>
        <v>128.89312505206877</v>
      </c>
      <c r="H232" s="97">
        <f t="shared" si="237"/>
        <v>130.38058673150496</v>
      </c>
      <c r="I232" s="97">
        <f t="shared" si="237"/>
        <v>180.65152591124959</v>
      </c>
      <c r="J232" s="97">
        <f t="shared" si="237"/>
        <v>260.00323866119442</v>
      </c>
      <c r="K232" s="97">
        <f t="shared" si="237"/>
        <v>176.29974703599578</v>
      </c>
      <c r="L232" s="97">
        <f t="shared" si="237"/>
        <v>189.61784056528882</v>
      </c>
      <c r="M232" s="97">
        <f t="shared" si="237"/>
        <v>229.87293563760804</v>
      </c>
      <c r="N232" s="97">
        <f t="shared" si="237"/>
        <v>255.04460736478984</v>
      </c>
      <c r="O232" s="97">
        <f t="shared" si="237"/>
        <v>226.43783377335936</v>
      </c>
      <c r="P232" s="97">
        <f t="shared" si="237"/>
        <v>217.88608068078628</v>
      </c>
      <c r="Q232" s="97">
        <f t="shared" si="237"/>
        <v>194.5072236220401</v>
      </c>
      <c r="R232" s="97">
        <f t="shared" si="237"/>
        <v>215.18386635112981</v>
      </c>
      <c r="S232" s="97">
        <f t="shared" si="237"/>
        <v>197.27591538162426</v>
      </c>
      <c r="T232" s="97">
        <f t="shared" si="237"/>
        <v>188.78001209180857</v>
      </c>
      <c r="U232" s="97">
        <f t="shared" si="237"/>
        <v>166.13087025605108</v>
      </c>
      <c r="V232" s="97">
        <f t="shared" si="237"/>
        <v>128.1502833947203</v>
      </c>
      <c r="W232" s="97">
        <f t="shared" si="237"/>
        <v>155.76260742714084</v>
      </c>
      <c r="X232" s="97">
        <f t="shared" si="237"/>
        <v>167.40616352149416</v>
      </c>
      <c r="Y232" s="97">
        <f t="shared" si="237"/>
        <v>110.93520214833468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6.1237041850540415</v>
      </c>
      <c r="C233" s="130">
        <f t="shared" si="238"/>
        <v>6.2709327128020584</v>
      </c>
      <c r="D233" s="130">
        <f t="shared" si="238"/>
        <v>6.6596701382303962</v>
      </c>
      <c r="E233" s="130">
        <f t="shared" si="238"/>
        <v>6.3536748709562527</v>
      </c>
      <c r="F233" s="130">
        <f t="shared" si="238"/>
        <v>6.5203311419741157</v>
      </c>
      <c r="G233" s="130">
        <f t="shared" si="238"/>
        <v>6.5212322450973881</v>
      </c>
      <c r="H233" s="130">
        <f t="shared" si="238"/>
        <v>6.1520593968826827</v>
      </c>
      <c r="I233" s="130">
        <f t="shared" si="238"/>
        <v>5.6525377896744393</v>
      </c>
      <c r="J233" s="130">
        <f t="shared" si="238"/>
        <v>4.4069202292041565</v>
      </c>
      <c r="K233" s="130">
        <f t="shared" si="238"/>
        <v>4.6439948031463061</v>
      </c>
      <c r="L233" s="130">
        <f t="shared" si="238"/>
        <v>4.2931295456930965</v>
      </c>
      <c r="M233" s="130">
        <f t="shared" si="238"/>
        <v>4.5937284706089283</v>
      </c>
      <c r="N233" s="130">
        <f t="shared" si="238"/>
        <v>4.4591286530107119</v>
      </c>
      <c r="O233" s="130">
        <f t="shared" si="238"/>
        <v>4.5475546173857246</v>
      </c>
      <c r="P233" s="130">
        <f t="shared" si="238"/>
        <v>6.2250162659393764</v>
      </c>
      <c r="Q233" s="130">
        <f t="shared" si="238"/>
        <v>5.0412968622799985</v>
      </c>
      <c r="R233" s="130">
        <f t="shared" si="238"/>
        <v>3.8101981559248084</v>
      </c>
      <c r="S233" s="130">
        <f t="shared" si="238"/>
        <v>2.7361516866539444</v>
      </c>
      <c r="T233" s="130">
        <f t="shared" si="238"/>
        <v>2.3658432375976988</v>
      </c>
      <c r="U233" s="130">
        <f t="shared" si="238"/>
        <v>1.9639220710276533</v>
      </c>
      <c r="V233" s="130">
        <f t="shared" si="238"/>
        <v>2.6937764999675764</v>
      </c>
      <c r="W233" s="130">
        <f t="shared" si="238"/>
        <v>2.9786818858711572</v>
      </c>
      <c r="X233" s="130">
        <f t="shared" si="238"/>
        <v>3.2683006659227969</v>
      </c>
      <c r="Y233" s="130">
        <f t="shared" si="238"/>
        <v>2.7202343077135929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174.37938993220297</v>
      </c>
      <c r="C234" s="130">
        <f t="shared" si="239"/>
        <v>158.09556465485505</v>
      </c>
      <c r="D234" s="130">
        <f t="shared" si="239"/>
        <v>159.91291768092512</v>
      </c>
      <c r="E234" s="130">
        <f t="shared" si="239"/>
        <v>160.44822982768176</v>
      </c>
      <c r="F234" s="130">
        <f t="shared" si="239"/>
        <v>162.49593168068029</v>
      </c>
      <c r="G234" s="130">
        <f t="shared" si="239"/>
        <v>184.27630329911131</v>
      </c>
      <c r="H234" s="130">
        <f t="shared" si="239"/>
        <v>231.12965681721374</v>
      </c>
      <c r="I234" s="130">
        <f t="shared" si="239"/>
        <v>337.76186171638932</v>
      </c>
      <c r="J234" s="130">
        <f t="shared" si="239"/>
        <v>294.75425434855998</v>
      </c>
      <c r="K234" s="130">
        <f t="shared" si="239"/>
        <v>244.17694548453139</v>
      </c>
      <c r="L234" s="130">
        <f t="shared" si="239"/>
        <v>351.49133204719658</v>
      </c>
      <c r="M234" s="130">
        <f t="shared" si="239"/>
        <v>312.92744925117273</v>
      </c>
      <c r="N234" s="130">
        <f t="shared" si="239"/>
        <v>351.03778427412101</v>
      </c>
      <c r="O234" s="130">
        <f t="shared" si="239"/>
        <v>381.07766632928121</v>
      </c>
      <c r="P234" s="130">
        <f t="shared" si="239"/>
        <v>377.27081581478353</v>
      </c>
      <c r="Q234" s="130">
        <f t="shared" si="239"/>
        <v>387.16322069224969</v>
      </c>
      <c r="R234" s="130">
        <f t="shared" si="239"/>
        <v>298.9805951326266</v>
      </c>
      <c r="S234" s="130">
        <f t="shared" si="239"/>
        <v>326.47320671871734</v>
      </c>
      <c r="T234" s="130">
        <f t="shared" si="239"/>
        <v>374.32013295387407</v>
      </c>
      <c r="U234" s="130">
        <f t="shared" si="239"/>
        <v>322.73952314178405</v>
      </c>
      <c r="V234" s="130">
        <f t="shared" si="239"/>
        <v>728.82782149100444</v>
      </c>
      <c r="W234" s="130">
        <f t="shared" si="239"/>
        <v>587.02347110373739</v>
      </c>
      <c r="X234" s="130">
        <f t="shared" si="239"/>
        <v>677.08000616575032</v>
      </c>
      <c r="Y234" s="130">
        <f t="shared" si="239"/>
        <v>462.83382104346089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367.33252415989188</v>
      </c>
      <c r="C236" s="97">
        <f t="shared" si="241"/>
        <v>349.65747330937603</v>
      </c>
      <c r="D236" s="97">
        <f t="shared" si="241"/>
        <v>373.49053859425607</v>
      </c>
      <c r="E236" s="97">
        <f t="shared" si="241"/>
        <v>366.42473929913012</v>
      </c>
      <c r="F236" s="97">
        <f t="shared" si="241"/>
        <v>402.7325955461273</v>
      </c>
      <c r="G236" s="97">
        <f t="shared" si="241"/>
        <v>367.24670804868947</v>
      </c>
      <c r="H236" s="97">
        <f t="shared" si="241"/>
        <v>414.25387724041445</v>
      </c>
      <c r="I236" s="97">
        <f t="shared" si="241"/>
        <v>409.87680673901701</v>
      </c>
      <c r="J236" s="97">
        <f t="shared" si="241"/>
        <v>421.39465477891321</v>
      </c>
      <c r="K236" s="97">
        <f t="shared" si="241"/>
        <v>378.23553692792427</v>
      </c>
      <c r="L236" s="97">
        <f t="shared" si="241"/>
        <v>430.03883769709006</v>
      </c>
      <c r="M236" s="97">
        <f t="shared" si="241"/>
        <v>383.99206940820483</v>
      </c>
      <c r="N236" s="97">
        <f t="shared" si="241"/>
        <v>453.28727027805695</v>
      </c>
      <c r="O236" s="97">
        <f t="shared" si="241"/>
        <v>500.26504396981642</v>
      </c>
      <c r="P236" s="97">
        <f t="shared" si="241"/>
        <v>479.62594654727212</v>
      </c>
      <c r="Q236" s="97">
        <f t="shared" si="241"/>
        <v>433.12206011514331</v>
      </c>
      <c r="R236" s="97">
        <f t="shared" si="241"/>
        <v>326.28026882919386</v>
      </c>
      <c r="S236" s="97">
        <f t="shared" si="241"/>
        <v>381.79388275241701</v>
      </c>
      <c r="T236" s="97">
        <f t="shared" si="241"/>
        <v>457.42956995995985</v>
      </c>
      <c r="U236" s="97">
        <f t="shared" si="241"/>
        <v>413.51518629414818</v>
      </c>
      <c r="V236" s="97">
        <f t="shared" si="241"/>
        <v>914.42641452263274</v>
      </c>
      <c r="W236" s="97">
        <f t="shared" si="241"/>
        <v>711.7313349715314</v>
      </c>
      <c r="X236" s="97">
        <f t="shared" si="241"/>
        <v>890.54981645909243</v>
      </c>
      <c r="Y236" s="97">
        <f t="shared" si="241"/>
        <v>586.11297649061237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115.67518086349449</v>
      </c>
      <c r="C237" s="97">
        <f t="shared" si="242"/>
        <v>110.44106249167261</v>
      </c>
      <c r="D237" s="97">
        <f t="shared" si="242"/>
        <v>116.93092552166067</v>
      </c>
      <c r="E237" s="97">
        <f t="shared" si="242"/>
        <v>128.28714080280403</v>
      </c>
      <c r="F237" s="97">
        <f t="shared" si="242"/>
        <v>131.37092970344418</v>
      </c>
      <c r="G237" s="97">
        <f t="shared" si="242"/>
        <v>149.66752664203673</v>
      </c>
      <c r="H237" s="97">
        <f t="shared" si="242"/>
        <v>137.68617330720249</v>
      </c>
      <c r="I237" s="97">
        <f t="shared" si="242"/>
        <v>127.83275632237631</v>
      </c>
      <c r="J237" s="97">
        <f t="shared" si="242"/>
        <v>123.25582600285745</v>
      </c>
      <c r="K237" s="97">
        <f t="shared" si="242"/>
        <v>88.655626688548764</v>
      </c>
      <c r="L237" s="97">
        <f t="shared" si="242"/>
        <v>120.10844882723261</v>
      </c>
      <c r="M237" s="97">
        <f t="shared" si="242"/>
        <v>107.49300961941657</v>
      </c>
      <c r="N237" s="97">
        <f t="shared" si="242"/>
        <v>88.021369278055587</v>
      </c>
      <c r="O237" s="97">
        <f t="shared" si="242"/>
        <v>88.384640521673063</v>
      </c>
      <c r="P237" s="97">
        <f t="shared" si="242"/>
        <v>92.627917512101533</v>
      </c>
      <c r="Q237" s="97">
        <f t="shared" si="242"/>
        <v>95.468143745399161</v>
      </c>
      <c r="R237" s="97">
        <f t="shared" si="242"/>
        <v>101.60126861151723</v>
      </c>
      <c r="S237" s="97">
        <f t="shared" si="242"/>
        <v>91.143372893832492</v>
      </c>
      <c r="T237" s="97">
        <f t="shared" si="242"/>
        <v>104.66358975700926</v>
      </c>
      <c r="U237" s="97">
        <f t="shared" si="242"/>
        <v>83.059898727681457</v>
      </c>
      <c r="V237" s="97">
        <f t="shared" si="242"/>
        <v>206.66550126204777</v>
      </c>
      <c r="W237" s="97">
        <f t="shared" si="242"/>
        <v>145.87711316382101</v>
      </c>
      <c r="X237" s="97">
        <f t="shared" si="242"/>
        <v>100.73604579345776</v>
      </c>
      <c r="Y237" s="97">
        <f t="shared" si="242"/>
        <v>74.144808529828254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0</v>
      </c>
      <c r="C238" s="130">
        <f t="shared" si="243"/>
        <v>0</v>
      </c>
      <c r="D238" s="130">
        <f t="shared" si="243"/>
        <v>0</v>
      </c>
      <c r="E238" s="130">
        <f t="shared" si="243"/>
        <v>0</v>
      </c>
      <c r="F238" s="130">
        <f t="shared" si="243"/>
        <v>0</v>
      </c>
      <c r="G238" s="130">
        <f t="shared" si="243"/>
        <v>0</v>
      </c>
      <c r="H238" s="130">
        <f t="shared" si="243"/>
        <v>0</v>
      </c>
      <c r="I238" s="130">
        <f t="shared" si="243"/>
        <v>0</v>
      </c>
      <c r="J238" s="130">
        <f t="shared" si="243"/>
        <v>0</v>
      </c>
      <c r="K238" s="130">
        <f t="shared" si="243"/>
        <v>0</v>
      </c>
      <c r="L238" s="130">
        <f t="shared" si="243"/>
        <v>0</v>
      </c>
      <c r="M238" s="130">
        <f t="shared" si="243"/>
        <v>0</v>
      </c>
      <c r="N238" s="130">
        <f t="shared" si="243"/>
        <v>0</v>
      </c>
      <c r="O238" s="130">
        <f t="shared" si="243"/>
        <v>0</v>
      </c>
      <c r="P238" s="130">
        <f t="shared" si="243"/>
        <v>0</v>
      </c>
      <c r="Q238" s="130">
        <f t="shared" si="243"/>
        <v>0</v>
      </c>
      <c r="R238" s="130">
        <f t="shared" si="243"/>
        <v>0</v>
      </c>
      <c r="S238" s="130">
        <f t="shared" si="243"/>
        <v>0</v>
      </c>
      <c r="T238" s="130">
        <f t="shared" si="243"/>
        <v>0</v>
      </c>
      <c r="U238" s="130">
        <f t="shared" si="243"/>
        <v>0</v>
      </c>
      <c r="V238" s="130">
        <f t="shared" si="243"/>
        <v>0</v>
      </c>
      <c r="W238" s="130">
        <f t="shared" si="243"/>
        <v>0</v>
      </c>
      <c r="X238" s="130">
        <f t="shared" si="243"/>
        <v>0</v>
      </c>
      <c r="Y238" s="130">
        <f t="shared" si="243"/>
        <v>0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0</v>
      </c>
      <c r="H239" s="97">
        <f t="shared" si="244"/>
        <v>0</v>
      </c>
      <c r="I239" s="97">
        <f t="shared" si="244"/>
        <v>0</v>
      </c>
      <c r="J239" s="97">
        <f t="shared" si="244"/>
        <v>0</v>
      </c>
      <c r="K239" s="97">
        <f t="shared" si="244"/>
        <v>0</v>
      </c>
      <c r="L239" s="97">
        <f t="shared" si="244"/>
        <v>0</v>
      </c>
      <c r="M239" s="97">
        <f t="shared" si="244"/>
        <v>0</v>
      </c>
      <c r="N239" s="97">
        <f t="shared" si="244"/>
        <v>0</v>
      </c>
      <c r="O239" s="97">
        <f t="shared" si="244"/>
        <v>0</v>
      </c>
      <c r="P239" s="97">
        <f t="shared" si="244"/>
        <v>0</v>
      </c>
      <c r="Q239" s="97">
        <f t="shared" si="244"/>
        <v>0</v>
      </c>
      <c r="R239" s="97">
        <f t="shared" si="244"/>
        <v>0</v>
      </c>
      <c r="S239" s="97">
        <f t="shared" si="244"/>
        <v>0</v>
      </c>
      <c r="T239" s="97">
        <f t="shared" si="244"/>
        <v>0</v>
      </c>
      <c r="U239" s="97">
        <f t="shared" si="244"/>
        <v>0</v>
      </c>
      <c r="V239" s="97">
        <f t="shared" si="244"/>
        <v>0</v>
      </c>
      <c r="W239" s="97">
        <f t="shared" si="244"/>
        <v>0</v>
      </c>
      <c r="X239" s="97">
        <f t="shared" si="244"/>
        <v>0</v>
      </c>
      <c r="Y239" s="97">
        <f t="shared" si="244"/>
        <v>0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0</v>
      </c>
      <c r="W240" s="98">
        <f t="shared" si="245"/>
        <v>0</v>
      </c>
      <c r="X240" s="98">
        <f t="shared" si="245"/>
        <v>0</v>
      </c>
      <c r="Y240" s="98">
        <f t="shared" si="245"/>
        <v>0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0</v>
      </c>
      <c r="C241" s="32">
        <f t="shared" si="246"/>
        <v>0</v>
      </c>
      <c r="D241" s="32">
        <f t="shared" si="246"/>
        <v>0</v>
      </c>
      <c r="E241" s="32">
        <f t="shared" si="246"/>
        <v>0</v>
      </c>
      <c r="F241" s="32">
        <f t="shared" si="246"/>
        <v>0</v>
      </c>
      <c r="G241" s="32">
        <f t="shared" si="246"/>
        <v>1.8024596421762453</v>
      </c>
      <c r="H241" s="32">
        <f t="shared" si="246"/>
        <v>1.9228507391865406</v>
      </c>
      <c r="I241" s="32">
        <f t="shared" si="246"/>
        <v>3.0450816127536307</v>
      </c>
      <c r="J241" s="32">
        <f t="shared" si="246"/>
        <v>3.8446784569169461</v>
      </c>
      <c r="K241" s="32">
        <f t="shared" si="246"/>
        <v>2.4651110492476231</v>
      </c>
      <c r="L241" s="32">
        <f t="shared" si="246"/>
        <v>1.2257853481863827</v>
      </c>
      <c r="M241" s="32">
        <f t="shared" si="246"/>
        <v>1.7666509763864782</v>
      </c>
      <c r="N241" s="32">
        <f t="shared" si="246"/>
        <v>2.7859376690263353</v>
      </c>
      <c r="O241" s="32">
        <f t="shared" si="246"/>
        <v>3.5208938257285056</v>
      </c>
      <c r="P241" s="32">
        <f t="shared" si="246"/>
        <v>3.0685435566217305</v>
      </c>
      <c r="Q241" s="32">
        <f t="shared" si="246"/>
        <v>3.1338801779876375</v>
      </c>
      <c r="R241" s="32">
        <f t="shared" si="246"/>
        <v>5.6038183980005805</v>
      </c>
      <c r="S241" s="32">
        <f t="shared" si="246"/>
        <v>6.3065570830757673</v>
      </c>
      <c r="T241" s="32">
        <f t="shared" si="246"/>
        <v>8.199354868713435</v>
      </c>
      <c r="U241" s="32">
        <f t="shared" si="246"/>
        <v>7.5935181000302521</v>
      </c>
      <c r="V241" s="32">
        <f t="shared" si="246"/>
        <v>5.4187911723739459</v>
      </c>
      <c r="W241" s="32">
        <f t="shared" si="246"/>
        <v>3.4918446848724085</v>
      </c>
      <c r="X241" s="32">
        <f t="shared" si="246"/>
        <v>0</v>
      </c>
      <c r="Y241" s="32">
        <f t="shared" si="246"/>
        <v>0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0</v>
      </c>
      <c r="C242" s="97">
        <f t="shared" si="247"/>
        <v>0</v>
      </c>
      <c r="D242" s="97">
        <f t="shared" si="247"/>
        <v>0</v>
      </c>
      <c r="E242" s="97">
        <f t="shared" si="247"/>
        <v>0</v>
      </c>
      <c r="F242" s="97">
        <f t="shared" si="247"/>
        <v>0</v>
      </c>
      <c r="G242" s="97">
        <f t="shared" si="247"/>
        <v>4.6871469451599328</v>
      </c>
      <c r="H242" s="97">
        <f t="shared" si="247"/>
        <v>4.9866689281423691</v>
      </c>
      <c r="I242" s="97">
        <f t="shared" si="247"/>
        <v>8.2804117240132253</v>
      </c>
      <c r="J242" s="97">
        <f t="shared" si="247"/>
        <v>10.542739532328165</v>
      </c>
      <c r="K242" s="97">
        <f t="shared" si="247"/>
        <v>6.647346924025336</v>
      </c>
      <c r="L242" s="97">
        <f t="shared" si="247"/>
        <v>3.8702351950540725</v>
      </c>
      <c r="M242" s="97">
        <f t="shared" si="247"/>
        <v>6.24858129152115</v>
      </c>
      <c r="N242" s="97">
        <f t="shared" si="247"/>
        <v>8.9068190364268158</v>
      </c>
      <c r="O242" s="97">
        <f t="shared" si="247"/>
        <v>12.141238798182561</v>
      </c>
      <c r="P242" s="97">
        <f t="shared" si="247"/>
        <v>10.138551525487333</v>
      </c>
      <c r="Q242" s="97">
        <f t="shared" si="247"/>
        <v>10.488668396520724</v>
      </c>
      <c r="R242" s="97">
        <f t="shared" si="247"/>
        <v>17.90968674139231</v>
      </c>
      <c r="S242" s="97">
        <f t="shared" si="247"/>
        <v>21.174147244744198</v>
      </c>
      <c r="T242" s="97">
        <f t="shared" si="247"/>
        <v>28.432937056689514</v>
      </c>
      <c r="U242" s="97">
        <f t="shared" si="247"/>
        <v>27.245874512978279</v>
      </c>
      <c r="V242" s="97">
        <f t="shared" si="247"/>
        <v>17.215490319296258</v>
      </c>
      <c r="W242" s="97">
        <f t="shared" si="247"/>
        <v>12.49153055643972</v>
      </c>
      <c r="X242" s="97">
        <f t="shared" si="247"/>
        <v>0</v>
      </c>
      <c r="Y242" s="97">
        <f t="shared" si="247"/>
        <v>0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0</v>
      </c>
      <c r="C243" s="98">
        <f t="shared" si="248"/>
        <v>0</v>
      </c>
      <c r="D243" s="98">
        <f t="shared" si="248"/>
        <v>0</v>
      </c>
      <c r="E243" s="98">
        <f t="shared" si="248"/>
        <v>0</v>
      </c>
      <c r="F243" s="98">
        <f t="shared" si="248"/>
        <v>0</v>
      </c>
      <c r="G243" s="98">
        <f t="shared" si="248"/>
        <v>1.2528473593502467</v>
      </c>
      <c r="H243" s="98">
        <f t="shared" si="248"/>
        <v>1.3403975431388606</v>
      </c>
      <c r="I243" s="98">
        <f t="shared" si="248"/>
        <v>2.1473473177198845</v>
      </c>
      <c r="J243" s="98">
        <f t="shared" si="248"/>
        <v>2.7065727083856399</v>
      </c>
      <c r="K243" s="98">
        <f t="shared" si="248"/>
        <v>1.7207343847238037</v>
      </c>
      <c r="L243" s="98">
        <f t="shared" si="248"/>
        <v>0.90679879672448804</v>
      </c>
      <c r="M243" s="98">
        <f t="shared" si="248"/>
        <v>1.3678850547906785</v>
      </c>
      <c r="N243" s="98">
        <f t="shared" si="248"/>
        <v>2.0405864325400085</v>
      </c>
      <c r="O243" s="98">
        <f t="shared" si="248"/>
        <v>2.6752676793058701</v>
      </c>
      <c r="P243" s="98">
        <f t="shared" si="248"/>
        <v>2.2876948041713958</v>
      </c>
      <c r="Q243" s="98">
        <f t="shared" si="248"/>
        <v>2.3519934565025746</v>
      </c>
      <c r="R243" s="98">
        <f t="shared" si="248"/>
        <v>4.1458649098998395</v>
      </c>
      <c r="S243" s="98">
        <f t="shared" si="248"/>
        <v>4.7632169941054636</v>
      </c>
      <c r="T243" s="98">
        <f t="shared" si="248"/>
        <v>6.3037641202148365</v>
      </c>
      <c r="U243" s="98">
        <f t="shared" si="248"/>
        <v>5.9121354049819272</v>
      </c>
      <c r="V243" s="98">
        <f t="shared" si="248"/>
        <v>4.4749940211074444</v>
      </c>
      <c r="W243" s="98">
        <f t="shared" si="248"/>
        <v>2.9641949235463918</v>
      </c>
      <c r="X243" s="98">
        <f t="shared" si="248"/>
        <v>0</v>
      </c>
      <c r="Y243" s="98">
        <f t="shared" si="248"/>
        <v>0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23917.085886948993</v>
      </c>
      <c r="C4" s="29">
        <f t="shared" si="0"/>
        <v>24278.309533499025</v>
      </c>
      <c r="D4" s="29">
        <f t="shared" si="0"/>
        <v>24710.294883609418</v>
      </c>
      <c r="E4" s="29">
        <f t="shared" si="0"/>
        <v>24878.658425623627</v>
      </c>
      <c r="F4" s="29">
        <f t="shared" si="0"/>
        <v>25375.536408565109</v>
      </c>
      <c r="G4" s="29">
        <f t="shared" si="0"/>
        <v>25700.283601746509</v>
      </c>
      <c r="H4" s="29">
        <f t="shared" si="0"/>
        <v>26285.639262700341</v>
      </c>
      <c r="I4" s="29">
        <f t="shared" si="0"/>
        <v>27758.847998342466</v>
      </c>
      <c r="J4" s="29">
        <f t="shared" si="0"/>
        <v>28208.80311346766</v>
      </c>
      <c r="K4" s="29">
        <f t="shared" si="0"/>
        <v>29162.013414282632</v>
      </c>
      <c r="L4" s="29">
        <f t="shared" ref="L4" si="1">L5+L6+L13</f>
        <v>29066.889092472473</v>
      </c>
      <c r="M4" s="29">
        <f t="shared" ref="M4:V4" si="2">M5+M6+M13</f>
        <v>29022.984653243504</v>
      </c>
      <c r="N4" s="29">
        <f t="shared" si="2"/>
        <v>28804.740960094725</v>
      </c>
      <c r="O4" s="29">
        <f t="shared" si="2"/>
        <v>28727.525657652535</v>
      </c>
      <c r="P4" s="29">
        <f t="shared" si="2"/>
        <v>29330.647348913753</v>
      </c>
      <c r="Q4" s="29">
        <f t="shared" si="2"/>
        <v>29835.213536673451</v>
      </c>
      <c r="R4" s="29">
        <f t="shared" si="2"/>
        <v>30033.437853038042</v>
      </c>
      <c r="S4" s="29">
        <f t="shared" si="2"/>
        <v>31081.852318509627</v>
      </c>
      <c r="T4" s="29">
        <f t="shared" si="2"/>
        <v>31769.872536819563</v>
      </c>
      <c r="U4" s="29">
        <f t="shared" si="2"/>
        <v>32282.79331458352</v>
      </c>
      <c r="V4" s="29">
        <f t="shared" si="2"/>
        <v>23215.692914279975</v>
      </c>
      <c r="W4" s="29">
        <f t="shared" ref="W4:Y4" si="3">W5+W6+W13</f>
        <v>24076.356612498897</v>
      </c>
      <c r="X4" s="29">
        <f t="shared" si="3"/>
        <v>26825.442646062467</v>
      </c>
      <c r="Y4" s="29">
        <f t="shared" si="3"/>
        <v>28470.712434255009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90.085886948994414</v>
      </c>
      <c r="C5" s="152">
        <f t="shared" si="4"/>
        <v>84.30953349902596</v>
      </c>
      <c r="D5" s="152">
        <f t="shared" si="4"/>
        <v>84.294883609418889</v>
      </c>
      <c r="E5" s="152">
        <f t="shared" si="4"/>
        <v>101.65842562362809</v>
      </c>
      <c r="F5" s="152">
        <f t="shared" si="4"/>
        <v>115.53640856511078</v>
      </c>
      <c r="G5" s="152">
        <f t="shared" si="4"/>
        <v>129.28360174650706</v>
      </c>
      <c r="H5" s="152">
        <f t="shared" si="4"/>
        <v>146.63926270034338</v>
      </c>
      <c r="I5" s="152">
        <f t="shared" si="4"/>
        <v>168.84799834246724</v>
      </c>
      <c r="J5" s="152">
        <f t="shared" si="4"/>
        <v>184.80311346766177</v>
      </c>
      <c r="K5" s="152">
        <f t="shared" si="4"/>
        <v>191.01341428263027</v>
      </c>
      <c r="L5" s="152">
        <f t="shared" ref="L5:L7" si="5">IF(L32=0,0,L32*L142)</f>
        <v>247.88909247247426</v>
      </c>
      <c r="M5" s="152">
        <f t="shared" ref="M5:V5" si="6">IF(M32=0,0,M32*M142)</f>
        <v>291.40529915878801</v>
      </c>
      <c r="N5" s="152">
        <f t="shared" si="6"/>
        <v>264.92801389613203</v>
      </c>
      <c r="O5" s="152">
        <f t="shared" si="6"/>
        <v>236.87065419482971</v>
      </c>
      <c r="P5" s="152">
        <f t="shared" si="6"/>
        <v>242.96207475525549</v>
      </c>
      <c r="Q5" s="152">
        <f t="shared" si="6"/>
        <v>262.59819479990398</v>
      </c>
      <c r="R5" s="152">
        <f t="shared" si="6"/>
        <v>275.23845359536529</v>
      </c>
      <c r="S5" s="152">
        <f t="shared" si="6"/>
        <v>262.63086694451931</v>
      </c>
      <c r="T5" s="152">
        <f t="shared" si="6"/>
        <v>252.30274710066092</v>
      </c>
      <c r="U5" s="152">
        <f t="shared" si="6"/>
        <v>269.49609580938341</v>
      </c>
      <c r="V5" s="152">
        <f t="shared" si="6"/>
        <v>242.04146430677997</v>
      </c>
      <c r="W5" s="152">
        <f t="shared" ref="W5:Y5" si="7">IF(W32=0,0,W32*W142)</f>
        <v>252.52966727908432</v>
      </c>
      <c r="X5" s="152">
        <f t="shared" si="7"/>
        <v>257.97057784647575</v>
      </c>
      <c r="Y5" s="152">
        <f t="shared" si="7"/>
        <v>281.69102766886476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20325</v>
      </c>
      <c r="C6" s="116">
        <f t="shared" si="8"/>
        <v>20801</v>
      </c>
      <c r="D6" s="116">
        <f t="shared" si="8"/>
        <v>21287</v>
      </c>
      <c r="E6" s="116">
        <f t="shared" si="8"/>
        <v>21331</v>
      </c>
      <c r="F6" s="116">
        <f t="shared" si="8"/>
        <v>22042</v>
      </c>
      <c r="G6" s="116">
        <f t="shared" si="8"/>
        <v>22509</v>
      </c>
      <c r="H6" s="116">
        <f t="shared" si="8"/>
        <v>23005.999999999996</v>
      </c>
      <c r="I6" s="116">
        <f t="shared" si="8"/>
        <v>24355</v>
      </c>
      <c r="J6" s="116">
        <f t="shared" si="8"/>
        <v>24878</v>
      </c>
      <c r="K6" s="116">
        <f t="shared" si="8"/>
        <v>25775</v>
      </c>
      <c r="L6" s="116">
        <f t="shared" ref="L6" si="9">SUM(L7:L12)</f>
        <v>25636</v>
      </c>
      <c r="M6" s="116">
        <f t="shared" ref="M6:V6" si="10">SUM(M7:M12)</f>
        <v>25487.43621964116</v>
      </c>
      <c r="N6" s="116">
        <f t="shared" si="10"/>
        <v>25302.775921222881</v>
      </c>
      <c r="O6" s="116">
        <f t="shared" si="10"/>
        <v>25168.354826572544</v>
      </c>
      <c r="P6" s="116">
        <f t="shared" si="10"/>
        <v>25638.692920142625</v>
      </c>
      <c r="Q6" s="116">
        <f t="shared" si="10"/>
        <v>25996.532775797914</v>
      </c>
      <c r="R6" s="116">
        <f t="shared" si="10"/>
        <v>26151</v>
      </c>
      <c r="S6" s="116">
        <f t="shared" si="10"/>
        <v>27139</v>
      </c>
      <c r="T6" s="116">
        <f t="shared" si="10"/>
        <v>27766</v>
      </c>
      <c r="U6" s="116">
        <f t="shared" si="10"/>
        <v>28247.999999999996</v>
      </c>
      <c r="V6" s="116">
        <f t="shared" si="10"/>
        <v>20979.000000000004</v>
      </c>
      <c r="W6" s="116">
        <f t="shared" ref="W6:Y6" si="11">SUM(W7:W12)</f>
        <v>21501</v>
      </c>
      <c r="X6" s="116">
        <f t="shared" si="11"/>
        <v>23419.999999999996</v>
      </c>
      <c r="Y6" s="116">
        <f t="shared" si="11"/>
        <v>24741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16287.975292604728</v>
      </c>
      <c r="C7" s="87">
        <f t="shared" si="12"/>
        <v>16405.993133380336</v>
      </c>
      <c r="D7" s="87">
        <f t="shared" si="12"/>
        <v>15405.404540252039</v>
      </c>
      <c r="E7" s="87">
        <f t="shared" si="12"/>
        <v>15419.567017719095</v>
      </c>
      <c r="F7" s="87">
        <f t="shared" si="12"/>
        <v>14960.176828425694</v>
      </c>
      <c r="G7" s="87">
        <f t="shared" si="12"/>
        <v>14380.054176922196</v>
      </c>
      <c r="H7" s="87">
        <f t="shared" si="12"/>
        <v>13844.14946753882</v>
      </c>
      <c r="I7" s="87">
        <f t="shared" si="12"/>
        <v>13851.772280388737</v>
      </c>
      <c r="J7" s="87">
        <f t="shared" si="12"/>
        <v>13329.479980389611</v>
      </c>
      <c r="K7" s="87">
        <f t="shared" si="12"/>
        <v>13075.953182809371</v>
      </c>
      <c r="L7" s="87">
        <f t="shared" si="5"/>
        <v>12319.961708626857</v>
      </c>
      <c r="M7" s="87">
        <f t="shared" ref="M7:V7" si="13">IF(M34=0,0,M34*M144)</f>
        <v>11727.576904250587</v>
      </c>
      <c r="N7" s="87">
        <f t="shared" si="13"/>
        <v>11071.354823503965</v>
      </c>
      <c r="O7" s="87">
        <f t="shared" si="13"/>
        <v>10499.976391325532</v>
      </c>
      <c r="P7" s="87">
        <f t="shared" si="13"/>
        <v>10198.149161247284</v>
      </c>
      <c r="Q7" s="87">
        <f t="shared" si="13"/>
        <v>9963.10237647549</v>
      </c>
      <c r="R7" s="87">
        <f t="shared" si="13"/>
        <v>9564.8693974531416</v>
      </c>
      <c r="S7" s="87">
        <f t="shared" si="13"/>
        <v>9498.1420039134809</v>
      </c>
      <c r="T7" s="87">
        <f t="shared" si="13"/>
        <v>9382.473535388197</v>
      </c>
      <c r="U7" s="87">
        <f t="shared" si="13"/>
        <v>9284.7571948052155</v>
      </c>
      <c r="V7" s="87">
        <f t="shared" si="13"/>
        <v>6312.0713016011669</v>
      </c>
      <c r="W7" s="87">
        <f t="shared" ref="W7:Y7" si="14">IF(W34=0,0,W34*W144)</f>
        <v>6665.7188706050429</v>
      </c>
      <c r="X7" s="87">
        <f t="shared" si="14"/>
        <v>7500.6675804546385</v>
      </c>
      <c r="Y7" s="87">
        <f t="shared" si="14"/>
        <v>8148.1277276404589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4037.0247073952723</v>
      </c>
      <c r="C8" s="87">
        <f t="shared" si="15"/>
        <v>4395.0068666196639</v>
      </c>
      <c r="D8" s="87">
        <f t="shared" si="15"/>
        <v>5881.5954597479613</v>
      </c>
      <c r="E8" s="87">
        <f t="shared" si="15"/>
        <v>5911.432982280905</v>
      </c>
      <c r="F8" s="87">
        <f t="shared" si="15"/>
        <v>7081.8231715743059</v>
      </c>
      <c r="G8" s="87">
        <f t="shared" si="15"/>
        <v>8128.9458230778037</v>
      </c>
      <c r="H8" s="87">
        <f t="shared" si="15"/>
        <v>9145.4058182918579</v>
      </c>
      <c r="I8" s="87">
        <f t="shared" si="15"/>
        <v>10462.541057400882</v>
      </c>
      <c r="J8" s="87">
        <f t="shared" si="15"/>
        <v>11514.212289226829</v>
      </c>
      <c r="K8" s="87">
        <f t="shared" si="15"/>
        <v>12599.34969881538</v>
      </c>
      <c r="L8" s="87">
        <f t="shared" ref="L8" si="16">IF(L35=0,0,L35*L145)</f>
        <v>13195.774857471044</v>
      </c>
      <c r="M8" s="87">
        <f t="shared" ref="M8:V8" si="17">IF(M35=0,0,M35*M145)</f>
        <v>13624.672191224157</v>
      </c>
      <c r="N8" s="87">
        <f t="shared" si="17"/>
        <v>14057.68079776766</v>
      </c>
      <c r="O8" s="87">
        <f t="shared" si="17"/>
        <v>14423.189881696278</v>
      </c>
      <c r="P8" s="87">
        <f t="shared" si="17"/>
        <v>15180.849790142269</v>
      </c>
      <c r="Q8" s="87">
        <f t="shared" si="17"/>
        <v>15767.758910188235</v>
      </c>
      <c r="R8" s="87">
        <f t="shared" si="17"/>
        <v>16289.34054006877</v>
      </c>
      <c r="S8" s="87">
        <f t="shared" si="17"/>
        <v>17317.946341888888</v>
      </c>
      <c r="T8" s="87">
        <f t="shared" si="17"/>
        <v>18047.019563938236</v>
      </c>
      <c r="U8" s="87">
        <f t="shared" si="17"/>
        <v>18613.687866886306</v>
      </c>
      <c r="V8" s="87">
        <f t="shared" si="17"/>
        <v>14411.114637216122</v>
      </c>
      <c r="W8" s="87">
        <f t="shared" ref="W8:Y8" si="18">IF(W35=0,0,W35*W145)</f>
        <v>14543.040807163672</v>
      </c>
      <c r="X8" s="87">
        <f t="shared" si="18"/>
        <v>15575.979033638941</v>
      </c>
      <c r="Y8" s="87">
        <f t="shared" si="18"/>
        <v>16189.098833157928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16.44471416932139</v>
      </c>
      <c r="I9" s="87">
        <f t="shared" si="19"/>
        <v>40.686662210380746</v>
      </c>
      <c r="J9" s="87">
        <f t="shared" si="19"/>
        <v>34.307730383559345</v>
      </c>
      <c r="K9" s="87">
        <f t="shared" si="19"/>
        <v>99.697118375248138</v>
      </c>
      <c r="L9" s="87">
        <f t="shared" ref="L9" si="20">IF(L36=0,0,L36*L146)</f>
        <v>120.2634339020987</v>
      </c>
      <c r="M9" s="87">
        <f t="shared" ref="M9:V9" si="21">IF(M36=0,0,M36*M146)</f>
        <v>135.06837984952557</v>
      </c>
      <c r="N9" s="87">
        <f t="shared" si="21"/>
        <v>173.31301025358019</v>
      </c>
      <c r="O9" s="87">
        <f t="shared" si="21"/>
        <v>243.95184655691392</v>
      </c>
      <c r="P9" s="87">
        <f t="shared" si="21"/>
        <v>255.24009111746622</v>
      </c>
      <c r="Q9" s="87">
        <f t="shared" si="21"/>
        <v>259.42163201132018</v>
      </c>
      <c r="R9" s="87">
        <f t="shared" si="21"/>
        <v>286.61045046156374</v>
      </c>
      <c r="S9" s="87">
        <f t="shared" si="21"/>
        <v>304.80135913778298</v>
      </c>
      <c r="T9" s="87">
        <f t="shared" si="21"/>
        <v>309.94390257619057</v>
      </c>
      <c r="U9" s="87">
        <f t="shared" si="21"/>
        <v>315.04110664500126</v>
      </c>
      <c r="V9" s="87">
        <f t="shared" si="21"/>
        <v>219.03867044549543</v>
      </c>
      <c r="W9" s="87">
        <f t="shared" ref="W9:Y9" si="22">IF(W36=0,0,W36*W146)</f>
        <v>235.89139345134356</v>
      </c>
      <c r="X9" s="87">
        <f t="shared" si="22"/>
        <v>261.31670269321495</v>
      </c>
      <c r="Y9" s="87">
        <f t="shared" si="22"/>
        <v>277.5759279436225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0.13409451981640738</v>
      </c>
      <c r="O10" s="87">
        <f t="shared" si="25"/>
        <v>0.69744033829645435</v>
      </c>
      <c r="P10" s="87">
        <f t="shared" si="25"/>
        <v>3.2963457281265138</v>
      </c>
      <c r="Q10" s="87">
        <f t="shared" si="25"/>
        <v>3.3783801200292709</v>
      </c>
      <c r="R10" s="87">
        <f t="shared" si="25"/>
        <v>4.4137516253922291</v>
      </c>
      <c r="S10" s="87">
        <f t="shared" si="25"/>
        <v>6.1352090108510815</v>
      </c>
      <c r="T10" s="87">
        <f t="shared" si="25"/>
        <v>6.6024494601269685</v>
      </c>
      <c r="U10" s="87">
        <f t="shared" si="25"/>
        <v>6.1729431160639967</v>
      </c>
      <c r="V10" s="87">
        <f t="shared" si="25"/>
        <v>4.2569403824654852</v>
      </c>
      <c r="W10" s="87">
        <f t="shared" ref="W10:Y10" si="26">IF(W37=0,0,W37*W147)</f>
        <v>4.4674046453637075</v>
      </c>
      <c r="X10" s="87">
        <f t="shared" si="26"/>
        <v>4.923185796263585</v>
      </c>
      <c r="Y10" s="87">
        <f t="shared" si="26"/>
        <v>5.1150118647548863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0.21170199994239666</v>
      </c>
      <c r="P11" s="87">
        <f t="shared" si="29"/>
        <v>0.32692130191530144</v>
      </c>
      <c r="Q11" s="87">
        <f t="shared" si="29"/>
        <v>0.88835572893729753</v>
      </c>
      <c r="R11" s="87">
        <f t="shared" si="29"/>
        <v>2.2111787780778829</v>
      </c>
      <c r="S11" s="87">
        <f t="shared" si="29"/>
        <v>5.2326089321622336</v>
      </c>
      <c r="T11" s="87">
        <f t="shared" si="29"/>
        <v>9.1541661033629715</v>
      </c>
      <c r="U11" s="87">
        <f t="shared" si="29"/>
        <v>10.316333879944992</v>
      </c>
      <c r="V11" s="87">
        <f t="shared" si="29"/>
        <v>8.5500853367704757</v>
      </c>
      <c r="W11" s="87">
        <f t="shared" ref="W11:Y11" si="30">IF(W38=0,0,W38*W148)</f>
        <v>12.326275963281732</v>
      </c>
      <c r="X11" s="87">
        <f t="shared" si="30"/>
        <v>19.302049066058647</v>
      </c>
      <c r="Y11" s="87">
        <f t="shared" si="30"/>
        <v>33.306653010201309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0.11874431688748441</v>
      </c>
      <c r="N12" s="87">
        <f t="shared" si="33"/>
        <v>0.29319517785875804</v>
      </c>
      <c r="O12" s="87">
        <f t="shared" si="33"/>
        <v>0.32756465558512948</v>
      </c>
      <c r="P12" s="87">
        <f t="shared" si="33"/>
        <v>0.83061060556505828</v>
      </c>
      <c r="Q12" s="87">
        <f t="shared" si="33"/>
        <v>1.9831212739008726</v>
      </c>
      <c r="R12" s="87">
        <f t="shared" si="33"/>
        <v>3.5546816130555174</v>
      </c>
      <c r="S12" s="87">
        <f t="shared" si="33"/>
        <v>6.7424771168366417</v>
      </c>
      <c r="T12" s="87">
        <f t="shared" si="33"/>
        <v>10.806382533888096</v>
      </c>
      <c r="U12" s="87">
        <f t="shared" si="33"/>
        <v>18.024554667468458</v>
      </c>
      <c r="V12" s="87">
        <f t="shared" si="33"/>
        <v>23.968365017981782</v>
      </c>
      <c r="W12" s="87">
        <f t="shared" ref="W12:Y12" si="34">IF(W39=0,0,W39*W149)</f>
        <v>39.555248171297023</v>
      </c>
      <c r="X12" s="87">
        <f t="shared" si="34"/>
        <v>57.811448350881506</v>
      </c>
      <c r="Y12" s="87">
        <f t="shared" si="34"/>
        <v>87.775846383031634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3502</v>
      </c>
      <c r="C13" s="116">
        <f t="shared" si="35"/>
        <v>3393</v>
      </c>
      <c r="D13" s="116">
        <f t="shared" si="35"/>
        <v>3339</v>
      </c>
      <c r="E13" s="116">
        <f t="shared" si="35"/>
        <v>3446</v>
      </c>
      <c r="F13" s="116">
        <f t="shared" si="35"/>
        <v>3218</v>
      </c>
      <c r="G13" s="116">
        <f t="shared" si="35"/>
        <v>3062</v>
      </c>
      <c r="H13" s="116">
        <f t="shared" si="35"/>
        <v>3133</v>
      </c>
      <c r="I13" s="116">
        <f t="shared" si="35"/>
        <v>3235</v>
      </c>
      <c r="J13" s="116">
        <f t="shared" si="35"/>
        <v>3146</v>
      </c>
      <c r="K13" s="116">
        <f t="shared" si="35"/>
        <v>3196</v>
      </c>
      <c r="L13" s="116">
        <f t="shared" ref="L13" si="36">SUM(L14:L18)</f>
        <v>3183</v>
      </c>
      <c r="M13" s="116">
        <f t="shared" ref="M13:V13" si="37">SUM(M14:M18)</f>
        <v>3244.1431344435568</v>
      </c>
      <c r="N13" s="116">
        <f t="shared" si="37"/>
        <v>3237.0370249757102</v>
      </c>
      <c r="O13" s="116">
        <f t="shared" si="37"/>
        <v>3322.3001768851614</v>
      </c>
      <c r="P13" s="116">
        <f t="shared" si="37"/>
        <v>3448.9923540158738</v>
      </c>
      <c r="Q13" s="116">
        <f t="shared" si="37"/>
        <v>3576.0825660756332</v>
      </c>
      <c r="R13" s="116">
        <f t="shared" si="37"/>
        <v>3607.1993994426762</v>
      </c>
      <c r="S13" s="116">
        <f t="shared" si="37"/>
        <v>3680.2214515651085</v>
      </c>
      <c r="T13" s="116">
        <f t="shared" si="37"/>
        <v>3751.5697897189011</v>
      </c>
      <c r="U13" s="116">
        <f t="shared" si="37"/>
        <v>3765.2972187741411</v>
      </c>
      <c r="V13" s="116">
        <f t="shared" si="37"/>
        <v>1994.6514499731879</v>
      </c>
      <c r="W13" s="116">
        <f t="shared" ref="W13:Y13" si="38">SUM(W14:W18)</f>
        <v>2322.8269452198156</v>
      </c>
      <c r="X13" s="116">
        <f t="shared" si="38"/>
        <v>3147.4720682159959</v>
      </c>
      <c r="Y13" s="116">
        <f t="shared" si="38"/>
        <v>3448.0214065861437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20.290774712136063</v>
      </c>
      <c r="C14" s="101">
        <f t="shared" si="39"/>
        <v>18.539878302492188</v>
      </c>
      <c r="D14" s="101">
        <f t="shared" si="39"/>
        <v>16.910356005175895</v>
      </c>
      <c r="E14" s="101">
        <f t="shared" si="39"/>
        <v>15.435132965537287</v>
      </c>
      <c r="F14" s="101">
        <f t="shared" si="39"/>
        <v>12.020703597210908</v>
      </c>
      <c r="G14" s="101">
        <f t="shared" si="39"/>
        <v>10.346192047387801</v>
      </c>
      <c r="H14" s="101">
        <f t="shared" si="39"/>
        <v>9.3254189706859787</v>
      </c>
      <c r="I14" s="101">
        <f t="shared" si="39"/>
        <v>8.2074808484399213</v>
      </c>
      <c r="J14" s="101">
        <f t="shared" si="39"/>
        <v>6.2823580254924414</v>
      </c>
      <c r="K14" s="101">
        <f t="shared" si="39"/>
        <v>5.3153641654256045</v>
      </c>
      <c r="L14" s="101">
        <f t="shared" ref="L14" si="40">IF(L41=0,0,L41*L151)</f>
        <v>4.3935104775699125</v>
      </c>
      <c r="M14" s="101">
        <f t="shared" ref="M14:V14" si="41">IF(M41=0,0,M41*M151)</f>
        <v>3.5051892390452664</v>
      </c>
      <c r="N14" s="101">
        <f t="shared" si="41"/>
        <v>3.0310512236287739</v>
      </c>
      <c r="O14" s="101">
        <f t="shared" si="41"/>
        <v>2.5614947617556707</v>
      </c>
      <c r="P14" s="101">
        <f t="shared" si="41"/>
        <v>2.1025285090102588</v>
      </c>
      <c r="Q14" s="101">
        <f t="shared" si="41"/>
        <v>1.6727123544710338</v>
      </c>
      <c r="R14" s="101">
        <f t="shared" si="41"/>
        <v>1.6945084463816984</v>
      </c>
      <c r="S14" s="101">
        <f t="shared" si="41"/>
        <v>1.6199821163460992</v>
      </c>
      <c r="T14" s="101">
        <f t="shared" si="41"/>
        <v>1.5817461476214878</v>
      </c>
      <c r="U14" s="101">
        <f t="shared" si="41"/>
        <v>1.5240986020537615</v>
      </c>
      <c r="V14" s="101">
        <f t="shared" si="41"/>
        <v>1.009085812941527</v>
      </c>
      <c r="W14" s="101">
        <f t="shared" ref="W14:Y14" si="42">IF(W41=0,0,W41*W151)</f>
        <v>0.99746736241076361</v>
      </c>
      <c r="X14" s="101">
        <f t="shared" si="42"/>
        <v>0.94371751461053144</v>
      </c>
      <c r="Y14" s="101">
        <f t="shared" si="42"/>
        <v>9.0772339003395164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3481.7092252878638</v>
      </c>
      <c r="C15" s="101">
        <f t="shared" si="43"/>
        <v>3374.4601216975079</v>
      </c>
      <c r="D15" s="101">
        <f t="shared" si="43"/>
        <v>3322.0896439948242</v>
      </c>
      <c r="E15" s="101">
        <f t="shared" si="43"/>
        <v>3430.5648670344626</v>
      </c>
      <c r="F15" s="101">
        <f t="shared" si="43"/>
        <v>3205.9792964027893</v>
      </c>
      <c r="G15" s="101">
        <f t="shared" si="43"/>
        <v>3051.6538079526122</v>
      </c>
      <c r="H15" s="101">
        <f t="shared" si="43"/>
        <v>3123.6745810293141</v>
      </c>
      <c r="I15" s="101">
        <f t="shared" si="43"/>
        <v>3226.7925191515601</v>
      </c>
      <c r="J15" s="101">
        <f t="shared" si="43"/>
        <v>3139.7176419745074</v>
      </c>
      <c r="K15" s="101">
        <f t="shared" si="43"/>
        <v>3190.6846358345742</v>
      </c>
      <c r="L15" s="101">
        <f t="shared" ref="L15" si="44">IF(L42=0,0,L42*L152)</f>
        <v>3178.6064895224299</v>
      </c>
      <c r="M15" s="101">
        <f t="shared" ref="M15:V15" si="45">IF(M42=0,0,M42*M152)</f>
        <v>3240.6379452045117</v>
      </c>
      <c r="N15" s="101">
        <f t="shared" si="45"/>
        <v>3197.9256592556794</v>
      </c>
      <c r="O15" s="101">
        <f t="shared" si="45"/>
        <v>3277.0627235773854</v>
      </c>
      <c r="P15" s="101">
        <f t="shared" si="45"/>
        <v>3279.7772430545897</v>
      </c>
      <c r="Q15" s="101">
        <f t="shared" si="45"/>
        <v>3394.2891129969939</v>
      </c>
      <c r="R15" s="101">
        <f t="shared" si="45"/>
        <v>3315.6318929938857</v>
      </c>
      <c r="S15" s="101">
        <f t="shared" si="45"/>
        <v>3405.8393885563346</v>
      </c>
      <c r="T15" s="101">
        <f t="shared" si="45"/>
        <v>3463.1467531237386</v>
      </c>
      <c r="U15" s="101">
        <f t="shared" si="45"/>
        <v>3573.4777926987781</v>
      </c>
      <c r="V15" s="101">
        <f t="shared" si="45"/>
        <v>1881.8732918521339</v>
      </c>
      <c r="W15" s="101">
        <f t="shared" ref="W15:Y15" si="46">IF(W42=0,0,W42*W152)</f>
        <v>2207.0844393682019</v>
      </c>
      <c r="X15" s="101">
        <f t="shared" si="46"/>
        <v>2996.4905535270514</v>
      </c>
      <c r="Y15" s="101">
        <f t="shared" si="46"/>
        <v>3253.1752885964333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0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36.080314496401861</v>
      </c>
      <c r="O17" s="101">
        <f t="shared" si="53"/>
        <v>42.675958546020283</v>
      </c>
      <c r="P17" s="101">
        <f t="shared" si="53"/>
        <v>164.59518886144977</v>
      </c>
      <c r="Q17" s="101">
        <f t="shared" si="53"/>
        <v>177.57428532776066</v>
      </c>
      <c r="R17" s="101">
        <f t="shared" si="53"/>
        <v>284.66820311270425</v>
      </c>
      <c r="S17" s="101">
        <f t="shared" si="53"/>
        <v>268.89558192632688</v>
      </c>
      <c r="T17" s="101">
        <f t="shared" si="53"/>
        <v>281.51998245736434</v>
      </c>
      <c r="U17" s="101">
        <f t="shared" si="53"/>
        <v>182.40037044949523</v>
      </c>
      <c r="V17" s="101">
        <f t="shared" si="53"/>
        <v>106.03741278411916</v>
      </c>
      <c r="W17" s="101">
        <f t="shared" ref="W17:Y17" si="54">IF(W44=0,0,W44*W154)</f>
        <v>107.95681937174074</v>
      </c>
      <c r="X17" s="101">
        <f t="shared" si="54"/>
        <v>137.28648510644754</v>
      </c>
      <c r="Y17" s="101">
        <f t="shared" si="54"/>
        <v>150.98953238996975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2.5173935908239282</v>
      </c>
      <c r="Q18" s="101">
        <f t="shared" si="57"/>
        <v>2.5464553964074166</v>
      </c>
      <c r="R18" s="101">
        <f t="shared" si="57"/>
        <v>5.204794889704349</v>
      </c>
      <c r="S18" s="101">
        <f t="shared" si="57"/>
        <v>3.8664989661011719</v>
      </c>
      <c r="T18" s="101">
        <f t="shared" si="57"/>
        <v>5.3213079901769706</v>
      </c>
      <c r="U18" s="101">
        <f t="shared" si="57"/>
        <v>7.8949570238136895</v>
      </c>
      <c r="V18" s="101">
        <f t="shared" si="57"/>
        <v>5.7316595239933568</v>
      </c>
      <c r="W18" s="101">
        <f t="shared" ref="W18:Y18" si="58">IF(W45=0,0,W45*W155)</f>
        <v>6.7882191174622699</v>
      </c>
      <c r="X18" s="101">
        <f t="shared" si="58"/>
        <v>12.751312067886914</v>
      </c>
      <c r="Y18" s="101">
        <f t="shared" si="58"/>
        <v>34.779351699400962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5530.1471621002956</v>
      </c>
      <c r="C19" s="29">
        <f t="shared" si="59"/>
        <v>5815.4156197757102</v>
      </c>
      <c r="D19" s="29">
        <f t="shared" si="59"/>
        <v>6064.5509928965839</v>
      </c>
      <c r="E19" s="29">
        <f t="shared" si="59"/>
        <v>6186.160954250664</v>
      </c>
      <c r="F19" s="29">
        <f t="shared" si="59"/>
        <v>7129.4873633604093</v>
      </c>
      <c r="G19" s="29">
        <f t="shared" si="59"/>
        <v>7403.5423880547569</v>
      </c>
      <c r="H19" s="29">
        <f t="shared" si="59"/>
        <v>8148.3713679114444</v>
      </c>
      <c r="I19" s="29">
        <f t="shared" si="59"/>
        <v>8578.4027260355178</v>
      </c>
      <c r="J19" s="29">
        <f t="shared" si="59"/>
        <v>8571.3897971444021</v>
      </c>
      <c r="K19" s="29">
        <f t="shared" si="59"/>
        <v>7455.5353915071555</v>
      </c>
      <c r="L19" s="29">
        <f t="shared" ref="L19" si="60">L20+L26</f>
        <v>7467.6678503549556</v>
      </c>
      <c r="M19" s="29">
        <f t="shared" ref="M19:V19" si="61">M20+M26</f>
        <v>7445.0636216274797</v>
      </c>
      <c r="N19" s="29">
        <f t="shared" si="61"/>
        <v>7262.6940030292581</v>
      </c>
      <c r="O19" s="29">
        <f t="shared" si="61"/>
        <v>7286.6894498517622</v>
      </c>
      <c r="P19" s="29">
        <f t="shared" si="61"/>
        <v>7489.5885406100269</v>
      </c>
      <c r="Q19" s="29">
        <f t="shared" si="61"/>
        <v>7937.3530768622632</v>
      </c>
      <c r="R19" s="29">
        <f t="shared" si="61"/>
        <v>8686.982961878497</v>
      </c>
      <c r="S19" s="29">
        <f t="shared" si="61"/>
        <v>9547.27147522835</v>
      </c>
      <c r="T19" s="29">
        <f t="shared" si="61"/>
        <v>9689.074592424713</v>
      </c>
      <c r="U19" s="29">
        <f t="shared" si="61"/>
        <v>9839.8474564008848</v>
      </c>
      <c r="V19" s="29">
        <f t="shared" si="61"/>
        <v>9217.9272076967573</v>
      </c>
      <c r="W19" s="29">
        <f t="shared" ref="W19:Y19" si="62">W20+W26</f>
        <v>10053.569805603844</v>
      </c>
      <c r="X19" s="29">
        <f t="shared" si="62"/>
        <v>10428.622938976818</v>
      </c>
      <c r="Y19" s="29">
        <f t="shared" si="62"/>
        <v>10997.324965905907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60.809933327729738</v>
      </c>
      <c r="C20" s="152">
        <f t="shared" si="63"/>
        <v>64.913490385302765</v>
      </c>
      <c r="D20" s="152">
        <f t="shared" si="63"/>
        <v>70.603644174411954</v>
      </c>
      <c r="E20" s="152">
        <f t="shared" si="63"/>
        <v>77.027672148484186</v>
      </c>
      <c r="F20" s="152">
        <f t="shared" si="63"/>
        <v>87.060122056326662</v>
      </c>
      <c r="G20" s="152">
        <f t="shared" si="63"/>
        <v>96.230140450282434</v>
      </c>
      <c r="H20" s="152">
        <f t="shared" si="63"/>
        <v>105.47696969236476</v>
      </c>
      <c r="I20" s="152">
        <f t="shared" si="63"/>
        <v>121.51471473598146</v>
      </c>
      <c r="J20" s="152">
        <f t="shared" si="63"/>
        <v>135.96985796333672</v>
      </c>
      <c r="K20" s="152">
        <f t="shared" si="63"/>
        <v>142.81375345083643</v>
      </c>
      <c r="L20" s="152">
        <f t="shared" ref="L20" si="64">SUM(L21:L25)</f>
        <v>146.15468320260734</v>
      </c>
      <c r="M20" s="152">
        <f t="shared" ref="M20:V20" si="65">SUM(M21:M25)</f>
        <v>152.80347512846936</v>
      </c>
      <c r="N20" s="152">
        <f t="shared" si="65"/>
        <v>156.4270832630385</v>
      </c>
      <c r="O20" s="152">
        <f t="shared" si="65"/>
        <v>162.11233370959499</v>
      </c>
      <c r="P20" s="152">
        <f t="shared" si="65"/>
        <v>171.35054997370543</v>
      </c>
      <c r="Q20" s="152">
        <f t="shared" si="65"/>
        <v>182.64442543432608</v>
      </c>
      <c r="R20" s="152">
        <f t="shared" si="65"/>
        <v>195.90415268045717</v>
      </c>
      <c r="S20" s="152">
        <f t="shared" si="65"/>
        <v>212.28305745160267</v>
      </c>
      <c r="T20" s="152">
        <f t="shared" si="65"/>
        <v>229.07459242471279</v>
      </c>
      <c r="U20" s="152">
        <f t="shared" si="65"/>
        <v>244.84745640088474</v>
      </c>
      <c r="V20" s="152">
        <f t="shared" si="65"/>
        <v>254.92720769675665</v>
      </c>
      <c r="W20" s="152">
        <f t="shared" ref="W20:Y20" si="66">SUM(W21:W25)</f>
        <v>269.56980560384397</v>
      </c>
      <c r="X20" s="152">
        <f t="shared" si="66"/>
        <v>281.62293897681752</v>
      </c>
      <c r="Y20" s="152">
        <f t="shared" si="66"/>
        <v>295.32496590590819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10.706344041804098</v>
      </c>
      <c r="C21" s="87">
        <f t="shared" si="67"/>
        <v>11.301160706226941</v>
      </c>
      <c r="D21" s="87">
        <f t="shared" si="67"/>
        <v>11.741367586115173</v>
      </c>
      <c r="E21" s="87">
        <f t="shared" si="67"/>
        <v>11.773633796612408</v>
      </c>
      <c r="F21" s="87">
        <f t="shared" si="67"/>
        <v>12.143339576072085</v>
      </c>
      <c r="G21" s="87">
        <f t="shared" si="67"/>
        <v>11.868294452989693</v>
      </c>
      <c r="H21" s="87">
        <f t="shared" si="67"/>
        <v>11.00277592051923</v>
      </c>
      <c r="I21" s="87">
        <f t="shared" si="67"/>
        <v>11.376631854038591</v>
      </c>
      <c r="J21" s="87">
        <f t="shared" si="67"/>
        <v>11.220005266923264</v>
      </c>
      <c r="K21" s="87">
        <f t="shared" si="67"/>
        <v>10.58752040245926</v>
      </c>
      <c r="L21" s="87">
        <f t="shared" ref="L21" si="68">IF(L48=0,0,L48*L158)</f>
        <v>9.9260172374829061</v>
      </c>
      <c r="M21" s="87">
        <f t="shared" ref="M21:V21" si="69">IF(M48=0,0,M48*M158)</f>
        <v>9.4946670768129735</v>
      </c>
      <c r="N21" s="87">
        <f t="shared" si="69"/>
        <v>9.0026560596815415</v>
      </c>
      <c r="O21" s="87">
        <f t="shared" si="69"/>
        <v>8.5691577788662396</v>
      </c>
      <c r="P21" s="87">
        <f t="shared" si="69"/>
        <v>7.6936399913408646</v>
      </c>
      <c r="Q21" s="87">
        <f t="shared" si="69"/>
        <v>7.3451227743702896</v>
      </c>
      <c r="R21" s="87">
        <f t="shared" si="69"/>
        <v>7.027384368767768</v>
      </c>
      <c r="S21" s="87">
        <f t="shared" si="69"/>
        <v>6.9573307450276989</v>
      </c>
      <c r="T21" s="87">
        <f t="shared" si="69"/>
        <v>7.1174362661672594</v>
      </c>
      <c r="U21" s="87">
        <f t="shared" si="69"/>
        <v>7.1686306865676279</v>
      </c>
      <c r="V21" s="87">
        <f t="shared" si="69"/>
        <v>7.0345313605940429</v>
      </c>
      <c r="W21" s="87">
        <f t="shared" ref="W21:Y21" si="70">IF(W48=0,0,W48*W158)</f>
        <v>6.948190138946237</v>
      </c>
      <c r="X21" s="87">
        <f t="shared" si="70"/>
        <v>6.8435066538472107</v>
      </c>
      <c r="Y21" s="87">
        <f t="shared" si="70"/>
        <v>6.9292356701122646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50.103589285925644</v>
      </c>
      <c r="C22" s="87">
        <f t="shared" si="71"/>
        <v>53.61232967907582</v>
      </c>
      <c r="D22" s="87">
        <f t="shared" si="71"/>
        <v>58.862276588296787</v>
      </c>
      <c r="E22" s="87">
        <f t="shared" si="71"/>
        <v>65.254038351871785</v>
      </c>
      <c r="F22" s="87">
        <f t="shared" si="71"/>
        <v>74.916782480254582</v>
      </c>
      <c r="G22" s="87">
        <f t="shared" si="71"/>
        <v>84.361845997292747</v>
      </c>
      <c r="H22" s="87">
        <f t="shared" si="71"/>
        <v>93.896174960732239</v>
      </c>
      <c r="I22" s="87">
        <f t="shared" si="71"/>
        <v>109.50349521919745</v>
      </c>
      <c r="J22" s="87">
        <f t="shared" si="71"/>
        <v>123.82279173873083</v>
      </c>
      <c r="K22" s="87">
        <f t="shared" si="71"/>
        <v>131.85760267527493</v>
      </c>
      <c r="L22" s="87">
        <f t="shared" ref="L22" si="72">IF(L49=0,0,L49*L159)</f>
        <v>136.09782128457789</v>
      </c>
      <c r="M22" s="87">
        <f t="shared" ref="M22:V22" si="73">IF(M49=0,0,M49*M159)</f>
        <v>143.19559455303187</v>
      </c>
      <c r="N22" s="87">
        <f t="shared" si="73"/>
        <v>147.31898909242759</v>
      </c>
      <c r="O22" s="87">
        <f t="shared" si="73"/>
        <v>153.43547798470169</v>
      </c>
      <c r="P22" s="87">
        <f t="shared" si="73"/>
        <v>162.95985833966907</v>
      </c>
      <c r="Q22" s="87">
        <f t="shared" si="73"/>
        <v>174.37378067833035</v>
      </c>
      <c r="R22" s="87">
        <f t="shared" si="73"/>
        <v>187.89273066080534</v>
      </c>
      <c r="S22" s="87">
        <f t="shared" si="73"/>
        <v>204.11006674307518</v>
      </c>
      <c r="T22" s="87">
        <f t="shared" si="73"/>
        <v>220.70945847937568</v>
      </c>
      <c r="U22" s="87">
        <f t="shared" si="73"/>
        <v>236.1819944676204</v>
      </c>
      <c r="V22" s="87">
        <f t="shared" si="73"/>
        <v>246.3158661356556</v>
      </c>
      <c r="W22" s="87">
        <f t="shared" ref="W22:Y22" si="74">IF(W49=0,0,W49*W159)</f>
        <v>260.91878804393644</v>
      </c>
      <c r="X22" s="87">
        <f t="shared" si="74"/>
        <v>273.05431059225521</v>
      </c>
      <c r="Y22" s="87">
        <f t="shared" si="74"/>
        <v>286.40398732415571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0.57801881111330078</v>
      </c>
      <c r="I23" s="87">
        <f t="shared" si="75"/>
        <v>0.63458766274542289</v>
      </c>
      <c r="J23" s="87">
        <f t="shared" si="75"/>
        <v>0.92706095768262808</v>
      </c>
      <c r="K23" s="87">
        <f t="shared" si="75"/>
        <v>0.36863037310224234</v>
      </c>
      <c r="L23" s="87">
        <f t="shared" ref="L23" si="76">IF(L50=0,0,L50*L160)</f>
        <v>0.13084468054653939</v>
      </c>
      <c r="M23" s="87">
        <f t="shared" ref="M23:V23" si="77">IF(M50=0,0,M50*M160)</f>
        <v>0.11321349862454314</v>
      </c>
      <c r="N23" s="87">
        <f t="shared" si="77"/>
        <v>0.1054381109293738</v>
      </c>
      <c r="O23" s="87">
        <f t="shared" si="77"/>
        <v>0.10769794602706922</v>
      </c>
      <c r="P23" s="87">
        <f t="shared" si="77"/>
        <v>0.60705221594712078</v>
      </c>
      <c r="Q23" s="87">
        <f t="shared" si="77"/>
        <v>0.69135011627242915</v>
      </c>
      <c r="R23" s="87">
        <f t="shared" si="77"/>
        <v>0.68669010488018356</v>
      </c>
      <c r="S23" s="87">
        <f t="shared" si="77"/>
        <v>0.74987900244827954</v>
      </c>
      <c r="T23" s="87">
        <f t="shared" si="77"/>
        <v>0.74493334108702536</v>
      </c>
      <c r="U23" s="87">
        <f t="shared" si="77"/>
        <v>0.86621547235298368</v>
      </c>
      <c r="V23" s="87">
        <f t="shared" si="77"/>
        <v>0.89574480723995464</v>
      </c>
      <c r="W23" s="87">
        <f t="shared" ref="W23:Y23" si="78">IF(W50=0,0,W50*W160)</f>
        <v>0.88865667137023363</v>
      </c>
      <c r="X23" s="87">
        <f t="shared" si="78"/>
        <v>0.88225030447172814</v>
      </c>
      <c r="Y23" s="87">
        <f t="shared" si="78"/>
        <v>0.86720203060238465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4.7727477234762804E-2</v>
      </c>
      <c r="Q24" s="87">
        <f t="shared" si="81"/>
        <v>0.12976434332040493</v>
      </c>
      <c r="R24" s="87">
        <f t="shared" si="81"/>
        <v>0.11959527644436271</v>
      </c>
      <c r="S24" s="87">
        <f t="shared" si="81"/>
        <v>0.12161357493063429</v>
      </c>
      <c r="T24" s="87">
        <f t="shared" si="81"/>
        <v>0.12197757334862086</v>
      </c>
      <c r="U24" s="87">
        <f t="shared" si="81"/>
        <v>0.16526791352600728</v>
      </c>
      <c r="V24" s="87">
        <f t="shared" si="81"/>
        <v>0.16552498897381246</v>
      </c>
      <c r="W24" s="87">
        <f t="shared" ref="W24:Y24" si="82">IF(W51=0,0,W51*W161)</f>
        <v>0.16555824887255216</v>
      </c>
      <c r="X24" s="87">
        <f t="shared" si="82"/>
        <v>0.16617898361495764</v>
      </c>
      <c r="Y24" s="87">
        <f t="shared" si="82"/>
        <v>0.16315895829653979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0</v>
      </c>
      <c r="P25" s="87">
        <f t="shared" si="85"/>
        <v>4.2271949513638316E-2</v>
      </c>
      <c r="Q25" s="87">
        <f t="shared" si="85"/>
        <v>0.10440752203261647</v>
      </c>
      <c r="R25" s="87">
        <f t="shared" si="85"/>
        <v>0.17775226955952331</v>
      </c>
      <c r="S25" s="87">
        <f t="shared" si="85"/>
        <v>0.34416738612090458</v>
      </c>
      <c r="T25" s="87">
        <f t="shared" si="85"/>
        <v>0.38078676473417383</v>
      </c>
      <c r="U25" s="87">
        <f t="shared" si="85"/>
        <v>0.4653478608176993</v>
      </c>
      <c r="V25" s="87">
        <f t="shared" si="85"/>
        <v>0.51554040429326076</v>
      </c>
      <c r="W25" s="87">
        <f t="shared" ref="W25:Y25" si="86">IF(W52=0,0,W52*W162)</f>
        <v>0.64861250071847121</v>
      </c>
      <c r="X25" s="87">
        <f t="shared" si="86"/>
        <v>0.67669244262844586</v>
      </c>
      <c r="Y25" s="87">
        <f t="shared" si="86"/>
        <v>0.96138192274128831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5469.337228772566</v>
      </c>
      <c r="C26" s="116">
        <f t="shared" si="87"/>
        <v>5750.5021293904074</v>
      </c>
      <c r="D26" s="116">
        <f t="shared" si="87"/>
        <v>5993.9473487221721</v>
      </c>
      <c r="E26" s="116">
        <f t="shared" si="87"/>
        <v>6109.1332821021797</v>
      </c>
      <c r="F26" s="116">
        <f t="shared" si="87"/>
        <v>7042.4272413040826</v>
      </c>
      <c r="G26" s="116">
        <f t="shared" si="87"/>
        <v>7307.3122476044746</v>
      </c>
      <c r="H26" s="116">
        <f t="shared" si="87"/>
        <v>8042.8943982190794</v>
      </c>
      <c r="I26" s="116">
        <f t="shared" si="87"/>
        <v>8456.8880112995357</v>
      </c>
      <c r="J26" s="116">
        <f t="shared" si="87"/>
        <v>8435.4199391810653</v>
      </c>
      <c r="K26" s="116">
        <f t="shared" si="87"/>
        <v>7312.7216380563186</v>
      </c>
      <c r="L26" s="116">
        <f t="shared" ref="L26" si="88">SUM(L27:L28)</f>
        <v>7321.5131671523486</v>
      </c>
      <c r="M26" s="116">
        <f t="shared" ref="M26:V26" si="89">SUM(M27:M28)</f>
        <v>7292.2601464990103</v>
      </c>
      <c r="N26" s="116">
        <f t="shared" si="89"/>
        <v>7106.2669197662199</v>
      </c>
      <c r="O26" s="116">
        <f t="shared" si="89"/>
        <v>7124.5771161421671</v>
      </c>
      <c r="P26" s="116">
        <f t="shared" si="89"/>
        <v>7318.2379906363212</v>
      </c>
      <c r="Q26" s="116">
        <f t="shared" si="89"/>
        <v>7754.7086514279372</v>
      </c>
      <c r="R26" s="116">
        <f t="shared" si="89"/>
        <v>8491.0788091980394</v>
      </c>
      <c r="S26" s="116">
        <f t="shared" si="89"/>
        <v>9334.9884177767472</v>
      </c>
      <c r="T26" s="116">
        <f t="shared" si="89"/>
        <v>9460</v>
      </c>
      <c r="U26" s="116">
        <f t="shared" si="89"/>
        <v>9595</v>
      </c>
      <c r="V26" s="116">
        <f t="shared" si="89"/>
        <v>8963</v>
      </c>
      <c r="W26" s="116">
        <f t="shared" ref="W26:Y26" si="90">SUM(W27:W28)</f>
        <v>9784</v>
      </c>
      <c r="X26" s="116">
        <f t="shared" si="90"/>
        <v>10147</v>
      </c>
      <c r="Y26" s="116">
        <f t="shared" si="90"/>
        <v>10702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1900</v>
      </c>
      <c r="C27" s="101">
        <f t="shared" si="91"/>
        <v>1927</v>
      </c>
      <c r="D27" s="101">
        <f t="shared" si="91"/>
        <v>1945</v>
      </c>
      <c r="E27" s="101">
        <f t="shared" si="91"/>
        <v>1995</v>
      </c>
      <c r="F27" s="101">
        <f t="shared" si="91"/>
        <v>2267</v>
      </c>
      <c r="G27" s="101">
        <f t="shared" si="91"/>
        <v>2361</v>
      </c>
      <c r="H27" s="101">
        <f t="shared" si="91"/>
        <v>2279</v>
      </c>
      <c r="I27" s="101">
        <f t="shared" si="91"/>
        <v>2573</v>
      </c>
      <c r="J27" s="101">
        <f t="shared" si="91"/>
        <v>2636</v>
      </c>
      <c r="K27" s="101">
        <f t="shared" si="91"/>
        <v>2276</v>
      </c>
      <c r="L27" s="101">
        <f t="shared" ref="L27:V27" si="92">IF(L54=0,0,L54*L164)</f>
        <v>2288</v>
      </c>
      <c r="M27" s="101">
        <f t="shared" si="92"/>
        <v>2177</v>
      </c>
      <c r="N27" s="101">
        <f t="shared" si="92"/>
        <v>1848.9999999999998</v>
      </c>
      <c r="O27" s="101">
        <f t="shared" si="92"/>
        <v>1889</v>
      </c>
      <c r="P27" s="101">
        <f t="shared" si="92"/>
        <v>2062</v>
      </c>
      <c r="Q27" s="101">
        <f t="shared" si="92"/>
        <v>2069</v>
      </c>
      <c r="R27" s="101">
        <f t="shared" si="92"/>
        <v>2134</v>
      </c>
      <c r="S27" s="101">
        <f t="shared" si="92"/>
        <v>2310</v>
      </c>
      <c r="T27" s="101">
        <f t="shared" si="92"/>
        <v>2256</v>
      </c>
      <c r="U27" s="101">
        <f t="shared" si="92"/>
        <v>2306</v>
      </c>
      <c r="V27" s="101">
        <f t="shared" si="92"/>
        <v>2275</v>
      </c>
      <c r="W27" s="101">
        <f t="shared" ref="W27:Y27" si="93">IF(W54=0,0,W54*W164)</f>
        <v>2464</v>
      </c>
      <c r="X27" s="101">
        <f t="shared" si="93"/>
        <v>2567</v>
      </c>
      <c r="Y27" s="101">
        <f t="shared" si="93"/>
        <v>3097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3569.337228772566</v>
      </c>
      <c r="C28" s="88">
        <f t="shared" si="94"/>
        <v>3823.5021293904074</v>
      </c>
      <c r="D28" s="88">
        <f t="shared" si="94"/>
        <v>4048.9473487221721</v>
      </c>
      <c r="E28" s="88">
        <f t="shared" si="94"/>
        <v>4114.1332821021797</v>
      </c>
      <c r="F28" s="88">
        <f t="shared" si="94"/>
        <v>4775.4272413040826</v>
      </c>
      <c r="G28" s="88">
        <f t="shared" si="94"/>
        <v>4946.3122476044746</v>
      </c>
      <c r="H28" s="88">
        <f t="shared" si="94"/>
        <v>5763.8943982190794</v>
      </c>
      <c r="I28" s="88">
        <f t="shared" si="94"/>
        <v>5883.8880112995357</v>
      </c>
      <c r="J28" s="88">
        <f t="shared" si="94"/>
        <v>5799.4199391810653</v>
      </c>
      <c r="K28" s="88">
        <f t="shared" si="94"/>
        <v>5036.7216380563186</v>
      </c>
      <c r="L28" s="88">
        <f t="shared" ref="L28:V28" si="95">IF(L55=0,0,L55*L165)</f>
        <v>5033.5131671523486</v>
      </c>
      <c r="M28" s="88">
        <f t="shared" si="95"/>
        <v>5115.2601464990103</v>
      </c>
      <c r="N28" s="88">
        <f t="shared" si="95"/>
        <v>5257.2669197662199</v>
      </c>
      <c r="O28" s="88">
        <f t="shared" si="95"/>
        <v>5235.5771161421671</v>
      </c>
      <c r="P28" s="88">
        <f t="shared" si="95"/>
        <v>5256.2379906363212</v>
      </c>
      <c r="Q28" s="88">
        <f t="shared" si="95"/>
        <v>5685.7086514279372</v>
      </c>
      <c r="R28" s="88">
        <f t="shared" si="95"/>
        <v>6357.0788091980394</v>
      </c>
      <c r="S28" s="88">
        <f t="shared" si="95"/>
        <v>7024.9884177767472</v>
      </c>
      <c r="T28" s="88">
        <f t="shared" si="95"/>
        <v>7204</v>
      </c>
      <c r="U28" s="88">
        <f t="shared" si="95"/>
        <v>7289</v>
      </c>
      <c r="V28" s="88">
        <f t="shared" si="95"/>
        <v>6688</v>
      </c>
      <c r="W28" s="88">
        <f t="shared" ref="W28:Y28" si="96">IF(W55=0,0,W55*W165)</f>
        <v>7320</v>
      </c>
      <c r="X28" s="88">
        <f t="shared" si="96"/>
        <v>7580</v>
      </c>
      <c r="Y28" s="88">
        <f t="shared" si="96"/>
        <v>7605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11634.344702220451</v>
      </c>
      <c r="C30" s="62">
        <f t="shared" ref="C30:V30" si="98">C31+C46</f>
        <v>11919.814747418459</v>
      </c>
      <c r="D30" s="62">
        <f t="shared" si="98"/>
        <v>12561.943280502974</v>
      </c>
      <c r="E30" s="62">
        <f t="shared" si="98"/>
        <v>12830.436881080681</v>
      </c>
      <c r="F30" s="62">
        <f t="shared" si="98"/>
        <v>13657.556386377808</v>
      </c>
      <c r="G30" s="62">
        <f t="shared" si="98"/>
        <v>14154.042570758847</v>
      </c>
      <c r="H30" s="62">
        <f t="shared" si="98"/>
        <v>14707.078920316328</v>
      </c>
      <c r="I30" s="62">
        <f t="shared" si="98"/>
        <v>15387.177749273111</v>
      </c>
      <c r="J30" s="62">
        <f t="shared" si="98"/>
        <v>15693.228390531058</v>
      </c>
      <c r="K30" s="62">
        <f t="shared" si="98"/>
        <v>16310.216213713524</v>
      </c>
      <c r="L30" s="62">
        <f t="shared" si="98"/>
        <v>16439.930803460167</v>
      </c>
      <c r="M30" s="62">
        <f t="shared" si="98"/>
        <v>16583.585160526116</v>
      </c>
      <c r="N30" s="62">
        <f t="shared" si="98"/>
        <v>16640.001766266978</v>
      </c>
      <c r="O30" s="62">
        <f t="shared" si="98"/>
        <v>16771.478095549159</v>
      </c>
      <c r="P30" s="62">
        <f t="shared" si="98"/>
        <v>17287.336546315008</v>
      </c>
      <c r="Q30" s="62">
        <f t="shared" si="98"/>
        <v>17710.175159494793</v>
      </c>
      <c r="R30" s="62">
        <f t="shared" si="98"/>
        <v>17806.184627711202</v>
      </c>
      <c r="S30" s="62">
        <f t="shared" si="98"/>
        <v>18900.433748578416</v>
      </c>
      <c r="T30" s="62">
        <f t="shared" si="98"/>
        <v>19667.479630261543</v>
      </c>
      <c r="U30" s="62">
        <f t="shared" si="98"/>
        <v>20367.259926649982</v>
      </c>
      <c r="V30" s="62">
        <f t="shared" si="98"/>
        <v>18203.984509912432</v>
      </c>
      <c r="W30" s="62">
        <f t="shared" ref="W30:Y30" si="99">W31+W46</f>
        <v>19081.301591749561</v>
      </c>
      <c r="X30" s="62">
        <f t="shared" si="99"/>
        <v>20428.030410912754</v>
      </c>
      <c r="Y30" s="62">
        <f t="shared" si="99"/>
        <v>21418.375512447248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10795.365619883101</v>
      </c>
      <c r="C31" s="29">
        <f t="shared" ref="C31:V31" si="101">C32+C33+C40</f>
        <v>11034.233487755979</v>
      </c>
      <c r="D31" s="29">
        <f t="shared" si="101"/>
        <v>11586.414679947471</v>
      </c>
      <c r="E31" s="29">
        <f t="shared" si="101"/>
        <v>11790.0997439777</v>
      </c>
      <c r="F31" s="29">
        <f t="shared" si="101"/>
        <v>12407.604308276521</v>
      </c>
      <c r="G31" s="29">
        <f t="shared" si="101"/>
        <v>12825.3736933455</v>
      </c>
      <c r="H31" s="29">
        <f t="shared" si="101"/>
        <v>13299.049677015975</v>
      </c>
      <c r="I31" s="29">
        <f t="shared" si="101"/>
        <v>13850.331569632279</v>
      </c>
      <c r="J31" s="29">
        <f t="shared" si="101"/>
        <v>14075.852480460091</v>
      </c>
      <c r="K31" s="29">
        <f t="shared" si="101"/>
        <v>14761.247657630614</v>
      </c>
      <c r="L31" s="29">
        <f t="shared" si="101"/>
        <v>14880.696160133837</v>
      </c>
      <c r="M31" s="29">
        <f t="shared" si="101"/>
        <v>15005.113347035831</v>
      </c>
      <c r="N31" s="29">
        <f t="shared" si="101"/>
        <v>15065.290932281472</v>
      </c>
      <c r="O31" s="29">
        <f t="shared" si="101"/>
        <v>15180.610861899002</v>
      </c>
      <c r="P31" s="29">
        <f t="shared" si="101"/>
        <v>15615.159826600626</v>
      </c>
      <c r="Q31" s="29">
        <f t="shared" si="101"/>
        <v>15948.308358922852</v>
      </c>
      <c r="R31" s="29">
        <f t="shared" si="101"/>
        <v>15915.801441410564</v>
      </c>
      <c r="S31" s="29">
        <f t="shared" si="101"/>
        <v>16847.274600164994</v>
      </c>
      <c r="T31" s="29">
        <f t="shared" si="101"/>
        <v>17526.0921100837</v>
      </c>
      <c r="U31" s="29">
        <f t="shared" si="101"/>
        <v>18113.997307945105</v>
      </c>
      <c r="V31" s="29">
        <f t="shared" si="101"/>
        <v>15940.845987333125</v>
      </c>
      <c r="W31" s="29">
        <f t="shared" ref="W31:Y31" si="102">W32+W33+W40</f>
        <v>16667.338307101927</v>
      </c>
      <c r="X31" s="29">
        <f t="shared" si="102"/>
        <v>17914.413098436489</v>
      </c>
      <c r="Y31" s="29">
        <f t="shared" si="102"/>
        <v>18791.979073757433</v>
      </c>
      <c r="DA31" s="173" t="s">
        <v>475</v>
      </c>
    </row>
    <row r="32" spans="1:105" ht="11.45" customHeight="1" x14ac:dyDescent="0.25">
      <c r="A32" s="136" t="s">
        <v>173</v>
      </c>
      <c r="B32" s="152">
        <v>78</v>
      </c>
      <c r="C32" s="152">
        <v>73</v>
      </c>
      <c r="D32" s="152">
        <v>73</v>
      </c>
      <c r="E32" s="152">
        <v>88</v>
      </c>
      <c r="F32" s="152">
        <v>100</v>
      </c>
      <c r="G32" s="152">
        <v>112</v>
      </c>
      <c r="H32" s="152">
        <v>127</v>
      </c>
      <c r="I32" s="152">
        <v>146</v>
      </c>
      <c r="J32" s="152">
        <v>159.71206479251944</v>
      </c>
      <c r="K32" s="152">
        <v>165</v>
      </c>
      <c r="L32" s="152">
        <v>214.49849536488378</v>
      </c>
      <c r="M32" s="152">
        <v>252.37416050481943</v>
      </c>
      <c r="N32" s="152">
        <v>230.86814268435916</v>
      </c>
      <c r="O32" s="152">
        <v>206.52415784094734</v>
      </c>
      <c r="P32" s="152">
        <v>211.37622441597239</v>
      </c>
      <c r="Q32" s="152">
        <v>228.06541463138279</v>
      </c>
      <c r="R32" s="152">
        <v>238.9310711535862</v>
      </c>
      <c r="S32" s="152">
        <v>228.09350647627616</v>
      </c>
      <c r="T32" s="152">
        <v>219.21151898937595</v>
      </c>
      <c r="U32" s="152">
        <v>233.99553216504739</v>
      </c>
      <c r="V32" s="152">
        <v>210.38340801739756</v>
      </c>
      <c r="W32" s="152">
        <v>219.40670457893339</v>
      </c>
      <c r="X32" s="152">
        <v>224.11686312906266</v>
      </c>
      <c r="Y32" s="152">
        <v>244.41387402533439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10582.884804838417</v>
      </c>
      <c r="C33" s="116">
        <f t="shared" ref="C33:V33" si="104">SUM(C34:C39)</f>
        <v>10832.515430831094</v>
      </c>
      <c r="D33" s="116">
        <f t="shared" si="104"/>
        <v>11388.459932770311</v>
      </c>
      <c r="E33" s="116">
        <f t="shared" si="104"/>
        <v>11580.023820403478</v>
      </c>
      <c r="F33" s="116">
        <f t="shared" si="104"/>
        <v>12182.382216990907</v>
      </c>
      <c r="G33" s="116">
        <f t="shared" si="104"/>
        <v>12591.570275828492</v>
      </c>
      <c r="H33" s="116">
        <f t="shared" si="104"/>
        <v>13048.826045446674</v>
      </c>
      <c r="I33" s="116">
        <f t="shared" si="104"/>
        <v>13579.947463349459</v>
      </c>
      <c r="J33" s="116">
        <f t="shared" si="104"/>
        <v>13791.015367490456</v>
      </c>
      <c r="K33" s="116">
        <f t="shared" si="104"/>
        <v>14469.156966642071</v>
      </c>
      <c r="L33" s="116">
        <f t="shared" si="104"/>
        <v>14539.669715048627</v>
      </c>
      <c r="M33" s="116">
        <f t="shared" si="104"/>
        <v>14623.874012950044</v>
      </c>
      <c r="N33" s="116">
        <f t="shared" si="104"/>
        <v>14706.02585075885</v>
      </c>
      <c r="O33" s="116">
        <f t="shared" si="104"/>
        <v>14842.688700574223</v>
      </c>
      <c r="P33" s="116">
        <f t="shared" si="104"/>
        <v>15268.162297725723</v>
      </c>
      <c r="Q33" s="116">
        <f t="shared" si="104"/>
        <v>15581.242944291469</v>
      </c>
      <c r="R33" s="116">
        <f t="shared" si="104"/>
        <v>15539.870370256978</v>
      </c>
      <c r="S33" s="116">
        <f t="shared" si="104"/>
        <v>16478.18109368872</v>
      </c>
      <c r="T33" s="116">
        <f t="shared" si="104"/>
        <v>17167.880591094323</v>
      </c>
      <c r="U33" s="116">
        <f t="shared" si="104"/>
        <v>17739.001775780056</v>
      </c>
      <c r="V33" s="116">
        <f t="shared" si="104"/>
        <v>15644.462579315727</v>
      </c>
      <c r="W33" s="116">
        <f t="shared" ref="W33:Y33" si="105">SUM(W34:W39)</f>
        <v>16347.931602522995</v>
      </c>
      <c r="X33" s="116">
        <f t="shared" si="105"/>
        <v>17569.296235307425</v>
      </c>
      <c r="Y33" s="116">
        <f t="shared" si="105"/>
        <v>18415.5651997321</v>
      </c>
      <c r="DA33" s="176" t="s">
        <v>477</v>
      </c>
    </row>
    <row r="34" spans="1:105" ht="11.45" customHeight="1" x14ac:dyDescent="0.25">
      <c r="A34" s="111" t="s">
        <v>110</v>
      </c>
      <c r="B34" s="87">
        <v>8532.028980112842</v>
      </c>
      <c r="C34" s="87">
        <v>8598.5732401014866</v>
      </c>
      <c r="D34" s="87">
        <v>8311.1477872611631</v>
      </c>
      <c r="E34" s="87">
        <v>8441.4826668339483</v>
      </c>
      <c r="F34" s="87">
        <v>8349.3073430535223</v>
      </c>
      <c r="G34" s="87">
        <v>8132.8848453041819</v>
      </c>
      <c r="H34" s="87">
        <v>7947.5567411825141</v>
      </c>
      <c r="I34" s="87">
        <v>7824.7572422052044</v>
      </c>
      <c r="J34" s="87">
        <v>7493.6633204097016</v>
      </c>
      <c r="K34" s="87">
        <v>7449.840593761247</v>
      </c>
      <c r="L34" s="87">
        <v>7097.1432285457386</v>
      </c>
      <c r="M34" s="87">
        <v>6838.7313897754602</v>
      </c>
      <c r="N34" s="87">
        <v>6543.8046147238674</v>
      </c>
      <c r="O34" s="87">
        <v>6300.3724066967816</v>
      </c>
      <c r="P34" s="87">
        <v>6182.7960237486077</v>
      </c>
      <c r="Q34" s="87">
        <v>6081.9613885523067</v>
      </c>
      <c r="R34" s="87">
        <v>5791.7430488451555</v>
      </c>
      <c r="S34" s="87">
        <v>5879.1764702652827</v>
      </c>
      <c r="T34" s="87">
        <v>5915.9920521685599</v>
      </c>
      <c r="U34" s="87">
        <v>5947.2337147430435</v>
      </c>
      <c r="V34" s="87">
        <v>4804.8772895862658</v>
      </c>
      <c r="W34" s="87">
        <v>5170.9220781292806</v>
      </c>
      <c r="X34" s="87">
        <v>5738.0290470688296</v>
      </c>
      <c r="Y34" s="87">
        <v>6180.9897343234998</v>
      </c>
      <c r="DA34" s="171" t="s">
        <v>478</v>
      </c>
    </row>
    <row r="35" spans="1:105" ht="11.45" customHeight="1" x14ac:dyDescent="0.25">
      <c r="A35" s="111" t="s">
        <v>111</v>
      </c>
      <c r="B35" s="87">
        <v>2050.8558247255746</v>
      </c>
      <c r="C35" s="87">
        <v>2233.9421907296073</v>
      </c>
      <c r="D35" s="87">
        <v>3077.3121455091486</v>
      </c>
      <c r="E35" s="87">
        <v>3138.5411535695289</v>
      </c>
      <c r="F35" s="87">
        <v>3833.0748739373857</v>
      </c>
      <c r="G35" s="87">
        <v>4458.6854305243096</v>
      </c>
      <c r="H35" s="87">
        <v>5091.6535153501718</v>
      </c>
      <c r="I35" s="87">
        <v>5731.8023719430703</v>
      </c>
      <c r="J35" s="87">
        <v>6277.7455037702912</v>
      </c>
      <c r="K35" s="87">
        <v>6961.619081495488</v>
      </c>
      <c r="L35" s="87">
        <v>7372.2085457312078</v>
      </c>
      <c r="M35" s="87">
        <v>7705.1628397159611</v>
      </c>
      <c r="N35" s="87">
        <v>8058.0829719198246</v>
      </c>
      <c r="O35" s="87">
        <v>8393.2029062564052</v>
      </c>
      <c r="P35" s="87">
        <v>8925.820427386303</v>
      </c>
      <c r="Q35" s="87">
        <v>9334.8542130832411</v>
      </c>
      <c r="R35" s="87">
        <v>9565.8209459812897</v>
      </c>
      <c r="S35" s="87">
        <v>10395.915257961426</v>
      </c>
      <c r="T35" s="87">
        <v>11035.810285380086</v>
      </c>
      <c r="U35" s="87">
        <v>11562.863126583468</v>
      </c>
      <c r="V35" s="87">
        <v>10638.893973526303</v>
      </c>
      <c r="W35" s="87">
        <v>10941.194184965261</v>
      </c>
      <c r="X35" s="87">
        <v>11555.977321376617</v>
      </c>
      <c r="Y35" s="87">
        <v>11909.989306112688</v>
      </c>
      <c r="DA35" s="171" t="s">
        <v>479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9.6157889139886823</v>
      </c>
      <c r="I36" s="87">
        <v>23.387849201185062</v>
      </c>
      <c r="J36" s="87">
        <v>19.606543310463771</v>
      </c>
      <c r="K36" s="87">
        <v>57.697291385337465</v>
      </c>
      <c r="L36" s="87">
        <v>70.317940771679673</v>
      </c>
      <c r="M36" s="87">
        <v>79.894749817611469</v>
      </c>
      <c r="N36" s="87">
        <v>103.84523820738225</v>
      </c>
      <c r="O36" s="87">
        <v>148.31672474214039</v>
      </c>
      <c r="P36" s="87">
        <v>156.69965624198568</v>
      </c>
      <c r="Q36" s="87">
        <v>160.29542347896816</v>
      </c>
      <c r="R36" s="87">
        <v>175.58175208981226</v>
      </c>
      <c r="S36" s="87">
        <v>190.79219100274688</v>
      </c>
      <c r="T36" s="87">
        <v>197.56714654969295</v>
      </c>
      <c r="U36" s="87">
        <v>203.95622389540182</v>
      </c>
      <c r="V36" s="87">
        <v>168.39334588430467</v>
      </c>
      <c r="W36" s="87">
        <v>184.90323709548898</v>
      </c>
      <c r="X36" s="87">
        <v>202.09841622944757</v>
      </c>
      <c r="Y36" s="87">
        <v>212.99914949482493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8.0346405225234438E-2</v>
      </c>
      <c r="O37" s="87">
        <v>0.42402657794618287</v>
      </c>
      <c r="P37" s="87">
        <v>2.023726916060546</v>
      </c>
      <c r="Q37" s="87">
        <v>2.0874854105820617</v>
      </c>
      <c r="R37" s="87">
        <v>2.7039287731050585</v>
      </c>
      <c r="S37" s="87">
        <v>3.8403699142002039</v>
      </c>
      <c r="T37" s="87">
        <v>4.2085909393077703</v>
      </c>
      <c r="U37" s="87">
        <v>3.996336166036333</v>
      </c>
      <c r="V37" s="87">
        <v>3.2726661131361729</v>
      </c>
      <c r="W37" s="87">
        <v>3.5017707439739985</v>
      </c>
      <c r="X37" s="87">
        <v>3.807518011568789</v>
      </c>
      <c r="Y37" s="87">
        <v>3.9250275948641069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0.13153672701794691</v>
      </c>
      <c r="P38" s="87">
        <v>0.20511547463803817</v>
      </c>
      <c r="Q38" s="87">
        <v>0.56096775370050034</v>
      </c>
      <c r="R38" s="87">
        <v>1.3843543448035269</v>
      </c>
      <c r="S38" s="87">
        <v>3.3473261331546436</v>
      </c>
      <c r="T38" s="87">
        <v>5.963297451434161</v>
      </c>
      <c r="U38" s="87">
        <v>6.8254483009913924</v>
      </c>
      <c r="V38" s="87">
        <v>6.7175457785268078</v>
      </c>
      <c r="W38" s="87">
        <v>9.8741645184245073</v>
      </c>
      <c r="X38" s="87">
        <v>15.255807834052604</v>
      </c>
      <c r="Y38" s="87">
        <v>26.119395127557048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8.5033641010417757E-2</v>
      </c>
      <c r="N39" s="87">
        <v>0.21267950254947229</v>
      </c>
      <c r="O39" s="87">
        <v>0.24109957393062148</v>
      </c>
      <c r="P39" s="87">
        <v>0.61734795812612209</v>
      </c>
      <c r="Q39" s="87">
        <v>1.4834660126697268</v>
      </c>
      <c r="R39" s="87">
        <v>2.6363402228104951</v>
      </c>
      <c r="S39" s="87">
        <v>5.1094784119092234</v>
      </c>
      <c r="T39" s="87">
        <v>8.3392186052450512</v>
      </c>
      <c r="U39" s="87">
        <v>14.126926091114015</v>
      </c>
      <c r="V39" s="87">
        <v>22.307758427190333</v>
      </c>
      <c r="W39" s="87">
        <v>37.536167070565249</v>
      </c>
      <c r="X39" s="87">
        <v>54.128124786906739</v>
      </c>
      <c r="Y39" s="87">
        <v>81.542587078663004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134.48081504468416</v>
      </c>
      <c r="C40" s="116">
        <f t="shared" ref="C40:V40" si="107">SUM(C41:C45)</f>
        <v>128.7180569248857</v>
      </c>
      <c r="D40" s="116">
        <f t="shared" si="107"/>
        <v>124.9547471771601</v>
      </c>
      <c r="E40" s="116">
        <f t="shared" si="107"/>
        <v>122.0759235742227</v>
      </c>
      <c r="F40" s="116">
        <f t="shared" si="107"/>
        <v>125.22209128561431</v>
      </c>
      <c r="G40" s="116">
        <f t="shared" si="107"/>
        <v>121.80341751700897</v>
      </c>
      <c r="H40" s="116">
        <f t="shared" si="107"/>
        <v>123.22363156930021</v>
      </c>
      <c r="I40" s="116">
        <f t="shared" si="107"/>
        <v>124.38410628282006</v>
      </c>
      <c r="J40" s="116">
        <f t="shared" si="107"/>
        <v>125.12504817711539</v>
      </c>
      <c r="K40" s="116">
        <f t="shared" si="107"/>
        <v>127.09069098854272</v>
      </c>
      <c r="L40" s="116">
        <f t="shared" si="107"/>
        <v>126.52794972032667</v>
      </c>
      <c r="M40" s="116">
        <f t="shared" si="107"/>
        <v>128.86517358096782</v>
      </c>
      <c r="N40" s="116">
        <f t="shared" si="107"/>
        <v>128.39693883826283</v>
      </c>
      <c r="O40" s="116">
        <f t="shared" si="107"/>
        <v>131.39800348383062</v>
      </c>
      <c r="P40" s="116">
        <f t="shared" si="107"/>
        <v>135.6213044589316</v>
      </c>
      <c r="Q40" s="116">
        <f t="shared" si="107"/>
        <v>139.00000000000003</v>
      </c>
      <c r="R40" s="116">
        <f t="shared" si="107"/>
        <v>137</v>
      </c>
      <c r="S40" s="116">
        <f t="shared" si="107"/>
        <v>141</v>
      </c>
      <c r="T40" s="116">
        <f t="shared" si="107"/>
        <v>138.99999999999997</v>
      </c>
      <c r="U40" s="116">
        <f t="shared" si="107"/>
        <v>141.00000000000003</v>
      </c>
      <c r="V40" s="116">
        <f t="shared" si="107"/>
        <v>86</v>
      </c>
      <c r="W40" s="116">
        <f t="shared" ref="W40:Y40" si="108">SUM(W41:W45)</f>
        <v>100</v>
      </c>
      <c r="X40" s="116">
        <f t="shared" si="108"/>
        <v>121.00000000000001</v>
      </c>
      <c r="Y40" s="116">
        <f t="shared" si="108"/>
        <v>132</v>
      </c>
      <c r="DA40" s="176" t="s">
        <v>484</v>
      </c>
    </row>
    <row r="41" spans="1:105" ht="11.45" customHeight="1" x14ac:dyDescent="0.25">
      <c r="A41" s="111" t="s">
        <v>110</v>
      </c>
      <c r="B41" s="101">
        <v>2.0258914320553751</v>
      </c>
      <c r="C41" s="101">
        <v>1.8286721154947452</v>
      </c>
      <c r="D41" s="101">
        <v>1.6453657005650091</v>
      </c>
      <c r="E41" s="101">
        <v>1.421668918129172</v>
      </c>
      <c r="F41" s="101">
        <v>1.2161808179723017</v>
      </c>
      <c r="G41" s="101">
        <v>1.0700601009515835</v>
      </c>
      <c r="H41" s="101">
        <v>0.95361990993624213</v>
      </c>
      <c r="I41" s="101">
        <v>0.82049101775365052</v>
      </c>
      <c r="J41" s="101">
        <v>0.64965318231870184</v>
      </c>
      <c r="K41" s="101">
        <v>0.54955775721625932</v>
      </c>
      <c r="L41" s="101">
        <v>0.45408258538624097</v>
      </c>
      <c r="M41" s="101">
        <v>0.36200983822592048</v>
      </c>
      <c r="N41" s="101">
        <v>0.31258895356779143</v>
      </c>
      <c r="O41" s="101">
        <v>0.26340057407329542</v>
      </c>
      <c r="P41" s="101">
        <v>0.21495667065696078</v>
      </c>
      <c r="Q41" s="101">
        <v>0.1690448231370747</v>
      </c>
      <c r="R41" s="101">
        <v>0.16732756960827189</v>
      </c>
      <c r="S41" s="101">
        <v>0.16137220318628243</v>
      </c>
      <c r="T41" s="101">
        <v>0.15237436321109671</v>
      </c>
      <c r="U41" s="101">
        <v>0.14839055592397959</v>
      </c>
      <c r="V41" s="101">
        <v>0.11311830333904119</v>
      </c>
      <c r="W41" s="101">
        <v>0.11164908981295477</v>
      </c>
      <c r="X41" s="101">
        <v>9.4327613926929607E-2</v>
      </c>
      <c r="Y41" s="101">
        <v>0.90350560720008977</v>
      </c>
      <c r="DA41" s="175" t="s">
        <v>485</v>
      </c>
    </row>
    <row r="42" spans="1:105" ht="11.45" customHeight="1" x14ac:dyDescent="0.25">
      <c r="A42" s="111" t="s">
        <v>111</v>
      </c>
      <c r="B42" s="101">
        <v>132.45492361262879</v>
      </c>
      <c r="C42" s="101">
        <v>126.88938480939096</v>
      </c>
      <c r="D42" s="101">
        <v>123.30938147659509</v>
      </c>
      <c r="E42" s="101">
        <v>120.65425465609353</v>
      </c>
      <c r="F42" s="101">
        <v>124.00591046764201</v>
      </c>
      <c r="G42" s="101">
        <v>120.73335741605739</v>
      </c>
      <c r="H42" s="101">
        <v>122.27001165936397</v>
      </c>
      <c r="I42" s="101">
        <v>123.5636152650664</v>
      </c>
      <c r="J42" s="101">
        <v>124.47539499479669</v>
      </c>
      <c r="K42" s="101">
        <v>126.54113323132646</v>
      </c>
      <c r="L42" s="101">
        <v>126.07386713494043</v>
      </c>
      <c r="M42" s="101">
        <v>128.50316374274189</v>
      </c>
      <c r="N42" s="101">
        <v>126.65537181124228</v>
      </c>
      <c r="O42" s="101">
        <v>129.44883923568824</v>
      </c>
      <c r="P42" s="101">
        <v>128.84155877416632</v>
      </c>
      <c r="Q42" s="101">
        <v>131.83502144087367</v>
      </c>
      <c r="R42" s="101">
        <v>125.83168971611812</v>
      </c>
      <c r="S42" s="101">
        <v>130.39568161007998</v>
      </c>
      <c r="T42" s="101">
        <v>128.22699654398133</v>
      </c>
      <c r="U42" s="101">
        <v>133.73019104596665</v>
      </c>
      <c r="V42" s="101">
        <v>81.071826969071509</v>
      </c>
      <c r="W42" s="101">
        <v>94.951858898556054</v>
      </c>
      <c r="X42" s="101">
        <v>115.14045474656109</v>
      </c>
      <c r="Y42" s="101">
        <v>124.01477155914345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1.4289780734527611</v>
      </c>
      <c r="O44" s="101">
        <v>1.6857636740690907</v>
      </c>
      <c r="P44" s="101">
        <v>6.4658966533613809</v>
      </c>
      <c r="Q44" s="101">
        <v>6.8970287839926483</v>
      </c>
      <c r="R44" s="101">
        <v>10.803455317767011</v>
      </c>
      <c r="S44" s="101">
        <v>10.294913731115461</v>
      </c>
      <c r="T44" s="101">
        <v>10.423601536683806</v>
      </c>
      <c r="U44" s="101">
        <v>6.8259655725030601</v>
      </c>
      <c r="V44" s="101">
        <v>4.568132625454993</v>
      </c>
      <c r="W44" s="101">
        <v>4.644453332767271</v>
      </c>
      <c r="X44" s="101">
        <v>5.2752471744345355</v>
      </c>
      <c r="Y44" s="101">
        <v>5.7558940745682268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9.8892360746968042E-2</v>
      </c>
      <c r="Q45" s="101">
        <v>9.8904951996614879E-2</v>
      </c>
      <c r="R45" s="101">
        <v>0.19752739650659484</v>
      </c>
      <c r="S45" s="101">
        <v>0.14803245561827305</v>
      </c>
      <c r="T45" s="101">
        <v>0.19702755612375364</v>
      </c>
      <c r="U45" s="101">
        <v>0.29545282560632324</v>
      </c>
      <c r="V45" s="101">
        <v>0.24692210213445742</v>
      </c>
      <c r="W45" s="101">
        <v>0.29203867886371743</v>
      </c>
      <c r="X45" s="101">
        <v>0.48997046507744213</v>
      </c>
      <c r="Y45" s="101">
        <v>1.3258287590882345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838.97908233734915</v>
      </c>
      <c r="C46" s="29">
        <f t="shared" ref="C46:V46" si="110">C47+C53</f>
        <v>885.58125966248076</v>
      </c>
      <c r="D46" s="29">
        <f t="shared" si="110"/>
        <v>975.52860055550241</v>
      </c>
      <c r="E46" s="29">
        <f t="shared" si="110"/>
        <v>1040.3371371029798</v>
      </c>
      <c r="F46" s="29">
        <f t="shared" si="110"/>
        <v>1249.952078101287</v>
      </c>
      <c r="G46" s="29">
        <f t="shared" si="110"/>
        <v>1328.6688774133463</v>
      </c>
      <c r="H46" s="29">
        <f t="shared" si="110"/>
        <v>1408.0292433003522</v>
      </c>
      <c r="I46" s="29">
        <f t="shared" si="110"/>
        <v>1536.8461796408321</v>
      </c>
      <c r="J46" s="29">
        <f t="shared" si="110"/>
        <v>1617.3759100709667</v>
      </c>
      <c r="K46" s="29">
        <f t="shared" si="110"/>
        <v>1548.9685560829093</v>
      </c>
      <c r="L46" s="29">
        <f t="shared" si="110"/>
        <v>1559.2346433263294</v>
      </c>
      <c r="M46" s="29">
        <f t="shared" si="110"/>
        <v>1578.4718134902864</v>
      </c>
      <c r="N46" s="29">
        <f t="shared" si="110"/>
        <v>1574.7108339855049</v>
      </c>
      <c r="O46" s="29">
        <f t="shared" si="110"/>
        <v>1590.8672336501581</v>
      </c>
      <c r="P46" s="29">
        <f t="shared" si="110"/>
        <v>1672.1767197143815</v>
      </c>
      <c r="Q46" s="29">
        <f t="shared" si="110"/>
        <v>1761.8668005719423</v>
      </c>
      <c r="R46" s="29">
        <f t="shared" si="110"/>
        <v>1890.3831863006378</v>
      </c>
      <c r="S46" s="29">
        <f t="shared" si="110"/>
        <v>2053.1591484134233</v>
      </c>
      <c r="T46" s="29">
        <f t="shared" si="110"/>
        <v>2141.3875201778419</v>
      </c>
      <c r="U46" s="29">
        <f t="shared" si="110"/>
        <v>2253.2626187048772</v>
      </c>
      <c r="V46" s="29">
        <f t="shared" si="110"/>
        <v>2263.1385225793088</v>
      </c>
      <c r="W46" s="29">
        <f t="shared" ref="W46:Y46" si="111">W47+W53</f>
        <v>2413.9632846476329</v>
      </c>
      <c r="X46" s="29">
        <f t="shared" si="111"/>
        <v>2513.6173124762627</v>
      </c>
      <c r="Y46" s="29">
        <f t="shared" si="111"/>
        <v>2626.3964386898151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346.07647734477979</v>
      </c>
      <c r="C47" s="152">
        <f t="shared" ref="C47:V47" si="113">SUM(C48:C52)</f>
        <v>371.17224193153265</v>
      </c>
      <c r="D47" s="152">
        <f t="shared" si="113"/>
        <v>404.14773304847387</v>
      </c>
      <c r="E47" s="152">
        <f t="shared" si="113"/>
        <v>440.71013639036693</v>
      </c>
      <c r="F47" s="152">
        <f t="shared" si="113"/>
        <v>500.68285930671925</v>
      </c>
      <c r="G47" s="152">
        <f t="shared" si="113"/>
        <v>552.34581105023358</v>
      </c>
      <c r="H47" s="152">
        <f t="shared" si="113"/>
        <v>604.91886287624629</v>
      </c>
      <c r="I47" s="152">
        <f t="shared" si="113"/>
        <v>696.00035862967047</v>
      </c>
      <c r="J47" s="152">
        <f t="shared" si="113"/>
        <v>775.61462910131445</v>
      </c>
      <c r="K47" s="152">
        <f t="shared" si="113"/>
        <v>812.17606949020865</v>
      </c>
      <c r="L47" s="152">
        <f t="shared" si="113"/>
        <v>827.22938175199715</v>
      </c>
      <c r="M47" s="152">
        <f t="shared" si="113"/>
        <v>865.53970908060899</v>
      </c>
      <c r="N47" s="152">
        <f t="shared" si="113"/>
        <v>886.495736535471</v>
      </c>
      <c r="O47" s="152">
        <f t="shared" si="113"/>
        <v>921.68570936661467</v>
      </c>
      <c r="P47" s="152">
        <f t="shared" si="113"/>
        <v>977.40140966160857</v>
      </c>
      <c r="Q47" s="152">
        <f t="shared" si="113"/>
        <v>1042.9058717492455</v>
      </c>
      <c r="R47" s="152">
        <f t="shared" si="113"/>
        <v>1118.1318185164137</v>
      </c>
      <c r="S47" s="152">
        <f t="shared" si="113"/>
        <v>1211.8053581456434</v>
      </c>
      <c r="T47" s="152">
        <f t="shared" si="113"/>
        <v>1308.1433042089834</v>
      </c>
      <c r="U47" s="152">
        <f t="shared" si="113"/>
        <v>1398.9166877558764</v>
      </c>
      <c r="V47" s="152">
        <f t="shared" si="113"/>
        <v>1456.6653622141216</v>
      </c>
      <c r="W47" s="152">
        <f t="shared" ref="W47:Y47" si="114">SUM(W48:W52)</f>
        <v>1539.8297213159424</v>
      </c>
      <c r="X47" s="152">
        <f t="shared" si="114"/>
        <v>1608.9346664573463</v>
      </c>
      <c r="Y47" s="152">
        <f t="shared" si="114"/>
        <v>1687.7951470699086</v>
      </c>
      <c r="DA47" s="174" t="s">
        <v>491</v>
      </c>
    </row>
    <row r="48" spans="1:105" ht="11.45" customHeight="1" x14ac:dyDescent="0.25">
      <c r="A48" s="111" t="s">
        <v>110</v>
      </c>
      <c r="B48" s="87">
        <v>72.330165988051476</v>
      </c>
      <c r="C48" s="87">
        <v>76.937859184278508</v>
      </c>
      <c r="D48" s="87">
        <v>80.251864104743916</v>
      </c>
      <c r="E48" s="87">
        <v>80.763083130487416</v>
      </c>
      <c r="F48" s="87">
        <v>84.413080774566865</v>
      </c>
      <c r="G48" s="87">
        <v>82.707297029046543</v>
      </c>
      <c r="H48" s="87">
        <v>76.881174964693457</v>
      </c>
      <c r="I48" s="87">
        <v>79.639236560529653</v>
      </c>
      <c r="J48" s="87">
        <v>78.347136044457386</v>
      </c>
      <c r="K48" s="87">
        <v>74.049996684333891</v>
      </c>
      <c r="L48" s="87">
        <v>69.148824338600377</v>
      </c>
      <c r="M48" s="87">
        <v>66.349751580405766</v>
      </c>
      <c r="N48" s="87">
        <v>63.035331293870811</v>
      </c>
      <c r="O48" s="87">
        <v>60.429865104569672</v>
      </c>
      <c r="P48" s="87">
        <v>54.651353732287873</v>
      </c>
      <c r="Q48" s="87">
        <v>52.315260708428816</v>
      </c>
      <c r="R48" s="87">
        <v>50.075731479125977</v>
      </c>
      <c r="S48" s="87">
        <v>49.62399928342527</v>
      </c>
      <c r="T48" s="87">
        <v>50.793750355747441</v>
      </c>
      <c r="U48" s="87">
        <v>51.18244949687216</v>
      </c>
      <c r="V48" s="87">
        <v>50.234476777867897</v>
      </c>
      <c r="W48" s="87">
        <v>49.61046747533095</v>
      </c>
      <c r="X48" s="87">
        <v>48.873898838282194</v>
      </c>
      <c r="Y48" s="87">
        <v>49.499283110748998</v>
      </c>
      <c r="DA48" s="171" t="s">
        <v>492</v>
      </c>
    </row>
    <row r="49" spans="1:105" ht="11.45" customHeight="1" x14ac:dyDescent="0.25">
      <c r="A49" s="111" t="s">
        <v>111</v>
      </c>
      <c r="B49" s="87">
        <v>273.74631135672831</v>
      </c>
      <c r="C49" s="87">
        <v>294.23438274725413</v>
      </c>
      <c r="D49" s="87">
        <v>323.89586894372997</v>
      </c>
      <c r="E49" s="87">
        <v>359.94705325987951</v>
      </c>
      <c r="F49" s="87">
        <v>416.26977853215237</v>
      </c>
      <c r="G49" s="87">
        <v>469.63851402118701</v>
      </c>
      <c r="H49" s="87">
        <v>523.75304370556205</v>
      </c>
      <c r="I49" s="87">
        <v>611.64706145477817</v>
      </c>
      <c r="J49" s="87">
        <v>690.383757983235</v>
      </c>
      <c r="K49" s="87">
        <v>735.38335442389337</v>
      </c>
      <c r="L49" s="87">
        <v>757.10830525880442</v>
      </c>
      <c r="M49" s="87">
        <v>798.34626993433778</v>
      </c>
      <c r="N49" s="87">
        <v>822.67291273286799</v>
      </c>
      <c r="O49" s="87">
        <v>860.44719780785692</v>
      </c>
      <c r="P49" s="87">
        <v>917.56584919070963</v>
      </c>
      <c r="Q49" s="87">
        <v>983.77965269512276</v>
      </c>
      <c r="R49" s="87">
        <v>1060.9736724958268</v>
      </c>
      <c r="S49" s="87">
        <v>1153.6807906549691</v>
      </c>
      <c r="T49" s="87">
        <v>1248.6866855521682</v>
      </c>
      <c r="U49" s="87">
        <v>1337.3688571054297</v>
      </c>
      <c r="V49" s="87">
        <v>1395.5724215339512</v>
      </c>
      <c r="W49" s="87">
        <v>1478.6792328480435</v>
      </c>
      <c r="X49" s="87">
        <v>1548.4173986764722</v>
      </c>
      <c r="Y49" s="87">
        <v>1625.2009537406057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4.284644205990876</v>
      </c>
      <c r="I50" s="87">
        <v>4.7140606143626602</v>
      </c>
      <c r="J50" s="87">
        <v>6.8837350736221392</v>
      </c>
      <c r="K50" s="87">
        <v>2.7427183819813297</v>
      </c>
      <c r="L50" s="87">
        <v>0.97225215459229786</v>
      </c>
      <c r="M50" s="87">
        <v>0.84368756586545213</v>
      </c>
      <c r="N50" s="87">
        <v>0.78749250873218968</v>
      </c>
      <c r="O50" s="87">
        <v>0.80864645418806258</v>
      </c>
      <c r="P50" s="87">
        <v>4.5826088113786989</v>
      </c>
      <c r="Q50" s="87">
        <v>5.2327810771791849</v>
      </c>
      <c r="R50" s="87">
        <v>5.1887291587825084</v>
      </c>
      <c r="S50" s="87">
        <v>5.6569227789526115</v>
      </c>
      <c r="T50" s="87">
        <v>5.6103250587206244</v>
      </c>
      <c r="U50" s="87">
        <v>6.5126739316108173</v>
      </c>
      <c r="V50" s="87">
        <v>6.7224115419797332</v>
      </c>
      <c r="W50" s="87">
        <v>6.6559833855724975</v>
      </c>
      <c r="X50" s="87">
        <v>6.5960584185983135</v>
      </c>
      <c r="Y50" s="87">
        <v>6.4719668068920271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0.36436699928183314</v>
      </c>
      <c r="Q51" s="87">
        <v>0.9920484427628169</v>
      </c>
      <c r="R51" s="87">
        <v>0.89584154029044905</v>
      </c>
      <c r="S51" s="87">
        <v>0.91167284065653198</v>
      </c>
      <c r="T51" s="87">
        <v>0.91508499607000637</v>
      </c>
      <c r="U51" s="87">
        <v>1.2406665077053309</v>
      </c>
      <c r="V51" s="87">
        <v>1.2430793088525667</v>
      </c>
      <c r="W51" s="87">
        <v>1.2433915406385023</v>
      </c>
      <c r="X51" s="87">
        <v>1.2492216466586483</v>
      </c>
      <c r="Y51" s="87">
        <v>1.2270902744225041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0.23723092795047751</v>
      </c>
      <c r="Q52" s="87">
        <v>0.58612882575205216</v>
      </c>
      <c r="R52" s="87">
        <v>0.99784384238797841</v>
      </c>
      <c r="S52" s="87">
        <v>1.93197258763996</v>
      </c>
      <c r="T52" s="87">
        <v>2.1374582462768936</v>
      </c>
      <c r="U52" s="87">
        <v>2.6120407142585034</v>
      </c>
      <c r="V52" s="87">
        <v>2.8929730514700167</v>
      </c>
      <c r="W52" s="87">
        <v>3.6406460663570295</v>
      </c>
      <c r="X52" s="87">
        <v>3.798088877334953</v>
      </c>
      <c r="Y52" s="87">
        <v>5.3958531372394143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492.90260499256937</v>
      </c>
      <c r="C53" s="116">
        <f t="shared" ref="C53:V53" si="116">SUM(C54:C55)</f>
        <v>514.40901773094811</v>
      </c>
      <c r="D53" s="116">
        <f t="shared" si="116"/>
        <v>571.3808675070286</v>
      </c>
      <c r="E53" s="116">
        <f t="shared" si="116"/>
        <v>599.62700071261293</v>
      </c>
      <c r="F53" s="116">
        <f t="shared" si="116"/>
        <v>749.26921879456791</v>
      </c>
      <c r="G53" s="116">
        <f t="shared" si="116"/>
        <v>776.32306636311273</v>
      </c>
      <c r="H53" s="116">
        <f t="shared" si="116"/>
        <v>803.11038042410587</v>
      </c>
      <c r="I53" s="116">
        <f t="shared" si="116"/>
        <v>840.84582101116166</v>
      </c>
      <c r="J53" s="116">
        <f t="shared" si="116"/>
        <v>841.76128096965238</v>
      </c>
      <c r="K53" s="116">
        <f t="shared" si="116"/>
        <v>736.7924865927007</v>
      </c>
      <c r="L53" s="116">
        <f t="shared" si="116"/>
        <v>732.00526157433228</v>
      </c>
      <c r="M53" s="116">
        <f t="shared" si="116"/>
        <v>712.93210440967732</v>
      </c>
      <c r="N53" s="116">
        <f t="shared" si="116"/>
        <v>688.21509745003391</v>
      </c>
      <c r="O53" s="116">
        <f t="shared" si="116"/>
        <v>669.18152428354347</v>
      </c>
      <c r="P53" s="116">
        <f t="shared" si="116"/>
        <v>694.77531005277297</v>
      </c>
      <c r="Q53" s="116">
        <f t="shared" si="116"/>
        <v>718.96092882269681</v>
      </c>
      <c r="R53" s="116">
        <f t="shared" si="116"/>
        <v>772.25136778422416</v>
      </c>
      <c r="S53" s="116">
        <f t="shared" si="116"/>
        <v>841.3537902677798</v>
      </c>
      <c r="T53" s="116">
        <f t="shared" si="116"/>
        <v>833.24421596885861</v>
      </c>
      <c r="U53" s="116">
        <f t="shared" si="116"/>
        <v>854.34593094900083</v>
      </c>
      <c r="V53" s="116">
        <f t="shared" si="116"/>
        <v>806.47316036518714</v>
      </c>
      <c r="W53" s="116">
        <f t="shared" ref="W53:Y53" si="117">SUM(W54:W55)</f>
        <v>874.13356333169043</v>
      </c>
      <c r="X53" s="116">
        <f t="shared" si="117"/>
        <v>904.68264601891633</v>
      </c>
      <c r="Y53" s="116">
        <f t="shared" si="117"/>
        <v>938.60129161990665</v>
      </c>
      <c r="DA53" s="176" t="s">
        <v>497</v>
      </c>
    </row>
    <row r="54" spans="1:105" ht="11.45" customHeight="1" x14ac:dyDescent="0.25">
      <c r="A54" s="128" t="s">
        <v>27</v>
      </c>
      <c r="B54" s="101">
        <v>242.55319148936172</v>
      </c>
      <c r="C54" s="101">
        <v>246</v>
      </c>
      <c r="D54" s="101">
        <v>289</v>
      </c>
      <c r="E54" s="101">
        <v>311</v>
      </c>
      <c r="F54" s="101">
        <v>408</v>
      </c>
      <c r="G54" s="101">
        <v>423</v>
      </c>
      <c r="H54" s="101">
        <v>394</v>
      </c>
      <c r="I54" s="101">
        <v>424</v>
      </c>
      <c r="J54" s="101">
        <v>425</v>
      </c>
      <c r="K54" s="101">
        <v>370</v>
      </c>
      <c r="L54" s="101">
        <v>377</v>
      </c>
      <c r="M54" s="101">
        <v>351</v>
      </c>
      <c r="N54" s="101">
        <v>315</v>
      </c>
      <c r="O54" s="101">
        <v>298</v>
      </c>
      <c r="P54" s="101">
        <v>323</v>
      </c>
      <c r="Q54" s="101">
        <v>313</v>
      </c>
      <c r="R54" s="101">
        <v>316</v>
      </c>
      <c r="S54" s="101">
        <v>340</v>
      </c>
      <c r="T54" s="101">
        <v>324</v>
      </c>
      <c r="U54" s="101">
        <v>336</v>
      </c>
      <c r="V54" s="101">
        <v>324</v>
      </c>
      <c r="W54" s="101">
        <v>353</v>
      </c>
      <c r="X54" s="101">
        <v>363</v>
      </c>
      <c r="Y54" s="101">
        <v>389</v>
      </c>
      <c r="DA54" s="175" t="s">
        <v>498</v>
      </c>
    </row>
    <row r="55" spans="1:105" ht="11.45" customHeight="1" x14ac:dyDescent="0.25">
      <c r="A55" s="138" t="s">
        <v>116</v>
      </c>
      <c r="B55" s="88">
        <v>250.34941350320764</v>
      </c>
      <c r="C55" s="88">
        <v>268.40901773094811</v>
      </c>
      <c r="D55" s="88">
        <v>282.3808675070286</v>
      </c>
      <c r="E55" s="88">
        <v>288.62700071261293</v>
      </c>
      <c r="F55" s="88">
        <v>341.26921879456785</v>
      </c>
      <c r="G55" s="88">
        <v>353.32306636311267</v>
      </c>
      <c r="H55" s="88">
        <v>409.11038042410581</v>
      </c>
      <c r="I55" s="88">
        <v>416.84582101116166</v>
      </c>
      <c r="J55" s="88">
        <v>416.76128096965238</v>
      </c>
      <c r="K55" s="88">
        <v>366.79248659270075</v>
      </c>
      <c r="L55" s="88">
        <v>355.00526157433234</v>
      </c>
      <c r="M55" s="88">
        <v>361.93210440967738</v>
      </c>
      <c r="N55" s="88">
        <v>373.21509745003391</v>
      </c>
      <c r="O55" s="88">
        <v>371.18152428354347</v>
      </c>
      <c r="P55" s="88">
        <v>371.77531005277302</v>
      </c>
      <c r="Q55" s="88">
        <v>405.96092882269676</v>
      </c>
      <c r="R55" s="88">
        <v>456.25136778422416</v>
      </c>
      <c r="S55" s="88">
        <v>501.3537902677798</v>
      </c>
      <c r="T55" s="88">
        <v>509.24421596885861</v>
      </c>
      <c r="U55" s="88">
        <v>518.34593094900083</v>
      </c>
      <c r="V55" s="88">
        <v>482.4731603651872</v>
      </c>
      <c r="W55" s="88">
        <v>521.13356333169043</v>
      </c>
      <c r="X55" s="88">
        <v>541.68264601891633</v>
      </c>
      <c r="Y55" s="88">
        <v>549.60129161990665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1016810</v>
      </c>
      <c r="C57" s="54">
        <f t="shared" si="118"/>
        <v>1034777</v>
      </c>
      <c r="D57" s="54">
        <f t="shared" si="118"/>
        <v>1067281</v>
      </c>
      <c r="E57" s="54">
        <f t="shared" si="118"/>
        <v>1063325</v>
      </c>
      <c r="F57" s="54">
        <f t="shared" si="118"/>
        <v>1070993</v>
      </c>
      <c r="G57" s="54">
        <f t="shared" si="118"/>
        <v>1124116</v>
      </c>
      <c r="H57" s="54">
        <f t="shared" si="118"/>
        <v>1152437</v>
      </c>
      <c r="I57" s="54">
        <f t="shared" si="118"/>
        <v>1180081</v>
      </c>
      <c r="J57" s="54">
        <f t="shared" si="118"/>
        <v>1206225</v>
      </c>
      <c r="K57" s="54">
        <f t="shared" si="118"/>
        <v>1226345</v>
      </c>
      <c r="L57" s="54">
        <f t="shared" ref="L57" si="119">L58+L73</f>
        <v>1230718</v>
      </c>
      <c r="M57" s="54">
        <f t="shared" ref="M57:V57" si="120">M58+M73</f>
        <v>1237393</v>
      </c>
      <c r="N57" s="54">
        <f t="shared" si="120"/>
        <v>1238227</v>
      </c>
      <c r="O57" s="54">
        <f t="shared" si="120"/>
        <v>1239382</v>
      </c>
      <c r="P57" s="54">
        <f t="shared" si="120"/>
        <v>1245930</v>
      </c>
      <c r="Q57" s="54">
        <f t="shared" si="120"/>
        <v>1264282</v>
      </c>
      <c r="R57" s="54">
        <f t="shared" si="120"/>
        <v>1291359</v>
      </c>
      <c r="S57" s="54">
        <f t="shared" si="120"/>
        <v>1339747</v>
      </c>
      <c r="T57" s="54">
        <f t="shared" si="120"/>
        <v>1376786</v>
      </c>
      <c r="U57" s="54">
        <f t="shared" si="120"/>
        <v>1408090</v>
      </c>
      <c r="V57" s="54">
        <f t="shared" si="120"/>
        <v>1420481</v>
      </c>
      <c r="W57" s="54">
        <f t="shared" ref="W57:Y57" si="121">W58+W73</f>
        <v>1448878</v>
      </c>
      <c r="X57" s="54">
        <f t="shared" si="121"/>
        <v>1479473</v>
      </c>
      <c r="Y57" s="54">
        <f t="shared" si="121"/>
        <v>1516625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962418</v>
      </c>
      <c r="C58" s="28">
        <f t="shared" si="122"/>
        <v>980134</v>
      </c>
      <c r="D58" s="28">
        <f t="shared" si="122"/>
        <v>1010665</v>
      </c>
      <c r="E58" s="28">
        <f t="shared" si="122"/>
        <v>1005310</v>
      </c>
      <c r="F58" s="28">
        <f t="shared" si="122"/>
        <v>1010240</v>
      </c>
      <c r="G58" s="28">
        <f t="shared" si="122"/>
        <v>1061530</v>
      </c>
      <c r="H58" s="28">
        <f t="shared" si="122"/>
        <v>1086074</v>
      </c>
      <c r="I58" s="28">
        <f t="shared" si="122"/>
        <v>1107427</v>
      </c>
      <c r="J58" s="28">
        <f t="shared" si="122"/>
        <v>1129158</v>
      </c>
      <c r="K58" s="28">
        <f t="shared" si="122"/>
        <v>1149292</v>
      </c>
      <c r="L58" s="28">
        <f t="shared" ref="L58" si="123">L59+L60+L67</f>
        <v>1154669</v>
      </c>
      <c r="M58" s="28">
        <f t="shared" ref="M58:V58" si="124">M59+M60+M67</f>
        <v>1160709</v>
      </c>
      <c r="N58" s="28">
        <f t="shared" si="124"/>
        <v>1161149</v>
      </c>
      <c r="O58" s="28">
        <f t="shared" si="124"/>
        <v>1161858</v>
      </c>
      <c r="P58" s="28">
        <f t="shared" si="124"/>
        <v>1166324</v>
      </c>
      <c r="Q58" s="28">
        <f t="shared" si="124"/>
        <v>1181208</v>
      </c>
      <c r="R58" s="28">
        <f t="shared" si="124"/>
        <v>1202494</v>
      </c>
      <c r="S58" s="28">
        <f t="shared" si="124"/>
        <v>1245452</v>
      </c>
      <c r="T58" s="28">
        <f t="shared" si="124"/>
        <v>1276526</v>
      </c>
      <c r="U58" s="28">
        <f t="shared" si="124"/>
        <v>1303642</v>
      </c>
      <c r="V58" s="28">
        <f t="shared" si="124"/>
        <v>1312936</v>
      </c>
      <c r="W58" s="28">
        <f t="shared" ref="W58:Y58" si="125">W59+W60+W67</f>
        <v>1337103</v>
      </c>
      <c r="X58" s="28">
        <f t="shared" si="125"/>
        <v>1363576</v>
      </c>
      <c r="Y58" s="28">
        <f t="shared" si="125"/>
        <v>1395176</v>
      </c>
      <c r="DA58" s="173" t="s">
        <v>501</v>
      </c>
    </row>
    <row r="59" spans="1:105" ht="11.45" customHeight="1" x14ac:dyDescent="0.25">
      <c r="A59" s="136" t="s">
        <v>173</v>
      </c>
      <c r="B59" s="137">
        <v>41559</v>
      </c>
      <c r="C59" s="137">
        <v>42317</v>
      </c>
      <c r="D59" s="137">
        <v>43265</v>
      </c>
      <c r="E59" s="137">
        <v>44516</v>
      </c>
      <c r="F59" s="137">
        <v>46367</v>
      </c>
      <c r="G59" s="137">
        <v>48671</v>
      </c>
      <c r="H59" s="137">
        <v>53193</v>
      </c>
      <c r="I59" s="137">
        <v>71493</v>
      </c>
      <c r="J59" s="137">
        <v>81996</v>
      </c>
      <c r="K59" s="137">
        <v>88428</v>
      </c>
      <c r="L59" s="137">
        <v>91008</v>
      </c>
      <c r="M59" s="137">
        <v>92183</v>
      </c>
      <c r="N59" s="137">
        <v>93100</v>
      </c>
      <c r="O59" s="137">
        <v>92986</v>
      </c>
      <c r="P59" s="137">
        <v>95796</v>
      </c>
      <c r="Q59" s="137">
        <v>100216</v>
      </c>
      <c r="R59" s="137">
        <v>103684</v>
      </c>
      <c r="S59" s="137">
        <v>125127</v>
      </c>
      <c r="T59" s="137">
        <v>130935</v>
      </c>
      <c r="U59" s="137">
        <v>135780</v>
      </c>
      <c r="V59" s="137">
        <v>140316</v>
      </c>
      <c r="W59" s="137">
        <v>145417</v>
      </c>
      <c r="X59" s="137">
        <v>153459</v>
      </c>
      <c r="Y59" s="137">
        <v>162145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919000</v>
      </c>
      <c r="C60" s="110">
        <f t="shared" si="126"/>
        <v>936000</v>
      </c>
      <c r="D60" s="110">
        <f t="shared" si="126"/>
        <v>965600</v>
      </c>
      <c r="E60" s="110">
        <f t="shared" si="126"/>
        <v>959000</v>
      </c>
      <c r="F60" s="110">
        <f t="shared" si="126"/>
        <v>962000</v>
      </c>
      <c r="G60" s="110">
        <f t="shared" si="126"/>
        <v>1011000</v>
      </c>
      <c r="H60" s="110">
        <f t="shared" si="126"/>
        <v>1031000</v>
      </c>
      <c r="I60" s="110">
        <f t="shared" si="126"/>
        <v>1034000</v>
      </c>
      <c r="J60" s="110">
        <f t="shared" si="126"/>
        <v>1045180</v>
      </c>
      <c r="K60" s="110">
        <f t="shared" si="126"/>
        <v>1058858</v>
      </c>
      <c r="L60" s="110">
        <f t="shared" ref="L60" si="127">SUM(L61:L66)</f>
        <v>1061650</v>
      </c>
      <c r="M60" s="110">
        <f t="shared" ref="M60:V60" si="128">SUM(M61:M66)</f>
        <v>1066500</v>
      </c>
      <c r="N60" s="110">
        <f t="shared" si="128"/>
        <v>1066030</v>
      </c>
      <c r="O60" s="110">
        <f t="shared" si="128"/>
        <v>1066795</v>
      </c>
      <c r="P60" s="110">
        <f t="shared" si="128"/>
        <v>1068362</v>
      </c>
      <c r="Q60" s="110">
        <f t="shared" si="128"/>
        <v>1078737</v>
      </c>
      <c r="R60" s="110">
        <f t="shared" si="128"/>
        <v>1096523</v>
      </c>
      <c r="S60" s="110">
        <f t="shared" si="128"/>
        <v>1117935</v>
      </c>
      <c r="T60" s="110">
        <f t="shared" si="128"/>
        <v>1143150</v>
      </c>
      <c r="U60" s="110">
        <f t="shared" si="128"/>
        <v>1165371</v>
      </c>
      <c r="V60" s="110">
        <f t="shared" si="128"/>
        <v>1170690</v>
      </c>
      <c r="W60" s="110">
        <f t="shared" ref="W60:Y60" si="129">SUM(W61:W66)</f>
        <v>1189457</v>
      </c>
      <c r="X60" s="110">
        <f t="shared" si="129"/>
        <v>1207755</v>
      </c>
      <c r="Y60" s="110">
        <f t="shared" si="129"/>
        <v>1230565</v>
      </c>
      <c r="DA60" s="176" t="s">
        <v>503</v>
      </c>
    </row>
    <row r="61" spans="1:105" ht="11.45" customHeight="1" x14ac:dyDescent="0.25">
      <c r="A61" s="111" t="s">
        <v>110</v>
      </c>
      <c r="B61" s="84">
        <v>805000</v>
      </c>
      <c r="C61" s="84">
        <v>813890</v>
      </c>
      <c r="D61" s="84">
        <v>798289</v>
      </c>
      <c r="E61" s="84">
        <v>795000</v>
      </c>
      <c r="F61" s="84">
        <v>769799</v>
      </c>
      <c r="G61" s="84">
        <v>780572</v>
      </c>
      <c r="H61" s="84">
        <v>768137</v>
      </c>
      <c r="I61" s="84">
        <v>744826</v>
      </c>
      <c r="J61" s="84">
        <v>726218</v>
      </c>
      <c r="K61" s="84">
        <v>711775</v>
      </c>
      <c r="L61" s="84">
        <v>690542</v>
      </c>
      <c r="M61" s="84">
        <v>673777</v>
      </c>
      <c r="N61" s="84">
        <v>650531</v>
      </c>
      <c r="O61" s="84">
        <v>629603</v>
      </c>
      <c r="P61" s="84">
        <v>609566</v>
      </c>
      <c r="Q61" s="84">
        <v>596305</v>
      </c>
      <c r="R61" s="84">
        <v>585720</v>
      </c>
      <c r="S61" s="84">
        <v>577849</v>
      </c>
      <c r="T61" s="84">
        <v>575399</v>
      </c>
      <c r="U61" s="84">
        <v>574208</v>
      </c>
      <c r="V61" s="84">
        <v>566496</v>
      </c>
      <c r="W61" s="84">
        <v>569766</v>
      </c>
      <c r="X61" s="84">
        <v>581483</v>
      </c>
      <c r="Y61" s="84">
        <v>597052</v>
      </c>
      <c r="DA61" s="171" t="s">
        <v>504</v>
      </c>
    </row>
    <row r="62" spans="1:105" ht="11.45" customHeight="1" x14ac:dyDescent="0.25">
      <c r="A62" s="111" t="s">
        <v>111</v>
      </c>
      <c r="B62" s="84">
        <v>114000</v>
      </c>
      <c r="C62" s="84">
        <v>122110</v>
      </c>
      <c r="D62" s="84">
        <v>167311</v>
      </c>
      <c r="E62" s="84">
        <v>164000</v>
      </c>
      <c r="F62" s="84">
        <v>192201</v>
      </c>
      <c r="G62" s="84">
        <v>230428</v>
      </c>
      <c r="H62" s="84">
        <v>262363</v>
      </c>
      <c r="I62" s="84">
        <v>288000</v>
      </c>
      <c r="J62" s="84">
        <v>317960</v>
      </c>
      <c r="K62" s="84">
        <v>344176</v>
      </c>
      <c r="L62" s="84">
        <v>367500</v>
      </c>
      <c r="M62" s="84">
        <v>388560</v>
      </c>
      <c r="N62" s="84">
        <v>410020</v>
      </c>
      <c r="O62" s="84">
        <v>429303</v>
      </c>
      <c r="P62" s="84">
        <v>450422</v>
      </c>
      <c r="Q62" s="84">
        <v>473666</v>
      </c>
      <c r="R62" s="84">
        <v>500660</v>
      </c>
      <c r="S62" s="84">
        <v>528811</v>
      </c>
      <c r="T62" s="84">
        <v>555502</v>
      </c>
      <c r="U62" s="84">
        <v>577776</v>
      </c>
      <c r="V62" s="84">
        <v>588707</v>
      </c>
      <c r="W62" s="84">
        <v>601946</v>
      </c>
      <c r="X62" s="84">
        <v>605456</v>
      </c>
      <c r="Y62" s="84">
        <v>607582</v>
      </c>
      <c r="DA62" s="171" t="s">
        <v>505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500</v>
      </c>
      <c r="I63" s="84">
        <v>1174</v>
      </c>
      <c r="J63" s="84">
        <v>1002</v>
      </c>
      <c r="K63" s="84">
        <v>2907</v>
      </c>
      <c r="L63" s="84">
        <v>3608</v>
      </c>
      <c r="M63" s="84">
        <v>4151</v>
      </c>
      <c r="N63" s="84">
        <v>5444</v>
      </c>
      <c r="O63" s="84">
        <v>7816</v>
      </c>
      <c r="P63" s="84">
        <v>8147</v>
      </c>
      <c r="Q63" s="84">
        <v>8380</v>
      </c>
      <c r="R63" s="84">
        <v>9468</v>
      </c>
      <c r="S63" s="84">
        <v>9999</v>
      </c>
      <c r="T63" s="84">
        <v>10246</v>
      </c>
      <c r="U63" s="84">
        <v>10500</v>
      </c>
      <c r="V63" s="84">
        <v>10800</v>
      </c>
      <c r="W63" s="84">
        <v>11083</v>
      </c>
      <c r="X63" s="84">
        <v>11366</v>
      </c>
      <c r="Y63" s="84">
        <v>11649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5</v>
      </c>
      <c r="O64" s="84">
        <v>26</v>
      </c>
      <c r="P64" s="84">
        <v>120</v>
      </c>
      <c r="Q64" s="84">
        <v>122</v>
      </c>
      <c r="R64" s="84">
        <v>163</v>
      </c>
      <c r="S64" s="84">
        <v>225</v>
      </c>
      <c r="T64" s="84">
        <v>244</v>
      </c>
      <c r="U64" s="84">
        <v>230</v>
      </c>
      <c r="V64" s="84">
        <v>230</v>
      </c>
      <c r="W64" s="84">
        <v>230</v>
      </c>
      <c r="X64" s="84">
        <v>230</v>
      </c>
      <c r="Y64" s="84">
        <v>226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13</v>
      </c>
      <c r="P65" s="84">
        <v>20</v>
      </c>
      <c r="Q65" s="84">
        <v>55</v>
      </c>
      <c r="R65" s="84">
        <v>140</v>
      </c>
      <c r="S65" s="84">
        <v>329</v>
      </c>
      <c r="T65" s="84">
        <v>580</v>
      </c>
      <c r="U65" s="84">
        <v>659</v>
      </c>
      <c r="V65" s="84">
        <v>792</v>
      </c>
      <c r="W65" s="84">
        <v>1088</v>
      </c>
      <c r="X65" s="84">
        <v>1546</v>
      </c>
      <c r="Y65" s="84">
        <v>2523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12</v>
      </c>
      <c r="N66" s="84">
        <v>30</v>
      </c>
      <c r="O66" s="84">
        <v>34</v>
      </c>
      <c r="P66" s="84">
        <v>87</v>
      </c>
      <c r="Q66" s="84">
        <v>209</v>
      </c>
      <c r="R66" s="84">
        <v>372</v>
      </c>
      <c r="S66" s="84">
        <v>722</v>
      </c>
      <c r="T66" s="84">
        <v>1179</v>
      </c>
      <c r="U66" s="84">
        <v>1998</v>
      </c>
      <c r="V66" s="84">
        <v>3665</v>
      </c>
      <c r="W66" s="84">
        <v>5344</v>
      </c>
      <c r="X66" s="84">
        <v>7674</v>
      </c>
      <c r="Y66" s="84">
        <v>11533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1859</v>
      </c>
      <c r="C67" s="110">
        <f t="shared" si="130"/>
        <v>1817</v>
      </c>
      <c r="D67" s="110">
        <f t="shared" si="130"/>
        <v>1800</v>
      </c>
      <c r="E67" s="110">
        <f t="shared" si="130"/>
        <v>1794</v>
      </c>
      <c r="F67" s="110">
        <f t="shared" si="130"/>
        <v>1873</v>
      </c>
      <c r="G67" s="110">
        <f t="shared" si="130"/>
        <v>1859</v>
      </c>
      <c r="H67" s="110">
        <f t="shared" si="130"/>
        <v>1881</v>
      </c>
      <c r="I67" s="110">
        <f t="shared" si="130"/>
        <v>1934</v>
      </c>
      <c r="J67" s="110">
        <f t="shared" si="130"/>
        <v>1982</v>
      </c>
      <c r="K67" s="110">
        <f t="shared" si="130"/>
        <v>2006</v>
      </c>
      <c r="L67" s="110">
        <f t="shared" ref="L67" si="131">SUM(L68:L72)</f>
        <v>2011</v>
      </c>
      <c r="M67" s="110">
        <f t="shared" ref="M67:V67" si="132">SUM(M68:M72)</f>
        <v>2026</v>
      </c>
      <c r="N67" s="110">
        <f t="shared" si="132"/>
        <v>2019</v>
      </c>
      <c r="O67" s="110">
        <f t="shared" si="132"/>
        <v>2077</v>
      </c>
      <c r="P67" s="110">
        <f t="shared" si="132"/>
        <v>2166</v>
      </c>
      <c r="Q67" s="110">
        <f t="shared" si="132"/>
        <v>2255</v>
      </c>
      <c r="R67" s="110">
        <f t="shared" si="132"/>
        <v>2287</v>
      </c>
      <c r="S67" s="110">
        <f t="shared" si="132"/>
        <v>2390</v>
      </c>
      <c r="T67" s="110">
        <f t="shared" si="132"/>
        <v>2441</v>
      </c>
      <c r="U67" s="110">
        <f t="shared" si="132"/>
        <v>2491</v>
      </c>
      <c r="V67" s="110">
        <f t="shared" si="132"/>
        <v>1930</v>
      </c>
      <c r="W67" s="110">
        <f t="shared" ref="W67:Y67" si="133">SUM(W68:W72)</f>
        <v>2229</v>
      </c>
      <c r="X67" s="110">
        <f t="shared" si="133"/>
        <v>2362</v>
      </c>
      <c r="Y67" s="110">
        <f t="shared" si="133"/>
        <v>2466</v>
      </c>
      <c r="DA67" s="176" t="s">
        <v>510</v>
      </c>
    </row>
    <row r="68" spans="1:105" ht="11.45" customHeight="1" x14ac:dyDescent="0.25">
      <c r="A68" s="111" t="s">
        <v>110</v>
      </c>
      <c r="B68" s="102">
        <v>34</v>
      </c>
      <c r="C68" s="102">
        <v>32</v>
      </c>
      <c r="D68" s="102">
        <v>30</v>
      </c>
      <c r="E68" s="102">
        <v>27</v>
      </c>
      <c r="F68" s="102">
        <v>24</v>
      </c>
      <c r="G68" s="102">
        <v>22</v>
      </c>
      <c r="H68" s="102">
        <v>19</v>
      </c>
      <c r="I68" s="102">
        <v>17</v>
      </c>
      <c r="J68" s="102">
        <v>14</v>
      </c>
      <c r="K68" s="102">
        <v>12</v>
      </c>
      <c r="L68" s="102">
        <v>10</v>
      </c>
      <c r="M68" s="102">
        <v>8</v>
      </c>
      <c r="N68" s="102">
        <v>7</v>
      </c>
      <c r="O68" s="102">
        <v>6</v>
      </c>
      <c r="P68" s="102">
        <v>5</v>
      </c>
      <c r="Q68" s="102">
        <v>4</v>
      </c>
      <c r="R68" s="102">
        <v>4</v>
      </c>
      <c r="S68" s="102">
        <v>4</v>
      </c>
      <c r="T68" s="102">
        <v>4</v>
      </c>
      <c r="U68" s="102">
        <v>4</v>
      </c>
      <c r="V68" s="102">
        <v>4</v>
      </c>
      <c r="W68" s="102">
        <v>4</v>
      </c>
      <c r="X68" s="102">
        <v>3</v>
      </c>
      <c r="Y68" s="102">
        <v>28</v>
      </c>
      <c r="DA68" s="175" t="s">
        <v>511</v>
      </c>
    </row>
    <row r="69" spans="1:105" ht="11.45" customHeight="1" x14ac:dyDescent="0.25">
      <c r="A69" s="111" t="s">
        <v>111</v>
      </c>
      <c r="B69" s="102">
        <v>1825</v>
      </c>
      <c r="C69" s="102">
        <v>1785</v>
      </c>
      <c r="D69" s="102">
        <v>1770</v>
      </c>
      <c r="E69" s="102">
        <v>1767</v>
      </c>
      <c r="F69" s="102">
        <v>1849</v>
      </c>
      <c r="G69" s="102">
        <v>1837</v>
      </c>
      <c r="H69" s="102">
        <v>1862</v>
      </c>
      <c r="I69" s="102">
        <v>1917</v>
      </c>
      <c r="J69" s="102">
        <v>1968</v>
      </c>
      <c r="K69" s="102">
        <v>1994</v>
      </c>
      <c r="L69" s="102">
        <v>2001</v>
      </c>
      <c r="M69" s="102">
        <v>2018</v>
      </c>
      <c r="N69" s="102">
        <v>1992</v>
      </c>
      <c r="O69" s="102">
        <v>2047</v>
      </c>
      <c r="P69" s="102">
        <v>2065</v>
      </c>
      <c r="Q69" s="102">
        <v>2147</v>
      </c>
      <c r="R69" s="102">
        <v>2111</v>
      </c>
      <c r="S69" s="102">
        <v>2217</v>
      </c>
      <c r="T69" s="102">
        <v>2255</v>
      </c>
      <c r="U69" s="102">
        <v>2366</v>
      </c>
      <c r="V69" s="102">
        <v>1823</v>
      </c>
      <c r="W69" s="102">
        <v>2123</v>
      </c>
      <c r="X69" s="102">
        <v>2256</v>
      </c>
      <c r="Y69" s="102">
        <v>2316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20</v>
      </c>
      <c r="O71" s="102">
        <v>24</v>
      </c>
      <c r="P71" s="102">
        <v>94</v>
      </c>
      <c r="Q71" s="102">
        <v>102</v>
      </c>
      <c r="R71" s="102">
        <v>168</v>
      </c>
      <c r="S71" s="102">
        <v>166</v>
      </c>
      <c r="T71" s="102">
        <v>178</v>
      </c>
      <c r="U71" s="102">
        <v>115</v>
      </c>
      <c r="V71" s="102">
        <v>97</v>
      </c>
      <c r="W71" s="102">
        <v>96</v>
      </c>
      <c r="X71" s="102">
        <v>93</v>
      </c>
      <c r="Y71" s="102">
        <v>95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2</v>
      </c>
      <c r="Q72" s="102">
        <v>2</v>
      </c>
      <c r="R72" s="102">
        <v>4</v>
      </c>
      <c r="S72" s="102">
        <v>3</v>
      </c>
      <c r="T72" s="102">
        <v>4</v>
      </c>
      <c r="U72" s="102">
        <v>6</v>
      </c>
      <c r="V72" s="102">
        <v>6</v>
      </c>
      <c r="W72" s="102">
        <v>6</v>
      </c>
      <c r="X72" s="102">
        <v>10</v>
      </c>
      <c r="Y72" s="102">
        <v>27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54392</v>
      </c>
      <c r="C73" s="28">
        <f t="shared" si="134"/>
        <v>54643</v>
      </c>
      <c r="D73" s="28">
        <f t="shared" si="134"/>
        <v>56616</v>
      </c>
      <c r="E73" s="28">
        <f t="shared" si="134"/>
        <v>58015</v>
      </c>
      <c r="F73" s="28">
        <f t="shared" si="134"/>
        <v>60753</v>
      </c>
      <c r="G73" s="28">
        <f t="shared" si="134"/>
        <v>62586</v>
      </c>
      <c r="H73" s="28">
        <f t="shared" si="134"/>
        <v>66363</v>
      </c>
      <c r="I73" s="28">
        <f t="shared" si="134"/>
        <v>72654</v>
      </c>
      <c r="J73" s="28">
        <f t="shared" si="134"/>
        <v>77067</v>
      </c>
      <c r="K73" s="28">
        <f t="shared" si="134"/>
        <v>77053</v>
      </c>
      <c r="L73" s="28">
        <f t="shared" ref="L73" si="135">L74+L80</f>
        <v>76049</v>
      </c>
      <c r="M73" s="28">
        <f t="shared" ref="M73:V73" si="136">M74+M80</f>
        <v>76684</v>
      </c>
      <c r="N73" s="28">
        <f t="shared" si="136"/>
        <v>77078</v>
      </c>
      <c r="O73" s="28">
        <f t="shared" si="136"/>
        <v>77524</v>
      </c>
      <c r="P73" s="28">
        <f t="shared" si="136"/>
        <v>79606</v>
      </c>
      <c r="Q73" s="28">
        <f t="shared" si="136"/>
        <v>83074</v>
      </c>
      <c r="R73" s="28">
        <f t="shared" si="136"/>
        <v>88865</v>
      </c>
      <c r="S73" s="28">
        <f t="shared" si="136"/>
        <v>94295</v>
      </c>
      <c r="T73" s="28">
        <f t="shared" si="136"/>
        <v>100260</v>
      </c>
      <c r="U73" s="28">
        <f t="shared" si="136"/>
        <v>104448</v>
      </c>
      <c r="V73" s="28">
        <f t="shared" si="136"/>
        <v>107545</v>
      </c>
      <c r="W73" s="28">
        <f t="shared" ref="W73:Y73" si="137">W74+W80</f>
        <v>111775</v>
      </c>
      <c r="X73" s="28">
        <f t="shared" si="137"/>
        <v>115897</v>
      </c>
      <c r="Y73" s="28">
        <f t="shared" si="137"/>
        <v>121449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25174</v>
      </c>
      <c r="C74" s="137">
        <f t="shared" si="138"/>
        <v>26266</v>
      </c>
      <c r="D74" s="137">
        <f t="shared" si="138"/>
        <v>28080</v>
      </c>
      <c r="E74" s="137">
        <f t="shared" si="138"/>
        <v>30025</v>
      </c>
      <c r="F74" s="137">
        <f t="shared" si="138"/>
        <v>32489</v>
      </c>
      <c r="G74" s="137">
        <f t="shared" si="138"/>
        <v>35248</v>
      </c>
      <c r="H74" s="137">
        <f t="shared" si="138"/>
        <v>37980</v>
      </c>
      <c r="I74" s="137">
        <f t="shared" si="138"/>
        <v>43189</v>
      </c>
      <c r="J74" s="137">
        <f t="shared" si="138"/>
        <v>48389</v>
      </c>
      <c r="K74" s="137">
        <f t="shared" si="138"/>
        <v>50301</v>
      </c>
      <c r="L74" s="137">
        <f t="shared" ref="L74" si="139">SUM(L75:L79)</f>
        <v>51759</v>
      </c>
      <c r="M74" s="137">
        <f t="shared" ref="M74:V74" si="140">SUM(M75:M79)</f>
        <v>53404</v>
      </c>
      <c r="N74" s="137">
        <f t="shared" si="140"/>
        <v>54138</v>
      </c>
      <c r="O74" s="137">
        <f t="shared" si="140"/>
        <v>54937</v>
      </c>
      <c r="P74" s="137">
        <f t="shared" si="140"/>
        <v>56905</v>
      </c>
      <c r="Q74" s="137">
        <f t="shared" si="140"/>
        <v>60016</v>
      </c>
      <c r="R74" s="137">
        <f t="shared" si="140"/>
        <v>63973</v>
      </c>
      <c r="S74" s="137">
        <f t="shared" si="140"/>
        <v>68922</v>
      </c>
      <c r="T74" s="137">
        <f t="shared" si="140"/>
        <v>74005</v>
      </c>
      <c r="U74" s="137">
        <f t="shared" si="140"/>
        <v>78779</v>
      </c>
      <c r="V74" s="137">
        <f t="shared" si="140"/>
        <v>81749</v>
      </c>
      <c r="W74" s="137">
        <f t="shared" ref="W74:Y74" si="141">SUM(W75:W79)</f>
        <v>86253</v>
      </c>
      <c r="X74" s="137">
        <f t="shared" si="141"/>
        <v>89796</v>
      </c>
      <c r="Y74" s="137">
        <f t="shared" si="141"/>
        <v>93867</v>
      </c>
      <c r="DA74" s="174" t="s">
        <v>517</v>
      </c>
    </row>
    <row r="75" spans="1:105" ht="11.45" customHeight="1" x14ac:dyDescent="0.25">
      <c r="A75" s="111" t="s">
        <v>110</v>
      </c>
      <c r="B75" s="84">
        <v>6994</v>
      </c>
      <c r="C75" s="84">
        <v>7159</v>
      </c>
      <c r="D75" s="84">
        <v>7321</v>
      </c>
      <c r="E75" s="84">
        <v>7236</v>
      </c>
      <c r="F75" s="84">
        <v>7077</v>
      </c>
      <c r="G75" s="84">
        <v>6848</v>
      </c>
      <c r="H75" s="84">
        <v>6281</v>
      </c>
      <c r="I75" s="84">
        <v>6447</v>
      </c>
      <c r="J75" s="84">
        <v>6422</v>
      </c>
      <c r="K75" s="84">
        <v>6021</v>
      </c>
      <c r="L75" s="84">
        <v>5735</v>
      </c>
      <c r="M75" s="84">
        <v>5418</v>
      </c>
      <c r="N75" s="84">
        <v>5097</v>
      </c>
      <c r="O75" s="84">
        <v>4715</v>
      </c>
      <c r="P75" s="84">
        <v>4112</v>
      </c>
      <c r="Q75" s="84">
        <v>3884</v>
      </c>
      <c r="R75" s="84">
        <v>3709</v>
      </c>
      <c r="S75" s="84">
        <v>3658</v>
      </c>
      <c r="T75" s="84">
        <v>3734</v>
      </c>
      <c r="U75" s="84">
        <v>3754</v>
      </c>
      <c r="V75" s="84">
        <v>3681</v>
      </c>
      <c r="W75" s="84">
        <v>3638</v>
      </c>
      <c r="X75" s="84">
        <v>3580</v>
      </c>
      <c r="Y75" s="84">
        <v>3621</v>
      </c>
      <c r="DA75" s="171" t="s">
        <v>518</v>
      </c>
    </row>
    <row r="76" spans="1:105" ht="11.45" customHeight="1" x14ac:dyDescent="0.25">
      <c r="A76" s="111" t="s">
        <v>111</v>
      </c>
      <c r="B76" s="84">
        <v>18180</v>
      </c>
      <c r="C76" s="84">
        <v>19107</v>
      </c>
      <c r="D76" s="84">
        <v>20759</v>
      </c>
      <c r="E76" s="84">
        <v>22789</v>
      </c>
      <c r="F76" s="84">
        <v>25412</v>
      </c>
      <c r="G76" s="84">
        <v>28400</v>
      </c>
      <c r="H76" s="84">
        <v>31360</v>
      </c>
      <c r="I76" s="84">
        <v>36373</v>
      </c>
      <c r="J76" s="84">
        <v>41427</v>
      </c>
      <c r="K76" s="84">
        <v>44067</v>
      </c>
      <c r="L76" s="84">
        <v>45948</v>
      </c>
      <c r="M76" s="84">
        <v>47921</v>
      </c>
      <c r="N76" s="84">
        <v>48981</v>
      </c>
      <c r="O76" s="84">
        <v>50162</v>
      </c>
      <c r="P76" s="84">
        <v>52420</v>
      </c>
      <c r="Q76" s="84">
        <v>55649</v>
      </c>
      <c r="R76" s="84">
        <v>59755</v>
      </c>
      <c r="S76" s="84">
        <v>64658</v>
      </c>
      <c r="T76" s="84">
        <v>69652</v>
      </c>
      <c r="U76" s="84">
        <v>74280</v>
      </c>
      <c r="V76" s="84">
        <v>77285</v>
      </c>
      <c r="W76" s="84">
        <v>81785</v>
      </c>
      <c r="X76" s="84">
        <v>85376</v>
      </c>
      <c r="Y76" s="84">
        <v>89312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339</v>
      </c>
      <c r="I77" s="84">
        <v>369</v>
      </c>
      <c r="J77" s="84">
        <v>540</v>
      </c>
      <c r="K77" s="84">
        <v>213</v>
      </c>
      <c r="L77" s="84">
        <v>76</v>
      </c>
      <c r="M77" s="84">
        <v>65</v>
      </c>
      <c r="N77" s="84">
        <v>60</v>
      </c>
      <c r="O77" s="84">
        <v>60</v>
      </c>
      <c r="P77" s="84">
        <v>331</v>
      </c>
      <c r="Q77" s="84">
        <v>373</v>
      </c>
      <c r="R77" s="84">
        <v>373</v>
      </c>
      <c r="S77" s="84">
        <v>410</v>
      </c>
      <c r="T77" s="84">
        <v>410</v>
      </c>
      <c r="U77" s="84">
        <v>480</v>
      </c>
      <c r="V77" s="84">
        <v>500</v>
      </c>
      <c r="W77" s="84">
        <v>500</v>
      </c>
      <c r="X77" s="84">
        <v>500</v>
      </c>
      <c r="Y77" s="84">
        <v>495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27</v>
      </c>
      <c r="Q78" s="84">
        <v>73</v>
      </c>
      <c r="R78" s="84">
        <v>73</v>
      </c>
      <c r="S78" s="84">
        <v>74</v>
      </c>
      <c r="T78" s="84">
        <v>74</v>
      </c>
      <c r="U78" s="84">
        <v>100</v>
      </c>
      <c r="V78" s="84">
        <v>100</v>
      </c>
      <c r="W78" s="84">
        <v>100</v>
      </c>
      <c r="X78" s="84">
        <v>100</v>
      </c>
      <c r="Y78" s="84">
        <v>98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15</v>
      </c>
      <c r="Q79" s="84">
        <v>37</v>
      </c>
      <c r="R79" s="84">
        <v>63</v>
      </c>
      <c r="S79" s="84">
        <v>122</v>
      </c>
      <c r="T79" s="84">
        <v>135</v>
      </c>
      <c r="U79" s="84">
        <v>165</v>
      </c>
      <c r="V79" s="84">
        <v>183</v>
      </c>
      <c r="W79" s="84">
        <v>230</v>
      </c>
      <c r="X79" s="84">
        <v>240</v>
      </c>
      <c r="Y79" s="84">
        <v>341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29218</v>
      </c>
      <c r="C80" s="110">
        <f t="shared" si="142"/>
        <v>28377</v>
      </c>
      <c r="D80" s="110">
        <f t="shared" si="142"/>
        <v>28536</v>
      </c>
      <c r="E80" s="110">
        <f t="shared" si="142"/>
        <v>27990</v>
      </c>
      <c r="F80" s="110">
        <f t="shared" si="142"/>
        <v>28264</v>
      </c>
      <c r="G80" s="110">
        <f t="shared" si="142"/>
        <v>27338</v>
      </c>
      <c r="H80" s="110">
        <f t="shared" si="142"/>
        <v>28383</v>
      </c>
      <c r="I80" s="110">
        <f t="shared" si="142"/>
        <v>29465</v>
      </c>
      <c r="J80" s="110">
        <f t="shared" si="142"/>
        <v>28678</v>
      </c>
      <c r="K80" s="110">
        <f t="shared" si="142"/>
        <v>26752</v>
      </c>
      <c r="L80" s="110">
        <f t="shared" ref="L80" si="143">SUM(L81:L82)</f>
        <v>24290</v>
      </c>
      <c r="M80" s="110">
        <f t="shared" ref="M80:V80" si="144">SUM(M81:M82)</f>
        <v>23280</v>
      </c>
      <c r="N80" s="110">
        <f t="shared" si="144"/>
        <v>22940</v>
      </c>
      <c r="O80" s="110">
        <f t="shared" si="144"/>
        <v>22587</v>
      </c>
      <c r="P80" s="110">
        <f t="shared" si="144"/>
        <v>22701</v>
      </c>
      <c r="Q80" s="110">
        <f t="shared" si="144"/>
        <v>23058</v>
      </c>
      <c r="R80" s="110">
        <f t="shared" si="144"/>
        <v>24892</v>
      </c>
      <c r="S80" s="110">
        <f t="shared" si="144"/>
        <v>25373</v>
      </c>
      <c r="T80" s="110">
        <f t="shared" si="144"/>
        <v>26255</v>
      </c>
      <c r="U80" s="110">
        <f t="shared" si="144"/>
        <v>25669</v>
      </c>
      <c r="V80" s="110">
        <f t="shared" si="144"/>
        <v>25796</v>
      </c>
      <c r="W80" s="110">
        <f t="shared" ref="W80:Y80" si="145">SUM(W81:W82)</f>
        <v>25522</v>
      </c>
      <c r="X80" s="110">
        <f t="shared" si="145"/>
        <v>26101</v>
      </c>
      <c r="Y80" s="110">
        <f t="shared" si="145"/>
        <v>27582</v>
      </c>
      <c r="DA80" s="176" t="s">
        <v>523</v>
      </c>
    </row>
    <row r="81" spans="1:105" ht="11.45" customHeight="1" x14ac:dyDescent="0.25">
      <c r="A81" s="128" t="s">
        <v>27</v>
      </c>
      <c r="B81" s="102">
        <v>26273</v>
      </c>
      <c r="C81" s="102">
        <v>25219</v>
      </c>
      <c r="D81" s="102">
        <v>25214</v>
      </c>
      <c r="E81" s="102">
        <v>24594</v>
      </c>
      <c r="F81" s="102">
        <v>24249</v>
      </c>
      <c r="G81" s="102">
        <v>23181</v>
      </c>
      <c r="H81" s="102">
        <v>23570</v>
      </c>
      <c r="I81" s="102">
        <v>24561</v>
      </c>
      <c r="J81" s="102">
        <v>23775</v>
      </c>
      <c r="K81" s="102">
        <v>22437</v>
      </c>
      <c r="L81" s="102">
        <v>20113</v>
      </c>
      <c r="M81" s="102">
        <v>19022</v>
      </c>
      <c r="N81" s="102">
        <v>18549</v>
      </c>
      <c r="O81" s="102">
        <v>18220</v>
      </c>
      <c r="P81" s="102">
        <v>18327</v>
      </c>
      <c r="Q81" s="102">
        <v>18282</v>
      </c>
      <c r="R81" s="102">
        <v>19524</v>
      </c>
      <c r="S81" s="102">
        <v>19475</v>
      </c>
      <c r="T81" s="102">
        <v>20264</v>
      </c>
      <c r="U81" s="102">
        <v>19571</v>
      </c>
      <c r="V81" s="102">
        <v>20120</v>
      </c>
      <c r="W81" s="102">
        <v>19391</v>
      </c>
      <c r="X81" s="102">
        <v>19728</v>
      </c>
      <c r="Y81" s="102">
        <v>21116</v>
      </c>
      <c r="DA81" s="175" t="s">
        <v>524</v>
      </c>
    </row>
    <row r="82" spans="1:105" ht="11.45" customHeight="1" x14ac:dyDescent="0.25">
      <c r="A82" s="138" t="s">
        <v>116</v>
      </c>
      <c r="B82" s="86">
        <v>2945</v>
      </c>
      <c r="C82" s="86">
        <v>3158</v>
      </c>
      <c r="D82" s="86">
        <v>3322</v>
      </c>
      <c r="E82" s="86">
        <v>3396</v>
      </c>
      <c r="F82" s="86">
        <v>4015</v>
      </c>
      <c r="G82" s="86">
        <v>4157</v>
      </c>
      <c r="H82" s="86">
        <v>4813</v>
      </c>
      <c r="I82" s="86">
        <v>4904</v>
      </c>
      <c r="J82" s="86">
        <v>4903</v>
      </c>
      <c r="K82" s="86">
        <v>4315</v>
      </c>
      <c r="L82" s="86">
        <v>4177</v>
      </c>
      <c r="M82" s="86">
        <v>4258</v>
      </c>
      <c r="N82" s="86">
        <v>4391</v>
      </c>
      <c r="O82" s="86">
        <v>4367</v>
      </c>
      <c r="P82" s="86">
        <v>4374</v>
      </c>
      <c r="Q82" s="86">
        <v>4776</v>
      </c>
      <c r="R82" s="86">
        <v>5368</v>
      </c>
      <c r="S82" s="86">
        <v>5898</v>
      </c>
      <c r="T82" s="86">
        <v>5991</v>
      </c>
      <c r="U82" s="86">
        <v>6098</v>
      </c>
      <c r="V82" s="86">
        <v>5676</v>
      </c>
      <c r="W82" s="86">
        <v>6131</v>
      </c>
      <c r="X82" s="86">
        <v>6373</v>
      </c>
      <c r="Y82" s="86">
        <v>6466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1016810</v>
      </c>
      <c r="C84" s="54">
        <f t="shared" si="146"/>
        <v>1034777</v>
      </c>
      <c r="D84" s="54">
        <f t="shared" ref="D84:V84" si="147">D85+D100</f>
        <v>1067281</v>
      </c>
      <c r="E84" s="54">
        <f t="shared" si="147"/>
        <v>1063325</v>
      </c>
      <c r="F84" s="54">
        <f t="shared" si="147"/>
        <v>1070993</v>
      </c>
      <c r="G84" s="54">
        <f t="shared" si="147"/>
        <v>1124116</v>
      </c>
      <c r="H84" s="54">
        <f t="shared" si="147"/>
        <v>1152437</v>
      </c>
      <c r="I84" s="54">
        <f t="shared" si="147"/>
        <v>1180081</v>
      </c>
      <c r="J84" s="54">
        <f t="shared" si="147"/>
        <v>1206225</v>
      </c>
      <c r="K84" s="54">
        <f t="shared" si="147"/>
        <v>1226345</v>
      </c>
      <c r="L84" s="54">
        <f t="shared" si="147"/>
        <v>1230718</v>
      </c>
      <c r="M84" s="54">
        <f t="shared" si="147"/>
        <v>1237393</v>
      </c>
      <c r="N84" s="54">
        <f t="shared" si="147"/>
        <v>1238227</v>
      </c>
      <c r="O84" s="54">
        <f t="shared" si="147"/>
        <v>1239382</v>
      </c>
      <c r="P84" s="54">
        <f t="shared" si="147"/>
        <v>1245930</v>
      </c>
      <c r="Q84" s="54">
        <f t="shared" si="147"/>
        <v>1264282</v>
      </c>
      <c r="R84" s="54">
        <f t="shared" si="147"/>
        <v>1291359</v>
      </c>
      <c r="S84" s="54">
        <f t="shared" si="147"/>
        <v>1339747</v>
      </c>
      <c r="T84" s="54">
        <f t="shared" si="147"/>
        <v>1376786</v>
      </c>
      <c r="U84" s="54">
        <f t="shared" si="147"/>
        <v>1408090</v>
      </c>
      <c r="V84" s="54">
        <f t="shared" si="147"/>
        <v>1420481</v>
      </c>
      <c r="W84" s="54">
        <f t="shared" ref="W84:Y84" si="148">W85+W100</f>
        <v>1448878</v>
      </c>
      <c r="X84" s="54">
        <f t="shared" si="148"/>
        <v>1479473</v>
      </c>
      <c r="Y84" s="54">
        <f t="shared" si="148"/>
        <v>1516625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962418</v>
      </c>
      <c r="C85" s="28">
        <f t="shared" si="149"/>
        <v>980134</v>
      </c>
      <c r="D85" s="28">
        <f t="shared" ref="D85:V85" si="150">D86+D87+D94</f>
        <v>1010665</v>
      </c>
      <c r="E85" s="28">
        <f t="shared" si="150"/>
        <v>1005310</v>
      </c>
      <c r="F85" s="28">
        <f t="shared" si="150"/>
        <v>1010240</v>
      </c>
      <c r="G85" s="28">
        <f t="shared" si="150"/>
        <v>1061530</v>
      </c>
      <c r="H85" s="28">
        <f t="shared" si="150"/>
        <v>1086074</v>
      </c>
      <c r="I85" s="28">
        <f t="shared" si="150"/>
        <v>1107427</v>
      </c>
      <c r="J85" s="28">
        <f t="shared" si="150"/>
        <v>1129158</v>
      </c>
      <c r="K85" s="28">
        <f t="shared" si="150"/>
        <v>1149292</v>
      </c>
      <c r="L85" s="28">
        <f t="shared" si="150"/>
        <v>1154669</v>
      </c>
      <c r="M85" s="28">
        <f t="shared" si="150"/>
        <v>1160709</v>
      </c>
      <c r="N85" s="28">
        <f t="shared" si="150"/>
        <v>1161149</v>
      </c>
      <c r="O85" s="28">
        <f t="shared" si="150"/>
        <v>1161858</v>
      </c>
      <c r="P85" s="28">
        <f t="shared" si="150"/>
        <v>1166324</v>
      </c>
      <c r="Q85" s="28">
        <f t="shared" si="150"/>
        <v>1181208</v>
      </c>
      <c r="R85" s="28">
        <f t="shared" si="150"/>
        <v>1202494</v>
      </c>
      <c r="S85" s="28">
        <f t="shared" si="150"/>
        <v>1245452</v>
      </c>
      <c r="T85" s="28">
        <f t="shared" si="150"/>
        <v>1276526</v>
      </c>
      <c r="U85" s="28">
        <f t="shared" si="150"/>
        <v>1303642</v>
      </c>
      <c r="V85" s="28">
        <f t="shared" si="150"/>
        <v>1312936</v>
      </c>
      <c r="W85" s="28">
        <f t="shared" ref="W85:Y85" si="151">W86+W87+W94</f>
        <v>1337103</v>
      </c>
      <c r="X85" s="28">
        <f t="shared" si="151"/>
        <v>1363576</v>
      </c>
      <c r="Y85" s="28">
        <f t="shared" si="151"/>
        <v>1395176</v>
      </c>
      <c r="DA85" s="173"/>
    </row>
    <row r="86" spans="1:105" ht="11.45" hidden="1" customHeight="1" x14ac:dyDescent="0.25">
      <c r="A86" s="136" t="s">
        <v>173</v>
      </c>
      <c r="B86" s="137">
        <v>41559</v>
      </c>
      <c r="C86" s="137">
        <v>42317</v>
      </c>
      <c r="D86" s="137">
        <v>43265</v>
      </c>
      <c r="E86" s="137">
        <v>44516</v>
      </c>
      <c r="F86" s="137">
        <v>46367</v>
      </c>
      <c r="G86" s="137">
        <v>48671</v>
      </c>
      <c r="H86" s="137">
        <v>53193</v>
      </c>
      <c r="I86" s="137">
        <v>71493</v>
      </c>
      <c r="J86" s="137">
        <v>81996</v>
      </c>
      <c r="K86" s="137">
        <v>88428</v>
      </c>
      <c r="L86" s="137">
        <v>91008</v>
      </c>
      <c r="M86" s="137">
        <v>92183</v>
      </c>
      <c r="N86" s="137">
        <v>93100</v>
      </c>
      <c r="O86" s="137">
        <v>92986</v>
      </c>
      <c r="P86" s="137">
        <v>95796</v>
      </c>
      <c r="Q86" s="137">
        <v>100216</v>
      </c>
      <c r="R86" s="137">
        <v>103684</v>
      </c>
      <c r="S86" s="137">
        <v>125127</v>
      </c>
      <c r="T86" s="137">
        <v>130935</v>
      </c>
      <c r="U86" s="137">
        <v>135780</v>
      </c>
      <c r="V86" s="137">
        <v>140316</v>
      </c>
      <c r="W86" s="137">
        <v>145417</v>
      </c>
      <c r="X86" s="137">
        <v>153459</v>
      </c>
      <c r="Y86" s="137">
        <v>162145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919000</v>
      </c>
      <c r="C87" s="110">
        <f t="shared" si="152"/>
        <v>936000</v>
      </c>
      <c r="D87" s="110">
        <f t="shared" ref="D87:V87" si="153">SUM(D88:D93)</f>
        <v>965600</v>
      </c>
      <c r="E87" s="110">
        <f t="shared" si="153"/>
        <v>959000</v>
      </c>
      <c r="F87" s="110">
        <f t="shared" si="153"/>
        <v>962000</v>
      </c>
      <c r="G87" s="110">
        <f t="shared" si="153"/>
        <v>1011000</v>
      </c>
      <c r="H87" s="110">
        <f t="shared" si="153"/>
        <v>1031000</v>
      </c>
      <c r="I87" s="110">
        <f t="shared" si="153"/>
        <v>1034000</v>
      </c>
      <c r="J87" s="110">
        <f t="shared" si="153"/>
        <v>1045180</v>
      </c>
      <c r="K87" s="110">
        <f t="shared" si="153"/>
        <v>1058858</v>
      </c>
      <c r="L87" s="110">
        <f t="shared" si="153"/>
        <v>1061650</v>
      </c>
      <c r="M87" s="110">
        <f t="shared" si="153"/>
        <v>1066500</v>
      </c>
      <c r="N87" s="110">
        <f t="shared" si="153"/>
        <v>1066030</v>
      </c>
      <c r="O87" s="110">
        <f t="shared" si="153"/>
        <v>1066795</v>
      </c>
      <c r="P87" s="110">
        <f t="shared" si="153"/>
        <v>1068362</v>
      </c>
      <c r="Q87" s="110">
        <f t="shared" si="153"/>
        <v>1078737</v>
      </c>
      <c r="R87" s="110">
        <f t="shared" si="153"/>
        <v>1096523</v>
      </c>
      <c r="S87" s="110">
        <f t="shared" si="153"/>
        <v>1117935</v>
      </c>
      <c r="T87" s="110">
        <f t="shared" si="153"/>
        <v>1143150</v>
      </c>
      <c r="U87" s="110">
        <f t="shared" si="153"/>
        <v>1165371</v>
      </c>
      <c r="V87" s="110">
        <f t="shared" si="153"/>
        <v>1170690</v>
      </c>
      <c r="W87" s="110">
        <f t="shared" ref="W87:Y87" si="154">SUM(W88:W93)</f>
        <v>1189457</v>
      </c>
      <c r="X87" s="110">
        <f t="shared" si="154"/>
        <v>1207755</v>
      </c>
      <c r="Y87" s="110">
        <f t="shared" si="154"/>
        <v>1230565</v>
      </c>
      <c r="DA87" s="176"/>
    </row>
    <row r="88" spans="1:105" ht="11.45" hidden="1" customHeight="1" x14ac:dyDescent="0.25">
      <c r="A88" s="111" t="s">
        <v>110</v>
      </c>
      <c r="B88" s="84">
        <v>805000</v>
      </c>
      <c r="C88" s="84">
        <v>813890</v>
      </c>
      <c r="D88" s="84">
        <v>798289</v>
      </c>
      <c r="E88" s="84">
        <v>795000</v>
      </c>
      <c r="F88" s="84">
        <v>769799</v>
      </c>
      <c r="G88" s="84">
        <v>780572</v>
      </c>
      <c r="H88" s="84">
        <v>768137</v>
      </c>
      <c r="I88" s="84">
        <v>744826</v>
      </c>
      <c r="J88" s="84">
        <v>726218</v>
      </c>
      <c r="K88" s="84">
        <v>711775</v>
      </c>
      <c r="L88" s="84">
        <v>690542</v>
      </c>
      <c r="M88" s="84">
        <v>673777</v>
      </c>
      <c r="N88" s="84">
        <v>650531</v>
      </c>
      <c r="O88" s="84">
        <v>629603</v>
      </c>
      <c r="P88" s="84">
        <v>609566</v>
      </c>
      <c r="Q88" s="84">
        <v>596305</v>
      </c>
      <c r="R88" s="84">
        <v>585720</v>
      </c>
      <c r="S88" s="84">
        <v>577849</v>
      </c>
      <c r="T88" s="84">
        <v>575399</v>
      </c>
      <c r="U88" s="84">
        <v>574208</v>
      </c>
      <c r="V88" s="84">
        <v>566496</v>
      </c>
      <c r="W88" s="84">
        <v>569766</v>
      </c>
      <c r="X88" s="84">
        <v>581483</v>
      </c>
      <c r="Y88" s="84">
        <v>597052</v>
      </c>
      <c r="DA88" s="171"/>
    </row>
    <row r="89" spans="1:105" ht="11.45" hidden="1" customHeight="1" x14ac:dyDescent="0.25">
      <c r="A89" s="111" t="s">
        <v>111</v>
      </c>
      <c r="B89" s="84">
        <v>114000</v>
      </c>
      <c r="C89" s="84">
        <v>122110</v>
      </c>
      <c r="D89" s="84">
        <v>167311</v>
      </c>
      <c r="E89" s="84">
        <v>164000</v>
      </c>
      <c r="F89" s="84">
        <v>192201</v>
      </c>
      <c r="G89" s="84">
        <v>230428</v>
      </c>
      <c r="H89" s="84">
        <v>262363</v>
      </c>
      <c r="I89" s="84">
        <v>288000</v>
      </c>
      <c r="J89" s="84">
        <v>317960</v>
      </c>
      <c r="K89" s="84">
        <v>344176</v>
      </c>
      <c r="L89" s="84">
        <v>367500</v>
      </c>
      <c r="M89" s="84">
        <v>388560</v>
      </c>
      <c r="N89" s="84">
        <v>410020</v>
      </c>
      <c r="O89" s="84">
        <v>429303</v>
      </c>
      <c r="P89" s="84">
        <v>450422</v>
      </c>
      <c r="Q89" s="84">
        <v>473666</v>
      </c>
      <c r="R89" s="84">
        <v>500660</v>
      </c>
      <c r="S89" s="84">
        <v>528811</v>
      </c>
      <c r="T89" s="84">
        <v>555502</v>
      </c>
      <c r="U89" s="84">
        <v>577776</v>
      </c>
      <c r="V89" s="84">
        <v>588707</v>
      </c>
      <c r="W89" s="84">
        <v>601946</v>
      </c>
      <c r="X89" s="84">
        <v>605456</v>
      </c>
      <c r="Y89" s="84">
        <v>607582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500</v>
      </c>
      <c r="I90" s="84">
        <v>1174</v>
      </c>
      <c r="J90" s="84">
        <v>1002</v>
      </c>
      <c r="K90" s="84">
        <v>2907</v>
      </c>
      <c r="L90" s="84">
        <v>3608</v>
      </c>
      <c r="M90" s="84">
        <v>4151</v>
      </c>
      <c r="N90" s="84">
        <v>5444</v>
      </c>
      <c r="O90" s="84">
        <v>7816</v>
      </c>
      <c r="P90" s="84">
        <v>8147</v>
      </c>
      <c r="Q90" s="84">
        <v>8380</v>
      </c>
      <c r="R90" s="84">
        <v>9468</v>
      </c>
      <c r="S90" s="84">
        <v>9999</v>
      </c>
      <c r="T90" s="84">
        <v>10246</v>
      </c>
      <c r="U90" s="84">
        <v>10500</v>
      </c>
      <c r="V90" s="84">
        <v>10800</v>
      </c>
      <c r="W90" s="84">
        <v>11083</v>
      </c>
      <c r="X90" s="84">
        <v>11366</v>
      </c>
      <c r="Y90" s="84">
        <v>11649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5</v>
      </c>
      <c r="O91" s="84">
        <v>26</v>
      </c>
      <c r="P91" s="84">
        <v>120</v>
      </c>
      <c r="Q91" s="84">
        <v>122</v>
      </c>
      <c r="R91" s="84">
        <v>163</v>
      </c>
      <c r="S91" s="84">
        <v>225</v>
      </c>
      <c r="T91" s="84">
        <v>244</v>
      </c>
      <c r="U91" s="84">
        <v>230</v>
      </c>
      <c r="V91" s="84">
        <v>230</v>
      </c>
      <c r="W91" s="84">
        <v>230</v>
      </c>
      <c r="X91" s="84">
        <v>230</v>
      </c>
      <c r="Y91" s="84">
        <v>226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13</v>
      </c>
      <c r="P92" s="84">
        <v>20</v>
      </c>
      <c r="Q92" s="84">
        <v>55</v>
      </c>
      <c r="R92" s="84">
        <v>140</v>
      </c>
      <c r="S92" s="84">
        <v>329</v>
      </c>
      <c r="T92" s="84">
        <v>580</v>
      </c>
      <c r="U92" s="84">
        <v>659</v>
      </c>
      <c r="V92" s="84">
        <v>792</v>
      </c>
      <c r="W92" s="84">
        <v>1088</v>
      </c>
      <c r="X92" s="84">
        <v>1546</v>
      </c>
      <c r="Y92" s="84">
        <v>2523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12</v>
      </c>
      <c r="N93" s="84">
        <v>30</v>
      </c>
      <c r="O93" s="84">
        <v>34</v>
      </c>
      <c r="P93" s="84">
        <v>87</v>
      </c>
      <c r="Q93" s="84">
        <v>209</v>
      </c>
      <c r="R93" s="84">
        <v>372</v>
      </c>
      <c r="S93" s="84">
        <v>722</v>
      </c>
      <c r="T93" s="84">
        <v>1179</v>
      </c>
      <c r="U93" s="84">
        <v>1998</v>
      </c>
      <c r="V93" s="84">
        <v>3665</v>
      </c>
      <c r="W93" s="84">
        <v>5344</v>
      </c>
      <c r="X93" s="84">
        <v>7674</v>
      </c>
      <c r="Y93" s="84">
        <v>11533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1859</v>
      </c>
      <c r="C94" s="110">
        <f t="shared" si="155"/>
        <v>1817</v>
      </c>
      <c r="D94" s="110">
        <f t="shared" ref="D94:V94" si="156">SUM(D95:D99)</f>
        <v>1800</v>
      </c>
      <c r="E94" s="110">
        <f t="shared" si="156"/>
        <v>1794</v>
      </c>
      <c r="F94" s="110">
        <f t="shared" si="156"/>
        <v>1873</v>
      </c>
      <c r="G94" s="110">
        <f t="shared" si="156"/>
        <v>1859</v>
      </c>
      <c r="H94" s="110">
        <f t="shared" si="156"/>
        <v>1881</v>
      </c>
      <c r="I94" s="110">
        <f t="shared" si="156"/>
        <v>1934</v>
      </c>
      <c r="J94" s="110">
        <f t="shared" si="156"/>
        <v>1982</v>
      </c>
      <c r="K94" s="110">
        <f t="shared" si="156"/>
        <v>2006</v>
      </c>
      <c r="L94" s="110">
        <f t="shared" si="156"/>
        <v>2011</v>
      </c>
      <c r="M94" s="110">
        <f t="shared" si="156"/>
        <v>2026</v>
      </c>
      <c r="N94" s="110">
        <f t="shared" si="156"/>
        <v>2019</v>
      </c>
      <c r="O94" s="110">
        <f t="shared" si="156"/>
        <v>2077</v>
      </c>
      <c r="P94" s="110">
        <f t="shared" si="156"/>
        <v>2166</v>
      </c>
      <c r="Q94" s="110">
        <f t="shared" si="156"/>
        <v>2255</v>
      </c>
      <c r="R94" s="110">
        <f t="shared" si="156"/>
        <v>2287</v>
      </c>
      <c r="S94" s="110">
        <f t="shared" si="156"/>
        <v>2390</v>
      </c>
      <c r="T94" s="110">
        <f t="shared" si="156"/>
        <v>2441</v>
      </c>
      <c r="U94" s="110">
        <f t="shared" si="156"/>
        <v>2491</v>
      </c>
      <c r="V94" s="110">
        <f t="shared" si="156"/>
        <v>1930</v>
      </c>
      <c r="W94" s="110">
        <f t="shared" ref="W94:Y94" si="157">SUM(W95:W99)</f>
        <v>2229</v>
      </c>
      <c r="X94" s="110">
        <f t="shared" si="157"/>
        <v>2362</v>
      </c>
      <c r="Y94" s="110">
        <f t="shared" si="157"/>
        <v>2466</v>
      </c>
      <c r="DA94" s="176"/>
    </row>
    <row r="95" spans="1:105" ht="11.45" hidden="1" customHeight="1" x14ac:dyDescent="0.25">
      <c r="A95" s="111" t="s">
        <v>110</v>
      </c>
      <c r="B95" s="102">
        <v>34</v>
      </c>
      <c r="C95" s="102">
        <v>32</v>
      </c>
      <c r="D95" s="102">
        <v>30</v>
      </c>
      <c r="E95" s="102">
        <v>27</v>
      </c>
      <c r="F95" s="102">
        <v>24</v>
      </c>
      <c r="G95" s="102">
        <v>22</v>
      </c>
      <c r="H95" s="102">
        <v>19</v>
      </c>
      <c r="I95" s="102">
        <v>17</v>
      </c>
      <c r="J95" s="102">
        <v>14</v>
      </c>
      <c r="K95" s="102">
        <v>12</v>
      </c>
      <c r="L95" s="102">
        <v>10</v>
      </c>
      <c r="M95" s="102">
        <v>8</v>
      </c>
      <c r="N95" s="102">
        <v>7</v>
      </c>
      <c r="O95" s="102">
        <v>6</v>
      </c>
      <c r="P95" s="102">
        <v>5</v>
      </c>
      <c r="Q95" s="102">
        <v>4</v>
      </c>
      <c r="R95" s="102">
        <v>4</v>
      </c>
      <c r="S95" s="102">
        <v>4</v>
      </c>
      <c r="T95" s="102">
        <v>4</v>
      </c>
      <c r="U95" s="102">
        <v>4</v>
      </c>
      <c r="V95" s="102">
        <v>4</v>
      </c>
      <c r="W95" s="102">
        <v>4</v>
      </c>
      <c r="X95" s="102">
        <v>3</v>
      </c>
      <c r="Y95" s="102">
        <v>28</v>
      </c>
      <c r="DA95" s="175"/>
    </row>
    <row r="96" spans="1:105" ht="11.45" hidden="1" customHeight="1" x14ac:dyDescent="0.25">
      <c r="A96" s="111" t="s">
        <v>111</v>
      </c>
      <c r="B96" s="102">
        <v>1825</v>
      </c>
      <c r="C96" s="102">
        <v>1785</v>
      </c>
      <c r="D96" s="102">
        <v>1770</v>
      </c>
      <c r="E96" s="102">
        <v>1767</v>
      </c>
      <c r="F96" s="102">
        <v>1849</v>
      </c>
      <c r="G96" s="102">
        <v>1837</v>
      </c>
      <c r="H96" s="102">
        <v>1862</v>
      </c>
      <c r="I96" s="102">
        <v>1917</v>
      </c>
      <c r="J96" s="102">
        <v>1968</v>
      </c>
      <c r="K96" s="102">
        <v>1994</v>
      </c>
      <c r="L96" s="102">
        <v>2001</v>
      </c>
      <c r="M96" s="102">
        <v>2018</v>
      </c>
      <c r="N96" s="102">
        <v>1992</v>
      </c>
      <c r="O96" s="102">
        <v>2047</v>
      </c>
      <c r="P96" s="102">
        <v>2065</v>
      </c>
      <c r="Q96" s="102">
        <v>2147</v>
      </c>
      <c r="R96" s="102">
        <v>2111</v>
      </c>
      <c r="S96" s="102">
        <v>2217</v>
      </c>
      <c r="T96" s="102">
        <v>2255</v>
      </c>
      <c r="U96" s="102">
        <v>2366</v>
      </c>
      <c r="V96" s="102">
        <v>1823</v>
      </c>
      <c r="W96" s="102">
        <v>2123</v>
      </c>
      <c r="X96" s="102">
        <v>2256</v>
      </c>
      <c r="Y96" s="102">
        <v>2316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20</v>
      </c>
      <c r="O98" s="102">
        <v>24</v>
      </c>
      <c r="P98" s="102">
        <v>94</v>
      </c>
      <c r="Q98" s="102">
        <v>102</v>
      </c>
      <c r="R98" s="102">
        <v>168</v>
      </c>
      <c r="S98" s="102">
        <v>166</v>
      </c>
      <c r="T98" s="102">
        <v>178</v>
      </c>
      <c r="U98" s="102">
        <v>115</v>
      </c>
      <c r="V98" s="102">
        <v>97</v>
      </c>
      <c r="W98" s="102">
        <v>96</v>
      </c>
      <c r="X98" s="102">
        <v>93</v>
      </c>
      <c r="Y98" s="102">
        <v>95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2</v>
      </c>
      <c r="Q99" s="102">
        <v>2</v>
      </c>
      <c r="R99" s="102">
        <v>4</v>
      </c>
      <c r="S99" s="102">
        <v>3</v>
      </c>
      <c r="T99" s="102">
        <v>4</v>
      </c>
      <c r="U99" s="102">
        <v>6</v>
      </c>
      <c r="V99" s="102">
        <v>6</v>
      </c>
      <c r="W99" s="102">
        <v>6</v>
      </c>
      <c r="X99" s="102">
        <v>10</v>
      </c>
      <c r="Y99" s="102">
        <v>27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54392</v>
      </c>
      <c r="C100" s="28">
        <f t="shared" si="158"/>
        <v>54643</v>
      </c>
      <c r="D100" s="28">
        <f t="shared" ref="D100:V100" si="159">D101+D107</f>
        <v>56616</v>
      </c>
      <c r="E100" s="28">
        <f t="shared" si="159"/>
        <v>58015</v>
      </c>
      <c r="F100" s="28">
        <f t="shared" si="159"/>
        <v>60753</v>
      </c>
      <c r="G100" s="28">
        <f t="shared" si="159"/>
        <v>62586</v>
      </c>
      <c r="H100" s="28">
        <f t="shared" si="159"/>
        <v>66363</v>
      </c>
      <c r="I100" s="28">
        <f t="shared" si="159"/>
        <v>72654</v>
      </c>
      <c r="J100" s="28">
        <f t="shared" si="159"/>
        <v>77067</v>
      </c>
      <c r="K100" s="28">
        <f t="shared" si="159"/>
        <v>77053</v>
      </c>
      <c r="L100" s="28">
        <f t="shared" si="159"/>
        <v>76049</v>
      </c>
      <c r="M100" s="28">
        <f t="shared" si="159"/>
        <v>76684</v>
      </c>
      <c r="N100" s="28">
        <f t="shared" si="159"/>
        <v>77078</v>
      </c>
      <c r="O100" s="28">
        <f t="shared" si="159"/>
        <v>77524</v>
      </c>
      <c r="P100" s="28">
        <f t="shared" si="159"/>
        <v>79606</v>
      </c>
      <c r="Q100" s="28">
        <f t="shared" si="159"/>
        <v>83074</v>
      </c>
      <c r="R100" s="28">
        <f t="shared" si="159"/>
        <v>88865</v>
      </c>
      <c r="S100" s="28">
        <f t="shared" si="159"/>
        <v>94295</v>
      </c>
      <c r="T100" s="28">
        <f t="shared" si="159"/>
        <v>100260</v>
      </c>
      <c r="U100" s="28">
        <f t="shared" si="159"/>
        <v>104448</v>
      </c>
      <c r="V100" s="28">
        <f t="shared" si="159"/>
        <v>107545</v>
      </c>
      <c r="W100" s="28">
        <f t="shared" ref="W100:Y100" si="160">W101+W107</f>
        <v>111775</v>
      </c>
      <c r="X100" s="28">
        <f t="shared" si="160"/>
        <v>115897</v>
      </c>
      <c r="Y100" s="28">
        <f t="shared" si="160"/>
        <v>121449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25174</v>
      </c>
      <c r="C101" s="137">
        <f t="shared" si="161"/>
        <v>26266</v>
      </c>
      <c r="D101" s="137">
        <f t="shared" ref="D101:V101" si="162">SUM(D102:D106)</f>
        <v>28080</v>
      </c>
      <c r="E101" s="137">
        <f t="shared" si="162"/>
        <v>30025</v>
      </c>
      <c r="F101" s="137">
        <f t="shared" si="162"/>
        <v>32489</v>
      </c>
      <c r="G101" s="137">
        <f t="shared" si="162"/>
        <v>35248</v>
      </c>
      <c r="H101" s="137">
        <f t="shared" si="162"/>
        <v>37980</v>
      </c>
      <c r="I101" s="137">
        <f t="shared" si="162"/>
        <v>43189</v>
      </c>
      <c r="J101" s="137">
        <f t="shared" si="162"/>
        <v>48389</v>
      </c>
      <c r="K101" s="137">
        <f t="shared" si="162"/>
        <v>50301</v>
      </c>
      <c r="L101" s="137">
        <f t="shared" si="162"/>
        <v>51759</v>
      </c>
      <c r="M101" s="137">
        <f t="shared" si="162"/>
        <v>53404</v>
      </c>
      <c r="N101" s="137">
        <f t="shared" si="162"/>
        <v>54138</v>
      </c>
      <c r="O101" s="137">
        <f t="shared" si="162"/>
        <v>54937</v>
      </c>
      <c r="P101" s="137">
        <f t="shared" si="162"/>
        <v>56905</v>
      </c>
      <c r="Q101" s="137">
        <f t="shared" si="162"/>
        <v>60016</v>
      </c>
      <c r="R101" s="137">
        <f t="shared" si="162"/>
        <v>63973</v>
      </c>
      <c r="S101" s="137">
        <f t="shared" si="162"/>
        <v>68922</v>
      </c>
      <c r="T101" s="137">
        <f t="shared" si="162"/>
        <v>74005</v>
      </c>
      <c r="U101" s="137">
        <f t="shared" si="162"/>
        <v>78779</v>
      </c>
      <c r="V101" s="137">
        <f t="shared" si="162"/>
        <v>81749</v>
      </c>
      <c r="W101" s="137">
        <f t="shared" ref="W101:Y101" si="163">SUM(W102:W106)</f>
        <v>86253</v>
      </c>
      <c r="X101" s="137">
        <f t="shared" si="163"/>
        <v>89796</v>
      </c>
      <c r="Y101" s="137">
        <f t="shared" si="163"/>
        <v>93867</v>
      </c>
      <c r="DA101" s="174"/>
    </row>
    <row r="102" spans="1:105" ht="11.45" hidden="1" customHeight="1" x14ac:dyDescent="0.25">
      <c r="A102" s="111" t="s">
        <v>110</v>
      </c>
      <c r="B102" s="84">
        <v>6994</v>
      </c>
      <c r="C102" s="84">
        <v>7159</v>
      </c>
      <c r="D102" s="84">
        <v>7321</v>
      </c>
      <c r="E102" s="84">
        <v>7236</v>
      </c>
      <c r="F102" s="84">
        <v>7077</v>
      </c>
      <c r="G102" s="84">
        <v>6848</v>
      </c>
      <c r="H102" s="84">
        <v>6281</v>
      </c>
      <c r="I102" s="84">
        <v>6447</v>
      </c>
      <c r="J102" s="84">
        <v>6422</v>
      </c>
      <c r="K102" s="84">
        <v>6021</v>
      </c>
      <c r="L102" s="84">
        <v>5735</v>
      </c>
      <c r="M102" s="84">
        <v>5418</v>
      </c>
      <c r="N102" s="84">
        <v>5097</v>
      </c>
      <c r="O102" s="84">
        <v>4715</v>
      </c>
      <c r="P102" s="84">
        <v>4112</v>
      </c>
      <c r="Q102" s="84">
        <v>3884</v>
      </c>
      <c r="R102" s="84">
        <v>3709</v>
      </c>
      <c r="S102" s="84">
        <v>3658</v>
      </c>
      <c r="T102" s="84">
        <v>3734</v>
      </c>
      <c r="U102" s="84">
        <v>3754</v>
      </c>
      <c r="V102" s="84">
        <v>3681</v>
      </c>
      <c r="W102" s="84">
        <v>3638</v>
      </c>
      <c r="X102" s="84">
        <v>3580</v>
      </c>
      <c r="Y102" s="84">
        <v>3621</v>
      </c>
      <c r="DA102" s="171"/>
    </row>
    <row r="103" spans="1:105" ht="11.45" hidden="1" customHeight="1" x14ac:dyDescent="0.25">
      <c r="A103" s="111" t="s">
        <v>111</v>
      </c>
      <c r="B103" s="84">
        <v>18180</v>
      </c>
      <c r="C103" s="84">
        <v>19107</v>
      </c>
      <c r="D103" s="84">
        <v>20759</v>
      </c>
      <c r="E103" s="84">
        <v>22789</v>
      </c>
      <c r="F103" s="84">
        <v>25412</v>
      </c>
      <c r="G103" s="84">
        <v>28400</v>
      </c>
      <c r="H103" s="84">
        <v>31360</v>
      </c>
      <c r="I103" s="84">
        <v>36373</v>
      </c>
      <c r="J103" s="84">
        <v>41427</v>
      </c>
      <c r="K103" s="84">
        <v>44067</v>
      </c>
      <c r="L103" s="84">
        <v>45948</v>
      </c>
      <c r="M103" s="84">
        <v>47921</v>
      </c>
      <c r="N103" s="84">
        <v>48981</v>
      </c>
      <c r="O103" s="84">
        <v>50162</v>
      </c>
      <c r="P103" s="84">
        <v>52420</v>
      </c>
      <c r="Q103" s="84">
        <v>55649</v>
      </c>
      <c r="R103" s="84">
        <v>59755</v>
      </c>
      <c r="S103" s="84">
        <v>64658</v>
      </c>
      <c r="T103" s="84">
        <v>69652</v>
      </c>
      <c r="U103" s="84">
        <v>74280</v>
      </c>
      <c r="V103" s="84">
        <v>77285</v>
      </c>
      <c r="W103" s="84">
        <v>81785</v>
      </c>
      <c r="X103" s="84">
        <v>85376</v>
      </c>
      <c r="Y103" s="84">
        <v>89312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339</v>
      </c>
      <c r="I104" s="84">
        <v>369</v>
      </c>
      <c r="J104" s="84">
        <v>540</v>
      </c>
      <c r="K104" s="84">
        <v>213</v>
      </c>
      <c r="L104" s="84">
        <v>76</v>
      </c>
      <c r="M104" s="84">
        <v>65</v>
      </c>
      <c r="N104" s="84">
        <v>60</v>
      </c>
      <c r="O104" s="84">
        <v>60</v>
      </c>
      <c r="P104" s="84">
        <v>331</v>
      </c>
      <c r="Q104" s="84">
        <v>373</v>
      </c>
      <c r="R104" s="84">
        <v>373</v>
      </c>
      <c r="S104" s="84">
        <v>410</v>
      </c>
      <c r="T104" s="84">
        <v>410</v>
      </c>
      <c r="U104" s="84">
        <v>480</v>
      </c>
      <c r="V104" s="84">
        <v>500</v>
      </c>
      <c r="W104" s="84">
        <v>500</v>
      </c>
      <c r="X104" s="84">
        <v>500</v>
      </c>
      <c r="Y104" s="84">
        <v>495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27</v>
      </c>
      <c r="Q105" s="84">
        <v>73</v>
      </c>
      <c r="R105" s="84">
        <v>73</v>
      </c>
      <c r="S105" s="84">
        <v>74</v>
      </c>
      <c r="T105" s="84">
        <v>74</v>
      </c>
      <c r="U105" s="84">
        <v>100</v>
      </c>
      <c r="V105" s="84">
        <v>100</v>
      </c>
      <c r="W105" s="84">
        <v>100</v>
      </c>
      <c r="X105" s="84">
        <v>100</v>
      </c>
      <c r="Y105" s="84">
        <v>98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0</v>
      </c>
      <c r="P106" s="84">
        <v>15</v>
      </c>
      <c r="Q106" s="84">
        <v>37</v>
      </c>
      <c r="R106" s="84">
        <v>63</v>
      </c>
      <c r="S106" s="84">
        <v>122</v>
      </c>
      <c r="T106" s="84">
        <v>135</v>
      </c>
      <c r="U106" s="84">
        <v>165</v>
      </c>
      <c r="V106" s="84">
        <v>183</v>
      </c>
      <c r="W106" s="84">
        <v>230</v>
      </c>
      <c r="X106" s="84">
        <v>240</v>
      </c>
      <c r="Y106" s="84">
        <v>341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29218</v>
      </c>
      <c r="C107" s="110">
        <f t="shared" si="164"/>
        <v>28377</v>
      </c>
      <c r="D107" s="110">
        <f t="shared" ref="D107:V107" si="165">SUM(D108:D109)</f>
        <v>28536</v>
      </c>
      <c r="E107" s="110">
        <f t="shared" si="165"/>
        <v>27990</v>
      </c>
      <c r="F107" s="110">
        <f t="shared" si="165"/>
        <v>28264</v>
      </c>
      <c r="G107" s="110">
        <f t="shared" si="165"/>
        <v>27338</v>
      </c>
      <c r="H107" s="110">
        <f t="shared" si="165"/>
        <v>28383</v>
      </c>
      <c r="I107" s="110">
        <f t="shared" si="165"/>
        <v>29465</v>
      </c>
      <c r="J107" s="110">
        <f t="shared" si="165"/>
        <v>28678</v>
      </c>
      <c r="K107" s="110">
        <f t="shared" si="165"/>
        <v>26752</v>
      </c>
      <c r="L107" s="110">
        <f t="shared" si="165"/>
        <v>24290</v>
      </c>
      <c r="M107" s="110">
        <f t="shared" si="165"/>
        <v>23280</v>
      </c>
      <c r="N107" s="110">
        <f t="shared" si="165"/>
        <v>22940</v>
      </c>
      <c r="O107" s="110">
        <f t="shared" si="165"/>
        <v>22587</v>
      </c>
      <c r="P107" s="110">
        <f t="shared" si="165"/>
        <v>22701</v>
      </c>
      <c r="Q107" s="110">
        <f t="shared" si="165"/>
        <v>23058</v>
      </c>
      <c r="R107" s="110">
        <f t="shared" si="165"/>
        <v>24892</v>
      </c>
      <c r="S107" s="110">
        <f t="shared" si="165"/>
        <v>25373</v>
      </c>
      <c r="T107" s="110">
        <f t="shared" si="165"/>
        <v>26255</v>
      </c>
      <c r="U107" s="110">
        <f t="shared" si="165"/>
        <v>25669</v>
      </c>
      <c r="V107" s="110">
        <f t="shared" si="165"/>
        <v>25796</v>
      </c>
      <c r="W107" s="110">
        <f t="shared" ref="W107:Y107" si="166">SUM(W108:W109)</f>
        <v>25522</v>
      </c>
      <c r="X107" s="110">
        <f t="shared" si="166"/>
        <v>26101</v>
      </c>
      <c r="Y107" s="110">
        <f t="shared" si="166"/>
        <v>27582</v>
      </c>
      <c r="DA107" s="176"/>
    </row>
    <row r="108" spans="1:105" ht="11.45" hidden="1" customHeight="1" x14ac:dyDescent="0.25">
      <c r="A108" s="128" t="s">
        <v>27</v>
      </c>
      <c r="B108" s="102">
        <v>26273</v>
      </c>
      <c r="C108" s="102">
        <v>25219</v>
      </c>
      <c r="D108" s="102">
        <v>25214</v>
      </c>
      <c r="E108" s="102">
        <v>24594</v>
      </c>
      <c r="F108" s="102">
        <v>24249</v>
      </c>
      <c r="G108" s="102">
        <v>23181</v>
      </c>
      <c r="H108" s="102">
        <v>23570</v>
      </c>
      <c r="I108" s="102">
        <v>24561</v>
      </c>
      <c r="J108" s="102">
        <v>23775</v>
      </c>
      <c r="K108" s="102">
        <v>22437</v>
      </c>
      <c r="L108" s="102">
        <v>20113</v>
      </c>
      <c r="M108" s="102">
        <v>19022</v>
      </c>
      <c r="N108" s="102">
        <v>18549</v>
      </c>
      <c r="O108" s="102">
        <v>18220</v>
      </c>
      <c r="P108" s="102">
        <v>18327</v>
      </c>
      <c r="Q108" s="102">
        <v>18282</v>
      </c>
      <c r="R108" s="102">
        <v>19524</v>
      </c>
      <c r="S108" s="102">
        <v>19475</v>
      </c>
      <c r="T108" s="102">
        <v>20264</v>
      </c>
      <c r="U108" s="102">
        <v>19571</v>
      </c>
      <c r="V108" s="102">
        <v>20120</v>
      </c>
      <c r="W108" s="102">
        <v>19391</v>
      </c>
      <c r="X108" s="102">
        <v>19728</v>
      </c>
      <c r="Y108" s="102">
        <v>21116</v>
      </c>
      <c r="DA108" s="175"/>
    </row>
    <row r="109" spans="1:105" ht="11.45" hidden="1" customHeight="1" x14ac:dyDescent="0.25">
      <c r="A109" s="138" t="s">
        <v>116</v>
      </c>
      <c r="B109" s="86">
        <v>2945</v>
      </c>
      <c r="C109" s="86">
        <v>3158</v>
      </c>
      <c r="D109" s="86">
        <v>3322</v>
      </c>
      <c r="E109" s="86">
        <v>3396</v>
      </c>
      <c r="F109" s="86">
        <v>4015</v>
      </c>
      <c r="G109" s="86">
        <v>4157</v>
      </c>
      <c r="H109" s="86">
        <v>4813</v>
      </c>
      <c r="I109" s="86">
        <v>4904</v>
      </c>
      <c r="J109" s="86">
        <v>4903</v>
      </c>
      <c r="K109" s="86">
        <v>4315</v>
      </c>
      <c r="L109" s="86">
        <v>4177</v>
      </c>
      <c r="M109" s="86">
        <v>4258</v>
      </c>
      <c r="N109" s="86">
        <v>4391</v>
      </c>
      <c r="O109" s="86">
        <v>4367</v>
      </c>
      <c r="P109" s="86">
        <v>4374</v>
      </c>
      <c r="Q109" s="86">
        <v>4776</v>
      </c>
      <c r="R109" s="86">
        <v>5368</v>
      </c>
      <c r="S109" s="86">
        <v>5898</v>
      </c>
      <c r="T109" s="86">
        <v>5991</v>
      </c>
      <c r="U109" s="86">
        <v>6098</v>
      </c>
      <c r="V109" s="86">
        <v>5676</v>
      </c>
      <c r="W109" s="86">
        <v>6131</v>
      </c>
      <c r="X109" s="86">
        <v>6373</v>
      </c>
      <c r="Y109" s="86">
        <v>6466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61876</v>
      </c>
      <c r="C111" s="54">
        <f t="shared" si="167"/>
        <v>76309</v>
      </c>
      <c r="D111" s="54">
        <f t="shared" si="167"/>
        <v>90541</v>
      </c>
      <c r="E111" s="54">
        <f t="shared" si="167"/>
        <v>67973</v>
      </c>
      <c r="F111" s="54">
        <f t="shared" si="167"/>
        <v>73313</v>
      </c>
      <c r="G111" s="54">
        <f t="shared" si="167"/>
        <v>83473</v>
      </c>
      <c r="H111" s="54">
        <f t="shared" si="167"/>
        <v>84798</v>
      </c>
      <c r="I111" s="54">
        <f t="shared" si="167"/>
        <v>108696</v>
      </c>
      <c r="J111" s="54">
        <f t="shared" si="167"/>
        <v>110026</v>
      </c>
      <c r="K111" s="54">
        <f t="shared" si="167"/>
        <v>93254</v>
      </c>
      <c r="L111" s="54">
        <f t="shared" ref="L111" si="168">L112+L127</f>
        <v>86763</v>
      </c>
      <c r="M111" s="54">
        <f t="shared" ref="M111:V111" si="169">M112+M127</f>
        <v>81114</v>
      </c>
      <c r="N111" s="54">
        <f t="shared" si="169"/>
        <v>73840</v>
      </c>
      <c r="O111" s="54">
        <f t="shared" si="169"/>
        <v>73647</v>
      </c>
      <c r="P111" s="54">
        <f t="shared" si="169"/>
        <v>78876</v>
      </c>
      <c r="Q111" s="54">
        <f t="shared" si="169"/>
        <v>91120</v>
      </c>
      <c r="R111" s="54">
        <f t="shared" si="169"/>
        <v>97431</v>
      </c>
      <c r="S111" s="54">
        <f t="shared" si="169"/>
        <v>126066</v>
      </c>
      <c r="T111" s="54">
        <f t="shared" si="169"/>
        <v>123548</v>
      </c>
      <c r="U111" s="54">
        <f t="shared" si="169"/>
        <v>122374</v>
      </c>
      <c r="V111" s="54">
        <f t="shared" si="169"/>
        <v>95886</v>
      </c>
      <c r="W111" s="54">
        <f t="shared" ref="W111:Y111" si="170">W112+W127</f>
        <v>114350</v>
      </c>
      <c r="X111" s="54">
        <f t="shared" si="170"/>
        <v>106451</v>
      </c>
      <c r="Y111" s="54">
        <f t="shared" si="170"/>
        <v>127571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57043</v>
      </c>
      <c r="C112" s="28">
        <f t="shared" si="171"/>
        <v>71024</v>
      </c>
      <c r="D112" s="28">
        <f t="shared" si="171"/>
        <v>84935</v>
      </c>
      <c r="E112" s="28">
        <f t="shared" si="171"/>
        <v>62048</v>
      </c>
      <c r="F112" s="28">
        <f t="shared" si="171"/>
        <v>65963</v>
      </c>
      <c r="G112" s="28">
        <f t="shared" si="171"/>
        <v>76370</v>
      </c>
      <c r="H112" s="28">
        <f t="shared" si="171"/>
        <v>74651</v>
      </c>
      <c r="I112" s="28">
        <f t="shared" si="171"/>
        <v>97574</v>
      </c>
      <c r="J112" s="28">
        <f t="shared" si="171"/>
        <v>98787</v>
      </c>
      <c r="K112" s="28">
        <f t="shared" si="171"/>
        <v>87300</v>
      </c>
      <c r="L112" s="28">
        <f t="shared" ref="L112" si="172">L113+L114+L121</f>
        <v>80251</v>
      </c>
      <c r="M112" s="28">
        <f t="shared" ref="M112:V112" si="173">M113+M114+M121</f>
        <v>73258</v>
      </c>
      <c r="N112" s="28">
        <f t="shared" si="173"/>
        <v>66159</v>
      </c>
      <c r="O112" s="28">
        <f t="shared" si="173"/>
        <v>65346</v>
      </c>
      <c r="P112" s="28">
        <f t="shared" si="173"/>
        <v>69538</v>
      </c>
      <c r="Q112" s="28">
        <f t="shared" si="173"/>
        <v>80505</v>
      </c>
      <c r="R112" s="28">
        <f t="shared" si="173"/>
        <v>84535</v>
      </c>
      <c r="S112" s="28">
        <f t="shared" si="173"/>
        <v>111427</v>
      </c>
      <c r="T112" s="28">
        <f t="shared" si="173"/>
        <v>107999</v>
      </c>
      <c r="U112" s="28">
        <f t="shared" si="173"/>
        <v>106739</v>
      </c>
      <c r="V112" s="28">
        <f t="shared" si="173"/>
        <v>84737</v>
      </c>
      <c r="W112" s="28">
        <f t="shared" ref="W112:Y112" si="174">W113+W114+W121</f>
        <v>100327</v>
      </c>
      <c r="X112" s="28">
        <f t="shared" si="174"/>
        <v>94618</v>
      </c>
      <c r="Y112" s="28">
        <f t="shared" si="174"/>
        <v>114611</v>
      </c>
      <c r="DA112" s="173" t="s">
        <v>527</v>
      </c>
    </row>
    <row r="113" spans="1:105" ht="11.45" customHeight="1" x14ac:dyDescent="0.25">
      <c r="A113" s="136" t="s">
        <v>173</v>
      </c>
      <c r="B113" s="137">
        <v>1636</v>
      </c>
      <c r="C113" s="137">
        <v>1838</v>
      </c>
      <c r="D113" s="137">
        <v>2105</v>
      </c>
      <c r="E113" s="137">
        <v>2527</v>
      </c>
      <c r="F113" s="137">
        <v>3349</v>
      </c>
      <c r="G113" s="137">
        <v>3990</v>
      </c>
      <c r="H113" s="137">
        <v>6985</v>
      </c>
      <c r="I113" s="137">
        <v>25400</v>
      </c>
      <c r="J113" s="137">
        <v>15395</v>
      </c>
      <c r="K113" s="137">
        <v>10190</v>
      </c>
      <c r="L113" s="137">
        <v>5195</v>
      </c>
      <c r="M113" s="137">
        <v>3378</v>
      </c>
      <c r="N113" s="137">
        <v>3059</v>
      </c>
      <c r="O113" s="137">
        <v>2584</v>
      </c>
      <c r="P113" s="137">
        <v>5593</v>
      </c>
      <c r="Q113" s="137">
        <v>7928</v>
      </c>
      <c r="R113" s="137">
        <v>7439</v>
      </c>
      <c r="S113" s="137">
        <v>24707</v>
      </c>
      <c r="T113" s="137">
        <v>10643</v>
      </c>
      <c r="U113" s="137">
        <v>9021</v>
      </c>
      <c r="V113" s="137">
        <v>8676</v>
      </c>
      <c r="W113" s="137">
        <v>9512</v>
      </c>
      <c r="X113" s="137">
        <v>13494</v>
      </c>
      <c r="Y113" s="137">
        <v>14504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54984</v>
      </c>
      <c r="C114" s="110">
        <f t="shared" si="175"/>
        <v>69055</v>
      </c>
      <c r="D114" s="110">
        <f t="shared" si="175"/>
        <v>82738</v>
      </c>
      <c r="E114" s="110">
        <f t="shared" si="175"/>
        <v>59390</v>
      </c>
      <c r="F114" s="110">
        <f t="shared" si="175"/>
        <v>62471</v>
      </c>
      <c r="G114" s="110">
        <f t="shared" si="175"/>
        <v>72243</v>
      </c>
      <c r="H114" s="110">
        <f t="shared" si="175"/>
        <v>67513</v>
      </c>
      <c r="I114" s="110">
        <f t="shared" si="175"/>
        <v>72026</v>
      </c>
      <c r="J114" s="110">
        <f t="shared" si="175"/>
        <v>83195</v>
      </c>
      <c r="K114" s="110">
        <f t="shared" si="175"/>
        <v>76976</v>
      </c>
      <c r="L114" s="110">
        <f t="shared" ref="L114" si="176">SUM(L115:L120)</f>
        <v>74913</v>
      </c>
      <c r="M114" s="110">
        <f t="shared" ref="M114:V114" si="177">SUM(M115:M120)</f>
        <v>69755</v>
      </c>
      <c r="N114" s="110">
        <f t="shared" si="177"/>
        <v>62980</v>
      </c>
      <c r="O114" s="110">
        <f t="shared" si="177"/>
        <v>62562</v>
      </c>
      <c r="P114" s="110">
        <f t="shared" si="177"/>
        <v>63720</v>
      </c>
      <c r="Q114" s="110">
        <f t="shared" si="177"/>
        <v>72376</v>
      </c>
      <c r="R114" s="110">
        <f t="shared" si="177"/>
        <v>76869</v>
      </c>
      <c r="S114" s="110">
        <f t="shared" si="177"/>
        <v>86529</v>
      </c>
      <c r="T114" s="110">
        <f t="shared" si="177"/>
        <v>97175</v>
      </c>
      <c r="U114" s="110">
        <f t="shared" si="177"/>
        <v>97523</v>
      </c>
      <c r="V114" s="110">
        <f t="shared" si="177"/>
        <v>75905</v>
      </c>
      <c r="W114" s="110">
        <f t="shared" ref="W114:Y114" si="178">SUM(W115:W120)</f>
        <v>90514</v>
      </c>
      <c r="X114" s="110">
        <f t="shared" si="178"/>
        <v>80967</v>
      </c>
      <c r="Y114" s="110">
        <f t="shared" si="178"/>
        <v>99907</v>
      </c>
      <c r="DA114" s="176" t="s">
        <v>529</v>
      </c>
    </row>
    <row r="115" spans="1:105" ht="11.45" customHeight="1" x14ac:dyDescent="0.25">
      <c r="A115" s="111" t="s">
        <v>110</v>
      </c>
      <c r="B115" s="84">
        <v>49755</v>
      </c>
      <c r="C115" s="84">
        <v>53704</v>
      </c>
      <c r="D115" s="84">
        <v>34955</v>
      </c>
      <c r="E115" s="84">
        <v>35071</v>
      </c>
      <c r="F115" s="84">
        <v>33965</v>
      </c>
      <c r="G115" s="84">
        <v>34016</v>
      </c>
      <c r="H115" s="84">
        <v>35078</v>
      </c>
      <c r="I115" s="84">
        <v>38584</v>
      </c>
      <c r="J115" s="84">
        <v>43543</v>
      </c>
      <c r="K115" s="84">
        <v>37442</v>
      </c>
      <c r="L115" s="84">
        <v>38173</v>
      </c>
      <c r="M115" s="84">
        <v>34075</v>
      </c>
      <c r="N115" s="84">
        <v>24853</v>
      </c>
      <c r="O115" s="84">
        <v>23944</v>
      </c>
      <c r="P115" s="84">
        <v>23916</v>
      </c>
      <c r="Q115" s="84">
        <v>29038</v>
      </c>
      <c r="R115" s="84">
        <v>31429</v>
      </c>
      <c r="S115" s="84">
        <v>38229</v>
      </c>
      <c r="T115" s="84">
        <v>48240</v>
      </c>
      <c r="U115" s="84">
        <v>50555</v>
      </c>
      <c r="V115" s="84">
        <v>36813</v>
      </c>
      <c r="W115" s="84">
        <v>43429</v>
      </c>
      <c r="X115" s="84">
        <v>40628</v>
      </c>
      <c r="Y115" s="84">
        <v>57912</v>
      </c>
      <c r="DA115" s="171" t="s">
        <v>530</v>
      </c>
    </row>
    <row r="116" spans="1:105" ht="11.45" customHeight="1" x14ac:dyDescent="0.25">
      <c r="A116" s="111" t="s">
        <v>111</v>
      </c>
      <c r="B116" s="84">
        <v>5229</v>
      </c>
      <c r="C116" s="84">
        <v>15351</v>
      </c>
      <c r="D116" s="84">
        <v>47783</v>
      </c>
      <c r="E116" s="84">
        <v>24319</v>
      </c>
      <c r="F116" s="84">
        <v>28506</v>
      </c>
      <c r="G116" s="84">
        <v>38227</v>
      </c>
      <c r="H116" s="84">
        <v>31935</v>
      </c>
      <c r="I116" s="84">
        <v>32767</v>
      </c>
      <c r="J116" s="84">
        <v>39652</v>
      </c>
      <c r="K116" s="84">
        <v>37626</v>
      </c>
      <c r="L116" s="84">
        <v>36034</v>
      </c>
      <c r="M116" s="84">
        <v>35116</v>
      </c>
      <c r="N116" s="84">
        <v>36796</v>
      </c>
      <c r="O116" s="84">
        <v>36186</v>
      </c>
      <c r="P116" s="84">
        <v>39289</v>
      </c>
      <c r="Q116" s="84">
        <v>42867</v>
      </c>
      <c r="R116" s="84">
        <v>44014</v>
      </c>
      <c r="S116" s="84">
        <v>47104</v>
      </c>
      <c r="T116" s="84">
        <v>47823</v>
      </c>
      <c r="U116" s="84">
        <v>45614</v>
      </c>
      <c r="V116" s="84">
        <v>36653</v>
      </c>
      <c r="W116" s="84">
        <v>44258</v>
      </c>
      <c r="X116" s="84">
        <v>36644</v>
      </c>
      <c r="Y116" s="84">
        <v>36079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500</v>
      </c>
      <c r="I117" s="84">
        <v>675</v>
      </c>
      <c r="J117" s="84">
        <v>0</v>
      </c>
      <c r="K117" s="84">
        <v>1908</v>
      </c>
      <c r="L117" s="84">
        <v>706</v>
      </c>
      <c r="M117" s="84">
        <v>552</v>
      </c>
      <c r="N117" s="84">
        <v>1307</v>
      </c>
      <c r="O117" s="84">
        <v>2393</v>
      </c>
      <c r="P117" s="84">
        <v>360</v>
      </c>
      <c r="Q117" s="84">
        <v>272</v>
      </c>
      <c r="R117" s="84">
        <v>1137</v>
      </c>
      <c r="S117" s="84">
        <v>591</v>
      </c>
      <c r="T117" s="84">
        <v>319</v>
      </c>
      <c r="U117" s="84">
        <v>338</v>
      </c>
      <c r="V117" s="84">
        <v>396</v>
      </c>
      <c r="W117" s="84">
        <v>557</v>
      </c>
      <c r="X117" s="84">
        <v>689</v>
      </c>
      <c r="Y117" s="84">
        <v>504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5</v>
      </c>
      <c r="O118" s="84">
        <v>21</v>
      </c>
      <c r="P118" s="84">
        <v>94</v>
      </c>
      <c r="Q118" s="84">
        <v>41</v>
      </c>
      <c r="R118" s="84">
        <v>41</v>
      </c>
      <c r="S118" s="84">
        <v>65</v>
      </c>
      <c r="T118" s="84">
        <v>20</v>
      </c>
      <c r="U118" s="84">
        <v>28</v>
      </c>
      <c r="V118" s="84">
        <v>50</v>
      </c>
      <c r="W118" s="84">
        <v>16</v>
      </c>
      <c r="X118" s="84">
        <v>6</v>
      </c>
      <c r="Y118" s="84">
        <v>0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13</v>
      </c>
      <c r="P119" s="84">
        <v>8</v>
      </c>
      <c r="Q119" s="84">
        <v>35</v>
      </c>
      <c r="R119" s="84">
        <v>85</v>
      </c>
      <c r="S119" s="84">
        <v>189</v>
      </c>
      <c r="T119" s="84">
        <v>252</v>
      </c>
      <c r="U119" s="84">
        <v>166</v>
      </c>
      <c r="V119" s="84">
        <v>245</v>
      </c>
      <c r="W119" s="84">
        <v>512</v>
      </c>
      <c r="X119" s="84">
        <v>656</v>
      </c>
      <c r="Y119" s="84">
        <v>1074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12</v>
      </c>
      <c r="N120" s="84">
        <v>19</v>
      </c>
      <c r="O120" s="84">
        <v>5</v>
      </c>
      <c r="P120" s="84">
        <v>53</v>
      </c>
      <c r="Q120" s="84">
        <v>123</v>
      </c>
      <c r="R120" s="84">
        <v>163</v>
      </c>
      <c r="S120" s="84">
        <v>351</v>
      </c>
      <c r="T120" s="84">
        <v>521</v>
      </c>
      <c r="U120" s="84">
        <v>822</v>
      </c>
      <c r="V120" s="84">
        <v>1748</v>
      </c>
      <c r="W120" s="84">
        <v>1742</v>
      </c>
      <c r="X120" s="84">
        <v>2344</v>
      </c>
      <c r="Y120" s="84">
        <v>4338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423</v>
      </c>
      <c r="C121" s="110">
        <f t="shared" si="179"/>
        <v>131</v>
      </c>
      <c r="D121" s="110">
        <f t="shared" si="179"/>
        <v>92</v>
      </c>
      <c r="E121" s="110">
        <f t="shared" si="179"/>
        <v>131</v>
      </c>
      <c r="F121" s="110">
        <f t="shared" si="179"/>
        <v>143</v>
      </c>
      <c r="G121" s="110">
        <f t="shared" si="179"/>
        <v>137</v>
      </c>
      <c r="H121" s="110">
        <f t="shared" si="179"/>
        <v>153</v>
      </c>
      <c r="I121" s="110">
        <f t="shared" si="179"/>
        <v>148</v>
      </c>
      <c r="J121" s="110">
        <f t="shared" si="179"/>
        <v>197</v>
      </c>
      <c r="K121" s="110">
        <f t="shared" si="179"/>
        <v>134</v>
      </c>
      <c r="L121" s="110">
        <f t="shared" ref="L121" si="180">SUM(L122:L126)</f>
        <v>143</v>
      </c>
      <c r="M121" s="110">
        <f t="shared" ref="M121:V121" si="181">SUM(M122:M126)</f>
        <v>125</v>
      </c>
      <c r="N121" s="110">
        <f t="shared" si="181"/>
        <v>120</v>
      </c>
      <c r="O121" s="110">
        <f t="shared" si="181"/>
        <v>200</v>
      </c>
      <c r="P121" s="110">
        <f t="shared" si="181"/>
        <v>225</v>
      </c>
      <c r="Q121" s="110">
        <f t="shared" si="181"/>
        <v>201</v>
      </c>
      <c r="R121" s="110">
        <f t="shared" si="181"/>
        <v>227</v>
      </c>
      <c r="S121" s="110">
        <f t="shared" si="181"/>
        <v>191</v>
      </c>
      <c r="T121" s="110">
        <f t="shared" si="181"/>
        <v>181</v>
      </c>
      <c r="U121" s="110">
        <f t="shared" si="181"/>
        <v>195</v>
      </c>
      <c r="V121" s="110">
        <f t="shared" si="181"/>
        <v>156</v>
      </c>
      <c r="W121" s="110">
        <f t="shared" ref="W121:Y121" si="182">SUM(W122:W126)</f>
        <v>301</v>
      </c>
      <c r="X121" s="110">
        <f t="shared" si="182"/>
        <v>157</v>
      </c>
      <c r="Y121" s="110">
        <f t="shared" si="182"/>
        <v>200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1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1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25</v>
      </c>
      <c r="DA122" s="175" t="s">
        <v>537</v>
      </c>
    </row>
    <row r="123" spans="1:105" ht="11.45" customHeight="1" x14ac:dyDescent="0.25">
      <c r="A123" s="111" t="s">
        <v>111</v>
      </c>
      <c r="B123" s="102">
        <v>423</v>
      </c>
      <c r="C123" s="102">
        <v>130</v>
      </c>
      <c r="D123" s="102">
        <v>92</v>
      </c>
      <c r="E123" s="102">
        <v>131</v>
      </c>
      <c r="F123" s="102">
        <v>143</v>
      </c>
      <c r="G123" s="102">
        <v>137</v>
      </c>
      <c r="H123" s="102">
        <v>153</v>
      </c>
      <c r="I123" s="102">
        <v>148</v>
      </c>
      <c r="J123" s="102">
        <v>197</v>
      </c>
      <c r="K123" s="102">
        <v>134</v>
      </c>
      <c r="L123" s="102">
        <v>143</v>
      </c>
      <c r="M123" s="102">
        <v>125</v>
      </c>
      <c r="N123" s="102">
        <v>100</v>
      </c>
      <c r="O123" s="102">
        <v>179</v>
      </c>
      <c r="P123" s="102">
        <v>153</v>
      </c>
      <c r="Q123" s="102">
        <v>193</v>
      </c>
      <c r="R123" s="102">
        <v>153</v>
      </c>
      <c r="S123" s="102">
        <v>191</v>
      </c>
      <c r="T123" s="102">
        <v>163</v>
      </c>
      <c r="U123" s="102">
        <v>163</v>
      </c>
      <c r="V123" s="102">
        <v>153</v>
      </c>
      <c r="W123" s="102">
        <v>300</v>
      </c>
      <c r="X123" s="102">
        <v>153</v>
      </c>
      <c r="Y123" s="102">
        <v>153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20</v>
      </c>
      <c r="O125" s="102">
        <v>20</v>
      </c>
      <c r="P125" s="102">
        <v>70</v>
      </c>
      <c r="Q125" s="102">
        <v>8</v>
      </c>
      <c r="R125" s="102">
        <v>72</v>
      </c>
      <c r="S125" s="102">
        <v>0</v>
      </c>
      <c r="T125" s="102">
        <v>16</v>
      </c>
      <c r="U125" s="102">
        <v>27</v>
      </c>
      <c r="V125" s="102">
        <v>0</v>
      </c>
      <c r="W125" s="102">
        <v>1</v>
      </c>
      <c r="X125" s="102">
        <v>0</v>
      </c>
      <c r="Y125" s="102">
        <v>4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2</v>
      </c>
      <c r="Q126" s="102">
        <v>0</v>
      </c>
      <c r="R126" s="102">
        <v>2</v>
      </c>
      <c r="S126" s="102">
        <v>0</v>
      </c>
      <c r="T126" s="102">
        <v>2</v>
      </c>
      <c r="U126" s="102">
        <v>5</v>
      </c>
      <c r="V126" s="102">
        <v>3</v>
      </c>
      <c r="W126" s="102">
        <v>0</v>
      </c>
      <c r="X126" s="102">
        <v>4</v>
      </c>
      <c r="Y126" s="102">
        <v>18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4833</v>
      </c>
      <c r="C127" s="28">
        <f t="shared" si="183"/>
        <v>5285</v>
      </c>
      <c r="D127" s="28">
        <f t="shared" si="183"/>
        <v>5606</v>
      </c>
      <c r="E127" s="28">
        <f t="shared" si="183"/>
        <v>5925</v>
      </c>
      <c r="F127" s="28">
        <f t="shared" si="183"/>
        <v>7350</v>
      </c>
      <c r="G127" s="28">
        <f t="shared" si="183"/>
        <v>7103</v>
      </c>
      <c r="H127" s="28">
        <f t="shared" si="183"/>
        <v>10147</v>
      </c>
      <c r="I127" s="28">
        <f t="shared" si="183"/>
        <v>11122</v>
      </c>
      <c r="J127" s="28">
        <f t="shared" si="183"/>
        <v>11239</v>
      </c>
      <c r="K127" s="28">
        <f t="shared" si="183"/>
        <v>5954</v>
      </c>
      <c r="L127" s="28">
        <f t="shared" ref="L127" si="184">L128+L134</f>
        <v>6512</v>
      </c>
      <c r="M127" s="28">
        <f t="shared" ref="M127:V127" si="185">M128+M134</f>
        <v>7856</v>
      </c>
      <c r="N127" s="28">
        <f t="shared" si="185"/>
        <v>7681</v>
      </c>
      <c r="O127" s="28">
        <f t="shared" si="185"/>
        <v>8301</v>
      </c>
      <c r="P127" s="28">
        <f t="shared" si="185"/>
        <v>9338</v>
      </c>
      <c r="Q127" s="28">
        <f t="shared" si="185"/>
        <v>10615</v>
      </c>
      <c r="R127" s="28">
        <f t="shared" si="185"/>
        <v>12896</v>
      </c>
      <c r="S127" s="28">
        <f t="shared" si="185"/>
        <v>14639</v>
      </c>
      <c r="T127" s="28">
        <f t="shared" si="185"/>
        <v>15549</v>
      </c>
      <c r="U127" s="28">
        <f t="shared" si="185"/>
        <v>15635</v>
      </c>
      <c r="V127" s="28">
        <f t="shared" si="185"/>
        <v>11149</v>
      </c>
      <c r="W127" s="28">
        <f t="shared" ref="W127:Y127" si="186">W128+W134</f>
        <v>14023</v>
      </c>
      <c r="X127" s="28">
        <f t="shared" si="186"/>
        <v>11833</v>
      </c>
      <c r="Y127" s="28">
        <f t="shared" si="186"/>
        <v>12960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2153</v>
      </c>
      <c r="C128" s="137">
        <f t="shared" si="187"/>
        <v>2546</v>
      </c>
      <c r="D128" s="137">
        <f t="shared" si="187"/>
        <v>3209</v>
      </c>
      <c r="E128" s="137">
        <f t="shared" si="187"/>
        <v>3665</v>
      </c>
      <c r="F128" s="137">
        <f t="shared" si="187"/>
        <v>4075</v>
      </c>
      <c r="G128" s="137">
        <f t="shared" si="187"/>
        <v>4415</v>
      </c>
      <c r="H128" s="137">
        <f t="shared" si="187"/>
        <v>6206</v>
      </c>
      <c r="I128" s="137">
        <f t="shared" si="187"/>
        <v>7291</v>
      </c>
      <c r="J128" s="137">
        <f t="shared" si="187"/>
        <v>8086</v>
      </c>
      <c r="K128" s="137">
        <f t="shared" si="187"/>
        <v>4777</v>
      </c>
      <c r="L128" s="137">
        <f t="shared" ref="L128" si="188">SUM(L129:L133)</f>
        <v>4887</v>
      </c>
      <c r="M128" s="137">
        <f t="shared" ref="M128:V128" si="189">SUM(M129:M133)</f>
        <v>5722</v>
      </c>
      <c r="N128" s="137">
        <f t="shared" si="189"/>
        <v>5587</v>
      </c>
      <c r="O128" s="137">
        <f t="shared" si="189"/>
        <v>6154</v>
      </c>
      <c r="P128" s="137">
        <f t="shared" si="189"/>
        <v>6847</v>
      </c>
      <c r="Q128" s="137">
        <f t="shared" si="189"/>
        <v>7517</v>
      </c>
      <c r="R128" s="137">
        <f t="shared" si="189"/>
        <v>9164</v>
      </c>
      <c r="S128" s="137">
        <f t="shared" si="189"/>
        <v>10970</v>
      </c>
      <c r="T128" s="137">
        <f t="shared" si="189"/>
        <v>11987</v>
      </c>
      <c r="U128" s="137">
        <f t="shared" si="189"/>
        <v>12503</v>
      </c>
      <c r="V128" s="137">
        <f t="shared" si="189"/>
        <v>9333</v>
      </c>
      <c r="W128" s="137">
        <f t="shared" ref="W128:Y128" si="190">SUM(W129:W133)</f>
        <v>11053</v>
      </c>
      <c r="X128" s="137">
        <f t="shared" si="190"/>
        <v>8928</v>
      </c>
      <c r="Y128" s="137">
        <f t="shared" si="190"/>
        <v>9997</v>
      </c>
      <c r="DA128" s="174" t="s">
        <v>543</v>
      </c>
    </row>
    <row r="129" spans="1:105" ht="11.45" customHeight="1" x14ac:dyDescent="0.25">
      <c r="A129" s="111" t="s">
        <v>110</v>
      </c>
      <c r="B129" s="84">
        <v>677</v>
      </c>
      <c r="C129" s="84">
        <v>768</v>
      </c>
      <c r="D129" s="84">
        <v>701</v>
      </c>
      <c r="E129" s="84">
        <v>589</v>
      </c>
      <c r="F129" s="84">
        <v>446</v>
      </c>
      <c r="G129" s="84">
        <v>345</v>
      </c>
      <c r="H129" s="84">
        <v>473</v>
      </c>
      <c r="I129" s="84">
        <v>592</v>
      </c>
      <c r="J129" s="84">
        <v>815</v>
      </c>
      <c r="K129" s="84">
        <v>302</v>
      </c>
      <c r="L129" s="84">
        <v>340</v>
      </c>
      <c r="M129" s="84">
        <v>343</v>
      </c>
      <c r="N129" s="84">
        <v>230</v>
      </c>
      <c r="O129" s="84">
        <v>116</v>
      </c>
      <c r="P129" s="84">
        <v>106</v>
      </c>
      <c r="Q129" s="84">
        <v>171</v>
      </c>
      <c r="R129" s="84">
        <v>240</v>
      </c>
      <c r="S129" s="84">
        <v>345</v>
      </c>
      <c r="T129" s="84">
        <v>802</v>
      </c>
      <c r="U129" s="84">
        <v>818</v>
      </c>
      <c r="V129" s="84">
        <v>189</v>
      </c>
      <c r="W129" s="84">
        <v>214</v>
      </c>
      <c r="X129" s="84">
        <v>238</v>
      </c>
      <c r="Y129" s="84">
        <v>264</v>
      </c>
      <c r="DA129" s="171" t="s">
        <v>544</v>
      </c>
    </row>
    <row r="130" spans="1:105" ht="11.45" customHeight="1" x14ac:dyDescent="0.25">
      <c r="A130" s="111" t="s">
        <v>111</v>
      </c>
      <c r="B130" s="84">
        <v>1476</v>
      </c>
      <c r="C130" s="84">
        <v>1778</v>
      </c>
      <c r="D130" s="84">
        <v>2508</v>
      </c>
      <c r="E130" s="84">
        <v>3076</v>
      </c>
      <c r="F130" s="84">
        <v>3629</v>
      </c>
      <c r="G130" s="84">
        <v>4070</v>
      </c>
      <c r="H130" s="84">
        <v>5394</v>
      </c>
      <c r="I130" s="84">
        <v>6669</v>
      </c>
      <c r="J130" s="84">
        <v>7100</v>
      </c>
      <c r="K130" s="84">
        <v>4470</v>
      </c>
      <c r="L130" s="84">
        <v>4546</v>
      </c>
      <c r="M130" s="84">
        <v>5379</v>
      </c>
      <c r="N130" s="84">
        <v>5353</v>
      </c>
      <c r="O130" s="84">
        <v>6025</v>
      </c>
      <c r="P130" s="84">
        <v>6428</v>
      </c>
      <c r="Q130" s="84">
        <v>7225</v>
      </c>
      <c r="R130" s="84">
        <v>8885</v>
      </c>
      <c r="S130" s="84">
        <v>10492</v>
      </c>
      <c r="T130" s="84">
        <v>11131</v>
      </c>
      <c r="U130" s="84">
        <v>11532</v>
      </c>
      <c r="V130" s="84">
        <v>9083</v>
      </c>
      <c r="W130" s="84">
        <v>10763</v>
      </c>
      <c r="X130" s="84">
        <v>8579</v>
      </c>
      <c r="Y130" s="84">
        <v>9618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339</v>
      </c>
      <c r="I131" s="84">
        <v>30</v>
      </c>
      <c r="J131" s="84">
        <v>171</v>
      </c>
      <c r="K131" s="84">
        <v>5</v>
      </c>
      <c r="L131" s="84">
        <v>1</v>
      </c>
      <c r="M131" s="84">
        <v>0</v>
      </c>
      <c r="N131" s="84">
        <v>4</v>
      </c>
      <c r="O131" s="84">
        <v>13</v>
      </c>
      <c r="P131" s="84">
        <v>271</v>
      </c>
      <c r="Q131" s="84">
        <v>53</v>
      </c>
      <c r="R131" s="84">
        <v>12</v>
      </c>
      <c r="S131" s="84">
        <v>50</v>
      </c>
      <c r="T131" s="84">
        <v>16</v>
      </c>
      <c r="U131" s="84">
        <v>85</v>
      </c>
      <c r="V131" s="84">
        <v>35</v>
      </c>
      <c r="W131" s="84">
        <v>15</v>
      </c>
      <c r="X131" s="84">
        <v>15</v>
      </c>
      <c r="Y131" s="84">
        <v>10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27</v>
      </c>
      <c r="Q132" s="84">
        <v>46</v>
      </c>
      <c r="R132" s="84">
        <v>1</v>
      </c>
      <c r="S132" s="84">
        <v>24</v>
      </c>
      <c r="T132" s="84">
        <v>6</v>
      </c>
      <c r="U132" s="84">
        <v>27</v>
      </c>
      <c r="V132" s="84">
        <v>5</v>
      </c>
      <c r="W132" s="84">
        <v>4</v>
      </c>
      <c r="X132" s="84">
        <v>5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0</v>
      </c>
      <c r="P133" s="84">
        <v>15</v>
      </c>
      <c r="Q133" s="84">
        <v>22</v>
      </c>
      <c r="R133" s="84">
        <v>26</v>
      </c>
      <c r="S133" s="84">
        <v>59</v>
      </c>
      <c r="T133" s="84">
        <v>32</v>
      </c>
      <c r="U133" s="84">
        <v>41</v>
      </c>
      <c r="V133" s="84">
        <v>21</v>
      </c>
      <c r="W133" s="84">
        <v>57</v>
      </c>
      <c r="X133" s="84">
        <v>91</v>
      </c>
      <c r="Y133" s="84">
        <v>105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2680</v>
      </c>
      <c r="C134" s="110">
        <f t="shared" si="191"/>
        <v>2739</v>
      </c>
      <c r="D134" s="110">
        <f t="shared" si="191"/>
        <v>2397</v>
      </c>
      <c r="E134" s="110">
        <f t="shared" si="191"/>
        <v>2260</v>
      </c>
      <c r="F134" s="110">
        <f t="shared" si="191"/>
        <v>3275</v>
      </c>
      <c r="G134" s="110">
        <f t="shared" si="191"/>
        <v>2688</v>
      </c>
      <c r="H134" s="110">
        <f t="shared" si="191"/>
        <v>3941</v>
      </c>
      <c r="I134" s="110">
        <f t="shared" si="191"/>
        <v>3831</v>
      </c>
      <c r="J134" s="110">
        <f t="shared" si="191"/>
        <v>3153</v>
      </c>
      <c r="K134" s="110">
        <f t="shared" si="191"/>
        <v>1177</v>
      </c>
      <c r="L134" s="110">
        <f t="shared" ref="L134" si="192">SUM(L135:L136)</f>
        <v>1625</v>
      </c>
      <c r="M134" s="110">
        <f t="shared" ref="M134:V134" si="193">SUM(M135:M136)</f>
        <v>2134</v>
      </c>
      <c r="N134" s="110">
        <f t="shared" si="193"/>
        <v>2094</v>
      </c>
      <c r="O134" s="110">
        <f t="shared" si="193"/>
        <v>2147</v>
      </c>
      <c r="P134" s="110">
        <f t="shared" si="193"/>
        <v>2491</v>
      </c>
      <c r="Q134" s="110">
        <f t="shared" si="193"/>
        <v>3098</v>
      </c>
      <c r="R134" s="110">
        <f t="shared" si="193"/>
        <v>3732</v>
      </c>
      <c r="S134" s="110">
        <f t="shared" si="193"/>
        <v>3669</v>
      </c>
      <c r="T134" s="110">
        <f t="shared" si="193"/>
        <v>3562</v>
      </c>
      <c r="U134" s="110">
        <f t="shared" si="193"/>
        <v>3132</v>
      </c>
      <c r="V134" s="110">
        <f t="shared" si="193"/>
        <v>1816</v>
      </c>
      <c r="W134" s="110">
        <f t="shared" ref="W134:Y134" si="194">SUM(W135:W136)</f>
        <v>2970</v>
      </c>
      <c r="X134" s="110">
        <f t="shared" si="194"/>
        <v>2905</v>
      </c>
      <c r="Y134" s="110">
        <f t="shared" si="194"/>
        <v>2963</v>
      </c>
      <c r="DA134" s="176" t="s">
        <v>549</v>
      </c>
    </row>
    <row r="135" spans="1:105" ht="11.45" customHeight="1" x14ac:dyDescent="0.25">
      <c r="A135" s="128" t="s">
        <v>27</v>
      </c>
      <c r="B135" s="102">
        <v>2385</v>
      </c>
      <c r="C135" s="102">
        <v>2398</v>
      </c>
      <c r="D135" s="102">
        <v>2076</v>
      </c>
      <c r="E135" s="102">
        <v>2001</v>
      </c>
      <c r="F135" s="102">
        <v>2445</v>
      </c>
      <c r="G135" s="102">
        <v>2303</v>
      </c>
      <c r="H135" s="102">
        <v>3013</v>
      </c>
      <c r="I135" s="102">
        <v>3436</v>
      </c>
      <c r="J135" s="102">
        <v>2824</v>
      </c>
      <c r="K135" s="102">
        <v>1177</v>
      </c>
      <c r="L135" s="102">
        <v>1422</v>
      </c>
      <c r="M135" s="102">
        <v>1705</v>
      </c>
      <c r="N135" s="102">
        <v>1604</v>
      </c>
      <c r="O135" s="102">
        <v>1819</v>
      </c>
      <c r="P135" s="102">
        <v>2134</v>
      </c>
      <c r="Q135" s="102">
        <v>2339</v>
      </c>
      <c r="R135" s="102">
        <v>2774</v>
      </c>
      <c r="S135" s="102">
        <v>2756</v>
      </c>
      <c r="T135" s="102">
        <v>3067</v>
      </c>
      <c r="U135" s="102">
        <v>2600</v>
      </c>
      <c r="V135" s="102">
        <v>1800</v>
      </c>
      <c r="W135" s="102">
        <v>2067</v>
      </c>
      <c r="X135" s="102">
        <v>2204</v>
      </c>
      <c r="Y135" s="102">
        <v>2405</v>
      </c>
      <c r="DA135" s="175" t="s">
        <v>550</v>
      </c>
    </row>
    <row r="136" spans="1:105" ht="11.45" customHeight="1" x14ac:dyDescent="0.25">
      <c r="A136" s="138" t="s">
        <v>116</v>
      </c>
      <c r="B136" s="86">
        <v>295</v>
      </c>
      <c r="C136" s="86">
        <v>341</v>
      </c>
      <c r="D136" s="86">
        <v>321</v>
      </c>
      <c r="E136" s="86">
        <v>259</v>
      </c>
      <c r="F136" s="86">
        <v>830</v>
      </c>
      <c r="G136" s="86">
        <v>385</v>
      </c>
      <c r="H136" s="86">
        <v>928</v>
      </c>
      <c r="I136" s="86">
        <v>395</v>
      </c>
      <c r="J136" s="86">
        <v>329</v>
      </c>
      <c r="K136" s="86">
        <v>0</v>
      </c>
      <c r="L136" s="86">
        <v>203</v>
      </c>
      <c r="M136" s="86">
        <v>429</v>
      </c>
      <c r="N136" s="86">
        <v>490</v>
      </c>
      <c r="O136" s="86">
        <v>328</v>
      </c>
      <c r="P136" s="86">
        <v>357</v>
      </c>
      <c r="Q136" s="86">
        <v>759</v>
      </c>
      <c r="R136" s="86">
        <v>958</v>
      </c>
      <c r="S136" s="86">
        <v>913</v>
      </c>
      <c r="T136" s="86">
        <v>495</v>
      </c>
      <c r="U136" s="86">
        <v>532</v>
      </c>
      <c r="V136" s="86">
        <v>16</v>
      </c>
      <c r="W136" s="86">
        <v>903</v>
      </c>
      <c r="X136" s="86">
        <v>701</v>
      </c>
      <c r="Y136" s="86">
        <v>558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2.2154956792661165</v>
      </c>
      <c r="C141" s="32">
        <f t="shared" si="195"/>
        <v>2.2002715059853677</v>
      </c>
      <c r="D141" s="32">
        <f t="shared" si="195"/>
        <v>2.1326955375052612</v>
      </c>
      <c r="E141" s="32">
        <f t="shared" si="195"/>
        <v>2.1101312937010115</v>
      </c>
      <c r="F141" s="32">
        <f t="shared" si="195"/>
        <v>2.0451600307432676</v>
      </c>
      <c r="G141" s="32">
        <f t="shared" si="195"/>
        <v>2.0038623603678083</v>
      </c>
      <c r="H141" s="32">
        <f t="shared" si="195"/>
        <v>1.9765050812712117</v>
      </c>
      <c r="I141" s="32">
        <f t="shared" si="195"/>
        <v>2.0042009722861422</v>
      </c>
      <c r="J141" s="32">
        <f t="shared" si="195"/>
        <v>2.0040564614204888</v>
      </c>
      <c r="K141" s="32">
        <f t="shared" si="195"/>
        <v>1.9755791712638699</v>
      </c>
      <c r="L141" s="32">
        <f t="shared" ref="L141" si="196">IF(L4=0,0,L4/L31)</f>
        <v>1.9533285795018238</v>
      </c>
      <c r="M141" s="32">
        <f t="shared" ref="M141:V141" si="197">IF(M4=0,0,M4/M31)</f>
        <v>1.934206292348789</v>
      </c>
      <c r="N141" s="32">
        <f t="shared" si="197"/>
        <v>1.911993674040025</v>
      </c>
      <c r="O141" s="32">
        <f t="shared" si="197"/>
        <v>1.8923827189164175</v>
      </c>
      <c r="P141" s="32">
        <f t="shared" si="197"/>
        <v>1.8783443573179839</v>
      </c>
      <c r="Q141" s="32">
        <f t="shared" si="197"/>
        <v>1.8707447125563679</v>
      </c>
      <c r="R141" s="32">
        <f t="shared" si="197"/>
        <v>1.8870201392997701</v>
      </c>
      <c r="S141" s="32">
        <f t="shared" si="197"/>
        <v>1.8449187216432756</v>
      </c>
      <c r="T141" s="32">
        <f t="shared" si="197"/>
        <v>1.8127185648271615</v>
      </c>
      <c r="U141" s="32">
        <f t="shared" si="197"/>
        <v>1.7822015078043398</v>
      </c>
      <c r="V141" s="32">
        <f t="shared" si="197"/>
        <v>1.4563651723834212</v>
      </c>
      <c r="W141" s="32">
        <f t="shared" ref="W141:Y141" si="198">IF(W4=0,0,W4/W31)</f>
        <v>1.4445231847391014</v>
      </c>
      <c r="X141" s="32">
        <f t="shared" si="198"/>
        <v>1.497422354763255</v>
      </c>
      <c r="Y141" s="32">
        <f t="shared" si="198"/>
        <v>1.5150459843803097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1.1549472685768514</v>
      </c>
      <c r="C142" s="141">
        <v>1.1549251164250132</v>
      </c>
      <c r="D142" s="141">
        <v>1.1547244330057382</v>
      </c>
      <c r="E142" s="141">
        <v>1.1552093820866829</v>
      </c>
      <c r="F142" s="141">
        <v>1.1553640856511078</v>
      </c>
      <c r="G142" s="141">
        <v>1.1543178727366701</v>
      </c>
      <c r="H142" s="141">
        <v>1.1546398637822313</v>
      </c>
      <c r="I142" s="141">
        <v>1.1564931393319673</v>
      </c>
      <c r="J142" s="141">
        <v>1.1571017737935947</v>
      </c>
      <c r="K142" s="141">
        <v>1.1576570562583652</v>
      </c>
      <c r="L142" s="141">
        <v>1.1556682113354206</v>
      </c>
      <c r="M142" s="141">
        <v>1.1546558434345866</v>
      </c>
      <c r="N142" s="141">
        <v>1.1475295413899493</v>
      </c>
      <c r="O142" s="141">
        <v>1.1469392088128181</v>
      </c>
      <c r="P142" s="141">
        <v>1.149429532231234</v>
      </c>
      <c r="Q142" s="141">
        <v>1.1514161199072457</v>
      </c>
      <c r="R142" s="141">
        <v>1.1519575594186346</v>
      </c>
      <c r="S142" s="141">
        <v>1.1514175523968078</v>
      </c>
      <c r="T142" s="141">
        <v>1.1509556991523275</v>
      </c>
      <c r="U142" s="141">
        <v>1.1517147071820837</v>
      </c>
      <c r="V142" s="141">
        <v>1.1504779135756014</v>
      </c>
      <c r="W142" s="141">
        <v>1.1509660462004463</v>
      </c>
      <c r="X142" s="141">
        <v>1.1510538486250259</v>
      </c>
      <c r="Y142" s="141">
        <v>1.1525165205624393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1.92055383525554</v>
      </c>
      <c r="C143" s="130">
        <f t="shared" si="199"/>
        <v>1.9202372830964989</v>
      </c>
      <c r="D143" s="130">
        <f t="shared" si="199"/>
        <v>1.869172840372088</v>
      </c>
      <c r="E143" s="130">
        <f t="shared" si="199"/>
        <v>1.842051478548407</v>
      </c>
      <c r="F143" s="130">
        <f t="shared" si="199"/>
        <v>1.8093341357536601</v>
      </c>
      <c r="G143" s="130">
        <f t="shared" si="199"/>
        <v>1.7876245382364726</v>
      </c>
      <c r="H143" s="130">
        <f t="shared" si="199"/>
        <v>1.7630704800473473</v>
      </c>
      <c r="I143" s="130">
        <f t="shared" si="199"/>
        <v>1.7934531827704805</v>
      </c>
      <c r="J143" s="130">
        <f t="shared" si="199"/>
        <v>1.8039280891996452</v>
      </c>
      <c r="K143" s="130">
        <f t="shared" si="199"/>
        <v>1.7813753807096704</v>
      </c>
      <c r="L143" s="130">
        <f t="shared" ref="L143" si="200">IF(L6=0,0,L6/L33)</f>
        <v>1.7631762276873881</v>
      </c>
      <c r="M143" s="130">
        <f t="shared" ref="M143:V143" si="201">IF(M6=0,0,M6/M33)</f>
        <v>1.7428648658399946</v>
      </c>
      <c r="N143" s="130">
        <f t="shared" si="201"/>
        <v>1.7205719735571678</v>
      </c>
      <c r="O143" s="130">
        <f t="shared" si="201"/>
        <v>1.6956735625398416</v>
      </c>
      <c r="P143" s="130">
        <f t="shared" si="201"/>
        <v>1.6792258570608494</v>
      </c>
      <c r="Q143" s="130">
        <f t="shared" si="201"/>
        <v>1.6684505125005009</v>
      </c>
      <c r="R143" s="130">
        <f t="shared" si="201"/>
        <v>1.6828325704732083</v>
      </c>
      <c r="S143" s="130">
        <f t="shared" si="201"/>
        <v>1.6469657570637128</v>
      </c>
      <c r="T143" s="130">
        <f t="shared" si="201"/>
        <v>1.6173225257871</v>
      </c>
      <c r="U143" s="130">
        <f t="shared" si="201"/>
        <v>1.592423314290909</v>
      </c>
      <c r="V143" s="130">
        <f t="shared" si="201"/>
        <v>1.3409856614529743</v>
      </c>
      <c r="W143" s="130">
        <f t="shared" ref="W143:Y143" si="202">IF(W6=0,0,W6/W33)</f>
        <v>1.3152122557621739</v>
      </c>
      <c r="X143" s="130">
        <f t="shared" si="202"/>
        <v>1.333007292172292</v>
      </c>
      <c r="Y143" s="130">
        <f t="shared" si="202"/>
        <v>1.3434830661814234</v>
      </c>
      <c r="DA143" s="176" t="s">
        <v>554</v>
      </c>
    </row>
    <row r="144" spans="1:105" ht="11.45" customHeight="1" x14ac:dyDescent="0.25">
      <c r="A144" s="111" t="s">
        <v>110</v>
      </c>
      <c r="B144" s="96">
        <v>1.9090389086312396</v>
      </c>
      <c r="C144" s="96">
        <v>1.9079901601427425</v>
      </c>
      <c r="D144" s="96">
        <v>1.8535832756896147</v>
      </c>
      <c r="E144" s="96">
        <v>1.8266420279818376</v>
      </c>
      <c r="F144" s="96">
        <v>1.7917865774664887</v>
      </c>
      <c r="G144" s="96">
        <v>1.7681369465381089</v>
      </c>
      <c r="H144" s="96">
        <v>1.7419377952725323</v>
      </c>
      <c r="I144" s="96">
        <v>1.7702494597116696</v>
      </c>
      <c r="J144" s="96">
        <v>1.7787668608069849</v>
      </c>
      <c r="K144" s="96">
        <v>1.7551990567099685</v>
      </c>
      <c r="L144" s="96">
        <v>1.7359043367018698</v>
      </c>
      <c r="M144" s="96">
        <v>1.7148760838573667</v>
      </c>
      <c r="N144" s="96">
        <v>1.6918834646427092</v>
      </c>
      <c r="O144" s="96">
        <v>1.6665644050127757</v>
      </c>
      <c r="P144" s="96">
        <v>1.6494396907281734</v>
      </c>
      <c r="Q144" s="96">
        <v>1.638139695399647</v>
      </c>
      <c r="R144" s="96">
        <v>1.651466461268569</v>
      </c>
      <c r="S144" s="96">
        <v>1.6155565412862836</v>
      </c>
      <c r="T144" s="96">
        <v>1.5859510041006508</v>
      </c>
      <c r="U144" s="96">
        <v>1.5611892251331128</v>
      </c>
      <c r="V144" s="96">
        <v>1.3136800216066873</v>
      </c>
      <c r="W144" s="96">
        <v>1.2890774159599296</v>
      </c>
      <c r="X144" s="96">
        <v>1.307185362591746</v>
      </c>
      <c r="Y144" s="96">
        <v>1.3182561495602063</v>
      </c>
      <c r="DA144" s="171" t="s">
        <v>555</v>
      </c>
    </row>
    <row r="145" spans="1:105" ht="11.45" customHeight="1" x14ac:dyDescent="0.25">
      <c r="A145" s="111" t="s">
        <v>111</v>
      </c>
      <c r="B145" s="96">
        <v>1.9684585618959671</v>
      </c>
      <c r="C145" s="96">
        <v>1.9673771706618115</v>
      </c>
      <c r="D145" s="96">
        <v>1.9112768486392326</v>
      </c>
      <c r="E145" s="96">
        <v>1.8834970430633697</v>
      </c>
      <c r="F145" s="96">
        <v>1.8475567017295862</v>
      </c>
      <c r="G145" s="96">
        <v>1.8231709659144753</v>
      </c>
      <c r="H145" s="96">
        <v>1.7961563548502564</v>
      </c>
      <c r="I145" s="96">
        <v>1.8253492319649012</v>
      </c>
      <c r="J145" s="96">
        <v>1.8341317408154916</v>
      </c>
      <c r="K145" s="96">
        <v>1.8098303787268981</v>
      </c>
      <c r="L145" s="96">
        <v>1.7899351022987413</v>
      </c>
      <c r="M145" s="96">
        <v>1.7682523360825442</v>
      </c>
      <c r="N145" s="96">
        <v>1.7445440617520027</v>
      </c>
      <c r="O145" s="96">
        <v>1.7184369355523432</v>
      </c>
      <c r="P145" s="96">
        <v>1.7007792072047758</v>
      </c>
      <c r="Q145" s="96">
        <v>1.689127494684274</v>
      </c>
      <c r="R145" s="96">
        <v>1.7028690618458739</v>
      </c>
      <c r="S145" s="96">
        <v>1.6658414302315918</v>
      </c>
      <c r="T145" s="96">
        <v>1.6353144080273283</v>
      </c>
      <c r="U145" s="96">
        <v>1.6097819080892448</v>
      </c>
      <c r="V145" s="96">
        <v>1.3545688746477376</v>
      </c>
      <c r="W145" s="96">
        <v>1.3292005023681834</v>
      </c>
      <c r="X145" s="96">
        <v>1.3478720665906809</v>
      </c>
      <c r="Y145" s="96">
        <v>1.3592874365427876</v>
      </c>
      <c r="DA145" s="171" t="s">
        <v>556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1.7101783656459273</v>
      </c>
      <c r="I146" s="96">
        <v>1.7396495872873661</v>
      </c>
      <c r="J146" s="96">
        <v>1.7498102465236558</v>
      </c>
      <c r="K146" s="96">
        <v>1.7279341192883801</v>
      </c>
      <c r="L146" s="96">
        <v>1.7102809408567665</v>
      </c>
      <c r="M146" s="96">
        <v>1.6905789198647942</v>
      </c>
      <c r="N146" s="96">
        <v>1.6689548143504527</v>
      </c>
      <c r="O146" s="96">
        <v>1.6448033556636465</v>
      </c>
      <c r="P146" s="96">
        <v>1.628849081349024</v>
      </c>
      <c r="Q146" s="96">
        <v>1.6183969971254859</v>
      </c>
      <c r="R146" s="96">
        <v>1.6323475933590121</v>
      </c>
      <c r="S146" s="96">
        <v>1.5975567843518013</v>
      </c>
      <c r="T146" s="96">
        <v>1.568802850013487</v>
      </c>
      <c r="U146" s="96">
        <v>1.5446506148621819</v>
      </c>
      <c r="V146" s="96">
        <v>1.3007560916093848</v>
      </c>
      <c r="W146" s="96">
        <v>1.2757558880893087</v>
      </c>
      <c r="X146" s="96">
        <v>1.2930170734071234</v>
      </c>
      <c r="Y146" s="96">
        <v>1.3031785741959807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1.6689548143504527</v>
      </c>
      <c r="O147" s="96">
        <v>1.6448033556636465</v>
      </c>
      <c r="P147" s="96">
        <v>1.628849081349024</v>
      </c>
      <c r="Q147" s="96">
        <v>1.6183969971254859</v>
      </c>
      <c r="R147" s="96">
        <v>1.6323475933590124</v>
      </c>
      <c r="S147" s="96">
        <v>1.5975567843518015</v>
      </c>
      <c r="T147" s="96">
        <v>1.568802850013487</v>
      </c>
      <c r="U147" s="96">
        <v>1.5446506148621819</v>
      </c>
      <c r="V147" s="96">
        <v>1.3007560916093848</v>
      </c>
      <c r="W147" s="96">
        <v>1.2757558880893087</v>
      </c>
      <c r="X147" s="96">
        <v>1.2930170734071234</v>
      </c>
      <c r="Y147" s="96">
        <v>1.3031785741959807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1.6094516318131586</v>
      </c>
      <c r="P148" s="96">
        <v>1.5938402623800607</v>
      </c>
      <c r="Q148" s="96">
        <v>1.5836128245824073</v>
      </c>
      <c r="R148" s="96">
        <v>1.5972635809451676</v>
      </c>
      <c r="S148" s="96">
        <v>1.5632205300625517</v>
      </c>
      <c r="T148" s="96">
        <v>1.5350846034288317</v>
      </c>
      <c r="U148" s="96">
        <v>1.5114514717584997</v>
      </c>
      <c r="V148" s="96">
        <v>1.2727989683526284</v>
      </c>
      <c r="W148" s="96">
        <v>1.2483360936798</v>
      </c>
      <c r="X148" s="96">
        <v>1.2652262847054483</v>
      </c>
      <c r="Y148" s="96">
        <v>1.2751693845720571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1.3964392853992533</v>
      </c>
      <c r="N149" s="96">
        <v>1.3785775043862378</v>
      </c>
      <c r="O149" s="96">
        <v>1.3586280981126457</v>
      </c>
      <c r="P149" s="96">
        <v>1.3454496684272945</v>
      </c>
      <c r="Q149" s="96">
        <v>1.3368161164217971</v>
      </c>
      <c r="R149" s="96">
        <v>1.3483394830072486</v>
      </c>
      <c r="S149" s="96">
        <v>1.3196018405951591</v>
      </c>
      <c r="T149" s="96">
        <v>1.2958507319967956</v>
      </c>
      <c r="U149" s="96">
        <v>1.2759006843538376</v>
      </c>
      <c r="V149" s="96">
        <v>1.0744407644636935</v>
      </c>
      <c r="W149" s="96">
        <v>1.0537902843659037</v>
      </c>
      <c r="X149" s="96">
        <v>1.0680482388494963</v>
      </c>
      <c r="Y149" s="96">
        <v>1.0764417653116094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26.040889169480305</v>
      </c>
      <c r="C150" s="130">
        <f t="shared" si="203"/>
        <v>26.359937999841065</v>
      </c>
      <c r="D150" s="130">
        <f t="shared" si="203"/>
        <v>26.721673849381531</v>
      </c>
      <c r="E150" s="130">
        <f t="shared" si="203"/>
        <v>28.228334458635629</v>
      </c>
      <c r="F150" s="130">
        <f t="shared" si="203"/>
        <v>25.69834097931</v>
      </c>
      <c r="G150" s="130">
        <f t="shared" si="203"/>
        <v>25.138867713399041</v>
      </c>
      <c r="H150" s="130">
        <f t="shared" si="203"/>
        <v>25.42531785583693</v>
      </c>
      <c r="I150" s="130">
        <f t="shared" si="203"/>
        <v>26.008146029882425</v>
      </c>
      <c r="J150" s="130">
        <f t="shared" si="203"/>
        <v>25.142847462059034</v>
      </c>
      <c r="K150" s="130">
        <f t="shared" si="203"/>
        <v>25.147396517720725</v>
      </c>
      <c r="L150" s="130">
        <f t="shared" ref="L150" si="204">IF(L13=0,0,L13/L40)</f>
        <v>25.156497098353377</v>
      </c>
      <c r="M150" s="130">
        <f t="shared" ref="M150:V150" si="205">IF(M13=0,0,M13/M40)</f>
        <v>25.174708141026294</v>
      </c>
      <c r="N150" s="130">
        <f t="shared" si="205"/>
        <v>25.211169785389458</v>
      </c>
      <c r="O150" s="130">
        <f t="shared" si="205"/>
        <v>25.28425157764282</v>
      </c>
      <c r="P150" s="130">
        <f t="shared" si="205"/>
        <v>25.431051321736007</v>
      </c>
      <c r="Q150" s="130">
        <f t="shared" si="205"/>
        <v>25.72721270558009</v>
      </c>
      <c r="R150" s="130">
        <f t="shared" si="205"/>
        <v>26.329922623669169</v>
      </c>
      <c r="S150" s="130">
        <f t="shared" si="205"/>
        <v>26.100861358617792</v>
      </c>
      <c r="T150" s="130">
        <f t="shared" si="205"/>
        <v>26.989710717402172</v>
      </c>
      <c r="U150" s="130">
        <f t="shared" si="205"/>
        <v>26.70423559414284</v>
      </c>
      <c r="V150" s="130">
        <f t="shared" si="205"/>
        <v>23.193621511316138</v>
      </c>
      <c r="W150" s="130">
        <f t="shared" ref="W150:Y150" si="206">IF(W13=0,0,W13/W40)</f>
        <v>23.228269452198155</v>
      </c>
      <c r="X150" s="130">
        <f t="shared" si="206"/>
        <v>26.012165853024758</v>
      </c>
      <c r="Y150" s="130">
        <f t="shared" si="206"/>
        <v>26.12137429231927</v>
      </c>
      <c r="DA150" s="176" t="s">
        <v>561</v>
      </c>
    </row>
    <row r="151" spans="1:105" ht="11.45" customHeight="1" x14ac:dyDescent="0.25">
      <c r="A151" s="111" t="s">
        <v>110</v>
      </c>
      <c r="B151" s="97">
        <v>10.015726603646272</v>
      </c>
      <c r="C151" s="97">
        <v>10.138437692246564</v>
      </c>
      <c r="D151" s="97">
        <v>10.277566865146744</v>
      </c>
      <c r="E151" s="97">
        <v>10.857051714859859</v>
      </c>
      <c r="F151" s="97">
        <v>9.8839772997346156</v>
      </c>
      <c r="G151" s="97">
        <v>9.6687952743842462</v>
      </c>
      <c r="H151" s="97">
        <v>9.7789684060911277</v>
      </c>
      <c r="I151" s="97">
        <v>10.003133088416318</v>
      </c>
      <c r="J151" s="97">
        <v>9.6703259469457823</v>
      </c>
      <c r="K151" s="97">
        <v>9.6720755837387404</v>
      </c>
      <c r="L151" s="97">
        <v>9.6755758070589923</v>
      </c>
      <c r="M151" s="97">
        <v>9.6825800542408835</v>
      </c>
      <c r="N151" s="97">
        <v>9.6966037636113303</v>
      </c>
      <c r="O151" s="97">
        <v>9.7247121452472385</v>
      </c>
      <c r="P151" s="97">
        <v>9.7811735852830779</v>
      </c>
      <c r="Q151" s="97">
        <v>9.8950818098384978</v>
      </c>
      <c r="R151" s="97">
        <v>10.126893316795835</v>
      </c>
      <c r="S151" s="97">
        <v>10.038792830237613</v>
      </c>
      <c r="T151" s="97">
        <v>10.380657968231604</v>
      </c>
      <c r="U151" s="97">
        <v>10.270859843901093</v>
      </c>
      <c r="V151" s="97">
        <v>8.9206236581985152</v>
      </c>
      <c r="W151" s="97">
        <v>8.9339497893069826</v>
      </c>
      <c r="X151" s="97">
        <v>10.004679174240295</v>
      </c>
      <c r="Y151" s="97">
        <v>10.046682420122799</v>
      </c>
      <c r="DA151" s="175" t="s">
        <v>562</v>
      </c>
    </row>
    <row r="152" spans="1:105" ht="11.45" customHeight="1" x14ac:dyDescent="0.25">
      <c r="A152" s="111" t="s">
        <v>111</v>
      </c>
      <c r="B152" s="97">
        <v>26.285993229442347</v>
      </c>
      <c r="C152" s="97">
        <v>26.593714886131021</v>
      </c>
      <c r="D152" s="97">
        <v>26.94109405313478</v>
      </c>
      <c r="E152" s="97">
        <v>28.433020259523897</v>
      </c>
      <c r="F152" s="97">
        <v>25.85343943939958</v>
      </c>
      <c r="G152" s="97">
        <v>25.275979010807713</v>
      </c>
      <c r="H152" s="97">
        <v>25.547348353344901</v>
      </c>
      <c r="I152" s="97">
        <v>26.114423021934929</v>
      </c>
      <c r="J152" s="97">
        <v>25.223600552589158</v>
      </c>
      <c r="K152" s="97">
        <v>25.214604566578121</v>
      </c>
      <c r="L152" s="97">
        <v>25.212255019672533</v>
      </c>
      <c r="M152" s="97">
        <v>25.218351446133553</v>
      </c>
      <c r="N152" s="97">
        <v>25.249032974468935</v>
      </c>
      <c r="O152" s="97">
        <v>25.315504896964111</v>
      </c>
      <c r="P152" s="97">
        <v>25.455895397876926</v>
      </c>
      <c r="Q152" s="97">
        <v>25.746490393065162</v>
      </c>
      <c r="R152" s="97">
        <v>26.349736703640382</v>
      </c>
      <c r="S152" s="97">
        <v>26.119265197299701</v>
      </c>
      <c r="T152" s="97">
        <v>27.007937848219768</v>
      </c>
      <c r="U152" s="97">
        <v>26.72154855047263</v>
      </c>
      <c r="V152" s="97">
        <v>23.212419926962532</v>
      </c>
      <c r="W152" s="97">
        <v>23.244246768524985</v>
      </c>
      <c r="X152" s="97">
        <v>26.024654498045116</v>
      </c>
      <c r="Y152" s="97">
        <v>26.232159666923007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25.249032974468939</v>
      </c>
      <c r="O154" s="97">
        <v>25.315504896964114</v>
      </c>
      <c r="P154" s="97">
        <v>25.455895397876922</v>
      </c>
      <c r="Q154" s="97">
        <v>25.746490393065169</v>
      </c>
      <c r="R154" s="97">
        <v>26.349736703640382</v>
      </c>
      <c r="S154" s="97">
        <v>26.119265197299704</v>
      </c>
      <c r="T154" s="97">
        <v>27.007937848219772</v>
      </c>
      <c r="U154" s="97">
        <v>26.72154855047263</v>
      </c>
      <c r="V154" s="97">
        <v>23.212419926962532</v>
      </c>
      <c r="W154" s="97">
        <v>23.244246768524985</v>
      </c>
      <c r="X154" s="97">
        <v>26.02465449804512</v>
      </c>
      <c r="Y154" s="97">
        <v>26.232159666923003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25.455895397876922</v>
      </c>
      <c r="Q155" s="97">
        <v>25.746490393065169</v>
      </c>
      <c r="R155" s="97">
        <v>26.349736703640382</v>
      </c>
      <c r="S155" s="97">
        <v>26.119265197299701</v>
      </c>
      <c r="T155" s="97">
        <v>27.007937848219768</v>
      </c>
      <c r="U155" s="97">
        <v>26.72154855047263</v>
      </c>
      <c r="V155" s="97">
        <v>23.212419926962532</v>
      </c>
      <c r="W155" s="97">
        <v>23.244246768524985</v>
      </c>
      <c r="X155" s="97">
        <v>26.02465449804512</v>
      </c>
      <c r="Y155" s="97">
        <v>26.232159666923003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6.5915197154780216</v>
      </c>
      <c r="C156" s="32">
        <f t="shared" si="207"/>
        <v>6.5667780978022545</v>
      </c>
      <c r="D156" s="32">
        <f t="shared" si="207"/>
        <v>6.2166818988630395</v>
      </c>
      <c r="E156" s="32">
        <f t="shared" si="207"/>
        <v>5.9463040716562583</v>
      </c>
      <c r="F156" s="32">
        <f t="shared" si="207"/>
        <v>5.7038085605572215</v>
      </c>
      <c r="G156" s="32">
        <f t="shared" si="207"/>
        <v>5.5721500773525898</v>
      </c>
      <c r="H156" s="32">
        <f t="shared" si="207"/>
        <v>5.7870753797783756</v>
      </c>
      <c r="I156" s="32">
        <f t="shared" si="207"/>
        <v>5.5818225920568896</v>
      </c>
      <c r="J156" s="32">
        <f t="shared" si="207"/>
        <v>5.2995656382493719</v>
      </c>
      <c r="K156" s="32">
        <f t="shared" si="207"/>
        <v>4.8132257832018208</v>
      </c>
      <c r="L156" s="32">
        <f t="shared" ref="L156" si="208">IF(L19=0,0,L19/L46)</f>
        <v>4.7893162727734886</v>
      </c>
      <c r="M156" s="32">
        <f t="shared" ref="M156:V156" si="209">IF(M19=0,0,M19/M46)</f>
        <v>4.7166275368358326</v>
      </c>
      <c r="N156" s="32">
        <f t="shared" si="209"/>
        <v>4.6120810540483719</v>
      </c>
      <c r="O156" s="32">
        <f t="shared" si="209"/>
        <v>4.5803253066774472</v>
      </c>
      <c r="P156" s="32">
        <f t="shared" si="209"/>
        <v>4.4789455876944011</v>
      </c>
      <c r="Q156" s="32">
        <f t="shared" si="209"/>
        <v>4.5050812435341969</v>
      </c>
      <c r="R156" s="32">
        <f t="shared" si="209"/>
        <v>4.5953556002994196</v>
      </c>
      <c r="S156" s="32">
        <f t="shared" si="209"/>
        <v>4.6500396633188394</v>
      </c>
      <c r="T156" s="32">
        <f t="shared" si="209"/>
        <v>4.5246712709057144</v>
      </c>
      <c r="U156" s="32">
        <f t="shared" si="209"/>
        <v>4.3669332525724851</v>
      </c>
      <c r="V156" s="32">
        <f t="shared" si="209"/>
        <v>4.073072468048065</v>
      </c>
      <c r="W156" s="32">
        <f t="shared" ref="W156:Y156" si="210">IF(W19=0,0,W19/W46)</f>
        <v>4.1647567175286868</v>
      </c>
      <c r="X156" s="32">
        <f t="shared" si="210"/>
        <v>4.1488506970471066</v>
      </c>
      <c r="Y156" s="32">
        <f t="shared" si="210"/>
        <v>4.187229621508302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0.17571241418742151</v>
      </c>
      <c r="C157" s="141">
        <f t="shared" si="211"/>
        <v>0.1748877826841288</v>
      </c>
      <c r="D157" s="141">
        <f t="shared" si="211"/>
        <v>0.17469761278097701</v>
      </c>
      <c r="E157" s="141">
        <f t="shared" si="211"/>
        <v>0.1747808044066759</v>
      </c>
      <c r="F157" s="141">
        <f t="shared" si="211"/>
        <v>0.1738827691782304</v>
      </c>
      <c r="G157" s="141">
        <f t="shared" si="211"/>
        <v>0.17422082058938743</v>
      </c>
      <c r="H157" s="141">
        <f t="shared" si="211"/>
        <v>0.17436548298534896</v>
      </c>
      <c r="I157" s="141">
        <f t="shared" si="211"/>
        <v>0.17459001741784633</v>
      </c>
      <c r="J157" s="141">
        <f t="shared" si="211"/>
        <v>0.17530594816253225</v>
      </c>
      <c r="K157" s="141">
        <f t="shared" si="211"/>
        <v>0.17584087837071904</v>
      </c>
      <c r="L157" s="141">
        <f t="shared" ref="L157" si="212">IF(L20=0,0,L20/L47)</f>
        <v>0.17667975343557663</v>
      </c>
      <c r="M157" s="141">
        <f t="shared" ref="M157:V157" si="213">IF(M20=0,0,M20/M47)</f>
        <v>0.17654126497648481</v>
      </c>
      <c r="N157" s="141">
        <f t="shared" si="213"/>
        <v>0.17645553928366745</v>
      </c>
      <c r="O157" s="141">
        <f t="shared" si="213"/>
        <v>0.17588678229697094</v>
      </c>
      <c r="P157" s="141">
        <f t="shared" si="213"/>
        <v>0.1753123622289737</v>
      </c>
      <c r="Q157" s="141">
        <f t="shared" si="213"/>
        <v>0.17513030694513224</v>
      </c>
      <c r="R157" s="141">
        <f t="shared" si="213"/>
        <v>0.17520667012266175</v>
      </c>
      <c r="S157" s="141">
        <f t="shared" si="213"/>
        <v>0.17517917050346049</v>
      </c>
      <c r="T157" s="141">
        <f t="shared" si="213"/>
        <v>0.17511429496115574</v>
      </c>
      <c r="U157" s="141">
        <f t="shared" si="213"/>
        <v>0.17502647480291753</v>
      </c>
      <c r="V157" s="141">
        <f t="shared" si="213"/>
        <v>0.17500739312512312</v>
      </c>
      <c r="W157" s="141">
        <f t="shared" ref="W157:Y157" si="214">IF(W20=0,0,W20/W47)</f>
        <v>0.17506468531693811</v>
      </c>
      <c r="X157" s="141">
        <f t="shared" si="214"/>
        <v>0.17503690165176977</v>
      </c>
      <c r="Y157" s="141">
        <f t="shared" si="214"/>
        <v>0.17497678341983988</v>
      </c>
      <c r="DA157" s="174" t="s">
        <v>568</v>
      </c>
    </row>
    <row r="158" spans="1:105" ht="11.45" customHeight="1" x14ac:dyDescent="0.25">
      <c r="A158" s="111" t="s">
        <v>110</v>
      </c>
      <c r="B158" s="96">
        <v>0.14802045447500733</v>
      </c>
      <c r="C158" s="96">
        <v>0.14688686202145096</v>
      </c>
      <c r="D158" s="96">
        <v>0.14630647795034965</v>
      </c>
      <c r="E158" s="96">
        <v>0.14577989522254822</v>
      </c>
      <c r="F158" s="96">
        <v>0.14385613538382783</v>
      </c>
      <c r="G158" s="96">
        <v>0.14349754954295732</v>
      </c>
      <c r="H158" s="96">
        <v>0.14311404483050749</v>
      </c>
      <c r="I158" s="96">
        <v>0.14285209584338246</v>
      </c>
      <c r="J158" s="96">
        <v>0.14320887569593574</v>
      </c>
      <c r="K158" s="96">
        <v>0.14297799968300565</v>
      </c>
      <c r="L158" s="96">
        <v>0.14354571220008419</v>
      </c>
      <c r="M158" s="96">
        <v>0.14310026564766995</v>
      </c>
      <c r="N158" s="96">
        <v>0.14281920749668381</v>
      </c>
      <c r="O158" s="96">
        <v>0.14180335772780411</v>
      </c>
      <c r="P158" s="96">
        <v>0.14077675054543951</v>
      </c>
      <c r="Q158" s="96">
        <v>0.14040115015974439</v>
      </c>
      <c r="R158" s="96">
        <v>0.14033513163351646</v>
      </c>
      <c r="S158" s="96">
        <v>0.14020092788755725</v>
      </c>
      <c r="T158" s="96">
        <v>0.14012425182858945</v>
      </c>
      <c r="U158" s="96">
        <v>0.14006032843359156</v>
      </c>
      <c r="V158" s="96">
        <v>0.14003393310335599</v>
      </c>
      <c r="W158" s="96">
        <v>0.1400549217239539</v>
      </c>
      <c r="X158" s="96">
        <v>0.1400237512560957</v>
      </c>
      <c r="Y158" s="96">
        <v>0.13998658636346087</v>
      </c>
      <c r="DA158" s="171" t="s">
        <v>569</v>
      </c>
    </row>
    <row r="159" spans="1:105" ht="11.45" customHeight="1" x14ac:dyDescent="0.25">
      <c r="A159" s="111" t="s">
        <v>111</v>
      </c>
      <c r="B159" s="96">
        <v>0.18302927640414457</v>
      </c>
      <c r="C159" s="96">
        <v>0.18220960167367165</v>
      </c>
      <c r="D159" s="96">
        <v>0.18173210044405616</v>
      </c>
      <c r="E159" s="96">
        <v>0.18128788042823282</v>
      </c>
      <c r="F159" s="96">
        <v>0.17997170667643858</v>
      </c>
      <c r="G159" s="96">
        <v>0.17963144733373995</v>
      </c>
      <c r="H159" s="96">
        <v>0.1792756645315417</v>
      </c>
      <c r="I159" s="96">
        <v>0.17903052613176584</v>
      </c>
      <c r="J159" s="96">
        <v>0.17935357010779748</v>
      </c>
      <c r="K159" s="96">
        <v>0.17930457887311507</v>
      </c>
      <c r="L159" s="96">
        <v>0.17976004270360657</v>
      </c>
      <c r="M159" s="96">
        <v>0.17936527036671618</v>
      </c>
      <c r="N159" s="96">
        <v>0.17907358661298706</v>
      </c>
      <c r="O159" s="96">
        <v>0.17832062022586162</v>
      </c>
      <c r="P159" s="96">
        <v>0.17760017821434743</v>
      </c>
      <c r="Q159" s="96">
        <v>0.17724881806675208</v>
      </c>
      <c r="R159" s="96">
        <v>0.17709462122543326</v>
      </c>
      <c r="S159" s="96">
        <v>0.17692074653266746</v>
      </c>
      <c r="T159" s="96">
        <v>0.17675327288508577</v>
      </c>
      <c r="U159" s="96">
        <v>0.17660198472006239</v>
      </c>
      <c r="V159" s="96">
        <v>0.17649808948282034</v>
      </c>
      <c r="W159" s="96">
        <v>0.17645394771751</v>
      </c>
      <c r="X159" s="96">
        <v>0.17634412454009593</v>
      </c>
      <c r="Y159" s="96">
        <v>0.17622681469941345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0.13490473965261882</v>
      </c>
      <c r="I160" s="96">
        <v>0.1346159319233147</v>
      </c>
      <c r="J160" s="96">
        <v>0.13467411917623665</v>
      </c>
      <c r="K160" s="96">
        <v>0.13440328964286341</v>
      </c>
      <c r="L160" s="96">
        <v>0.13457895663024527</v>
      </c>
      <c r="M160" s="96">
        <v>0.13418889077547216</v>
      </c>
      <c r="N160" s="96">
        <v>0.13389093833936544</v>
      </c>
      <c r="O160" s="96">
        <v>0.13318298184489719</v>
      </c>
      <c r="P160" s="96">
        <v>0.13246869652932175</v>
      </c>
      <c r="Q160" s="96">
        <v>0.13211905984133251</v>
      </c>
      <c r="R160" s="96">
        <v>0.13234263802686314</v>
      </c>
      <c r="S160" s="96">
        <v>0.13255952604449744</v>
      </c>
      <c r="T160" s="96">
        <v>0.13277899823809844</v>
      </c>
      <c r="U160" s="96">
        <v>0.13300458175076141</v>
      </c>
      <c r="V160" s="96">
        <v>0.13324754095256716</v>
      </c>
      <c r="W160" s="96">
        <v>0.13351245336586701</v>
      </c>
      <c r="X160" s="96">
        <v>0.13375416778967969</v>
      </c>
      <c r="Y160" s="96">
        <v>0.13399358440449621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0.13098737626852486</v>
      </c>
      <c r="Q161" s="96">
        <v>0.1308044423304735</v>
      </c>
      <c r="R161" s="96">
        <v>0.13350048090601785</v>
      </c>
      <c r="S161" s="96">
        <v>0.13339607094476513</v>
      </c>
      <c r="T161" s="96">
        <v>0.13329644117483624</v>
      </c>
      <c r="U161" s="96">
        <v>0.13320897477250176</v>
      </c>
      <c r="V161" s="96">
        <v>0.1331572231916574</v>
      </c>
      <c r="W161" s="96">
        <v>0.13315053501774288</v>
      </c>
      <c r="X161" s="96">
        <v>0.13302601988962034</v>
      </c>
      <c r="Y161" s="96">
        <v>0.13296410353616894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0.17818903242861606</v>
      </c>
      <c r="Q162" s="96">
        <v>0.1781306727213986</v>
      </c>
      <c r="R162" s="96">
        <v>0.17813635962731156</v>
      </c>
      <c r="S162" s="96">
        <v>0.17814299660500316</v>
      </c>
      <c r="T162" s="96">
        <v>0.17814933479867631</v>
      </c>
      <c r="U162" s="96">
        <v>0.17815490328212613</v>
      </c>
      <c r="V162" s="96">
        <v>0.17820435763523526</v>
      </c>
      <c r="W162" s="96">
        <v>0.17815862594066934</v>
      </c>
      <c r="X162" s="96">
        <v>0.17816656336469622</v>
      </c>
      <c r="Y162" s="96">
        <v>0.17817051322363145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11.09618243720789</v>
      </c>
      <c r="C163" s="130">
        <f t="shared" si="215"/>
        <v>11.178851713672909</v>
      </c>
      <c r="D163" s="130">
        <f t="shared" si="215"/>
        <v>10.490283608679704</v>
      </c>
      <c r="E163" s="130">
        <f t="shared" si="215"/>
        <v>10.188222469705201</v>
      </c>
      <c r="F163" s="130">
        <f t="shared" si="215"/>
        <v>9.3990611981018155</v>
      </c>
      <c r="G163" s="130">
        <f t="shared" si="215"/>
        <v>9.4127207656439715</v>
      </c>
      <c r="H163" s="130">
        <f t="shared" si="215"/>
        <v>10.01468116247208</v>
      </c>
      <c r="I163" s="130">
        <f t="shared" si="215"/>
        <v>10.057596529563149</v>
      </c>
      <c r="J163" s="130">
        <f t="shared" si="215"/>
        <v>10.021154607472594</v>
      </c>
      <c r="K163" s="130">
        <f t="shared" si="215"/>
        <v>9.9250762882694747</v>
      </c>
      <c r="L163" s="130">
        <f t="shared" ref="L163" si="216">IF(L26=0,0,L26/L53)</f>
        <v>10.001995274468225</v>
      </c>
      <c r="M163" s="130">
        <f t="shared" ref="M163:V163" si="217">IF(M26=0,0,M26/M53)</f>
        <v>10.228547853848093</v>
      </c>
      <c r="N163" s="130">
        <f t="shared" si="217"/>
        <v>10.325648109284833</v>
      </c>
      <c r="O163" s="130">
        <f t="shared" si="217"/>
        <v>10.646703260031076</v>
      </c>
      <c r="P163" s="130">
        <f t="shared" si="217"/>
        <v>10.53324417944623</v>
      </c>
      <c r="Q163" s="130">
        <f t="shared" si="217"/>
        <v>10.785994538154283</v>
      </c>
      <c r="R163" s="130">
        <f t="shared" si="217"/>
        <v>10.995226636582071</v>
      </c>
      <c r="S163" s="130">
        <f t="shared" si="217"/>
        <v>11.095199814581779</v>
      </c>
      <c r="T163" s="130">
        <f t="shared" si="217"/>
        <v>11.353214122225069</v>
      </c>
      <c r="U163" s="130">
        <f t="shared" si="217"/>
        <v>11.23081371657257</v>
      </c>
      <c r="V163" s="130">
        <f t="shared" si="217"/>
        <v>11.113823051397489</v>
      </c>
      <c r="W163" s="130">
        <f t="shared" ref="W163:Y163" si="218">IF(W26=0,0,W26/W53)</f>
        <v>11.192797543099779</v>
      </c>
      <c r="X163" s="130">
        <f t="shared" si="218"/>
        <v>11.216087812286645</v>
      </c>
      <c r="Y163" s="130">
        <f t="shared" si="218"/>
        <v>11.402072525949444</v>
      </c>
      <c r="DA163" s="176" t="s">
        <v>574</v>
      </c>
    </row>
    <row r="164" spans="1:105" ht="11.45" customHeight="1" x14ac:dyDescent="0.25">
      <c r="A164" s="128" t="s">
        <v>27</v>
      </c>
      <c r="B164" s="97">
        <v>7.833333333333333</v>
      </c>
      <c r="C164" s="97">
        <v>7.833333333333333</v>
      </c>
      <c r="D164" s="97">
        <v>6.7301038062283736</v>
      </c>
      <c r="E164" s="97">
        <v>6.414790996784566</v>
      </c>
      <c r="F164" s="97">
        <v>5.5563725490196081</v>
      </c>
      <c r="G164" s="97">
        <v>5.581560283687943</v>
      </c>
      <c r="H164" s="97">
        <v>5.7842639593908629</v>
      </c>
      <c r="I164" s="97">
        <v>6.0683962264150946</v>
      </c>
      <c r="J164" s="97">
        <v>6.2023529411764704</v>
      </c>
      <c r="K164" s="97">
        <v>6.1513513513513516</v>
      </c>
      <c r="L164" s="97">
        <v>6.068965517241379</v>
      </c>
      <c r="M164" s="97">
        <v>6.2022792022792022</v>
      </c>
      <c r="N164" s="97">
        <v>5.8698412698412694</v>
      </c>
      <c r="O164" s="97">
        <v>6.3389261744966445</v>
      </c>
      <c r="P164" s="97">
        <v>6.3839009287925697</v>
      </c>
      <c r="Q164" s="97">
        <v>6.6102236421725236</v>
      </c>
      <c r="R164" s="97">
        <v>6.7531645569620249</v>
      </c>
      <c r="S164" s="97">
        <v>6.7941176470588234</v>
      </c>
      <c r="T164" s="97">
        <v>6.9629629629629628</v>
      </c>
      <c r="U164" s="97">
        <v>6.8630952380952381</v>
      </c>
      <c r="V164" s="97">
        <v>7.0216049382716053</v>
      </c>
      <c r="W164" s="97">
        <v>6.9801699716713879</v>
      </c>
      <c r="X164" s="97">
        <v>7.0716253443526167</v>
      </c>
      <c r="Y164" s="97">
        <v>7.961439588688946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14.338603689647606</v>
      </c>
      <c r="E165" s="98">
        <v>14.254152494203545</v>
      </c>
      <c r="F165" s="98">
        <v>13.993137904941621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14.062037656310169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11442.004604813535</v>
      </c>
      <c r="C167" s="54">
        <f t="shared" si="219"/>
        <v>11519.211141548816</v>
      </c>
      <c r="D167" s="54">
        <f t="shared" si="219"/>
        <v>11770.043016321824</v>
      </c>
      <c r="E167" s="54">
        <f t="shared" si="219"/>
        <v>12066.336144716508</v>
      </c>
      <c r="F167" s="54">
        <f t="shared" si="219"/>
        <v>12752.236836634607</v>
      </c>
      <c r="G167" s="54">
        <f t="shared" si="219"/>
        <v>12591.265110325669</v>
      </c>
      <c r="H167" s="54">
        <f t="shared" si="219"/>
        <v>12761.720528164515</v>
      </c>
      <c r="I167" s="54">
        <f t="shared" si="219"/>
        <v>13039.08608754239</v>
      </c>
      <c r="J167" s="54">
        <f t="shared" si="219"/>
        <v>13010.199913391827</v>
      </c>
      <c r="K167" s="54">
        <f t="shared" si="219"/>
        <v>13299.859512383158</v>
      </c>
      <c r="L167" s="54">
        <f t="shared" si="219"/>
        <v>13357.99980455325</v>
      </c>
      <c r="M167" s="54">
        <f>IF(M30=0,0,M30*1000000/M57)</f>
        <v>13402.035699673519</v>
      </c>
      <c r="N167" s="54">
        <f t="shared" ref="N167:V167" si="220">IF(N30=0,0,N30*1000000/N57)</f>
        <v>13438.57125249811</v>
      </c>
      <c r="O167" s="54">
        <f t="shared" si="220"/>
        <v>13532.12979981084</v>
      </c>
      <c r="P167" s="54">
        <f t="shared" si="220"/>
        <v>13875.046388091632</v>
      </c>
      <c r="Q167" s="54">
        <f t="shared" si="220"/>
        <v>14008.089302461629</v>
      </c>
      <c r="R167" s="54">
        <f t="shared" si="220"/>
        <v>13788.717643746782</v>
      </c>
      <c r="S167" s="54">
        <f t="shared" si="220"/>
        <v>14107.464878501996</v>
      </c>
      <c r="T167" s="54">
        <f t="shared" si="220"/>
        <v>14285.066546479658</v>
      </c>
      <c r="U167" s="54">
        <f t="shared" si="220"/>
        <v>14464.458895844713</v>
      </c>
      <c r="V167" s="54">
        <f t="shared" si="220"/>
        <v>12815.366421594117</v>
      </c>
      <c r="W167" s="54">
        <f t="shared" ref="W167:Y191" si="221">IF(W30=0,0,W30*1000000/W57)</f>
        <v>13169.708969112349</v>
      </c>
      <c r="X167" s="54">
        <f t="shared" si="221"/>
        <v>13807.639889955919</v>
      </c>
      <c r="Y167" s="54">
        <f t="shared" si="221"/>
        <v>14122.393810234729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11216.919903704109</v>
      </c>
      <c r="C168" s="28">
        <f t="shared" si="219"/>
        <v>11257.882583152896</v>
      </c>
      <c r="D168" s="28">
        <f t="shared" si="219"/>
        <v>11464.149525260567</v>
      </c>
      <c r="E168" s="28">
        <f t="shared" si="219"/>
        <v>11727.82499326347</v>
      </c>
      <c r="F168" s="28">
        <f t="shared" si="219"/>
        <v>12281.838284245845</v>
      </c>
      <c r="G168" s="28">
        <f t="shared" si="219"/>
        <v>12081.970074652154</v>
      </c>
      <c r="H168" s="28">
        <f t="shared" si="219"/>
        <v>12245.067718236489</v>
      </c>
      <c r="I168" s="28">
        <f t="shared" si="219"/>
        <v>12506.767100343661</v>
      </c>
      <c r="J168" s="28">
        <f t="shared" si="219"/>
        <v>12465.795292120403</v>
      </c>
      <c r="K168" s="28">
        <f t="shared" si="219"/>
        <v>12843.774826267489</v>
      </c>
      <c r="L168" s="28">
        <f t="shared" si="219"/>
        <v>12887.412895066756</v>
      </c>
      <c r="M168" s="28">
        <f t="shared" ref="M168:M192" si="222">IF(M31=0,0,M31*1000000/M58)</f>
        <v>12927.541138248976</v>
      </c>
      <c r="N168" s="28">
        <f t="shared" si="219"/>
        <v>12974.468334624989</v>
      </c>
      <c r="O168" s="28">
        <f t="shared" si="219"/>
        <v>13065.805685289426</v>
      </c>
      <c r="P168" s="28">
        <f t="shared" si="219"/>
        <v>13388.355059658059</v>
      </c>
      <c r="Q168" s="28">
        <f t="shared" si="219"/>
        <v>13501.693485755981</v>
      </c>
      <c r="R168" s="28">
        <f t="shared" si="219"/>
        <v>13235.659754984694</v>
      </c>
      <c r="S168" s="28">
        <f t="shared" si="219"/>
        <v>13527.036449550038</v>
      </c>
      <c r="T168" s="28">
        <f t="shared" si="219"/>
        <v>13729.52224246408</v>
      </c>
      <c r="U168" s="28">
        <f t="shared" si="219"/>
        <v>13894.916938810737</v>
      </c>
      <c r="V168" s="28">
        <f t="shared" si="219"/>
        <v>12141.373217988634</v>
      </c>
      <c r="W168" s="28">
        <f t="shared" si="221"/>
        <v>12465.261320258744</v>
      </c>
      <c r="X168" s="28">
        <f t="shared" si="221"/>
        <v>13137.81783958979</v>
      </c>
      <c r="Y168" s="28">
        <f t="shared" si="221"/>
        <v>13469.253394379946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1876.8497798310834</v>
      </c>
      <c r="C169" s="137">
        <f t="shared" si="219"/>
        <v>1725.0750289481769</v>
      </c>
      <c r="D169" s="137">
        <f t="shared" si="219"/>
        <v>1687.2760892176125</v>
      </c>
      <c r="E169" s="137">
        <f t="shared" si="219"/>
        <v>1976.8173241081859</v>
      </c>
      <c r="F169" s="137">
        <f t="shared" si="219"/>
        <v>2156.7062781719756</v>
      </c>
      <c r="G169" s="137">
        <f t="shared" si="219"/>
        <v>2301.1649647634113</v>
      </c>
      <c r="H169" s="137">
        <f t="shared" si="219"/>
        <v>2387.5321940856879</v>
      </c>
      <c r="I169" s="137">
        <f t="shared" si="219"/>
        <v>2042.1579735078958</v>
      </c>
      <c r="J169" s="137">
        <f t="shared" si="219"/>
        <v>1947.8031220122866</v>
      </c>
      <c r="K169" s="137">
        <f t="shared" si="219"/>
        <v>1865.9248201926991</v>
      </c>
      <c r="L169" s="137">
        <f t="shared" si="219"/>
        <v>2356.9191210100626</v>
      </c>
      <c r="M169" s="137">
        <f t="shared" si="222"/>
        <v>2737.7516516583255</v>
      </c>
      <c r="N169" s="137">
        <f t="shared" si="219"/>
        <v>2479.7867098212587</v>
      </c>
      <c r="O169" s="137">
        <f t="shared" si="219"/>
        <v>2221.024216989088</v>
      </c>
      <c r="P169" s="137">
        <f t="shared" si="219"/>
        <v>2206.5245356379428</v>
      </c>
      <c r="Q169" s="137">
        <f t="shared" si="219"/>
        <v>2275.7385510435738</v>
      </c>
      <c r="R169" s="137">
        <f t="shared" si="219"/>
        <v>2304.416025168649</v>
      </c>
      <c r="S169" s="137">
        <f t="shared" si="219"/>
        <v>1822.8959894848927</v>
      </c>
      <c r="T169" s="137">
        <f t="shared" si="219"/>
        <v>1674.2010844264403</v>
      </c>
      <c r="U169" s="137">
        <f t="shared" si="219"/>
        <v>1723.3431445356268</v>
      </c>
      <c r="V169" s="137">
        <f t="shared" si="219"/>
        <v>1499.3543716853214</v>
      </c>
      <c r="W169" s="137">
        <f t="shared" si="221"/>
        <v>1508.8105557048584</v>
      </c>
      <c r="X169" s="137">
        <f t="shared" si="221"/>
        <v>1460.4347944992646</v>
      </c>
      <c r="Y169" s="137">
        <f t="shared" si="221"/>
        <v>1507.3784207057533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11515.652671206111</v>
      </c>
      <c r="C170" s="110">
        <f t="shared" si="219"/>
        <v>11573.200246614417</v>
      </c>
      <c r="D170" s="110">
        <f t="shared" si="219"/>
        <v>11794.179714965112</v>
      </c>
      <c r="E170" s="110">
        <f t="shared" si="219"/>
        <v>12075.1030452591</v>
      </c>
      <c r="F170" s="110">
        <f t="shared" si="219"/>
        <v>12663.598978161026</v>
      </c>
      <c r="G170" s="110">
        <f t="shared" si="219"/>
        <v>12454.570005765076</v>
      </c>
      <c r="H170" s="110">
        <f t="shared" si="219"/>
        <v>12656.475310811516</v>
      </c>
      <c r="I170" s="110">
        <f t="shared" si="219"/>
        <v>13133.411473258664</v>
      </c>
      <c r="J170" s="110">
        <f t="shared" si="219"/>
        <v>13194.871091573179</v>
      </c>
      <c r="K170" s="110">
        <f t="shared" si="219"/>
        <v>13664.870045503807</v>
      </c>
      <c r="L170" s="110">
        <f t="shared" si="219"/>
        <v>13695.3513069737</v>
      </c>
      <c r="M170" s="110">
        <f t="shared" si="222"/>
        <v>13712.024390951754</v>
      </c>
      <c r="N170" s="110">
        <f t="shared" si="219"/>
        <v>13795.133205218286</v>
      </c>
      <c r="O170" s="110">
        <f t="shared" si="219"/>
        <v>13913.346707262615</v>
      </c>
      <c r="P170" s="110">
        <f t="shared" si="219"/>
        <v>14291.188097036138</v>
      </c>
      <c r="Q170" s="110">
        <f t="shared" si="219"/>
        <v>14443.968218658922</v>
      </c>
      <c r="R170" s="110">
        <f t="shared" si="219"/>
        <v>14171.951131218386</v>
      </c>
      <c r="S170" s="110">
        <f t="shared" si="219"/>
        <v>14739.838267599385</v>
      </c>
      <c r="T170" s="110">
        <f t="shared" si="219"/>
        <v>15018.047142627234</v>
      </c>
      <c r="U170" s="110">
        <f t="shared" si="219"/>
        <v>15221.763520612798</v>
      </c>
      <c r="V170" s="110">
        <f t="shared" si="219"/>
        <v>13363.454526233014</v>
      </c>
      <c r="W170" s="110">
        <f t="shared" si="221"/>
        <v>13744.029084298965</v>
      </c>
      <c r="X170" s="110">
        <f t="shared" si="221"/>
        <v>14547.069757779869</v>
      </c>
      <c r="Y170" s="110">
        <f t="shared" si="221"/>
        <v>14965.13000104188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10598.793764115331</v>
      </c>
      <c r="C171" s="84">
        <f t="shared" si="219"/>
        <v>10564.785462533619</v>
      </c>
      <c r="D171" s="84">
        <f t="shared" si="219"/>
        <v>10411.201691694565</v>
      </c>
      <c r="E171" s="84">
        <f t="shared" si="219"/>
        <v>10618.217190986099</v>
      </c>
      <c r="F171" s="84">
        <f t="shared" si="219"/>
        <v>10846.087541102966</v>
      </c>
      <c r="G171" s="84">
        <f t="shared" si="219"/>
        <v>10419.134743885486</v>
      </c>
      <c r="H171" s="84">
        <f t="shared" si="219"/>
        <v>10346.535502368086</v>
      </c>
      <c r="I171" s="84">
        <f t="shared" si="219"/>
        <v>10505.483485008854</v>
      </c>
      <c r="J171" s="84">
        <f t="shared" si="219"/>
        <v>10318.751835412646</v>
      </c>
      <c r="K171" s="84">
        <f t="shared" si="219"/>
        <v>10466.566813615604</v>
      </c>
      <c r="L171" s="84">
        <f t="shared" si="219"/>
        <v>10277.641661978183</v>
      </c>
      <c r="M171" s="84">
        <f t="shared" si="222"/>
        <v>10149.843924288689</v>
      </c>
      <c r="N171" s="84">
        <f t="shared" si="219"/>
        <v>10059.174143467209</v>
      </c>
      <c r="O171" s="84">
        <f t="shared" si="219"/>
        <v>10006.897055282108</v>
      </c>
      <c r="P171" s="84">
        <f t="shared" si="219"/>
        <v>10142.947644305304</v>
      </c>
      <c r="Q171" s="84">
        <f t="shared" si="219"/>
        <v>10199.413703645461</v>
      </c>
      <c r="R171" s="84">
        <f t="shared" si="219"/>
        <v>9888.245320025193</v>
      </c>
      <c r="S171" s="84">
        <f t="shared" si="219"/>
        <v>10174.243565819586</v>
      </c>
      <c r="T171" s="84">
        <f t="shared" si="219"/>
        <v>10281.547330058898</v>
      </c>
      <c r="U171" s="84">
        <f t="shared" si="219"/>
        <v>10357.281185115922</v>
      </c>
      <c r="V171" s="84">
        <f t="shared" si="219"/>
        <v>8481.7497203621315</v>
      </c>
      <c r="W171" s="84">
        <f t="shared" si="221"/>
        <v>9075.5188588460551</v>
      </c>
      <c r="X171" s="84">
        <f t="shared" si="221"/>
        <v>9867.9222729965095</v>
      </c>
      <c r="Y171" s="84">
        <f t="shared" si="221"/>
        <v>10352.514913815714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17989.963374785744</v>
      </c>
      <c r="C172" s="84">
        <f t="shared" si="219"/>
        <v>18294.506516498299</v>
      </c>
      <c r="D172" s="84">
        <f t="shared" si="219"/>
        <v>18392.766438005561</v>
      </c>
      <c r="E172" s="84">
        <f t="shared" si="219"/>
        <v>19137.446058350786</v>
      </c>
      <c r="F172" s="84">
        <f t="shared" si="219"/>
        <v>19943.05375069529</v>
      </c>
      <c r="G172" s="84">
        <f t="shared" si="219"/>
        <v>19349.581780531487</v>
      </c>
      <c r="H172" s="84">
        <f t="shared" si="219"/>
        <v>19406.903852106327</v>
      </c>
      <c r="I172" s="84">
        <f t="shared" si="219"/>
        <v>19902.091569246772</v>
      </c>
      <c r="J172" s="84">
        <f t="shared" si="219"/>
        <v>19743.821561738241</v>
      </c>
      <c r="K172" s="84">
        <f t="shared" si="219"/>
        <v>20226.916117031658</v>
      </c>
      <c r="L172" s="84">
        <f t="shared" si="219"/>
        <v>20060.431416955667</v>
      </c>
      <c r="M172" s="84">
        <f t="shared" si="222"/>
        <v>19830.04642710511</v>
      </c>
      <c r="N172" s="84">
        <f t="shared" si="219"/>
        <v>19652.902228964012</v>
      </c>
      <c r="O172" s="84">
        <f t="shared" si="219"/>
        <v>19550.766955405401</v>
      </c>
      <c r="P172" s="84">
        <f t="shared" si="219"/>
        <v>19816.572963545968</v>
      </c>
      <c r="Q172" s="84">
        <f t="shared" si="219"/>
        <v>19707.672100347587</v>
      </c>
      <c r="R172" s="84">
        <f t="shared" si="219"/>
        <v>19106.421415693861</v>
      </c>
      <c r="S172" s="84">
        <f t="shared" si="219"/>
        <v>19659.037459435272</v>
      </c>
      <c r="T172" s="84">
        <f t="shared" si="219"/>
        <v>19866.373632102292</v>
      </c>
      <c r="U172" s="84">
        <f t="shared" si="219"/>
        <v>20012.709296653837</v>
      </c>
      <c r="V172" s="84">
        <f t="shared" si="219"/>
        <v>18071.628116408167</v>
      </c>
      <c r="W172" s="84">
        <f t="shared" si="221"/>
        <v>18176.371609688013</v>
      </c>
      <c r="X172" s="84">
        <f t="shared" si="221"/>
        <v>19086.403176079875</v>
      </c>
      <c r="Y172" s="84">
        <f t="shared" si="221"/>
        <v>19602.274764743997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19231.577827977362</v>
      </c>
      <c r="I173" s="84">
        <f t="shared" si="219"/>
        <v>19921.506985677224</v>
      </c>
      <c r="J173" s="84">
        <f t="shared" si="219"/>
        <v>19567.408493476818</v>
      </c>
      <c r="K173" s="84">
        <f t="shared" si="219"/>
        <v>19847.709454880449</v>
      </c>
      <c r="L173" s="84">
        <f t="shared" si="219"/>
        <v>19489.451433392369</v>
      </c>
      <c r="M173" s="84">
        <f t="shared" si="222"/>
        <v>19247.109086391585</v>
      </c>
      <c r="N173" s="84">
        <f t="shared" si="219"/>
        <v>19075.1723378733</v>
      </c>
      <c r="O173" s="84">
        <f t="shared" si="219"/>
        <v>18976.03950129739</v>
      </c>
      <c r="P173" s="84">
        <f t="shared" si="219"/>
        <v>19234.031697801114</v>
      </c>
      <c r="Q173" s="84">
        <f t="shared" si="219"/>
        <v>19128.332157394769</v>
      </c>
      <c r="R173" s="84">
        <f t="shared" si="219"/>
        <v>18544.75624100256</v>
      </c>
      <c r="S173" s="84">
        <f t="shared" si="219"/>
        <v>19081.127212995987</v>
      </c>
      <c r="T173" s="84">
        <f t="shared" si="219"/>
        <v>19282.368392513465</v>
      </c>
      <c r="U173" s="84">
        <f t="shared" si="219"/>
        <v>19424.402275752553</v>
      </c>
      <c r="V173" s="84">
        <f t="shared" si="219"/>
        <v>15591.976470768952</v>
      </c>
      <c r="W173" s="84">
        <f t="shared" si="221"/>
        <v>16683.500595099609</v>
      </c>
      <c r="X173" s="84">
        <f t="shared" si="221"/>
        <v>17780.96218805627</v>
      </c>
      <c r="Y173" s="84">
        <f t="shared" si="221"/>
        <v>18284.758304989693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16069.281045046888</v>
      </c>
      <c r="O174" s="84">
        <f t="shared" si="219"/>
        <v>16308.714536391648</v>
      </c>
      <c r="P174" s="84">
        <f t="shared" si="219"/>
        <v>16864.390967171217</v>
      </c>
      <c r="Q174" s="84">
        <f t="shared" si="219"/>
        <v>17110.536152311979</v>
      </c>
      <c r="R174" s="84">
        <f t="shared" si="219"/>
        <v>16588.520080399132</v>
      </c>
      <c r="S174" s="84">
        <f t="shared" si="219"/>
        <v>17068.310729778685</v>
      </c>
      <c r="T174" s="84">
        <f t="shared" si="219"/>
        <v>17248.323521753158</v>
      </c>
      <c r="U174" s="84">
        <f t="shared" si="219"/>
        <v>17375.374634940577</v>
      </c>
      <c r="V174" s="84">
        <f t="shared" si="219"/>
        <v>14228.983100592055</v>
      </c>
      <c r="W174" s="84">
        <f t="shared" si="221"/>
        <v>15225.090191191297</v>
      </c>
      <c r="X174" s="84">
        <f t="shared" si="221"/>
        <v>16554.426137255603</v>
      </c>
      <c r="Y174" s="84">
        <f t="shared" si="221"/>
        <v>17367.378738336756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10118.209770611302</v>
      </c>
      <c r="P175" s="84">
        <f t="shared" si="219"/>
        <v>10255.773731901909</v>
      </c>
      <c r="Q175" s="84">
        <f t="shared" si="219"/>
        <v>10199.413703645461</v>
      </c>
      <c r="R175" s="84">
        <f t="shared" si="219"/>
        <v>9888.245320025193</v>
      </c>
      <c r="S175" s="84">
        <f t="shared" si="219"/>
        <v>10174.243565819586</v>
      </c>
      <c r="T175" s="84">
        <f t="shared" si="219"/>
        <v>10281.547330058898</v>
      </c>
      <c r="U175" s="84">
        <f t="shared" si="219"/>
        <v>10357.281185115922</v>
      </c>
      <c r="V175" s="84">
        <f t="shared" si="219"/>
        <v>8481.7497203621315</v>
      </c>
      <c r="W175" s="84">
        <f t="shared" si="221"/>
        <v>9075.5188588460551</v>
      </c>
      <c r="X175" s="84">
        <f t="shared" si="221"/>
        <v>9867.9222729965095</v>
      </c>
      <c r="Y175" s="84">
        <f t="shared" si="221"/>
        <v>10352.514913815714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7086.1367508681469</v>
      </c>
      <c r="N176" s="84">
        <f t="shared" si="219"/>
        <v>7089.3167516490767</v>
      </c>
      <c r="O176" s="84">
        <f t="shared" si="219"/>
        <v>7091.1639391359258</v>
      </c>
      <c r="P176" s="84">
        <f t="shared" si="219"/>
        <v>7095.9535416795643</v>
      </c>
      <c r="Q176" s="84">
        <f t="shared" si="219"/>
        <v>7097.9235055967783</v>
      </c>
      <c r="R176" s="84">
        <f t="shared" si="219"/>
        <v>7086.9360828239114</v>
      </c>
      <c r="S176" s="84">
        <f t="shared" si="219"/>
        <v>7076.839905691445</v>
      </c>
      <c r="T176" s="84">
        <f t="shared" si="219"/>
        <v>7073.1285879941061</v>
      </c>
      <c r="U176" s="84">
        <f t="shared" si="219"/>
        <v>7070.5335791361431</v>
      </c>
      <c r="V176" s="84">
        <f t="shared" si="219"/>
        <v>6086.7007986876761</v>
      </c>
      <c r="W176" s="84">
        <f t="shared" si="221"/>
        <v>7023.9833590129574</v>
      </c>
      <c r="X176" s="84">
        <f t="shared" si="221"/>
        <v>7053.44341763184</v>
      </c>
      <c r="Y176" s="84">
        <f t="shared" si="221"/>
        <v>7070.3708556891534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72340.406156365876</v>
      </c>
      <c r="C177" s="110">
        <f t="shared" si="219"/>
        <v>70840.977944350961</v>
      </c>
      <c r="D177" s="110">
        <f t="shared" si="219"/>
        <v>69419.30398731117</v>
      </c>
      <c r="E177" s="110">
        <f t="shared" si="219"/>
        <v>68046.78014170719</v>
      </c>
      <c r="F177" s="110">
        <f t="shared" si="219"/>
        <v>66856.428876462523</v>
      </c>
      <c r="G177" s="110">
        <f t="shared" si="219"/>
        <v>65520.934651430318</v>
      </c>
      <c r="H177" s="110">
        <f t="shared" si="219"/>
        <v>65509.639324455187</v>
      </c>
      <c r="I177" s="110">
        <f t="shared" si="219"/>
        <v>64314.429308593622</v>
      </c>
      <c r="J177" s="110">
        <f t="shared" si="219"/>
        <v>63130.700392086474</v>
      </c>
      <c r="K177" s="110">
        <f t="shared" si="219"/>
        <v>63355.279655305443</v>
      </c>
      <c r="L177" s="110">
        <f t="shared" si="219"/>
        <v>62917.926265701979</v>
      </c>
      <c r="M177" s="110">
        <f t="shared" si="222"/>
        <v>63605.712527624783</v>
      </c>
      <c r="N177" s="110">
        <f t="shared" si="219"/>
        <v>63594.32334733176</v>
      </c>
      <c r="O177" s="110">
        <f t="shared" si="219"/>
        <v>63263.362293611273</v>
      </c>
      <c r="P177" s="110">
        <f t="shared" si="219"/>
        <v>62613.713969959186</v>
      </c>
      <c r="Q177" s="110">
        <f t="shared" si="219"/>
        <v>61640.798226164094</v>
      </c>
      <c r="R177" s="110">
        <f t="shared" si="219"/>
        <v>59903.804110188023</v>
      </c>
      <c r="S177" s="110">
        <f t="shared" si="219"/>
        <v>58995.81589958159</v>
      </c>
      <c r="T177" s="110">
        <f t="shared" si="219"/>
        <v>56943.875460876676</v>
      </c>
      <c r="U177" s="110">
        <f t="shared" si="219"/>
        <v>56603.77358490567</v>
      </c>
      <c r="V177" s="110">
        <f t="shared" si="219"/>
        <v>44559.585492227976</v>
      </c>
      <c r="W177" s="110">
        <f t="shared" si="221"/>
        <v>44863.167339614178</v>
      </c>
      <c r="X177" s="110">
        <f t="shared" si="221"/>
        <v>51227.773073666394</v>
      </c>
      <c r="Y177" s="110">
        <f t="shared" si="221"/>
        <v>53527.980535279807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59585.042119275735</v>
      </c>
      <c r="C178" s="102">
        <f t="shared" si="219"/>
        <v>57146.003609210784</v>
      </c>
      <c r="D178" s="102">
        <f t="shared" si="219"/>
        <v>54845.523352166972</v>
      </c>
      <c r="E178" s="102">
        <f t="shared" si="219"/>
        <v>52654.404375154518</v>
      </c>
      <c r="F178" s="102">
        <f t="shared" si="219"/>
        <v>50674.200748845906</v>
      </c>
      <c r="G178" s="102">
        <f t="shared" si="219"/>
        <v>48639.095497799251</v>
      </c>
      <c r="H178" s="102">
        <f t="shared" si="219"/>
        <v>50190.521575591694</v>
      </c>
      <c r="I178" s="102">
        <f t="shared" si="219"/>
        <v>48264.177514920622</v>
      </c>
      <c r="J178" s="102">
        <f t="shared" si="219"/>
        <v>46403.798737050136</v>
      </c>
      <c r="K178" s="102">
        <f t="shared" si="219"/>
        <v>45796.479768021614</v>
      </c>
      <c r="L178" s="102">
        <f t="shared" si="219"/>
        <v>45408.258538624097</v>
      </c>
      <c r="M178" s="102">
        <f t="shared" si="222"/>
        <v>45251.229778240056</v>
      </c>
      <c r="N178" s="102">
        <f t="shared" si="219"/>
        <v>44655.564795398779</v>
      </c>
      <c r="O178" s="102">
        <f t="shared" si="219"/>
        <v>43900.095678882564</v>
      </c>
      <c r="P178" s="102">
        <f t="shared" si="219"/>
        <v>42991.334131392156</v>
      </c>
      <c r="Q178" s="102">
        <f t="shared" si="219"/>
        <v>42261.205784268677</v>
      </c>
      <c r="R178" s="102">
        <f t="shared" si="219"/>
        <v>41831.89240206797</v>
      </c>
      <c r="S178" s="102">
        <f t="shared" si="219"/>
        <v>40343.050796570606</v>
      </c>
      <c r="T178" s="102">
        <f t="shared" si="219"/>
        <v>38093.590802774175</v>
      </c>
      <c r="U178" s="102">
        <f t="shared" si="219"/>
        <v>37097.638980994896</v>
      </c>
      <c r="V178" s="102">
        <f t="shared" si="219"/>
        <v>28279.575834760297</v>
      </c>
      <c r="W178" s="102">
        <f t="shared" si="221"/>
        <v>27912.272453238693</v>
      </c>
      <c r="X178" s="102">
        <f t="shared" si="221"/>
        <v>31442.537975643205</v>
      </c>
      <c r="Y178" s="102">
        <f t="shared" si="221"/>
        <v>32268.057400003203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72578.040335687008</v>
      </c>
      <c r="C179" s="102">
        <f t="shared" si="219"/>
        <v>71086.490089294661</v>
      </c>
      <c r="D179" s="102">
        <f t="shared" si="219"/>
        <v>69666.317218415308</v>
      </c>
      <c r="E179" s="102">
        <f t="shared" si="219"/>
        <v>68281.977734065382</v>
      </c>
      <c r="F179" s="102">
        <f t="shared" si="219"/>
        <v>67066.474022521361</v>
      </c>
      <c r="G179" s="102">
        <f t="shared" si="219"/>
        <v>65723.112365845067</v>
      </c>
      <c r="H179" s="102">
        <f t="shared" si="219"/>
        <v>65665.956852504823</v>
      </c>
      <c r="I179" s="102">
        <f t="shared" si="219"/>
        <v>64456.763309893795</v>
      </c>
      <c r="J179" s="102">
        <f t="shared" si="219"/>
        <v>63249.692578656854</v>
      </c>
      <c r="K179" s="102">
        <f t="shared" si="219"/>
        <v>63460.949464055397</v>
      </c>
      <c r="L179" s="102">
        <f t="shared" si="219"/>
        <v>63005.430852044192</v>
      </c>
      <c r="M179" s="102">
        <f t="shared" si="222"/>
        <v>63678.47559105148</v>
      </c>
      <c r="N179" s="102">
        <f t="shared" si="219"/>
        <v>63582.013961467012</v>
      </c>
      <c r="O179" s="102">
        <f t="shared" si="219"/>
        <v>63238.319118558007</v>
      </c>
      <c r="P179" s="102">
        <f t="shared" si="219"/>
        <v>62393.006670298455</v>
      </c>
      <c r="Q179" s="102">
        <f t="shared" si="219"/>
        <v>61404.29503533939</v>
      </c>
      <c r="R179" s="102">
        <f t="shared" si="219"/>
        <v>59607.621845626774</v>
      </c>
      <c r="S179" s="102">
        <f t="shared" si="219"/>
        <v>58816.274970717175</v>
      </c>
      <c r="T179" s="102">
        <f t="shared" si="219"/>
        <v>56863.413101543825</v>
      </c>
      <c r="U179" s="102">
        <f t="shared" si="219"/>
        <v>56521.636114102563</v>
      </c>
      <c r="V179" s="102">
        <f t="shared" si="219"/>
        <v>44471.654947378775</v>
      </c>
      <c r="W179" s="102">
        <f t="shared" si="221"/>
        <v>44725.322137803138</v>
      </c>
      <c r="X179" s="102">
        <f t="shared" si="221"/>
        <v>51037.435614610411</v>
      </c>
      <c r="Y179" s="102">
        <f t="shared" si="221"/>
        <v>53546.9652673331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0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71448.903672638058</v>
      </c>
      <c r="O181" s="102">
        <f t="shared" si="223"/>
        <v>70240.153086212114</v>
      </c>
      <c r="P181" s="102">
        <f t="shared" si="223"/>
        <v>68786.134610227455</v>
      </c>
      <c r="Q181" s="102">
        <f t="shared" si="223"/>
        <v>67617.929254829884</v>
      </c>
      <c r="R181" s="102">
        <f t="shared" si="223"/>
        <v>64306.281653375067</v>
      </c>
      <c r="S181" s="102">
        <f t="shared" si="223"/>
        <v>62017.552597081085</v>
      </c>
      <c r="T181" s="102">
        <f t="shared" si="223"/>
        <v>58559.559194852853</v>
      </c>
      <c r="U181" s="102">
        <f t="shared" si="223"/>
        <v>59356.222369591829</v>
      </c>
      <c r="V181" s="102">
        <f t="shared" si="223"/>
        <v>47094.150777886527</v>
      </c>
      <c r="W181" s="102">
        <f t="shared" si="221"/>
        <v>48379.722216325747</v>
      </c>
      <c r="X181" s="102">
        <f t="shared" si="221"/>
        <v>56723.087897145539</v>
      </c>
      <c r="Y181" s="102">
        <f t="shared" si="221"/>
        <v>60588.358679665544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49446.180373484021</v>
      </c>
      <c r="Q182" s="102">
        <f t="shared" si="223"/>
        <v>49452.47599830744</v>
      </c>
      <c r="R182" s="102">
        <f t="shared" si="223"/>
        <v>49381.849126648711</v>
      </c>
      <c r="S182" s="102">
        <f t="shared" si="223"/>
        <v>49344.151872757684</v>
      </c>
      <c r="T182" s="102">
        <f t="shared" si="223"/>
        <v>49256.889030938408</v>
      </c>
      <c r="U182" s="102">
        <f t="shared" si="223"/>
        <v>49242.137601053873</v>
      </c>
      <c r="V182" s="102">
        <f t="shared" si="223"/>
        <v>41153.683689076235</v>
      </c>
      <c r="W182" s="102">
        <f t="shared" si="221"/>
        <v>48673.113143952905</v>
      </c>
      <c r="X182" s="102">
        <f t="shared" si="221"/>
        <v>48997.046507744213</v>
      </c>
      <c r="Y182" s="102">
        <f t="shared" si="221"/>
        <v>49104.768855119793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15424.67793678021</v>
      </c>
      <c r="C183" s="28">
        <f t="shared" si="223"/>
        <v>16206.673492716005</v>
      </c>
      <c r="D183" s="28">
        <f t="shared" si="223"/>
        <v>17230.616796585815</v>
      </c>
      <c r="E183" s="28">
        <f t="shared" si="223"/>
        <v>17932.209551029558</v>
      </c>
      <c r="F183" s="28">
        <f t="shared" si="223"/>
        <v>20574.326833263989</v>
      </c>
      <c r="G183" s="28">
        <f t="shared" si="223"/>
        <v>21229.490260015758</v>
      </c>
      <c r="H183" s="28">
        <f t="shared" si="223"/>
        <v>21217.082460111087</v>
      </c>
      <c r="I183" s="28">
        <f t="shared" si="223"/>
        <v>21152.946563724396</v>
      </c>
      <c r="J183" s="28">
        <f t="shared" si="223"/>
        <v>20986.620863287357</v>
      </c>
      <c r="K183" s="28">
        <f t="shared" si="223"/>
        <v>20102.637873709125</v>
      </c>
      <c r="L183" s="28">
        <f t="shared" si="223"/>
        <v>20503.026250527022</v>
      </c>
      <c r="M183" s="28">
        <f t="shared" si="222"/>
        <v>20584.108986102528</v>
      </c>
      <c r="N183" s="28">
        <f t="shared" si="223"/>
        <v>20430.094631224278</v>
      </c>
      <c r="O183" s="28">
        <f t="shared" si="223"/>
        <v>20520.964264616869</v>
      </c>
      <c r="P183" s="28">
        <f t="shared" si="223"/>
        <v>21005.66188119465</v>
      </c>
      <c r="Q183" s="28">
        <f t="shared" si="223"/>
        <v>21208.402154367701</v>
      </c>
      <c r="R183" s="28">
        <f t="shared" si="223"/>
        <v>21272.527837738566</v>
      </c>
      <c r="S183" s="28">
        <f t="shared" si="223"/>
        <v>21773.785973947965</v>
      </c>
      <c r="T183" s="28">
        <f t="shared" si="223"/>
        <v>21358.343508655915</v>
      </c>
      <c r="U183" s="28">
        <f t="shared" si="223"/>
        <v>21573.056628225313</v>
      </c>
      <c r="V183" s="28">
        <f t="shared" si="223"/>
        <v>21043.642406242121</v>
      </c>
      <c r="W183" s="28">
        <f t="shared" si="221"/>
        <v>21596.629699374931</v>
      </c>
      <c r="X183" s="28">
        <f t="shared" si="221"/>
        <v>21688.372541793684</v>
      </c>
      <c r="Y183" s="28">
        <f t="shared" si="221"/>
        <v>21625.508968289694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13747.377347452919</v>
      </c>
      <c r="C184" s="137">
        <f t="shared" si="223"/>
        <v>14131.281578144091</v>
      </c>
      <c r="D184" s="137">
        <f t="shared" si="223"/>
        <v>14392.725535914313</v>
      </c>
      <c r="E184" s="137">
        <f t="shared" si="223"/>
        <v>14678.106124575084</v>
      </c>
      <c r="F184" s="137">
        <f t="shared" si="223"/>
        <v>15410.84241764041</v>
      </c>
      <c r="G184" s="137">
        <f t="shared" si="223"/>
        <v>15670.273804194099</v>
      </c>
      <c r="H184" s="137">
        <f t="shared" si="223"/>
        <v>15927.300233708434</v>
      </c>
      <c r="I184" s="137">
        <f t="shared" si="223"/>
        <v>16115.222825943423</v>
      </c>
      <c r="J184" s="137">
        <f t="shared" si="223"/>
        <v>16028.738537711348</v>
      </c>
      <c r="K184" s="137">
        <f t="shared" si="223"/>
        <v>16146.320540152456</v>
      </c>
      <c r="L184" s="137">
        <f t="shared" si="223"/>
        <v>15982.329290596748</v>
      </c>
      <c r="M184" s="137">
        <f t="shared" si="222"/>
        <v>16207.394747221349</v>
      </c>
      <c r="N184" s="137">
        <f t="shared" si="223"/>
        <v>16374.741152895765</v>
      </c>
      <c r="O184" s="137">
        <f t="shared" si="223"/>
        <v>16777.139439114162</v>
      </c>
      <c r="P184" s="137">
        <f t="shared" si="223"/>
        <v>17176.019851710898</v>
      </c>
      <c r="Q184" s="137">
        <f t="shared" si="223"/>
        <v>17377.130627653383</v>
      </c>
      <c r="R184" s="137">
        <f t="shared" si="223"/>
        <v>17478.183272887214</v>
      </c>
      <c r="S184" s="137">
        <f t="shared" si="223"/>
        <v>17582.27210681123</v>
      </c>
      <c r="T184" s="137">
        <f t="shared" si="223"/>
        <v>17676.41786648177</v>
      </c>
      <c r="U184" s="137">
        <f t="shared" si="223"/>
        <v>17757.482168545885</v>
      </c>
      <c r="V184" s="137">
        <f t="shared" si="223"/>
        <v>17818.754507261514</v>
      </c>
      <c r="W184" s="137">
        <f t="shared" si="221"/>
        <v>17852.477262424985</v>
      </c>
      <c r="X184" s="137">
        <f t="shared" si="221"/>
        <v>17917.665224033881</v>
      </c>
      <c r="Y184" s="137">
        <f t="shared" si="221"/>
        <v>17980.708311439681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10341.745208471757</v>
      </c>
      <c r="C185" s="84">
        <f t="shared" si="223"/>
        <v>10747.012038591773</v>
      </c>
      <c r="D185" s="84">
        <f t="shared" si="223"/>
        <v>10961.871889734177</v>
      </c>
      <c r="E185" s="84">
        <f t="shared" si="223"/>
        <v>11161.288437049117</v>
      </c>
      <c r="F185" s="84">
        <f t="shared" si="223"/>
        <v>11927.805676779266</v>
      </c>
      <c r="G185" s="84">
        <f t="shared" si="223"/>
        <v>12077.584262419181</v>
      </c>
      <c r="H185" s="84">
        <f t="shared" si="223"/>
        <v>12240.276224278532</v>
      </c>
      <c r="I185" s="84">
        <f t="shared" si="223"/>
        <v>12352.914000392377</v>
      </c>
      <c r="J185" s="84">
        <f t="shared" si="223"/>
        <v>12199.803183503174</v>
      </c>
      <c r="K185" s="84">
        <f t="shared" si="223"/>
        <v>12298.620940762978</v>
      </c>
      <c r="L185" s="84">
        <f t="shared" si="223"/>
        <v>12057.336414751593</v>
      </c>
      <c r="M185" s="84">
        <f t="shared" si="222"/>
        <v>12246.170465191171</v>
      </c>
      <c r="N185" s="84">
        <f t="shared" si="223"/>
        <v>12367.143671546168</v>
      </c>
      <c r="O185" s="84">
        <f t="shared" si="223"/>
        <v>12816.514338190811</v>
      </c>
      <c r="P185" s="84">
        <f t="shared" si="223"/>
        <v>13290.698864856002</v>
      </c>
      <c r="Q185" s="84">
        <f t="shared" si="223"/>
        <v>13469.428606701549</v>
      </c>
      <c r="R185" s="84">
        <f t="shared" si="223"/>
        <v>13501.140867922884</v>
      </c>
      <c r="S185" s="84">
        <f t="shared" si="223"/>
        <v>13565.882800280282</v>
      </c>
      <c r="T185" s="84">
        <f t="shared" si="223"/>
        <v>13603.039731051806</v>
      </c>
      <c r="U185" s="84">
        <f t="shared" si="223"/>
        <v>13634.110148341011</v>
      </c>
      <c r="V185" s="84">
        <f t="shared" si="223"/>
        <v>13646.964623164329</v>
      </c>
      <c r="W185" s="84">
        <f t="shared" si="221"/>
        <v>13636.742021806198</v>
      </c>
      <c r="X185" s="84">
        <f t="shared" si="221"/>
        <v>13651.927049799497</v>
      </c>
      <c r="Y185" s="84">
        <f t="shared" si="221"/>
        <v>13670.058854114608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15057.552879908048</v>
      </c>
      <c r="C186" s="84">
        <f t="shared" si="223"/>
        <v>15399.297783391121</v>
      </c>
      <c r="D186" s="84">
        <f t="shared" si="223"/>
        <v>15602.672043148992</v>
      </c>
      <c r="E186" s="84">
        <f t="shared" si="223"/>
        <v>15794.771743379681</v>
      </c>
      <c r="F186" s="84">
        <f t="shared" si="223"/>
        <v>16380.834980802469</v>
      </c>
      <c r="G186" s="84">
        <f t="shared" si="223"/>
        <v>16536.567395112219</v>
      </c>
      <c r="H186" s="84">
        <f t="shared" si="223"/>
        <v>16701.308791631443</v>
      </c>
      <c r="I186" s="84">
        <f t="shared" si="223"/>
        <v>16815.964079255991</v>
      </c>
      <c r="J186" s="84">
        <f t="shared" si="223"/>
        <v>16665.067660782461</v>
      </c>
      <c r="K186" s="84">
        <f t="shared" si="223"/>
        <v>16687.847015315165</v>
      </c>
      <c r="L186" s="84">
        <f t="shared" si="223"/>
        <v>16477.502943736494</v>
      </c>
      <c r="M186" s="84">
        <f t="shared" si="222"/>
        <v>16659.63293617282</v>
      </c>
      <c r="N186" s="84">
        <f t="shared" si="223"/>
        <v>16795.755756984709</v>
      </c>
      <c r="O186" s="84">
        <f t="shared" si="223"/>
        <v>17153.367046925101</v>
      </c>
      <c r="P186" s="84">
        <f t="shared" si="223"/>
        <v>17504.11768772815</v>
      </c>
      <c r="Q186" s="84">
        <f t="shared" si="223"/>
        <v>17678.298849846768</v>
      </c>
      <c r="R186" s="84">
        <f t="shared" si="223"/>
        <v>17755.395740872344</v>
      </c>
      <c r="S186" s="84">
        <f t="shared" si="223"/>
        <v>17842.815902981361</v>
      </c>
      <c r="T186" s="84">
        <f t="shared" si="223"/>
        <v>17927.506540403265</v>
      </c>
      <c r="U186" s="84">
        <f t="shared" si="223"/>
        <v>18004.427263131794</v>
      </c>
      <c r="V186" s="84">
        <f t="shared" si="223"/>
        <v>18057.481031687279</v>
      </c>
      <c r="W186" s="84">
        <f t="shared" si="221"/>
        <v>18080.078655597525</v>
      </c>
      <c r="X186" s="84">
        <f t="shared" si="221"/>
        <v>18136.448166656581</v>
      </c>
      <c r="Y186" s="84">
        <f t="shared" si="221"/>
        <v>18196.893516443542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12639.068454250371</v>
      </c>
      <c r="I187" s="84">
        <f t="shared" si="223"/>
        <v>12775.232017242981</v>
      </c>
      <c r="J187" s="84">
        <f t="shared" si="223"/>
        <v>12747.657543744703</v>
      </c>
      <c r="K187" s="84">
        <f t="shared" si="223"/>
        <v>12876.612121978073</v>
      </c>
      <c r="L187" s="84">
        <f t="shared" si="223"/>
        <v>12792.791507793392</v>
      </c>
      <c r="M187" s="84">
        <f t="shared" si="222"/>
        <v>12979.808705622341</v>
      </c>
      <c r="N187" s="84">
        <f t="shared" si="223"/>
        <v>13124.875145536495</v>
      </c>
      <c r="O187" s="84">
        <f t="shared" si="223"/>
        <v>13477.440903134377</v>
      </c>
      <c r="P187" s="84">
        <f t="shared" si="223"/>
        <v>13844.739611416009</v>
      </c>
      <c r="Q187" s="84">
        <f t="shared" si="223"/>
        <v>14028.903692169397</v>
      </c>
      <c r="R187" s="84">
        <f t="shared" si="223"/>
        <v>13910.80203426946</v>
      </c>
      <c r="S187" s="84">
        <f t="shared" si="223"/>
        <v>13797.372631591736</v>
      </c>
      <c r="T187" s="84">
        <f t="shared" si="223"/>
        <v>13683.719655416156</v>
      </c>
      <c r="U187" s="84">
        <f t="shared" si="223"/>
        <v>13568.07069085587</v>
      </c>
      <c r="V187" s="84">
        <f t="shared" si="223"/>
        <v>13444.823083959465</v>
      </c>
      <c r="W187" s="84">
        <f t="shared" si="221"/>
        <v>13311.966771144995</v>
      </c>
      <c r="X187" s="84">
        <f t="shared" si="221"/>
        <v>13192.116837196627</v>
      </c>
      <c r="Y187" s="84">
        <f t="shared" si="221"/>
        <v>13074.680417963691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13495.0740474753</v>
      </c>
      <c r="Q188" s="84">
        <f t="shared" si="223"/>
        <v>13589.704695381053</v>
      </c>
      <c r="R188" s="84">
        <f t="shared" si="223"/>
        <v>12271.801921786973</v>
      </c>
      <c r="S188" s="84">
        <f t="shared" si="223"/>
        <v>12319.903252115297</v>
      </c>
      <c r="T188" s="84">
        <f t="shared" si="223"/>
        <v>12366.013460405491</v>
      </c>
      <c r="U188" s="84">
        <f t="shared" si="223"/>
        <v>12406.665077053309</v>
      </c>
      <c r="V188" s="84">
        <f t="shared" si="223"/>
        <v>12430.793088525666</v>
      </c>
      <c r="W188" s="84">
        <f t="shared" si="221"/>
        <v>12433.915406385022</v>
      </c>
      <c r="X188" s="84">
        <f t="shared" si="221"/>
        <v>12492.216466586482</v>
      </c>
      <c r="Y188" s="84">
        <f t="shared" si="221"/>
        <v>12521.329330841878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0</v>
      </c>
      <c r="P189" s="84">
        <f t="shared" si="223"/>
        <v>15815.395196698501</v>
      </c>
      <c r="Q189" s="84">
        <f t="shared" si="223"/>
        <v>15841.319614920329</v>
      </c>
      <c r="R189" s="84">
        <f t="shared" si="223"/>
        <v>15838.791149015531</v>
      </c>
      <c r="S189" s="84">
        <f t="shared" si="223"/>
        <v>15835.840882294755</v>
      </c>
      <c r="T189" s="84">
        <f t="shared" si="223"/>
        <v>15833.024046495508</v>
      </c>
      <c r="U189" s="84">
        <f t="shared" si="223"/>
        <v>15830.549783384868</v>
      </c>
      <c r="V189" s="84">
        <f t="shared" si="223"/>
        <v>15808.595909672222</v>
      </c>
      <c r="W189" s="84">
        <f t="shared" si="221"/>
        <v>15828.895940682738</v>
      </c>
      <c r="X189" s="84">
        <f t="shared" si="221"/>
        <v>15825.37032222897</v>
      </c>
      <c r="Y189" s="84">
        <f t="shared" si="221"/>
        <v>15823.616238238752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16869.826989957197</v>
      </c>
      <c r="C190" s="110">
        <f t="shared" si="223"/>
        <v>18127.674445182653</v>
      </c>
      <c r="D190" s="110">
        <f t="shared" si="223"/>
        <v>20023.159080005207</v>
      </c>
      <c r="E190" s="110">
        <f t="shared" si="223"/>
        <v>21422.901061543867</v>
      </c>
      <c r="F190" s="110">
        <f t="shared" si="223"/>
        <v>26509.666671191902</v>
      </c>
      <c r="G190" s="110">
        <f t="shared" si="223"/>
        <v>28397.215098511693</v>
      </c>
      <c r="H190" s="110">
        <f t="shared" si="223"/>
        <v>28295.471952369582</v>
      </c>
      <c r="I190" s="110">
        <f t="shared" si="223"/>
        <v>28537.105752966629</v>
      </c>
      <c r="J190" s="110">
        <f t="shared" si="223"/>
        <v>29352.161272391812</v>
      </c>
      <c r="K190" s="110">
        <f t="shared" si="223"/>
        <v>27541.58517466734</v>
      </c>
      <c r="L190" s="110">
        <f t="shared" si="223"/>
        <v>30136.074992767899</v>
      </c>
      <c r="M190" s="110">
        <f t="shared" si="222"/>
        <v>30624.231289075484</v>
      </c>
      <c r="N190" s="110">
        <f t="shared" si="223"/>
        <v>30000.658127725976</v>
      </c>
      <c r="O190" s="110">
        <f t="shared" si="223"/>
        <v>29626.843949331185</v>
      </c>
      <c r="P190" s="110">
        <f t="shared" si="223"/>
        <v>30605.493592915424</v>
      </c>
      <c r="Q190" s="110">
        <f t="shared" si="223"/>
        <v>31180.541626450551</v>
      </c>
      <c r="R190" s="110">
        <f t="shared" si="223"/>
        <v>31024.078731489</v>
      </c>
      <c r="S190" s="110">
        <f t="shared" si="223"/>
        <v>33159.413166270439</v>
      </c>
      <c r="T190" s="110">
        <f t="shared" si="223"/>
        <v>31736.591733721525</v>
      </c>
      <c r="U190" s="110">
        <f t="shared" si="223"/>
        <v>33283.179358331094</v>
      </c>
      <c r="V190" s="110">
        <f t="shared" si="223"/>
        <v>31263.496680306525</v>
      </c>
      <c r="W190" s="110">
        <f t="shared" si="221"/>
        <v>34250.198390866331</v>
      </c>
      <c r="X190" s="110">
        <f t="shared" si="221"/>
        <v>34660.84234392998</v>
      </c>
      <c r="Y190" s="110">
        <f t="shared" si="221"/>
        <v>34029.486317885094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9232.032561540811</v>
      </c>
      <c r="C191" s="102">
        <f t="shared" si="223"/>
        <v>9754.5501407668817</v>
      </c>
      <c r="D191" s="102">
        <f t="shared" si="223"/>
        <v>11461.886253668597</v>
      </c>
      <c r="E191" s="102">
        <f t="shared" si="223"/>
        <v>12645.360657070831</v>
      </c>
      <c r="F191" s="102">
        <f t="shared" si="223"/>
        <v>16825.436100457751</v>
      </c>
      <c r="G191" s="102">
        <f t="shared" si="223"/>
        <v>18247.702860100944</v>
      </c>
      <c r="H191" s="102">
        <f t="shared" si="223"/>
        <v>16716.164616037335</v>
      </c>
      <c r="I191" s="102">
        <f t="shared" si="223"/>
        <v>17263.140751598061</v>
      </c>
      <c r="J191" s="102">
        <f t="shared" si="223"/>
        <v>17875.920084121975</v>
      </c>
      <c r="K191" s="102">
        <f t="shared" si="223"/>
        <v>16490.618175335385</v>
      </c>
      <c r="L191" s="102">
        <f t="shared" si="223"/>
        <v>18744.09585840004</v>
      </c>
      <c r="M191" s="102">
        <f t="shared" si="222"/>
        <v>18452.318368205237</v>
      </c>
      <c r="N191" s="102">
        <f t="shared" si="223"/>
        <v>16982.047549733139</v>
      </c>
      <c r="O191" s="102">
        <f t="shared" si="223"/>
        <v>16355.653128430296</v>
      </c>
      <c r="P191" s="102">
        <f t="shared" si="223"/>
        <v>17624.270202433567</v>
      </c>
      <c r="Q191" s="102">
        <f t="shared" si="223"/>
        <v>17120.66513510557</v>
      </c>
      <c r="R191" s="102">
        <f t="shared" si="223"/>
        <v>16185.207949190739</v>
      </c>
      <c r="S191" s="102">
        <f t="shared" si="223"/>
        <v>17458.279845956353</v>
      </c>
      <c r="T191" s="102">
        <f t="shared" si="223"/>
        <v>15988.945913936044</v>
      </c>
      <c r="U191" s="102">
        <f t="shared" si="223"/>
        <v>17168.259158959685</v>
      </c>
      <c r="V191" s="102">
        <f t="shared" si="223"/>
        <v>16103.37972166998</v>
      </c>
      <c r="W191" s="102">
        <f t="shared" si="221"/>
        <v>18204.32159249136</v>
      </c>
      <c r="X191" s="102">
        <f t="shared" si="221"/>
        <v>18400.243309002431</v>
      </c>
      <c r="Y191" s="102">
        <f t="shared" si="221"/>
        <v>18422.049630611858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85008.289814331976</v>
      </c>
      <c r="C192" s="86">
        <f t="shared" si="223"/>
        <v>84993.355836272356</v>
      </c>
      <c r="D192" s="86">
        <f t="shared" si="223"/>
        <v>85003.271374782838</v>
      </c>
      <c r="E192" s="86">
        <f t="shared" si="223"/>
        <v>84990.28289535128</v>
      </c>
      <c r="F192" s="86">
        <f t="shared" si="223"/>
        <v>84998.560098273432</v>
      </c>
      <c r="G192" s="86">
        <f t="shared" si="223"/>
        <v>84994.72368609879</v>
      </c>
      <c r="H192" s="86">
        <f t="shared" si="223"/>
        <v>85001.117894058974</v>
      </c>
      <c r="I192" s="86">
        <f t="shared" si="223"/>
        <v>85001.186992488103</v>
      </c>
      <c r="J192" s="86">
        <f t="shared" si="223"/>
        <v>85001.281046227276</v>
      </c>
      <c r="K192" s="86">
        <f t="shared" si="223"/>
        <v>85004.052512792769</v>
      </c>
      <c r="L192" s="86">
        <f t="shared" si="223"/>
        <v>84990.486371638108</v>
      </c>
      <c r="M192" s="86">
        <f t="shared" si="222"/>
        <v>85000.494224912487</v>
      </c>
      <c r="N192" s="86">
        <f t="shared" si="223"/>
        <v>84995.467422007263</v>
      </c>
      <c r="O192" s="86">
        <f t="shared" si="223"/>
        <v>84996.914193621124</v>
      </c>
      <c r="P192" s="86">
        <f t="shared" si="223"/>
        <v>84996.641530126435</v>
      </c>
      <c r="Q192" s="86">
        <f t="shared" si="223"/>
        <v>85000.194477114055</v>
      </c>
      <c r="R192" s="86">
        <f t="shared" si="223"/>
        <v>84994.666129698991</v>
      </c>
      <c r="S192" s="86">
        <f t="shared" si="223"/>
        <v>85004.033616103741</v>
      </c>
      <c r="T192" s="86">
        <f t="shared" si="223"/>
        <v>85001.538302263158</v>
      </c>
      <c r="U192" s="86">
        <f t="shared" si="223"/>
        <v>85002.61248753703</v>
      </c>
      <c r="V192" s="86">
        <f t="shared" ref="V192:W192" si="224">IF(V55=0,0,V55*1000000/V82)</f>
        <v>85002.318598517828</v>
      </c>
      <c r="W192" s="86">
        <f t="shared" si="224"/>
        <v>84999.765671454967</v>
      </c>
      <c r="X192" s="86">
        <f t="shared" ref="X192:Y192" si="225">IF(X55=0,0,X55*1000000/X82)</f>
        <v>84996.492392737549</v>
      </c>
      <c r="Y192" s="86">
        <f t="shared" si="225"/>
        <v>84998.65320443963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24851.037581330558</v>
      </c>
      <c r="C195" s="28">
        <f t="shared" si="226"/>
        <v>24770.398265440261</v>
      </c>
      <c r="D195" s="28">
        <f t="shared" si="226"/>
        <v>24449.540533816267</v>
      </c>
      <c r="E195" s="28">
        <f t="shared" si="226"/>
        <v>24747.250525334104</v>
      </c>
      <c r="F195" s="28">
        <f t="shared" si="226"/>
        <v>25118.32476299207</v>
      </c>
      <c r="G195" s="28">
        <f t="shared" si="226"/>
        <v>24210.605071685688</v>
      </c>
      <c r="H195" s="28">
        <f t="shared" si="226"/>
        <v>24202.438565604498</v>
      </c>
      <c r="I195" s="28">
        <f t="shared" si="226"/>
        <v>25066.074782665102</v>
      </c>
      <c r="J195" s="28">
        <f t="shared" si="226"/>
        <v>24982.157601919003</v>
      </c>
      <c r="K195" s="28">
        <f t="shared" si="226"/>
        <v>25373.894027177281</v>
      </c>
      <c r="L195" s="28">
        <f t="shared" si="226"/>
        <v>25173.351923774237</v>
      </c>
      <c r="M195" s="28">
        <f>IF(M4=0,0,M4*1000000/M58)</f>
        <v>25004.531414198998</v>
      </c>
      <c r="N195" s="28">
        <f t="shared" ref="N195:V195" si="227">IF(N4=0,0,N4*1000000/N58)</f>
        <v>24807.1013798356</v>
      </c>
      <c r="O195" s="28">
        <f t="shared" si="227"/>
        <v>24725.50488756159</v>
      </c>
      <c r="P195" s="28">
        <f t="shared" si="227"/>
        <v>25147.941180078393</v>
      </c>
      <c r="Q195" s="28">
        <f t="shared" si="227"/>
        <v>25258.221699034759</v>
      </c>
      <c r="R195" s="28">
        <f t="shared" si="227"/>
        <v>24975.956514575573</v>
      </c>
      <c r="S195" s="28">
        <f t="shared" si="227"/>
        <v>24956.282794125851</v>
      </c>
      <c r="T195" s="28">
        <f t="shared" si="227"/>
        <v>24887.759855122073</v>
      </c>
      <c r="U195" s="28">
        <f t="shared" si="227"/>
        <v>24763.541919164556</v>
      </c>
      <c r="V195" s="28">
        <f t="shared" si="227"/>
        <v>17682.27309958747</v>
      </c>
      <c r="W195" s="28">
        <f t="shared" ref="W195:Y195" si="228">IF(W4=0,0,W4*1000000/W58)</f>
        <v>18006.358980945297</v>
      </c>
      <c r="X195" s="28">
        <f t="shared" si="228"/>
        <v>19672.862125809243</v>
      </c>
      <c r="Y195" s="28">
        <f t="shared" si="228"/>
        <v>20406.53826775619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2167.6625267449749</v>
      </c>
      <c r="C196" s="137">
        <f t="shared" si="229"/>
        <v>1992.3324786498561</v>
      </c>
      <c r="D196" s="137">
        <f t="shared" si="229"/>
        <v>1948.3389254459466</v>
      </c>
      <c r="E196" s="137">
        <f t="shared" si="229"/>
        <v>2283.6379194812671</v>
      </c>
      <c r="F196" s="137">
        <f t="shared" si="229"/>
        <v>2491.7809770981685</v>
      </c>
      <c r="G196" s="137">
        <f t="shared" si="229"/>
        <v>2656.2758469418559</v>
      </c>
      <c r="H196" s="137">
        <f t="shared" si="229"/>
        <v>2756.7398473547905</v>
      </c>
      <c r="I196" s="137">
        <f t="shared" si="229"/>
        <v>2361.7416857939552</v>
      </c>
      <c r="J196" s="137">
        <f t="shared" si="229"/>
        <v>2253.8064474811181</v>
      </c>
      <c r="K196" s="137">
        <f t="shared" si="229"/>
        <v>2160.1010345436994</v>
      </c>
      <c r="L196" s="137">
        <f t="shared" si="229"/>
        <v>2723.816504839951</v>
      </c>
      <c r="M196" s="137">
        <f>IF(M5=0,0,M5*1000000/M59)</f>
        <v>3161.1609424599765</v>
      </c>
      <c r="N196" s="137">
        <f t="shared" ref="N196:V196" si="230">IF(N5=0,0,N5*1000000/N59)</f>
        <v>2845.6285058660796</v>
      </c>
      <c r="O196" s="137">
        <f t="shared" si="230"/>
        <v>2547.3797581875733</v>
      </c>
      <c r="P196" s="137">
        <f t="shared" si="230"/>
        <v>2536.2444648550618</v>
      </c>
      <c r="Q196" s="137">
        <f t="shared" si="230"/>
        <v>2620.3220523659293</v>
      </c>
      <c r="R196" s="137">
        <f t="shared" si="230"/>
        <v>2654.5894602384678</v>
      </c>
      <c r="S196" s="137">
        <f t="shared" si="230"/>
        <v>2098.9144384866522</v>
      </c>
      <c r="T196" s="137">
        <f t="shared" si="230"/>
        <v>1926.9312796476183</v>
      </c>
      <c r="U196" s="137">
        <f t="shared" si="230"/>
        <v>1984.7996450831006</v>
      </c>
      <c r="V196" s="137">
        <f t="shared" si="230"/>
        <v>1724.9740892469852</v>
      </c>
      <c r="W196" s="137">
        <f t="shared" ref="W196:Y196" si="231">IF(W5=0,0,W5*1000000/W59)</f>
        <v>1736.5897197651191</v>
      </c>
      <c r="X196" s="137">
        <f t="shared" si="231"/>
        <v>1681.0390908742775</v>
      </c>
      <c r="Y196" s="137">
        <f t="shared" si="231"/>
        <v>1737.2785326026999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22116.430903155604</v>
      </c>
      <c r="C197" s="110">
        <f t="shared" si="232"/>
        <v>22223.290598290598</v>
      </c>
      <c r="D197" s="110">
        <f t="shared" si="232"/>
        <v>22045.360397680201</v>
      </c>
      <c r="E197" s="110">
        <f t="shared" si="232"/>
        <v>22242.961418143899</v>
      </c>
      <c r="F197" s="110">
        <f t="shared" si="232"/>
        <v>22912.681912681914</v>
      </c>
      <c r="G197" s="110">
        <f t="shared" si="232"/>
        <v>22264.094955489614</v>
      </c>
      <c r="H197" s="110">
        <f t="shared" si="232"/>
        <v>22314.258001939859</v>
      </c>
      <c r="I197" s="110">
        <f t="shared" si="232"/>
        <v>23554.158607350098</v>
      </c>
      <c r="J197" s="110">
        <f t="shared" si="232"/>
        <v>23802.598595457242</v>
      </c>
      <c r="K197" s="110">
        <f t="shared" si="232"/>
        <v>24342.263079657518</v>
      </c>
      <c r="L197" s="110">
        <f t="shared" si="232"/>
        <v>24147.317854283428</v>
      </c>
      <c r="M197" s="110">
        <f>IF(M6=0,0,M6*1000000/M60)</f>
        <v>23898.205550530856</v>
      </c>
      <c r="N197" s="110">
        <f t="shared" ref="N197:V197" si="233">IF(N6=0,0,N6*1000000/N60)</f>
        <v>23735.519564386443</v>
      </c>
      <c r="O197" s="110">
        <f t="shared" si="233"/>
        <v>23592.494177955974</v>
      </c>
      <c r="P197" s="110">
        <f t="shared" si="233"/>
        <v>23998.132580663318</v>
      </c>
      <c r="Q197" s="110">
        <f t="shared" si="233"/>
        <v>24099.046176962423</v>
      </c>
      <c r="R197" s="110">
        <f t="shared" si="233"/>
        <v>23849.020950768929</v>
      </c>
      <c r="S197" s="110">
        <f t="shared" si="233"/>
        <v>24276.008891393507</v>
      </c>
      <c r="T197" s="110">
        <f t="shared" si="233"/>
        <v>24289.025937103615</v>
      </c>
      <c r="U197" s="110">
        <f t="shared" si="233"/>
        <v>24239.491114846685</v>
      </c>
      <c r="V197" s="110">
        <f t="shared" si="233"/>
        <v>17920.200907157319</v>
      </c>
      <c r="W197" s="110">
        <f t="shared" ref="W197:Y209" si="234">IF(W6=0,0,W6*1000000/W60)</f>
        <v>18076.31549522177</v>
      </c>
      <c r="X197" s="110">
        <f t="shared" si="234"/>
        <v>19391.350066859584</v>
      </c>
      <c r="Y197" s="110">
        <f t="shared" si="234"/>
        <v>20105.398739603352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20233.509680254319</v>
      </c>
      <c r="C198" s="84">
        <f t="shared" si="232"/>
        <v>20157.506706533237</v>
      </c>
      <c r="D198" s="84">
        <f t="shared" si="232"/>
        <v>19298.029335556472</v>
      </c>
      <c r="E198" s="84">
        <f t="shared" si="232"/>
        <v>19395.681783294458</v>
      </c>
      <c r="F198" s="84">
        <f t="shared" si="232"/>
        <v>19433.874074174808</v>
      </c>
      <c r="G198" s="84">
        <f t="shared" si="232"/>
        <v>18422.457091622804</v>
      </c>
      <c r="H198" s="84">
        <f t="shared" si="232"/>
        <v>18023.021241704046</v>
      </c>
      <c r="I198" s="84">
        <f t="shared" si="232"/>
        <v>18597.326463346792</v>
      </c>
      <c r="J198" s="84">
        <f t="shared" si="232"/>
        <v>18354.653809723266</v>
      </c>
      <c r="K198" s="84">
        <f t="shared" si="232"/>
        <v>18370.90819824997</v>
      </c>
      <c r="L198" s="84">
        <f t="shared" si="232"/>
        <v>17841.002732095742</v>
      </c>
      <c r="M198" s="84">
        <f t="shared" ref="M198:M219" si="235">IF(M7=0,0,M7*1000000/M61)</f>
        <v>17405.724600647674</v>
      </c>
      <c r="N198" s="84">
        <f t="shared" si="232"/>
        <v>17018.95040129366</v>
      </c>
      <c r="O198" s="84">
        <f t="shared" si="232"/>
        <v>16677.138436960326</v>
      </c>
      <c r="P198" s="84">
        <f t="shared" si="232"/>
        <v>16730.180425494997</v>
      </c>
      <c r="Q198" s="84">
        <f t="shared" si="232"/>
        <v>16708.064457744764</v>
      </c>
      <c r="R198" s="84">
        <f t="shared" si="232"/>
        <v>16330.105506817494</v>
      </c>
      <c r="S198" s="84">
        <f t="shared" si="232"/>
        <v>16437.065745399716</v>
      </c>
      <c r="T198" s="84">
        <f t="shared" si="232"/>
        <v>16306.030311815273</v>
      </c>
      <c r="U198" s="84">
        <f t="shared" si="232"/>
        <v>16169.675787876895</v>
      </c>
      <c r="V198" s="84">
        <f t="shared" si="232"/>
        <v>11142.305155907838</v>
      </c>
      <c r="W198" s="84">
        <f t="shared" si="234"/>
        <v>11699.046399056881</v>
      </c>
      <c r="X198" s="84">
        <f t="shared" si="234"/>
        <v>12899.203554454109</v>
      </c>
      <c r="Y198" s="84">
        <f t="shared" si="234"/>
        <v>13647.266448551314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35412.497433291865</v>
      </c>
      <c r="C199" s="84">
        <f t="shared" si="232"/>
        <v>35992.194469082504</v>
      </c>
      <c r="D199" s="84">
        <f t="shared" si="232"/>
        <v>35153.668675388712</v>
      </c>
      <c r="E199" s="84">
        <f t="shared" si="232"/>
        <v>36045.323062688447</v>
      </c>
      <c r="F199" s="84">
        <f t="shared" si="232"/>
        <v>36845.922610050446</v>
      </c>
      <c r="G199" s="84">
        <f t="shared" si="232"/>
        <v>35277.595704852727</v>
      </c>
      <c r="H199" s="84">
        <f t="shared" si="232"/>
        <v>34857.8336819287</v>
      </c>
      <c r="I199" s="84">
        <f t="shared" si="232"/>
        <v>36328.267560419728</v>
      </c>
      <c r="J199" s="84">
        <f t="shared" si="232"/>
        <v>36212.769811381397</v>
      </c>
      <c r="K199" s="84">
        <f t="shared" si="232"/>
        <v>36607.28725656461</v>
      </c>
      <c r="L199" s="84">
        <f t="shared" si="232"/>
        <v>35906.870360465429</v>
      </c>
      <c r="M199" s="84">
        <f t="shared" si="235"/>
        <v>35064.525919353917</v>
      </c>
      <c r="N199" s="84">
        <f t="shared" si="232"/>
        <v>34285.353879731869</v>
      </c>
      <c r="O199" s="84">
        <f t="shared" si="232"/>
        <v>33596.760054544873</v>
      </c>
      <c r="P199" s="84">
        <f t="shared" si="232"/>
        <v>33703.615254455312</v>
      </c>
      <c r="Q199" s="84">
        <f t="shared" si="232"/>
        <v>33288.770800919287</v>
      </c>
      <c r="R199" s="84">
        <f t="shared" si="232"/>
        <v>32535.733911374526</v>
      </c>
      <c r="S199" s="84">
        <f t="shared" si="232"/>
        <v>32748.839078402092</v>
      </c>
      <c r="T199" s="84">
        <f t="shared" si="232"/>
        <v>32487.767035831079</v>
      </c>
      <c r="U199" s="84">
        <f t="shared" si="232"/>
        <v>32216.097357602786</v>
      </c>
      <c r="V199" s="84">
        <f t="shared" si="232"/>
        <v>24479.264960695426</v>
      </c>
      <c r="W199" s="84">
        <f t="shared" si="234"/>
        <v>24160.042274828094</v>
      </c>
      <c r="X199" s="84">
        <f t="shared" si="234"/>
        <v>25726.029692725715</v>
      </c>
      <c r="Y199" s="84">
        <f t="shared" si="234"/>
        <v>26645.125815376243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0</v>
      </c>
      <c r="C200" s="84">
        <f t="shared" si="232"/>
        <v>0</v>
      </c>
      <c r="D200" s="84">
        <f t="shared" si="232"/>
        <v>0</v>
      </c>
      <c r="E200" s="84">
        <f t="shared" si="232"/>
        <v>0</v>
      </c>
      <c r="F200" s="84">
        <f t="shared" si="232"/>
        <v>0</v>
      </c>
      <c r="G200" s="84">
        <f t="shared" si="232"/>
        <v>0</v>
      </c>
      <c r="H200" s="84">
        <f t="shared" si="232"/>
        <v>32889.428338642778</v>
      </c>
      <c r="I200" s="84">
        <f t="shared" si="232"/>
        <v>34656.441405775768</v>
      </c>
      <c r="J200" s="84">
        <f t="shared" si="232"/>
        <v>34239.251879799747</v>
      </c>
      <c r="K200" s="84">
        <f t="shared" si="232"/>
        <v>34295.534356810502</v>
      </c>
      <c r="L200" s="84">
        <f t="shared" si="232"/>
        <v>33332.437334284565</v>
      </c>
      <c r="M200" s="84">
        <f t="shared" si="235"/>
        <v>32538.756889791755</v>
      </c>
      <c r="N200" s="84">
        <f t="shared" si="232"/>
        <v>31835.600707858226</v>
      </c>
      <c r="O200" s="84">
        <f t="shared" si="232"/>
        <v>31211.853448939855</v>
      </c>
      <c r="P200" s="84">
        <f t="shared" si="232"/>
        <v>31329.33486160135</v>
      </c>
      <c r="Q200" s="84">
        <f t="shared" si="232"/>
        <v>30957.23532354656</v>
      </c>
      <c r="R200" s="84">
        <f t="shared" si="232"/>
        <v>30271.488219430055</v>
      </c>
      <c r="S200" s="84">
        <f t="shared" si="232"/>
        <v>30483.184232201518</v>
      </c>
      <c r="T200" s="84">
        <f t="shared" si="232"/>
        <v>30250.234489185106</v>
      </c>
      <c r="U200" s="84">
        <f t="shared" si="232"/>
        <v>30003.914918571551</v>
      </c>
      <c r="V200" s="84">
        <f t="shared" si="232"/>
        <v>20281.358374582909</v>
      </c>
      <c r="W200" s="84">
        <f t="shared" si="234"/>
        <v>21284.074118139815</v>
      </c>
      <c r="X200" s="84">
        <f t="shared" si="234"/>
        <v>22991.087690763237</v>
      </c>
      <c r="Y200" s="84">
        <f t="shared" si="234"/>
        <v>23828.305257414588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0</v>
      </c>
      <c r="M201" s="84">
        <f t="shared" si="235"/>
        <v>0</v>
      </c>
      <c r="N201" s="84">
        <f t="shared" si="232"/>
        <v>26818.903963281475</v>
      </c>
      <c r="O201" s="84">
        <f t="shared" si="232"/>
        <v>26824.628396017477</v>
      </c>
      <c r="P201" s="84">
        <f t="shared" si="232"/>
        <v>27469.547734387615</v>
      </c>
      <c r="Q201" s="84">
        <f t="shared" si="232"/>
        <v>27691.640328108781</v>
      </c>
      <c r="R201" s="84">
        <f t="shared" si="232"/>
        <v>27078.230830627173</v>
      </c>
      <c r="S201" s="84">
        <f t="shared" si="232"/>
        <v>27267.595603782585</v>
      </c>
      <c r="T201" s="84">
        <f t="shared" si="232"/>
        <v>27059.219098881018</v>
      </c>
      <c r="U201" s="84">
        <f t="shared" si="232"/>
        <v>26838.883113321728</v>
      </c>
      <c r="V201" s="84">
        <f t="shared" si="232"/>
        <v>18508.43644550211</v>
      </c>
      <c r="W201" s="84">
        <f t="shared" si="234"/>
        <v>19423.498458103073</v>
      </c>
      <c r="X201" s="84">
        <f t="shared" si="234"/>
        <v>21405.15563592863</v>
      </c>
      <c r="Y201" s="84">
        <f t="shared" si="234"/>
        <v>22632.795861747283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0</v>
      </c>
      <c r="O202" s="84">
        <f t="shared" si="232"/>
        <v>16284.769226338203</v>
      </c>
      <c r="P202" s="84">
        <f t="shared" si="232"/>
        <v>16346.065095765071</v>
      </c>
      <c r="Q202" s="84">
        <f t="shared" si="232"/>
        <v>16151.9223443145</v>
      </c>
      <c r="R202" s="84">
        <f t="shared" si="232"/>
        <v>15794.134129127733</v>
      </c>
      <c r="S202" s="84">
        <f t="shared" si="232"/>
        <v>15904.586419945999</v>
      </c>
      <c r="T202" s="84">
        <f t="shared" si="232"/>
        <v>15783.045005798227</v>
      </c>
      <c r="U202" s="84">
        <f t="shared" si="232"/>
        <v>15654.527890660078</v>
      </c>
      <c r="V202" s="84">
        <f t="shared" si="232"/>
        <v>10795.562293902114</v>
      </c>
      <c r="W202" s="84">
        <f t="shared" si="234"/>
        <v>11329.29776036924</v>
      </c>
      <c r="X202" s="84">
        <f t="shared" si="234"/>
        <v>12485.154635225515</v>
      </c>
      <c r="Y202" s="84">
        <f t="shared" si="234"/>
        <v>13201.210071423428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0</v>
      </c>
      <c r="M203" s="84">
        <f t="shared" si="235"/>
        <v>9895.3597406237004</v>
      </c>
      <c r="N203" s="84">
        <f t="shared" si="232"/>
        <v>9773.1725952919332</v>
      </c>
      <c r="O203" s="84">
        <f t="shared" si="232"/>
        <v>9634.2545760332196</v>
      </c>
      <c r="P203" s="84">
        <f t="shared" si="232"/>
        <v>9547.2483398282566</v>
      </c>
      <c r="Q203" s="84">
        <f t="shared" si="232"/>
        <v>9488.6185354108729</v>
      </c>
      <c r="R203" s="84">
        <f t="shared" si="232"/>
        <v>9555.5957340202076</v>
      </c>
      <c r="S203" s="84">
        <f t="shared" si="232"/>
        <v>9338.6109651477036</v>
      </c>
      <c r="T203" s="84">
        <f t="shared" si="232"/>
        <v>9165.7188582596227</v>
      </c>
      <c r="U203" s="84">
        <f t="shared" si="232"/>
        <v>9021.2986323665955</v>
      </c>
      <c r="V203" s="84">
        <f t="shared" si="232"/>
        <v>6539.7994592037603</v>
      </c>
      <c r="W203" s="84">
        <f t="shared" si="234"/>
        <v>7401.8054212756406</v>
      </c>
      <c r="X203" s="84">
        <f t="shared" si="234"/>
        <v>7533.4178200262577</v>
      </c>
      <c r="Y203" s="84">
        <f t="shared" si="234"/>
        <v>7610.8424853057868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1883808.4991931145</v>
      </c>
      <c r="C204" s="110">
        <f t="shared" si="232"/>
        <v>1867363.7864611999</v>
      </c>
      <c r="D204" s="110">
        <f t="shared" si="232"/>
        <v>1855000</v>
      </c>
      <c r="E204" s="110">
        <f t="shared" si="232"/>
        <v>1920847.2686733557</v>
      </c>
      <c r="F204" s="110">
        <f t="shared" si="232"/>
        <v>1718099.3059263213</v>
      </c>
      <c r="G204" s="110">
        <f t="shared" si="232"/>
        <v>1647122.1086605701</v>
      </c>
      <c r="H204" s="110">
        <f t="shared" si="232"/>
        <v>1665603.4024455077</v>
      </c>
      <c r="I204" s="110">
        <f t="shared" si="232"/>
        <v>1672699.0692864528</v>
      </c>
      <c r="J204" s="110">
        <f t="shared" si="232"/>
        <v>1587285.5701311806</v>
      </c>
      <c r="K204" s="110">
        <f t="shared" si="232"/>
        <v>1593220.3389830508</v>
      </c>
      <c r="L204" s="110">
        <f t="shared" si="232"/>
        <v>1582794.6295375435</v>
      </c>
      <c r="M204" s="110">
        <f t="shared" si="235"/>
        <v>1601255.2489849736</v>
      </c>
      <c r="N204" s="110">
        <f t="shared" si="232"/>
        <v>1603287.2832965381</v>
      </c>
      <c r="O204" s="110">
        <f t="shared" si="232"/>
        <v>1599566.7678792304</v>
      </c>
      <c r="P204" s="110">
        <f t="shared" si="232"/>
        <v>1592332.5734145308</v>
      </c>
      <c r="Q204" s="110">
        <f t="shared" si="232"/>
        <v>1585845.9273062674</v>
      </c>
      <c r="R204" s="110">
        <f t="shared" si="232"/>
        <v>1577262.5270846856</v>
      </c>
      <c r="S204" s="110">
        <f t="shared" si="232"/>
        <v>1539841.6115335182</v>
      </c>
      <c r="T204" s="110">
        <f t="shared" si="232"/>
        <v>1536898.7258168377</v>
      </c>
      <c r="U204" s="110">
        <f t="shared" si="232"/>
        <v>1511560.5053288403</v>
      </c>
      <c r="V204" s="110">
        <f t="shared" si="232"/>
        <v>1033498.1606078694</v>
      </c>
      <c r="W204" s="110">
        <f t="shared" si="234"/>
        <v>1042093.739443614</v>
      </c>
      <c r="X204" s="110">
        <f t="shared" si="234"/>
        <v>1332545.329473326</v>
      </c>
      <c r="Y204" s="110">
        <f t="shared" si="234"/>
        <v>1398224.4146740241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596787.49153341365</v>
      </c>
      <c r="C205" s="102">
        <f t="shared" si="232"/>
        <v>579371.19695288083</v>
      </c>
      <c r="D205" s="102">
        <f t="shared" si="232"/>
        <v>563678.53350586316</v>
      </c>
      <c r="E205" s="102">
        <f t="shared" si="232"/>
        <v>571671.59131619579</v>
      </c>
      <c r="F205" s="102">
        <f t="shared" si="232"/>
        <v>500862.64988378785</v>
      </c>
      <c r="G205" s="102">
        <f t="shared" si="232"/>
        <v>470281.45669944549</v>
      </c>
      <c r="H205" s="102">
        <f t="shared" si="232"/>
        <v>490811.52477294626</v>
      </c>
      <c r="I205" s="102">
        <f t="shared" si="232"/>
        <v>482792.99108470127</v>
      </c>
      <c r="J205" s="102">
        <f t="shared" si="232"/>
        <v>448739.85896374582</v>
      </c>
      <c r="K205" s="102">
        <f t="shared" si="232"/>
        <v>442947.01378546702</v>
      </c>
      <c r="L205" s="102">
        <f t="shared" si="232"/>
        <v>439351.04775699123</v>
      </c>
      <c r="M205" s="102">
        <f t="shared" si="235"/>
        <v>438148.65488065832</v>
      </c>
      <c r="N205" s="102">
        <f t="shared" si="232"/>
        <v>433007.31766125339</v>
      </c>
      <c r="O205" s="102">
        <f t="shared" si="232"/>
        <v>426915.79362594517</v>
      </c>
      <c r="P205" s="102">
        <f t="shared" si="232"/>
        <v>420505.70180205174</v>
      </c>
      <c r="Q205" s="102">
        <f t="shared" si="232"/>
        <v>418178.08861775848</v>
      </c>
      <c r="R205" s="102">
        <f t="shared" si="232"/>
        <v>423627.11159542459</v>
      </c>
      <c r="S205" s="102">
        <f t="shared" si="232"/>
        <v>404995.5290865248</v>
      </c>
      <c r="T205" s="102">
        <f t="shared" si="232"/>
        <v>395436.53690537193</v>
      </c>
      <c r="U205" s="102">
        <f t="shared" si="232"/>
        <v>381024.65051344037</v>
      </c>
      <c r="V205" s="102">
        <f t="shared" si="232"/>
        <v>252271.45323538175</v>
      </c>
      <c r="W205" s="102">
        <f t="shared" si="234"/>
        <v>249366.84060269091</v>
      </c>
      <c r="X205" s="102">
        <f t="shared" si="234"/>
        <v>314572.50487017713</v>
      </c>
      <c r="Y205" s="102">
        <f t="shared" si="234"/>
        <v>324186.92501212558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1907785.8768700622</v>
      </c>
      <c r="C206" s="102">
        <f t="shared" si="232"/>
        <v>1890453.8496904806</v>
      </c>
      <c r="D206" s="102">
        <f t="shared" si="232"/>
        <v>1876886.80451685</v>
      </c>
      <c r="E206" s="102">
        <f t="shared" si="232"/>
        <v>1941462.8562730404</v>
      </c>
      <c r="F206" s="102">
        <f t="shared" si="232"/>
        <v>1733899.0245553213</v>
      </c>
      <c r="G206" s="102">
        <f t="shared" si="232"/>
        <v>1661216.0086840568</v>
      </c>
      <c r="H206" s="102">
        <f t="shared" si="232"/>
        <v>1677591.0746666563</v>
      </c>
      <c r="I206" s="102">
        <f t="shared" si="232"/>
        <v>1683251.1836993012</v>
      </c>
      <c r="J206" s="102">
        <f t="shared" si="232"/>
        <v>1595384.9806781034</v>
      </c>
      <c r="K206" s="102">
        <f t="shared" si="232"/>
        <v>1600142.7461557544</v>
      </c>
      <c r="L206" s="102">
        <f t="shared" si="232"/>
        <v>1588508.9902660819</v>
      </c>
      <c r="M206" s="102">
        <f t="shared" si="235"/>
        <v>1605866.1770091732</v>
      </c>
      <c r="N206" s="102">
        <f t="shared" si="232"/>
        <v>1605384.3670962248</v>
      </c>
      <c r="O206" s="102">
        <f t="shared" si="232"/>
        <v>1600909.9773216343</v>
      </c>
      <c r="P206" s="102">
        <f t="shared" si="232"/>
        <v>1588269.8513581548</v>
      </c>
      <c r="Q206" s="102">
        <f t="shared" si="232"/>
        <v>1580945.0922203045</v>
      </c>
      <c r="R206" s="102">
        <f t="shared" si="232"/>
        <v>1570645.1411624281</v>
      </c>
      <c r="S206" s="102">
        <f t="shared" si="232"/>
        <v>1536237.8838774625</v>
      </c>
      <c r="T206" s="102">
        <f t="shared" si="232"/>
        <v>1535763.5268841414</v>
      </c>
      <c r="U206" s="102">
        <f t="shared" si="232"/>
        <v>1510345.6435751386</v>
      </c>
      <c r="V206" s="102">
        <f t="shared" si="232"/>
        <v>1032294.729485537</v>
      </c>
      <c r="W206" s="102">
        <f t="shared" si="234"/>
        <v>1039606.4245728694</v>
      </c>
      <c r="X206" s="102">
        <f t="shared" si="234"/>
        <v>1328231.6283364589</v>
      </c>
      <c r="Y206" s="102">
        <f t="shared" si="234"/>
        <v>1404652.5425718622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0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0</v>
      </c>
      <c r="M208" s="102">
        <f t="shared" si="235"/>
        <v>0</v>
      </c>
      <c r="N208" s="102">
        <f t="shared" si="232"/>
        <v>1804015.724820093</v>
      </c>
      <c r="O208" s="102">
        <f t="shared" si="232"/>
        <v>1778164.9394175119</v>
      </c>
      <c r="P208" s="102">
        <f t="shared" si="232"/>
        <v>1751012.6474622316</v>
      </c>
      <c r="Q208" s="102">
        <f t="shared" si="232"/>
        <v>1740924.365958438</v>
      </c>
      <c r="R208" s="102">
        <f t="shared" si="232"/>
        <v>1694453.589956573</v>
      </c>
      <c r="S208" s="102">
        <f t="shared" si="232"/>
        <v>1619852.9031706438</v>
      </c>
      <c r="T208" s="102">
        <f t="shared" si="232"/>
        <v>1581572.9351537321</v>
      </c>
      <c r="U208" s="102">
        <f t="shared" si="232"/>
        <v>1586090.1778216977</v>
      </c>
      <c r="V208" s="102">
        <f t="shared" si="232"/>
        <v>1093169.2039599912</v>
      </c>
      <c r="W208" s="102">
        <f t="shared" si="234"/>
        <v>1124550.2017889658</v>
      </c>
      <c r="X208" s="102">
        <f t="shared" si="234"/>
        <v>1476198.7645854575</v>
      </c>
      <c r="Y208" s="102">
        <f t="shared" si="234"/>
        <v>1589363.498841787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0</v>
      </c>
      <c r="M209" s="102">
        <f t="shared" si="235"/>
        <v>0</v>
      </c>
      <c r="N209" s="102">
        <f t="shared" si="232"/>
        <v>0</v>
      </c>
      <c r="O209" s="102">
        <f t="shared" si="232"/>
        <v>0</v>
      </c>
      <c r="P209" s="102">
        <f t="shared" si="232"/>
        <v>1258696.7954119642</v>
      </c>
      <c r="Q209" s="102">
        <f t="shared" si="232"/>
        <v>1273227.6982037083</v>
      </c>
      <c r="R209" s="102">
        <f t="shared" si="232"/>
        <v>1301198.7224260874</v>
      </c>
      <c r="S209" s="102">
        <f t="shared" si="232"/>
        <v>1288832.9887003906</v>
      </c>
      <c r="T209" s="102">
        <f t="shared" si="232"/>
        <v>1330326.9975442428</v>
      </c>
      <c r="U209" s="102">
        <f t="shared" si="232"/>
        <v>1315826.1706356148</v>
      </c>
      <c r="V209" s="102">
        <f t="shared" si="232"/>
        <v>955276.58733222622</v>
      </c>
      <c r="W209" s="102">
        <f t="shared" si="234"/>
        <v>1131369.8529103782</v>
      </c>
      <c r="X209" s="102">
        <f t="shared" si="234"/>
        <v>1275131.2067886915</v>
      </c>
      <c r="Y209" s="102">
        <f t="shared" si="234"/>
        <v>1288124.1370148505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101672.06872518561</v>
      </c>
      <c r="C210" s="28">
        <f t="shared" si="232"/>
        <v>106425.62853019984</v>
      </c>
      <c r="D210" s="28">
        <f t="shared" si="232"/>
        <v>107117.26354558047</v>
      </c>
      <c r="E210" s="28">
        <f t="shared" si="232"/>
        <v>106630.37066708031</v>
      </c>
      <c r="F210" s="28">
        <f t="shared" ref="B210:V219" si="236">IF(F19=0,0,F19*1000000/F73)</f>
        <v>117352.02151927329</v>
      </c>
      <c r="G210" s="28">
        <f t="shared" si="236"/>
        <v>118293.90579450288</v>
      </c>
      <c r="H210" s="28">
        <f t="shared" si="236"/>
        <v>122784.8555356365</v>
      </c>
      <c r="I210" s="28">
        <f t="shared" si="236"/>
        <v>118071.99501796898</v>
      </c>
      <c r="J210" s="28">
        <f t="shared" si="236"/>
        <v>111219.97479004506</v>
      </c>
      <c r="K210" s="28">
        <f t="shared" si="236"/>
        <v>96758.534924106207</v>
      </c>
      <c r="L210" s="28">
        <f t="shared" si="236"/>
        <v>98195.477262751068</v>
      </c>
      <c r="M210" s="28">
        <f t="shared" si="235"/>
        <v>97087.575265081105</v>
      </c>
      <c r="N210" s="28">
        <f t="shared" si="236"/>
        <v>94225.252381084851</v>
      </c>
      <c r="O210" s="28">
        <f t="shared" si="236"/>
        <v>93992.69193864819</v>
      </c>
      <c r="P210" s="28">
        <f t="shared" si="236"/>
        <v>94083.21659937728</v>
      </c>
      <c r="Q210" s="28">
        <f t="shared" si="236"/>
        <v>95545.574750972184</v>
      </c>
      <c r="R210" s="28">
        <f t="shared" si="236"/>
        <v>97754.829931677217</v>
      </c>
      <c r="S210" s="28">
        <f t="shared" si="236"/>
        <v>101248.96839947345</v>
      </c>
      <c r="T210" s="28">
        <f t="shared" si="236"/>
        <v>96639.483267750984</v>
      </c>
      <c r="U210" s="28">
        <f t="shared" si="236"/>
        <v>94208.098349426364</v>
      </c>
      <c r="V210" s="28">
        <f t="shared" si="236"/>
        <v>85712.280512313504</v>
      </c>
      <c r="W210" s="28">
        <f t="shared" ref="W210:Y210" si="237">IF(W19=0,0,W19*1000000/W73)</f>
        <v>89944.708616451302</v>
      </c>
      <c r="X210" s="28">
        <f t="shared" si="237"/>
        <v>89981.819537838062</v>
      </c>
      <c r="Y210" s="28">
        <f t="shared" si="237"/>
        <v>90550.971732216043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2415.5848624664231</v>
      </c>
      <c r="C211" s="137">
        <f t="shared" si="236"/>
        <v>2471.3885016866966</v>
      </c>
      <c r="D211" s="137">
        <f t="shared" si="236"/>
        <v>2514.3747925360381</v>
      </c>
      <c r="E211" s="137">
        <f t="shared" si="236"/>
        <v>2565.4511956197898</v>
      </c>
      <c r="F211" s="137">
        <f t="shared" si="236"/>
        <v>2679.6799549486491</v>
      </c>
      <c r="G211" s="137">
        <f t="shared" si="236"/>
        <v>2730.0879610270777</v>
      </c>
      <c r="H211" s="137">
        <f t="shared" si="236"/>
        <v>2777.1713979032324</v>
      </c>
      <c r="I211" s="137">
        <f t="shared" si="236"/>
        <v>2813.5570338739367</v>
      </c>
      <c r="J211" s="137">
        <f t="shared" si="236"/>
        <v>2809.9332072028092</v>
      </c>
      <c r="K211" s="137">
        <f t="shared" si="236"/>
        <v>2839.1831862355903</v>
      </c>
      <c r="L211" s="137">
        <f t="shared" si="236"/>
        <v>2823.7539983888278</v>
      </c>
      <c r="M211" s="137">
        <f t="shared" si="235"/>
        <v>2861.2739706476923</v>
      </c>
      <c r="N211" s="137">
        <f t="shared" si="236"/>
        <v>2889.4137807646844</v>
      </c>
      <c r="O211" s="137">
        <f t="shared" si="236"/>
        <v>2950.8770720933976</v>
      </c>
      <c r="P211" s="137">
        <f t="shared" si="236"/>
        <v>3011.1686138951841</v>
      </c>
      <c r="Q211" s="137">
        <f t="shared" si="236"/>
        <v>3043.2622206465958</v>
      </c>
      <c r="R211" s="137">
        <f t="shared" si="236"/>
        <v>3062.2942910361744</v>
      </c>
      <c r="S211" s="137">
        <f t="shared" si="236"/>
        <v>3080.0478432373216</v>
      </c>
      <c r="T211" s="137">
        <f t="shared" si="236"/>
        <v>3095.3934521277315</v>
      </c>
      <c r="U211" s="137">
        <f t="shared" si="236"/>
        <v>3108.0295053362538</v>
      </c>
      <c r="V211" s="137">
        <f t="shared" si="236"/>
        <v>3118.4137750523755</v>
      </c>
      <c r="W211" s="137">
        <f t="shared" ref="W211:Y211" si="238">IF(W20=0,0,W20*1000000/W74)</f>
        <v>3125.3383140742235</v>
      </c>
      <c r="X211" s="137">
        <f t="shared" si="238"/>
        <v>3136.252605648554</v>
      </c>
      <c r="Y211" s="137">
        <f t="shared" si="238"/>
        <v>3146.2065039460958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1530.7898258227192</v>
      </c>
      <c r="C212" s="84">
        <f t="shared" si="236"/>
        <v>1578.5948744555023</v>
      </c>
      <c r="D212" s="84">
        <f t="shared" si="236"/>
        <v>1603.7928679299512</v>
      </c>
      <c r="E212" s="84">
        <f t="shared" si="236"/>
        <v>1627.0914589016595</v>
      </c>
      <c r="F212" s="84">
        <f t="shared" si="236"/>
        <v>1715.8880282707482</v>
      </c>
      <c r="G212" s="84">
        <f t="shared" si="236"/>
        <v>1733.1037460557377</v>
      </c>
      <c r="H212" s="84">
        <f t="shared" si="236"/>
        <v>1751.755440299193</v>
      </c>
      <c r="I212" s="84">
        <f t="shared" si="236"/>
        <v>1764.6396547291129</v>
      </c>
      <c r="J212" s="84">
        <f t="shared" si="236"/>
        <v>1747.1200976211871</v>
      </c>
      <c r="K212" s="84">
        <f t="shared" si="236"/>
        <v>1758.4322209698157</v>
      </c>
      <c r="L212" s="84">
        <f t="shared" si="236"/>
        <v>1730.7789428915266</v>
      </c>
      <c r="M212" s="84">
        <f t="shared" si="235"/>
        <v>1752.4302467355062</v>
      </c>
      <c r="N212" s="84">
        <f t="shared" si="236"/>
        <v>1766.2656581678521</v>
      </c>
      <c r="O212" s="84">
        <f t="shared" si="236"/>
        <v>1817.424767522002</v>
      </c>
      <c r="P212" s="84">
        <f t="shared" si="236"/>
        <v>1871.0213986723893</v>
      </c>
      <c r="Q212" s="84">
        <f t="shared" si="236"/>
        <v>1891.1232683754606</v>
      </c>
      <c r="R212" s="84">
        <f t="shared" si="236"/>
        <v>1894.6843809026066</v>
      </c>
      <c r="S212" s="84">
        <f t="shared" si="236"/>
        <v>1901.9493562131488</v>
      </c>
      <c r="T212" s="84">
        <f t="shared" si="236"/>
        <v>1906.1157649082111</v>
      </c>
      <c r="U212" s="84">
        <f t="shared" si="236"/>
        <v>1909.5979452764059</v>
      </c>
      <c r="V212" s="84">
        <f t="shared" si="236"/>
        <v>1911.0381311040594</v>
      </c>
      <c r="W212" s="84">
        <f t="shared" ref="W212:Y212" si="239">IF(W21=0,0,W21*1000000/W75)</f>
        <v>1909.8928364338199</v>
      </c>
      <c r="X212" s="84">
        <f t="shared" si="239"/>
        <v>1911.5940373874892</v>
      </c>
      <c r="Y212" s="84">
        <f t="shared" si="239"/>
        <v>1913.6248743751075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2755.9730080267132</v>
      </c>
      <c r="C213" s="84">
        <f t="shared" si="236"/>
        <v>2805.8999151659509</v>
      </c>
      <c r="D213" s="84">
        <f t="shared" si="236"/>
        <v>2835.5063629412198</v>
      </c>
      <c r="E213" s="84">
        <f t="shared" si="236"/>
        <v>2863.4006912050454</v>
      </c>
      <c r="F213" s="84">
        <f t="shared" si="236"/>
        <v>2948.0868282801266</v>
      </c>
      <c r="G213" s="84">
        <f t="shared" si="236"/>
        <v>2970.4875351159417</v>
      </c>
      <c r="H213" s="84">
        <f t="shared" si="236"/>
        <v>2994.1382321662063</v>
      </c>
      <c r="I213" s="84">
        <f t="shared" si="236"/>
        <v>3010.5708965220756</v>
      </c>
      <c r="J213" s="84">
        <f t="shared" si="236"/>
        <v>2988.9393810493357</v>
      </c>
      <c r="K213" s="84">
        <f t="shared" si="236"/>
        <v>2992.2073813800562</v>
      </c>
      <c r="L213" s="84">
        <f t="shared" si="236"/>
        <v>2961.9966328148748</v>
      </c>
      <c r="M213" s="84">
        <f t="shared" si="235"/>
        <v>2988.1595658068877</v>
      </c>
      <c r="N213" s="84">
        <f t="shared" si="236"/>
        <v>3007.676223278977</v>
      </c>
      <c r="O213" s="84">
        <f t="shared" si="236"/>
        <v>3058.7990507695404</v>
      </c>
      <c r="P213" s="84">
        <f t="shared" si="236"/>
        <v>3108.7344208254308</v>
      </c>
      <c r="Q213" s="84">
        <f t="shared" si="236"/>
        <v>3133.4575765661621</v>
      </c>
      <c r="R213" s="84">
        <f t="shared" si="236"/>
        <v>3144.3850834374589</v>
      </c>
      <c r="S213" s="84">
        <f t="shared" si="236"/>
        <v>3156.7643098004141</v>
      </c>
      <c r="T213" s="84">
        <f t="shared" si="236"/>
        <v>3168.7454556850585</v>
      </c>
      <c r="U213" s="84">
        <f t="shared" si="236"/>
        <v>3179.6175884170761</v>
      </c>
      <c r="V213" s="84">
        <f t="shared" si="236"/>
        <v>3187.110902965072</v>
      </c>
      <c r="W213" s="84">
        <f t="shared" ref="W213:Y213" si="240">IF(W22=0,0,W22*1000000/W76)</f>
        <v>3190.3012538232738</v>
      </c>
      <c r="X213" s="84">
        <f t="shared" si="240"/>
        <v>3198.256074215883</v>
      </c>
      <c r="Y213" s="84">
        <f t="shared" si="240"/>
        <v>3206.7805818272536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1705.0702392722735</v>
      </c>
      <c r="I214" s="84">
        <f t="shared" si="236"/>
        <v>1719.7497635377315</v>
      </c>
      <c r="J214" s="84">
        <f t="shared" si="236"/>
        <v>1716.779551264126</v>
      </c>
      <c r="K214" s="84">
        <f t="shared" si="236"/>
        <v>1730.6590286490252</v>
      </c>
      <c r="L214" s="84">
        <f t="shared" si="236"/>
        <v>1721.6405335070972</v>
      </c>
      <c r="M214" s="84">
        <f t="shared" si="235"/>
        <v>1741.746132685279</v>
      </c>
      <c r="N214" s="84">
        <f t="shared" si="236"/>
        <v>1757.3018488228965</v>
      </c>
      <c r="O214" s="84">
        <f t="shared" si="236"/>
        <v>1794.9657671178204</v>
      </c>
      <c r="P214" s="84">
        <f t="shared" si="236"/>
        <v>1833.9946101121475</v>
      </c>
      <c r="Q214" s="84">
        <f t="shared" si="236"/>
        <v>1853.4855664140191</v>
      </c>
      <c r="R214" s="84">
        <f t="shared" si="236"/>
        <v>1840.9922382846744</v>
      </c>
      <c r="S214" s="84">
        <f t="shared" si="236"/>
        <v>1828.9731767031208</v>
      </c>
      <c r="T214" s="84">
        <f t="shared" si="236"/>
        <v>1816.9105880171351</v>
      </c>
      <c r="U214" s="84">
        <f t="shared" si="236"/>
        <v>1804.6155674020492</v>
      </c>
      <c r="V214" s="84">
        <f t="shared" si="236"/>
        <v>1791.4896144799093</v>
      </c>
      <c r="W214" s="84">
        <f t="shared" ref="W214:Y214" si="241">IF(W23=0,0,W23*1000000/W77)</f>
        <v>1777.3133427404673</v>
      </c>
      <c r="X214" s="84">
        <f t="shared" si="241"/>
        <v>1764.5006089434564</v>
      </c>
      <c r="Y214" s="84">
        <f t="shared" si="241"/>
        <v>1751.9232941462317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1767.6843420282519</v>
      </c>
      <c r="Q215" s="84">
        <f t="shared" si="236"/>
        <v>1777.5937441151361</v>
      </c>
      <c r="R215" s="84">
        <f t="shared" si="236"/>
        <v>1638.291458141955</v>
      </c>
      <c r="S215" s="84">
        <f t="shared" si="236"/>
        <v>1643.4266882518148</v>
      </c>
      <c r="T215" s="84">
        <f t="shared" si="236"/>
        <v>1648.3455857921738</v>
      </c>
      <c r="U215" s="84">
        <f t="shared" si="236"/>
        <v>1652.6791352600731</v>
      </c>
      <c r="V215" s="84">
        <f t="shared" si="236"/>
        <v>1655.2498897381247</v>
      </c>
      <c r="W215" s="84">
        <f t="shared" ref="W215:Y215" si="242">IF(W24=0,0,W24*1000000/W78)</f>
        <v>1655.5824887255214</v>
      </c>
      <c r="X215" s="84">
        <f t="shared" si="242"/>
        <v>1661.7898361495763</v>
      </c>
      <c r="Y215" s="84">
        <f t="shared" si="242"/>
        <v>1664.8873295565284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0</v>
      </c>
      <c r="N216" s="84">
        <f t="shared" si="236"/>
        <v>0</v>
      </c>
      <c r="O216" s="84">
        <f t="shared" si="236"/>
        <v>0</v>
      </c>
      <c r="P216" s="84">
        <f t="shared" si="236"/>
        <v>2818.1299675758873</v>
      </c>
      <c r="Q216" s="84">
        <f t="shared" si="236"/>
        <v>2821.8249198004451</v>
      </c>
      <c r="R216" s="84">
        <f t="shared" si="236"/>
        <v>2821.4645961829096</v>
      </c>
      <c r="S216" s="84">
        <f t="shared" si="236"/>
        <v>2821.0441485320048</v>
      </c>
      <c r="T216" s="84">
        <f t="shared" si="236"/>
        <v>2820.6427017346209</v>
      </c>
      <c r="U216" s="84">
        <f t="shared" si="236"/>
        <v>2820.2900655618137</v>
      </c>
      <c r="V216" s="84">
        <f t="shared" si="236"/>
        <v>2817.1606791981462</v>
      </c>
      <c r="W216" s="84">
        <f t="shared" ref="W216:Y216" si="243">IF(W25=0,0,W25*1000000/W79)</f>
        <v>2820.0543509498748</v>
      </c>
      <c r="X216" s="84">
        <f t="shared" si="243"/>
        <v>2819.5518442851908</v>
      </c>
      <c r="Y216" s="84">
        <f t="shared" si="243"/>
        <v>2819.301826220787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187190.67796469867</v>
      </c>
      <c r="C217" s="110">
        <f t="shared" si="236"/>
        <v>202646.5845364347</v>
      </c>
      <c r="D217" s="110">
        <f t="shared" si="236"/>
        <v>210048.6174909648</v>
      </c>
      <c r="E217" s="110">
        <f t="shared" si="236"/>
        <v>218261.28196149267</v>
      </c>
      <c r="F217" s="110">
        <f t="shared" si="236"/>
        <v>249165.97938381272</v>
      </c>
      <c r="G217" s="110">
        <f t="shared" si="236"/>
        <v>267295.0562442196</v>
      </c>
      <c r="H217" s="110">
        <f t="shared" si="236"/>
        <v>283370.12994465273</v>
      </c>
      <c r="I217" s="110">
        <f t="shared" si="236"/>
        <v>287014.69578481372</v>
      </c>
      <c r="J217" s="110">
        <f t="shared" si="236"/>
        <v>294142.54617410788</v>
      </c>
      <c r="K217" s="110">
        <f t="shared" si="236"/>
        <v>273352.33395844488</v>
      </c>
      <c r="L217" s="110">
        <f t="shared" si="236"/>
        <v>301420.87966868456</v>
      </c>
      <c r="M217" s="110">
        <f t="shared" si="235"/>
        <v>313241.41522762069</v>
      </c>
      <c r="N217" s="110">
        <f t="shared" si="236"/>
        <v>309776.2388738544</v>
      </c>
      <c r="O217" s="110">
        <f t="shared" si="236"/>
        <v>315428.21605977631</v>
      </c>
      <c r="P217" s="110">
        <f t="shared" si="236"/>
        <v>322375.13724665524</v>
      </c>
      <c r="Q217" s="110">
        <f t="shared" si="236"/>
        <v>336313.1516795879</v>
      </c>
      <c r="R217" s="110">
        <f t="shared" si="236"/>
        <v>341116.77684388717</v>
      </c>
      <c r="S217" s="110">
        <f t="shared" si="236"/>
        <v>367910.31481404434</v>
      </c>
      <c r="T217" s="110">
        <f t="shared" si="236"/>
        <v>360312.32146257855</v>
      </c>
      <c r="U217" s="110">
        <f t="shared" si="236"/>
        <v>373797.18726868986</v>
      </c>
      <c r="V217" s="110">
        <f t="shared" si="236"/>
        <v>347456.97007287951</v>
      </c>
      <c r="W217" s="110">
        <f t="shared" ref="W217:Y217" si="244">IF(W26=0,0,W26*1000000/W80)</f>
        <v>383355.53639996867</v>
      </c>
      <c r="X217" s="110">
        <f t="shared" si="244"/>
        <v>388759.05137734185</v>
      </c>
      <c r="Y217" s="110">
        <f t="shared" si="244"/>
        <v>388006.67101733014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72317.588398736349</v>
      </c>
      <c r="C218" s="163">
        <f t="shared" si="236"/>
        <v>76410.642769340571</v>
      </c>
      <c r="D218" s="163">
        <f t="shared" si="236"/>
        <v>77139.684302371694</v>
      </c>
      <c r="E218" s="163">
        <f t="shared" si="236"/>
        <v>81117.34569407173</v>
      </c>
      <c r="F218" s="163">
        <f t="shared" si="236"/>
        <v>93488.391273866961</v>
      </c>
      <c r="G218" s="163">
        <f t="shared" si="236"/>
        <v>101850.65355247832</v>
      </c>
      <c r="H218" s="163">
        <f t="shared" si="236"/>
        <v>96690.708527789568</v>
      </c>
      <c r="I218" s="163">
        <f t="shared" si="236"/>
        <v>104759.57819307031</v>
      </c>
      <c r="J218" s="163">
        <f t="shared" si="236"/>
        <v>110872.76550998949</v>
      </c>
      <c r="K218" s="163">
        <f t="shared" si="236"/>
        <v>101439.58639746846</v>
      </c>
      <c r="L218" s="163">
        <f t="shared" si="236"/>
        <v>113757.27141649679</v>
      </c>
      <c r="M218" s="163">
        <f t="shared" si="235"/>
        <v>114446.43044895385</v>
      </c>
      <c r="N218" s="163">
        <f t="shared" si="236"/>
        <v>99681.923553830376</v>
      </c>
      <c r="O218" s="163">
        <f t="shared" si="236"/>
        <v>103677.27771679474</v>
      </c>
      <c r="P218" s="163">
        <f t="shared" si="236"/>
        <v>112511.59491460686</v>
      </c>
      <c r="Q218" s="163">
        <f t="shared" si="236"/>
        <v>113171.42544579368</v>
      </c>
      <c r="R218" s="163">
        <f t="shared" si="236"/>
        <v>109301.37266953493</v>
      </c>
      <c r="S218" s="163">
        <f t="shared" si="236"/>
        <v>118613.60718870346</v>
      </c>
      <c r="T218" s="163">
        <f t="shared" si="236"/>
        <v>111330.43821555468</v>
      </c>
      <c r="U218" s="163">
        <f t="shared" si="236"/>
        <v>117827.39768024118</v>
      </c>
      <c r="V218" s="163">
        <f t="shared" si="236"/>
        <v>113071.57057654076</v>
      </c>
      <c r="W218" s="163">
        <f t="shared" ref="W218:Y218" si="245">IF(W27=0,0,W27*1000000/W81)</f>
        <v>127069.25893455726</v>
      </c>
      <c r="X218" s="163">
        <f t="shared" si="245"/>
        <v>130119.62692619627</v>
      </c>
      <c r="Y218" s="163">
        <f t="shared" si="245"/>
        <v>146666.03523394582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1211999.0590059645</v>
      </c>
      <c r="C219" s="86">
        <f t="shared" si="236"/>
        <v>1210735.3164630802</v>
      </c>
      <c r="D219" s="86">
        <f t="shared" si="236"/>
        <v>1218828.220566578</v>
      </c>
      <c r="E219" s="86">
        <f t="shared" si="236"/>
        <v>1211464.4529158361</v>
      </c>
      <c r="F219" s="86">
        <f t="shared" si="236"/>
        <v>1189396.5731766084</v>
      </c>
      <c r="G219" s="86">
        <f t="shared" si="236"/>
        <v>1189875.4504701649</v>
      </c>
      <c r="H219" s="86">
        <f t="shared" si="236"/>
        <v>1197567.9198460584</v>
      </c>
      <c r="I219" s="86">
        <f t="shared" si="236"/>
        <v>1199814.0316679315</v>
      </c>
      <c r="J219" s="86">
        <f t="shared" si="236"/>
        <v>1182830.9074405599</v>
      </c>
      <c r="K219" s="86">
        <f t="shared" si="236"/>
        <v>1167258.7805460761</v>
      </c>
      <c r="L219" s="86">
        <f t="shared" si="236"/>
        <v>1205054.6246474381</v>
      </c>
      <c r="M219" s="86">
        <f t="shared" si="235"/>
        <v>1201329.296970176</v>
      </c>
      <c r="N219" s="86">
        <f t="shared" si="236"/>
        <v>1197282.3775372854</v>
      </c>
      <c r="O219" s="86">
        <f t="shared" si="236"/>
        <v>1198895.6070854515</v>
      </c>
      <c r="P219" s="86">
        <f t="shared" si="236"/>
        <v>1201700.5008313491</v>
      </c>
      <c r="Q219" s="86">
        <f t="shared" si="236"/>
        <v>1190475.0107679935</v>
      </c>
      <c r="R219" s="86">
        <f t="shared" si="236"/>
        <v>1184254.6216836884</v>
      </c>
      <c r="S219" s="86">
        <f t="shared" si="236"/>
        <v>1191079.7588634701</v>
      </c>
      <c r="T219" s="86">
        <f t="shared" si="236"/>
        <v>1202470.3722250042</v>
      </c>
      <c r="U219" s="86">
        <f t="shared" si="236"/>
        <v>1195309.9376844866</v>
      </c>
      <c r="V219" s="86">
        <f t="shared" si="236"/>
        <v>1178294.5736434108</v>
      </c>
      <c r="W219" s="86">
        <f t="shared" ref="W219:Y219" si="246">IF(W28=0,0,W28*1000000/W82)</f>
        <v>1193932.4743108791</v>
      </c>
      <c r="X219" s="86">
        <f t="shared" si="246"/>
        <v>1189392.7506668759</v>
      </c>
      <c r="Y219" s="86">
        <f t="shared" si="246"/>
        <v>1176152.1806371792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3.7665912718134369E-3</v>
      </c>
      <c r="C223" s="154">
        <f t="shared" si="251"/>
        <v>3.4726278360812687E-3</v>
      </c>
      <c r="D223" s="154">
        <f t="shared" si="251"/>
        <v>3.4113264939356317E-3</v>
      </c>
      <c r="E223" s="154">
        <f t="shared" si="251"/>
        <v>4.086169916579006E-3</v>
      </c>
      <c r="F223" s="154">
        <f t="shared" si="251"/>
        <v>4.5530627098827872E-3</v>
      </c>
      <c r="G223" s="154">
        <f t="shared" si="251"/>
        <v>5.0304348290429509E-3</v>
      </c>
      <c r="H223" s="154">
        <f t="shared" si="251"/>
        <v>5.5786835250541678E-3</v>
      </c>
      <c r="I223" s="154">
        <f t="shared" si="251"/>
        <v>6.0826731121028316E-3</v>
      </c>
      <c r="J223" s="154">
        <f t="shared" si="251"/>
        <v>6.5512568088871405E-3</v>
      </c>
      <c r="K223" s="154">
        <f t="shared" si="251"/>
        <v>6.5500763465487586E-3</v>
      </c>
      <c r="L223" s="154">
        <f t="shared" ref="L223" si="252">IF(L5=0,0,L5/L$4)</f>
        <v>8.5282292055351306E-3</v>
      </c>
      <c r="M223" s="154">
        <f t="shared" ref="M223:V223" si="253">IF(M5=0,0,M5/M$4)</f>
        <v>1.0040500749333566E-2</v>
      </c>
      <c r="N223" s="154">
        <f t="shared" si="253"/>
        <v>9.1973753300942998E-3</v>
      </c>
      <c r="O223" s="154">
        <f t="shared" si="253"/>
        <v>8.2454248589882047E-3</v>
      </c>
      <c r="P223" s="154">
        <f t="shared" si="253"/>
        <v>8.2835565088287579E-3</v>
      </c>
      <c r="Q223" s="154">
        <f t="shared" si="253"/>
        <v>8.8016194178438915E-3</v>
      </c>
      <c r="R223" s="154">
        <f t="shared" si="253"/>
        <v>9.1644005239154957E-3</v>
      </c>
      <c r="S223" s="154">
        <f t="shared" si="253"/>
        <v>8.4496530082320536E-3</v>
      </c>
      <c r="T223" s="154">
        <f t="shared" si="253"/>
        <v>7.9415725325386721E-3</v>
      </c>
      <c r="U223" s="154">
        <f t="shared" si="253"/>
        <v>8.347979469534951E-3</v>
      </c>
      <c r="V223" s="154">
        <f t="shared" si="253"/>
        <v>1.0425769551676843E-2</v>
      </c>
      <c r="W223" s="154">
        <f t="shared" ref="W223:Y223" si="254">IF(W5=0,0,W5/W$4)</f>
        <v>1.0488699405124575E-2</v>
      </c>
      <c r="X223" s="154">
        <f t="shared" si="254"/>
        <v>9.6166382508637398E-3</v>
      </c>
      <c r="Y223" s="154">
        <f t="shared" si="254"/>
        <v>9.8940631822737081E-3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0.84981088816890049</v>
      </c>
      <c r="C224" s="156">
        <f t="shared" si="255"/>
        <v>0.85677299613051483</v>
      </c>
      <c r="D224" s="156">
        <f t="shared" si="255"/>
        <v>0.86146280731436664</v>
      </c>
      <c r="E224" s="156">
        <f t="shared" si="255"/>
        <v>0.85740153810023223</v>
      </c>
      <c r="F224" s="156">
        <f t="shared" si="255"/>
        <v>0.86863188407556469</v>
      </c>
      <c r="G224" s="156">
        <f t="shared" si="255"/>
        <v>0.87582691104896448</v>
      </c>
      <c r="H224" s="156">
        <f t="shared" si="255"/>
        <v>0.87523075889753255</v>
      </c>
      <c r="I224" s="156">
        <f t="shared" si="255"/>
        <v>0.87737790853043629</v>
      </c>
      <c r="J224" s="156">
        <f t="shared" si="255"/>
        <v>0.88192327409036919</v>
      </c>
      <c r="K224" s="156">
        <f t="shared" si="255"/>
        <v>0.88385529606046409</v>
      </c>
      <c r="L224" s="156">
        <f t="shared" ref="L224" si="256">IF(L6=0,0,L6/L$4)</f>
        <v>0.88196572802966455</v>
      </c>
      <c r="M224" s="156">
        <f t="shared" ref="M224:V224" si="257">IF(M6=0,0,M6/M$4)</f>
        <v>0.87818108730567024</v>
      </c>
      <c r="N224" s="156">
        <f t="shared" si="257"/>
        <v>0.87842400514125896</v>
      </c>
      <c r="O224" s="156">
        <f t="shared" si="257"/>
        <v>0.87610590367249785</v>
      </c>
      <c r="P224" s="156">
        <f t="shared" si="257"/>
        <v>0.87412639125034997</v>
      </c>
      <c r="Q224" s="156">
        <f t="shared" si="257"/>
        <v>0.87133724529381928</v>
      </c>
      <c r="R224" s="156">
        <f t="shared" si="257"/>
        <v>0.8707294891768339</v>
      </c>
      <c r="S224" s="156">
        <f t="shared" si="257"/>
        <v>0.87314616007741563</v>
      </c>
      <c r="T224" s="156">
        <f t="shared" si="257"/>
        <v>0.87397265972095761</v>
      </c>
      <c r="U224" s="156">
        <f t="shared" si="257"/>
        <v>0.87501721814261857</v>
      </c>
      <c r="V224" s="156">
        <f t="shared" si="257"/>
        <v>0.90365599155112097</v>
      </c>
      <c r="W224" s="156">
        <f t="shared" ref="W224:Y224" si="258">IF(W6=0,0,W6/W$4)</f>
        <v>0.89303379020553564</v>
      </c>
      <c r="X224" s="156">
        <f t="shared" si="258"/>
        <v>0.8730517631714706</v>
      </c>
      <c r="Y224" s="156">
        <f t="shared" si="258"/>
        <v>0.86899827523221573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0.68101838867805808</v>
      </c>
      <c r="C225" s="103">
        <f t="shared" si="259"/>
        <v>0.67574693002177411</v>
      </c>
      <c r="D225" s="103">
        <f t="shared" si="259"/>
        <v>0.6234407405016682</v>
      </c>
      <c r="E225" s="103">
        <f t="shared" si="259"/>
        <v>0.61979093703211119</v>
      </c>
      <c r="F225" s="103">
        <f t="shared" si="259"/>
        <v>0.58955115618269749</v>
      </c>
      <c r="G225" s="103">
        <f t="shared" si="259"/>
        <v>0.55952900752990031</v>
      </c>
      <c r="H225" s="103">
        <f t="shared" si="259"/>
        <v>0.52668110252824807</v>
      </c>
      <c r="I225" s="103">
        <f t="shared" si="259"/>
        <v>0.49900385928176316</v>
      </c>
      <c r="J225" s="103">
        <f t="shared" si="259"/>
        <v>0.47252908699361834</v>
      </c>
      <c r="K225" s="103">
        <f t="shared" si="259"/>
        <v>0.44838993100542168</v>
      </c>
      <c r="L225" s="103">
        <f t="shared" ref="L225" si="260">IF(L7=0,0,L7/L$4)</f>
        <v>0.42384865024366813</v>
      </c>
      <c r="M225" s="103">
        <f t="shared" ref="M225:V225" si="261">IF(M7=0,0,M7/M$4)</f>
        <v>0.40407894103130965</v>
      </c>
      <c r="N225" s="103">
        <f t="shared" si="261"/>
        <v>0.3843587706218885</v>
      </c>
      <c r="O225" s="103">
        <f t="shared" si="261"/>
        <v>0.36550228921398642</v>
      </c>
      <c r="P225" s="103">
        <f t="shared" si="261"/>
        <v>0.34769601365872915</v>
      </c>
      <c r="Q225" s="103">
        <f t="shared" si="261"/>
        <v>0.33393769292882192</v>
      </c>
      <c r="R225" s="103">
        <f t="shared" si="261"/>
        <v>0.31847401034329487</v>
      </c>
      <c r="S225" s="103">
        <f t="shared" si="261"/>
        <v>0.30558481221073236</v>
      </c>
      <c r="T225" s="103">
        <f t="shared" si="261"/>
        <v>0.2953261308969502</v>
      </c>
      <c r="U225" s="103">
        <f t="shared" si="261"/>
        <v>0.28760699560068409</v>
      </c>
      <c r="V225" s="103">
        <f t="shared" si="261"/>
        <v>0.27188812864244133</v>
      </c>
      <c r="W225" s="103">
        <f t="shared" ref="W225:Y225" si="262">IF(W7=0,0,W7/W$4)</f>
        <v>0.27685745720947785</v>
      </c>
      <c r="X225" s="103">
        <f t="shared" si="262"/>
        <v>0.27961020734752395</v>
      </c>
      <c r="Y225" s="103">
        <f t="shared" si="262"/>
        <v>0.28619332046769946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0.16879249949084241</v>
      </c>
      <c r="C226" s="103">
        <f t="shared" si="263"/>
        <v>0.1810260661087407</v>
      </c>
      <c r="D226" s="103">
        <f t="shared" si="263"/>
        <v>0.23802206681269844</v>
      </c>
      <c r="E226" s="103">
        <f t="shared" si="263"/>
        <v>0.23761060106812107</v>
      </c>
      <c r="F226" s="103">
        <f t="shared" si="263"/>
        <v>0.27908072789286731</v>
      </c>
      <c r="G226" s="103">
        <f t="shared" si="263"/>
        <v>0.31629790351906417</v>
      </c>
      <c r="H226" s="103">
        <f t="shared" si="263"/>
        <v>0.34792404045768466</v>
      </c>
      <c r="I226" s="103">
        <f t="shared" si="263"/>
        <v>0.37690833056276762</v>
      </c>
      <c r="J226" s="103">
        <f t="shared" si="263"/>
        <v>0.40817798057265414</v>
      </c>
      <c r="K226" s="103">
        <f t="shared" si="263"/>
        <v>0.43204663271448251</v>
      </c>
      <c r="L226" s="103">
        <f t="shared" ref="L226" si="264">IF(L8=0,0,L8/L$4)</f>
        <v>0.45397960598708814</v>
      </c>
      <c r="M226" s="103">
        <f t="shared" ref="M226:V226" si="265">IF(M8=0,0,M8/M$4)</f>
        <v>0.4694442130610269</v>
      </c>
      <c r="N226" s="103">
        <f t="shared" si="265"/>
        <v>0.48803357812669707</v>
      </c>
      <c r="O226" s="103">
        <f t="shared" si="265"/>
        <v>0.502068645019352</v>
      </c>
      <c r="P226" s="103">
        <f t="shared" si="265"/>
        <v>0.51757636337012125</v>
      </c>
      <c r="Q226" s="103">
        <f t="shared" si="265"/>
        <v>0.5284949239866007</v>
      </c>
      <c r="R226" s="103">
        <f t="shared" si="265"/>
        <v>0.5423734911659811</v>
      </c>
      <c r="S226" s="103">
        <f t="shared" si="265"/>
        <v>0.55717227417543058</v>
      </c>
      <c r="T226" s="103">
        <f t="shared" si="265"/>
        <v>0.5680545158946646</v>
      </c>
      <c r="U226" s="103">
        <f t="shared" si="265"/>
        <v>0.57658232004594556</v>
      </c>
      <c r="V226" s="103">
        <f t="shared" si="265"/>
        <v>0.6207488482220509</v>
      </c>
      <c r="W226" s="103">
        <f t="shared" ref="W226:Y226" si="266">IF(W8=0,0,W8/W$4)</f>
        <v>0.60403827045882263</v>
      </c>
      <c r="X226" s="103">
        <f t="shared" si="266"/>
        <v>0.58064201359694012</v>
      </c>
      <c r="Y226" s="103">
        <f t="shared" si="266"/>
        <v>0.56862289170114855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0</v>
      </c>
      <c r="C227" s="103">
        <f t="shared" si="267"/>
        <v>0</v>
      </c>
      <c r="D227" s="103">
        <f t="shared" si="267"/>
        <v>0</v>
      </c>
      <c r="E227" s="103">
        <f t="shared" si="267"/>
        <v>0</v>
      </c>
      <c r="F227" s="103">
        <f t="shared" si="267"/>
        <v>0</v>
      </c>
      <c r="G227" s="103">
        <f t="shared" si="267"/>
        <v>0</v>
      </c>
      <c r="H227" s="103">
        <f t="shared" si="267"/>
        <v>6.2561591159993784E-4</v>
      </c>
      <c r="I227" s="103">
        <f t="shared" si="267"/>
        <v>1.4657186859054895E-3</v>
      </c>
      <c r="J227" s="103">
        <f t="shared" si="267"/>
        <v>1.216206524096724E-3</v>
      </c>
      <c r="K227" s="103">
        <f t="shared" si="267"/>
        <v>3.4187323405598475E-3</v>
      </c>
      <c r="L227" s="103">
        <f t="shared" ref="L227" si="268">IF(L9=0,0,L9/L$4)</f>
        <v>4.1374717989082505E-3</v>
      </c>
      <c r="M227" s="103">
        <f t="shared" ref="M227:V227" si="269">IF(M9=0,0,M9/M$4)</f>
        <v>4.6538418244462263E-3</v>
      </c>
      <c r="N227" s="103">
        <f t="shared" si="269"/>
        <v>6.0168223867620657E-3</v>
      </c>
      <c r="O227" s="103">
        <f t="shared" si="269"/>
        <v>8.4919198911908092E-3</v>
      </c>
      <c r="P227" s="103">
        <f t="shared" si="269"/>
        <v>8.7021635793155753E-3</v>
      </c>
      <c r="Q227" s="103">
        <f t="shared" si="269"/>
        <v>8.6951491629995905E-3</v>
      </c>
      <c r="R227" s="103">
        <f t="shared" si="269"/>
        <v>9.5430450507873361E-3</v>
      </c>
      <c r="S227" s="103">
        <f t="shared" si="269"/>
        <v>9.806409090885166E-3</v>
      </c>
      <c r="T227" s="103">
        <f t="shared" si="269"/>
        <v>9.7559063926675304E-3</v>
      </c>
      <c r="U227" s="103">
        <f t="shared" si="269"/>
        <v>9.7587932857930142E-3</v>
      </c>
      <c r="V227" s="103">
        <f t="shared" si="269"/>
        <v>9.4349400319111189E-3</v>
      </c>
      <c r="W227" s="103">
        <f t="shared" ref="W227:Y227" si="270">IF(W9=0,0,W9/W$4)</f>
        <v>9.7976366294925173E-3</v>
      </c>
      <c r="X227" s="103">
        <f t="shared" si="270"/>
        <v>9.74137523622828E-3</v>
      </c>
      <c r="Y227" s="103">
        <f t="shared" si="270"/>
        <v>9.7495251860874564E-3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0</v>
      </c>
      <c r="M228" s="103">
        <f t="shared" ref="M228:V228" si="273">IF(M10=0,0,M10/M$4)</f>
        <v>0</v>
      </c>
      <c r="N228" s="103">
        <f t="shared" si="273"/>
        <v>4.6552933769540977E-6</v>
      </c>
      <c r="O228" s="103">
        <f t="shared" si="273"/>
        <v>2.4277772705101311E-5</v>
      </c>
      <c r="P228" s="103">
        <f t="shared" si="273"/>
        <v>1.1238571344551632E-4</v>
      </c>
      <c r="Q228" s="103">
        <f t="shared" si="273"/>
        <v>1.1323465527996189E-4</v>
      </c>
      <c r="R228" s="103">
        <f t="shared" si="273"/>
        <v>1.4696125188831005E-4</v>
      </c>
      <c r="S228" s="103">
        <f t="shared" si="273"/>
        <v>1.9738878326751102E-4</v>
      </c>
      <c r="T228" s="103">
        <f t="shared" si="273"/>
        <v>2.0782108749335042E-4</v>
      </c>
      <c r="U228" s="103">
        <f t="shared" si="273"/>
        <v>1.9121465283103041E-4</v>
      </c>
      <c r="V228" s="103">
        <f t="shared" si="273"/>
        <v>1.8336477822064232E-4</v>
      </c>
      <c r="W228" s="103">
        <f t="shared" ref="W228:Y228" si="274">IF(W10=0,0,W10/W$4)</f>
        <v>1.8555152331663495E-4</v>
      </c>
      <c r="X228" s="103">
        <f t="shared" si="274"/>
        <v>1.8352673099268421E-4</v>
      </c>
      <c r="Y228" s="103">
        <f t="shared" si="274"/>
        <v>1.7965872391028317E-4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0</v>
      </c>
      <c r="O229" s="103">
        <f t="shared" si="277"/>
        <v>7.3693085323553709E-6</v>
      </c>
      <c r="P229" s="103">
        <f t="shared" si="277"/>
        <v>1.1146065002462647E-5</v>
      </c>
      <c r="Q229" s="103">
        <f t="shared" si="277"/>
        <v>2.9775410450651893E-5</v>
      </c>
      <c r="R229" s="103">
        <f t="shared" si="277"/>
        <v>7.3623898432733384E-5</v>
      </c>
      <c r="S229" s="103">
        <f t="shared" si="277"/>
        <v>1.6834932739983937E-4</v>
      </c>
      <c r="T229" s="103">
        <f t="shared" si="277"/>
        <v>2.8813984358148708E-4</v>
      </c>
      <c r="U229" s="103">
        <f t="shared" si="277"/>
        <v>3.1956137684295934E-4</v>
      </c>
      <c r="V229" s="103">
        <f t="shared" si="277"/>
        <v>3.6828904346470389E-4</v>
      </c>
      <c r="W229" s="103">
        <f t="shared" ref="W229:Y229" si="278">IF(W11=0,0,W11/W$4)</f>
        <v>5.1196599891209125E-4</v>
      </c>
      <c r="X229" s="103">
        <f t="shared" si="278"/>
        <v>7.1954261186783699E-4</v>
      </c>
      <c r="Y229" s="103">
        <f t="shared" si="278"/>
        <v>1.1698566759477313E-3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0</v>
      </c>
      <c r="M230" s="103">
        <f t="shared" ref="M230:V230" si="281">IF(M12=0,0,M12/M$4)</f>
        <v>4.0913888873318882E-6</v>
      </c>
      <c r="N230" s="103">
        <f t="shared" si="281"/>
        <v>1.0178712534333927E-5</v>
      </c>
      <c r="O230" s="103">
        <f t="shared" si="281"/>
        <v>1.140246673134105E-5</v>
      </c>
      <c r="P230" s="103">
        <f t="shared" si="281"/>
        <v>2.8318863736085238E-5</v>
      </c>
      <c r="Q230" s="103">
        <f t="shared" si="281"/>
        <v>6.6469149666491226E-5</v>
      </c>
      <c r="R230" s="103">
        <f t="shared" si="281"/>
        <v>1.1835746644954742E-4</v>
      </c>
      <c r="S230" s="103">
        <f t="shared" si="281"/>
        <v>2.1692648970027481E-4</v>
      </c>
      <c r="T230" s="103">
        <f t="shared" si="281"/>
        <v>3.4014560560052874E-4</v>
      </c>
      <c r="U230" s="103">
        <f t="shared" si="281"/>
        <v>5.5833318052208312E-4</v>
      </c>
      <c r="V230" s="103">
        <f t="shared" si="281"/>
        <v>1.0324208330322476E-3</v>
      </c>
      <c r="W230" s="103">
        <f t="shared" ref="W230:Y230" si="282">IF(W12=0,0,W12/W$4)</f>
        <v>1.6429083855138812E-3</v>
      </c>
      <c r="X230" s="103">
        <f t="shared" si="282"/>
        <v>2.1550976479177419E-3</v>
      </c>
      <c r="Y230" s="103">
        <f t="shared" si="282"/>
        <v>3.0830224774221903E-3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0.14642252055928609</v>
      </c>
      <c r="C231" s="156">
        <f t="shared" si="283"/>
        <v>0.13975437603340402</v>
      </c>
      <c r="D231" s="156">
        <f t="shared" si="283"/>
        <v>0.13512586619169775</v>
      </c>
      <c r="E231" s="156">
        <f t="shared" si="283"/>
        <v>0.13851229198318879</v>
      </c>
      <c r="F231" s="156">
        <f t="shared" si="283"/>
        <v>0.12681505321455255</v>
      </c>
      <c r="G231" s="156">
        <f t="shared" si="283"/>
        <v>0.1191426541219925</v>
      </c>
      <c r="H231" s="156">
        <f t="shared" si="283"/>
        <v>0.11919055757741327</v>
      </c>
      <c r="I231" s="156">
        <f t="shared" si="283"/>
        <v>0.11653941835746094</v>
      </c>
      <c r="J231" s="156">
        <f t="shared" si="283"/>
        <v>0.11152546910074369</v>
      </c>
      <c r="K231" s="156">
        <f t="shared" si="283"/>
        <v>0.10959462759298713</v>
      </c>
      <c r="L231" s="156">
        <f t="shared" ref="L231" si="284">IF(L13=0,0,L13/L$4)</f>
        <v>0.10950604276480037</v>
      </c>
      <c r="M231" s="156">
        <f t="shared" ref="M231:V231" si="285">IF(M13=0,0,M13/M$4)</f>
        <v>0.11177841194499626</v>
      </c>
      <c r="N231" s="156">
        <f t="shared" si="285"/>
        <v>0.11237861952864669</v>
      </c>
      <c r="O231" s="156">
        <f t="shared" si="285"/>
        <v>0.11564867146851389</v>
      </c>
      <c r="P231" s="156">
        <f t="shared" si="285"/>
        <v>0.11759005224082127</v>
      </c>
      <c r="Q231" s="156">
        <f t="shared" si="285"/>
        <v>0.11986113528833678</v>
      </c>
      <c r="R231" s="156">
        <f t="shared" si="285"/>
        <v>0.12010611029925063</v>
      </c>
      <c r="S231" s="156">
        <f t="shared" si="285"/>
        <v>0.11840418691435231</v>
      </c>
      <c r="T231" s="156">
        <f t="shared" si="285"/>
        <v>0.1180857677465037</v>
      </c>
      <c r="U231" s="156">
        <f t="shared" si="285"/>
        <v>0.1166348023878465</v>
      </c>
      <c r="V231" s="156">
        <f t="shared" si="285"/>
        <v>8.5918238897202057E-2</v>
      </c>
      <c r="W231" s="156">
        <f t="shared" ref="W231:Y231" si="286">IF(W13=0,0,W13/W$4)</f>
        <v>9.6477510389339938E-2</v>
      </c>
      <c r="X231" s="156">
        <f t="shared" si="286"/>
        <v>0.1173315985776657</v>
      </c>
      <c r="Y231" s="156">
        <f t="shared" si="286"/>
        <v>0.12110766158551058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8.4837989076287407E-4</v>
      </c>
      <c r="C232" s="103">
        <f t="shared" si="287"/>
        <v>7.6363958853523171E-4</v>
      </c>
      <c r="D232" s="103">
        <f t="shared" si="287"/>
        <v>6.8434456508217152E-4</v>
      </c>
      <c r="E232" s="103">
        <f t="shared" si="287"/>
        <v>6.2041661175909557E-4</v>
      </c>
      <c r="F232" s="103">
        <f t="shared" si="287"/>
        <v>4.7371229532525312E-4</v>
      </c>
      <c r="G232" s="103">
        <f t="shared" si="287"/>
        <v>4.0257112363867873E-4</v>
      </c>
      <c r="H232" s="103">
        <f t="shared" si="287"/>
        <v>3.547723864535746E-4</v>
      </c>
      <c r="I232" s="103">
        <f t="shared" si="287"/>
        <v>2.9567080193421591E-4</v>
      </c>
      <c r="J232" s="103">
        <f t="shared" si="287"/>
        <v>2.2270913091286282E-4</v>
      </c>
      <c r="K232" s="103">
        <f t="shared" si="287"/>
        <v>1.8227013649278095E-4</v>
      </c>
      <c r="L232" s="103">
        <f t="shared" ref="L232" si="288">IF(L14=0,0,L14/L$4)</f>
        <v>1.5115172674972331E-4</v>
      </c>
      <c r="M232" s="103">
        <f t="shared" ref="M232:V232" si="289">IF(M14=0,0,M14/M$4)</f>
        <v>1.2077287298064085E-4</v>
      </c>
      <c r="N232" s="103">
        <f t="shared" si="289"/>
        <v>1.0522751195117174E-4</v>
      </c>
      <c r="O232" s="103">
        <f t="shared" si="289"/>
        <v>8.9165171838366498E-5</v>
      </c>
      <c r="P232" s="103">
        <f t="shared" si="289"/>
        <v>7.168367216716493E-5</v>
      </c>
      <c r="Q232" s="103">
        <f t="shared" si="289"/>
        <v>5.606503712182034E-5</v>
      </c>
      <c r="R232" s="103">
        <f t="shared" si="289"/>
        <v>5.6420728611669403E-5</v>
      </c>
      <c r="S232" s="103">
        <f t="shared" si="289"/>
        <v>5.2119870455126632E-5</v>
      </c>
      <c r="T232" s="103">
        <f t="shared" si="289"/>
        <v>4.9787613903339699E-5</v>
      </c>
      <c r="U232" s="103">
        <f t="shared" si="289"/>
        <v>4.7210865156617689E-5</v>
      </c>
      <c r="V232" s="103">
        <f t="shared" si="289"/>
        <v>4.3465677146377061E-5</v>
      </c>
      <c r="W232" s="103">
        <f t="shared" ref="W232:Y232" si="290">IF(W14=0,0,W14/W$4)</f>
        <v>4.1429331624575734E-5</v>
      </c>
      <c r="X232" s="103">
        <f t="shared" si="290"/>
        <v>3.5179941932814803E-5</v>
      </c>
      <c r="Y232" s="103">
        <f t="shared" si="290"/>
        <v>3.1882707260314609E-4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0.1455741406685232</v>
      </c>
      <c r="C233" s="103">
        <f t="shared" si="291"/>
        <v>0.13899073644486878</v>
      </c>
      <c r="D233" s="103">
        <f t="shared" si="291"/>
        <v>0.1344415216266156</v>
      </c>
      <c r="E233" s="103">
        <f t="shared" si="291"/>
        <v>0.13789187537142969</v>
      </c>
      <c r="F233" s="103">
        <f t="shared" si="291"/>
        <v>0.1263413409192273</v>
      </c>
      <c r="G233" s="103">
        <f t="shared" si="291"/>
        <v>0.11874008299835383</v>
      </c>
      <c r="H233" s="103">
        <f t="shared" si="291"/>
        <v>0.11883578519095971</v>
      </c>
      <c r="I233" s="103">
        <f t="shared" si="291"/>
        <v>0.11624374755552673</v>
      </c>
      <c r="J233" s="103">
        <f t="shared" si="291"/>
        <v>0.11130275996983083</v>
      </c>
      <c r="K233" s="103">
        <f t="shared" si="291"/>
        <v>0.10941235745649434</v>
      </c>
      <c r="L233" s="103">
        <f t="shared" ref="L233" si="292">IF(L15=0,0,L15/L$4)</f>
        <v>0.10935489103805064</v>
      </c>
      <c r="M233" s="103">
        <f t="shared" ref="M233:V233" si="293">IF(M15=0,0,M15/M$4)</f>
        <v>0.11165763907201562</v>
      </c>
      <c r="N233" s="103">
        <f t="shared" si="293"/>
        <v>0.11102080951486408</v>
      </c>
      <c r="O233" s="103">
        <f t="shared" si="293"/>
        <v>0.11407396385718414</v>
      </c>
      <c r="P233" s="103">
        <f t="shared" si="293"/>
        <v>0.11182082700183073</v>
      </c>
      <c r="Q233" s="103">
        <f t="shared" si="293"/>
        <v>0.11376788400809443</v>
      </c>
      <c r="R233" s="103">
        <f t="shared" si="293"/>
        <v>0.11039801401418625</v>
      </c>
      <c r="S233" s="103">
        <f t="shared" si="293"/>
        <v>0.10957646132718143</v>
      </c>
      <c r="T233" s="103">
        <f t="shared" si="293"/>
        <v>0.10900725991614033</v>
      </c>
      <c r="U233" s="103">
        <f t="shared" si="293"/>
        <v>0.1106929551565318</v>
      </c>
      <c r="V233" s="103">
        <f t="shared" si="293"/>
        <v>8.1060397326956093E-2</v>
      </c>
      <c r="W233" s="103">
        <f t="shared" ref="W233:Y233" si="294">IF(W15=0,0,W15/W$4)</f>
        <v>9.1670200557771489E-2</v>
      </c>
      <c r="X233" s="103">
        <f t="shared" si="294"/>
        <v>0.11170330320595424</v>
      </c>
      <c r="Y233" s="103">
        <f t="shared" si="294"/>
        <v>0.1142639228332875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1.252582501831435E-3</v>
      </c>
      <c r="O235" s="103">
        <f t="shared" si="301"/>
        <v>1.4855424394913774E-3</v>
      </c>
      <c r="P235" s="103">
        <f t="shared" si="301"/>
        <v>5.6117134716955194E-3</v>
      </c>
      <c r="Q235" s="103">
        <f t="shared" si="301"/>
        <v>5.9518355754178305E-3</v>
      </c>
      <c r="R235" s="103">
        <f t="shared" si="301"/>
        <v>9.4783755527976816E-3</v>
      </c>
      <c r="S235" s="103">
        <f t="shared" si="301"/>
        <v>8.6512084019586006E-3</v>
      </c>
      <c r="T235" s="103">
        <f t="shared" si="301"/>
        <v>8.8612248012987123E-3</v>
      </c>
      <c r="U235" s="103">
        <f t="shared" si="301"/>
        <v>5.6500801734246826E-3</v>
      </c>
      <c r="V235" s="103">
        <f t="shared" si="301"/>
        <v>4.5674886024571568E-3</v>
      </c>
      <c r="W235" s="103">
        <f t="shared" ref="W235:Y235" si="302">IF(W17=0,0,W17/W$4)</f>
        <v>4.4839350533500775E-3</v>
      </c>
      <c r="X235" s="103">
        <f t="shared" si="302"/>
        <v>5.1177714723227106E-3</v>
      </c>
      <c r="Y235" s="103">
        <f t="shared" si="302"/>
        <v>5.3033282092479076E-3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0</v>
      </c>
      <c r="M236" s="103">
        <f t="shared" ref="M236:V236" si="305">IF(M18=0,0,M18/M$4)</f>
        <v>0</v>
      </c>
      <c r="N236" s="103">
        <f t="shared" si="305"/>
        <v>0</v>
      </c>
      <c r="O236" s="103">
        <f t="shared" si="305"/>
        <v>0</v>
      </c>
      <c r="P236" s="103">
        <f t="shared" si="305"/>
        <v>8.5828095127847852E-5</v>
      </c>
      <c r="Q236" s="103">
        <f t="shared" si="305"/>
        <v>8.5350667702690082E-5</v>
      </c>
      <c r="R236" s="103">
        <f t="shared" si="305"/>
        <v>1.7330000365502134E-4</v>
      </c>
      <c r="S236" s="103">
        <f t="shared" si="305"/>
        <v>1.2439731475715892E-4</v>
      </c>
      <c r="T236" s="103">
        <f t="shared" si="305"/>
        <v>1.67495415161325E-4</v>
      </c>
      <c r="U236" s="103">
        <f t="shared" si="305"/>
        <v>2.4455619273339646E-4</v>
      </c>
      <c r="V236" s="103">
        <f t="shared" si="305"/>
        <v>2.4688729064243492E-4</v>
      </c>
      <c r="W236" s="103">
        <f t="shared" ref="W236:Y236" si="306">IF(W18=0,0,W18/W$4)</f>
        <v>2.8194544659378666E-4</v>
      </c>
      <c r="X236" s="103">
        <f t="shared" si="306"/>
        <v>4.7534395745594887E-4</v>
      </c>
      <c r="Y236" s="103">
        <f t="shared" si="306"/>
        <v>1.2215834703720168E-3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1.0996078683850923E-2</v>
      </c>
      <c r="C238" s="154">
        <f t="shared" si="311"/>
        <v>1.116231317406792E-2</v>
      </c>
      <c r="D238" s="154">
        <f t="shared" si="311"/>
        <v>1.1642023334804191E-2</v>
      </c>
      <c r="E238" s="154">
        <f t="shared" si="311"/>
        <v>1.2451611381943848E-2</v>
      </c>
      <c r="F238" s="154">
        <f t="shared" si="311"/>
        <v>1.2211273773166741E-2</v>
      </c>
      <c r="G238" s="154">
        <f t="shared" si="311"/>
        <v>1.299785094842503E-2</v>
      </c>
      <c r="H238" s="154">
        <f t="shared" si="311"/>
        <v>1.2944546208060246E-2</v>
      </c>
      <c r="I238" s="154">
        <f t="shared" si="311"/>
        <v>1.4165191191966702E-2</v>
      </c>
      <c r="J238" s="154">
        <f t="shared" si="311"/>
        <v>1.5863221855647692E-2</v>
      </c>
      <c r="K238" s="154">
        <f t="shared" si="311"/>
        <v>1.9155398767675393E-2</v>
      </c>
      <c r="L238" s="154">
        <f t="shared" ref="L238" si="312">IF(L20=0,0,L20/L$19)</f>
        <v>1.9571663621281748E-2</v>
      </c>
      <c r="M238" s="154">
        <f t="shared" ref="M238:V238" si="313">IF(M20=0,0,M20/M$19)</f>
        <v>2.0524132887808251E-2</v>
      </c>
      <c r="N238" s="154">
        <f t="shared" si="313"/>
        <v>2.1538437830065951E-2</v>
      </c>
      <c r="O238" s="154">
        <f t="shared" si="313"/>
        <v>2.2247734698353713E-2</v>
      </c>
      <c r="P238" s="154">
        <f t="shared" si="313"/>
        <v>2.2878499806045276E-2</v>
      </c>
      <c r="Q238" s="154">
        <f t="shared" si="313"/>
        <v>2.3010747243529167E-2</v>
      </c>
      <c r="R238" s="154">
        <f t="shared" si="313"/>
        <v>2.2551460448368869E-2</v>
      </c>
      <c r="S238" s="154">
        <f t="shared" si="313"/>
        <v>2.2234945136146902E-2</v>
      </c>
      <c r="T238" s="154">
        <f t="shared" si="313"/>
        <v>2.3642566711563149E-2</v>
      </c>
      <c r="U238" s="154">
        <f t="shared" si="313"/>
        <v>2.4883257335621588E-2</v>
      </c>
      <c r="V238" s="154">
        <f t="shared" si="313"/>
        <v>2.7655589152830184E-2</v>
      </c>
      <c r="W238" s="154">
        <f t="shared" ref="W238:Y238" si="314">IF(W20=0,0,W20/W$19)</f>
        <v>2.6813342008486001E-2</v>
      </c>
      <c r="X238" s="154">
        <f t="shared" si="314"/>
        <v>2.7004805967646612E-2</v>
      </c>
      <c r="Y238" s="154">
        <f t="shared" si="314"/>
        <v>2.6854254722987601E-2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1.9359962272211817E-3</v>
      </c>
      <c r="C239" s="103">
        <f t="shared" si="315"/>
        <v>1.9433109248110467E-3</v>
      </c>
      <c r="D239" s="103">
        <f t="shared" si="315"/>
        <v>1.9360654399423554E-3</v>
      </c>
      <c r="E239" s="103">
        <f t="shared" si="315"/>
        <v>1.9032213813516207E-3</v>
      </c>
      <c r="F239" s="103">
        <f t="shared" si="315"/>
        <v>1.7032556419804704E-3</v>
      </c>
      <c r="G239" s="103">
        <f t="shared" si="315"/>
        <v>1.6030561899852951E-3</v>
      </c>
      <c r="H239" s="103">
        <f t="shared" si="315"/>
        <v>1.3503036893787789E-3</v>
      </c>
      <c r="I239" s="103">
        <f t="shared" si="315"/>
        <v>1.3261946562045199E-3</v>
      </c>
      <c r="J239" s="103">
        <f t="shared" si="315"/>
        <v>1.3090065359833783E-3</v>
      </c>
      <c r="K239" s="103">
        <f t="shared" si="315"/>
        <v>1.4200885444819766E-3</v>
      </c>
      <c r="L239" s="103">
        <f t="shared" ref="L239" si="316">IF(L21=0,0,L21/L$19)</f>
        <v>1.3291990801400065E-3</v>
      </c>
      <c r="M239" s="103">
        <f t="shared" ref="M239:V239" si="317">IF(M21=0,0,M21/M$19)</f>
        <v>1.2752969698246117E-3</v>
      </c>
      <c r="N239" s="103">
        <f t="shared" si="317"/>
        <v>1.2395752947771926E-3</v>
      </c>
      <c r="O239" s="103">
        <f t="shared" si="317"/>
        <v>1.1760015076586758E-3</v>
      </c>
      <c r="P239" s="103">
        <f t="shared" si="317"/>
        <v>1.0272446810161105E-3</v>
      </c>
      <c r="Q239" s="103">
        <f t="shared" si="317"/>
        <v>9.2538692725937176E-4</v>
      </c>
      <c r="R239" s="103">
        <f t="shared" si="317"/>
        <v>8.089556983830146E-4</v>
      </c>
      <c r="S239" s="103">
        <f t="shared" si="317"/>
        <v>7.287245118230279E-4</v>
      </c>
      <c r="T239" s="103">
        <f t="shared" si="317"/>
        <v>7.3458370025677598E-4</v>
      </c>
      <c r="U239" s="103">
        <f t="shared" si="317"/>
        <v>7.2853067268887251E-4</v>
      </c>
      <c r="V239" s="103">
        <f t="shared" si="317"/>
        <v>7.6313592004939796E-4</v>
      </c>
      <c r="W239" s="103">
        <f t="shared" ref="W239:Y239" si="318">IF(W21=0,0,W21/W$19)</f>
        <v>6.9111671508694623E-4</v>
      </c>
      <c r="X239" s="103">
        <f t="shared" si="318"/>
        <v>6.5622342411764741E-4</v>
      </c>
      <c r="Y239" s="103">
        <f t="shared" si="318"/>
        <v>6.3008374232773859E-4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9.0600824566297415E-3</v>
      </c>
      <c r="C240" s="103">
        <f t="shared" si="319"/>
        <v>9.2190022492568725E-3</v>
      </c>
      <c r="D240" s="103">
        <f t="shared" si="319"/>
        <v>9.7059578948618368E-3</v>
      </c>
      <c r="E240" s="103">
        <f t="shared" si="319"/>
        <v>1.0548390000592229E-2</v>
      </c>
      <c r="F240" s="103">
        <f t="shared" si="319"/>
        <v>1.0508018131186271E-2</v>
      </c>
      <c r="G240" s="103">
        <f t="shared" si="319"/>
        <v>1.1394794758439736E-2</v>
      </c>
      <c r="H240" s="103">
        <f t="shared" si="319"/>
        <v>1.1523305789730999E-2</v>
      </c>
      <c r="I240" s="103">
        <f t="shared" si="319"/>
        <v>1.2765021498332493E-2</v>
      </c>
      <c r="J240" s="103">
        <f t="shared" si="319"/>
        <v>1.4446057718665759E-2</v>
      </c>
      <c r="K240" s="103">
        <f t="shared" si="319"/>
        <v>1.7685866373255803E-2</v>
      </c>
      <c r="L240" s="103">
        <f t="shared" ref="L240" si="320">IF(L22=0,0,L22/L$19)</f>
        <v>1.8224943049403149E-2</v>
      </c>
      <c r="M240" s="103">
        <f t="shared" ref="M240:V240" si="321">IF(M22=0,0,M22/M$19)</f>
        <v>1.9233629399358916E-2</v>
      </c>
      <c r="N240" s="103">
        <f t="shared" si="321"/>
        <v>2.0284344766691404E-2</v>
      </c>
      <c r="O240" s="103">
        <f t="shared" si="321"/>
        <v>2.1056953097928873E-2</v>
      </c>
      <c r="P240" s="103">
        <f t="shared" si="321"/>
        <v>2.1758185707541684E-2</v>
      </c>
      <c r="Q240" s="103">
        <f t="shared" si="321"/>
        <v>2.1968756963406059E-2</v>
      </c>
      <c r="R240" s="103">
        <f t="shared" si="321"/>
        <v>2.1629227487304167E-2</v>
      </c>
      <c r="S240" s="103">
        <f t="shared" si="321"/>
        <v>2.1378890007754107E-2</v>
      </c>
      <c r="T240" s="103">
        <f t="shared" si="321"/>
        <v>2.2779209342854552E-2</v>
      </c>
      <c r="U240" s="103">
        <f t="shared" si="321"/>
        <v>2.4002607308102372E-2</v>
      </c>
      <c r="V240" s="103">
        <f t="shared" si="321"/>
        <v>2.6721394147047235E-2</v>
      </c>
      <c r="W240" s="103">
        <f t="shared" ref="W240:Y240" si="322">IF(W22=0,0,W22/W$19)</f>
        <v>2.5952849892035439E-2</v>
      </c>
      <c r="X240" s="103">
        <f t="shared" si="322"/>
        <v>2.618316072889345E-2</v>
      </c>
      <c r="Y240" s="103">
        <f t="shared" si="322"/>
        <v>2.6043059399633108E-2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7.0936728950469525E-5</v>
      </c>
      <c r="I241" s="103">
        <f t="shared" si="323"/>
        <v>7.3975037429688915E-5</v>
      </c>
      <c r="J241" s="103">
        <f t="shared" si="323"/>
        <v>1.0815760099855484E-4</v>
      </c>
      <c r="K241" s="103">
        <f t="shared" si="323"/>
        <v>4.9443849937612967E-5</v>
      </c>
      <c r="L241" s="103">
        <f t="shared" ref="L241" si="324">IF(L23=0,0,L23/L$19)</f>
        <v>1.752149173859146E-5</v>
      </c>
      <c r="M241" s="103">
        <f t="shared" ref="M241:V241" si="325">IF(M23=0,0,M23/M$19)</f>
        <v>1.520651862472531E-5</v>
      </c>
      <c r="N241" s="103">
        <f t="shared" si="325"/>
        <v>1.4517768597354608E-5</v>
      </c>
      <c r="O241" s="103">
        <f t="shared" si="325"/>
        <v>1.4780092766168344E-5</v>
      </c>
      <c r="P241" s="103">
        <f t="shared" si="325"/>
        <v>8.105281253510308E-5</v>
      </c>
      <c r="Q241" s="103">
        <f t="shared" si="325"/>
        <v>8.7100839483598809E-5</v>
      </c>
      <c r="R241" s="103">
        <f t="shared" si="325"/>
        <v>7.9048169875964837E-5</v>
      </c>
      <c r="S241" s="103">
        <f t="shared" si="325"/>
        <v>7.8543802215527144E-5</v>
      </c>
      <c r="T241" s="103">
        <f t="shared" si="325"/>
        <v>7.6883848295423654E-5</v>
      </c>
      <c r="U241" s="103">
        <f t="shared" si="325"/>
        <v>8.8031392375854855E-5</v>
      </c>
      <c r="V241" s="103">
        <f t="shared" si="325"/>
        <v>9.7174211409700471E-5</v>
      </c>
      <c r="W241" s="103">
        <f t="shared" ref="W241:Y241" si="326">IF(W23=0,0,W23/W$19)</f>
        <v>8.8392152096551598E-5</v>
      </c>
      <c r="X241" s="103">
        <f t="shared" si="326"/>
        <v>8.4598926400371731E-5</v>
      </c>
      <c r="Y241" s="103">
        <f t="shared" si="326"/>
        <v>7.8855724759511889E-5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6.3725099150607543E-6</v>
      </c>
      <c r="Q242" s="103">
        <f t="shared" si="329"/>
        <v>1.6348566337394485E-5</v>
      </c>
      <c r="R242" s="103">
        <f t="shared" si="329"/>
        <v>1.3767182112499631E-5</v>
      </c>
      <c r="S242" s="103">
        <f t="shared" si="329"/>
        <v>1.2738045131132669E-5</v>
      </c>
      <c r="T242" s="103">
        <f t="shared" si="329"/>
        <v>1.258918714940925E-5</v>
      </c>
      <c r="U242" s="103">
        <f t="shared" si="329"/>
        <v>1.6795780042148869E-5</v>
      </c>
      <c r="V242" s="103">
        <f t="shared" si="329"/>
        <v>1.795685572734865E-5</v>
      </c>
      <c r="W242" s="103">
        <f t="shared" ref="W242:Y242" si="330">IF(W24=0,0,W24/W$19)</f>
        <v>1.6467608230090595E-5</v>
      </c>
      <c r="X242" s="103">
        <f t="shared" si="330"/>
        <v>1.5934892323498078E-5</v>
      </c>
      <c r="Y242" s="103">
        <f t="shared" si="330"/>
        <v>1.4836240522342293E-5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0</v>
      </c>
      <c r="N243" s="103">
        <f t="shared" si="333"/>
        <v>0</v>
      </c>
      <c r="O243" s="103">
        <f t="shared" si="333"/>
        <v>0</v>
      </c>
      <c r="P243" s="103">
        <f t="shared" si="333"/>
        <v>5.6440950373216722E-6</v>
      </c>
      <c r="Q243" s="103">
        <f t="shared" si="333"/>
        <v>1.3153947042745148E-5</v>
      </c>
      <c r="R243" s="103">
        <f t="shared" si="333"/>
        <v>2.0461910693224804E-5</v>
      </c>
      <c r="S243" s="103">
        <f t="shared" si="333"/>
        <v>3.6048769223111766E-5</v>
      </c>
      <c r="T243" s="103">
        <f t="shared" si="333"/>
        <v>3.9300633006983703E-5</v>
      </c>
      <c r="U243" s="103">
        <f t="shared" si="333"/>
        <v>4.7292182412338869E-5</v>
      </c>
      <c r="V243" s="103">
        <f t="shared" si="333"/>
        <v>5.5928018596501431E-5</v>
      </c>
      <c r="W243" s="103">
        <f t="shared" ref="W243:Y243" si="334">IF(W25=0,0,W25/W$19)</f>
        <v>6.4515641036971336E-5</v>
      </c>
      <c r="X243" s="103">
        <f t="shared" si="334"/>
        <v>6.4887995911647953E-5</v>
      </c>
      <c r="Y243" s="103">
        <f t="shared" si="334"/>
        <v>8.7419615744899849E-5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0.98900392131614911</v>
      </c>
      <c r="C244" s="156">
        <f t="shared" si="335"/>
        <v>0.98883768682593209</v>
      </c>
      <c r="D244" s="156">
        <f t="shared" si="335"/>
        <v>0.98835797666519587</v>
      </c>
      <c r="E244" s="156">
        <f t="shared" si="335"/>
        <v>0.98754838861805616</v>
      </c>
      <c r="F244" s="156">
        <f t="shared" si="335"/>
        <v>0.98778872622683322</v>
      </c>
      <c r="G244" s="156">
        <f t="shared" si="335"/>
        <v>0.98700214905157502</v>
      </c>
      <c r="H244" s="156">
        <f t="shared" si="335"/>
        <v>0.98705545379193971</v>
      </c>
      <c r="I244" s="156">
        <f t="shared" si="335"/>
        <v>0.9858348088080332</v>
      </c>
      <c r="J244" s="156">
        <f t="shared" si="335"/>
        <v>0.9841367781443523</v>
      </c>
      <c r="K244" s="156">
        <f t="shared" si="335"/>
        <v>0.98084460123232453</v>
      </c>
      <c r="L244" s="156">
        <f t="shared" ref="L244" si="336">IF(L26=0,0,L26/L$19)</f>
        <v>0.98042833637871829</v>
      </c>
      <c r="M244" s="156">
        <f t="shared" ref="M244:V244" si="337">IF(M26=0,0,M26/M$19)</f>
        <v>0.9794758671121917</v>
      </c>
      <c r="N244" s="156">
        <f t="shared" si="337"/>
        <v>0.97846156216993407</v>
      </c>
      <c r="O244" s="156">
        <f t="shared" si="337"/>
        <v>0.97775226530164627</v>
      </c>
      <c r="P244" s="156">
        <f t="shared" si="337"/>
        <v>0.97712150019395472</v>
      </c>
      <c r="Q244" s="156">
        <f t="shared" si="337"/>
        <v>0.97698925275647086</v>
      </c>
      <c r="R244" s="156">
        <f t="shared" si="337"/>
        <v>0.97744853955163102</v>
      </c>
      <c r="S244" s="156">
        <f t="shared" si="337"/>
        <v>0.97776505486385312</v>
      </c>
      <c r="T244" s="156">
        <f t="shared" si="337"/>
        <v>0.97635743328843683</v>
      </c>
      <c r="U244" s="156">
        <f t="shared" si="337"/>
        <v>0.97511674266437842</v>
      </c>
      <c r="V244" s="156">
        <f t="shared" si="337"/>
        <v>0.97234441084716972</v>
      </c>
      <c r="W244" s="156">
        <f t="shared" ref="W244:Y244" si="338">IF(W26=0,0,W26/W$19)</f>
        <v>0.97318665799151405</v>
      </c>
      <c r="X244" s="156">
        <f t="shared" si="338"/>
        <v>0.97299519403235335</v>
      </c>
      <c r="Y244" s="156">
        <f t="shared" si="338"/>
        <v>0.97314574527701247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0.343571327182982</v>
      </c>
      <c r="C245" s="103">
        <f t="shared" si="339"/>
        <v>0.33136066723195284</v>
      </c>
      <c r="D245" s="103">
        <f t="shared" si="339"/>
        <v>0.32071624136365262</v>
      </c>
      <c r="E245" s="103">
        <f t="shared" si="339"/>
        <v>0.32249403382063413</v>
      </c>
      <c r="F245" s="103">
        <f t="shared" si="339"/>
        <v>0.31797517611861975</v>
      </c>
      <c r="G245" s="103">
        <f t="shared" si="339"/>
        <v>0.31890139560885811</v>
      </c>
      <c r="H245" s="103">
        <f t="shared" si="339"/>
        <v>0.27968779245565284</v>
      </c>
      <c r="I245" s="103">
        <f t="shared" si="339"/>
        <v>0.29993928732104469</v>
      </c>
      <c r="J245" s="103">
        <f t="shared" si="339"/>
        <v>0.30753472451786007</v>
      </c>
      <c r="K245" s="103">
        <f t="shared" si="339"/>
        <v>0.30527653353945128</v>
      </c>
      <c r="L245" s="103">
        <f t="shared" ref="L245" si="340">IF(L27=0,0,L27/L$19)</f>
        <v>0.30638748881837935</v>
      </c>
      <c r="M245" s="103">
        <f t="shared" ref="M245:V245" si="341">IF(M27=0,0,M27/M$19)</f>
        <v>0.2924085153115335</v>
      </c>
      <c r="N245" s="103">
        <f t="shared" si="341"/>
        <v>0.25458872413305378</v>
      </c>
      <c r="O245" s="103">
        <f t="shared" si="341"/>
        <v>0.25923981157704329</v>
      </c>
      <c r="P245" s="103">
        <f t="shared" si="341"/>
        <v>0.27531552485419314</v>
      </c>
      <c r="Q245" s="103">
        <f t="shared" si="341"/>
        <v>0.26066624225539708</v>
      </c>
      <c r="R245" s="103">
        <f t="shared" si="341"/>
        <v>0.2456549079657154</v>
      </c>
      <c r="S245" s="103">
        <f t="shared" si="341"/>
        <v>0.24195394527049938</v>
      </c>
      <c r="T245" s="103">
        <f t="shared" si="341"/>
        <v>0.23283957394278154</v>
      </c>
      <c r="U245" s="103">
        <f t="shared" si="341"/>
        <v>0.23435322653299184</v>
      </c>
      <c r="V245" s="103">
        <f t="shared" si="341"/>
        <v>0.24680168857272244</v>
      </c>
      <c r="W245" s="103">
        <f t="shared" ref="W245:Y245" si="342">IF(W27=0,0,W27/W$19)</f>
        <v>0.24508707331266258</v>
      </c>
      <c r="X245" s="103">
        <f t="shared" si="342"/>
        <v>0.2461494691121564</v>
      </c>
      <c r="Y245" s="103">
        <f t="shared" si="342"/>
        <v>0.2816139388079712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0.64543259413316711</v>
      </c>
      <c r="C246" s="105">
        <f t="shared" si="343"/>
        <v>0.6574770195939792</v>
      </c>
      <c r="D246" s="105">
        <f t="shared" si="343"/>
        <v>0.66764173530154325</v>
      </c>
      <c r="E246" s="105">
        <f t="shared" si="343"/>
        <v>0.66505435479742203</v>
      </c>
      <c r="F246" s="105">
        <f t="shared" si="343"/>
        <v>0.66981355010821353</v>
      </c>
      <c r="G246" s="105">
        <f t="shared" si="343"/>
        <v>0.66810075344271691</v>
      </c>
      <c r="H246" s="105">
        <f t="shared" si="343"/>
        <v>0.70736766133628692</v>
      </c>
      <c r="I246" s="105">
        <f t="shared" si="343"/>
        <v>0.68589552148698851</v>
      </c>
      <c r="J246" s="105">
        <f t="shared" si="343"/>
        <v>0.67660205362649228</v>
      </c>
      <c r="K246" s="105">
        <f t="shared" si="343"/>
        <v>0.67556806769287325</v>
      </c>
      <c r="L246" s="105">
        <f t="shared" ref="L246" si="344">IF(L28=0,0,L28/L$19)</f>
        <v>0.674040847560339</v>
      </c>
      <c r="M246" s="105">
        <f t="shared" ref="M246:V246" si="345">IF(M28=0,0,M28/M$19)</f>
        <v>0.68706735180065825</v>
      </c>
      <c r="N246" s="105">
        <f t="shared" si="345"/>
        <v>0.7238728380368803</v>
      </c>
      <c r="O246" s="105">
        <f t="shared" si="345"/>
        <v>0.71851245372460304</v>
      </c>
      <c r="P246" s="105">
        <f t="shared" si="345"/>
        <v>0.70180597533976152</v>
      </c>
      <c r="Q246" s="105">
        <f t="shared" si="345"/>
        <v>0.71632301050107383</v>
      </c>
      <c r="R246" s="105">
        <f t="shared" si="345"/>
        <v>0.7317936315859157</v>
      </c>
      <c r="S246" s="105">
        <f t="shared" si="345"/>
        <v>0.73581110959335372</v>
      </c>
      <c r="T246" s="105">
        <f t="shared" si="345"/>
        <v>0.74351785934565529</v>
      </c>
      <c r="U246" s="105">
        <f t="shared" si="345"/>
        <v>0.74076351613138658</v>
      </c>
      <c r="V246" s="105">
        <f t="shared" si="345"/>
        <v>0.72554272227444727</v>
      </c>
      <c r="W246" s="105">
        <f t="shared" ref="W246:Y246" si="346">IF(W28=0,0,W28/W$19)</f>
        <v>0.7280995846788515</v>
      </c>
      <c r="X246" s="105">
        <f t="shared" si="346"/>
        <v>0.72684572492019695</v>
      </c>
      <c r="Y246" s="105">
        <f t="shared" si="346"/>
        <v>0.69153180646904133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7.2253226751614764E-3</v>
      </c>
      <c r="C250" s="154">
        <f t="shared" si="351"/>
        <v>6.615774451483529E-3</v>
      </c>
      <c r="D250" s="154">
        <f t="shared" si="351"/>
        <v>6.3004822472253301E-3</v>
      </c>
      <c r="E250" s="154">
        <f t="shared" si="351"/>
        <v>7.4638893572507546E-3</v>
      </c>
      <c r="F250" s="154">
        <f t="shared" si="351"/>
        <v>8.0595735901486457E-3</v>
      </c>
      <c r="G250" s="154">
        <f t="shared" si="351"/>
        <v>8.7326890177174075E-3</v>
      </c>
      <c r="H250" s="154">
        <f t="shared" si="351"/>
        <v>9.5495545233947963E-3</v>
      </c>
      <c r="I250" s="154">
        <f t="shared" si="351"/>
        <v>1.0541263887148678E-2</v>
      </c>
      <c r="J250" s="154">
        <f t="shared" si="351"/>
        <v>1.1346528745895113E-2</v>
      </c>
      <c r="K250" s="154">
        <f t="shared" si="351"/>
        <v>1.1177916923215202E-2</v>
      </c>
      <c r="L250" s="154">
        <f t="shared" ref="L250" si="352">IF(L32=0,0,L32/L$31)</f>
        <v>1.4414547078754048E-2</v>
      </c>
      <c r="M250" s="154">
        <f t="shared" ref="M250:V250" si="353">IF(M32=0,0,M32/M$31)</f>
        <v>1.6819210536298576E-2</v>
      </c>
      <c r="N250" s="154">
        <f t="shared" si="353"/>
        <v>1.5324506092986332E-2</v>
      </c>
      <c r="O250" s="154">
        <f t="shared" si="353"/>
        <v>1.3604469524957735E-2</v>
      </c>
      <c r="P250" s="154">
        <f t="shared" si="353"/>
        <v>1.3536603324154919E-2</v>
      </c>
      <c r="Q250" s="154">
        <f t="shared" si="353"/>
        <v>1.4300288751551725E-2</v>
      </c>
      <c r="R250" s="154">
        <f t="shared" si="353"/>
        <v>1.5012192256427808E-2</v>
      </c>
      <c r="S250" s="154">
        <f t="shared" si="353"/>
        <v>1.3538896461867032E-2</v>
      </c>
      <c r="T250" s="154">
        <f t="shared" si="353"/>
        <v>1.2507723776212029E-2</v>
      </c>
      <c r="U250" s="154">
        <f t="shared" si="353"/>
        <v>1.291794009831353E-2</v>
      </c>
      <c r="V250" s="154">
        <f t="shared" si="353"/>
        <v>1.3197756768026734E-2</v>
      </c>
      <c r="W250" s="154">
        <f t="shared" ref="W250:Y250" si="354">IF(W32=0,0,W32/W$31)</f>
        <v>1.3163871791421221E-2</v>
      </c>
      <c r="X250" s="154">
        <f t="shared" si="354"/>
        <v>1.2510421742402649E-2</v>
      </c>
      <c r="Y250" s="154">
        <f t="shared" si="354"/>
        <v>1.3006287047576205E-2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0.98031740447462634</v>
      </c>
      <c r="C251" s="156">
        <f t="shared" si="355"/>
        <v>0.98171888811771846</v>
      </c>
      <c r="D251" s="156">
        <f t="shared" si="355"/>
        <v>0.98291492643364831</v>
      </c>
      <c r="E251" s="156">
        <f t="shared" si="355"/>
        <v>0.9821820062479516</v>
      </c>
      <c r="F251" s="156">
        <f t="shared" si="355"/>
        <v>0.9818480598115642</v>
      </c>
      <c r="G251" s="156">
        <f t="shared" si="355"/>
        <v>0.98177024521021805</v>
      </c>
      <c r="H251" s="156">
        <f t="shared" si="355"/>
        <v>0.98118484871879619</v>
      </c>
      <c r="I251" s="156">
        <f t="shared" si="355"/>
        <v>0.9804781492108352</v>
      </c>
      <c r="J251" s="156">
        <f t="shared" si="355"/>
        <v>0.97976413056580114</v>
      </c>
      <c r="K251" s="156">
        <f t="shared" si="355"/>
        <v>0.98021233043688205</v>
      </c>
      <c r="L251" s="156">
        <f t="shared" ref="L251" si="356">IF(L33=0,0,L33/L$31)</f>
        <v>0.97708262829807402</v>
      </c>
      <c r="M251" s="156">
        <f t="shared" ref="M251:V251" si="357">IF(M33=0,0,M33/M$31)</f>
        <v>0.97459270548188837</v>
      </c>
      <c r="N251" s="156">
        <f t="shared" si="357"/>
        <v>0.97615279498168872</v>
      </c>
      <c r="O251" s="156">
        <f t="shared" si="357"/>
        <v>0.97773988382951627</v>
      </c>
      <c r="P251" s="156">
        <f t="shared" si="357"/>
        <v>0.97777816348163227</v>
      </c>
      <c r="Q251" s="156">
        <f t="shared" si="357"/>
        <v>0.97698405333215077</v>
      </c>
      <c r="R251" s="156">
        <f t="shared" si="357"/>
        <v>0.97638000998331953</v>
      </c>
      <c r="S251" s="156">
        <f t="shared" si="357"/>
        <v>0.97809179732414053</v>
      </c>
      <c r="T251" s="156">
        <f t="shared" si="357"/>
        <v>0.97956124407315659</v>
      </c>
      <c r="U251" s="156">
        <f t="shared" si="357"/>
        <v>0.97929802429635071</v>
      </c>
      <c r="V251" s="156">
        <f t="shared" si="357"/>
        <v>0.98140729743873634</v>
      </c>
      <c r="W251" s="156">
        <f t="shared" ref="W251:Y251" si="358">IF(W33=0,0,W33/W$31)</f>
        <v>0.98083636998939217</v>
      </c>
      <c r="X251" s="156">
        <f t="shared" si="358"/>
        <v>0.98073524032114767</v>
      </c>
      <c r="Y251" s="156">
        <f t="shared" si="358"/>
        <v>0.97996943948543525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0.7903418263480021</v>
      </c>
      <c r="C252" s="103">
        <f t="shared" si="359"/>
        <v>0.77926330357634743</v>
      </c>
      <c r="D252" s="103">
        <f t="shared" si="359"/>
        <v>0.71731834366719238</v>
      </c>
      <c r="E252" s="103">
        <f t="shared" si="359"/>
        <v>0.71598059814089343</v>
      </c>
      <c r="F252" s="103">
        <f t="shared" si="359"/>
        <v>0.6729185695810832</v>
      </c>
      <c r="G252" s="103">
        <f t="shared" si="359"/>
        <v>0.6341245908120372</v>
      </c>
      <c r="H252" s="103">
        <f t="shared" si="359"/>
        <v>0.5976033576983959</v>
      </c>
      <c r="I252" s="103">
        <f t="shared" si="359"/>
        <v>0.5649508968696082</v>
      </c>
      <c r="J252" s="103">
        <f t="shared" si="359"/>
        <v>0.532377227653693</v>
      </c>
      <c r="K252" s="103">
        <f t="shared" si="359"/>
        <v>0.5046890863530874</v>
      </c>
      <c r="L252" s="103">
        <f t="shared" ref="L252" si="360">IF(L34=0,0,L34/L$31)</f>
        <v>0.47693623686500342</v>
      </c>
      <c r="M252" s="103">
        <f t="shared" ref="M252:V252" si="361">IF(M34=0,0,M34/M$31)</f>
        <v>0.45576006202754943</v>
      </c>
      <c r="N252" s="103">
        <f t="shared" si="361"/>
        <v>0.43436297673495244</v>
      </c>
      <c r="O252" s="103">
        <f t="shared" si="361"/>
        <v>0.41502759434468789</v>
      </c>
      <c r="P252" s="103">
        <f t="shared" si="361"/>
        <v>0.39594830231683797</v>
      </c>
      <c r="Q252" s="103">
        <f t="shared" si="361"/>
        <v>0.38135463973202749</v>
      </c>
      <c r="R252" s="103">
        <f t="shared" si="361"/>
        <v>0.36389892586721367</v>
      </c>
      <c r="S252" s="103">
        <f t="shared" si="361"/>
        <v>0.34896899408333409</v>
      </c>
      <c r="T252" s="103">
        <f t="shared" si="361"/>
        <v>0.33755340409085105</v>
      </c>
      <c r="U252" s="103">
        <f t="shared" si="361"/>
        <v>0.32832254601994926</v>
      </c>
      <c r="V252" s="103">
        <f t="shared" si="361"/>
        <v>0.30141921535433597</v>
      </c>
      <c r="W252" s="103">
        <f t="shared" ref="W252:Y252" si="362">IF(W34=0,0,W34/W$31)</f>
        <v>0.31024282239030082</v>
      </c>
      <c r="X252" s="103">
        <f t="shared" si="362"/>
        <v>0.32030237415757851</v>
      </c>
      <c r="Y252" s="103">
        <f t="shared" si="362"/>
        <v>0.32891638023134612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0.18997557812662416</v>
      </c>
      <c r="C253" s="103">
        <f t="shared" si="363"/>
        <v>0.20245558454137097</v>
      </c>
      <c r="D253" s="103">
        <f t="shared" si="363"/>
        <v>0.26559658276645592</v>
      </c>
      <c r="E253" s="103">
        <f t="shared" si="363"/>
        <v>0.26620140810705811</v>
      </c>
      <c r="F253" s="103">
        <f t="shared" si="363"/>
        <v>0.30892949023048105</v>
      </c>
      <c r="G253" s="103">
        <f t="shared" si="363"/>
        <v>0.34764565439818079</v>
      </c>
      <c r="H253" s="103">
        <f t="shared" si="363"/>
        <v>0.38285844770922239</v>
      </c>
      <c r="I253" s="103">
        <f t="shared" si="363"/>
        <v>0.41383863939477139</v>
      </c>
      <c r="J253" s="103">
        <f t="shared" si="363"/>
        <v>0.44599398242379801</v>
      </c>
      <c r="K253" s="103">
        <f t="shared" si="363"/>
        <v>0.47161454390318958</v>
      </c>
      <c r="L253" s="103">
        <f t="shared" ref="L253" si="364">IF(L35=0,0,L35/L$31)</f>
        <v>0.49542094445028317</v>
      </c>
      <c r="M253" s="103">
        <f t="shared" ref="M253:V253" si="365">IF(M35=0,0,M35/M$31)</f>
        <v>0.51350247489053913</v>
      </c>
      <c r="N253" s="103">
        <f t="shared" si="365"/>
        <v>0.53487735538204551</v>
      </c>
      <c r="O253" s="103">
        <f t="shared" si="365"/>
        <v>0.55288966844687737</v>
      </c>
      <c r="P253" s="103">
        <f t="shared" si="365"/>
        <v>0.57161249237942813</v>
      </c>
      <c r="Q253" s="103">
        <f t="shared" si="365"/>
        <v>0.58531939582548409</v>
      </c>
      <c r="R253" s="103">
        <f t="shared" si="365"/>
        <v>0.60102665776493269</v>
      </c>
      <c r="S253" s="103">
        <f t="shared" si="365"/>
        <v>0.61706807211770698</v>
      </c>
      <c r="T253" s="103">
        <f t="shared" si="365"/>
        <v>0.62967889339293115</v>
      </c>
      <c r="U253" s="103">
        <f t="shared" si="365"/>
        <v>0.63833856934006505</v>
      </c>
      <c r="V253" s="103">
        <f t="shared" si="365"/>
        <v>0.66739832892057005</v>
      </c>
      <c r="W253" s="103">
        <f t="shared" ref="W253:Y253" si="366">IF(W35=0,0,W35/W$31)</f>
        <v>0.6564451973896297</v>
      </c>
      <c r="X253" s="103">
        <f t="shared" si="366"/>
        <v>0.64506591747542008</v>
      </c>
      <c r="Y253" s="103">
        <f t="shared" si="366"/>
        <v>0.63378046875034644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0</v>
      </c>
      <c r="C254" s="103">
        <f t="shared" si="367"/>
        <v>0</v>
      </c>
      <c r="D254" s="103">
        <f t="shared" si="367"/>
        <v>0</v>
      </c>
      <c r="E254" s="103">
        <f t="shared" si="367"/>
        <v>0</v>
      </c>
      <c r="F254" s="103">
        <f t="shared" si="367"/>
        <v>0</v>
      </c>
      <c r="G254" s="103">
        <f t="shared" si="367"/>
        <v>0</v>
      </c>
      <c r="H254" s="103">
        <f t="shared" si="367"/>
        <v>7.2304331117787517E-4</v>
      </c>
      <c r="I254" s="103">
        <f t="shared" si="367"/>
        <v>1.6886129464556928E-3</v>
      </c>
      <c r="J254" s="103">
        <f t="shared" si="367"/>
        <v>1.3929204883101262E-3</v>
      </c>
      <c r="K254" s="103">
        <f t="shared" si="367"/>
        <v>3.9087001806051049E-3</v>
      </c>
      <c r="L254" s="103">
        <f t="shared" ref="L254" si="368">IF(L36=0,0,L36/L$31)</f>
        <v>4.7254469827873449E-3</v>
      </c>
      <c r="M254" s="103">
        <f t="shared" ref="M254:V254" si="369">IF(M36=0,0,M36/M$31)</f>
        <v>5.3245015862138888E-3</v>
      </c>
      <c r="N254" s="103">
        <f t="shared" si="369"/>
        <v>6.8930124664811927E-3</v>
      </c>
      <c r="O254" s="103">
        <f t="shared" si="369"/>
        <v>9.7701420642032633E-3</v>
      </c>
      <c r="P254" s="103">
        <f t="shared" si="369"/>
        <v>1.003509781405156E-2</v>
      </c>
      <c r="Q254" s="103">
        <f t="shared" si="369"/>
        <v>1.0050935802811033E-2</v>
      </c>
      <c r="R254" s="103">
        <f t="shared" si="369"/>
        <v>1.1031913958977553E-2</v>
      </c>
      <c r="S254" s="103">
        <f t="shared" si="369"/>
        <v>1.1324810423691815E-2</v>
      </c>
      <c r="T254" s="103">
        <f t="shared" si="369"/>
        <v>1.1272743821540341E-2</v>
      </c>
      <c r="U254" s="103">
        <f t="shared" si="369"/>
        <v>1.125959226050802E-2</v>
      </c>
      <c r="V254" s="103">
        <f t="shared" si="369"/>
        <v>1.056363922078621E-2</v>
      </c>
      <c r="W254" s="103">
        <f t="shared" ref="W254:Y254" si="370">IF(W36=0,0,W36/W$31)</f>
        <v>1.1093747165178858E-2</v>
      </c>
      <c r="X254" s="103">
        <f t="shared" si="370"/>
        <v>1.128133057549544E-2</v>
      </c>
      <c r="Y254" s="103">
        <f t="shared" si="370"/>
        <v>1.1334577835512458E-2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0</v>
      </c>
      <c r="M255" s="103">
        <f t="shared" ref="M255:V255" si="373">IF(M37=0,0,M37/M$31)</f>
        <v>0</v>
      </c>
      <c r="N255" s="103">
        <f t="shared" si="373"/>
        <v>5.3332129851585188E-6</v>
      </c>
      <c r="O255" s="103">
        <f t="shared" si="373"/>
        <v>2.793211563115845E-5</v>
      </c>
      <c r="P255" s="103">
        <f t="shared" si="373"/>
        <v>1.2960014105094852E-4</v>
      </c>
      <c r="Q255" s="103">
        <f t="shared" si="373"/>
        <v>1.3089071038773485E-4</v>
      </c>
      <c r="R255" s="103">
        <f t="shared" si="373"/>
        <v>1.6988957691252892E-4</v>
      </c>
      <c r="S255" s="103">
        <f t="shared" si="373"/>
        <v>2.2795199848897775E-4</v>
      </c>
      <c r="T255" s="103">
        <f t="shared" si="373"/>
        <v>2.4013287804680329E-4</v>
      </c>
      <c r="U255" s="103">
        <f t="shared" si="373"/>
        <v>2.2062143976821021E-4</v>
      </c>
      <c r="V255" s="103">
        <f t="shared" si="373"/>
        <v>2.0530065441549906E-4</v>
      </c>
      <c r="W255" s="103">
        <f t="shared" ref="W255:Y255" si="374">IF(W37=0,0,W37/W$31)</f>
        <v>2.1009777802865497E-4</v>
      </c>
      <c r="X255" s="103">
        <f t="shared" si="374"/>
        <v>2.1253936652276353E-4</v>
      </c>
      <c r="Y255" s="103">
        <f t="shared" si="374"/>
        <v>2.0886717569547093E-4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0</v>
      </c>
      <c r="O256" s="103">
        <f t="shared" si="377"/>
        <v>8.6647848505282389E-6</v>
      </c>
      <c r="P256" s="103">
        <f t="shared" si="377"/>
        <v>1.3135662837636878E-5</v>
      </c>
      <c r="Q256" s="103">
        <f t="shared" si="377"/>
        <v>3.5174122613866243E-5</v>
      </c>
      <c r="R256" s="103">
        <f t="shared" si="377"/>
        <v>8.6979870281721507E-5</v>
      </c>
      <c r="S256" s="103">
        <f t="shared" si="377"/>
        <v>1.9868650642887139E-4</v>
      </c>
      <c r="T256" s="103">
        <f t="shared" si="377"/>
        <v>3.402525454036132E-4</v>
      </c>
      <c r="U256" s="103">
        <f t="shared" si="377"/>
        <v>3.7680519572549763E-4</v>
      </c>
      <c r="V256" s="103">
        <f t="shared" si="377"/>
        <v>4.2140459696208638E-4</v>
      </c>
      <c r="W256" s="103">
        <f t="shared" ref="W256:Y256" si="378">IF(W38=0,0,W38/W$31)</f>
        <v>5.9242599727019052E-4</v>
      </c>
      <c r="X256" s="103">
        <f t="shared" si="378"/>
        <v>8.5159406284898503E-4</v>
      </c>
      <c r="Y256" s="103">
        <f t="shared" si="378"/>
        <v>1.3899225315779638E-3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0</v>
      </c>
      <c r="M257" s="103">
        <f t="shared" ref="M257:V257" si="381">IF(M39=0,0,M39/M$31)</f>
        <v>5.6669775858251435E-6</v>
      </c>
      <c r="N257" s="103">
        <f t="shared" si="381"/>
        <v>1.4117185224332361E-5</v>
      </c>
      <c r="O257" s="103">
        <f t="shared" si="381"/>
        <v>1.5882073265954293E-5</v>
      </c>
      <c r="P257" s="103">
        <f t="shared" si="381"/>
        <v>3.9535167425853807E-5</v>
      </c>
      <c r="Q257" s="103">
        <f t="shared" si="381"/>
        <v>9.3017138826498088E-5</v>
      </c>
      <c r="R257" s="103">
        <f t="shared" si="381"/>
        <v>1.6564294500125688E-4</v>
      </c>
      <c r="S257" s="103">
        <f t="shared" si="381"/>
        <v>3.0328219448973566E-4</v>
      </c>
      <c r="T257" s="103">
        <f t="shared" si="381"/>
        <v>4.7581734438375178E-4</v>
      </c>
      <c r="U257" s="103">
        <f t="shared" si="381"/>
        <v>7.7989004033459286E-4</v>
      </c>
      <c r="V257" s="103">
        <f t="shared" si="381"/>
        <v>1.3994086916664565E-3</v>
      </c>
      <c r="W257" s="103">
        <f t="shared" ref="W257:Y257" si="382">IF(W39=0,0,W39/W$31)</f>
        <v>2.2520792689838874E-3</v>
      </c>
      <c r="X257" s="103">
        <f t="shared" si="382"/>
        <v>3.0214846832816904E-3</v>
      </c>
      <c r="Y257" s="103">
        <f t="shared" si="382"/>
        <v>4.3392229609565368E-3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1.245727285021222E-2</v>
      </c>
      <c r="C258" s="156">
        <f t="shared" si="383"/>
        <v>1.1665337430798102E-2</v>
      </c>
      <c r="D258" s="156">
        <f t="shared" si="383"/>
        <v>1.0784591319126393E-2</v>
      </c>
      <c r="E258" s="156">
        <f t="shared" si="383"/>
        <v>1.0354104394797696E-2</v>
      </c>
      <c r="F258" s="156">
        <f t="shared" si="383"/>
        <v>1.0092366598287199E-2</v>
      </c>
      <c r="G258" s="156">
        <f t="shared" si="383"/>
        <v>9.4970657720645744E-3</v>
      </c>
      <c r="H258" s="156">
        <f t="shared" si="383"/>
        <v>9.2655967578090127E-3</v>
      </c>
      <c r="I258" s="156">
        <f t="shared" si="383"/>
        <v>8.9805869020161237E-3</v>
      </c>
      <c r="J258" s="156">
        <f t="shared" si="383"/>
        <v>8.8893406883037672E-3</v>
      </c>
      <c r="K258" s="156">
        <f t="shared" si="383"/>
        <v>8.6097526399026986E-3</v>
      </c>
      <c r="L258" s="156">
        <f t="shared" ref="L258" si="384">IF(L40=0,0,L40/L$31)</f>
        <v>8.5028246231719767E-3</v>
      </c>
      <c r="M258" s="156">
        <f t="shared" ref="M258:V258" si="385">IF(M40=0,0,M40/M$31)</f>
        <v>8.588083981813063E-3</v>
      </c>
      <c r="N258" s="156">
        <f t="shared" si="385"/>
        <v>8.5226989253249369E-3</v>
      </c>
      <c r="O258" s="156">
        <f t="shared" si="385"/>
        <v>8.6556466455259325E-3</v>
      </c>
      <c r="P258" s="156">
        <f t="shared" si="385"/>
        <v>8.6852331942129067E-3</v>
      </c>
      <c r="Q258" s="156">
        <f t="shared" si="385"/>
        <v>8.7156579162975308E-3</v>
      </c>
      <c r="R258" s="156">
        <f t="shared" si="385"/>
        <v>8.607797760252665E-3</v>
      </c>
      <c r="S258" s="156">
        <f t="shared" si="385"/>
        <v>8.369306213992565E-3</v>
      </c>
      <c r="T258" s="156">
        <f t="shared" si="385"/>
        <v>7.9310321506313331E-3</v>
      </c>
      <c r="U258" s="156">
        <f t="shared" si="385"/>
        <v>7.7840356053357172E-3</v>
      </c>
      <c r="V258" s="156">
        <f t="shared" si="385"/>
        <v>5.3949457932368902E-3</v>
      </c>
      <c r="W258" s="156">
        <f t="shared" ref="W258:Y258" si="386">IF(W40=0,0,W40/W$31)</f>
        <v>5.9997582191866922E-3</v>
      </c>
      <c r="X258" s="156">
        <f t="shared" si="386"/>
        <v>6.7543379364496453E-3</v>
      </c>
      <c r="Y258" s="156">
        <f t="shared" si="386"/>
        <v>7.0242734669886345E-3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1.8766306796724432E-4</v>
      </c>
      <c r="C259" s="103">
        <f t="shared" si="387"/>
        <v>1.6572715427165031E-4</v>
      </c>
      <c r="D259" s="103">
        <f t="shared" si="387"/>
        <v>1.4200818337812752E-4</v>
      </c>
      <c r="E259" s="103">
        <f t="shared" si="387"/>
        <v>1.20581585313165E-4</v>
      </c>
      <c r="F259" s="103">
        <f t="shared" si="387"/>
        <v>9.8018988013749396E-5</v>
      </c>
      <c r="G259" s="103">
        <f t="shared" si="387"/>
        <v>8.343305439176316E-5</v>
      </c>
      <c r="H259" s="103">
        <f t="shared" si="387"/>
        <v>7.1705868697094312E-5</v>
      </c>
      <c r="I259" s="103">
        <f t="shared" si="387"/>
        <v>5.9239810514906994E-5</v>
      </c>
      <c r="J259" s="103">
        <f t="shared" si="387"/>
        <v>4.6153736210331959E-5</v>
      </c>
      <c r="K259" s="103">
        <f t="shared" si="387"/>
        <v>3.722976336164737E-5</v>
      </c>
      <c r="L259" s="103">
        <f t="shared" ref="L259" si="388">IF(L41=0,0,L41/L$31)</f>
        <v>3.0514875144265896E-5</v>
      </c>
      <c r="M259" s="103">
        <f t="shared" ref="M259:V259" si="389">IF(M41=0,0,M41/M$31)</f>
        <v>2.4125764987802197E-5</v>
      </c>
      <c r="N259" s="103">
        <f t="shared" si="389"/>
        <v>2.0748949022815406E-5</v>
      </c>
      <c r="O259" s="103">
        <f t="shared" si="389"/>
        <v>1.7351118243495084E-5</v>
      </c>
      <c r="P259" s="103">
        <f t="shared" si="389"/>
        <v>1.3765896285658204E-5</v>
      </c>
      <c r="Q259" s="103">
        <f t="shared" si="389"/>
        <v>1.0599545690530653E-5</v>
      </c>
      <c r="R259" s="103">
        <f t="shared" si="389"/>
        <v>1.0513298386150401E-5</v>
      </c>
      <c r="S259" s="103">
        <f t="shared" si="389"/>
        <v>9.5785346304441454E-6</v>
      </c>
      <c r="T259" s="103">
        <f t="shared" si="389"/>
        <v>8.6941436946703916E-6</v>
      </c>
      <c r="U259" s="103">
        <f t="shared" si="389"/>
        <v>8.1920380908355874E-6</v>
      </c>
      <c r="V259" s="103">
        <f t="shared" si="389"/>
        <v>7.0961292411285434E-6</v>
      </c>
      <c r="W259" s="103">
        <f t="shared" ref="W259:Y259" si="390">IF(W41=0,0,W41/W$31)</f>
        <v>6.6986754426998859E-6</v>
      </c>
      <c r="X259" s="103">
        <f t="shared" si="390"/>
        <v>5.265459348772202E-6</v>
      </c>
      <c r="Y259" s="103">
        <f t="shared" si="390"/>
        <v>4.8079321696447318E-5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1.2269609782244974E-2</v>
      </c>
      <c r="C260" s="103">
        <f t="shared" si="391"/>
        <v>1.1499610276526451E-2</v>
      </c>
      <c r="D260" s="103">
        <f t="shared" si="391"/>
        <v>1.0642583135748266E-2</v>
      </c>
      <c r="E260" s="103">
        <f t="shared" si="391"/>
        <v>1.0233522809484532E-2</v>
      </c>
      <c r="F260" s="103">
        <f t="shared" si="391"/>
        <v>9.9943476102734505E-3</v>
      </c>
      <c r="G260" s="103">
        <f t="shared" si="391"/>
        <v>9.4136327176728117E-3</v>
      </c>
      <c r="H260" s="103">
        <f t="shared" si="391"/>
        <v>9.1938908891119175E-3</v>
      </c>
      <c r="I260" s="103">
        <f t="shared" si="391"/>
        <v>8.9213470915012159E-3</v>
      </c>
      <c r="J260" s="103">
        <f t="shared" si="391"/>
        <v>8.8431869520934347E-3</v>
      </c>
      <c r="K260" s="103">
        <f t="shared" si="391"/>
        <v>8.5725228765410524E-3</v>
      </c>
      <c r="L260" s="103">
        <f t="shared" ref="L260" si="392">IF(L42=0,0,L42/L$31)</f>
        <v>8.47230974802771E-3</v>
      </c>
      <c r="M260" s="103">
        <f t="shared" ref="M260:V260" si="393">IF(M42=0,0,M42/M$31)</f>
        <v>8.5639582168252609E-3</v>
      </c>
      <c r="N260" s="103">
        <f t="shared" si="393"/>
        <v>8.4070976379121091E-3</v>
      </c>
      <c r="O260" s="103">
        <f t="shared" si="393"/>
        <v>8.5272483705240692E-3</v>
      </c>
      <c r="P260" s="103">
        <f t="shared" si="393"/>
        <v>8.2510560381638277E-3</v>
      </c>
      <c r="Q260" s="103">
        <f t="shared" si="393"/>
        <v>8.2663953112691018E-3</v>
      </c>
      <c r="R260" s="103">
        <f t="shared" si="393"/>
        <v>7.9060856708555467E-3</v>
      </c>
      <c r="S260" s="103">
        <f t="shared" si="393"/>
        <v>7.7398680026740316E-3</v>
      </c>
      <c r="T260" s="103">
        <f t="shared" si="393"/>
        <v>7.3163484328720068E-3</v>
      </c>
      <c r="U260" s="103">
        <f t="shared" si="393"/>
        <v>7.3826990681571062E-3</v>
      </c>
      <c r="V260" s="103">
        <f t="shared" si="393"/>
        <v>5.0857919983351325E-3</v>
      </c>
      <c r="W260" s="103">
        <f t="shared" ref="W260:Y260" si="394">IF(W42=0,0,W42/W$31)</f>
        <v>5.6968819585366676E-3</v>
      </c>
      <c r="X260" s="103">
        <f t="shared" si="394"/>
        <v>6.4272524092129019E-3</v>
      </c>
      <c r="Y260" s="103">
        <f t="shared" si="394"/>
        <v>6.5993459801329405E-3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9.4852338390013295E-5</v>
      </c>
      <c r="O262" s="103">
        <f t="shared" si="401"/>
        <v>1.1104715675836854E-4</v>
      </c>
      <c r="P262" s="103">
        <f t="shared" si="401"/>
        <v>4.1407816027259886E-4</v>
      </c>
      <c r="Q262" s="103">
        <f t="shared" si="401"/>
        <v>4.3246146417365067E-4</v>
      </c>
      <c r="R262" s="103">
        <f t="shared" si="401"/>
        <v>6.787880181552162E-4</v>
      </c>
      <c r="S262" s="103">
        <f t="shared" si="401"/>
        <v>6.1107294654143274E-4</v>
      </c>
      <c r="T262" s="103">
        <f t="shared" si="401"/>
        <v>5.9474761807776591E-4</v>
      </c>
      <c r="U262" s="103">
        <f t="shared" si="401"/>
        <v>3.7683375217843697E-4</v>
      </c>
      <c r="V262" s="103">
        <f t="shared" si="401"/>
        <v>2.8656776617030938E-4</v>
      </c>
      <c r="W262" s="103">
        <f t="shared" ref="W262:Y262" si="402">IF(W44=0,0,W44/W$31)</f>
        <v>2.7865597056899463E-4</v>
      </c>
      <c r="X262" s="103">
        <f t="shared" si="402"/>
        <v>2.9446943896224774E-4</v>
      </c>
      <c r="Y262" s="103">
        <f t="shared" si="402"/>
        <v>3.0629525777868712E-4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0</v>
      </c>
      <c r="M263" s="103">
        <f t="shared" ref="M263:V263" si="405">IF(M45=0,0,M45/M$31)</f>
        <v>0</v>
      </c>
      <c r="N263" s="103">
        <f t="shared" si="405"/>
        <v>0</v>
      </c>
      <c r="O263" s="103">
        <f t="shared" si="405"/>
        <v>0</v>
      </c>
      <c r="P263" s="103">
        <f t="shared" si="405"/>
        <v>6.3330994908232466E-6</v>
      </c>
      <c r="Q263" s="103">
        <f t="shared" si="405"/>
        <v>6.201595164246932E-6</v>
      </c>
      <c r="R263" s="103">
        <f t="shared" si="405"/>
        <v>1.2410772855751879E-5</v>
      </c>
      <c r="S263" s="103">
        <f t="shared" si="405"/>
        <v>8.7867301466566758E-6</v>
      </c>
      <c r="T263" s="103">
        <f t="shared" si="405"/>
        <v>1.1241955986890718E-5</v>
      </c>
      <c r="U263" s="103">
        <f t="shared" si="405"/>
        <v>1.6310746909338043E-5</v>
      </c>
      <c r="V263" s="103">
        <f t="shared" si="405"/>
        <v>1.5489899490319776E-5</v>
      </c>
      <c r="W263" s="103">
        <f t="shared" ref="W263:Y263" si="406">IF(W45=0,0,W45/W$31)</f>
        <v>1.7521614638330118E-5</v>
      </c>
      <c r="X263" s="103">
        <f t="shared" si="406"/>
        <v>2.7350628925722669E-5</v>
      </c>
      <c r="Y263" s="103">
        <f t="shared" si="406"/>
        <v>7.055290738056024E-5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0.41249714638966911</v>
      </c>
      <c r="C265" s="154">
        <f t="shared" si="411"/>
        <v>0.41912838362568394</v>
      </c>
      <c r="D265" s="154">
        <f t="shared" si="411"/>
        <v>0.41428588851043124</v>
      </c>
      <c r="E265" s="154">
        <f t="shared" si="411"/>
        <v>0.42362242072565981</v>
      </c>
      <c r="F265" s="154">
        <f t="shared" si="411"/>
        <v>0.40056164398500049</v>
      </c>
      <c r="G265" s="154">
        <f t="shared" si="411"/>
        <v>0.41571366684342065</v>
      </c>
      <c r="H265" s="154">
        <f t="shared" si="411"/>
        <v>0.42962095123702537</v>
      </c>
      <c r="I265" s="154">
        <f t="shared" si="411"/>
        <v>0.45287574504842698</v>
      </c>
      <c r="J265" s="154">
        <f t="shared" si="411"/>
        <v>0.47955124363592277</v>
      </c>
      <c r="K265" s="154">
        <f t="shared" si="411"/>
        <v>0.52433347746197667</v>
      </c>
      <c r="L265" s="154">
        <f t="shared" ref="L265" si="412">IF(L47=0,0,L47/L$46)</f>
        <v>0.53053553247589547</v>
      </c>
      <c r="M265" s="154">
        <f t="shared" ref="M265:V265" si="413">IF(M47=0,0,M47/M$46)</f>
        <v>0.54834030084246121</v>
      </c>
      <c r="N265" s="154">
        <f t="shared" si="413"/>
        <v>0.56295779352187469</v>
      </c>
      <c r="O265" s="154">
        <f t="shared" si="413"/>
        <v>0.57936054616692123</v>
      </c>
      <c r="P265" s="154">
        <f t="shared" si="413"/>
        <v>0.58450844228267629</v>
      </c>
      <c r="Q265" s="154">
        <f t="shared" si="413"/>
        <v>0.59193230237989292</v>
      </c>
      <c r="R265" s="154">
        <f t="shared" si="413"/>
        <v>0.59148421686109476</v>
      </c>
      <c r="S265" s="154">
        <f t="shared" si="413"/>
        <v>0.59021501527636799</v>
      </c>
      <c r="T265" s="154">
        <f t="shared" si="413"/>
        <v>0.61088583541401342</v>
      </c>
      <c r="U265" s="154">
        <f t="shared" si="413"/>
        <v>0.62084049863656865</v>
      </c>
      <c r="V265" s="154">
        <f t="shared" si="413"/>
        <v>0.64364834396170933</v>
      </c>
      <c r="W265" s="154">
        <f t="shared" ref="W265:Y265" si="414">IF(W47=0,0,W47/W$46)</f>
        <v>0.63788448279598087</v>
      </c>
      <c r="X265" s="154">
        <f t="shared" si="414"/>
        <v>0.64008735875244349</v>
      </c>
      <c r="Y265" s="154">
        <f t="shared" si="414"/>
        <v>0.64262771690014542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8.621212079155019E-2</v>
      </c>
      <c r="C266" s="103">
        <f t="shared" si="415"/>
        <v>8.6878373209480095E-2</v>
      </c>
      <c r="D266" s="103">
        <f t="shared" si="415"/>
        <v>8.2265003874868972E-2</v>
      </c>
      <c r="E266" s="103">
        <f t="shared" si="415"/>
        <v>7.76316448294712E-2</v>
      </c>
      <c r="F266" s="103">
        <f t="shared" si="415"/>
        <v>6.7533053669379672E-2</v>
      </c>
      <c r="G266" s="103">
        <f t="shared" si="415"/>
        <v>6.2248238394852135E-2</v>
      </c>
      <c r="H266" s="103">
        <f t="shared" si="415"/>
        <v>5.4601973169596758E-2</v>
      </c>
      <c r="I266" s="103">
        <f t="shared" si="415"/>
        <v>5.181991380499882E-2</v>
      </c>
      <c r="J266" s="103">
        <f t="shared" si="415"/>
        <v>4.8440894634704738E-2</v>
      </c>
      <c r="K266" s="103">
        <f t="shared" si="415"/>
        <v>4.7806003803972846E-2</v>
      </c>
      <c r="L266" s="103">
        <f t="shared" ref="L266" si="416">IF(L48=0,0,L48/L$46)</f>
        <v>4.4347927128584423E-2</v>
      </c>
      <c r="M266" s="103">
        <f t="shared" ref="M266:V266" si="417">IF(M48=0,0,M48/M$46)</f>
        <v>4.2034169386714913E-2</v>
      </c>
      <c r="N266" s="103">
        <f t="shared" si="417"/>
        <v>4.0029781934205609E-2</v>
      </c>
      <c r="O266" s="103">
        <f t="shared" si="417"/>
        <v>3.7985486045819576E-2</v>
      </c>
      <c r="P266" s="103">
        <f t="shared" si="417"/>
        <v>3.2682761987992914E-2</v>
      </c>
      <c r="Q266" s="103">
        <f t="shared" si="417"/>
        <v>2.9693085022912107E-2</v>
      </c>
      <c r="R266" s="103">
        <f t="shared" si="417"/>
        <v>2.6489725385846805E-2</v>
      </c>
      <c r="S266" s="103">
        <f t="shared" si="417"/>
        <v>2.4169582431918229E-2</v>
      </c>
      <c r="T266" s="103">
        <f t="shared" si="417"/>
        <v>2.3720017921617955E-2</v>
      </c>
      <c r="U266" s="103">
        <f t="shared" si="417"/>
        <v>2.271481764797156E-2</v>
      </c>
      <c r="V266" s="103">
        <f t="shared" si="417"/>
        <v>2.2196819274065225E-2</v>
      </c>
      <c r="W266" s="103">
        <f t="shared" ref="W266:Y266" si="418">IF(W48=0,0,W48/W$46)</f>
        <v>2.0551459001404242E-2</v>
      </c>
      <c r="X266" s="103">
        <f t="shared" si="418"/>
        <v>1.9443651424462305E-2</v>
      </c>
      <c r="Y266" s="103">
        <f t="shared" si="418"/>
        <v>1.8846843675832062E-2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0.32628502559811895</v>
      </c>
      <c r="C267" s="103">
        <f t="shared" si="419"/>
        <v>0.33225001041620383</v>
      </c>
      <c r="D267" s="103">
        <f t="shared" si="419"/>
        <v>0.33202088463556229</v>
      </c>
      <c r="E267" s="103">
        <f t="shared" si="419"/>
        <v>0.3459907758961886</v>
      </c>
      <c r="F267" s="103">
        <f t="shared" si="419"/>
        <v>0.33302859031562082</v>
      </c>
      <c r="G267" s="103">
        <f t="shared" si="419"/>
        <v>0.35346542844856849</v>
      </c>
      <c r="H267" s="103">
        <f t="shared" si="419"/>
        <v>0.37197597009981864</v>
      </c>
      <c r="I267" s="103">
        <f t="shared" si="419"/>
        <v>0.39798847116744163</v>
      </c>
      <c r="J267" s="103">
        <f t="shared" si="419"/>
        <v>0.4268542357311001</v>
      </c>
      <c r="K267" s="103">
        <f t="shared" si="419"/>
        <v>0.47475679963675882</v>
      </c>
      <c r="L267" s="103">
        <f t="shared" ref="L267" si="420">IF(L49=0,0,L49/L$46)</f>
        <v>0.48556406086748971</v>
      </c>
      <c r="M267" s="103">
        <f t="shared" ref="M267:V267" si="421">IF(M49=0,0,M49/M$46)</f>
        <v>0.50577163501516698</v>
      </c>
      <c r="N267" s="103">
        <f t="shared" si="421"/>
        <v>0.52242792452931119</v>
      </c>
      <c r="O267" s="103">
        <f t="shared" si="421"/>
        <v>0.5408667546905267</v>
      </c>
      <c r="P267" s="103">
        <f t="shared" si="421"/>
        <v>0.54872540585748364</v>
      </c>
      <c r="Q267" s="103">
        <f t="shared" si="421"/>
        <v>0.55837345500565949</v>
      </c>
      <c r="R267" s="103">
        <f t="shared" si="421"/>
        <v>0.56124794178480086</v>
      </c>
      <c r="S267" s="103">
        <f t="shared" si="421"/>
        <v>0.56190519451279497</v>
      </c>
      <c r="T267" s="103">
        <f t="shared" si="421"/>
        <v>0.58312037115471049</v>
      </c>
      <c r="U267" s="103">
        <f t="shared" si="421"/>
        <v>0.59352551540313492</v>
      </c>
      <c r="V267" s="103">
        <f t="shared" si="421"/>
        <v>0.616653557707732</v>
      </c>
      <c r="W267" s="103">
        <f t="shared" ref="W267:Y267" si="422">IF(W49=0,0,W49/W$46)</f>
        <v>0.61255249499947839</v>
      </c>
      <c r="X267" s="103">
        <f t="shared" si="422"/>
        <v>0.61601159054361609</v>
      </c>
      <c r="Y267" s="103">
        <f t="shared" si="422"/>
        <v>0.61879498837248714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3.0430079676100181E-3</v>
      </c>
      <c r="I268" s="103">
        <f t="shared" si="423"/>
        <v>3.0673600759864969E-3</v>
      </c>
      <c r="J268" s="103">
        <f t="shared" si="423"/>
        <v>4.2561132701179512E-3</v>
      </c>
      <c r="K268" s="103">
        <f t="shared" si="423"/>
        <v>1.7706740212449633E-3</v>
      </c>
      <c r="L268" s="103">
        <f t="shared" ref="L268" si="424">IF(L50=0,0,L50/L$46)</f>
        <v>6.2354447982132023E-4</v>
      </c>
      <c r="M268" s="103">
        <f t="shared" ref="M268:V268" si="425">IF(M50=0,0,M50/M$46)</f>
        <v>5.3449644057938957E-4</v>
      </c>
      <c r="N268" s="103">
        <f t="shared" si="425"/>
        <v>5.0008705835794009E-4</v>
      </c>
      <c r="O268" s="103">
        <f t="shared" si="425"/>
        <v>5.083054305749119E-4</v>
      </c>
      <c r="P268" s="103">
        <f t="shared" si="425"/>
        <v>2.7405050897739073E-3</v>
      </c>
      <c r="Q268" s="103">
        <f t="shared" si="425"/>
        <v>2.9700208185320844E-3</v>
      </c>
      <c r="R268" s="103">
        <f t="shared" si="425"/>
        <v>2.7448028507577496E-3</v>
      </c>
      <c r="S268" s="103">
        <f t="shared" si="425"/>
        <v>2.7552285867970794E-3</v>
      </c>
      <c r="T268" s="103">
        <f t="shared" si="425"/>
        <v>2.6199485174242016E-3</v>
      </c>
      <c r="U268" s="103">
        <f t="shared" si="425"/>
        <v>2.8903306155028436E-3</v>
      </c>
      <c r="V268" s="103">
        <f t="shared" si="425"/>
        <v>2.9703933165868132E-3</v>
      </c>
      <c r="W268" s="103">
        <f t="shared" ref="W268:Y268" si="426">IF(W50=0,0,W50/W$46)</f>
        <v>2.7572844325774713E-3</v>
      </c>
      <c r="X268" s="103">
        <f t="shared" si="426"/>
        <v>2.6241299285531569E-3</v>
      </c>
      <c r="Y268" s="103">
        <f t="shared" si="426"/>
        <v>2.4642002675424679E-3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2.178998158424723E-4</v>
      </c>
      <c r="Q269" s="103">
        <f t="shared" si="429"/>
        <v>5.6306665318897847E-4</v>
      </c>
      <c r="R269" s="103">
        <f t="shared" si="429"/>
        <v>4.7389415372634327E-4</v>
      </c>
      <c r="S269" s="103">
        <f t="shared" si="429"/>
        <v>4.4403418086757975E-4</v>
      </c>
      <c r="T269" s="103">
        <f t="shared" si="429"/>
        <v>4.2733273984617634E-4</v>
      </c>
      <c r="U269" s="103">
        <f t="shared" si="429"/>
        <v>5.5060892476813778E-4</v>
      </c>
      <c r="V269" s="103">
        <f t="shared" si="429"/>
        <v>5.4927230324188186E-4</v>
      </c>
      <c r="W269" s="103">
        <f t="shared" ref="W269:Y269" si="430">IF(W51=0,0,W51/W$46)</f>
        <v>5.1508303732134052E-4</v>
      </c>
      <c r="X269" s="103">
        <f t="shared" si="430"/>
        <v>4.9698163696525123E-4</v>
      </c>
      <c r="Y269" s="103">
        <f t="shared" si="430"/>
        <v>4.67214414528616E-4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0</v>
      </c>
      <c r="N270" s="103">
        <f t="shared" si="433"/>
        <v>0</v>
      </c>
      <c r="O270" s="103">
        <f t="shared" si="433"/>
        <v>0</v>
      </c>
      <c r="P270" s="103">
        <f t="shared" si="433"/>
        <v>1.4186953158335923E-4</v>
      </c>
      <c r="Q270" s="103">
        <f t="shared" si="433"/>
        <v>3.326748796003088E-4</v>
      </c>
      <c r="R270" s="103">
        <f t="shared" si="433"/>
        <v>5.2785268596294312E-4</v>
      </c>
      <c r="S270" s="103">
        <f t="shared" si="433"/>
        <v>9.4097556399020017E-4</v>
      </c>
      <c r="T270" s="103">
        <f t="shared" si="433"/>
        <v>9.9816508041448656E-4</v>
      </c>
      <c r="U270" s="103">
        <f t="shared" si="433"/>
        <v>1.1592260451912363E-3</v>
      </c>
      <c r="V270" s="103">
        <f t="shared" si="433"/>
        <v>1.2783013600832895E-3</v>
      </c>
      <c r="W270" s="103">
        <f t="shared" ref="W270:Y270" si="434">IF(W52=0,0,W52/W$46)</f>
        <v>1.5081613251994659E-3</v>
      </c>
      <c r="X270" s="103">
        <f t="shared" si="434"/>
        <v>1.5110052188466617E-3</v>
      </c>
      <c r="Y270" s="103">
        <f t="shared" si="434"/>
        <v>2.054470169755161E-3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0.58750285361033083</v>
      </c>
      <c r="C271" s="156">
        <f t="shared" si="435"/>
        <v>0.58087161637431606</v>
      </c>
      <c r="D271" s="156">
        <f t="shared" si="435"/>
        <v>0.58571411148956887</v>
      </c>
      <c r="E271" s="156">
        <f t="shared" si="435"/>
        <v>0.5763775792743403</v>
      </c>
      <c r="F271" s="156">
        <f t="shared" si="435"/>
        <v>0.59943835601499962</v>
      </c>
      <c r="G271" s="156">
        <f t="shared" si="435"/>
        <v>0.5842863331565793</v>
      </c>
      <c r="H271" s="156">
        <f t="shared" si="435"/>
        <v>0.57037904876297463</v>
      </c>
      <c r="I271" s="156">
        <f t="shared" si="435"/>
        <v>0.54712425495157302</v>
      </c>
      <c r="J271" s="156">
        <f t="shared" si="435"/>
        <v>0.52044875636407728</v>
      </c>
      <c r="K271" s="156">
        <f t="shared" si="435"/>
        <v>0.47566652253802338</v>
      </c>
      <c r="L271" s="156">
        <f t="shared" ref="L271" si="436">IF(L53=0,0,L53/L$46)</f>
        <v>0.46946446752410453</v>
      </c>
      <c r="M271" s="156">
        <f t="shared" ref="M271:V271" si="437">IF(M53=0,0,M53/M$46)</f>
        <v>0.45165969915753873</v>
      </c>
      <c r="N271" s="156">
        <f t="shared" si="437"/>
        <v>0.43704220647812531</v>
      </c>
      <c r="O271" s="156">
        <f t="shared" si="437"/>
        <v>0.42063945383307877</v>
      </c>
      <c r="P271" s="156">
        <f t="shared" si="437"/>
        <v>0.41549155771732371</v>
      </c>
      <c r="Q271" s="156">
        <f t="shared" si="437"/>
        <v>0.40806769762010703</v>
      </c>
      <c r="R271" s="156">
        <f t="shared" si="437"/>
        <v>0.4085157831389053</v>
      </c>
      <c r="S271" s="156">
        <f t="shared" si="437"/>
        <v>0.40978498472363195</v>
      </c>
      <c r="T271" s="156">
        <f t="shared" si="437"/>
        <v>0.38911416458598669</v>
      </c>
      <c r="U271" s="156">
        <f t="shared" si="437"/>
        <v>0.37915950136343135</v>
      </c>
      <c r="V271" s="156">
        <f t="shared" si="437"/>
        <v>0.35635165603829067</v>
      </c>
      <c r="W271" s="156">
        <f t="shared" ref="W271:Y271" si="438">IF(W53=0,0,W53/W$46)</f>
        <v>0.36211551720401913</v>
      </c>
      <c r="X271" s="156">
        <f t="shared" si="438"/>
        <v>0.35991264124755651</v>
      </c>
      <c r="Y271" s="156">
        <f t="shared" si="438"/>
        <v>0.35737228309985464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0.28910517150632886</v>
      </c>
      <c r="C272" s="104">
        <f t="shared" si="439"/>
        <v>0.2777836560066293</v>
      </c>
      <c r="D272" s="104">
        <f t="shared" si="439"/>
        <v>0.29624964335790116</v>
      </c>
      <c r="E272" s="104">
        <f t="shared" si="439"/>
        <v>0.29894155356795177</v>
      </c>
      <c r="F272" s="104">
        <f t="shared" si="439"/>
        <v>0.32641251384594172</v>
      </c>
      <c r="G272" s="104">
        <f t="shared" si="439"/>
        <v>0.318363745242153</v>
      </c>
      <c r="H272" s="104">
        <f t="shared" si="439"/>
        <v>0.27982373368644187</v>
      </c>
      <c r="I272" s="104">
        <f t="shared" si="439"/>
        <v>0.27588967953779908</v>
      </c>
      <c r="J272" s="104">
        <f t="shared" si="439"/>
        <v>0.26277131825300404</v>
      </c>
      <c r="K272" s="104">
        <f t="shared" si="439"/>
        <v>0.23886863199836031</v>
      </c>
      <c r="L272" s="104">
        <f t="shared" ref="L272" si="440">IF(L54=0,0,L54/L$46)</f>
        <v>0.24178528973403418</v>
      </c>
      <c r="M272" s="104">
        <f t="shared" ref="M272:V272" si="441">IF(M54=0,0,M54/M$46)</f>
        <v>0.22236697355011717</v>
      </c>
      <c r="N272" s="104">
        <f t="shared" si="441"/>
        <v>0.20003672623674826</v>
      </c>
      <c r="O272" s="104">
        <f t="shared" si="441"/>
        <v>0.18731921413470515</v>
      </c>
      <c r="P272" s="104">
        <f t="shared" si="441"/>
        <v>0.19316140225607881</v>
      </c>
      <c r="Q272" s="104">
        <f t="shared" si="441"/>
        <v>0.17765247628163094</v>
      </c>
      <c r="R272" s="104">
        <f t="shared" si="441"/>
        <v>0.16716187611591718</v>
      </c>
      <c r="S272" s="104">
        <f t="shared" si="441"/>
        <v>0.16559846335474512</v>
      </c>
      <c r="T272" s="104">
        <f t="shared" si="441"/>
        <v>0.1513037677426512</v>
      </c>
      <c r="U272" s="104">
        <f t="shared" si="441"/>
        <v>0.14911710566304293</v>
      </c>
      <c r="V272" s="104">
        <f t="shared" si="441"/>
        <v>0.14316401615166524</v>
      </c>
      <c r="W272" s="104">
        <f t="shared" ref="W272:Y272" si="442">IF(W54=0,0,W54/W$46)</f>
        <v>0.14623254721603088</v>
      </c>
      <c r="X272" s="104">
        <f t="shared" si="442"/>
        <v>0.14441339109110229</v>
      </c>
      <c r="Y272" s="104">
        <f t="shared" si="442"/>
        <v>0.14811168423379895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0.29839768210400203</v>
      </c>
      <c r="C273" s="105">
        <f t="shared" si="443"/>
        <v>0.30308796036768676</v>
      </c>
      <c r="D273" s="105">
        <f t="shared" si="443"/>
        <v>0.28946446813166771</v>
      </c>
      <c r="E273" s="105">
        <f t="shared" si="443"/>
        <v>0.27743602570638848</v>
      </c>
      <c r="F273" s="105">
        <f t="shared" si="443"/>
        <v>0.27302584216905784</v>
      </c>
      <c r="G273" s="105">
        <f t="shared" si="443"/>
        <v>0.2659225879144263</v>
      </c>
      <c r="H273" s="105">
        <f t="shared" si="443"/>
        <v>0.29055531507653276</v>
      </c>
      <c r="I273" s="105">
        <f t="shared" si="443"/>
        <v>0.27123457541377394</v>
      </c>
      <c r="J273" s="105">
        <f t="shared" si="443"/>
        <v>0.2576774381110733</v>
      </c>
      <c r="K273" s="105">
        <f t="shared" si="443"/>
        <v>0.2367978905396631</v>
      </c>
      <c r="L273" s="105">
        <f t="shared" ref="L273" si="444">IF(L55=0,0,L55/L$46)</f>
        <v>0.22767917779007038</v>
      </c>
      <c r="M273" s="105">
        <f t="shared" ref="M273:V273" si="445">IF(M55=0,0,M55/M$46)</f>
        <v>0.22929272560742159</v>
      </c>
      <c r="N273" s="105">
        <f t="shared" si="445"/>
        <v>0.23700548024137702</v>
      </c>
      <c r="O273" s="105">
        <f t="shared" si="445"/>
        <v>0.23332023969837362</v>
      </c>
      <c r="P273" s="105">
        <f t="shared" si="445"/>
        <v>0.22233015546124493</v>
      </c>
      <c r="Q273" s="105">
        <f t="shared" si="445"/>
        <v>0.23041522133847606</v>
      </c>
      <c r="R273" s="105">
        <f t="shared" si="445"/>
        <v>0.24135390702298812</v>
      </c>
      <c r="S273" s="105">
        <f t="shared" si="445"/>
        <v>0.2441865213688868</v>
      </c>
      <c r="T273" s="105">
        <f t="shared" si="445"/>
        <v>0.23781039684333546</v>
      </c>
      <c r="U273" s="105">
        <f t="shared" si="445"/>
        <v>0.23004239570038842</v>
      </c>
      <c r="V273" s="105">
        <f t="shared" si="445"/>
        <v>0.21318763988662542</v>
      </c>
      <c r="W273" s="105">
        <f t="shared" ref="W273:Y273" si="446">IF(W55=0,0,W55/W$46)</f>
        <v>0.21588296998798823</v>
      </c>
      <c r="X273" s="105">
        <f t="shared" si="446"/>
        <v>0.21549925015645424</v>
      </c>
      <c r="Y273" s="105">
        <f t="shared" si="446"/>
        <v>0.20926059886605569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1188.5354256233877</v>
      </c>
      <c r="C4" s="145">
        <f t="shared" si="0"/>
        <v>1239.6699054170249</v>
      </c>
      <c r="D4" s="145">
        <f t="shared" si="0"/>
        <v>1273.5644883920893</v>
      </c>
      <c r="E4" s="145">
        <f t="shared" si="0"/>
        <v>1290.4652622527947</v>
      </c>
      <c r="F4" s="145">
        <f t="shared" si="0"/>
        <v>1345.433276010318</v>
      </c>
      <c r="G4" s="145">
        <f t="shared" si="0"/>
        <v>1432.389939810834</v>
      </c>
      <c r="H4" s="145">
        <f t="shared" si="0"/>
        <v>1498.8284608770418</v>
      </c>
      <c r="I4" s="145">
        <f t="shared" si="0"/>
        <v>1701.0561478933794</v>
      </c>
      <c r="J4" s="145">
        <f t="shared" si="0"/>
        <v>2007.6967325881344</v>
      </c>
      <c r="K4" s="145">
        <f t="shared" si="0"/>
        <v>1695.9585554600171</v>
      </c>
      <c r="L4" s="145">
        <f t="shared" ref="L4" si="1">L5+L9+L10+L15</f>
        <v>1753.3011177987964</v>
      </c>
      <c r="M4" s="145">
        <f t="shared" ref="M4:V4" si="2">M5+M9+M10+M15</f>
        <v>1856.8690444763436</v>
      </c>
      <c r="N4" s="145">
        <f t="shared" si="2"/>
        <v>1875.2199914626635</v>
      </c>
      <c r="O4" s="145">
        <f t="shared" si="2"/>
        <v>1785.2278639931246</v>
      </c>
      <c r="P4" s="145">
        <f t="shared" si="2"/>
        <v>1769.0044621584784</v>
      </c>
      <c r="Q4" s="145">
        <f t="shared" si="2"/>
        <v>1746.3369338148566</v>
      </c>
      <c r="R4" s="145">
        <f t="shared" si="2"/>
        <v>1857.1980322530596</v>
      </c>
      <c r="S4" s="145">
        <f t="shared" si="2"/>
        <v>1904.6515746489918</v>
      </c>
      <c r="T4" s="145">
        <f t="shared" si="2"/>
        <v>1945.8936444971625</v>
      </c>
      <c r="U4" s="145">
        <f t="shared" si="2"/>
        <v>1899.1784758015883</v>
      </c>
      <c r="V4" s="145">
        <f t="shared" si="2"/>
        <v>1559.8673291938571</v>
      </c>
      <c r="W4" s="145">
        <f t="shared" ref="W4:Y4" si="3">W5+W9+W10+W15</f>
        <v>1773.0440958707384</v>
      </c>
      <c r="X4" s="145">
        <f t="shared" si="3"/>
        <v>1925.3112491523639</v>
      </c>
      <c r="Y4" s="145">
        <f t="shared" si="3"/>
        <v>1805.2102074294298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1188.5354256233877</v>
      </c>
      <c r="C5" s="97">
        <f t="shared" si="4"/>
        <v>1239.6699054170249</v>
      </c>
      <c r="D5" s="97">
        <f t="shared" si="4"/>
        <v>1273.5644883920893</v>
      </c>
      <c r="E5" s="97">
        <f t="shared" si="4"/>
        <v>1290.4652622527947</v>
      </c>
      <c r="F5" s="97">
        <f t="shared" si="4"/>
        <v>1345.433276010318</v>
      </c>
      <c r="G5" s="97">
        <f t="shared" si="4"/>
        <v>1432.389939810834</v>
      </c>
      <c r="H5" s="97">
        <f t="shared" si="4"/>
        <v>1494.4217540842646</v>
      </c>
      <c r="I5" s="97">
        <f t="shared" si="4"/>
        <v>1687.1990541702496</v>
      </c>
      <c r="J5" s="97">
        <f t="shared" si="4"/>
        <v>1983.1051590713673</v>
      </c>
      <c r="K5" s="97">
        <f t="shared" si="4"/>
        <v>1665.1607910576095</v>
      </c>
      <c r="L5" s="97">
        <f t="shared" ref="L5" si="5">SUM(L6:L8)</f>
        <v>1707.5594153052452</v>
      </c>
      <c r="M5" s="97">
        <f t="shared" ref="M5:V5" si="6">SUM(M6:M8)</f>
        <v>1820.0749785038693</v>
      </c>
      <c r="N5" s="97">
        <f t="shared" si="6"/>
        <v>1822.6975064488392</v>
      </c>
      <c r="O5" s="97">
        <f t="shared" si="6"/>
        <v>1723.9517626827173</v>
      </c>
      <c r="P5" s="97">
        <f t="shared" si="6"/>
        <v>1724.0676698194318</v>
      </c>
      <c r="Q5" s="97">
        <f t="shared" si="6"/>
        <v>1714.7239036973347</v>
      </c>
      <c r="R5" s="97">
        <f t="shared" si="6"/>
        <v>1835.7943250214958</v>
      </c>
      <c r="S5" s="97">
        <f t="shared" si="6"/>
        <v>1876.1351676698191</v>
      </c>
      <c r="T5" s="97">
        <f t="shared" si="6"/>
        <v>1868.4650042992262</v>
      </c>
      <c r="U5" s="97">
        <f t="shared" si="6"/>
        <v>1799.2294926913157</v>
      </c>
      <c r="V5" s="97">
        <f t="shared" si="6"/>
        <v>1462.5164230438525</v>
      </c>
      <c r="W5" s="97">
        <f t="shared" ref="W5:Y5" si="7">SUM(W6:W8)</f>
        <v>1664.2991401547717</v>
      </c>
      <c r="X5" s="97">
        <f t="shared" si="7"/>
        <v>1839.7797936371453</v>
      </c>
      <c r="Y5" s="97">
        <f t="shared" si="7"/>
        <v>1703.1648323301804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1.129750644883921</v>
      </c>
      <c r="I6" s="97">
        <v>2.1997420464316422</v>
      </c>
      <c r="J6" s="97">
        <v>2.1997420464316422</v>
      </c>
      <c r="K6" s="97">
        <v>4.3995700773860706</v>
      </c>
      <c r="L6" s="97">
        <v>5.4993981083404986</v>
      </c>
      <c r="M6" s="97">
        <v>6.5993121238177119</v>
      </c>
      <c r="N6" s="97">
        <v>8.7990541702493541</v>
      </c>
      <c r="O6" s="97">
        <v>12.09871023215821</v>
      </c>
      <c r="P6" s="97">
        <v>13.19862424763542</v>
      </c>
      <c r="Q6" s="97">
        <v>14.29853826311264</v>
      </c>
      <c r="R6" s="97">
        <v>15.39836629406707</v>
      </c>
      <c r="S6" s="97">
        <v>15.096990541702491</v>
      </c>
      <c r="T6" s="97">
        <v>14.855030094582981</v>
      </c>
      <c r="U6" s="97">
        <v>14.23138435081685</v>
      </c>
      <c r="V6" s="97">
        <v>9.1510748065348242</v>
      </c>
      <c r="W6" s="97">
        <v>16.092433361994839</v>
      </c>
      <c r="X6" s="97">
        <v>10.773344797936369</v>
      </c>
      <c r="Y6" s="97">
        <v>10.079363714531381</v>
      </c>
      <c r="DA6" s="175" t="s">
        <v>630</v>
      </c>
    </row>
    <row r="7" spans="1:105" ht="11.45" customHeight="1" x14ac:dyDescent="0.25">
      <c r="A7" s="128" t="s">
        <v>53</v>
      </c>
      <c r="B7" s="97">
        <v>848.5860705073087</v>
      </c>
      <c r="C7" s="97">
        <v>841.17944969905409</v>
      </c>
      <c r="D7" s="97">
        <v>806.26251074806532</v>
      </c>
      <c r="E7" s="97">
        <v>787.21693895098883</v>
      </c>
      <c r="F7" s="97">
        <v>700.45382631126392</v>
      </c>
      <c r="G7" s="97">
        <v>688.81487532244194</v>
      </c>
      <c r="H7" s="97">
        <v>665.06044711951847</v>
      </c>
      <c r="I7" s="97">
        <v>644.11367153912295</v>
      </c>
      <c r="J7" s="97">
        <v>673.43912295786754</v>
      </c>
      <c r="K7" s="97">
        <v>614.78813413585544</v>
      </c>
      <c r="L7" s="97">
        <v>600.12536543422175</v>
      </c>
      <c r="M7" s="97">
        <v>582.32063628546859</v>
      </c>
      <c r="N7" s="97">
        <v>525.76431642304385</v>
      </c>
      <c r="O7" s="97">
        <v>478.63404987102319</v>
      </c>
      <c r="P7" s="97">
        <v>447.21384350816851</v>
      </c>
      <c r="Q7" s="97">
        <v>436.74049871023209</v>
      </c>
      <c r="R7" s="97">
        <v>433.59845227858978</v>
      </c>
      <c r="S7" s="97">
        <v>422.88727429062772</v>
      </c>
      <c r="T7" s="97">
        <v>425.65124677558032</v>
      </c>
      <c r="U7" s="97">
        <v>407.66629406706789</v>
      </c>
      <c r="V7" s="97">
        <v>321.92063628546862</v>
      </c>
      <c r="W7" s="97">
        <v>365.83662940670678</v>
      </c>
      <c r="X7" s="97">
        <v>425.87429062768689</v>
      </c>
      <c r="Y7" s="97">
        <v>453.19630266552008</v>
      </c>
      <c r="DA7" s="175" t="s">
        <v>631</v>
      </c>
    </row>
    <row r="8" spans="1:105" ht="11.45" customHeight="1" x14ac:dyDescent="0.25">
      <c r="A8" s="128" t="s">
        <v>54</v>
      </c>
      <c r="B8" s="97">
        <v>339.94935511607912</v>
      </c>
      <c r="C8" s="97">
        <v>398.49045571797069</v>
      </c>
      <c r="D8" s="97">
        <v>467.30197764402402</v>
      </c>
      <c r="E8" s="97">
        <v>503.24832330180573</v>
      </c>
      <c r="F8" s="97">
        <v>644.97944969905416</v>
      </c>
      <c r="G8" s="97">
        <v>743.57506448839206</v>
      </c>
      <c r="H8" s="97">
        <v>828.23155631986242</v>
      </c>
      <c r="I8" s="97">
        <v>1040.885640584695</v>
      </c>
      <c r="J8" s="97">
        <v>1307.466294067068</v>
      </c>
      <c r="K8" s="97">
        <v>1045.973086844368</v>
      </c>
      <c r="L8" s="97">
        <v>1101.934651762683</v>
      </c>
      <c r="M8" s="97">
        <v>1231.155030094583</v>
      </c>
      <c r="N8" s="97">
        <v>1288.134135855546</v>
      </c>
      <c r="O8" s="97">
        <v>1233.219002579536</v>
      </c>
      <c r="P8" s="97">
        <v>1263.6552020636279</v>
      </c>
      <c r="Q8" s="97">
        <v>1263.6848667239899</v>
      </c>
      <c r="R8" s="97">
        <v>1386.7975064488389</v>
      </c>
      <c r="S8" s="97">
        <v>1438.150902837489</v>
      </c>
      <c r="T8" s="97">
        <v>1427.9587274290629</v>
      </c>
      <c r="U8" s="97">
        <v>1377.3318142734311</v>
      </c>
      <c r="V8" s="97">
        <v>1131.4447119518491</v>
      </c>
      <c r="W8" s="97">
        <v>1282.3700773860701</v>
      </c>
      <c r="X8" s="97">
        <v>1403.132158211522</v>
      </c>
      <c r="Y8" s="97">
        <v>1239.8891659501289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0.68787618228718828</v>
      </c>
      <c r="O9" s="97">
        <v>0.7953568357695614</v>
      </c>
      <c r="P9" s="97">
        <v>1.1607910576096301</v>
      </c>
      <c r="Q9" s="97">
        <v>2.1066208082545139</v>
      </c>
      <c r="R9" s="97">
        <v>2.815993121238177</v>
      </c>
      <c r="S9" s="97">
        <v>3.2678417884780742</v>
      </c>
      <c r="T9" s="97">
        <v>3.339466895958727</v>
      </c>
      <c r="U9" s="97">
        <v>4.4180567497850376</v>
      </c>
      <c r="V9" s="97">
        <v>3.487016337059329</v>
      </c>
      <c r="W9" s="97">
        <v>4.5623387790197762</v>
      </c>
      <c r="X9" s="97">
        <v>4.8276870163370589</v>
      </c>
      <c r="Y9" s="97">
        <v>4.9018916595012891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4.4067067927772996</v>
      </c>
      <c r="I10" s="97">
        <f t="shared" si="8"/>
        <v>13.857093723129838</v>
      </c>
      <c r="J10" s="97">
        <f t="shared" si="8"/>
        <v>24.591573516766982</v>
      </c>
      <c r="K10" s="97">
        <f t="shared" si="8"/>
        <v>30.797764402407566</v>
      </c>
      <c r="L10" s="97">
        <f t="shared" si="8"/>
        <v>45.741702493551159</v>
      </c>
      <c r="M10" s="97">
        <f t="shared" si="8"/>
        <v>36.792605331040413</v>
      </c>
      <c r="N10" s="97">
        <f t="shared" si="8"/>
        <v>51.831126397248497</v>
      </c>
      <c r="O10" s="97">
        <f t="shared" si="8"/>
        <v>60.475494411006018</v>
      </c>
      <c r="P10" s="97">
        <f t="shared" si="8"/>
        <v>43.72424763542562</v>
      </c>
      <c r="Q10" s="97">
        <f t="shared" si="8"/>
        <v>29.433361994840929</v>
      </c>
      <c r="R10" s="97">
        <f t="shared" si="8"/>
        <v>18.447119518486673</v>
      </c>
      <c r="S10" s="97">
        <f t="shared" si="8"/>
        <v>25.045485812553743</v>
      </c>
      <c r="T10" s="97">
        <f t="shared" si="8"/>
        <v>73.776096302665522</v>
      </c>
      <c r="U10" s="97">
        <f t="shared" si="8"/>
        <v>95.075666380051572</v>
      </c>
      <c r="V10" s="97">
        <f t="shared" si="8"/>
        <v>93.288392089423894</v>
      </c>
      <c r="W10" s="97">
        <f t="shared" si="8"/>
        <v>103.28443680137575</v>
      </c>
      <c r="X10" s="97">
        <f t="shared" ref="X10:Y10" si="9">SUM(X11:X13)</f>
        <v>79.368357695614776</v>
      </c>
      <c r="Y10" s="97">
        <f t="shared" si="9"/>
        <v>94.872398968185706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0.63697334479793633</v>
      </c>
      <c r="J12" s="97">
        <v>2.5580395528804809</v>
      </c>
      <c r="K12" s="97">
        <v>2.5948409286328462</v>
      </c>
      <c r="L12" s="97">
        <v>4.3186586414445394</v>
      </c>
      <c r="M12" s="97">
        <v>5.0643164230438522</v>
      </c>
      <c r="N12" s="97">
        <v>6.0013757523645754</v>
      </c>
      <c r="O12" s="97">
        <v>7.5950128976784166</v>
      </c>
      <c r="P12" s="97">
        <v>7.5892519346517631</v>
      </c>
      <c r="Q12" s="97">
        <v>6.5184866723989678</v>
      </c>
      <c r="R12" s="97">
        <v>4.3456577815993116</v>
      </c>
      <c r="S12" s="97">
        <v>4.2265692175408427</v>
      </c>
      <c r="T12" s="97">
        <v>7.7955288048151337</v>
      </c>
      <c r="U12" s="97">
        <v>4.2375752364574373</v>
      </c>
      <c r="V12" s="97">
        <v>8.0424763542562339</v>
      </c>
      <c r="W12" s="97">
        <v>8.5823731728288912</v>
      </c>
      <c r="X12" s="97">
        <v>6.4510748065348231</v>
      </c>
      <c r="Y12" s="97">
        <v>8.626483233018055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4.4067067927772996</v>
      </c>
      <c r="I13" s="97">
        <v>13.220120378331901</v>
      </c>
      <c r="J13" s="97">
        <v>22.033533963886502</v>
      </c>
      <c r="K13" s="97">
        <v>28.202923473774721</v>
      </c>
      <c r="L13" s="97">
        <v>41.423043852106623</v>
      </c>
      <c r="M13" s="97">
        <v>31.728288907996561</v>
      </c>
      <c r="N13" s="97">
        <v>45.829750644883923</v>
      </c>
      <c r="O13" s="97">
        <v>52.880481513327602</v>
      </c>
      <c r="P13" s="97">
        <v>36.134995700773857</v>
      </c>
      <c r="Q13" s="97">
        <v>22.914875322441961</v>
      </c>
      <c r="R13" s="97">
        <v>14.10146173688736</v>
      </c>
      <c r="S13" s="97">
        <v>20.818916595012901</v>
      </c>
      <c r="T13" s="97">
        <v>65.980567497850387</v>
      </c>
      <c r="U13" s="97">
        <v>90.838091143594141</v>
      </c>
      <c r="V13" s="97">
        <v>85.245915735167657</v>
      </c>
      <c r="W13" s="97">
        <v>94.702063628546853</v>
      </c>
      <c r="X13" s="97">
        <v>72.917282889079956</v>
      </c>
      <c r="Y13" s="97">
        <v>86.245915735167657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98">
        <v>1.4606414338527798E-3</v>
      </c>
      <c r="N15" s="98">
        <v>3.4824342885066135E-3</v>
      </c>
      <c r="O15" s="98">
        <v>5.250063631748984E-3</v>
      </c>
      <c r="P15" s="98">
        <v>5.1753646011251916E-2</v>
      </c>
      <c r="Q15" s="98">
        <v>7.304731442648095E-2</v>
      </c>
      <c r="R15" s="98">
        <v>0.14059459183915229</v>
      </c>
      <c r="S15" s="98">
        <v>0.20307937814075142</v>
      </c>
      <c r="T15" s="98">
        <v>0.31307699931196797</v>
      </c>
      <c r="U15" s="98">
        <v>0.45525998043591265</v>
      </c>
      <c r="V15" s="98">
        <v>0.57549772352146178</v>
      </c>
      <c r="W15" s="98">
        <v>0.89818013557116583</v>
      </c>
      <c r="X15" s="98">
        <v>1.3354108032667713</v>
      </c>
      <c r="Y15" s="98">
        <v>2.2710844715624612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1188.5354256233877</v>
      </c>
      <c r="C17" s="79">
        <f t="shared" si="10"/>
        <v>1239.6699054170249</v>
      </c>
      <c r="D17" s="79">
        <f t="shared" si="10"/>
        <v>1273.5644883920893</v>
      </c>
      <c r="E17" s="79">
        <f t="shared" si="10"/>
        <v>1290.4652622527947</v>
      </c>
      <c r="F17" s="79">
        <f t="shared" si="10"/>
        <v>1345.433276010318</v>
      </c>
      <c r="G17" s="79">
        <f t="shared" si="10"/>
        <v>1432.3899398108338</v>
      </c>
      <c r="H17" s="79">
        <f t="shared" si="10"/>
        <v>1498.8284608770423</v>
      </c>
      <c r="I17" s="79">
        <f t="shared" si="10"/>
        <v>1701.0561478933794</v>
      </c>
      <c r="J17" s="79">
        <f t="shared" si="10"/>
        <v>2007.6967325881342</v>
      </c>
      <c r="K17" s="79">
        <f t="shared" si="10"/>
        <v>1695.9585554600176</v>
      </c>
      <c r="L17" s="79">
        <f t="shared" ref="L17" si="11">L18+L42</f>
        <v>1753.3011177987967</v>
      </c>
      <c r="M17" s="79">
        <f t="shared" ref="M17:V17" si="12">M18+M42</f>
        <v>1856.8690444763433</v>
      </c>
      <c r="N17" s="79">
        <f t="shared" si="12"/>
        <v>1875.2199914626633</v>
      </c>
      <c r="O17" s="79">
        <f t="shared" si="12"/>
        <v>1785.2278639931246</v>
      </c>
      <c r="P17" s="79">
        <f t="shared" si="12"/>
        <v>1769.0044621584784</v>
      </c>
      <c r="Q17" s="79">
        <f t="shared" si="12"/>
        <v>1746.3369338148564</v>
      </c>
      <c r="R17" s="79">
        <f t="shared" si="12"/>
        <v>1857.1980322530599</v>
      </c>
      <c r="S17" s="79">
        <f t="shared" si="12"/>
        <v>1904.6515746489915</v>
      </c>
      <c r="T17" s="79">
        <f t="shared" si="12"/>
        <v>1945.8936444971623</v>
      </c>
      <c r="U17" s="79">
        <f t="shared" si="12"/>
        <v>1899.1784758015879</v>
      </c>
      <c r="V17" s="79">
        <f t="shared" si="12"/>
        <v>1559.8673291938571</v>
      </c>
      <c r="W17" s="79">
        <f t="shared" ref="W17:Y17" si="13">W18+W42</f>
        <v>1773.0440958707381</v>
      </c>
      <c r="X17" s="79">
        <f t="shared" si="13"/>
        <v>1925.3112491523636</v>
      </c>
      <c r="Y17" s="79">
        <f t="shared" si="13"/>
        <v>1805.2102074294298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1076.2881987238461</v>
      </c>
      <c r="C18" s="32">
        <f t="shared" si="14"/>
        <v>1071.7304632138423</v>
      </c>
      <c r="D18" s="32">
        <f t="shared" si="14"/>
        <v>1090.2601813649869</v>
      </c>
      <c r="E18" s="32">
        <f t="shared" si="14"/>
        <v>1072.1978414560624</v>
      </c>
      <c r="F18" s="32">
        <f t="shared" si="14"/>
        <v>1037.6041957388018</v>
      </c>
      <c r="G18" s="32">
        <f t="shared" si="14"/>
        <v>1066.95938108421</v>
      </c>
      <c r="H18" s="32">
        <f t="shared" si="14"/>
        <v>1091.357506734279</v>
      </c>
      <c r="I18" s="32">
        <f t="shared" si="14"/>
        <v>1124.5804099816471</v>
      </c>
      <c r="J18" s="32">
        <f t="shared" si="14"/>
        <v>1202.5077917073882</v>
      </c>
      <c r="K18" s="32">
        <f t="shared" si="14"/>
        <v>1179.1702055411938</v>
      </c>
      <c r="L18" s="32">
        <f t="shared" ref="L18" si="15">L19+L21+L33</f>
        <v>1197.3029145929215</v>
      </c>
      <c r="M18" s="32">
        <f t="shared" ref="M18:V18" si="16">M19+M21+M33</f>
        <v>1206.449745171727</v>
      </c>
      <c r="N18" s="32">
        <f t="shared" si="16"/>
        <v>1173.208236200815</v>
      </c>
      <c r="O18" s="32">
        <f t="shared" si="16"/>
        <v>1143.3060145656893</v>
      </c>
      <c r="P18" s="32">
        <f t="shared" si="16"/>
        <v>1135.6605175019231</v>
      </c>
      <c r="Q18" s="32">
        <f t="shared" si="16"/>
        <v>1141.2594608278728</v>
      </c>
      <c r="R18" s="32">
        <f t="shared" si="16"/>
        <v>1146.6028390684146</v>
      </c>
      <c r="S18" s="32">
        <f t="shared" si="16"/>
        <v>1180.3237866916936</v>
      </c>
      <c r="T18" s="32">
        <f t="shared" si="16"/>
        <v>1214.2333543101513</v>
      </c>
      <c r="U18" s="32">
        <f t="shared" si="16"/>
        <v>1215.0254634654002</v>
      </c>
      <c r="V18" s="32">
        <f t="shared" si="16"/>
        <v>1020.6144635429251</v>
      </c>
      <c r="W18" s="32">
        <f t="shared" ref="W18:Y18" si="17">W19+W21+W33</f>
        <v>1097.6310055207314</v>
      </c>
      <c r="X18" s="32">
        <f t="shared" si="17"/>
        <v>1195.7898154007205</v>
      </c>
      <c r="Y18" s="32">
        <f t="shared" si="17"/>
        <v>1235.8436438341716</v>
      </c>
      <c r="DA18" s="173" t="s">
        <v>391</v>
      </c>
    </row>
    <row r="19" spans="1:105" ht="11.45" customHeight="1" x14ac:dyDescent="0.25">
      <c r="A19" s="107" t="s">
        <v>174</v>
      </c>
      <c r="B19" s="129">
        <v>3.5048616008928368</v>
      </c>
      <c r="C19" s="129">
        <v>3.2641469409512047</v>
      </c>
      <c r="D19" s="129">
        <v>3.2464084590922422</v>
      </c>
      <c r="E19" s="129">
        <v>3.8879802172635216</v>
      </c>
      <c r="F19" s="129">
        <v>4.3844847471967787</v>
      </c>
      <c r="G19" s="129">
        <v>4.8680598212281128</v>
      </c>
      <c r="H19" s="129">
        <v>5.4413891519223236</v>
      </c>
      <c r="I19" s="129">
        <v>6.0277732562106765</v>
      </c>
      <c r="J19" s="129">
        <v>6.4477062636319911</v>
      </c>
      <c r="K19" s="129">
        <v>6.8807597015706321</v>
      </c>
      <c r="L19" s="129">
        <v>8.4203885650723631</v>
      </c>
      <c r="M19" s="129">
        <v>9.8299680969942838</v>
      </c>
      <c r="N19" s="129">
        <v>8.9521960595211318</v>
      </c>
      <c r="O19" s="129">
        <v>7.9372974957982976</v>
      </c>
      <c r="P19" s="129">
        <v>8.0411510489243856</v>
      </c>
      <c r="Q19" s="129">
        <v>8.5127414845508547</v>
      </c>
      <c r="R19" s="129">
        <v>8.7524253929715083</v>
      </c>
      <c r="S19" s="129">
        <v>8.5107263608797403</v>
      </c>
      <c r="T19" s="129">
        <v>8.0750296298827973</v>
      </c>
      <c r="U19" s="129">
        <v>8.5057600600925944</v>
      </c>
      <c r="V19" s="129">
        <v>7.5898753867538211</v>
      </c>
      <c r="W19" s="129">
        <v>7.8434377348131674</v>
      </c>
      <c r="X19" s="129">
        <v>7.9217485436482962</v>
      </c>
      <c r="Y19" s="129">
        <v>8.5439312190560237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5.955063284013188E-3</v>
      </c>
      <c r="J20" s="97">
        <v>2.43987527794743E-2</v>
      </c>
      <c r="K20" s="97">
        <v>2.8919613294905042E-2</v>
      </c>
      <c r="L20" s="97">
        <v>6.0162368048026688E-2</v>
      </c>
      <c r="M20" s="97">
        <v>8.4752032959055798E-2</v>
      </c>
      <c r="N20" s="97">
        <v>0.10103226506064614</v>
      </c>
      <c r="O20" s="97">
        <v>0.12398246314201833</v>
      </c>
      <c r="P20" s="97">
        <v>0.13418185092926424</v>
      </c>
      <c r="Q20" s="97">
        <v>0.12518684052106055</v>
      </c>
      <c r="R20" s="97">
        <v>8.6849085632426201E-2</v>
      </c>
      <c r="S20" s="97">
        <v>8.4219171545348803E-2</v>
      </c>
      <c r="T20" s="97">
        <v>0.14522919450766861</v>
      </c>
      <c r="U20" s="97">
        <v>8.7505364440597214E-2</v>
      </c>
      <c r="V20" s="97">
        <v>0.18499459785484551</v>
      </c>
      <c r="W20" s="97">
        <v>0.17978603952857583</v>
      </c>
      <c r="X20" s="97">
        <v>0.11820678715509901</v>
      </c>
      <c r="Y20" s="97">
        <v>0.15959385646562488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993.38758348643591</v>
      </c>
      <c r="C21" s="130">
        <f t="shared" si="18"/>
        <v>996.05965779623466</v>
      </c>
      <c r="D21" s="130">
        <f t="shared" si="18"/>
        <v>1017.1714595675587</v>
      </c>
      <c r="E21" s="130">
        <f t="shared" si="18"/>
        <v>1000.6084515788143</v>
      </c>
      <c r="F21" s="130">
        <f t="shared" si="18"/>
        <v>964.10435697300613</v>
      </c>
      <c r="G21" s="130">
        <f t="shared" si="18"/>
        <v>995.27551454648358</v>
      </c>
      <c r="H21" s="130">
        <f t="shared" si="18"/>
        <v>1018.638572111783</v>
      </c>
      <c r="I21" s="130">
        <f t="shared" si="18"/>
        <v>1050.8080242388503</v>
      </c>
      <c r="J21" s="130">
        <f t="shared" si="18"/>
        <v>1128.1159909652388</v>
      </c>
      <c r="K21" s="130">
        <f t="shared" si="18"/>
        <v>1103.4090972609047</v>
      </c>
      <c r="L21" s="130">
        <f t="shared" ref="L21" si="19">L22+L24+L26+L27+L29+L32</f>
        <v>1120.4134986866438</v>
      </c>
      <c r="M21" s="130">
        <f t="shared" ref="M21:V21" si="20">M22+M24+M26+M27+M29+M32</f>
        <v>1126.8943989858981</v>
      </c>
      <c r="N21" s="130">
        <f t="shared" si="20"/>
        <v>1094.8728740337604</v>
      </c>
      <c r="O21" s="130">
        <f t="shared" si="20"/>
        <v>1064.3165037279218</v>
      </c>
      <c r="P21" s="130">
        <f t="shared" si="20"/>
        <v>1056.5127885123261</v>
      </c>
      <c r="Q21" s="130">
        <f t="shared" si="20"/>
        <v>1058.8671742889694</v>
      </c>
      <c r="R21" s="130">
        <f t="shared" si="20"/>
        <v>1066.3141515684881</v>
      </c>
      <c r="S21" s="130">
        <f t="shared" si="20"/>
        <v>1097.240358423556</v>
      </c>
      <c r="T21" s="130">
        <f t="shared" si="20"/>
        <v>1132.6884520603851</v>
      </c>
      <c r="U21" s="130">
        <f t="shared" si="20"/>
        <v>1129.1065312220537</v>
      </c>
      <c r="V21" s="130">
        <f t="shared" si="20"/>
        <v>965.42550631516701</v>
      </c>
      <c r="W21" s="130">
        <f t="shared" ref="W21:Y21" si="21">W22+W24+W26+W27+W29+W32</f>
        <v>1034.3258471976098</v>
      </c>
      <c r="X21" s="130">
        <f t="shared" si="21"/>
        <v>1121.8423106679127</v>
      </c>
      <c r="Y21" s="130">
        <f t="shared" si="21"/>
        <v>1156.9902473403483</v>
      </c>
      <c r="DA21" s="176" t="s">
        <v>393</v>
      </c>
    </row>
    <row r="22" spans="1:105" ht="11.45" customHeight="1" x14ac:dyDescent="0.25">
      <c r="A22" s="111" t="s">
        <v>110</v>
      </c>
      <c r="B22" s="96">
        <v>837.85010038231576</v>
      </c>
      <c r="C22" s="96">
        <v>830.47413352556919</v>
      </c>
      <c r="D22" s="96">
        <v>795.388824910023</v>
      </c>
      <c r="E22" s="96">
        <v>775.77329793692752</v>
      </c>
      <c r="F22" s="96">
        <v>688.2860585287259</v>
      </c>
      <c r="G22" s="96">
        <v>676.39551930272705</v>
      </c>
      <c r="H22" s="96">
        <v>652.69328270101721</v>
      </c>
      <c r="I22" s="96">
        <v>631.63044115287823</v>
      </c>
      <c r="J22" s="96">
        <v>662.71235575411606</v>
      </c>
      <c r="K22" s="96">
        <v>604.11768229206109</v>
      </c>
      <c r="L22" s="96">
        <v>590.12224051280282</v>
      </c>
      <c r="M22" s="96">
        <v>571.94809823587423</v>
      </c>
      <c r="N22" s="96">
        <v>517.52919647087867</v>
      </c>
      <c r="O22" s="96">
        <v>473.25879512298491</v>
      </c>
      <c r="P22" s="96">
        <v>442.25078452790757</v>
      </c>
      <c r="Q22" s="96">
        <v>430.48758110348683</v>
      </c>
      <c r="R22" s="96">
        <v>425.17844665458637</v>
      </c>
      <c r="S22" s="96">
        <v>414.66906676032738</v>
      </c>
      <c r="T22" s="96">
        <v>421.40422414636174</v>
      </c>
      <c r="U22" s="96">
        <v>399.43581245788482</v>
      </c>
      <c r="V22" s="96">
        <v>318.52656583277599</v>
      </c>
      <c r="W22" s="96">
        <v>362.75881719724742</v>
      </c>
      <c r="X22" s="96">
        <v>420.5628899129311</v>
      </c>
      <c r="Y22" s="96">
        <v>449.03954851834726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0.62401140343144534</v>
      </c>
      <c r="J23" s="96">
        <v>2.5077685413726503</v>
      </c>
      <c r="K23" s="96">
        <v>2.5390873267253808</v>
      </c>
      <c r="L23" s="96">
        <v>4.2163317230185635</v>
      </c>
      <c r="M23" s="96">
        <v>4.9312229291342202</v>
      </c>
      <c r="N23" s="96">
        <v>5.8407061917348075</v>
      </c>
      <c r="O23" s="96">
        <v>7.3924142510762909</v>
      </c>
      <c r="P23" s="96">
        <v>7.3797928283926044</v>
      </c>
      <c r="Q23" s="96">
        <v>6.3306727051094906</v>
      </c>
      <c r="R23" s="96">
        <v>4.2189858998648804</v>
      </c>
      <c r="S23" s="96">
        <v>4.1034200592518832</v>
      </c>
      <c r="T23" s="96">
        <v>7.5789438355031056</v>
      </c>
      <c r="U23" s="96">
        <v>4.1093066454748737</v>
      </c>
      <c r="V23" s="96">
        <v>7.763723506601842</v>
      </c>
      <c r="W23" s="96">
        <v>8.3151002472409203</v>
      </c>
      <c r="X23" s="96">
        <v>6.2755574402991714</v>
      </c>
      <c r="Y23" s="96">
        <v>8.3877025009037816</v>
      </c>
      <c r="DA23" s="171" t="s">
        <v>642</v>
      </c>
    </row>
    <row r="24" spans="1:105" ht="11.45" customHeight="1" x14ac:dyDescent="0.25">
      <c r="A24" s="111" t="s">
        <v>111</v>
      </c>
      <c r="B24" s="96">
        <v>155.53748310412021</v>
      </c>
      <c r="C24" s="96">
        <v>165.58552427066545</v>
      </c>
      <c r="D24" s="96">
        <v>221.78263465753574</v>
      </c>
      <c r="E24" s="96">
        <v>224.83515364188676</v>
      </c>
      <c r="F24" s="96">
        <v>275.81829844428023</v>
      </c>
      <c r="G24" s="96">
        <v>318.87999524375653</v>
      </c>
      <c r="H24" s="96">
        <v>365.38552454449626</v>
      </c>
      <c r="I24" s="96">
        <v>417.60836210651621</v>
      </c>
      <c r="J24" s="96">
        <v>464.09641589234769</v>
      </c>
      <c r="K24" s="96">
        <v>495.24835872793295</v>
      </c>
      <c r="L24" s="96">
        <v>524.92844121447365</v>
      </c>
      <c r="M24" s="96">
        <v>548.47154031951038</v>
      </c>
      <c r="N24" s="96">
        <v>568.65676240011237</v>
      </c>
      <c r="O24" s="96">
        <v>579.04176492520014</v>
      </c>
      <c r="P24" s="96">
        <v>601.54593333302307</v>
      </c>
      <c r="Q24" s="96">
        <v>614.6648534671499</v>
      </c>
      <c r="R24" s="96">
        <v>626.23563259750358</v>
      </c>
      <c r="S24" s="96">
        <v>667.77370722010642</v>
      </c>
      <c r="T24" s="96">
        <v>696.5141446064755</v>
      </c>
      <c r="U24" s="96">
        <v>715.43893505085737</v>
      </c>
      <c r="V24" s="96">
        <v>637.65006519993221</v>
      </c>
      <c r="W24" s="96">
        <v>655.21933583181328</v>
      </c>
      <c r="X24" s="96">
        <v>689.55195645113554</v>
      </c>
      <c r="Y24" s="96">
        <v>696.09644005091957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1.9337891907267619</v>
      </c>
      <c r="I25" s="96">
        <v>5.2374562615067681</v>
      </c>
      <c r="J25" s="96">
        <v>7.6913768068903847</v>
      </c>
      <c r="K25" s="96">
        <v>13.002944980664418</v>
      </c>
      <c r="L25" s="96">
        <v>19.01778762940252</v>
      </c>
      <c r="M25" s="96">
        <v>13.779628907297148</v>
      </c>
      <c r="N25" s="96">
        <v>19.536808969914915</v>
      </c>
      <c r="O25" s="96">
        <v>23.808428293686099</v>
      </c>
      <c r="P25" s="96">
        <v>16.72336024090157</v>
      </c>
      <c r="Q25" s="96">
        <v>10.947436115511428</v>
      </c>
      <c r="R25" s="96">
        <v>6.303693565272428</v>
      </c>
      <c r="S25" s="96">
        <v>9.5288640860066405</v>
      </c>
      <c r="T25" s="96">
        <v>30.761891522281282</v>
      </c>
      <c r="U25" s="96">
        <v>44.265385736377652</v>
      </c>
      <c r="V25" s="96">
        <v>44.676158827567207</v>
      </c>
      <c r="W25" s="96">
        <v>45.059820313320792</v>
      </c>
      <c r="X25" s="96">
        <v>34.064072432272326</v>
      </c>
      <c r="Y25" s="96">
        <v>45.271010277389479</v>
      </c>
      <c r="DA25" s="171" t="s">
        <v>644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0.5597648662695186</v>
      </c>
      <c r="I26" s="96">
        <v>1.5692209794559622</v>
      </c>
      <c r="J26" s="96">
        <v>1.3072193187750494</v>
      </c>
      <c r="K26" s="96">
        <v>4.0430562409106274</v>
      </c>
      <c r="L26" s="96">
        <v>5.3628169593672901</v>
      </c>
      <c r="M26" s="96">
        <v>6.4732997890796087</v>
      </c>
      <c r="N26" s="96">
        <v>8.6783955368879155</v>
      </c>
      <c r="O26" s="96">
        <v>11.982122928379662</v>
      </c>
      <c r="P26" s="96">
        <v>12.582807029875957</v>
      </c>
      <c r="Q26" s="96">
        <v>13.564199475893368</v>
      </c>
      <c r="R26" s="96">
        <v>14.675978363624827</v>
      </c>
      <c r="S26" s="96">
        <v>14.404377623857432</v>
      </c>
      <c r="T26" s="96">
        <v>14.20712072402252</v>
      </c>
      <c r="U26" s="96">
        <v>13.566120229635091</v>
      </c>
      <c r="V26" s="96">
        <v>8.4979411124485704</v>
      </c>
      <c r="W26" s="96">
        <v>15.244034154506306</v>
      </c>
      <c r="X26" s="96">
        <v>10.140513169654469</v>
      </c>
      <c r="Y26" s="96">
        <v>9.4583377674807068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5.0371915928416784E-3</v>
      </c>
      <c r="O27" s="96">
        <v>2.647268285976008E-2</v>
      </c>
      <c r="P27" s="96">
        <v>0.11845091294366221</v>
      </c>
      <c r="Q27" s="96">
        <v>0.11560588913076655</v>
      </c>
      <c r="R27" s="96">
        <v>0.14871798165817013</v>
      </c>
      <c r="S27" s="96">
        <v>0.20956161791765421</v>
      </c>
      <c r="T27" s="96">
        <v>0.23293106060684493</v>
      </c>
      <c r="U27" s="96">
        <v>0.22043810794163071</v>
      </c>
      <c r="V27" s="96">
        <v>0.1773632430564244</v>
      </c>
      <c r="W27" s="96">
        <v>0.1883219150614476</v>
      </c>
      <c r="X27" s="96">
        <v>0.20410283673583723</v>
      </c>
      <c r="Y27" s="96">
        <v>0.21023768655711184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3.3948614586792221E-3</v>
      </c>
      <c r="P29" s="96">
        <v>5.4000356391543502E-3</v>
      </c>
      <c r="Q29" s="96">
        <v>1.4244946517686102E-2</v>
      </c>
      <c r="R29" s="96">
        <v>4.002160939115311E-2</v>
      </c>
      <c r="S29" s="96">
        <v>0.11735451070093758</v>
      </c>
      <c r="T29" s="96">
        <v>0.22208479951418442</v>
      </c>
      <c r="U29" s="96">
        <v>0.24764453010239496</v>
      </c>
      <c r="V29" s="96">
        <v>0.24427894642669554</v>
      </c>
      <c r="W29" s="96">
        <v>0.34800603922200518</v>
      </c>
      <c r="X29" s="96">
        <v>0.54915818356048263</v>
      </c>
      <c r="Y29" s="96">
        <v>0.90866391671370839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3.2771331936190714E-5</v>
      </c>
      <c r="P30" s="96">
        <v>5.5414875597414427E-5</v>
      </c>
      <c r="Q30" s="96">
        <v>1.1978929810146608E-4</v>
      </c>
      <c r="R30" s="96">
        <v>2.4344290997751114E-4</v>
      </c>
      <c r="S30" s="96">
        <v>6.7827333768822739E-4</v>
      </c>
      <c r="T30" s="96">
        <v>2.2632316586287176E-3</v>
      </c>
      <c r="U30" s="96">
        <v>1.4396930940230146E-3</v>
      </c>
      <c r="V30" s="96">
        <v>3.3100046707499596E-3</v>
      </c>
      <c r="W30" s="96">
        <v>4.3413205246819369E-3</v>
      </c>
      <c r="X30" s="96">
        <v>4.4600942381082696E-3</v>
      </c>
      <c r="Y30" s="96">
        <v>8.7086490727112543E-3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1.29685659315928E-3</v>
      </c>
      <c r="P31" s="96">
        <v>2.0791738240116516E-3</v>
      </c>
      <c r="Q31" s="96">
        <v>6.0992394840300689E-3</v>
      </c>
      <c r="R31" s="96">
        <v>1.5488064892550852E-2</v>
      </c>
      <c r="S31" s="96">
        <v>4.8811936973092739E-2</v>
      </c>
      <c r="T31" s="96">
        <v>9.6244655838728974E-2</v>
      </c>
      <c r="U31" s="96">
        <v>0.10770243516666056</v>
      </c>
      <c r="V31" s="96">
        <v>0.10847755940307291</v>
      </c>
      <c r="W31" s="96">
        <v>0.15860936909402767</v>
      </c>
      <c r="X31" s="96">
        <v>0.25026041393487236</v>
      </c>
      <c r="Y31" s="96">
        <v>0.44244234443052083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1.4606414338527798E-3</v>
      </c>
      <c r="N32" s="96">
        <v>3.4824342885066135E-3</v>
      </c>
      <c r="O32" s="96">
        <v>3.9532070385897037E-3</v>
      </c>
      <c r="P32" s="96">
        <v>9.4126729366633306E-3</v>
      </c>
      <c r="Q32" s="96">
        <v>2.0689406790800113E-2</v>
      </c>
      <c r="R32" s="96">
        <v>3.5354361723865767E-2</v>
      </c>
      <c r="S32" s="96">
        <v>6.6290690646265998E-2</v>
      </c>
      <c r="T32" s="96">
        <v>0.10794672340395549</v>
      </c>
      <c r="U32" s="96">
        <v>0.19758084563248193</v>
      </c>
      <c r="V32" s="96">
        <v>0.32929198052718051</v>
      </c>
      <c r="W32" s="96">
        <v>0.56733205975964773</v>
      </c>
      <c r="X32" s="96">
        <v>0.83369011389541614</v>
      </c>
      <c r="Y32" s="96">
        <v>1.2770194003299791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79.395753636517497</v>
      </c>
      <c r="C33" s="130">
        <f t="shared" si="22"/>
        <v>72.406658476656418</v>
      </c>
      <c r="D33" s="130">
        <f t="shared" si="22"/>
        <v>69.842313338335913</v>
      </c>
      <c r="E33" s="130">
        <f t="shared" si="22"/>
        <v>67.701409659984535</v>
      </c>
      <c r="F33" s="130">
        <f t="shared" si="22"/>
        <v>69.115354018598921</v>
      </c>
      <c r="G33" s="130">
        <f t="shared" si="22"/>
        <v>66.815806716498386</v>
      </c>
      <c r="H33" s="130">
        <f t="shared" si="22"/>
        <v>67.277545470573557</v>
      </c>
      <c r="I33" s="130">
        <f t="shared" si="22"/>
        <v>67.744612486586163</v>
      </c>
      <c r="J33" s="130">
        <f t="shared" si="22"/>
        <v>67.944094478517414</v>
      </c>
      <c r="K33" s="130">
        <f t="shared" si="22"/>
        <v>68.88034857871844</v>
      </c>
      <c r="L33" s="130">
        <f t="shared" ref="L33" si="23">L34+L36+L38+L39+L41</f>
        <v>68.469027341205191</v>
      </c>
      <c r="M33" s="130">
        <f t="shared" ref="M33:V33" si="24">M34+M36+M38+M39+M41</f>
        <v>69.725378088834873</v>
      </c>
      <c r="N33" s="130">
        <f t="shared" si="24"/>
        <v>69.38316610753354</v>
      </c>
      <c r="O33" s="130">
        <f t="shared" si="24"/>
        <v>71.052213341969235</v>
      </c>
      <c r="P33" s="130">
        <f t="shared" si="24"/>
        <v>71.106577940672608</v>
      </c>
      <c r="Q33" s="130">
        <f t="shared" si="24"/>
        <v>73.879545054352576</v>
      </c>
      <c r="R33" s="130">
        <f t="shared" si="24"/>
        <v>71.536262106955007</v>
      </c>
      <c r="S33" s="130">
        <f t="shared" si="24"/>
        <v>74.57270190725778</v>
      </c>
      <c r="T33" s="130">
        <f t="shared" si="24"/>
        <v>73.469872619883631</v>
      </c>
      <c r="U33" s="130">
        <f t="shared" si="24"/>
        <v>77.413172183254005</v>
      </c>
      <c r="V33" s="130">
        <f t="shared" si="24"/>
        <v>47.599081841004285</v>
      </c>
      <c r="W33" s="130">
        <f t="shared" ref="W33:Y33" si="25">W34+W36+W38+W39+W41</f>
        <v>55.461720588308353</v>
      </c>
      <c r="X33" s="130">
        <f t="shared" si="25"/>
        <v>66.025756189159466</v>
      </c>
      <c r="Y33" s="130">
        <f t="shared" si="25"/>
        <v>70.309465274767348</v>
      </c>
      <c r="DA33" s="176" t="s">
        <v>394</v>
      </c>
    </row>
    <row r="34" spans="1:105" ht="11.45" customHeight="1" x14ac:dyDescent="0.25">
      <c r="A34" s="111" t="s">
        <v>110</v>
      </c>
      <c r="B34" s="97">
        <v>0.41410624576851596</v>
      </c>
      <c r="C34" s="97">
        <v>0.37106854449994103</v>
      </c>
      <c r="D34" s="97">
        <v>0.3337453189146265</v>
      </c>
      <c r="E34" s="97">
        <v>0.28815912952172079</v>
      </c>
      <c r="F34" s="97">
        <v>0.24624867065134923</v>
      </c>
      <c r="G34" s="97">
        <v>0.21652158495282228</v>
      </c>
      <c r="H34" s="97">
        <v>0.19265877564771242</v>
      </c>
      <c r="I34" s="97">
        <v>0.16559609783111295</v>
      </c>
      <c r="J34" s="97">
        <v>0.13078149638659634</v>
      </c>
      <c r="K34" s="97">
        <v>0.11033430504226598</v>
      </c>
      <c r="L34" s="97">
        <v>9.0939580837852071E-2</v>
      </c>
      <c r="M34" s="97">
        <v>7.2129511001255558E-2</v>
      </c>
      <c r="N34" s="97">
        <v>6.213186820547105E-2</v>
      </c>
      <c r="O34" s="97">
        <v>4.7828019283994466E-2</v>
      </c>
      <c r="P34" s="97">
        <v>3.81889251346888E-2</v>
      </c>
      <c r="Q34" s="97">
        <v>2.9245354249827299E-2</v>
      </c>
      <c r="R34" s="97">
        <v>2.8948263295756033E-2</v>
      </c>
      <c r="S34" s="97">
        <v>2.7917963772431484E-2</v>
      </c>
      <c r="T34" s="97">
        <v>2.6361305528338531E-2</v>
      </c>
      <c r="U34" s="97">
        <v>2.5672092731326045E-2</v>
      </c>
      <c r="V34" s="97">
        <v>1.9569867872304775E-2</v>
      </c>
      <c r="W34" s="97">
        <v>1.9315688718861003E-2</v>
      </c>
      <c r="X34" s="97">
        <v>1.5570941443329376E-2</v>
      </c>
      <c r="Y34" s="97">
        <v>0.11225773648573611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1.6359859607423998E-4</v>
      </c>
      <c r="J35" s="97">
        <v>4.9489000708119099E-4</v>
      </c>
      <c r="K35" s="97">
        <v>4.6373156066706876E-4</v>
      </c>
      <c r="L35" s="97">
        <v>6.4974917608842133E-4</v>
      </c>
      <c r="M35" s="97">
        <v>6.2188632082826423E-4</v>
      </c>
      <c r="N35" s="97">
        <v>7.0120485917776786E-4</v>
      </c>
      <c r="O35" s="97">
        <v>7.4708496703980356E-4</v>
      </c>
      <c r="P35" s="97">
        <v>6.3725462043858578E-4</v>
      </c>
      <c r="Q35" s="97">
        <v>4.3007690355678857E-4</v>
      </c>
      <c r="R35" s="97">
        <v>2.8724954341251133E-4</v>
      </c>
      <c r="S35" s="97">
        <v>2.7626640552736527E-4</v>
      </c>
      <c r="T35" s="97">
        <v>4.7410738331949911E-4</v>
      </c>
      <c r="U35" s="97">
        <v>2.6410877035520767E-4</v>
      </c>
      <c r="V35" s="97">
        <v>4.7699331710080806E-4</v>
      </c>
      <c r="W35" s="97">
        <v>4.4275116255685179E-4</v>
      </c>
      <c r="X35" s="97">
        <v>2.3234655213487461E-4</v>
      </c>
      <c r="Y35" s="97">
        <v>2.0968854529051228E-3</v>
      </c>
      <c r="DA35" s="175" t="s">
        <v>653</v>
      </c>
    </row>
    <row r="36" spans="1:105" ht="11.45" customHeight="1" x14ac:dyDescent="0.25">
      <c r="A36" s="111" t="s">
        <v>111</v>
      </c>
      <c r="B36" s="97">
        <v>78.981647390748975</v>
      </c>
      <c r="C36" s="97">
        <v>72.035589932156483</v>
      </c>
      <c r="D36" s="97">
        <v>69.50856801942129</v>
      </c>
      <c r="E36" s="97">
        <v>67.413250530462818</v>
      </c>
      <c r="F36" s="97">
        <v>68.869105347947567</v>
      </c>
      <c r="G36" s="97">
        <v>66.599285131545571</v>
      </c>
      <c r="H36" s="97">
        <v>67.084886694925842</v>
      </c>
      <c r="I36" s="97">
        <v>67.579016388755051</v>
      </c>
      <c r="J36" s="97">
        <v>67.813312982130824</v>
      </c>
      <c r="K36" s="97">
        <v>68.770014273676168</v>
      </c>
      <c r="L36" s="97">
        <v>68.378087760367336</v>
      </c>
      <c r="M36" s="97">
        <v>69.653248577833622</v>
      </c>
      <c r="N36" s="97">
        <v>68.638195248633721</v>
      </c>
      <c r="O36" s="97">
        <v>70.235501169775432</v>
      </c>
      <c r="P36" s="97">
        <v>70.023060740314975</v>
      </c>
      <c r="Q36" s="97">
        <v>71.919174466789769</v>
      </c>
      <c r="R36" s="97">
        <v>68.853979153773892</v>
      </c>
      <c r="S36" s="97">
        <v>71.511606684463857</v>
      </c>
      <c r="T36" s="97">
        <v>70.342849581558681</v>
      </c>
      <c r="U36" s="97">
        <v>73.187858538696318</v>
      </c>
      <c r="V36" s="97">
        <v>44.288202557005604</v>
      </c>
      <c r="W36" s="97">
        <v>51.073195108967575</v>
      </c>
      <c r="X36" s="97">
        <v>61.329277691832402</v>
      </c>
      <c r="Y36" s="97">
        <v>65.189575192086025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0.35504424788995453</v>
      </c>
      <c r="I37" s="97">
        <v>0.84754563042364639</v>
      </c>
      <c r="J37" s="97">
        <v>1.1238564332936916</v>
      </c>
      <c r="K37" s="97">
        <v>1.805584402575189</v>
      </c>
      <c r="L37" s="97">
        <v>2.4772899493171119</v>
      </c>
      <c r="M37" s="97">
        <v>1.7499466189825343</v>
      </c>
      <c r="N37" s="97">
        <v>2.3581383310249953</v>
      </c>
      <c r="O37" s="97">
        <v>2.887869225612278</v>
      </c>
      <c r="P37" s="97">
        <v>1.9466857060149514</v>
      </c>
      <c r="Q37" s="97">
        <v>1.280910342464505</v>
      </c>
      <c r="R37" s="97">
        <v>0.69308477950185665</v>
      </c>
      <c r="S37" s="97">
        <v>1.0204420648799433</v>
      </c>
      <c r="T37" s="97">
        <v>3.10672672615806</v>
      </c>
      <c r="U37" s="97">
        <v>4.5282533990193565</v>
      </c>
      <c r="V37" s="97">
        <v>3.1029978347196763</v>
      </c>
      <c r="W37" s="97">
        <v>3.512333761511552</v>
      </c>
      <c r="X37" s="97">
        <v>3.0296846205258601</v>
      </c>
      <c r="Y37" s="97">
        <v>4.2396394503665311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0.68283899069434661</v>
      </c>
      <c r="O39" s="97">
        <v>0.76888415290980128</v>
      </c>
      <c r="P39" s="97">
        <v>1.0088567845936982</v>
      </c>
      <c r="Q39" s="97">
        <v>1.8946490990324107</v>
      </c>
      <c r="R39" s="97">
        <v>2.5806040311521485</v>
      </c>
      <c r="S39" s="97">
        <v>2.9786988183474139</v>
      </c>
      <c r="T39" s="97">
        <v>3.0293041449484308</v>
      </c>
      <c r="U39" s="97">
        <v>4.0960362106487098</v>
      </c>
      <c r="V39" s="97">
        <v>3.2061261677970765</v>
      </c>
      <c r="W39" s="97">
        <v>4.2684622144091486</v>
      </c>
      <c r="X39" s="97">
        <v>4.5168366230456147</v>
      </c>
      <c r="Y39" s="97">
        <v>4.5864453888770926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3.6471490629235083E-2</v>
      </c>
      <c r="Q41" s="97">
        <v>3.6476134280575147E-2</v>
      </c>
      <c r="R41" s="97">
        <v>7.2730658733202419E-2</v>
      </c>
      <c r="S41" s="97">
        <v>5.4478440674067832E-2</v>
      </c>
      <c r="T41" s="97">
        <v>7.1357587848180651E-2</v>
      </c>
      <c r="U41" s="97">
        <v>0.10360534117765169</v>
      </c>
      <c r="V41" s="97">
        <v>8.5183248329299022E-2</v>
      </c>
      <c r="W41" s="97">
        <v>0.10074757621276931</v>
      </c>
      <c r="X41" s="97">
        <v>0.1640709328381158</v>
      </c>
      <c r="Y41" s="97">
        <v>0.42118695731850408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112.24722689954157</v>
      </c>
      <c r="C42" s="32">
        <f t="shared" si="26"/>
        <v>167.93944220318258</v>
      </c>
      <c r="D42" s="32">
        <f t="shared" si="26"/>
        <v>183.30430702710242</v>
      </c>
      <c r="E42" s="32">
        <f t="shared" si="26"/>
        <v>218.26742079673218</v>
      </c>
      <c r="F42" s="32">
        <f t="shared" si="26"/>
        <v>307.82908027151632</v>
      </c>
      <c r="G42" s="32">
        <f t="shared" si="26"/>
        <v>365.43055872662381</v>
      </c>
      <c r="H42" s="32">
        <f t="shared" si="26"/>
        <v>407.47095414276322</v>
      </c>
      <c r="I42" s="32">
        <f t="shared" si="26"/>
        <v>576.47573791173227</v>
      </c>
      <c r="J42" s="32">
        <f t="shared" si="26"/>
        <v>805.18894088074603</v>
      </c>
      <c r="K42" s="32">
        <f t="shared" si="26"/>
        <v>516.78834991882366</v>
      </c>
      <c r="L42" s="32">
        <f t="shared" ref="L42" si="27">L43+L52</f>
        <v>555.99820320587514</v>
      </c>
      <c r="M42" s="32">
        <f t="shared" ref="M42:V42" si="28">M43+M52</f>
        <v>650.4192993046164</v>
      </c>
      <c r="N42" s="32">
        <f t="shared" si="28"/>
        <v>702.01175526184829</v>
      </c>
      <c r="O42" s="32">
        <f t="shared" si="28"/>
        <v>641.92184942743529</v>
      </c>
      <c r="P42" s="32">
        <f t="shared" si="28"/>
        <v>633.34394465655544</v>
      </c>
      <c r="Q42" s="32">
        <f t="shared" si="28"/>
        <v>605.07747298698371</v>
      </c>
      <c r="R42" s="32">
        <f t="shared" si="28"/>
        <v>710.59519318464527</v>
      </c>
      <c r="S42" s="32">
        <f t="shared" si="28"/>
        <v>724.32778795729791</v>
      </c>
      <c r="T42" s="32">
        <f t="shared" si="28"/>
        <v>731.66029018701113</v>
      </c>
      <c r="U42" s="32">
        <f t="shared" si="28"/>
        <v>684.15301233618777</v>
      </c>
      <c r="V42" s="32">
        <f t="shared" si="28"/>
        <v>539.25286565093188</v>
      </c>
      <c r="W42" s="32">
        <f t="shared" ref="W42:Y42" si="29">W43+W52</f>
        <v>675.41309035000677</v>
      </c>
      <c r="X42" s="32">
        <f t="shared" si="29"/>
        <v>729.52143375164314</v>
      </c>
      <c r="Y42" s="32">
        <f t="shared" si="29"/>
        <v>569.3665635952583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40.95258321300895</v>
      </c>
      <c r="C43" s="141">
        <f t="shared" si="30"/>
        <v>42.861827949249275</v>
      </c>
      <c r="D43" s="141">
        <f t="shared" si="30"/>
        <v>46.132225815867024</v>
      </c>
      <c r="E43" s="141">
        <f t="shared" si="30"/>
        <v>49.869891154752729</v>
      </c>
      <c r="F43" s="141">
        <f t="shared" si="30"/>
        <v>56.248291178504687</v>
      </c>
      <c r="G43" s="141">
        <f t="shared" si="30"/>
        <v>61.840884977548683</v>
      </c>
      <c r="H43" s="141">
        <f t="shared" si="30"/>
        <v>67.666188588392728</v>
      </c>
      <c r="I43" s="141">
        <f t="shared" si="30"/>
        <v>77.783096495074957</v>
      </c>
      <c r="J43" s="141">
        <f t="shared" si="30"/>
        <v>86.331411700355389</v>
      </c>
      <c r="K43" s="141">
        <f t="shared" si="30"/>
        <v>90.026836448754608</v>
      </c>
      <c r="L43" s="141">
        <f t="shared" ref="L43" si="31">L44+L46+L48+L49+L51</f>
        <v>91.690488612649446</v>
      </c>
      <c r="M43" s="141">
        <f t="shared" ref="M43:V43" si="32">M44+M46+M48+M49+M51</f>
        <v>96.176505630421744</v>
      </c>
      <c r="N43" s="141">
        <f t="shared" si="32"/>
        <v>97.032864931206916</v>
      </c>
      <c r="O43" s="141">
        <f t="shared" si="32"/>
        <v>99.61883864403751</v>
      </c>
      <c r="P43" s="141">
        <f t="shared" si="32"/>
        <v>104.67930870601344</v>
      </c>
      <c r="Q43" s="141">
        <f t="shared" si="32"/>
        <v>110.07716119055063</v>
      </c>
      <c r="R43" s="141">
        <f t="shared" si="32"/>
        <v>115.66512625475825</v>
      </c>
      <c r="S43" s="141">
        <f t="shared" si="32"/>
        <v>122.1436980003502</v>
      </c>
      <c r="T43" s="141">
        <f t="shared" si="32"/>
        <v>129.42802716854621</v>
      </c>
      <c r="U43" s="141">
        <f t="shared" si="32"/>
        <v>136.46575807792954</v>
      </c>
      <c r="V43" s="141">
        <f t="shared" si="32"/>
        <v>141.12793914000574</v>
      </c>
      <c r="W43" s="141">
        <f t="shared" ref="W43:Y43" si="33">W44+W46+W48+W49+W51</f>
        <v>147.9129910266825</v>
      </c>
      <c r="X43" s="141">
        <f t="shared" si="33"/>
        <v>153.5366546197277</v>
      </c>
      <c r="Y43" s="141">
        <f t="shared" si="33"/>
        <v>160.06933769307946</v>
      </c>
      <c r="DA43" s="174" t="s">
        <v>400</v>
      </c>
    </row>
    <row r="44" spans="1:105" ht="11.45" customHeight="1" x14ac:dyDescent="0.25">
      <c r="A44" s="111" t="s">
        <v>110</v>
      </c>
      <c r="B44" s="96">
        <v>6.8170022783316675</v>
      </c>
      <c r="C44" s="96">
        <v>7.070100688033814</v>
      </c>
      <c r="D44" s="96">
        <v>7.2935320600354405</v>
      </c>
      <c r="E44" s="96">
        <v>7.2675016672760337</v>
      </c>
      <c r="F44" s="96">
        <v>7.5370343646898981</v>
      </c>
      <c r="G44" s="96">
        <v>7.3347746135338534</v>
      </c>
      <c r="H44" s="96">
        <v>6.7331164909312635</v>
      </c>
      <c r="I44" s="96">
        <v>6.9268343770008833</v>
      </c>
      <c r="J44" s="96">
        <v>6.7063189966134589</v>
      </c>
      <c r="K44" s="96">
        <v>6.2741987658144396</v>
      </c>
      <c r="L44" s="96">
        <v>5.8104554169533422</v>
      </c>
      <c r="M44" s="96">
        <v>5.534756864642687</v>
      </c>
      <c r="N44" s="96">
        <v>5.2221677768031158</v>
      </c>
      <c r="O44" s="96">
        <v>4.9830441257688429</v>
      </c>
      <c r="P44" s="96">
        <v>4.4696500790385265</v>
      </c>
      <c r="Q44" s="96">
        <v>4.2212717333098428</v>
      </c>
      <c r="R44" s="96">
        <v>3.9597562048368191</v>
      </c>
      <c r="S44" s="96">
        <v>3.8375898494611351</v>
      </c>
      <c r="T44" s="96">
        <v>3.8153203549471293</v>
      </c>
      <c r="U44" s="96">
        <v>3.796682597880829</v>
      </c>
      <c r="V44" s="96">
        <v>3.6913001652990585</v>
      </c>
      <c r="W44" s="96">
        <v>3.6080352886282254</v>
      </c>
      <c r="X44" s="96">
        <v>3.5262582665733766</v>
      </c>
      <c r="Y44" s="96">
        <v>3.6608268523659704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6.8432794864035293E-3</v>
      </c>
      <c r="J45" s="96">
        <v>2.5377368721275086E-2</v>
      </c>
      <c r="K45" s="96">
        <v>2.6370257051892991E-2</v>
      </c>
      <c r="L45" s="96">
        <v>4.1514801201860359E-2</v>
      </c>
      <c r="M45" s="96">
        <v>4.7719574629747664E-2</v>
      </c>
      <c r="N45" s="96">
        <v>5.8936090709943649E-2</v>
      </c>
      <c r="O45" s="96">
        <v>7.7836327161131563E-2</v>
      </c>
      <c r="P45" s="96">
        <v>7.4584585833858449E-2</v>
      </c>
      <c r="Q45" s="96">
        <v>6.207726056675876E-2</v>
      </c>
      <c r="R45" s="96">
        <v>3.9292103648614719E-2</v>
      </c>
      <c r="S45" s="96">
        <v>3.7975447000395401E-2</v>
      </c>
      <c r="T45" s="96">
        <v>6.8618435762411709E-2</v>
      </c>
      <c r="U45" s="96">
        <v>3.9059424677589438E-2</v>
      </c>
      <c r="V45" s="96">
        <v>8.9971251811696337E-2</v>
      </c>
      <c r="W45" s="96">
        <v>8.2702814372155167E-2</v>
      </c>
      <c r="X45" s="96">
        <v>5.2618138290309958E-2</v>
      </c>
      <c r="Y45" s="96">
        <v>6.838134112303286E-2</v>
      </c>
      <c r="DA45" s="171" t="s">
        <v>661</v>
      </c>
    </row>
    <row r="46" spans="1:105" ht="11.45" customHeight="1" x14ac:dyDescent="0.25">
      <c r="A46" s="111" t="s">
        <v>111</v>
      </c>
      <c r="B46" s="96">
        <v>34.135580934677286</v>
      </c>
      <c r="C46" s="96">
        <v>35.791727261215463</v>
      </c>
      <c r="D46" s="96">
        <v>38.838693755831585</v>
      </c>
      <c r="E46" s="96">
        <v>42.602389487476692</v>
      </c>
      <c r="F46" s="96">
        <v>48.711256813814792</v>
      </c>
      <c r="G46" s="96">
        <v>54.50611036401483</v>
      </c>
      <c r="H46" s="96">
        <v>60.363086318847053</v>
      </c>
      <c r="I46" s="96">
        <v>70.225741051098396</v>
      </c>
      <c r="J46" s="96">
        <v>78.73256997608533</v>
      </c>
      <c r="K46" s="96">
        <v>83.396123846464718</v>
      </c>
      <c r="L46" s="96">
        <v>85.743452046722894</v>
      </c>
      <c r="M46" s="96">
        <v>90.515736431040949</v>
      </c>
      <c r="N46" s="96">
        <v>91.690038521042354</v>
      </c>
      <c r="O46" s="96">
        <v>94.519207214490123</v>
      </c>
      <c r="P46" s="96">
        <v>99.556567740521842</v>
      </c>
      <c r="Q46" s="96">
        <v>105.0154023160591</v>
      </c>
      <c r="R46" s="96">
        <v>110.8792895045618</v>
      </c>
      <c r="S46" s="96">
        <v>117.50041557098366</v>
      </c>
      <c r="T46" s="96">
        <v>124.85003772041408</v>
      </c>
      <c r="U46" s="96">
        <v>131.85585756921316</v>
      </c>
      <c r="V46" s="96">
        <v>136.62743341915268</v>
      </c>
      <c r="W46" s="96">
        <v>143.27951075051183</v>
      </c>
      <c r="X46" s="96">
        <v>149.18342782571847</v>
      </c>
      <c r="Y46" s="96">
        <v>155.55184054011229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0.31946937139289361</v>
      </c>
      <c r="I47" s="96">
        <v>0.88073966079543009</v>
      </c>
      <c r="J47" s="96">
        <v>1.3048190891467772</v>
      </c>
      <c r="K47" s="96">
        <v>2.1895987959689012</v>
      </c>
      <c r="L47" s="96">
        <v>3.1064248640514953</v>
      </c>
      <c r="M47" s="96">
        <v>2.27408929470409</v>
      </c>
      <c r="N47" s="96">
        <v>3.1501089681394596</v>
      </c>
      <c r="O47" s="96">
        <v>3.8863410269429255</v>
      </c>
      <c r="P47" s="96">
        <v>2.7677360188398894</v>
      </c>
      <c r="Q47" s="96">
        <v>1.8703678948209614</v>
      </c>
      <c r="R47" s="96">
        <v>1.1161119351717184</v>
      </c>
      <c r="S47" s="96">
        <v>1.6766839992640694</v>
      </c>
      <c r="T47" s="96">
        <v>5.5140636362496593</v>
      </c>
      <c r="U47" s="96">
        <v>8.1581391659753457</v>
      </c>
      <c r="V47" s="96">
        <v>9.5726312106986899</v>
      </c>
      <c r="W47" s="96">
        <v>9.8534164911393773</v>
      </c>
      <c r="X47" s="96">
        <v>7.3697058555297748</v>
      </c>
      <c r="Y47" s="96">
        <v>10.116398485306361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0.56998577861440236</v>
      </c>
      <c r="I48" s="96">
        <v>0.63052106697567989</v>
      </c>
      <c r="J48" s="96">
        <v>0.89252272765659268</v>
      </c>
      <c r="K48" s="96">
        <v>0.35651383647544305</v>
      </c>
      <c r="L48" s="96">
        <v>0.13658114897320817</v>
      </c>
      <c r="M48" s="96">
        <v>0.12601233473810292</v>
      </c>
      <c r="N48" s="96">
        <v>0.12065863336143805</v>
      </c>
      <c r="O48" s="96">
        <v>0.1165873037785487</v>
      </c>
      <c r="P48" s="96">
        <v>0.61581721775946285</v>
      </c>
      <c r="Q48" s="96">
        <v>0.73433878721927204</v>
      </c>
      <c r="R48" s="96">
        <v>0.7223879304422437</v>
      </c>
      <c r="S48" s="96">
        <v>0.69261291784505896</v>
      </c>
      <c r="T48" s="96">
        <v>0.64790937056046105</v>
      </c>
      <c r="U48" s="96">
        <v>0.66526412118175926</v>
      </c>
      <c r="V48" s="96">
        <v>0.65313369408625366</v>
      </c>
      <c r="W48" s="96">
        <v>0.84839920748853381</v>
      </c>
      <c r="X48" s="96">
        <v>0.63283162828190098</v>
      </c>
      <c r="Y48" s="96">
        <v>0.62102594705067371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3.3483360072269701E-2</v>
      </c>
      <c r="Q49" s="96">
        <v>9.6365820091336457E-2</v>
      </c>
      <c r="R49" s="96">
        <v>8.6671108427857982E-2</v>
      </c>
      <c r="S49" s="96">
        <v>7.9581352213005885E-2</v>
      </c>
      <c r="T49" s="96">
        <v>7.7231690403451E-2</v>
      </c>
      <c r="U49" s="96">
        <v>0.10158243119469694</v>
      </c>
      <c r="V49" s="96">
        <v>0.10352692620582792</v>
      </c>
      <c r="W49" s="96">
        <v>0.10555464954918005</v>
      </c>
      <c r="X49" s="96">
        <v>0.10674755655560743</v>
      </c>
      <c r="Y49" s="96">
        <v>0.10520858406708486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3.7903086213418452E-3</v>
      </c>
      <c r="Q51" s="96">
        <v>9.7825338710756243E-3</v>
      </c>
      <c r="R51" s="96">
        <v>1.7021506489533267E-2</v>
      </c>
      <c r="S51" s="96">
        <v>3.3498309847324846E-2</v>
      </c>
      <c r="T51" s="96">
        <v>3.7528032221102847E-2</v>
      </c>
      <c r="U51" s="96">
        <v>4.6371358459118495E-2</v>
      </c>
      <c r="V51" s="96">
        <v>5.2544935261909315E-2</v>
      </c>
      <c r="W51" s="96">
        <v>7.1491130504721112E-2</v>
      </c>
      <c r="X51" s="96">
        <v>8.7389342598366962E-2</v>
      </c>
      <c r="Y51" s="96">
        <v>0.13043576948345692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71.294643686532623</v>
      </c>
      <c r="C52" s="130">
        <f t="shared" si="34"/>
        <v>125.07761425393332</v>
      </c>
      <c r="D52" s="130">
        <f t="shared" si="34"/>
        <v>137.17208121123539</v>
      </c>
      <c r="E52" s="130">
        <f t="shared" si="34"/>
        <v>168.39752964197945</v>
      </c>
      <c r="F52" s="130">
        <f t="shared" si="34"/>
        <v>251.58078909301162</v>
      </c>
      <c r="G52" s="130">
        <f t="shared" si="34"/>
        <v>303.58967374907513</v>
      </c>
      <c r="H52" s="130">
        <f t="shared" si="34"/>
        <v>339.80476555437048</v>
      </c>
      <c r="I52" s="130">
        <f t="shared" si="34"/>
        <v>498.69264141665735</v>
      </c>
      <c r="J52" s="130">
        <f t="shared" si="34"/>
        <v>718.85752918039066</v>
      </c>
      <c r="K52" s="130">
        <f t="shared" si="34"/>
        <v>426.76151347006902</v>
      </c>
      <c r="L52" s="130">
        <f t="shared" ref="L52" si="35">L53+L55</f>
        <v>464.30771459322568</v>
      </c>
      <c r="M52" s="130">
        <f t="shared" ref="M52:V52" si="36">M53+M55</f>
        <v>554.24279367419467</v>
      </c>
      <c r="N52" s="130">
        <f t="shared" si="36"/>
        <v>604.97889033064143</v>
      </c>
      <c r="O52" s="130">
        <f t="shared" si="36"/>
        <v>542.30301078339778</v>
      </c>
      <c r="P52" s="130">
        <f t="shared" si="36"/>
        <v>528.66463595054199</v>
      </c>
      <c r="Q52" s="130">
        <f t="shared" si="36"/>
        <v>495.00031179643304</v>
      </c>
      <c r="R52" s="130">
        <f t="shared" si="36"/>
        <v>594.93006692988706</v>
      </c>
      <c r="S52" s="130">
        <f t="shared" si="36"/>
        <v>602.18408995694767</v>
      </c>
      <c r="T52" s="130">
        <f t="shared" si="36"/>
        <v>602.23226301846489</v>
      </c>
      <c r="U52" s="130">
        <f t="shared" si="36"/>
        <v>547.68725425825824</v>
      </c>
      <c r="V52" s="130">
        <f t="shared" si="36"/>
        <v>398.12492651092617</v>
      </c>
      <c r="W52" s="130">
        <f t="shared" ref="W52:Y52" si="37">W53+W55</f>
        <v>527.50009932332432</v>
      </c>
      <c r="X52" s="130">
        <f t="shared" si="37"/>
        <v>575.98477913191539</v>
      </c>
      <c r="Y52" s="130">
        <f t="shared" si="37"/>
        <v>409.29722590217881</v>
      </c>
      <c r="DA52" s="176" t="s">
        <v>401</v>
      </c>
    </row>
    <row r="53" spans="1:105" ht="11.45" customHeight="1" x14ac:dyDescent="0.25">
      <c r="A53" s="128" t="s">
        <v>27</v>
      </c>
      <c r="B53" s="97">
        <v>67.629522529617901</v>
      </c>
      <c r="C53" s="97">
        <v>71.616459861964429</v>
      </c>
      <c r="D53" s="97">
        <v>83.796855935201194</v>
      </c>
      <c r="E53" s="97">
        <v>91.645668722731898</v>
      </c>
      <c r="F53" s="97">
        <v>123.04248725711008</v>
      </c>
      <c r="G53" s="97">
        <v>130.25858661932151</v>
      </c>
      <c r="H53" s="97">
        <v>122.28665152789262</v>
      </c>
      <c r="I53" s="97">
        <v>141.22486126055728</v>
      </c>
      <c r="J53" s="97">
        <v>156.46270334792544</v>
      </c>
      <c r="K53" s="97">
        <v>121.6242111686454</v>
      </c>
      <c r="L53" s="97">
        <v>126.50155127704664</v>
      </c>
      <c r="M53" s="97">
        <v>124.635840272922</v>
      </c>
      <c r="N53" s="97">
        <v>116.03070114377491</v>
      </c>
      <c r="O53" s="97">
        <v>106.73965993321262</v>
      </c>
      <c r="P53" s="97">
        <v>113.42168870939362</v>
      </c>
      <c r="Q53" s="97">
        <v>106.22302442038196</v>
      </c>
      <c r="R53" s="97">
        <v>110.31957854628037</v>
      </c>
      <c r="S53" s="97">
        <v>115.7154419094134</v>
      </c>
      <c r="T53" s="97">
        <v>110.22543635352875</v>
      </c>
      <c r="U53" s="97">
        <v>110.34775959895713</v>
      </c>
      <c r="V53" s="97">
        <v>100.06935016367885</v>
      </c>
      <c r="W53" s="97">
        <v>114.64782255488674</v>
      </c>
      <c r="X53" s="97">
        <v>119.97435740059879</v>
      </c>
      <c r="Y53" s="97">
        <v>118.18917246909206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0.64719751881142562</v>
      </c>
      <c r="I54" s="97">
        <v>1.7711786951739041</v>
      </c>
      <c r="J54" s="97">
        <v>2.5930249975314386</v>
      </c>
      <c r="K54" s="97">
        <v>3.19329261424447</v>
      </c>
      <c r="L54" s="97">
        <v>4.583062086349976</v>
      </c>
      <c r="M54" s="97">
        <v>3.1313122035639971</v>
      </c>
      <c r="N54" s="97">
        <v>3.986358367257445</v>
      </c>
      <c r="O54" s="97">
        <v>4.3888087069861257</v>
      </c>
      <c r="P54" s="97">
        <v>3.153195216380098</v>
      </c>
      <c r="Q54" s="97">
        <v>1.8918761456411968</v>
      </c>
      <c r="R54" s="97">
        <v>1.1104778795822972</v>
      </c>
      <c r="S54" s="97">
        <v>1.6512131380512045</v>
      </c>
      <c r="T54" s="97">
        <v>4.8681608871261552</v>
      </c>
      <c r="U54" s="97">
        <v>6.8273977057813937</v>
      </c>
      <c r="V54" s="97">
        <v>7.0112345715548336</v>
      </c>
      <c r="W54" s="97">
        <v>7.8843984008474557</v>
      </c>
      <c r="X54" s="97">
        <v>5.9267690596407476</v>
      </c>
      <c r="Y54" s="97">
        <v>7.6864970622935935</v>
      </c>
      <c r="DA54" s="175" t="s">
        <v>669</v>
      </c>
    </row>
    <row r="55" spans="1:105" ht="11.45" customHeight="1" x14ac:dyDescent="0.25">
      <c r="A55" s="128" t="s">
        <v>116</v>
      </c>
      <c r="B55" s="97">
        <v>3.6651211569147257</v>
      </c>
      <c r="C55" s="97">
        <v>53.46115439196889</v>
      </c>
      <c r="D55" s="97">
        <v>53.3752252760342</v>
      </c>
      <c r="E55" s="97">
        <v>76.751860919247548</v>
      </c>
      <c r="F55" s="97">
        <v>128.53830183590154</v>
      </c>
      <c r="G55" s="97">
        <v>173.33108712975363</v>
      </c>
      <c r="H55" s="97">
        <v>217.51811402647786</v>
      </c>
      <c r="I55" s="97">
        <v>357.46778015610005</v>
      </c>
      <c r="J55" s="97">
        <v>562.39482583246524</v>
      </c>
      <c r="K55" s="97">
        <v>305.13730230142363</v>
      </c>
      <c r="L55" s="97">
        <v>337.80616331617904</v>
      </c>
      <c r="M55" s="97">
        <v>429.60695340127262</v>
      </c>
      <c r="N55" s="97">
        <v>488.94818918686656</v>
      </c>
      <c r="O55" s="97">
        <v>435.5633508501852</v>
      </c>
      <c r="P55" s="97">
        <v>415.24294724114833</v>
      </c>
      <c r="Q55" s="97">
        <v>388.77728737605111</v>
      </c>
      <c r="R55" s="97">
        <v>484.61048838360665</v>
      </c>
      <c r="S55" s="97">
        <v>486.46864804753432</v>
      </c>
      <c r="T55" s="97">
        <v>492.00682666493617</v>
      </c>
      <c r="U55" s="97">
        <v>437.33949465930112</v>
      </c>
      <c r="V55" s="97">
        <v>298.05557634724732</v>
      </c>
      <c r="W55" s="97">
        <v>412.8522767684376</v>
      </c>
      <c r="X55" s="97">
        <v>456.01042173131663</v>
      </c>
      <c r="Y55" s="97">
        <v>291.10805343308675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1.1512064639562634</v>
      </c>
      <c r="I56" s="98">
        <v>4.4832001304321532</v>
      </c>
      <c r="J56" s="98">
        <v>9.3204566370242059</v>
      </c>
      <c r="K56" s="98">
        <v>8.0115026803217422</v>
      </c>
      <c r="L56" s="98">
        <v>12.238479322985519</v>
      </c>
      <c r="M56" s="98">
        <v>10.793311883448791</v>
      </c>
      <c r="N56" s="98">
        <v>16.798336008547111</v>
      </c>
      <c r="O56" s="98">
        <v>17.909034260100178</v>
      </c>
      <c r="P56" s="98">
        <v>11.544018518637348</v>
      </c>
      <c r="Q56" s="98">
        <v>6.9242848240038697</v>
      </c>
      <c r="R56" s="98">
        <v>4.8780935773590617</v>
      </c>
      <c r="S56" s="98">
        <v>6.9417133068110406</v>
      </c>
      <c r="T56" s="98">
        <v>21.729724726035233</v>
      </c>
      <c r="U56" s="98">
        <v>27.05891513644039</v>
      </c>
      <c r="V56" s="98">
        <v>20.882893290627255</v>
      </c>
      <c r="W56" s="98">
        <v>28.392094661727679</v>
      </c>
      <c r="X56" s="98">
        <v>22.527050921111247</v>
      </c>
      <c r="Y56" s="98">
        <v>18.932370459811697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10.215748768356089</v>
      </c>
      <c r="C60" s="79">
        <f>IF(C17=0,0,C17/TrRoad_act!C30*100)</f>
        <v>10.40007694486617</v>
      </c>
      <c r="D60" s="79">
        <f>IF(D17=0,0,D17/TrRoad_act!D30*100)</f>
        <v>10.138276060908121</v>
      </c>
      <c r="E60" s="79">
        <f>IF(E17=0,0,E17/TrRoad_act!E30*100)</f>
        <v>10.057843503019528</v>
      </c>
      <c r="F60" s="79">
        <f>IF(F17=0,0,F17/TrRoad_act!F30*100)</f>
        <v>9.8512005950952357</v>
      </c>
      <c r="G60" s="79">
        <f>IF(G17=0,0,G17/TrRoad_act!G30*100)</f>
        <v>10.120005875706777</v>
      </c>
      <c r="H60" s="79">
        <f>IF(H17=0,0,H17/TrRoad_act!H30*100)</f>
        <v>10.191204310507668</v>
      </c>
      <c r="I60" s="79">
        <f>IF(I17=0,0,I17/TrRoad_act!I30*100)</f>
        <v>11.055023706174689</v>
      </c>
      <c r="J60" s="79">
        <f>IF(J17=0,0,J17/TrRoad_act!J30*100)</f>
        <v>12.793395231535234</v>
      </c>
      <c r="K60" s="79">
        <f>IF(K17=0,0,K17/TrRoad_act!K30*100)</f>
        <v>10.398136562003799</v>
      </c>
      <c r="L60" s="79">
        <f>IF(L17=0,0,L17/TrRoad_act!L30*100)</f>
        <v>10.664893537324218</v>
      </c>
      <c r="M60" s="79">
        <f>IF(M17=0,0,M17/TrRoad_act!M30*100)</f>
        <v>11.197030235031722</v>
      </c>
      <c r="N60" s="79">
        <f>IF(N17=0,0,N17/TrRoad_act!N30*100)</f>
        <v>11.269349714037624</v>
      </c>
      <c r="O60" s="79">
        <f>IF(O17=0,0,O17/TrRoad_act!O30*100)</f>
        <v>10.644427723200444</v>
      </c>
      <c r="P60" s="79">
        <f>IF(P17=0,0,P17/TrRoad_act!P30*100)</f>
        <v>10.232949751507913</v>
      </c>
      <c r="Q60" s="79">
        <f>IF(Q17=0,0,Q17/TrRoad_act!Q30*100)</f>
        <v>9.8606417953952814</v>
      </c>
      <c r="R60" s="79">
        <f>IF(R17=0,0,R17/TrRoad_act!R30*100)</f>
        <v>10.430072871213305</v>
      </c>
      <c r="S60" s="79">
        <f>IF(S17=0,0,S17/TrRoad_act!S30*100)</f>
        <v>10.077290288601173</v>
      </c>
      <c r="T60" s="79">
        <f>IF(T17=0,0,T17/TrRoad_act!T30*100)</f>
        <v>9.8939654753885975</v>
      </c>
      <c r="U60" s="79">
        <f>IF(U17=0,0,U17/TrRoad_act!U30*100)</f>
        <v>9.3246636152395084</v>
      </c>
      <c r="V60" s="79">
        <f>IF(V17=0,0,V17/TrRoad_act!V30*100)</f>
        <v>8.5688236459687062</v>
      </c>
      <c r="W60" s="79">
        <f>IF(W17=0,0,W17/TrRoad_act!W30*100)</f>
        <v>9.2920500592966526</v>
      </c>
      <c r="X60" s="79">
        <f>IF(X17=0,0,X17/TrRoad_act!X30*100)</f>
        <v>9.4248501222313283</v>
      </c>
      <c r="Y60" s="79">
        <f>IF(Y17=0,0,Y17/TrRoad_act!Y30*100)</f>
        <v>8.4283245775588131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9.9699096503180851</v>
      </c>
      <c r="C61" s="32">
        <f>IF(C18=0,0,C18/TrRoad_act!C31*100)</f>
        <v>9.712776736173625</v>
      </c>
      <c r="D61" s="32">
        <f>IF(D18=0,0,D18/TrRoad_act!D31*100)</f>
        <v>9.4098149555435189</v>
      </c>
      <c r="E61" s="32">
        <f>IF(E18=0,0,E18/TrRoad_act!E31*100)</f>
        <v>9.0940523383081082</v>
      </c>
      <c r="F61" s="32">
        <f>IF(F18=0,0,F18/TrRoad_act!F31*100)</f>
        <v>8.3626473730038722</v>
      </c>
      <c r="G61" s="32">
        <f>IF(G18=0,0,G18/TrRoad_act!G31*100)</f>
        <v>8.3191289906648613</v>
      </c>
      <c r="H61" s="32">
        <f>IF(H18=0,0,H18/TrRoad_act!H31*100)</f>
        <v>8.2062819016340161</v>
      </c>
      <c r="I61" s="32">
        <f>IF(I18=0,0,I18/TrRoad_act!I31*100)</f>
        <v>8.1195197698180763</v>
      </c>
      <c r="J61" s="32">
        <f>IF(J18=0,0,J18/TrRoad_act!J31*100)</f>
        <v>8.5430548052183219</v>
      </c>
      <c r="K61" s="32">
        <f>IF(K18=0,0,K18/TrRoad_act!K31*100)</f>
        <v>7.9882827853757927</v>
      </c>
      <c r="L61" s="32">
        <f>IF(L18=0,0,L18/TrRoad_act!L31*100)</f>
        <v>8.0460141226494404</v>
      </c>
      <c r="M61" s="32">
        <f>IF(M18=0,0,M18/TrRoad_act!M31*100)</f>
        <v>8.0402574593683696</v>
      </c>
      <c r="N61" s="32">
        <f>IF(N18=0,0,N18/TrRoad_act!N31*100)</f>
        <v>7.7874914030826856</v>
      </c>
      <c r="O61" s="32">
        <f>IF(O18=0,0,O18/TrRoad_act!O31*100)</f>
        <v>7.5313571039174159</v>
      </c>
      <c r="P61" s="32">
        <f>IF(P18=0,0,P18/TrRoad_act!P31*100)</f>
        <v>7.2728075159839909</v>
      </c>
      <c r="Q61" s="32">
        <f>IF(Q18=0,0,Q18/TrRoad_act!Q31*100)</f>
        <v>7.1559906865567608</v>
      </c>
      <c r="R61" s="32">
        <f>IF(R18=0,0,R18/TrRoad_act!R31*100)</f>
        <v>7.2041790876149241</v>
      </c>
      <c r="S61" s="32">
        <f>IF(S18=0,0,S18/TrRoad_act!S31*100)</f>
        <v>7.0060221294198772</v>
      </c>
      <c r="T61" s="32">
        <f>IF(T18=0,0,T18/TrRoad_act!T31*100)</f>
        <v>6.9281465981314669</v>
      </c>
      <c r="U61" s="32">
        <f>IF(U18=0,0,U18/TrRoad_act!U31*100)</f>
        <v>6.7076606163150396</v>
      </c>
      <c r="V61" s="32">
        <f>IF(V18=0,0,V18/TrRoad_act!V31*100)</f>
        <v>6.4025112867530574</v>
      </c>
      <c r="W61" s="32">
        <f>IF(W18=0,0,W18/TrRoad_act!W31*100)</f>
        <v>6.5855206470071623</v>
      </c>
      <c r="X61" s="32">
        <f>IF(X18=0,0,X18/TrRoad_act!X31*100)</f>
        <v>6.6750153009762014</v>
      </c>
      <c r="Y61" s="32">
        <f>IF(Y18=0,0,Y18/TrRoad_act!Y31*100)</f>
        <v>6.5764422096446395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4.4934123088369704</v>
      </c>
      <c r="C62" s="141">
        <f>IF(C19=0,0,C19/TrRoad_act!C32*100)</f>
        <v>4.4714341656865813</v>
      </c>
      <c r="D62" s="141">
        <f>IF(D19=0,0,D19/TrRoad_act!D32*100)</f>
        <v>4.4471348754688247</v>
      </c>
      <c r="E62" s="141">
        <f>IF(E19=0,0,E19/TrRoad_act!E32*100)</f>
        <v>4.4181593377994561</v>
      </c>
      <c r="F62" s="141">
        <f>IF(F19=0,0,F19/TrRoad_act!F32*100)</f>
        <v>4.3844847471967787</v>
      </c>
      <c r="G62" s="141">
        <f>IF(G19=0,0,G19/TrRoad_act!G32*100)</f>
        <v>4.3464819832393866</v>
      </c>
      <c r="H62" s="141">
        <f>IF(H19=0,0,H19/TrRoad_act!H32*100)</f>
        <v>4.2845583873404127</v>
      </c>
      <c r="I62" s="141">
        <f>IF(I19=0,0,I19/TrRoad_act!I32*100)</f>
        <v>4.1286118193223809</v>
      </c>
      <c r="J62" s="141">
        <f>IF(J19=0,0,J19/TrRoad_act!J32*100)</f>
        <v>4.0370815266887634</v>
      </c>
      <c r="K62" s="141">
        <f>IF(K19=0,0,K19/TrRoad_act!K32*100)</f>
        <v>4.1701573948912918</v>
      </c>
      <c r="L62" s="141">
        <f>IF(L19=0,0,L19/TrRoad_act!L32*100)</f>
        <v>3.9256166113186128</v>
      </c>
      <c r="M62" s="141">
        <f>IF(M19=0,0,M19/TrRoad_act!M32*100)</f>
        <v>3.8949978386581168</v>
      </c>
      <c r="N62" s="141">
        <f>IF(N19=0,0,N19/TrRoad_act!N32*100)</f>
        <v>3.8776229389779835</v>
      </c>
      <c r="O62" s="141">
        <f>IF(O19=0,0,O19/TrRoad_act!O32*100)</f>
        <v>3.8432779868353868</v>
      </c>
      <c r="P62" s="141">
        <f>IF(P19=0,0,P19/TrRoad_act!P32*100)</f>
        <v>3.8041889863166491</v>
      </c>
      <c r="Q62" s="141">
        <f>IF(Q19=0,0,Q19/TrRoad_act!Q32*100)</f>
        <v>3.7325876430276876</v>
      </c>
      <c r="R62" s="141">
        <f>IF(R19=0,0,R19/TrRoad_act!R32*100)</f>
        <v>3.6631591490858892</v>
      </c>
      <c r="S62" s="141">
        <f>IF(S19=0,0,S19/TrRoad_act!S32*100)</f>
        <v>3.7312444761617685</v>
      </c>
      <c r="T62" s="141">
        <f>IF(T19=0,0,T19/TrRoad_act!T32*100)</f>
        <v>3.6836703048776154</v>
      </c>
      <c r="U62" s="141">
        <f>IF(U19=0,0,U19/TrRoad_act!U32*100)</f>
        <v>3.6350096009923409</v>
      </c>
      <c r="V62" s="141">
        <f>IF(V19=0,0,V19/TrRoad_act!V32*100)</f>
        <v>3.6076397175418795</v>
      </c>
      <c r="W62" s="141">
        <f>IF(W19=0,0,W19/TrRoad_act!W32*100)</f>
        <v>3.5748395883642772</v>
      </c>
      <c r="X62" s="141">
        <f>IF(X19=0,0,X19/TrRoad_act!X32*100)</f>
        <v>3.5346508214718235</v>
      </c>
      <c r="Y62" s="141">
        <f>IF(Y19=0,0,Y19/TrRoad_act!Y32*100)</f>
        <v>3.4956817623906304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9.3867371875036039</v>
      </c>
      <c r="C63" s="130">
        <f>IF(C21=0,0,C21/TrRoad_act!C33*100)</f>
        <v>9.1950910585484831</v>
      </c>
      <c r="D63" s="130">
        <f>IF(D21=0,0,D21/TrRoad_act!D33*100)</f>
        <v>8.9315979998370647</v>
      </c>
      <c r="E63" s="130">
        <f>IF(E21=0,0,E21/TrRoad_act!E33*100)</f>
        <v>8.640815140775338</v>
      </c>
      <c r="F63" s="130">
        <f>IF(F21=0,0,F21/TrRoad_act!F33*100)</f>
        <v>7.9139230718632252</v>
      </c>
      <c r="G63" s="130">
        <f>IF(G21=0,0,G21/TrRoad_act!G33*100)</f>
        <v>7.9043002004052845</v>
      </c>
      <c r="H63" s="130">
        <f>IF(H21=0,0,H21/TrRoad_act!H33*100)</f>
        <v>7.806361802694366</v>
      </c>
      <c r="I63" s="130">
        <f>IF(I21=0,0,I21/TrRoad_act!I33*100)</f>
        <v>7.7379388033337149</v>
      </c>
      <c r="J63" s="130">
        <f>IF(J21=0,0,J21/TrRoad_act!J33*100)</f>
        <v>8.1800792828100626</v>
      </c>
      <c r="K63" s="130">
        <f>IF(K21=0,0,K21/TrRoad_act!K33*100)</f>
        <v>7.6259390910248612</v>
      </c>
      <c r="L63" s="130">
        <f>IF(L21=0,0,L21/TrRoad_act!L33*100)</f>
        <v>7.7059074975204602</v>
      </c>
      <c r="M63" s="130">
        <f>IF(M21=0,0,M21/TrRoad_act!M33*100)</f>
        <v>7.7058541258491875</v>
      </c>
      <c r="N63" s="130">
        <f>IF(N21=0,0,N21/TrRoad_act!N33*100)</f>
        <v>7.4450628956106684</v>
      </c>
      <c r="O63" s="130">
        <f>IF(O21=0,0,O21/TrRoad_act!O33*100)</f>
        <v>7.1706449228888456</v>
      </c>
      <c r="P63" s="130">
        <f>IF(P21=0,0,P21/TrRoad_act!P33*100)</f>
        <v>6.9197115403318676</v>
      </c>
      <c r="Q63" s="130">
        <f>IF(Q21=0,0,Q21/TrRoad_act!Q33*100)</f>
        <v>6.7957811714687928</v>
      </c>
      <c r="R63" s="130">
        <f>IF(R21=0,0,R21/TrRoad_act!R33*100)</f>
        <v>6.8617956660011377</v>
      </c>
      <c r="S63" s="130">
        <f>IF(S21=0,0,S21/TrRoad_act!S33*100)</f>
        <v>6.6587468130436323</v>
      </c>
      <c r="T63" s="130">
        <f>IF(T21=0,0,T21/TrRoad_act!T33*100)</f>
        <v>6.5977186062673141</v>
      </c>
      <c r="U63" s="130">
        <f>IF(U21=0,0,U21/TrRoad_act!U33*100)</f>
        <v>6.3651074930477725</v>
      </c>
      <c r="V63" s="130">
        <f>IF(V21=0,0,V21/TrRoad_act!V33*100)</f>
        <v>6.1710365659450721</v>
      </c>
      <c r="W63" s="130">
        <f>IF(W21=0,0,W21/TrRoad_act!W33*100)</f>
        <v>6.3269523774982099</v>
      </c>
      <c r="X63" s="130">
        <f>IF(X21=0,0,X21/TrRoad_act!X33*100)</f>
        <v>6.3852432996914672</v>
      </c>
      <c r="Y63" s="130">
        <f>IF(Y21=0,0,Y21/TrRoad_act!Y33*100)</f>
        <v>6.2826757408302596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9.8200568977818286</v>
      </c>
      <c r="C64" s="96">
        <f>IF(C22=0,0,C22/TrRoad_act!C34*100)</f>
        <v>9.6582783019449785</v>
      </c>
      <c r="D64" s="96">
        <f>IF(D22=0,0,D22/TrRoad_act!D34*100)</f>
        <v>9.5701441638319569</v>
      </c>
      <c r="E64" s="96">
        <f>IF(E22=0,0,E22/TrRoad_act!E34*100)</f>
        <v>9.1900123302378116</v>
      </c>
      <c r="F64" s="96">
        <f>IF(F22=0,0,F22/TrRoad_act!F34*100)</f>
        <v>8.2436306420240708</v>
      </c>
      <c r="G64" s="96">
        <f>IF(G22=0,0,G22/TrRoad_act!G34*100)</f>
        <v>8.3167969566576208</v>
      </c>
      <c r="H64" s="96">
        <f>IF(H22=0,0,H22/TrRoad_act!H34*100)</f>
        <v>8.2125023319292882</v>
      </c>
      <c r="I64" s="96">
        <f>IF(I22=0,0,I22/TrRoad_act!I34*100)</f>
        <v>8.0722049464485313</v>
      </c>
      <c r="J64" s="96">
        <f>IF(J22=0,0,J22/TrRoad_act!J34*100)</f>
        <v>8.8436366489692197</v>
      </c>
      <c r="K64" s="96">
        <f>IF(K22=0,0,K22/TrRoad_act!K34*100)</f>
        <v>8.1091356880571386</v>
      </c>
      <c r="L64" s="96">
        <f>IF(L22=0,0,L22/TrRoad_act!L34*100)</f>
        <v>8.3149264642038734</v>
      </c>
      <c r="M64" s="96">
        <f>IF(M22=0,0,M22/TrRoad_act!M34*100)</f>
        <v>8.3633654494895051</v>
      </c>
      <c r="N64" s="96">
        <f>IF(N22=0,0,N22/TrRoad_act!N34*100)</f>
        <v>7.908689622340094</v>
      </c>
      <c r="O64" s="96">
        <f>IF(O22=0,0,O22/TrRoad_act!O34*100)</f>
        <v>7.5116003400044953</v>
      </c>
      <c r="P64" s="96">
        <f>IF(P22=0,0,P22/TrRoad_act!P34*100)</f>
        <v>7.1529253565731006</v>
      </c>
      <c r="Q64" s="96">
        <f>IF(Q22=0,0,Q22/TrRoad_act!Q34*100)</f>
        <v>7.0781044732340215</v>
      </c>
      <c r="R64" s="96">
        <f>IF(R22=0,0,R22/TrRoad_act!R34*100)</f>
        <v>7.341113772983503</v>
      </c>
      <c r="S64" s="96">
        <f>IF(S22=0,0,S22/TrRoad_act!S34*100)</f>
        <v>7.053182854053988</v>
      </c>
      <c r="T64" s="96">
        <f>IF(T22=0,0,T22/TrRoad_act!T34*100)</f>
        <v>7.1231370906235796</v>
      </c>
      <c r="U64" s="96">
        <f>IF(U22=0,0,U22/TrRoad_act!U34*100)</f>
        <v>6.7163295006835435</v>
      </c>
      <c r="V64" s="96">
        <f>IF(V22=0,0,V22/TrRoad_act!V34*100)</f>
        <v>6.6292341434634929</v>
      </c>
      <c r="W64" s="96">
        <f>IF(W22=0,0,W22/TrRoad_act!W34*100)</f>
        <v>7.0153603499762101</v>
      </c>
      <c r="X64" s="96">
        <f>IF(X22=0,0,X22/TrRoad_act!X34*100)</f>
        <v>7.3293963216824105</v>
      </c>
      <c r="Y64" s="96">
        <f>IF(Y22=0,0,Y22/TrRoad_act!Y34*100)</f>
        <v>7.2648486378289387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7.584028152000041</v>
      </c>
      <c r="C65" s="96">
        <f>IF(C24=0,0,C24/TrRoad_act!C35*100)</f>
        <v>7.4122564566715621</v>
      </c>
      <c r="D65" s="96">
        <f>IF(D24=0,0,D24/TrRoad_act!D35*100)</f>
        <v>7.207024317672567</v>
      </c>
      <c r="E65" s="96">
        <f>IF(E24=0,0,E24/TrRoad_act!E35*100)</f>
        <v>7.1636834644075646</v>
      </c>
      <c r="F65" s="96">
        <f>IF(F24=0,0,F24/TrRoad_act!F35*100)</f>
        <v>7.1957451267043986</v>
      </c>
      <c r="G65" s="96">
        <f>IF(G24=0,0,G24/TrRoad_act!G35*100)</f>
        <v>7.1518836709289557</v>
      </c>
      <c r="H65" s="96">
        <f>IF(H24=0,0,H24/TrRoad_act!H35*100)</f>
        <v>7.1761663169526839</v>
      </c>
      <c r="I65" s="96">
        <f>IF(I24=0,0,I24/TrRoad_act!I35*100)</f>
        <v>7.2858122979028632</v>
      </c>
      <c r="J65" s="96">
        <f>IF(J24=0,0,J24/TrRoad_act!J35*100)</f>
        <v>7.3927242767904575</v>
      </c>
      <c r="K65" s="96">
        <f>IF(K24=0,0,K24/TrRoad_act!K35*100)</f>
        <v>7.1139824361309962</v>
      </c>
      <c r="L65" s="96">
        <f>IF(L24=0,0,L24/TrRoad_act!L35*100)</f>
        <v>7.1203688549807422</v>
      </c>
      <c r="M65" s="96">
        <f>IF(M24=0,0,M24/TrRoad_act!M35*100)</f>
        <v>7.1182342505785243</v>
      </c>
      <c r="N65" s="96">
        <f>IF(N24=0,0,N24/TrRoad_act!N35*100)</f>
        <v>7.056973282376501</v>
      </c>
      <c r="O65" s="96">
        <f>IF(O24=0,0,O24/TrRoad_act!O35*100)</f>
        <v>6.8989368110423586</v>
      </c>
      <c r="P65" s="96">
        <f>IF(P24=0,0,P24/TrRoad_act!P35*100)</f>
        <v>6.7393909414461568</v>
      </c>
      <c r="Q65" s="96">
        <f>IF(Q24=0,0,Q24/TrRoad_act!Q35*100)</f>
        <v>6.5846218852102467</v>
      </c>
      <c r="R65" s="96">
        <f>IF(R24=0,0,R24/TrRoad_act!R35*100)</f>
        <v>6.5465958032655038</v>
      </c>
      <c r="S65" s="96">
        <f>IF(S24=0,0,S24/TrRoad_act!S35*100)</f>
        <v>6.4234239184347937</v>
      </c>
      <c r="T65" s="96">
        <f>IF(T24=0,0,T24/TrRoad_act!T35*100)</f>
        <v>6.3114001291703676</v>
      </c>
      <c r="U65" s="96">
        <f>IF(U24=0,0,U24/TrRoad_act!U35*100)</f>
        <v>6.1873856606158011</v>
      </c>
      <c r="V65" s="96">
        <f>IF(V24=0,0,V24/TrRoad_act!V35*100)</f>
        <v>5.9935747718386239</v>
      </c>
      <c r="W65" s="96">
        <f>IF(W24=0,0,W24/TrRoad_act!W35*100)</f>
        <v>5.9885541263144448</v>
      </c>
      <c r="X65" s="96">
        <f>IF(X24=0,0,X24/TrRoad_act!X35*100)</f>
        <v>5.9670587547414122</v>
      </c>
      <c r="Y65" s="96">
        <f>IF(Y24=0,0,Y24/TrRoad_act!Y35*100)</f>
        <v>5.8446437033629808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5.8213098402689987</v>
      </c>
      <c r="I66" s="96">
        <f>IF(I26=0,0,I26/TrRoad_act!I36*100)</f>
        <v>6.7095565990584953</v>
      </c>
      <c r="J66" s="96">
        <f>IF(J26=0,0,J26/TrRoad_act!J36*100)</f>
        <v>6.6672605062280539</v>
      </c>
      <c r="K66" s="96">
        <f>IF(K26=0,0,K26/TrRoad_act!K36*100)</f>
        <v>7.0073588271391261</v>
      </c>
      <c r="L66" s="96">
        <f>IF(L26=0,0,L26/TrRoad_act!L36*100)</f>
        <v>7.6265273136768927</v>
      </c>
      <c r="M66" s="96">
        <f>IF(M26=0,0,M26/TrRoad_act!M36*100)</f>
        <v>8.1022843226335226</v>
      </c>
      <c r="N66" s="96">
        <f>IF(N26=0,0,N26/TrRoad_act!N36*100)</f>
        <v>8.3570471662425998</v>
      </c>
      <c r="O66" s="96">
        <f>IF(O26=0,0,O26/TrRoad_act!O36*100)</f>
        <v>8.0787402426877133</v>
      </c>
      <c r="P66" s="96">
        <f>IF(P26=0,0,P26/TrRoad_act!P36*100)</f>
        <v>8.0298880875940011</v>
      </c>
      <c r="Q66" s="96">
        <f>IF(Q26=0,0,Q26/TrRoad_act!Q36*100)</f>
        <v>8.4620004623357712</v>
      </c>
      <c r="R66" s="96">
        <f>IF(R26=0,0,R26/TrRoad_act!R36*100)</f>
        <v>8.3584872510657497</v>
      </c>
      <c r="S66" s="96">
        <f>IF(S26=0,0,S26/TrRoad_act!S36*100)</f>
        <v>7.5497731579853022</v>
      </c>
      <c r="T66" s="96">
        <f>IF(T26=0,0,T26/TrRoad_act!T36*100)</f>
        <v>7.1910340216656836</v>
      </c>
      <c r="U66" s="96">
        <f>IF(U26=0,0,U26/TrRoad_act!U36*100)</f>
        <v>6.6514862702068971</v>
      </c>
      <c r="V66" s="96">
        <f>IF(V26=0,0,V26/TrRoad_act!V36*100)</f>
        <v>5.0464827263941388</v>
      </c>
      <c r="W66" s="96">
        <f>IF(W26=0,0,W26/TrRoad_act!W36*100)</f>
        <v>8.2443305990548339</v>
      </c>
      <c r="X66" s="96">
        <f>IF(X26=0,0,X26/TrRoad_act!X36*100)</f>
        <v>5.0176113988650375</v>
      </c>
      <c r="Y66" s="96">
        <f>IF(Y26=0,0,Y26/TrRoad_act!Y36*100)</f>
        <v>4.4405518941804552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6.2693428271258176</v>
      </c>
      <c r="O67" s="96">
        <f>IF(O27=0,0,O27/TrRoad_act!O37*100)</f>
        <v>6.2431659326599975</v>
      </c>
      <c r="P67" s="96">
        <f>IF(P27=0,0,P27/TrRoad_act!P37*100)</f>
        <v>5.8531075514003978</v>
      </c>
      <c r="Q67" s="96">
        <f>IF(Q27=0,0,Q27/TrRoad_act!Q37*100)</f>
        <v>5.5380453700287999</v>
      </c>
      <c r="R67" s="96">
        <f>IF(R27=0,0,R27/TrRoad_act!R37*100)</f>
        <v>5.5000702362211165</v>
      </c>
      <c r="S67" s="96">
        <f>IF(S27=0,0,S27/TrRoad_act!S37*100)</f>
        <v>5.4568081356636071</v>
      </c>
      <c r="T67" s="96">
        <f>IF(T27=0,0,T27/TrRoad_act!T37*100)</f>
        <v>5.5346567049625754</v>
      </c>
      <c r="U67" s="96">
        <f>IF(U27=0,0,U27/TrRoad_act!U37*100)</f>
        <v>5.5160051302757838</v>
      </c>
      <c r="V67" s="96">
        <f>IF(V27=0,0,V27/TrRoad_act!V37*100)</f>
        <v>5.4195337050884929</v>
      </c>
      <c r="W67" s="96">
        <f>IF(W27=0,0,W27/TrRoad_act!W37*100)</f>
        <v>5.3779053179172358</v>
      </c>
      <c r="X67" s="96">
        <f>IF(X27=0,0,X27/TrRoad_act!X37*100)</f>
        <v>5.3605218968285842</v>
      </c>
      <c r="Y67" s="96">
        <f>IF(Y27=0,0,Y27/TrRoad_act!Y37*100)</f>
        <v>5.3563365218682168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2.5809228613511315</v>
      </c>
      <c r="P68" s="96">
        <f>IF(P29=0,0,P29/TrRoad_act!P38*100)</f>
        <v>2.6326807612558971</v>
      </c>
      <c r="Q68" s="96">
        <f>IF(Q29=0,0,Q29/TrRoad_act!Q38*100)</f>
        <v>2.5393521149330542</v>
      </c>
      <c r="R68" s="96">
        <f>IF(R29=0,0,R29/TrRoad_act!R38*100)</f>
        <v>2.890994602746245</v>
      </c>
      <c r="S68" s="96">
        <f>IF(S29=0,0,S29/TrRoad_act!S38*100)</f>
        <v>3.5059180382384301</v>
      </c>
      <c r="T68" s="96">
        <f>IF(T29=0,0,T29/TrRoad_act!T38*100)</f>
        <v>3.7241945638779681</v>
      </c>
      <c r="U68" s="96">
        <f>IF(U29=0,0,U29/TrRoad_act!U38*100)</f>
        <v>3.6282529612952272</v>
      </c>
      <c r="V68" s="96">
        <f>IF(V29=0,0,V29/TrRoad_act!V38*100)</f>
        <v>3.636431436128853</v>
      </c>
      <c r="W68" s="96">
        <f>IF(W29=0,0,W29/TrRoad_act!W38*100)</f>
        <v>3.5244099748657214</v>
      </c>
      <c r="X68" s="96">
        <f>IF(X29=0,0,X29/TrRoad_act!X38*100)</f>
        <v>3.5996663666325328</v>
      </c>
      <c r="Y68" s="96">
        <f>IF(Y29=0,0,Y29/TrRoad_act!Y38*100)</f>
        <v>3.4788857562594555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1.7177218527827494</v>
      </c>
      <c r="N69" s="96">
        <f>IF(N32=0,0,N32/TrRoad_act!N39*100)</f>
        <v>1.6374094573107951</v>
      </c>
      <c r="O69" s="96">
        <f>IF(O32=0,0,O32/TrRoad_act!O39*100)</f>
        <v>1.6396574137983642</v>
      </c>
      <c r="P69" s="96">
        <f>IF(P32=0,0,P32/TrRoad_act!P39*100)</f>
        <v>1.5246949168236097</v>
      </c>
      <c r="Q69" s="96">
        <f>IF(Q32=0,0,Q32/TrRoad_act!Q39*100)</f>
        <v>1.394666720646085</v>
      </c>
      <c r="R69" s="96">
        <f>IF(R32=0,0,R32/TrRoad_act!R39*100)</f>
        <v>1.3410394234389036</v>
      </c>
      <c r="S69" s="96">
        <f>IF(S32=0,0,S32/TrRoad_act!S39*100)</f>
        <v>1.2974062184459962</v>
      </c>
      <c r="T69" s="96">
        <f>IF(T32=0,0,T32/TrRoad_act!T39*100)</f>
        <v>1.294446500491798</v>
      </c>
      <c r="U69" s="96">
        <f>IF(U32=0,0,U32/TrRoad_act!U39*100)</f>
        <v>1.3986117316545059</v>
      </c>
      <c r="V69" s="96">
        <f>IF(V32=0,0,V32/TrRoad_act!V39*100)</f>
        <v>1.4761320892098924</v>
      </c>
      <c r="W69" s="96">
        <f>IF(W32=0,0,W32/TrRoad_act!W39*100)</f>
        <v>1.5114277882797809</v>
      </c>
      <c r="X69" s="96">
        <f>IF(X32=0,0,X32/TrRoad_act!X39*100)</f>
        <v>1.5402161393499461</v>
      </c>
      <c r="Y69" s="96">
        <f>IF(Y32=0,0,Y32/TrRoad_act!Y39*100)</f>
        <v>1.5660766307280096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59.038721329980447</v>
      </c>
      <c r="C70" s="130">
        <f>IF(C33=0,0,C33/TrRoad_act!C40*100)</f>
        <v>56.252137583858818</v>
      </c>
      <c r="D70" s="130">
        <f>IF(D33=0,0,D33/TrRoad_act!D40*100)</f>
        <v>55.894085591893436</v>
      </c>
      <c r="E70" s="130">
        <f>IF(E33=0,0,E33/TrRoad_act!E40*100)</f>
        <v>55.458445594983999</v>
      </c>
      <c r="F70" s="130">
        <f>IF(F33=0,0,F33/TrRoad_act!F40*100)</f>
        <v>55.194217976248559</v>
      </c>
      <c r="G70" s="130">
        <f>IF(G33=0,0,G33/TrRoad_act!G40*100)</f>
        <v>54.855445010127113</v>
      </c>
      <c r="H70" s="130">
        <f>IF(H33=0,0,H33/TrRoad_act!H40*100)</f>
        <v>54.597924613784066</v>
      </c>
      <c r="I70" s="130">
        <f>IF(I33=0,0,I33/TrRoad_act!I40*100)</f>
        <v>54.464042481883432</v>
      </c>
      <c r="J70" s="130">
        <f>IF(J33=0,0,J33/TrRoad_act!J40*100)</f>
        <v>54.300953700606826</v>
      </c>
      <c r="K70" s="130">
        <f>IF(K33=0,0,K33/TrRoad_act!K40*100)</f>
        <v>54.197792177342109</v>
      </c>
      <c r="L70" s="130">
        <f>IF(L33=0,0,L33/TrRoad_act!L40*100)</f>
        <v>54.113757073079057</v>
      </c>
      <c r="M70" s="130">
        <f>IF(M33=0,0,M33/TrRoad_act!M40*100)</f>
        <v>54.107231730088365</v>
      </c>
      <c r="N70" s="130">
        <f>IF(N33=0,0,N33/TrRoad_act!N40*100)</f>
        <v>54.038022039554313</v>
      </c>
      <c r="O70" s="130">
        <f>IF(O33=0,0,O33/TrRoad_act!O40*100)</f>
        <v>54.074043332563015</v>
      </c>
      <c r="P70" s="130">
        <f>IF(P33=0,0,P33/TrRoad_act!P40*100)</f>
        <v>52.430241859386385</v>
      </c>
      <c r="Q70" s="130">
        <f>IF(Q33=0,0,Q33/TrRoad_act!Q40*100)</f>
        <v>53.150751837663712</v>
      </c>
      <c r="R70" s="130">
        <f>IF(R33=0,0,R33/TrRoad_act!R40*100)</f>
        <v>52.216249713105846</v>
      </c>
      <c r="S70" s="130">
        <f>IF(S33=0,0,S33/TrRoad_act!S40*100)</f>
        <v>52.888441068977151</v>
      </c>
      <c r="T70" s="130">
        <f>IF(T33=0,0,T33/TrRoad_act!T40*100)</f>
        <v>52.856023467542187</v>
      </c>
      <c r="U70" s="130">
        <f>IF(U33=0,0,U33/TrRoad_act!U40*100)</f>
        <v>54.902958995215599</v>
      </c>
      <c r="V70" s="130">
        <f>IF(V33=0,0,V33/TrRoad_act!V40*100)</f>
        <v>55.347769582563124</v>
      </c>
      <c r="W70" s="130">
        <f>IF(W33=0,0,W33/TrRoad_act!W40*100)</f>
        <v>55.461720588308353</v>
      </c>
      <c r="X70" s="130">
        <f>IF(X33=0,0,X33/TrRoad_act!X40*100)</f>
        <v>54.5667406521979</v>
      </c>
      <c r="Y70" s="130">
        <f>IF(Y33=0,0,Y33/TrRoad_act!Y40*100)</f>
        <v>53.2647464202783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20.440692882953904</v>
      </c>
      <c r="C71" s="97">
        <f>IF(C34=0,0,C34/TrRoad_act!C41*100)</f>
        <v>20.291693702539391</v>
      </c>
      <c r="D71" s="97">
        <f>IF(D34=0,0,D34/TrRoad_act!D41*100)</f>
        <v>20.283959900222808</v>
      </c>
      <c r="E71" s="97">
        <f>IF(E34=0,0,E34/TrRoad_act!E41*100)</f>
        <v>20.269074314497942</v>
      </c>
      <c r="F71" s="97">
        <f>IF(F34=0,0,F34/TrRoad_act!F41*100)</f>
        <v>20.247702234106235</v>
      </c>
      <c r="G71" s="97">
        <f>IF(G34=0,0,G34/TrRoad_act!G41*100)</f>
        <v>20.234525589756487</v>
      </c>
      <c r="H71" s="97">
        <f>IF(H34=0,0,H34/TrRoad_act!H41*100)</f>
        <v>20.202889394433189</v>
      </c>
      <c r="I71" s="97">
        <f>IF(I34=0,0,I34/TrRoad_act!I41*100)</f>
        <v>20.1825607164456</v>
      </c>
      <c r="J71" s="97">
        <f>IF(J34=0,0,J34/TrRoad_act!J41*100)</f>
        <v>20.130971408439674</v>
      </c>
      <c r="K71" s="97">
        <f>IF(K34=0,0,K34/TrRoad_act!K41*100)</f>
        <v>20.076926145334667</v>
      </c>
      <c r="L71" s="97">
        <f>IF(L34=0,0,L34/TrRoad_act!L41*100)</f>
        <v>20.027101625247134</v>
      </c>
      <c r="M71" s="97">
        <f>IF(M34=0,0,M34/TrRoad_act!M41*100)</f>
        <v>19.924737779154363</v>
      </c>
      <c r="N71" s="97">
        <f>IF(N34=0,0,N34/TrRoad_act!N41*100)</f>
        <v>19.876539940492957</v>
      </c>
      <c r="O71" s="97">
        <f>IF(O34=0,0,O34/TrRoad_act!O41*100)</f>
        <v>18.157902446592828</v>
      </c>
      <c r="P71" s="97">
        <f>IF(P34=0,0,P34/TrRoad_act!P41*100)</f>
        <v>17.765871148810593</v>
      </c>
      <c r="Q71" s="97">
        <f>IF(Q34=0,0,Q34/TrRoad_act!Q41*100)</f>
        <v>17.300354845006339</v>
      </c>
      <c r="R71" s="97">
        <f>IF(R34=0,0,R34/TrRoad_act!R41*100)</f>
        <v>17.300354845006346</v>
      </c>
      <c r="S71" s="97">
        <f>IF(S34=0,0,S34/TrRoad_act!S41*100)</f>
        <v>17.300354845006339</v>
      </c>
      <c r="T71" s="97">
        <f>IF(T34=0,0,T34/TrRoad_act!T41*100)</f>
        <v>17.300354845006343</v>
      </c>
      <c r="U71" s="97">
        <f>IF(U34=0,0,U34/TrRoad_act!U41*100)</f>
        <v>17.300354845006339</v>
      </c>
      <c r="V71" s="97">
        <f>IF(V34=0,0,V34/TrRoad_act!V41*100)</f>
        <v>17.300354845006336</v>
      </c>
      <c r="W71" s="97">
        <f>IF(W34=0,0,W34/TrRoad_act!W41*100)</f>
        <v>17.300354845006343</v>
      </c>
      <c r="X71" s="97">
        <f>IF(X34=0,0,X34/TrRoad_act!X41*100)</f>
        <v>16.507299183239518</v>
      </c>
      <c r="Y71" s="97">
        <f>IF(Y34=0,0,Y34/TrRoad_act!Y41*100)</f>
        <v>12.424686199083609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59.629076244636138</v>
      </c>
      <c r="C72" s="97">
        <f>IF(C36=0,0,C36/TrRoad_act!C42*100)</f>
        <v>56.770383149359546</v>
      </c>
      <c r="D72" s="97">
        <f>IF(D36=0,0,D36/TrRoad_act!D42*100)</f>
        <v>56.369245540830534</v>
      </c>
      <c r="E72" s="97">
        <f>IF(E36=0,0,E36/TrRoad_act!E42*100)</f>
        <v>55.87308190880956</v>
      </c>
      <c r="F72" s="97">
        <f>IF(F36=0,0,F36/TrRoad_act!F42*100)</f>
        <v>55.536953914723455</v>
      </c>
      <c r="G72" s="97">
        <f>IF(G36=0,0,G36/TrRoad_act!G42*100)</f>
        <v>55.162290320510834</v>
      </c>
      <c r="H72" s="97">
        <f>IF(H36=0,0,H36/TrRoad_act!H42*100)</f>
        <v>54.866181645438807</v>
      </c>
      <c r="I72" s="97">
        <f>IF(I36=0,0,I36/TrRoad_act!I42*100)</f>
        <v>54.691679459026652</v>
      </c>
      <c r="J72" s="97">
        <f>IF(J36=0,0,J36/TrRoad_act!J42*100)</f>
        <v>54.479291256690168</v>
      </c>
      <c r="K72" s="97">
        <f>IF(K36=0,0,K36/TrRoad_act!K42*100)</f>
        <v>54.34597629844167</v>
      </c>
      <c r="L72" s="97">
        <f>IF(L36=0,0,L36/TrRoad_act!L42*100)</f>
        <v>54.236527612165922</v>
      </c>
      <c r="M72" s="97">
        <f>IF(M36=0,0,M36/TrRoad_act!M42*100)</f>
        <v>54.20352818493761</v>
      </c>
      <c r="N72" s="97">
        <f>IF(N36=0,0,N36/TrRoad_act!N42*100)</f>
        <v>54.192881254911931</v>
      </c>
      <c r="O72" s="97">
        <f>IF(O36=0,0,O36/TrRoad_act!O42*100)</f>
        <v>54.257343352378193</v>
      </c>
      <c r="P72" s="97">
        <f>IF(P36=0,0,P36/TrRoad_act!P42*100)</f>
        <v>54.348194329945585</v>
      </c>
      <c r="Q72" s="97">
        <f>IF(Q36=0,0,Q36/TrRoad_act!Q42*100)</f>
        <v>54.552404725814526</v>
      </c>
      <c r="R72" s="97">
        <f>IF(R36=0,0,R36/TrRoad_act!R42*100)</f>
        <v>54.719108762754068</v>
      </c>
      <c r="S72" s="97">
        <f>IF(S36=0,0,S36/TrRoad_act!S42*100)</f>
        <v>54.842005349765962</v>
      </c>
      <c r="T72" s="97">
        <f>IF(T36=0,0,T36/TrRoad_act!T42*100)</f>
        <v>54.858065366470129</v>
      </c>
      <c r="U72" s="97">
        <f>IF(U36=0,0,U36/TrRoad_act!U42*100)</f>
        <v>54.727999688222752</v>
      </c>
      <c r="V72" s="97">
        <f>IF(V36=0,0,V36/TrRoad_act!V42*100)</f>
        <v>54.628351441865654</v>
      </c>
      <c r="W72" s="97">
        <f>IF(W36=0,0,W36/TrRoad_act!W42*100)</f>
        <v>53.788515255433566</v>
      </c>
      <c r="X72" s="97">
        <f>IF(X36=0,0,X36/TrRoad_act!X42*100)</f>
        <v>53.26475201685281</v>
      </c>
      <c r="Y72" s="97">
        <f>IF(Y36=0,0,Y36/TrRoad_act!Y42*100)</f>
        <v>52.56597611115761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0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47.785127244425823</v>
      </c>
      <c r="O74" s="97">
        <f>IF(O39=0,0,O39/TrRoad_act!O44*100)</f>
        <v>45.610435480192265</v>
      </c>
      <c r="P74" s="97">
        <f>IF(P39=0,0,P39/TrRoad_act!P44*100)</f>
        <v>15.602735995930756</v>
      </c>
      <c r="Q74" s="97">
        <f>IF(Q39=0,0,Q39/TrRoad_act!Q44*100)</f>
        <v>27.470511699613493</v>
      </c>
      <c r="R74" s="97">
        <f>IF(R39=0,0,R39/TrRoad_act!R44*100)</f>
        <v>23.886839490215426</v>
      </c>
      <c r="S74" s="97">
        <f>IF(S39=0,0,S39/TrRoad_act!S44*100)</f>
        <v>28.933693823432066</v>
      </c>
      <c r="T74" s="97">
        <f>IF(T39=0,0,T39/TrRoad_act!T44*100)</f>
        <v>29.061971855767833</v>
      </c>
      <c r="U74" s="97">
        <f>IF(U39=0,0,U39/TrRoad_act!U44*100)</f>
        <v>60.006693077221399</v>
      </c>
      <c r="V74" s="97">
        <f>IF(V39=0,0,V39/TrRoad_act!V44*100)</f>
        <v>70.184612196493347</v>
      </c>
      <c r="W74" s="97">
        <f>IF(W39=0,0,W39/TrRoad_act!W44*100)</f>
        <v>91.904512944387832</v>
      </c>
      <c r="X74" s="97">
        <f>IF(X39=0,0,X39/TrRoad_act!X44*100)</f>
        <v>85.623222451747651</v>
      </c>
      <c r="Y74" s="97">
        <f>IF(Y39=0,0,Y39/TrRoad_act!Y44*100)</f>
        <v>79.682588481636373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36.879987851188261</v>
      </c>
      <c r="Q75" s="97">
        <f>IF(Q41=0,0,Q41/TrRoad_act!Q45*100)</f>
        <v>36.879987851188261</v>
      </c>
      <c r="R75" s="97">
        <f>IF(R41=0,0,R41/TrRoad_act!R45*100)</f>
        <v>36.820542375130309</v>
      </c>
      <c r="S75" s="97">
        <f>IF(S41=0,0,S41/TrRoad_act!S45*100)</f>
        <v>36.801686796677743</v>
      </c>
      <c r="T75" s="97">
        <f>IF(T41=0,0,T41/TrRoad_act!T45*100)</f>
        <v>36.217059812364887</v>
      </c>
      <c r="U75" s="97">
        <f>IF(U41=0,0,U41/TrRoad_act!U45*100)</f>
        <v>35.066627291526011</v>
      </c>
      <c r="V75" s="97">
        <f>IF(V41=0,0,V41/TrRoad_act!V45*100)</f>
        <v>34.498024920796219</v>
      </c>
      <c r="W75" s="97">
        <f>IF(W41=0,0,W41/TrRoad_act!W45*100)</f>
        <v>34.498024920796226</v>
      </c>
      <c r="X75" s="97">
        <f>IF(X41=0,0,X41/TrRoad_act!X45*100)</f>
        <v>33.485882217856464</v>
      </c>
      <c r="Y75" s="97">
        <f>IF(Y41=0,0,Y41/TrRoad_act!Y45*100)</f>
        <v>31.767824798743405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13.379025682836696</v>
      </c>
      <c r="C76" s="32">
        <f>IF(C42=0,0,C42/TrRoad_act!C46*100)</f>
        <v>18.963752944274013</v>
      </c>
      <c r="D76" s="32">
        <f>IF(D42=0,0,D42/TrRoad_act!D46*100)</f>
        <v>18.790254526901837</v>
      </c>
      <c r="E76" s="32">
        <f>IF(E42=0,0,E42/TrRoad_act!E46*100)</f>
        <v>20.980450760850474</v>
      </c>
      <c r="F76" s="32">
        <f>IF(F42=0,0,F42/TrRoad_act!F46*100)</f>
        <v>24.62727057017398</v>
      </c>
      <c r="G76" s="32">
        <f>IF(G42=0,0,G42/TrRoad_act!G46*100)</f>
        <v>27.50350858206631</v>
      </c>
      <c r="H76" s="32">
        <f>IF(H42=0,0,H42/TrRoad_act!H46*100)</f>
        <v>28.939097400255058</v>
      </c>
      <c r="I76" s="32">
        <f>IF(I42=0,0,I42/TrRoad_act!I46*100)</f>
        <v>37.510308158911336</v>
      </c>
      <c r="J76" s="32">
        <f>IF(J42=0,0,J42/TrRoad_act!J46*100)</f>
        <v>49.783661044229113</v>
      </c>
      <c r="K76" s="32">
        <f>IF(K42=0,0,K42/TrRoad_act!K46*100)</f>
        <v>33.36338545345928</v>
      </c>
      <c r="L76" s="32">
        <f>IF(L42=0,0,L42/TrRoad_act!L46*100)</f>
        <v>35.658404947940298</v>
      </c>
      <c r="M76" s="32">
        <f>IF(M42=0,0,M42/TrRoad_act!M46*100)</f>
        <v>41.205632799132587</v>
      </c>
      <c r="N76" s="32">
        <f>IF(N42=0,0,N42/TrRoad_act!N46*100)</f>
        <v>44.580359778505866</v>
      </c>
      <c r="O76" s="32">
        <f>IF(O42=0,0,O42/TrRoad_act!O46*100)</f>
        <v>40.350435023705941</v>
      </c>
      <c r="P76" s="32">
        <f>IF(P42=0,0,P42/TrRoad_act!P46*100)</f>
        <v>37.875419337540748</v>
      </c>
      <c r="Q76" s="32">
        <f>IF(Q42=0,0,Q42/TrRoad_act!Q46*100)</f>
        <v>34.342974894047707</v>
      </c>
      <c r="R76" s="32">
        <f>IF(R42=0,0,R42/TrRoad_act!R46*100)</f>
        <v>37.590008117625914</v>
      </c>
      <c r="S76" s="32">
        <f>IF(S42=0,0,S42/TrRoad_act!S46*100)</f>
        <v>35.27869666202065</v>
      </c>
      <c r="T76" s="32">
        <f>IF(T42=0,0,T42/TrRoad_act!T46*100)</f>
        <v>34.167579818819846</v>
      </c>
      <c r="U76" s="32">
        <f>IF(U42=0,0,U42/TrRoad_act!U46*100)</f>
        <v>30.362772925662028</v>
      </c>
      <c r="V76" s="32">
        <f>IF(V42=0,0,V42/TrRoad_act!V46*100)</f>
        <v>23.827656162926477</v>
      </c>
      <c r="W76" s="32">
        <f>IF(W42=0,0,W42/TrRoad_act!W46*100)</f>
        <v>27.979426805929947</v>
      </c>
      <c r="X76" s="32">
        <f>IF(X42=0,0,X42/TrRoad_act!X46*100)</f>
        <v>29.022772485321685</v>
      </c>
      <c r="Y76" s="32">
        <f>IF(Y42=0,0,Y42/TrRoad_act!Y46*100)</f>
        <v>21.678622282905941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11.833391141522112</v>
      </c>
      <c r="C77" s="141">
        <f>IF(C43=0,0,C43/TrRoad_act!C47*100)</f>
        <v>11.547692178219425</v>
      </c>
      <c r="D77" s="141">
        <f>IF(D43=0,0,D43/TrRoad_act!D47*100)</f>
        <v>11.414693698240757</v>
      </c>
      <c r="E77" s="141">
        <f>IF(E43=0,0,E43/TrRoad_act!E47*100)</f>
        <v>11.315803072561865</v>
      </c>
      <c r="F77" s="141">
        <f>IF(F43=0,0,F43/TrRoad_act!F47*100)</f>
        <v>11.234315322156231</v>
      </c>
      <c r="G77" s="141">
        <f>IF(G43=0,0,G43/TrRoad_act!G47*100)</f>
        <v>11.196044894404841</v>
      </c>
      <c r="H77" s="141">
        <f>IF(H43=0,0,H43/TrRoad_act!H47*100)</f>
        <v>11.185994145835689</v>
      </c>
      <c r="I77" s="141">
        <f>IF(I43=0,0,I43/TrRoad_act!I47*100)</f>
        <v>11.175726496494805</v>
      </c>
      <c r="J77" s="141">
        <f>IF(J43=0,0,J43/TrRoad_act!J47*100)</f>
        <v>11.130709563895858</v>
      </c>
      <c r="K77" s="141">
        <f>IF(K43=0,0,K43/TrRoad_act!K47*100)</f>
        <v>11.084645291908584</v>
      </c>
      <c r="L77" s="141">
        <f>IF(L43=0,0,L43/TrRoad_act!L47*100)</f>
        <v>11.084046412671812</v>
      </c>
      <c r="M77" s="141">
        <f>IF(M43=0,0,M43/TrRoad_act!M47*100)</f>
        <v>11.11173810067964</v>
      </c>
      <c r="N77" s="141">
        <f>IF(N43=0,0,N43/TrRoad_act!N47*100)</f>
        <v>10.94566628266287</v>
      </c>
      <c r="O77" s="141">
        <f>IF(O43=0,0,O43/TrRoad_act!O47*100)</f>
        <v>10.808330608976881</v>
      </c>
      <c r="P77" s="141">
        <f>IF(P43=0,0,P43/TrRoad_act!P47*100)</f>
        <v>10.70996088927834</v>
      </c>
      <c r="Q77" s="141">
        <f>IF(Q43=0,0,Q43/TrRoad_act!Q47*100)</f>
        <v>10.554851034247257</v>
      </c>
      <c r="R77" s="141">
        <f>IF(R43=0,0,R43/TrRoad_act!R47*100)</f>
        <v>10.344498237088702</v>
      </c>
      <c r="S77" s="141">
        <f>IF(S43=0,0,S43/TrRoad_act!S47*100)</f>
        <v>10.079481591603106</v>
      </c>
      <c r="T77" s="141">
        <f>IF(T43=0,0,T43/TrRoad_act!T47*100)</f>
        <v>9.8940251234026366</v>
      </c>
      <c r="U77" s="141">
        <f>IF(U43=0,0,U43/TrRoad_act!U47*100)</f>
        <v>9.7551025927674146</v>
      </c>
      <c r="V77" s="141">
        <f>IF(V43=0,0,V43/TrRoad_act!V47*100)</f>
        <v>9.6884255506351984</v>
      </c>
      <c r="W77" s="141">
        <f>IF(W43=0,0,W43/TrRoad_act!W47*100)</f>
        <v>9.6058017960762374</v>
      </c>
      <c r="X77" s="141">
        <f>IF(X43=0,0,X43/TrRoad_act!X47*100)</f>
        <v>9.5427525940375428</v>
      </c>
      <c r="Y77" s="141">
        <f>IF(Y43=0,0,Y43/TrRoad_act!Y47*100)</f>
        <v>9.4839316235129196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9.424839809517092</v>
      </c>
      <c r="C78" s="96">
        <f>IF(C44=0,0,C44/TrRoad_act!C48*100)</f>
        <v>9.1893649797296675</v>
      </c>
      <c r="D78" s="96">
        <f>IF(D44=0,0,D44/TrRoad_act!D48*100)</f>
        <v>9.0883023608224178</v>
      </c>
      <c r="E78" s="96">
        <f>IF(E44=0,0,E44/TrRoad_act!E48*100)</f>
        <v>8.9985441188941078</v>
      </c>
      <c r="F78" s="96">
        <f>IF(F44=0,0,F44/TrRoad_act!F48*100)</f>
        <v>8.9287516763169243</v>
      </c>
      <c r="G78" s="96">
        <f>IF(G44=0,0,G44/TrRoad_act!G48*100)</f>
        <v>8.8683524634566435</v>
      </c>
      <c r="H78" s="96">
        <f>IF(H44=0,0,H44/TrRoad_act!H48*100)</f>
        <v>8.7578220468448187</v>
      </c>
      <c r="I78" s="96">
        <f>IF(I44=0,0,I44/TrRoad_act!I48*100)</f>
        <v>8.6977659206164741</v>
      </c>
      <c r="J78" s="96">
        <f>IF(J44=0,0,J44/TrRoad_act!J48*100)</f>
        <v>8.5597500243123346</v>
      </c>
      <c r="K78" s="96">
        <f>IF(K44=0,0,K44/TrRoad_act!K48*100)</f>
        <v>8.4729224128943379</v>
      </c>
      <c r="L78" s="96">
        <f>IF(L44=0,0,L44/TrRoad_act!L48*100)</f>
        <v>8.4028260386631324</v>
      </c>
      <c r="M78" s="96">
        <f>IF(M44=0,0,M44/TrRoad_act!M48*100)</f>
        <v>8.3417898828685253</v>
      </c>
      <c r="N78" s="96">
        <f>IF(N44=0,0,N44/TrRoad_act!N48*100)</f>
        <v>8.2845091310099743</v>
      </c>
      <c r="O78" s="96">
        <f>IF(O44=0,0,O44/TrRoad_act!O48*100)</f>
        <v>8.2459957789845006</v>
      </c>
      <c r="P78" s="96">
        <f>IF(P44=0,0,P44/TrRoad_act!P48*100)</f>
        <v>8.1784800810851088</v>
      </c>
      <c r="Q78" s="96">
        <f>IF(Q44=0,0,Q44/TrRoad_act!Q48*100)</f>
        <v>8.0689108228600084</v>
      </c>
      <c r="R78" s="96">
        <f>IF(R44=0,0,R44/TrRoad_act!R48*100)</f>
        <v>7.9075354225977499</v>
      </c>
      <c r="S78" s="96">
        <f>IF(S44=0,0,S44/TrRoad_act!S48*100)</f>
        <v>7.7333344850803165</v>
      </c>
      <c r="T78" s="96">
        <f>IF(T44=0,0,T44/TrRoad_act!T48*100)</f>
        <v>7.5113972254962986</v>
      </c>
      <c r="U78" s="96">
        <f>IF(U44=0,0,U44/TrRoad_act!U48*100)</f>
        <v>7.4179384441396268</v>
      </c>
      <c r="V78" s="96">
        <f>IF(V44=0,0,V44/TrRoad_act!V48*100)</f>
        <v>7.3481409622750498</v>
      </c>
      <c r="W78" s="96">
        <f>IF(W44=0,0,W44/TrRoad_act!W48*100)</f>
        <v>7.2727298738362798</v>
      </c>
      <c r="X78" s="96">
        <f>IF(X44=0,0,X44/TrRoad_act!X48*100)</f>
        <v>7.2150132287201751</v>
      </c>
      <c r="Y78" s="96">
        <f>IF(Y44=0,0,Y44/TrRoad_act!Y48*100)</f>
        <v>7.3957169120516113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12.469786630364501</v>
      </c>
      <c r="C79" s="96">
        <f>IF(C46=0,0,C46/TrRoad_act!C49*100)</f>
        <v>12.164359218331183</v>
      </c>
      <c r="D79" s="96">
        <f>IF(D46=0,0,D46/TrRoad_act!D49*100)</f>
        <v>11.991105006213889</v>
      </c>
      <c r="E79" s="96">
        <f>IF(E46=0,0,E46/TrRoad_act!E49*100)</f>
        <v>11.835737812449331</v>
      </c>
      <c r="F79" s="96">
        <f>IF(F46=0,0,F46/TrRoad_act!F49*100)</f>
        <v>11.701848014424705</v>
      </c>
      <c r="G79" s="96">
        <f>IF(G46=0,0,G46/TrRoad_act!G49*100)</f>
        <v>11.605971132417787</v>
      </c>
      <c r="H79" s="96">
        <f>IF(H46=0,0,H46/TrRoad_act!H49*100)</f>
        <v>11.5251046355315</v>
      </c>
      <c r="I79" s="96">
        <f>IF(I46=0,0,I46/TrRoad_act!I49*100)</f>
        <v>11.481415586967634</v>
      </c>
      <c r="J79" s="96">
        <f>IF(J46=0,0,J46/TrRoad_act!J49*100)</f>
        <v>11.404174716693905</v>
      </c>
      <c r="K79" s="96">
        <f>IF(K46=0,0,K46/TrRoad_act!K49*100)</f>
        <v>11.340496537591346</v>
      </c>
      <c r="L79" s="96">
        <f>IF(L46=0,0,L46/TrRoad_act!L49*100)</f>
        <v>11.325123691175595</v>
      </c>
      <c r="M79" s="96">
        <f>IF(M46=0,0,M46/TrRoad_act!M49*100)</f>
        <v>11.337904345502318</v>
      </c>
      <c r="N79" s="96">
        <f>IF(N46=0,0,N46/TrRoad_act!N49*100)</f>
        <v>11.14538197404042</v>
      </c>
      <c r="O79" s="96">
        <f>IF(O46=0,0,O46/TrRoad_act!O49*100)</f>
        <v>10.984893373503301</v>
      </c>
      <c r="P79" s="96">
        <f>IF(P46=0,0,P46/TrRoad_act!P49*100)</f>
        <v>10.850073357495861</v>
      </c>
      <c r="Q79" s="96">
        <f>IF(Q46=0,0,Q46/TrRoad_act!Q49*100)</f>
        <v>10.674687368087271</v>
      </c>
      <c r="R79" s="96">
        <f>IF(R46=0,0,R46/TrRoad_act!R49*100)</f>
        <v>10.450710736651001</v>
      </c>
      <c r="S79" s="96">
        <f>IF(S46=0,0,S46/TrRoad_act!S49*100)</f>
        <v>10.184828985864987</v>
      </c>
      <c r="T79" s="96">
        <f>IF(T46=0,0,T46/TrRoad_act!T49*100)</f>
        <v>9.9985079656075211</v>
      </c>
      <c r="U79" s="96">
        <f>IF(U46=0,0,U46/TrRoad_act!U49*100)</f>
        <v>9.8593485909787759</v>
      </c>
      <c r="V79" s="96">
        <f>IF(V46=0,0,V46/TrRoad_act!V49*100)</f>
        <v>9.7900640132296317</v>
      </c>
      <c r="W79" s="96">
        <f>IF(W46=0,0,W46/TrRoad_act!W49*100)</f>
        <v>9.6896952068871016</v>
      </c>
      <c r="X79" s="96">
        <f>IF(X46=0,0,X46/TrRoad_act!X49*100)</f>
        <v>9.6345744986613262</v>
      </c>
      <c r="Y79" s="96">
        <f>IF(Y46=0,0,Y46/TrRoad_act!Y49*100)</f>
        <v>9.5712373403479774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13.302989728235467</v>
      </c>
      <c r="I80" s="96">
        <f>IF(I48=0,0,I48/TrRoad_act!I50*100)</f>
        <v>13.375327950909815</v>
      </c>
      <c r="J80" s="96">
        <f>IF(J48=0,0,J48/TrRoad_act!J50*100)</f>
        <v>12.965675147445177</v>
      </c>
      <c r="K80" s="96">
        <f>IF(K48=0,0,K48/TrRoad_act!K50*100)</f>
        <v>12.998557883945006</v>
      </c>
      <c r="L80" s="96">
        <f>IF(L48=0,0,L48/TrRoad_act!L50*100)</f>
        <v>14.047914250237051</v>
      </c>
      <c r="M80" s="96">
        <f>IF(M48=0,0,M48/TrRoad_act!M50*100)</f>
        <v>14.935900425276488</v>
      </c>
      <c r="N80" s="96">
        <f>IF(N48=0,0,N48/TrRoad_act!N50*100)</f>
        <v>15.321876973241356</v>
      </c>
      <c r="O80" s="96">
        <f>IF(O48=0,0,O48/TrRoad_act!O50*100)</f>
        <v>14.417586718488796</v>
      </c>
      <c r="P80" s="96">
        <f>IF(P48=0,0,P48/TrRoad_act!P50*100)</f>
        <v>13.438136291065861</v>
      </c>
      <c r="Q80" s="96">
        <f>IF(Q48=0,0,Q48/TrRoad_act!Q50*100)</f>
        <v>14.033432249283573</v>
      </c>
      <c r="R80" s="96">
        <f>IF(R48=0,0,R48/TrRoad_act!R50*100)</f>
        <v>13.922251640741756</v>
      </c>
      <c r="S80" s="96">
        <f>IF(S48=0,0,S48/TrRoad_act!S50*100)</f>
        <v>12.243633949221017</v>
      </c>
      <c r="T80" s="96">
        <f>IF(T48=0,0,T48/TrRoad_act!T50*100)</f>
        <v>11.548517488364746</v>
      </c>
      <c r="U80" s="96">
        <f>IF(U48=0,0,U48/TrRoad_act!U50*100)</f>
        <v>10.214915227871936</v>
      </c>
      <c r="V80" s="96">
        <f>IF(V48=0,0,V48/TrRoad_act!V50*100)</f>
        <v>9.715764796719176</v>
      </c>
      <c r="W80" s="96">
        <f>IF(W48=0,0,W48/TrRoad_act!W50*100)</f>
        <v>12.746414141109833</v>
      </c>
      <c r="X80" s="96">
        <f>IF(X48=0,0,X48/TrRoad_act!X50*100)</f>
        <v>9.5940876826918711</v>
      </c>
      <c r="Y80" s="96">
        <f>IF(Y48=0,0,Y48/TrRoad_act!Y50*100)</f>
        <v>9.595629359367857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9.1894601152863338</v>
      </c>
      <c r="Q81" s="96">
        <f>IF(Q49=0,0,Q49/TrRoad_act!Q51*100)</f>
        <v>9.7138220209248392</v>
      </c>
      <c r="R81" s="96">
        <f>IF(R49=0,0,R49/TrRoad_act!R51*100)</f>
        <v>9.6748257956153196</v>
      </c>
      <c r="S81" s="96">
        <f>IF(S49=0,0,S49/TrRoad_act!S51*100)</f>
        <v>8.7291568492592333</v>
      </c>
      <c r="T81" s="96">
        <f>IF(T49=0,0,T49/TrRoad_act!T51*100)</f>
        <v>8.4398379096079701</v>
      </c>
      <c r="U81" s="96">
        <f>IF(U49=0,0,U49/TrRoad_act!U51*100)</f>
        <v>8.1877305918879255</v>
      </c>
      <c r="V81" s="96">
        <f>IF(V49=0,0,V49/TrRoad_act!V51*100)</f>
        <v>8.3282639706543904</v>
      </c>
      <c r="W81" s="96">
        <f>IF(W49=0,0,W49/TrRoad_act!W51*100)</f>
        <v>8.4892526689522096</v>
      </c>
      <c r="X81" s="96">
        <f>IF(X49=0,0,X49/TrRoad_act!X51*100)</f>
        <v>8.5451254259906655</v>
      </c>
      <c r="Y81" s="96">
        <f>IF(Y49=0,0,Y49/TrRoad_act!Y51*100)</f>
        <v>8.5738259246328354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0</v>
      </c>
      <c r="P82" s="96">
        <f>IF(P51=0,0,P51/TrRoad_act!P52*100)</f>
        <v>1.5977295431450156</v>
      </c>
      <c r="Q82" s="96">
        <f>IF(Q51=0,0,Q51/TrRoad_act!Q52*100)</f>
        <v>1.6690074675177111</v>
      </c>
      <c r="R82" s="96">
        <f>IF(R51=0,0,R51/TrRoad_act!R52*100)</f>
        <v>1.7058286844561215</v>
      </c>
      <c r="S82" s="96">
        <f>IF(S51=0,0,S51/TrRoad_act!S52*100)</f>
        <v>1.7338915708035683</v>
      </c>
      <c r="T82" s="96">
        <f>IF(T51=0,0,T51/TrRoad_act!T52*100)</f>
        <v>1.7557317101501564</v>
      </c>
      <c r="U82" s="96">
        <f>IF(U51=0,0,U51/TrRoad_act!U52*100)</f>
        <v>1.7752923300922676</v>
      </c>
      <c r="V82" s="96">
        <f>IF(V51=0,0,V51/TrRoad_act!V52*100)</f>
        <v>1.8162953586867832</v>
      </c>
      <c r="W82" s="96">
        <f>IF(W51=0,0,W51/TrRoad_act!W52*100)</f>
        <v>1.963693509384665</v>
      </c>
      <c r="X82" s="96">
        <f>IF(X51=0,0,X51/TrRoad_act!X52*100)</f>
        <v>2.3008767151253817</v>
      </c>
      <c r="Y82" s="96">
        <f>IF(Y51=0,0,Y51/TrRoad_act!Y52*100)</f>
        <v>2.4173335738746493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14.464245667276888</v>
      </c>
      <c r="C83" s="130">
        <f>IF(C52=0,0,C52/TrRoad_act!C53*100)</f>
        <v>24.314817575642266</v>
      </c>
      <c r="D83" s="130">
        <f>IF(D52=0,0,D52/TrRoad_act!D53*100)</f>
        <v>24.007118370925856</v>
      </c>
      <c r="E83" s="130">
        <f>IF(E52=0,0,E52/TrRoad_act!E53*100)</f>
        <v>28.08371361560625</v>
      </c>
      <c r="F83" s="130">
        <f>IF(F52=0,0,F52/TrRoad_act!F53*100)</f>
        <v>33.576821625978098</v>
      </c>
      <c r="G83" s="130">
        <f>IF(G52=0,0,G52/TrRoad_act!G53*100)</f>
        <v>39.106099883302434</v>
      </c>
      <c r="H83" s="130">
        <f>IF(H52=0,0,H52/TrRoad_act!H53*100)</f>
        <v>42.311091207030174</v>
      </c>
      <c r="I83" s="130">
        <f>IF(I52=0,0,I52/TrRoad_act!I53*100)</f>
        <v>59.308452150829872</v>
      </c>
      <c r="J83" s="130">
        <f>IF(J52=0,0,J52/TrRoad_act!J53*100)</f>
        <v>85.399215363329034</v>
      </c>
      <c r="K83" s="130">
        <f>IF(K52=0,0,K52/TrRoad_act!K53*100)</f>
        <v>57.921534385296056</v>
      </c>
      <c r="L83" s="130">
        <f>IF(L52=0,0,L52/TrRoad_act!L53*100)</f>
        <v>63.429559726747542</v>
      </c>
      <c r="M83" s="130">
        <f>IF(M52=0,0,M52/TrRoad_act!M53*100)</f>
        <v>77.741315091023893</v>
      </c>
      <c r="N83" s="130">
        <f>IF(N52=0,0,N52/TrRoad_act!N53*100)</f>
        <v>87.905495327289643</v>
      </c>
      <c r="O83" s="130">
        <f>IF(O52=0,0,O52/TrRoad_act!O53*100)</f>
        <v>81.039746481944846</v>
      </c>
      <c r="P83" s="130">
        <f>IF(P52=0,0,P52/TrRoad_act!P53*100)</f>
        <v>76.091454071732372</v>
      </c>
      <c r="Q83" s="130">
        <f>IF(Q52=0,0,Q52/TrRoad_act!Q53*100)</f>
        <v>68.849403625729593</v>
      </c>
      <c r="R83" s="130">
        <f>IF(R52=0,0,R52/TrRoad_act!R53*100)</f>
        <v>77.03839601306052</v>
      </c>
      <c r="S83" s="130">
        <f>IF(S52=0,0,S52/TrRoad_act!S53*100)</f>
        <v>71.573230776709167</v>
      </c>
      <c r="T83" s="130">
        <f>IF(T52=0,0,T52/TrRoad_act!T53*100)</f>
        <v>72.275600775484122</v>
      </c>
      <c r="U83" s="130">
        <f>IF(U52=0,0,U52/TrRoad_act!U53*100)</f>
        <v>64.10602946863591</v>
      </c>
      <c r="V83" s="130">
        <f>IF(V52=0,0,V52/TrRoad_act!V53*100)</f>
        <v>49.366171879873505</v>
      </c>
      <c r="W83" s="130">
        <f>IF(W52=0,0,W52/TrRoad_act!W53*100)</f>
        <v>60.345480536498307</v>
      </c>
      <c r="X83" s="130">
        <f>IF(X52=0,0,X52/TrRoad_act!X53*100)</f>
        <v>63.667052934700806</v>
      </c>
      <c r="Y83" s="130">
        <f>IF(Y52=0,0,Y52/TrRoad_act!Y53*100)</f>
        <v>43.607144967357094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27.882347007824919</v>
      </c>
      <c r="C84" s="97">
        <f>IF(C53=0,0,C53/TrRoad_act!C54*100)</f>
        <v>29.112382057709119</v>
      </c>
      <c r="D84" s="97">
        <f>IF(D53=0,0,D53/TrRoad_act!D54*100)</f>
        <v>28.995451880692453</v>
      </c>
      <c r="E84" s="97">
        <f>IF(E53=0,0,E53/TrRoad_act!E54*100)</f>
        <v>29.468060682550451</v>
      </c>
      <c r="F84" s="97">
        <f>IF(F53=0,0,F53/TrRoad_act!F54*100)</f>
        <v>30.157472366938748</v>
      </c>
      <c r="G84" s="97">
        <f>IF(G53=0,0,G53/TrRoad_act!G54*100)</f>
        <v>30.793992108586643</v>
      </c>
      <c r="H84" s="97">
        <f>IF(H53=0,0,H53/TrRoad_act!H54*100)</f>
        <v>31.037221199972748</v>
      </c>
      <c r="I84" s="97">
        <f>IF(I53=0,0,I53/TrRoad_act!I54*100)</f>
        <v>33.30775029730124</v>
      </c>
      <c r="J84" s="97">
        <f>IF(J53=0,0,J53/TrRoad_act!J54*100)</f>
        <v>36.814753728923634</v>
      </c>
      <c r="K84" s="97">
        <f>IF(K53=0,0,K53/TrRoad_act!K54*100)</f>
        <v>32.871408423958215</v>
      </c>
      <c r="L84" s="97">
        <f>IF(L53=0,0,L53/TrRoad_act!L54*100)</f>
        <v>33.554788137147654</v>
      </c>
      <c r="M84" s="97">
        <f>IF(M53=0,0,M53/TrRoad_act!M54*100)</f>
        <v>35.50878640254188</v>
      </c>
      <c r="N84" s="97">
        <f>IF(N53=0,0,N53/TrRoad_act!N54*100)</f>
        <v>36.835143220246003</v>
      </c>
      <c r="O84" s="97">
        <f>IF(O53=0,0,O53/TrRoad_act!O54*100)</f>
        <v>35.818677829937123</v>
      </c>
      <c r="P84" s="97">
        <f>IF(P53=0,0,P53/TrRoad_act!P54*100)</f>
        <v>35.115073903837036</v>
      </c>
      <c r="Q84" s="97">
        <f>IF(Q53=0,0,Q53/TrRoad_act!Q54*100)</f>
        <v>33.937068504914365</v>
      </c>
      <c r="R84" s="97">
        <f>IF(R53=0,0,R53/TrRoad_act!R54*100)</f>
        <v>34.91125903363303</v>
      </c>
      <c r="S84" s="97">
        <f>IF(S53=0,0,S53/TrRoad_act!S54*100)</f>
        <v>34.033953502768647</v>
      </c>
      <c r="T84" s="97">
        <f>IF(T53=0,0,T53/TrRoad_act!T54*100)</f>
        <v>34.020196405410111</v>
      </c>
      <c r="U84" s="97">
        <f>IF(U53=0,0,U53/TrRoad_act!U54*100)</f>
        <v>32.841595118737239</v>
      </c>
      <c r="V84" s="97">
        <f>IF(V53=0,0,V53/TrRoad_act!V54*100)</f>
        <v>30.885601902370013</v>
      </c>
      <c r="W84" s="97">
        <f>IF(W53=0,0,W53/TrRoad_act!W54*100)</f>
        <v>32.478136701101064</v>
      </c>
      <c r="X84" s="97">
        <f>IF(X53=0,0,X53/TrRoad_act!X54*100)</f>
        <v>33.050787162699393</v>
      </c>
      <c r="Y84" s="97">
        <f>IF(Y53=0,0,Y53/TrRoad_act!Y54*100)</f>
        <v>30.382820686141915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1.4640022940847697</v>
      </c>
      <c r="C85" s="98">
        <f>IF(C55=0,0,C55/TrRoad_act!C55*100)</f>
        <v>19.917793688123435</v>
      </c>
      <c r="D85" s="98">
        <f>IF(D55=0,0,D55/TrRoad_act!D55*100)</f>
        <v>18.90185611626314</v>
      </c>
      <c r="E85" s="98">
        <f>IF(E55=0,0,E55/TrRoad_act!E55*100)</f>
        <v>26.592058514882215</v>
      </c>
      <c r="F85" s="98">
        <f>IF(F55=0,0,F55/TrRoad_act!F55*100)</f>
        <v>37.664780401210784</v>
      </c>
      <c r="G85" s="98">
        <f>IF(G55=0,0,G55/TrRoad_act!G55*100)</f>
        <v>49.057393538982822</v>
      </c>
      <c r="H85" s="98">
        <f>IF(H55=0,0,H55/TrRoad_act!H55*100)</f>
        <v>53.168563897348896</v>
      </c>
      <c r="I85" s="98">
        <f>IF(I55=0,0,I55/TrRoad_act!I55*100)</f>
        <v>85.755394953696396</v>
      </c>
      <c r="J85" s="98">
        <f>IF(J55=0,0,J55/TrRoad_act!J55*100)</f>
        <v>134.9441158554788</v>
      </c>
      <c r="K85" s="98">
        <f>IF(K55=0,0,K55/TrRoad_act!K55*100)</f>
        <v>83.190717764145148</v>
      </c>
      <c r="L85" s="98">
        <f>IF(L55=0,0,L55/TrRoad_act!L55*100)</f>
        <v>95.155255394840935</v>
      </c>
      <c r="M85" s="98">
        <f>IF(M55=0,0,M55/TrRoad_act!M55*100)</f>
        <v>118.69821664534983</v>
      </c>
      <c r="N85" s="98">
        <f>IF(N55=0,0,N55/TrRoad_act!N55*100)</f>
        <v>131.00975617748878</v>
      </c>
      <c r="O85" s="98">
        <f>IF(O55=0,0,O55/TrRoad_act!O55*100)</f>
        <v>117.34510538769727</v>
      </c>
      <c r="P85" s="98">
        <f>IF(P55=0,0,P55/TrRoad_act!P55*100)</f>
        <v>111.6919106818054</v>
      </c>
      <c r="Q85" s="98">
        <f>IF(Q55=0,0,Q55/TrRoad_act!Q55*100)</f>
        <v>95.767168654264609</v>
      </c>
      <c r="R85" s="98">
        <f>IF(R55=0,0,R55/TrRoad_act!R55*100)</f>
        <v>106.21567903173815</v>
      </c>
      <c r="S85" s="98">
        <f>IF(S55=0,0,S55/TrRoad_act!S55*100)</f>
        <v>97.031010334579264</v>
      </c>
      <c r="T85" s="98">
        <f>IF(T55=0,0,T55/TrRoad_act!T55*100)</f>
        <v>96.615103566541734</v>
      </c>
      <c r="U85" s="98">
        <f>IF(U55=0,0,U55/TrRoad_act!U55*100)</f>
        <v>84.372128446848009</v>
      </c>
      <c r="V85" s="98">
        <f>IF(V55=0,0,V55/TrRoad_act!V55*100)</f>
        <v>61.776612842390456</v>
      </c>
      <c r="W85" s="98">
        <f>IF(W55=0,0,W55/TrRoad_act!W55*100)</f>
        <v>79.221970300474752</v>
      </c>
      <c r="X85" s="98">
        <f>IF(X55=0,0,X55/TrRoad_act!X55*100)</f>
        <v>84.184055938057895</v>
      </c>
      <c r="Y85" s="98">
        <f>IF(Y55=0,0,Y55/TrRoad_act!Y55*100)</f>
        <v>52.967134151935603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45.000808368177999</v>
      </c>
      <c r="C88" s="29">
        <f>IF(TrRoad_act!C4=0,0,C18/TrRoad_act!C4*1000)</f>
        <v>44.143537330516232</v>
      </c>
      <c r="D88" s="29">
        <f>IF(TrRoad_act!D4=0,0,D18/TrRoad_act!D4*1000)</f>
        <v>44.121698526882703</v>
      </c>
      <c r="E88" s="29">
        <f>IF(TrRoad_act!E4=0,0,E18/TrRoad_act!E4*1000)</f>
        <v>43.097092420054231</v>
      </c>
      <c r="F88" s="29">
        <f>IF(TrRoad_act!F4=0,0,F18/TrRoad_act!F4*1000)</f>
        <v>40.889941360552868</v>
      </c>
      <c r="G88" s="29">
        <f>IF(TrRoad_act!G4=0,0,G18/TrRoad_act!G4*1000)</f>
        <v>41.515471098213986</v>
      </c>
      <c r="H88" s="29">
        <f>IF(TrRoad_act!H4=0,0,H18/TrRoad_act!H4*1000)</f>
        <v>41.519154083611319</v>
      </c>
      <c r="I88" s="29">
        <f>IF(TrRoad_act!I4=0,0,I18/TrRoad_act!I4*1000)</f>
        <v>40.512502898131721</v>
      </c>
      <c r="J88" s="29">
        <f>IF(TrRoad_act!J4=0,0,J18/TrRoad_act!J4*1000)</f>
        <v>42.628812958507901</v>
      </c>
      <c r="K88" s="29">
        <f>IF(TrRoad_act!K4=0,0,K18/TrRoad_act!K4*1000)</f>
        <v>40.435143787557323</v>
      </c>
      <c r="L88" s="29">
        <f>IF(TrRoad_act!L4=0,0,L18/TrRoad_act!L4*1000)</f>
        <v>41.191298827468607</v>
      </c>
      <c r="M88" s="29">
        <f>IF(TrRoad_act!M4=0,0,M18/TrRoad_act!M4*1000)</f>
        <v>41.568769014833165</v>
      </c>
      <c r="N88" s="29">
        <f>IF(TrRoad_act!N4=0,0,N18/TrRoad_act!N4*1000)</f>
        <v>40.729692303990667</v>
      </c>
      <c r="O88" s="29">
        <f>IF(TrRoad_act!O4=0,0,O18/TrRoad_act!O4*1000)</f>
        <v>39.798276683851178</v>
      </c>
      <c r="P88" s="29">
        <f>IF(TrRoad_act!P4=0,0,P18/TrRoad_act!P4*1000)</f>
        <v>38.719244890583084</v>
      </c>
      <c r="Q88" s="29">
        <f>IF(TrRoad_act!Q4=0,0,Q18/TrRoad_act!Q4*1000)</f>
        <v>38.252096282972346</v>
      </c>
      <c r="R88" s="29">
        <f>IF(TrRoad_act!R4=0,0,R18/TrRoad_act!R4*1000)</f>
        <v>38.177542134172619</v>
      </c>
      <c r="S88" s="29">
        <f>IF(TrRoad_act!S4=0,0,S18/TrRoad_act!S4*1000)</f>
        <v>37.974692582552301</v>
      </c>
      <c r="T88" s="29">
        <f>IF(TrRoad_act!T4=0,0,T18/TrRoad_act!T4*1000)</f>
        <v>38.219648281651757</v>
      </c>
      <c r="U88" s="29">
        <f>IF(TrRoad_act!U4=0,0,U18/TrRoad_act!U4*1000)</f>
        <v>37.636937164186506</v>
      </c>
      <c r="V88" s="29">
        <f>IF(TrRoad_act!V4=0,0,V18/TrRoad_act!V4*1000)</f>
        <v>43.962265839377338</v>
      </c>
      <c r="W88" s="29">
        <f>IF(TrRoad_act!W4=0,0,W18/TrRoad_act!W4*1000)</f>
        <v>45.589580815184966</v>
      </c>
      <c r="X88" s="29">
        <f>IF(TrRoad_act!X4=0,0,X18/TrRoad_act!X4*1000)</f>
        <v>44.576703958927688</v>
      </c>
      <c r="Y88" s="29">
        <f>IF(TrRoad_act!Y4=0,0,Y18/TrRoad_act!Y4*1000)</f>
        <v>43.407541932362953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38.905778913818644</v>
      </c>
      <c r="C89" s="152">
        <f>IF(TrRoad_act!C5=0,0,C19/TrRoad_act!C5*1000)</f>
        <v>38.716225858240762</v>
      </c>
      <c r="D89" s="152">
        <f>IF(TrRoad_act!D5=0,0,D19/TrRoad_act!D5*1000)</f>
        <v>38.512520808908228</v>
      </c>
      <c r="E89" s="152">
        <f>IF(TrRoad_act!E5=0,0,E19/TrRoad_act!E5*1000)</f>
        <v>38.245528527640829</v>
      </c>
      <c r="F89" s="152">
        <f>IF(TrRoad_act!F5=0,0,F19/TrRoad_act!F5*1000)</f>
        <v>37.948944420631648</v>
      </c>
      <c r="G89" s="152">
        <f>IF(TrRoad_act!G5=0,0,G19/TrRoad_act!G5*1000)</f>
        <v>37.654116651028687</v>
      </c>
      <c r="H89" s="152">
        <f>IF(TrRoad_act!H5=0,0,H19/TrRoad_act!H5*1000)</f>
        <v>37.107313905701886</v>
      </c>
      <c r="I89" s="152">
        <f>IF(TrRoad_act!I5=0,0,I19/TrRoad_act!I5*1000)</f>
        <v>35.69940606571361</v>
      </c>
      <c r="J89" s="152">
        <f>IF(TrRoad_act!J5=0,0,J19/TrRoad_act!J5*1000)</f>
        <v>34.889597597392523</v>
      </c>
      <c r="K89" s="152">
        <f>IF(TrRoad_act!K5=0,0,K19/TrRoad_act!K5*1000)</f>
        <v>36.022389984556867</v>
      </c>
      <c r="L89" s="152">
        <f>IF(TrRoad_act!L5=0,0,L19/TrRoad_act!L5*1000)</f>
        <v>33.968370617224188</v>
      </c>
      <c r="M89" s="152">
        <f>IF(TrRoad_act!M5=0,0,M19/TrRoad_act!M5*1000)</f>
        <v>33.732976460520341</v>
      </c>
      <c r="N89" s="152">
        <f>IF(TrRoad_act!N5=0,0,N19/TrRoad_act!N5*1000)</f>
        <v>33.791051115609612</v>
      </c>
      <c r="O89" s="152">
        <f>IF(TrRoad_act!O5=0,0,O19/TrRoad_act!O5*1000)</f>
        <v>33.508994699148126</v>
      </c>
      <c r="P89" s="152">
        <f>IF(TrRoad_act!P5=0,0,P19/TrRoad_act!P5*1000)</f>
        <v>33.096321954875179</v>
      </c>
      <c r="Q89" s="152">
        <f>IF(TrRoad_act!Q5=0,0,Q19/TrRoad_act!Q5*1000)</f>
        <v>32.417364830087429</v>
      </c>
      <c r="R89" s="152">
        <f>IF(TrRoad_act!R5=0,0,R19/TrRoad_act!R5*1000)</f>
        <v>31.799428018290861</v>
      </c>
      <c r="S89" s="152">
        <f>IF(TrRoad_act!S5=0,0,S19/TrRoad_act!S5*1000)</f>
        <v>32.405659166778861</v>
      </c>
      <c r="T89" s="152">
        <f>IF(TrRoad_act!T5=0,0,T19/TrRoad_act!T5*1000)</f>
        <v>32.005317907462626</v>
      </c>
      <c r="U89" s="152">
        <f>IF(TrRoad_act!U5=0,0,U19/TrRoad_act!U5*1000)</f>
        <v>31.561719046604598</v>
      </c>
      <c r="V89" s="152">
        <f>IF(TrRoad_act!V5=0,0,V19/TrRoad_act!V5*1000)</f>
        <v>31.357748592753065</v>
      </c>
      <c r="W89" s="152">
        <f>IF(TrRoad_act!W5=0,0,W19/TrRoad_act!W5*1000)</f>
        <v>31.059470434992321</v>
      </c>
      <c r="X89" s="152">
        <f>IF(TrRoad_act!X5=0,0,X19/TrRoad_act!X5*1000)</f>
        <v>30.707953634785095</v>
      </c>
      <c r="Y89" s="152">
        <f>IF(TrRoad_act!Y5=0,0,Y19/TrRoad_act!Y5*1000)</f>
        <v>30.330860339292173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48.875157859111233</v>
      </c>
      <c r="C90" s="116">
        <f>IF(TrRoad_act!C6=0,0,C21/TrRoad_act!C6*1000)</f>
        <v>47.885181375714374</v>
      </c>
      <c r="D90" s="116">
        <f>IF(TrRoad_act!D6=0,0,D21/TrRoad_act!D6*1000)</f>
        <v>47.783692374104319</v>
      </c>
      <c r="E90" s="116">
        <f>IF(TrRoad_act!E6=0,0,E21/TrRoad_act!E6*1000)</f>
        <v>46.908651801547713</v>
      </c>
      <c r="F90" s="116">
        <f>IF(TrRoad_act!F6=0,0,F21/TrRoad_act!F6*1000)</f>
        <v>43.73942278255177</v>
      </c>
      <c r="G90" s="116">
        <f>IF(TrRoad_act!G6=0,0,G21/TrRoad_act!G6*1000)</f>
        <v>44.216780600936673</v>
      </c>
      <c r="H90" s="116">
        <f>IF(TrRoad_act!H6=0,0,H21/TrRoad_act!H6*1000)</f>
        <v>44.277083026679264</v>
      </c>
      <c r="I90" s="116">
        <f>IF(TrRoad_act!I6=0,0,I21/TrRoad_act!I6*1000)</f>
        <v>43.145474204017667</v>
      </c>
      <c r="J90" s="116">
        <f>IF(TrRoad_act!J6=0,0,J21/TrRoad_act!J6*1000)</f>
        <v>45.345927766108154</v>
      </c>
      <c r="K90" s="116">
        <f>IF(TrRoad_act!K6=0,0,K21/TrRoad_act!K6*1000)</f>
        <v>42.809276324380399</v>
      </c>
      <c r="L90" s="116">
        <f>IF(TrRoad_act!L6=0,0,L21/TrRoad_act!L6*1000)</f>
        <v>43.704692568522539</v>
      </c>
      <c r="M90" s="116">
        <f>IF(TrRoad_act!M6=0,0,M21/TrRoad_act!M6*1000)</f>
        <v>44.213721194817126</v>
      </c>
      <c r="N90" s="116">
        <f>IF(TrRoad_act!N6=0,0,N21/TrRoad_act!N6*1000)</f>
        <v>43.270859981628654</v>
      </c>
      <c r="O90" s="116">
        <f>IF(TrRoad_act!O6=0,0,O21/TrRoad_act!O6*1000)</f>
        <v>42.28788536484813</v>
      </c>
      <c r="P90" s="116">
        <f>IF(TrRoad_act!P6=0,0,P21/TrRoad_act!P6*1000)</f>
        <v>41.207747672748717</v>
      </c>
      <c r="Q90" s="116">
        <f>IF(TrRoad_act!Q6=0,0,Q21/TrRoad_act!Q6*1000)</f>
        <v>40.731092235297886</v>
      </c>
      <c r="R90" s="116">
        <f>IF(TrRoad_act!R6=0,0,R21/TrRoad_act!R6*1000)</f>
        <v>40.775272516098354</v>
      </c>
      <c r="S90" s="116">
        <f>IF(TrRoad_act!S6=0,0,S21/TrRoad_act!S6*1000)</f>
        <v>40.430390155258337</v>
      </c>
      <c r="T90" s="116">
        <f>IF(TrRoad_act!T6=0,0,T21/TrRoad_act!T6*1000)</f>
        <v>40.794080964502811</v>
      </c>
      <c r="U90" s="116">
        <f>IF(TrRoad_act!U6=0,0,U21/TrRoad_act!U6*1000)</f>
        <v>39.971202606274915</v>
      </c>
      <c r="V90" s="116">
        <f>IF(TrRoad_act!V6=0,0,V21/TrRoad_act!V6*1000)</f>
        <v>46.018661819684773</v>
      </c>
      <c r="W90" s="116">
        <f>IF(TrRoad_act!W6=0,0,W21/TrRoad_act!W6*1000)</f>
        <v>48.105941453774697</v>
      </c>
      <c r="X90" s="116">
        <f>IF(TrRoad_act!X6=0,0,X21/TrRoad_act!X6*1000)</f>
        <v>47.90103803022685</v>
      </c>
      <c r="Y90" s="116">
        <f>IF(TrRoad_act!Y6=0,0,Y21/TrRoad_act!Y6*1000)</f>
        <v>46.764085822737492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51.439794408500056</v>
      </c>
      <c r="C91" s="87">
        <f>IF(TrRoad_act!C7=0,0,C22/TrRoad_act!C7*1000)</f>
        <v>50.620168299098637</v>
      </c>
      <c r="D91" s="87">
        <f>IF(TrRoad_act!D7=0,0,D22/TrRoad_act!D7*1000)</f>
        <v>51.630505569119585</v>
      </c>
      <c r="E91" s="87">
        <f>IF(TrRoad_act!E7=0,0,E22/TrRoad_act!E7*1000)</f>
        <v>50.310965090359716</v>
      </c>
      <c r="F91" s="87">
        <f>IF(TrRoad_act!F7=0,0,F22/TrRoad_act!F7*1000)</f>
        <v>46.007882555299744</v>
      </c>
      <c r="G91" s="87">
        <f>IF(TrRoad_act!G7=0,0,G22/TrRoad_act!G7*1000)</f>
        <v>47.03706335044545</v>
      </c>
      <c r="H91" s="87">
        <f>IF(TrRoad_act!H7=0,0,H22/TrRoad_act!H7*1000)</f>
        <v>47.145784161852994</v>
      </c>
      <c r="I91" s="87">
        <f>IF(TrRoad_act!I7=0,0,I22/TrRoad_act!I7*1000)</f>
        <v>45.599251010438365</v>
      </c>
      <c r="J91" s="87">
        <f>IF(TrRoad_act!J7=0,0,J22/TrRoad_act!J7*1000)</f>
        <v>49.717795197494674</v>
      </c>
      <c r="K91" s="87">
        <f>IF(TrRoad_act!K7=0,0,K22/TrRoad_act!K7*1000)</f>
        <v>46.200661156104438</v>
      </c>
      <c r="L91" s="87">
        <f>IF(TrRoad_act!L7=0,0,L22/TrRoad_act!L7*1000)</f>
        <v>47.899681384527284</v>
      </c>
      <c r="M91" s="87">
        <f>IF(TrRoad_act!M7=0,0,M22/TrRoad_act!M7*1000)</f>
        <v>48.769503104138693</v>
      </c>
      <c r="N91" s="87">
        <f>IF(TrRoad_act!N7=0,0,N22/TrRoad_act!N7*1000)</f>
        <v>46.744883956947035</v>
      </c>
      <c r="O91" s="87">
        <f>IF(TrRoad_act!O7=0,0,O22/TrRoad_act!O7*1000)</f>
        <v>45.072367544936931</v>
      </c>
      <c r="P91" s="87">
        <f>IF(TrRoad_act!P7=0,0,P22/TrRoad_act!P7*1000)</f>
        <v>43.365788981440836</v>
      </c>
      <c r="Q91" s="87">
        <f>IF(TrRoad_act!Q7=0,0,Q22/TrRoad_act!Q7*1000)</f>
        <v>43.208186048548313</v>
      </c>
      <c r="R91" s="87">
        <f>IF(TrRoad_act!R7=0,0,R22/TrRoad_act!R7*1000)</f>
        <v>44.452091187758356</v>
      </c>
      <c r="S91" s="87">
        <f>IF(TrRoad_act!S7=0,0,S22/TrRoad_act!S7*1000)</f>
        <v>43.657913999335129</v>
      </c>
      <c r="T91" s="87">
        <f>IF(TrRoad_act!T7=0,0,T22/TrRoad_act!T7*1000)</f>
        <v>44.913979512645255</v>
      </c>
      <c r="U91" s="87">
        <f>IF(TrRoad_act!U7=0,0,U22/TrRoad_act!U7*1000)</f>
        <v>43.020598608800192</v>
      </c>
      <c r="V91" s="87">
        <f>IF(TrRoad_act!V7=0,0,V22/TrRoad_act!V7*1000)</f>
        <v>50.463081073240751</v>
      </c>
      <c r="W91" s="87">
        <f>IF(TrRoad_act!W7=0,0,W22/TrRoad_act!W7*1000)</f>
        <v>54.421559660574175</v>
      </c>
      <c r="X91" s="87">
        <f>IF(TrRoad_act!X7=0,0,X22/TrRoad_act!X7*1000)</f>
        <v>56.070061151468799</v>
      </c>
      <c r="Y91" s="87">
        <f>IF(TrRoad_act!Y7=0,0,Y22/TrRoad_act!Y7*1000)</f>
        <v>55.109537249286646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38.527751098277157</v>
      </c>
      <c r="C92" s="87">
        <f>IF(TrRoad_act!C8=0,0,C24/TrRoad_act!C8*1000)</f>
        <v>37.675828342453173</v>
      </c>
      <c r="D92" s="87">
        <f>IF(TrRoad_act!D8=0,0,D24/TrRoad_act!D8*1000)</f>
        <v>37.707903608018562</v>
      </c>
      <c r="E92" s="87">
        <f>IF(TrRoad_act!E8=0,0,E24/TrRoad_act!E8*1000)</f>
        <v>38.033951212136543</v>
      </c>
      <c r="F92" s="87">
        <f>IF(TrRoad_act!F8=0,0,F24/TrRoad_act!F8*1000)</f>
        <v>38.947357447639455</v>
      </c>
      <c r="G92" s="87">
        <f>IF(TrRoad_act!G8=0,0,G24/TrRoad_act!G8*1000)</f>
        <v>39.22771810564501</v>
      </c>
      <c r="H92" s="87">
        <f>IF(TrRoad_act!H8=0,0,H24/TrRoad_act!H8*1000)</f>
        <v>39.952904420455944</v>
      </c>
      <c r="I92" s="87">
        <f>IF(TrRoad_act!I8=0,0,I24/TrRoad_act!I8*1000)</f>
        <v>39.914621105463937</v>
      </c>
      <c r="J92" s="87">
        <f>IF(TrRoad_act!J8=0,0,J24/TrRoad_act!J8*1000)</f>
        <v>40.306397366546335</v>
      </c>
      <c r="K92" s="87">
        <f>IF(TrRoad_act!K8=0,0,K24/TrRoad_act!K8*1000)</f>
        <v>39.307454000939217</v>
      </c>
      <c r="L92" s="87">
        <f>IF(TrRoad_act!L8=0,0,L24/TrRoad_act!L8*1000)</f>
        <v>39.78003920832851</v>
      </c>
      <c r="M92" s="87">
        <f>IF(TrRoad_act!M8=0,0,M24/TrRoad_act!M8*1000)</f>
        <v>40.255760477876933</v>
      </c>
      <c r="N92" s="87">
        <f>IF(TrRoad_act!N8=0,0,N24/TrRoad_act!N8*1000)</f>
        <v>40.451676957298268</v>
      </c>
      <c r="O92" s="87">
        <f>IF(TrRoad_act!O8=0,0,O24/TrRoad_act!O8*1000)</f>
        <v>40.146581281581263</v>
      </c>
      <c r="P92" s="87">
        <f>IF(TrRoad_act!P8=0,0,P24/TrRoad_act!P8*1000)</f>
        <v>39.625313579193616</v>
      </c>
      <c r="Q92" s="87">
        <f>IF(TrRoad_act!Q8=0,0,Q24/TrRoad_act!Q8*1000)</f>
        <v>38.982385319830591</v>
      </c>
      <c r="R92" s="87">
        <f>IF(TrRoad_act!R8=0,0,R24/TrRoad_act!R8*1000)</f>
        <v>38.44450492376162</v>
      </c>
      <c r="S92" s="87">
        <f>IF(TrRoad_act!S8=0,0,S24/TrRoad_act!S8*1000)</f>
        <v>38.559636000539285</v>
      </c>
      <c r="T92" s="87">
        <f>IF(TrRoad_act!T8=0,0,T24/TrRoad_act!T8*1000)</f>
        <v>38.594414004972769</v>
      </c>
      <c r="U92" s="87">
        <f>IF(TrRoad_act!U8=0,0,U24/TrRoad_act!U8*1000)</f>
        <v>38.436173431468198</v>
      </c>
      <c r="V92" s="87">
        <f>IF(TrRoad_act!V8=0,0,V24/TrRoad_act!V8*1000)</f>
        <v>44.247102410331721</v>
      </c>
      <c r="W92" s="87">
        <f>IF(TrRoad_act!W8=0,0,W24/TrRoad_act!W8*1000)</f>
        <v>45.053805770046566</v>
      </c>
      <c r="X92" s="87">
        <f>IF(TrRoad_act!X8=0,0,X24/TrRoad_act!X8*1000)</f>
        <v>44.270216014154379</v>
      </c>
      <c r="Y92" s="87">
        <f>IF(TrRoad_act!Y8=0,0,Y24/TrRoad_act!Y8*1000)</f>
        <v>42.997849801571412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34.039197063929137</v>
      </c>
      <c r="I93" s="87">
        <f>IF(TrRoad_act!I9=0,0,I26/TrRoad_act!I9*1000)</f>
        <v>38.568437276616734</v>
      </c>
      <c r="J93" s="87">
        <f>IF(TrRoad_act!J9=0,0,J26/TrRoad_act!J9*1000)</f>
        <v>38.102762968006871</v>
      </c>
      <c r="K93" s="87">
        <f>IF(TrRoad_act!K9=0,0,K26/TrRoad_act!K9*1000)</f>
        <v>40.553391179201824</v>
      </c>
      <c r="L93" s="87">
        <f>IF(TrRoad_act!L9=0,0,L26/TrRoad_act!L9*1000)</f>
        <v>44.592248743977571</v>
      </c>
      <c r="M93" s="87">
        <f>IF(TrRoad_act!M9=0,0,M26/TrRoad_act!M9*1000)</f>
        <v>47.926093407585554</v>
      </c>
      <c r="N93" s="87">
        <f>IF(TrRoad_act!N9=0,0,N26/TrRoad_act!N9*1000)</f>
        <v>50.073537607997572</v>
      </c>
      <c r="O93" s="87">
        <f>IF(TrRoad_act!O9=0,0,O26/TrRoad_act!O9*1000)</f>
        <v>49.116754382034308</v>
      </c>
      <c r="P93" s="87">
        <f>IF(TrRoad_act!P9=0,0,P26/TrRoad_act!P9*1000)</f>
        <v>49.297925630676552</v>
      </c>
      <c r="Q93" s="87">
        <f>IF(TrRoad_act!Q9=0,0,Q26/TrRoad_act!Q9*1000)</f>
        <v>52.286308472924404</v>
      </c>
      <c r="R93" s="87">
        <f>IF(TrRoad_act!R9=0,0,R26/TrRoad_act!R9*1000)</f>
        <v>51.205314879448082</v>
      </c>
      <c r="S93" s="87">
        <f>IF(TrRoad_act!S9=0,0,S26/TrRoad_act!S9*1000)</f>
        <v>47.258246041304723</v>
      </c>
      <c r="T93" s="87">
        <f>IF(TrRoad_act!T9=0,0,T26/TrRoad_act!T9*1000)</f>
        <v>45.83771645751321</v>
      </c>
      <c r="U93" s="87">
        <f>IF(TrRoad_act!U9=0,0,U26/TrRoad_act!U9*1000)</f>
        <v>43.061428948450981</v>
      </c>
      <c r="V93" s="87">
        <f>IF(TrRoad_act!V9=0,0,V26/TrRoad_act!V9*1000)</f>
        <v>38.796533485000126</v>
      </c>
      <c r="W93" s="87">
        <f>IF(TrRoad_act!W9=0,0,W26/TrRoad_act!W9*1000)</f>
        <v>64.62310443577347</v>
      </c>
      <c r="X93" s="87">
        <f>IF(TrRoad_act!X9=0,0,X26/TrRoad_act!X9*1000)</f>
        <v>38.805453555563197</v>
      </c>
      <c r="Y93" s="87">
        <f>IF(TrRoad_act!Y9=0,0,Y26/TrRoad_act!Y9*1000)</f>
        <v>34.074776719837736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37.564485108998049</v>
      </c>
      <c r="O94" s="87">
        <f>IF(TrRoad_act!O10=0,0,O27/TrRoad_act!O10*1000)</f>
        <v>37.956913883732931</v>
      </c>
      <c r="P94" s="87">
        <f>IF(TrRoad_act!P10=0,0,P27/TrRoad_act!P10*1000)</f>
        <v>35.934007750753764</v>
      </c>
      <c r="Q94" s="87">
        <f>IF(TrRoad_act!Q10=0,0,Q27/TrRoad_act!Q10*1000)</f>
        <v>34.219325541663714</v>
      </c>
      <c r="R94" s="87">
        <f>IF(TrRoad_act!R10=0,0,R27/TrRoad_act!R10*1000)</f>
        <v>33.694234356686138</v>
      </c>
      <c r="S94" s="87">
        <f>IF(TrRoad_act!S10=0,0,S27/TrRoad_act!S10*1000)</f>
        <v>34.157209240469484</v>
      </c>
      <c r="T94" s="87">
        <f>IF(TrRoad_act!T10=0,0,T27/TrRoad_act!T10*1000)</f>
        <v>35.279491651325046</v>
      </c>
      <c r="U94" s="87">
        <f>IF(TrRoad_act!U10=0,0,U27/TrRoad_act!U10*1000)</f>
        <v>35.710374094972529</v>
      </c>
      <c r="V94" s="87">
        <f>IF(TrRoad_act!V10=0,0,V27/TrRoad_act!V10*1000)</f>
        <v>41.664488369860891</v>
      </c>
      <c r="W94" s="87">
        <f>IF(TrRoad_act!W10=0,0,W27/TrRoad_act!W10*1000)</f>
        <v>42.154658019816701</v>
      </c>
      <c r="X94" s="87">
        <f>IF(TrRoad_act!X10=0,0,X27/TrRoad_act!X10*1000)</f>
        <v>41.457471885529806</v>
      </c>
      <c r="Y94" s="87">
        <f>IF(TrRoad_act!Y10=0,0,Y27/TrRoad_act!Y10*1000)</f>
        <v>41.102091669769081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16.03603867513274</v>
      </c>
      <c r="P95" s="87">
        <f>IF(TrRoad_act!P11=0,0,P29/TrRoad_act!P11*1000)</f>
        <v>16.517845755286356</v>
      </c>
      <c r="Q95" s="87">
        <f>IF(TrRoad_act!Q11=0,0,Q29/TrRoad_act!Q11*1000)</f>
        <v>16.035182814351558</v>
      </c>
      <c r="R95" s="87">
        <f>IF(TrRoad_act!R11=0,0,R29/TrRoad_act!R11*1000)</f>
        <v>18.099671445808102</v>
      </c>
      <c r="S95" s="87">
        <f>IF(TrRoad_act!S11=0,0,S29/TrRoad_act!S11*1000)</f>
        <v>22.42753322909687</v>
      </c>
      <c r="T95" s="87">
        <f>IF(TrRoad_act!T11=0,0,T29/TrRoad_act!T11*1000)</f>
        <v>24.260516687871437</v>
      </c>
      <c r="U95" s="87">
        <f>IF(TrRoad_act!U11=0,0,U29/TrRoad_act!U11*1000)</f>
        <v>24.005090663439773</v>
      </c>
      <c r="V95" s="87">
        <f>IF(TrRoad_act!V11=0,0,V29/TrRoad_act!V11*1000)</f>
        <v>28.570351850893243</v>
      </c>
      <c r="W95" s="87">
        <f>IF(TrRoad_act!W11=0,0,W29/TrRoad_act!W11*1000)</f>
        <v>28.232861267966655</v>
      </c>
      <c r="X95" s="87">
        <f>IF(TrRoad_act!X11=0,0,X29/TrRoad_act!X11*1000)</f>
        <v>28.450771297962365</v>
      </c>
      <c r="Y95" s="87">
        <f>IF(TrRoad_act!Y11=0,0,Y29/TrRoad_act!Y11*1000)</f>
        <v>27.281754081846614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12.300727075947588</v>
      </c>
      <c r="N96" s="87">
        <f>IF(TrRoad_act!N12=0,0,N32/TrRoad_act!N12*1000)</f>
        <v>11.8775292074695</v>
      </c>
      <c r="O96" s="87">
        <f>IF(TrRoad_act!O12=0,0,O32/TrRoad_act!O12*1000)</f>
        <v>12.068478607767011</v>
      </c>
      <c r="P96" s="87">
        <f>IF(TrRoad_act!P12=0,0,P32/TrRoad_act!P12*1000)</f>
        <v>11.332233026641839</v>
      </c>
      <c r="Q96" s="87">
        <f>IF(TrRoad_act!Q12=0,0,Q32/TrRoad_act!Q12*1000)</f>
        <v>10.432749153108166</v>
      </c>
      <c r="R96" s="87">
        <f>IF(TrRoad_act!R12=0,0,R32/TrRoad_act!R12*1000)</f>
        <v>9.945858890432671</v>
      </c>
      <c r="S96" s="87">
        <f>IF(TrRoad_act!S12=0,0,S32/TrRoad_act!S12*1000)</f>
        <v>9.8318006123790163</v>
      </c>
      <c r="T96" s="87">
        <f>IF(TrRoad_act!T12=0,0,T32/TrRoad_act!T12*1000)</f>
        <v>9.989163632273959</v>
      </c>
      <c r="U96" s="87">
        <f>IF(TrRoad_act!U12=0,0,U32/TrRoad_act!U12*1000)</f>
        <v>10.961760180909485</v>
      </c>
      <c r="V96" s="87">
        <f>IF(TrRoad_act!V12=0,0,V32/TrRoad_act!V12*1000)</f>
        <v>13.738608381511874</v>
      </c>
      <c r="W96" s="87">
        <f>IF(TrRoad_act!W12=0,0,W32/TrRoad_act!W12*1000)</f>
        <v>14.342775889125329</v>
      </c>
      <c r="X96" s="87">
        <f>IF(TrRoad_act!X12=0,0,X32/TrRoad_act!X12*1000)</f>
        <v>14.4208480790069</v>
      </c>
      <c r="Y96" s="87">
        <f>IF(TrRoad_act!Y12=0,0,Y32/TrRoad_act!Y12*1000)</f>
        <v>14.548642399383867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22.671545869936466</v>
      </c>
      <c r="C97" s="116">
        <f>IF(TrRoad_act!C13=0,0,C33/TrRoad_act!C13*1000)</f>
        <v>21.340011340010733</v>
      </c>
      <c r="D97" s="116">
        <f>IF(TrRoad_act!D13=0,0,D33/TrRoad_act!D13*1000)</f>
        <v>20.917134872218003</v>
      </c>
      <c r="E97" s="116">
        <f>IF(TrRoad_act!E13=0,0,E33/TrRoad_act!E13*1000)</f>
        <v>19.646375409165564</v>
      </c>
      <c r="F97" s="116">
        <f>IF(TrRoad_act!F13=0,0,F33/TrRoad_act!F13*1000)</f>
        <v>21.477735866562746</v>
      </c>
      <c r="G97" s="116">
        <f>IF(TrRoad_act!G13=0,0,G33/TrRoad_act!G13*1000)</f>
        <v>21.820968881939383</v>
      </c>
      <c r="H97" s="116">
        <f>IF(TrRoad_act!H13=0,0,H33/TrRoad_act!H13*1000)</f>
        <v>21.473841516301807</v>
      </c>
      <c r="I97" s="116">
        <f>IF(TrRoad_act!I13=0,0,I33/TrRoad_act!I13*1000)</f>
        <v>20.941147600181193</v>
      </c>
      <c r="J97" s="116">
        <f>IF(TrRoad_act!J13=0,0,J33/TrRoad_act!J13*1000)</f>
        <v>21.596978537354548</v>
      </c>
      <c r="K97" s="116">
        <f>IF(TrRoad_act!K13=0,0,K33/TrRoad_act!K13*1000)</f>
        <v>21.552048992089624</v>
      </c>
      <c r="L97" s="116">
        <f>IF(TrRoad_act!L13=0,0,L33/TrRoad_act!L13*1000)</f>
        <v>21.510847421050954</v>
      </c>
      <c r="M97" s="116">
        <f>IF(TrRoad_act!M13=0,0,M33/TrRoad_act!M13*1000)</f>
        <v>21.492694742272626</v>
      </c>
      <c r="N97" s="116">
        <f>IF(TrRoad_act!N13=0,0,N33/TrRoad_act!N13*1000)</f>
        <v>21.434158946036206</v>
      </c>
      <c r="O97" s="116">
        <f>IF(TrRoad_act!O13=0,0,O33/TrRoad_act!O13*1000)</f>
        <v>21.386452023906095</v>
      </c>
      <c r="P97" s="116">
        <f>IF(TrRoad_act!P13=0,0,P33/TrRoad_act!P13*1000)</f>
        <v>20.616623825761415</v>
      </c>
      <c r="Q97" s="116">
        <f>IF(TrRoad_act!Q13=0,0,Q33/TrRoad_act!Q13*1000)</f>
        <v>20.659351032665736</v>
      </c>
      <c r="R97" s="116">
        <f>IF(TrRoad_act!R13=0,0,R33/TrRoad_act!R13*1000)</f>
        <v>19.831524178565672</v>
      </c>
      <c r="S97" s="116">
        <f>IF(TrRoad_act!S13=0,0,S33/TrRoad_act!S13*1000)</f>
        <v>20.263101796644285</v>
      </c>
      <c r="T97" s="116">
        <f>IF(TrRoad_act!T13=0,0,T33/TrRoad_act!T13*1000)</f>
        <v>19.58376805923384</v>
      </c>
      <c r="U97" s="116">
        <f>IF(TrRoad_act!U13=0,0,U33/TrRoad_act!U13*1000)</f>
        <v>20.559644480989267</v>
      </c>
      <c r="V97" s="116">
        <f>IF(TrRoad_act!V13=0,0,V33/TrRoad_act!V13*1000)</f>
        <v>23.863358102812455</v>
      </c>
      <c r="W97" s="116">
        <f>IF(TrRoad_act!W13=0,0,W33/TrRoad_act!W13*1000)</f>
        <v>23.876819882102694</v>
      </c>
      <c r="X97" s="116">
        <f>IF(TrRoad_act!X13=0,0,X33/TrRoad_act!X13*1000)</f>
        <v>20.977392255805853</v>
      </c>
      <c r="Y97" s="116">
        <f>IF(TrRoad_act!Y13=0,0,Y33/TrRoad_act!Y13*1000)</f>
        <v>20.391249642611744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20.408597091210911</v>
      </c>
      <c r="C98" s="101">
        <f>IF(TrRoad_act!C14=0,0,C34/TrRoad_act!C14*1000)</f>
        <v>20.014615977822295</v>
      </c>
      <c r="D98" s="101">
        <f>IF(TrRoad_act!D14=0,0,D34/TrRoad_act!D14*1000)</f>
        <v>19.736149777832843</v>
      </c>
      <c r="E98" s="101">
        <f>IF(TrRoad_act!E14=0,0,E34/TrRoad_act!E14*1000)</f>
        <v>18.669040957736264</v>
      </c>
      <c r="F98" s="101">
        <f>IF(TrRoad_act!F14=0,0,F34/TrRoad_act!F14*1000)</f>
        <v>20.485379134419791</v>
      </c>
      <c r="G98" s="101">
        <f>IF(TrRoad_act!G14=0,0,G34/TrRoad_act!G14*1000)</f>
        <v>20.927659564128188</v>
      </c>
      <c r="H98" s="101">
        <f>IF(TrRoad_act!H14=0,0,H34/TrRoad_act!H14*1000)</f>
        <v>20.659530285269362</v>
      </c>
      <c r="I98" s="101">
        <f>IF(TrRoad_act!I14=0,0,I34/TrRoad_act!I14*1000)</f>
        <v>20.176239322275052</v>
      </c>
      <c r="J98" s="101">
        <f>IF(TrRoad_act!J14=0,0,J34/TrRoad_act!J14*1000)</f>
        <v>20.817262539943361</v>
      </c>
      <c r="K98" s="101">
        <f>IF(TrRoad_act!K14=0,0,K34/TrRoad_act!K14*1000)</f>
        <v>20.757619159934162</v>
      </c>
      <c r="L98" s="101">
        <f>IF(TrRoad_act!L14=0,0,L34/TrRoad_act!L14*1000)</f>
        <v>20.698614764235526</v>
      </c>
      <c r="M98" s="101">
        <f>IF(TrRoad_act!M14=0,0,M34/TrRoad_act!M14*1000)</f>
        <v>20.577922069880024</v>
      </c>
      <c r="N98" s="101">
        <f>IF(TrRoad_act!N14=0,0,N34/TrRoad_act!N14*1000)</f>
        <v>20.498455361333946</v>
      </c>
      <c r="O98" s="101">
        <f>IF(TrRoad_act!O14=0,0,O34/TrRoad_act!O14*1000)</f>
        <v>18.671917662331165</v>
      </c>
      <c r="P98" s="101">
        <f>IF(TrRoad_act!P14=0,0,P34/TrRoad_act!P14*1000)</f>
        <v>18.163332849486928</v>
      </c>
      <c r="Q98" s="101">
        <f>IF(TrRoad_act!Q14=0,0,Q34/TrRoad_act!Q14*1000)</f>
        <v>17.483791622424906</v>
      </c>
      <c r="R98" s="101">
        <f>IF(TrRoad_act!R14=0,0,R34/TrRoad_act!R14*1000)</f>
        <v>17.083575686842732</v>
      </c>
      <c r="S98" s="101">
        <f>IF(TrRoad_act!S14=0,0,S34/TrRoad_act!S14*1000)</f>
        <v>17.233501216297984</v>
      </c>
      <c r="T98" s="101">
        <f>IF(TrRoad_act!T14=0,0,T34/TrRoad_act!T14*1000)</f>
        <v>16.665952098558105</v>
      </c>
      <c r="U98" s="101">
        <f>IF(TrRoad_act!U14=0,0,U34/TrRoad_act!U14*1000)</f>
        <v>16.844115398263767</v>
      </c>
      <c r="V98" s="101">
        <f>IF(TrRoad_act!V14=0,0,V34/TrRoad_act!V14*1000)</f>
        <v>19.393660698942735</v>
      </c>
      <c r="W98" s="101">
        <f>IF(TrRoad_act!W14=0,0,W34/TrRoad_act!W14*1000)</f>
        <v>19.364732568469421</v>
      </c>
      <c r="X98" s="101">
        <f>IF(TrRoad_act!X14=0,0,X34/TrRoad_act!X14*1000)</f>
        <v>16.499578742856588</v>
      </c>
      <c r="Y98" s="101">
        <f>IF(TrRoad_act!Y14=0,0,Y34/TrRoad_act!Y14*1000)</f>
        <v>12.366954263626205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22.684733928123727</v>
      </c>
      <c r="C99" s="101">
        <f>IF(TrRoad_act!C15=0,0,C36/TrRoad_act!C15*1000)</f>
        <v>21.347293295592209</v>
      </c>
      <c r="D99" s="101">
        <f>IF(TrRoad_act!D15=0,0,D36/TrRoad_act!D15*1000)</f>
        <v>20.923146413302984</v>
      </c>
      <c r="E99" s="101">
        <f>IF(TrRoad_act!E15=0,0,E36/TrRoad_act!E15*1000)</f>
        <v>19.650772727914607</v>
      </c>
      <c r="F99" s="101">
        <f>IF(TrRoad_act!F15=0,0,F36/TrRoad_act!F15*1000)</f>
        <v>21.481456672293827</v>
      </c>
      <c r="G99" s="101">
        <f>IF(TrRoad_act!G15=0,0,G36/TrRoad_act!G15*1000)</f>
        <v>21.823997518325239</v>
      </c>
      <c r="H99" s="101">
        <f>IF(TrRoad_act!H15=0,0,H36/TrRoad_act!H15*1000)</f>
        <v>21.476272561279419</v>
      </c>
      <c r="I99" s="101">
        <f>IF(TrRoad_act!I15=0,0,I36/TrRoad_act!I15*1000)</f>
        <v>20.943093176168638</v>
      </c>
      <c r="J99" s="101">
        <f>IF(TrRoad_act!J15=0,0,J36/TrRoad_act!J15*1000)</f>
        <v>21.598538695181631</v>
      </c>
      <c r="K99" s="101">
        <f>IF(TrRoad_act!K15=0,0,K36/TrRoad_act!K15*1000)</f>
        <v>21.553372433401986</v>
      </c>
      <c r="L99" s="101">
        <f>IF(TrRoad_act!L15=0,0,L36/TrRoad_act!L15*1000)</f>
        <v>21.511970099400635</v>
      </c>
      <c r="M99" s="101">
        <f>IF(TrRoad_act!M15=0,0,M36/TrRoad_act!M15*1000)</f>
        <v>21.493684192924523</v>
      </c>
      <c r="N99" s="101">
        <f>IF(TrRoad_act!N15=0,0,N36/TrRoad_act!N15*1000)</f>
        <v>21.463349233893492</v>
      </c>
      <c r="O99" s="101">
        <f>IF(TrRoad_act!O15=0,0,O36/TrRoad_act!O15*1000)</f>
        <v>21.432455553704898</v>
      </c>
      <c r="P99" s="101">
        <f>IF(TrRoad_act!P15=0,0,P36/TrRoad_act!P15*1000)</f>
        <v>21.349944081903459</v>
      </c>
      <c r="Q99" s="101">
        <f>IF(TrRoad_act!Q15=0,0,Q36/TrRoad_act!Q15*1000)</f>
        <v>21.188287759992431</v>
      </c>
      <c r="R99" s="101">
        <f>IF(TrRoad_act!R15=0,0,R36/TrRoad_act!R15*1000)</f>
        <v>20.766472689343523</v>
      </c>
      <c r="S99" s="101">
        <f>IF(TrRoad_act!S15=0,0,S36/TrRoad_act!S15*1000)</f>
        <v>20.99676424106897</v>
      </c>
      <c r="T99" s="101">
        <f>IF(TrRoad_act!T15=0,0,T36/TrRoad_act!T15*1000)</f>
        <v>20.311830423619742</v>
      </c>
      <c r="U99" s="101">
        <f>IF(TrRoad_act!U15=0,0,U36/TrRoad_act!U15*1000)</f>
        <v>20.48084884932867</v>
      </c>
      <c r="V99" s="101">
        <f>IF(TrRoad_act!V15=0,0,V36/TrRoad_act!V15*1000)</f>
        <v>23.534104420716492</v>
      </c>
      <c r="W99" s="101">
        <f>IF(TrRoad_act!W15=0,0,W36/TrRoad_act!W15*1000)</f>
        <v>23.140571424438907</v>
      </c>
      <c r="X99" s="101">
        <f>IF(TrRoad_act!X15=0,0,X36/TrRoad_act!X15*1000)</f>
        <v>20.467035218797577</v>
      </c>
      <c r="Y99" s="101">
        <f>IF(TrRoad_act!Y15=0,0,Y36/TrRoad_act!Y15*1000)</f>
        <v>20.038752728941251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0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18.925527679711418</v>
      </c>
      <c r="O101" s="101">
        <f>IF(TrRoad_act!O17=0,0,O39/TrRoad_act!O17*1000)</f>
        <v>18.016798663834656</v>
      </c>
      <c r="P101" s="101">
        <f>IF(TrRoad_act!P17=0,0,P39/TrRoad_act!P17*1000)</f>
        <v>6.1293212248318936</v>
      </c>
      <c r="Q101" s="101">
        <f>IF(TrRoad_act!Q17=0,0,Q39/TrRoad_act!Q17*1000)</f>
        <v>10.669614102826493</v>
      </c>
      <c r="R101" s="101">
        <f>IF(TrRoad_act!R17=0,0,R39/TrRoad_act!R17*1000)</f>
        <v>9.0653048107745633</v>
      </c>
      <c r="S101" s="101">
        <f>IF(TrRoad_act!S17=0,0,S39/TrRoad_act!S17*1000)</f>
        <v>11.077529786872921</v>
      </c>
      <c r="T101" s="101">
        <f>IF(TrRoad_act!T17=0,0,T39/TrRoad_act!T17*1000)</f>
        <v>10.760529744659291</v>
      </c>
      <c r="U101" s="101">
        <f>IF(TrRoad_act!U17=0,0,U39/TrRoad_act!U17*1000)</f>
        <v>22.456293266042792</v>
      </c>
      <c r="V101" s="101">
        <f>IF(TrRoad_act!V17=0,0,V39/TrRoad_act!V17*1000)</f>
        <v>30.235801530959709</v>
      </c>
      <c r="W101" s="101">
        <f>IF(TrRoad_act!W17=0,0,W39/TrRoad_act!W17*1000)</f>
        <v>39.538606632259501</v>
      </c>
      <c r="X101" s="101">
        <f>IF(TrRoad_act!X17=0,0,X39/TrRoad_act!X17*1000)</f>
        <v>32.90081044425753</v>
      </c>
      <c r="Y101" s="101">
        <f>IF(TrRoad_act!Y17=0,0,Y39/TrRoad_act!Y17*1000)</f>
        <v>30.375916239222491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14.487798317345433</v>
      </c>
      <c r="Q102" s="101">
        <f>IF(TrRoad_act!Q18=0,0,Q41/TrRoad_act!Q18*1000)</f>
        <v>14.324277712476844</v>
      </c>
      <c r="R102" s="101">
        <f>IF(TrRoad_act!R18=0,0,R41/TrRoad_act!R18*1000)</f>
        <v>13.973779999875035</v>
      </c>
      <c r="S102" s="101">
        <f>IF(TrRoad_act!S18=0,0,S41/TrRoad_act!S18*1000)</f>
        <v>14.089862987601361</v>
      </c>
      <c r="T102" s="101">
        <f>IF(TrRoad_act!T18=0,0,T41/TrRoad_act!T18*1000)</f>
        <v>13.409783455478493</v>
      </c>
      <c r="U102" s="101">
        <f>IF(TrRoad_act!U18=0,0,U41/TrRoad_act!U18*1000)</f>
        <v>13.122977220160312</v>
      </c>
      <c r="V102" s="101">
        <f>IF(TrRoad_act!V18=0,0,V41/TrRoad_act!V18*1000)</f>
        <v>14.861882142983648</v>
      </c>
      <c r="W102" s="101">
        <f>IF(TrRoad_act!W18=0,0,W41/TrRoad_act!W18*1000)</f>
        <v>14.841532730374372</v>
      </c>
      <c r="X102" s="101">
        <f>IF(TrRoad_act!X18=0,0,X41/TrRoad_act!X18*1000)</f>
        <v>12.866984351462495</v>
      </c>
      <c r="Y102" s="101">
        <f>IF(TrRoad_act!Y18=0,0,Y41/TrRoad_act!Y18*1000)</f>
        <v>12.110259011117755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20.297330904465692</v>
      </c>
      <c r="C103" s="29">
        <f>IF(TrRoad_act!C19=0,0,C42/TrRoad_act!C19*1000)</f>
        <v>28.878321548006522</v>
      </c>
      <c r="D103" s="29">
        <f>IF(TrRoad_act!D19=0,0,D42/TrRoad_act!D19*1000)</f>
        <v>30.225536439846412</v>
      </c>
      <c r="E103" s="29">
        <f>IF(TrRoad_act!E19=0,0,E42/TrRoad_act!E19*1000)</f>
        <v>35.283178438277659</v>
      </c>
      <c r="F103" s="29">
        <f>IF(TrRoad_act!F19=0,0,F42/TrRoad_act!F19*1000)</f>
        <v>43.176888404838174</v>
      </c>
      <c r="G103" s="29">
        <f>IF(TrRoad_act!G19=0,0,G42/TrRoad_act!G19*1000)</f>
        <v>49.358879786550233</v>
      </c>
      <c r="H103" s="29">
        <f>IF(TrRoad_act!H19=0,0,H42/TrRoad_act!H19*1000)</f>
        <v>50.006428983759541</v>
      </c>
      <c r="I103" s="29">
        <f>IF(TrRoad_act!I19=0,0,I42/TrRoad_act!I19*1000)</f>
        <v>67.200824713221266</v>
      </c>
      <c r="J103" s="29">
        <f>IF(TrRoad_act!J19=0,0,J42/TrRoad_act!J19*1000)</f>
        <v>93.939134718735858</v>
      </c>
      <c r="K103" s="29">
        <f>IF(TrRoad_act!K19=0,0,K42/TrRoad_act!K19*1000)</f>
        <v>69.316061527588516</v>
      </c>
      <c r="L103" s="29">
        <f>IF(TrRoad_act!L19=0,0,L42/TrRoad_act!L19*1000)</f>
        <v>74.45406174291044</v>
      </c>
      <c r="M103" s="29">
        <f>IF(TrRoad_act!M19=0,0,M42/TrRoad_act!M19*1000)</f>
        <v>87.362490417836852</v>
      </c>
      <c r="N103" s="29">
        <f>IF(TrRoad_act!N19=0,0,N42/TrRoad_act!N19*1000)</f>
        <v>96.659965980811023</v>
      </c>
      <c r="O103" s="29">
        <f>IF(TrRoad_act!O19=0,0,O42/TrRoad_act!O19*1000)</f>
        <v>88.095129323851495</v>
      </c>
      <c r="P103" s="29">
        <f>IF(TrRoad_act!P19=0,0,P42/TrRoad_act!P19*1000)</f>
        <v>84.563249532659853</v>
      </c>
      <c r="Q103" s="29">
        <f>IF(TrRoad_act!Q19=0,0,Q42/TrRoad_act!Q19*1000)</f>
        <v>76.231643865108055</v>
      </c>
      <c r="R103" s="29">
        <f>IF(TrRoad_act!R19=0,0,R42/TrRoad_act!R19*1000)</f>
        <v>81.799998492340109</v>
      </c>
      <c r="S103" s="29">
        <f>IF(TrRoad_act!S19=0,0,S42/TrRoad_act!S19*1000)</f>
        <v>75.867517733905601</v>
      </c>
      <c r="T103" s="29">
        <f>IF(TrRoad_act!T19=0,0,T42/TrRoad_act!T19*1000)</f>
        <v>75.513949573579595</v>
      </c>
      <c r="U103" s="29">
        <f>IF(TrRoad_act!U19=0,0,U42/TrRoad_act!U19*1000)</f>
        <v>69.528823019623317</v>
      </c>
      <c r="V103" s="29">
        <f>IF(TrRoad_act!V19=0,0,V42/TrRoad_act!V19*1000)</f>
        <v>58.500447389155788</v>
      </c>
      <c r="W103" s="29">
        <f>IF(TrRoad_act!W19=0,0,W42/TrRoad_act!W19*1000)</f>
        <v>67.181419476844198</v>
      </c>
      <c r="X103" s="29">
        <f>IF(TrRoad_act!X19=0,0,X42/TrRoad_act!X19*1000)</f>
        <v>69.953764559371308</v>
      </c>
      <c r="Y103" s="29">
        <f>IF(TrRoad_act!Y19=0,0,Y42/TrRoad_act!Y19*1000)</f>
        <v>51.773187148730997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673.45219723065043</v>
      </c>
      <c r="C104" s="152">
        <f>IF(TrRoad_act!C20=0,0,C43/TrRoad_act!C20*1000)</f>
        <v>660.29153100283349</v>
      </c>
      <c r="D104" s="152">
        <f>IF(TrRoad_act!D20=0,0,D43/TrRoad_act!D20*1000)</f>
        <v>653.39723402812945</v>
      </c>
      <c r="E104" s="152">
        <f>IF(TrRoad_act!E20=0,0,E43/TrRoad_act!E20*1000)</f>
        <v>647.42825226004334</v>
      </c>
      <c r="F104" s="152">
        <f>IF(TrRoad_act!F20=0,0,F43/TrRoad_act!F20*1000)</f>
        <v>646.08559981242433</v>
      </c>
      <c r="G104" s="152">
        <f>IF(TrRoad_act!G20=0,0,G43/TrRoad_act!G20*1000)</f>
        <v>642.63529792413578</v>
      </c>
      <c r="H104" s="152">
        <f>IF(TrRoad_act!H20=0,0,H43/TrRoad_act!H20*1000)</f>
        <v>641.52571680575056</v>
      </c>
      <c r="I104" s="152">
        <f>IF(TrRoad_act!I20=0,0,I43/TrRoad_act!I20*1000)</f>
        <v>640.11257125588907</v>
      </c>
      <c r="J104" s="152">
        <f>IF(TrRoad_act!J20=0,0,J43/TrRoad_act!J20*1000)</f>
        <v>634.93051322914539</v>
      </c>
      <c r="K104" s="152">
        <f>IF(TrRoad_act!K20=0,0,K43/TrRoad_act!K20*1000)</f>
        <v>630.37931763166148</v>
      </c>
      <c r="L104" s="152">
        <f>IF(TrRoad_act!L20=0,0,L43/TrRoad_act!L20*1000)</f>
        <v>627.35238176078997</v>
      </c>
      <c r="M104" s="152">
        <f>IF(TrRoad_act!M20=0,0,M43/TrRoad_act!M20*1000)</f>
        <v>629.41307813556887</v>
      </c>
      <c r="N104" s="152">
        <f>IF(TrRoad_act!N20=0,0,N43/TrRoad_act!N20*1000)</f>
        <v>620.307320875134</v>
      </c>
      <c r="O104" s="152">
        <f>IF(TrRoad_act!O20=0,0,O43/TrRoad_act!O20*1000)</f>
        <v>614.5049939413791</v>
      </c>
      <c r="P104" s="152">
        <f>IF(TrRoad_act!P20=0,0,P43/TrRoad_act!P20*1000)</f>
        <v>610.90734008193726</v>
      </c>
      <c r="Q104" s="152">
        <f>IF(TrRoad_act!Q20=0,0,Q43/TrRoad_act!Q20*1000)</f>
        <v>602.68557843355234</v>
      </c>
      <c r="R104" s="152">
        <f>IF(TrRoad_act!R20=0,0,R43/TrRoad_act!R20*1000)</f>
        <v>590.4169190503161</v>
      </c>
      <c r="S104" s="152">
        <f>IF(TrRoad_act!S20=0,0,S43/TrRoad_act!S20*1000)</f>
        <v>575.38128321049419</v>
      </c>
      <c r="T104" s="152">
        <f>IF(TrRoad_act!T20=0,0,T43/TrRoad_act!T20*1000)</f>
        <v>565.00385223247213</v>
      </c>
      <c r="U104" s="152">
        <f>IF(TrRoad_act!U20=0,0,U43/TrRoad_act!U20*1000)</f>
        <v>557.35011538978938</v>
      </c>
      <c r="V104" s="152">
        <f>IF(TrRoad_act!V20=0,0,V43/TrRoad_act!V20*1000)</f>
        <v>553.60092951663887</v>
      </c>
      <c r="W104" s="152">
        <f>IF(TrRoad_act!W20=0,0,W43/TrRoad_act!W20*1000)</f>
        <v>548.7001435318515</v>
      </c>
      <c r="X104" s="152">
        <f>IF(TrRoad_act!X20=0,0,X43/TrRoad_act!X20*1000)</f>
        <v>545.18518689404925</v>
      </c>
      <c r="Y104" s="152">
        <f>IF(TrRoad_act!Y20=0,0,Y43/TrRoad_act!Y20*1000)</f>
        <v>542.01085642071405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636.72550141429531</v>
      </c>
      <c r="C105" s="87">
        <f>IF(TrRoad_act!C21=0,0,C44/TrRoad_act!C21*1000)</f>
        <v>625.60836641657409</v>
      </c>
      <c r="D105" s="87">
        <f>IF(TrRoad_act!D21=0,0,D44/TrRoad_act!D21*1000)</f>
        <v>621.18249910346492</v>
      </c>
      <c r="E105" s="87">
        <f>IF(TrRoad_act!E21=0,0,E44/TrRoad_act!E21*1000)</f>
        <v>617.26921295675857</v>
      </c>
      <c r="F105" s="87">
        <f>IF(TrRoad_act!F21=0,0,F44/TrRoad_act!F21*1000)</f>
        <v>620.67228849807441</v>
      </c>
      <c r="G105" s="87">
        <f>IF(TrRoad_act!G21=0,0,G44/TrRoad_act!G21*1000)</f>
        <v>618.01420942047673</v>
      </c>
      <c r="H105" s="87">
        <f>IF(TrRoad_act!H21=0,0,H44/TrRoad_act!H21*1000)</f>
        <v>611.94707040925744</v>
      </c>
      <c r="I105" s="87">
        <f>IF(TrRoad_act!I21=0,0,I44/TrRoad_act!I21*1000)</f>
        <v>608.86512509780528</v>
      </c>
      <c r="J105" s="87">
        <f>IF(TrRoad_act!J21=0,0,J44/TrRoad_act!J21*1000)</f>
        <v>597.71085993905751</v>
      </c>
      <c r="K105" s="87">
        <f>IF(TrRoad_act!K21=0,0,K44/TrRoad_act!K21*1000)</f>
        <v>592.60322788677456</v>
      </c>
      <c r="L105" s="87">
        <f>IF(TrRoad_act!L21=0,0,L44/TrRoad_act!L21*1000)</f>
        <v>585.37631740268762</v>
      </c>
      <c r="M105" s="87">
        <f>IF(TrRoad_act!M21=0,0,M44/TrRoad_act!M21*1000)</f>
        <v>582.93322134055393</v>
      </c>
      <c r="N105" s="87">
        <f>IF(TrRoad_act!N21=0,0,N44/TrRoad_act!N21*1000)</f>
        <v>580.06967523624837</v>
      </c>
      <c r="O105" s="87">
        <f>IF(TrRoad_act!O21=0,0,O44/TrRoad_act!O21*1000)</f>
        <v>581.50920479703609</v>
      </c>
      <c r="P105" s="87">
        <f>IF(TrRoad_act!P21=0,0,P44/TrRoad_act!P21*1000)</f>
        <v>580.95388971528234</v>
      </c>
      <c r="Q105" s="87">
        <f>IF(TrRoad_act!Q21=0,0,Q44/TrRoad_act!Q21*1000)</f>
        <v>574.70404007940351</v>
      </c>
      <c r="R105" s="87">
        <f>IF(TrRoad_act!R21=0,0,R44/TrRoad_act!R21*1000)</f>
        <v>563.47511350530431</v>
      </c>
      <c r="S105" s="87">
        <f>IF(TrRoad_act!S21=0,0,S44/TrRoad_act!S21*1000)</f>
        <v>551.58939399335065</v>
      </c>
      <c r="T105" s="87">
        <f>IF(TrRoad_act!T21=0,0,T44/TrRoad_act!T21*1000)</f>
        <v>536.05261954831383</v>
      </c>
      <c r="U105" s="87">
        <f>IF(TrRoad_act!U21=0,0,U44/TrRoad_act!U21*1000)</f>
        <v>529.62452159726161</v>
      </c>
      <c r="V105" s="87">
        <f>IF(TrRoad_act!V21=0,0,V44/TrRoad_act!V21*1000)</f>
        <v>524.74002546593817</v>
      </c>
      <c r="W105" s="87">
        <f>IF(TrRoad_act!W21=0,0,W44/TrRoad_act!W21*1000)</f>
        <v>519.27699393318846</v>
      </c>
      <c r="X105" s="87">
        <f>IF(TrRoad_act!X21=0,0,X44/TrRoad_act!X21*1000)</f>
        <v>515.27067115380407</v>
      </c>
      <c r="Y105" s="87">
        <f>IF(TrRoad_act!Y21=0,0,Y44/TrRoad_act!Y21*1000)</f>
        <v>528.31611257734278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681.3001108538574</v>
      </c>
      <c r="C106" s="87">
        <f>IF(TrRoad_act!C22=0,0,C46/TrRoad_act!C22*1000)</f>
        <v>667.60253612303848</v>
      </c>
      <c r="D106" s="87">
        <f>IF(TrRoad_act!D22=0,0,D46/TrRoad_act!D22*1000)</f>
        <v>659.82316700869228</v>
      </c>
      <c r="E106" s="87">
        <f>IF(TrRoad_act!E22=0,0,E46/TrRoad_act!E22*1000)</f>
        <v>652.86977731171578</v>
      </c>
      <c r="F106" s="87">
        <f>IF(TrRoad_act!F22=0,0,F46/TrRoad_act!F22*1000)</f>
        <v>650.20487000564071</v>
      </c>
      <c r="G106" s="87">
        <f>IF(TrRoad_act!G22=0,0,G46/TrRoad_act!G22*1000)</f>
        <v>646.09907144236718</v>
      </c>
      <c r="H106" s="87">
        <f>IF(TrRoad_act!H22=0,0,H46/TrRoad_act!H22*1000)</f>
        <v>642.87055723080459</v>
      </c>
      <c r="I106" s="87">
        <f>IF(TrRoad_act!I22=0,0,I46/TrRoad_act!I22*1000)</f>
        <v>641.31049799392042</v>
      </c>
      <c r="J106" s="87">
        <f>IF(TrRoad_act!J22=0,0,J46/TrRoad_act!J22*1000)</f>
        <v>635.84877121986563</v>
      </c>
      <c r="K106" s="87">
        <f>IF(TrRoad_act!K22=0,0,K46/TrRoad_act!K22*1000)</f>
        <v>632.47110636346054</v>
      </c>
      <c r="L106" s="87">
        <f>IF(TrRoad_act!L22=0,0,L46/TrRoad_act!L22*1000)</f>
        <v>630.01340680858516</v>
      </c>
      <c r="M106" s="87">
        <f>IF(TrRoad_act!M22=0,0,M46/TrRoad_act!M22*1000)</f>
        <v>632.11257799917053</v>
      </c>
      <c r="N106" s="87">
        <f>IF(TrRoad_act!N22=0,0,N46/TrRoad_act!N22*1000)</f>
        <v>622.39117364236222</v>
      </c>
      <c r="O106" s="87">
        <f>IF(TrRoad_act!O22=0,0,O46/TrRoad_act!O22*1000)</f>
        <v>616.0192444143471</v>
      </c>
      <c r="P106" s="87">
        <f>IF(TrRoad_act!P22=0,0,P46/TrRoad_act!P22*1000)</f>
        <v>610.92694087281825</v>
      </c>
      <c r="Q106" s="87">
        <f>IF(TrRoad_act!Q22=0,0,Q46/TrRoad_act!Q22*1000)</f>
        <v>602.24307752885409</v>
      </c>
      <c r="R106" s="87">
        <f>IF(TrRoad_act!R22=0,0,R46/TrRoad_act!R22*1000)</f>
        <v>590.12016651526244</v>
      </c>
      <c r="S106" s="87">
        <f>IF(TrRoad_act!S22=0,0,S46/TrRoad_act!S22*1000)</f>
        <v>575.67182964516905</v>
      </c>
      <c r="T106" s="87">
        <f>IF(TrRoad_act!T22=0,0,T46/TrRoad_act!T22*1000)</f>
        <v>565.67597320293703</v>
      </c>
      <c r="U106" s="87">
        <f>IF(TrRoad_act!U22=0,0,U46/TrRoad_act!U22*1000)</f>
        <v>558.28073544060987</v>
      </c>
      <c r="V106" s="87">
        <f>IF(TrRoad_act!V22=0,0,V46/TrRoad_act!V22*1000)</f>
        <v>554.68385192818528</v>
      </c>
      <c r="W106" s="87">
        <f>IF(TrRoad_act!W22=0,0,W46/TrRoad_act!W22*1000)</f>
        <v>549.13450972486044</v>
      </c>
      <c r="X106" s="87">
        <f>IF(TrRoad_act!X22=0,0,X46/TrRoad_act!X22*1000)</f>
        <v>546.3507516220468</v>
      </c>
      <c r="Y106" s="87">
        <f>IF(TrRoad_act!Y22=0,0,Y46/TrRoad_act!Y22*1000)</f>
        <v>543.12037340477639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986.10247219562575</v>
      </c>
      <c r="I107" s="87">
        <f>IF(TrRoad_act!I23=0,0,I48/TrRoad_act!I23*1000)</f>
        <v>993.59175097708385</v>
      </c>
      <c r="J107" s="87">
        <f>IF(TrRoad_act!J23=0,0,J48/TrRoad_act!J23*1000)</f>
        <v>962.74438078767707</v>
      </c>
      <c r="K107" s="87">
        <f>IF(TrRoad_act!K23=0,0,K48/TrRoad_act!K23*1000)</f>
        <v>967.13093247083395</v>
      </c>
      <c r="L107" s="87">
        <f>IF(TrRoad_act!L23=0,0,L48/TrRoad_act!L23*1000)</f>
        <v>1043.8418161342709</v>
      </c>
      <c r="M107" s="87">
        <f>IF(TrRoad_act!M23=0,0,M48/TrRoad_act!M23*1000)</f>
        <v>1113.050442474226</v>
      </c>
      <c r="N107" s="87">
        <f>IF(TrRoad_act!N23=0,0,N48/TrRoad_act!N23*1000)</f>
        <v>1144.3550372621858</v>
      </c>
      <c r="O107" s="87">
        <f>IF(TrRoad_act!O23=0,0,O48/TrRoad_act!O23*1000)</f>
        <v>1082.5397148172649</v>
      </c>
      <c r="P107" s="87">
        <f>IF(TrRoad_act!P23=0,0,P48/TrRoad_act!P23*1000)</f>
        <v>1014.4386291361558</v>
      </c>
      <c r="Q107" s="87">
        <f>IF(TrRoad_act!Q23=0,0,Q48/TrRoad_act!Q23*1000)</f>
        <v>1062.1807531885959</v>
      </c>
      <c r="R107" s="87">
        <f>IF(TrRoad_act!R23=0,0,R48/TrRoad_act!R23*1000)</f>
        <v>1051.9853501723151</v>
      </c>
      <c r="S107" s="87">
        <f>IF(TrRoad_act!S23=0,0,S48/TrRoad_act!S23*1000)</f>
        <v>923.63290021956539</v>
      </c>
      <c r="T107" s="87">
        <f>IF(TrRoad_act!T23=0,0,T48/TrRoad_act!T23*1000)</f>
        <v>869.75482882134861</v>
      </c>
      <c r="U107" s="87">
        <f>IF(TrRoad_act!U23=0,0,U48/TrRoad_act!U23*1000)</f>
        <v>768.01228148769826</v>
      </c>
      <c r="V107" s="87">
        <f>IF(TrRoad_act!V23=0,0,V48/TrRoad_act!V23*1000)</f>
        <v>729.1515270948039</v>
      </c>
      <c r="W107" s="87">
        <f>IF(TrRoad_act!W23=0,0,W48/TrRoad_act!W23*1000)</f>
        <v>954.6985183607228</v>
      </c>
      <c r="X107" s="87">
        <f>IF(TrRoad_act!X23=0,0,X48/TrRoad_act!X23*1000)</f>
        <v>717.2926153432461</v>
      </c>
      <c r="Y107" s="87">
        <f>IF(TrRoad_act!Y23=0,0,Y48/TrRoad_act!Y23*1000)</f>
        <v>716.12602961652476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701.55310970179971</v>
      </c>
      <c r="Q108" s="87">
        <f>IF(TrRoad_act!Q24=0,0,Q49/TrRoad_act!Q24*1000)</f>
        <v>742.62172200414716</v>
      </c>
      <c r="R108" s="87">
        <f>IF(TrRoad_act!R24=0,0,R49/TrRoad_act!R24*1000)</f>
        <v>724.70344151241216</v>
      </c>
      <c r="S108" s="87">
        <f>IF(TrRoad_act!S24=0,0,S49/TrRoad_act!S24*1000)</f>
        <v>654.37885744578534</v>
      </c>
      <c r="T108" s="87">
        <f>IF(TrRoad_act!T24=0,0,T49/TrRoad_act!T24*1000)</f>
        <v>633.16303385309322</v>
      </c>
      <c r="U108" s="87">
        <f>IF(TrRoad_act!U24=0,0,U49/TrRoad_act!U24*1000)</f>
        <v>614.65307467992852</v>
      </c>
      <c r="V108" s="87">
        <f>IF(TrRoad_act!V24=0,0,V49/TrRoad_act!V24*1000)</f>
        <v>625.44590304855308</v>
      </c>
      <c r="W108" s="87">
        <f>IF(TrRoad_act!W24=0,0,W49/TrRoad_act!W24*1000)</f>
        <v>637.56804791065849</v>
      </c>
      <c r="X108" s="87">
        <f>IF(TrRoad_act!X24=0,0,X49/TrRoad_act!X24*1000)</f>
        <v>642.36496236458606</v>
      </c>
      <c r="Y108" s="87">
        <f>IF(TrRoad_act!Y24=0,0,Y49/TrRoad_act!Y24*1000)</f>
        <v>644.82260223719561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0</v>
      </c>
      <c r="P109" s="87">
        <f>IF(TrRoad_act!P25=0,0,P51/TrRoad_act!P25*1000)</f>
        <v>89.664864406572207</v>
      </c>
      <c r="Q109" s="87">
        <f>IF(TrRoad_act!Q25=0,0,Q51/TrRoad_act!Q25*1000)</f>
        <v>93.695680930149862</v>
      </c>
      <c r="R109" s="87">
        <f>IF(TrRoad_act!R25=0,0,R51/TrRoad_act!R25*1000)</f>
        <v>95.759713964345934</v>
      </c>
      <c r="S109" s="87">
        <f>IF(TrRoad_act!S25=0,0,S51/TrRoad_act!S25*1000)</f>
        <v>97.331447424123525</v>
      </c>
      <c r="T109" s="87">
        <f>IF(TrRoad_act!T25=0,0,T51/TrRoad_act!T25*1000)</f>
        <v>98.553930169555812</v>
      </c>
      <c r="U109" s="87">
        <f>IF(TrRoad_act!U25=0,0,U51/TrRoad_act!U25*1000)</f>
        <v>99.648805471321467</v>
      </c>
      <c r="V109" s="87">
        <f>IF(TrRoad_act!V25=0,0,V51/TrRoad_act!V25*1000)</f>
        <v>101.92205077299738</v>
      </c>
      <c r="W109" s="87">
        <f>IF(TrRoad_act!W25=0,0,W51/TrRoad_act!W25*1000)</f>
        <v>110.22163529924268</v>
      </c>
      <c r="X109" s="87">
        <f>IF(TrRoad_act!X25=0,0,X51/TrRoad_act!X25*1000)</f>
        <v>129.14189237716988</v>
      </c>
      <c r="Y109" s="87">
        <f>IF(TrRoad_act!Y25=0,0,Y51/TrRoad_act!Y25*1000)</f>
        <v>135.67528824708066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13.0353351246057</v>
      </c>
      <c r="C110" s="116">
        <f>IF(TrRoad_act!C26=0,0,C52/TrRoad_act!C26*1000)</f>
        <v>21.750729143229169</v>
      </c>
      <c r="D110" s="116">
        <f>IF(TrRoad_act!D26=0,0,D52/TrRoad_act!D26*1000)</f>
        <v>22.885099456283779</v>
      </c>
      <c r="E110" s="116">
        <f>IF(TrRoad_act!E26=0,0,E52/TrRoad_act!E26*1000)</f>
        <v>27.564880624773849</v>
      </c>
      <c r="F110" s="116">
        <f>IF(TrRoad_act!F26=0,0,F52/TrRoad_act!F26*1000)</f>
        <v>35.723590812196321</v>
      </c>
      <c r="G110" s="116">
        <f>IF(TrRoad_act!G26=0,0,G52/TrRoad_act!G26*1000)</f>
        <v>41.54601082615563</v>
      </c>
      <c r="H110" s="116">
        <f>IF(TrRoad_act!H26=0,0,H52/TrRoad_act!H26*1000)</f>
        <v>42.249064668760624</v>
      </c>
      <c r="I110" s="116">
        <f>IF(TrRoad_act!I26=0,0,I52/TrRoad_act!I26*1000)</f>
        <v>58.968812256983554</v>
      </c>
      <c r="J110" s="116">
        <f>IF(TrRoad_act!J26=0,0,J52/TrRoad_act!J26*1000)</f>
        <v>85.21893804497175</v>
      </c>
      <c r="K110" s="116">
        <f>IF(TrRoad_act!K26=0,0,K52/TrRoad_act!K26*1000)</f>
        <v>58.358780026460835</v>
      </c>
      <c r="L110" s="116">
        <f>IF(TrRoad_act!L26=0,0,L52/TrRoad_act!L26*1000)</f>
        <v>63.416906313345457</v>
      </c>
      <c r="M110" s="116">
        <f>IF(TrRoad_act!M26=0,0,M52/TrRoad_act!M26*1000)</f>
        <v>76.004254173554784</v>
      </c>
      <c r="N110" s="116">
        <f>IF(TrRoad_act!N26=0,0,N52/TrRoad_act!N26*1000)</f>
        <v>85.133150381374065</v>
      </c>
      <c r="O110" s="116">
        <f>IF(TrRoad_act!O26=0,0,O52/TrRoad_act!O26*1000)</f>
        <v>76.117220986309619</v>
      </c>
      <c r="P110" s="116">
        <f>IF(TrRoad_act!P26=0,0,P52/TrRoad_act!P26*1000)</f>
        <v>72.239333652030439</v>
      </c>
      <c r="Q110" s="116">
        <f>IF(TrRoad_act!Q26=0,0,Q52/TrRoad_act!Q26*1000)</f>
        <v>63.832225560825506</v>
      </c>
      <c r="R110" s="116">
        <f>IF(TrRoad_act!R26=0,0,R52/TrRoad_act!R26*1000)</f>
        <v>70.065309756096426</v>
      </c>
      <c r="S110" s="116">
        <f>IF(TrRoad_act!S26=0,0,S52/TrRoad_act!S26*1000)</f>
        <v>64.508284639132512</v>
      </c>
      <c r="T110" s="116">
        <f>IF(TrRoad_act!T26=0,0,T52/TrRoad_act!T26*1000)</f>
        <v>63.660915752480435</v>
      </c>
      <c r="U110" s="116">
        <f>IF(TrRoad_act!U26=0,0,U52/TrRoad_act!U26*1000)</f>
        <v>57.080485071209822</v>
      </c>
      <c r="V110" s="116">
        <f>IF(TrRoad_act!V26=0,0,V52/TrRoad_act!V26*1000)</f>
        <v>44.418713211081801</v>
      </c>
      <c r="W110" s="116">
        <f>IF(TrRoad_act!W26=0,0,W52/TrRoad_act!W26*1000)</f>
        <v>53.914564526096107</v>
      </c>
      <c r="X110" s="116">
        <f>IF(TrRoad_act!X26=0,0,X52/TrRoad_act!X26*1000)</f>
        <v>56.764046430660827</v>
      </c>
      <c r="Y110" s="116">
        <f>IF(TrRoad_act!Y26=0,0,Y52/TrRoad_act!Y26*1000)</f>
        <v>38.244928602334035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35.594485541904156</v>
      </c>
      <c r="C111" s="101">
        <f>IF(TrRoad_act!C27=0,0,C53/TrRoad_act!C27*1000)</f>
        <v>37.16474305239462</v>
      </c>
      <c r="D111" s="101">
        <f>IF(TrRoad_act!D27=0,0,D53/TrRoad_act!D27*1000)</f>
        <v>43.083216419126572</v>
      </c>
      <c r="E111" s="101">
        <f>IF(TrRoad_act!E27=0,0,E53/TrRoad_act!E27*1000)</f>
        <v>45.93767855776035</v>
      </c>
      <c r="F111" s="101">
        <f>IF(TrRoad_act!F27=0,0,F53/TrRoad_act!F27*1000)</f>
        <v>54.275468573934752</v>
      </c>
      <c r="G111" s="101">
        <f>IF(TrRoad_act!G27=0,0,G53/TrRoad_act!G27*1000)</f>
        <v>55.170938847658412</v>
      </c>
      <c r="H111" s="101">
        <f>IF(TrRoad_act!H27=0,0,H53/TrRoad_act!H27*1000)</f>
        <v>53.658030508070475</v>
      </c>
      <c r="I111" s="101">
        <f>IF(TrRoad_act!I27=0,0,I53/TrRoad_act!I27*1000)</f>
        <v>54.88723717860757</v>
      </c>
      <c r="J111" s="101">
        <f>IF(TrRoad_act!J27=0,0,J53/TrRoad_act!J27*1000)</f>
        <v>59.35610900907642</v>
      </c>
      <c r="K111" s="101">
        <f>IF(TrRoad_act!K27=0,0,K53/TrRoad_act!K27*1000)</f>
        <v>53.437702622427679</v>
      </c>
      <c r="L111" s="101">
        <f>IF(TrRoad_act!L27=0,0,L53/TrRoad_act!L27*1000)</f>
        <v>55.289139544163746</v>
      </c>
      <c r="M111" s="101">
        <f>IF(TrRoad_act!M27=0,0,M53/TrRoad_act!M27*1000)</f>
        <v>57.25118983597703</v>
      </c>
      <c r="N111" s="101">
        <f>IF(TrRoad_act!N27=0,0,N53/TrRoad_act!N27*1000)</f>
        <v>62.753218574242794</v>
      </c>
      <c r="O111" s="101">
        <f>IF(TrRoad_act!O27=0,0,O53/TrRoad_act!O27*1000)</f>
        <v>56.505907852415362</v>
      </c>
      <c r="P111" s="101">
        <f>IF(TrRoad_act!P27=0,0,P53/TrRoad_act!P27*1000)</f>
        <v>55.005668627252</v>
      </c>
      <c r="Q111" s="101">
        <f>IF(TrRoad_act!Q27=0,0,Q53/TrRoad_act!Q27*1000)</f>
        <v>51.340272798637969</v>
      </c>
      <c r="R111" s="101">
        <f>IF(TrRoad_act!R27=0,0,R53/TrRoad_act!R27*1000)</f>
        <v>51.696147397507197</v>
      </c>
      <c r="S111" s="101">
        <f>IF(TrRoad_act!S27=0,0,S53/TrRoad_act!S27*1000)</f>
        <v>50.093264895849956</v>
      </c>
      <c r="T111" s="101">
        <f>IF(TrRoad_act!T27=0,0,T53/TrRoad_act!T27*1000)</f>
        <v>48.858792709897493</v>
      </c>
      <c r="U111" s="101">
        <f>IF(TrRoad_act!U27=0,0,U53/TrRoad_act!U27*1000)</f>
        <v>47.852454292696066</v>
      </c>
      <c r="V111" s="101">
        <f>IF(TrRoad_act!V27=0,0,V53/TrRoad_act!V27*1000)</f>
        <v>43.986527544474221</v>
      </c>
      <c r="W111" s="101">
        <f>IF(TrRoad_act!W27=0,0,W53/TrRoad_act!W27*1000)</f>
        <v>46.529148764158585</v>
      </c>
      <c r="X111" s="101">
        <f>IF(TrRoad_act!X27=0,0,X53/TrRoad_act!X27*1000)</f>
        <v>46.737186365640355</v>
      </c>
      <c r="Y111" s="101">
        <f>IF(TrRoad_act!Y27=0,0,Y53/TrRoad_act!Y27*1000)</f>
        <v>38.162470929639021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1.0268352139355288</v>
      </c>
      <c r="C112" s="88">
        <f>IF(TrRoad_act!C28=0,0,C55/TrRoad_act!C28*1000)</f>
        <v>13.982247840539941</v>
      </c>
      <c r="D112" s="88">
        <f>IF(TrRoad_act!D28=0,0,D55/TrRoad_act!D28*1000)</f>
        <v>13.182494282836046</v>
      </c>
      <c r="E112" s="88">
        <f>IF(TrRoad_act!E28=0,0,E55/TrRoad_act!E28*1000)</f>
        <v>18.655657378224266</v>
      </c>
      <c r="F112" s="88">
        <f>IF(TrRoad_act!F28=0,0,F55/TrRoad_act!F28*1000)</f>
        <v>26.916607738075403</v>
      </c>
      <c r="G112" s="88">
        <f>IF(TrRoad_act!G28=0,0,G55/TrRoad_act!G28*1000)</f>
        <v>35.042487908784729</v>
      </c>
      <c r="H112" s="88">
        <f>IF(TrRoad_act!H28=0,0,H55/TrRoad_act!H28*1000)</f>
        <v>37.738046362141255</v>
      </c>
      <c r="I112" s="88">
        <f>IF(TrRoad_act!I28=0,0,I55/TrRoad_act!I28*1000)</f>
        <v>60.753668232572032</v>
      </c>
      <c r="J112" s="88">
        <f>IF(TrRoad_act!J28=0,0,J55/TrRoad_act!J28*1000)</f>
        <v>96.974323592762772</v>
      </c>
      <c r="K112" s="88">
        <f>IF(TrRoad_act!K28=0,0,K55/TrRoad_act!K28*1000)</f>
        <v>60.582522567035639</v>
      </c>
      <c r="L112" s="88">
        <f>IF(TrRoad_act!L28=0,0,L55/TrRoad_act!L28*1000)</f>
        <v>67.111409486446007</v>
      </c>
      <c r="M112" s="88">
        <f>IF(TrRoad_act!M28=0,0,M55/TrRoad_act!M28*1000)</f>
        <v>83.985357752587518</v>
      </c>
      <c r="N112" s="88">
        <f>IF(TrRoad_act!N28=0,0,N55/TrRoad_act!N28*1000)</f>
        <v>93.004254234937932</v>
      </c>
      <c r="O112" s="88">
        <f>IF(TrRoad_act!O28=0,0,O55/TrRoad_act!O28*1000)</f>
        <v>83.192996910936515</v>
      </c>
      <c r="P112" s="88">
        <f>IF(TrRoad_act!P28=0,0,P55/TrRoad_act!P28*1000)</f>
        <v>79.000027772882291</v>
      </c>
      <c r="Q112" s="88">
        <f>IF(TrRoad_act!Q28=0,0,Q55/TrRoad_act!Q28*1000)</f>
        <v>68.377982624630562</v>
      </c>
      <c r="R112" s="88">
        <f>IF(TrRoad_act!R28=0,0,R55/TrRoad_act!R28*1000)</f>
        <v>76.231631371696238</v>
      </c>
      <c r="S112" s="88">
        <f>IF(TrRoad_act!S28=0,0,S55/TrRoad_act!S28*1000)</f>
        <v>69.248320298511018</v>
      </c>
      <c r="T112" s="88">
        <f>IF(TrRoad_act!T28=0,0,T55/TrRoad_act!T28*1000)</f>
        <v>68.29633907064634</v>
      </c>
      <c r="U112" s="88">
        <f>IF(TrRoad_act!U28=0,0,U55/TrRoad_act!U28*1000)</f>
        <v>59.999930670778035</v>
      </c>
      <c r="V112" s="88">
        <f>IF(TrRoad_act!V28=0,0,V55/TrRoad_act!V28*1000)</f>
        <v>44.565726128475973</v>
      </c>
      <c r="W112" s="88">
        <f>IF(TrRoad_act!W28=0,0,W55/TrRoad_act!W28*1000)</f>
        <v>56.400584257983276</v>
      </c>
      <c r="X112" s="88">
        <f>IF(TrRoad_act!X28=0,0,X55/TrRoad_act!X28*1000)</f>
        <v>60.159686244237022</v>
      </c>
      <c r="Y112" s="88">
        <f>IF(TrRoad_act!Y28=0,0,Y55/TrRoad_act!Y28*1000)</f>
        <v>38.278508012240202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84.334599025309487</v>
      </c>
      <c r="C116" s="152">
        <f>IF(C19=0,0,1000000*C19/TrRoad_act!C59)</f>
        <v>77.135594228116474</v>
      </c>
      <c r="D116" s="152">
        <f>IF(D19=0,0,1000000*D19/TrRoad_act!D59)</f>
        <v>75.035443409042927</v>
      </c>
      <c r="E116" s="152">
        <f>IF(E19=0,0,1000000*E19/TrRoad_act!E59)</f>
        <v>87.338939196323153</v>
      </c>
      <c r="F116" s="152">
        <f>IF(F19=0,0,1000000*F19/TrRoad_act!F59)</f>
        <v>94.560457808285605</v>
      </c>
      <c r="G116" s="152">
        <f>IF(G19=0,0,1000000*G19/TrRoad_act!G59)</f>
        <v>100.01972059805865</v>
      </c>
      <c r="H116" s="152">
        <f>IF(H19=0,0,1000000*H19/TrRoad_act!H59)</f>
        <v>102.29521087215092</v>
      </c>
      <c r="I116" s="152">
        <f>IF(I19=0,0,1000000*I19/TrRoad_act!I59)</f>
        <v>84.312775463481415</v>
      </c>
      <c r="J116" s="152">
        <f>IF(J19=0,0,1000000*J19/TrRoad_act!J59)</f>
        <v>78.634400015025008</v>
      </c>
      <c r="K116" s="152">
        <f>IF(K19=0,0,1000000*K19/TrRoad_act!K59)</f>
        <v>77.812001872377891</v>
      </c>
      <c r="L116" s="152">
        <f>IF(L19=0,0,1000000*L19/TrRoad_act!L59)</f>
        <v>92.523608529715659</v>
      </c>
      <c r="M116" s="152">
        <f>IF(M19=0,0,1000000*M19/TrRoad_act!M59)</f>
        <v>106.63536765991869</v>
      </c>
      <c r="N116" s="152">
        <f>IF(N19=0,0,1000000*N19/TrRoad_act!N59)</f>
        <v>96.156778297756517</v>
      </c>
      <c r="O116" s="152">
        <f>IF(O19=0,0,1000000*O19/TrRoad_act!O59)</f>
        <v>85.360134813824629</v>
      </c>
      <c r="P116" s="152">
        <f>IF(P19=0,0,1000000*P19/TrRoad_act!P59)</f>
        <v>83.940363365113214</v>
      </c>
      <c r="Q116" s="152">
        <f>IF(Q19=0,0,1000000*Q19/TrRoad_act!Q59)</f>
        <v>84.943935943869789</v>
      </c>
      <c r="R116" s="152">
        <f>IF(R19=0,0,1000000*R19/TrRoad_act!R59)</f>
        <v>84.414426458966744</v>
      </c>
      <c r="S116" s="152">
        <f>IF(S19=0,0,1000000*S19/TrRoad_act!S59)</f>
        <v>68.016705913829469</v>
      </c>
      <c r="T116" s="152">
        <f>IF(T19=0,0,1000000*T19/TrRoad_act!T59)</f>
        <v>61.672048190955799</v>
      </c>
      <c r="U116" s="152">
        <f>IF(U19=0,0,1000000*U19/TrRoad_act!U59)</f>
        <v>62.643688761913346</v>
      </c>
      <c r="V116" s="152">
        <f>IF(V19=0,0,1000000*V19/TrRoad_act!V59)</f>
        <v>54.091303819620151</v>
      </c>
      <c r="W116" s="152">
        <f>IF(W19=0,0,1000000*W19/TrRoad_act!W59)</f>
        <v>53.937557058756319</v>
      </c>
      <c r="X116" s="152">
        <f>IF(X19=0,0,1000000*X19/TrRoad_act!X59)</f>
        <v>51.621270460828597</v>
      </c>
      <c r="Y116" s="152">
        <f>IF(Y19=0,0,1000000*Y19/TrRoad_act!Y59)</f>
        <v>52.693152542822922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1080.9440516718562</v>
      </c>
      <c r="C117" s="116">
        <f>IF(C21=0,0,1000000*C21/TrRoad_act!C60)</f>
        <v>1064.1663010643533</v>
      </c>
      <c r="D117" s="116">
        <f>IF(D21=0,0,1000000*D21/TrRoad_act!D60)</f>
        <v>1053.4087195190127</v>
      </c>
      <c r="E117" s="116">
        <f>IF(E21=0,0,1000000*E21/TrRoad_act!E60)</f>
        <v>1043.3873321989722</v>
      </c>
      <c r="F117" s="116">
        <f>IF(F21=0,0,1000000*F21/TrRoad_act!F60)</f>
        <v>1002.1874812609211</v>
      </c>
      <c r="G117" s="116">
        <f>IF(G21=0,0,1000000*G21/TrRoad_act!G60)</f>
        <v>984.44660192530523</v>
      </c>
      <c r="H117" s="116">
        <f>IF(H21=0,0,1000000*H21/TrRoad_act!H60)</f>
        <v>988.01025423063334</v>
      </c>
      <c r="I117" s="116">
        <f>IF(I21=0,0,1000000*I21/TrRoad_act!I60)</f>
        <v>1016.2553425907643</v>
      </c>
      <c r="J117" s="116">
        <f>IF(J21=0,0,1000000*J21/TrRoad_act!J60)</f>
        <v>1079.3509165552716</v>
      </c>
      <c r="K117" s="116">
        <f>IF(K21=0,0,1000000*K21/TrRoad_act!K60)</f>
        <v>1042.0746665378217</v>
      </c>
      <c r="L117" s="116">
        <f>IF(L21=0,0,1000000*L21/TrRoad_act!L60)</f>
        <v>1055.3511031758526</v>
      </c>
      <c r="M117" s="116">
        <f>IF(M21=0,0,1000000*M21/TrRoad_act!M60)</f>
        <v>1056.6285972676023</v>
      </c>
      <c r="N117" s="116">
        <f>IF(N21=0,0,1000000*N21/TrRoad_act!N60)</f>
        <v>1027.0563436617733</v>
      </c>
      <c r="O117" s="116">
        <f>IF(O21=0,0,1000000*O21/TrRoad_act!O60)</f>
        <v>997.67668926824911</v>
      </c>
      <c r="P117" s="116">
        <f>IF(P21=0,0,1000000*P21/TrRoad_act!P60)</f>
        <v>988.90899200114393</v>
      </c>
      <c r="Q117" s="116">
        <f>IF(Q21=0,0,1000000*Q21/TrRoad_act!Q60)</f>
        <v>981.5804726165594</v>
      </c>
      <c r="R117" s="116">
        <f>IF(R21=0,0,1000000*R21/TrRoad_act!R60)</f>
        <v>972.45032850974223</v>
      </c>
      <c r="S117" s="116">
        <f>IF(S21=0,0,1000000*S21/TrRoad_act!S60)</f>
        <v>981.48851089155994</v>
      </c>
      <c r="T117" s="116">
        <f>IF(T21=0,0,1000000*T21/TrRoad_act!T60)</f>
        <v>990.84849062711362</v>
      </c>
      <c r="U117" s="116">
        <f>IF(U21=0,0,1000000*U21/TrRoad_act!U60)</f>
        <v>968.8816104245376</v>
      </c>
      <c r="V117" s="116">
        <f>IF(V21=0,0,1000000*V21/TrRoad_act!V60)</f>
        <v>824.66366528728111</v>
      </c>
      <c r="W117" s="116">
        <f>IF(W21=0,0,1000000*W21/TrRoad_act!W60)</f>
        <v>869.57817491309891</v>
      </c>
      <c r="X117" s="116">
        <f>IF(X21=0,0,1000000*X21/TrRoad_act!X60)</f>
        <v>928.86579701008293</v>
      </c>
      <c r="Y117" s="116">
        <f>IF(Y21=0,0,1000000*Y21/TrRoad_act!Y60)</f>
        <v>940.21059215916932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1040.8075781146779</v>
      </c>
      <c r="C118" s="87">
        <f>IF(C22=0,0,1000000*C22/TrRoad_act!C61)</f>
        <v>1020.376381974922</v>
      </c>
      <c r="D118" s="87">
        <f>IF(D22=0,0,1000000*D22/TrRoad_act!D61)</f>
        <v>996.36701108248133</v>
      </c>
      <c r="E118" s="87">
        <f>IF(E22=0,0,1000000*E22/TrRoad_act!E61)</f>
        <v>975.81546910305349</v>
      </c>
      <c r="F118" s="87">
        <f>IF(F22=0,0,1000000*F22/TrRoad_act!F61)</f>
        <v>894.11139599911905</v>
      </c>
      <c r="G118" s="87">
        <f>IF(G22=0,0,1000000*G22/TrRoad_act!G61)</f>
        <v>866.538281289525</v>
      </c>
      <c r="H118" s="87">
        <f>IF(H22=0,0,1000000*H22/TrRoad_act!H61)</f>
        <v>849.70946940587066</v>
      </c>
      <c r="I118" s="87">
        <f>IF(I22=0,0,1000000*I22/TrRoad_act!I61)</f>
        <v>848.02415752521836</v>
      </c>
      <c r="J118" s="87">
        <f>IF(J22=0,0,1000000*J22/TrRoad_act!J61)</f>
        <v>912.55291903273678</v>
      </c>
      <c r="K118" s="87">
        <f>IF(K22=0,0,1000000*K22/TrRoad_act!K61)</f>
        <v>848.74810479724783</v>
      </c>
      <c r="L118" s="87">
        <f>IF(L22=0,0,1000000*L22/TrRoad_act!L61)</f>
        <v>854.57834644786681</v>
      </c>
      <c r="M118" s="87">
        <f>IF(M22=0,0,1000000*M22/TrRoad_act!M61)</f>
        <v>848.8685399410698</v>
      </c>
      <c r="N118" s="87">
        <f>IF(N22=0,0,1000000*N22/TrRoad_act!N61)</f>
        <v>795.54886157750923</v>
      </c>
      <c r="O118" s="87">
        <f>IF(O22=0,0,1000000*O22/TrRoad_act!O61)</f>
        <v>751.67811322847081</v>
      </c>
      <c r="P118" s="87">
        <f>IF(P22=0,0,1000000*P22/TrRoad_act!P61)</f>
        <v>725.51747395344808</v>
      </c>
      <c r="Q118" s="87">
        <f>IF(Q22=0,0,1000000*Q22/TrRoad_act!Q61)</f>
        <v>721.92515760137314</v>
      </c>
      <c r="R118" s="87">
        <f>IF(R22=0,0,1000000*R22/TrRoad_act!R61)</f>
        <v>725.90733909476603</v>
      </c>
      <c r="S118" s="87">
        <f>IF(S22=0,0,1000000*S22/TrRoad_act!S61)</f>
        <v>717.60800271407822</v>
      </c>
      <c r="T118" s="87">
        <f>IF(T22=0,0,1000000*T22/TrRoad_act!T61)</f>
        <v>732.36871135744377</v>
      </c>
      <c r="U118" s="87">
        <f>IF(U22=0,0,1000000*U22/TrRoad_act!U61)</f>
        <v>695.62913170468687</v>
      </c>
      <c r="V118" s="87">
        <f>IF(V22=0,0,1000000*V22/TrRoad_act!V61)</f>
        <v>562.27504842536575</v>
      </c>
      <c r="W118" s="87">
        <f>IF(W22=0,0,1000000*W22/TrRoad_act!W61)</f>
        <v>636.68035157809948</v>
      </c>
      <c r="X118" s="87">
        <f>IF(X22=0,0,1000000*X22/TrRoad_act!X61)</f>
        <v>723.25913210348551</v>
      </c>
      <c r="Y118" s="87">
        <f>IF(Y22=0,0,1000000*Y22/TrRoad_act!Y61)</f>
        <v>752.09453869737854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1364.3638868782475</v>
      </c>
      <c r="C119" s="87">
        <f>IF(C24=0,0,1000000*C24/TrRoad_act!C62)</f>
        <v>1356.0357404853446</v>
      </c>
      <c r="D119" s="87">
        <f>IF(D24=0,0,1000000*D24/TrRoad_act!D62)</f>
        <v>1325.5711498797791</v>
      </c>
      <c r="E119" s="87">
        <f>IF(E24=0,0,1000000*E24/TrRoad_act!E62)</f>
        <v>1370.9460587919925</v>
      </c>
      <c r="F119" s="87">
        <f>IF(F24=0,0,1000000*F24/TrRoad_act!F62)</f>
        <v>1435.0513183816952</v>
      </c>
      <c r="G119" s="87">
        <f>IF(G24=0,0,1000000*G24/TrRoad_act!G62)</f>
        <v>1383.8595797548758</v>
      </c>
      <c r="H119" s="87">
        <f>IF(H24=0,0,1000000*H24/TrRoad_act!H62)</f>
        <v>1392.6716973982468</v>
      </c>
      <c r="I119" s="87">
        <f>IF(I24=0,0,1000000*I24/TrRoad_act!I62)</f>
        <v>1450.02903509207</v>
      </c>
      <c r="J119" s="87">
        <f>IF(J24=0,0,1000000*J24/TrRoad_act!J62)</f>
        <v>1459.6062897608117</v>
      </c>
      <c r="K119" s="87">
        <f>IF(K24=0,0,1000000*K24/TrRoad_act!K62)</f>
        <v>1438.9392599365817</v>
      </c>
      <c r="L119" s="87">
        <f>IF(L24=0,0,1000000*L24/TrRoad_act!L62)</f>
        <v>1428.3767107876834</v>
      </c>
      <c r="M119" s="87">
        <f>IF(M24=0,0,1000000*M24/TrRoad_act!M62)</f>
        <v>1411.5491566798187</v>
      </c>
      <c r="N119" s="87">
        <f>IF(N24=0,0,1000000*N24/TrRoad_act!N62)</f>
        <v>1386.9000595095663</v>
      </c>
      <c r="O119" s="87">
        <f>IF(O24=0,0,1000000*O24/TrRoad_act!O62)</f>
        <v>1348.7950583275683</v>
      </c>
      <c r="P119" s="87">
        <f>IF(P24=0,0,1000000*P24/TrRoad_act!P62)</f>
        <v>1335.5163232102852</v>
      </c>
      <c r="Q119" s="87">
        <f>IF(Q24=0,0,1000000*Q24/TrRoad_act!Q62)</f>
        <v>1297.6756901849612</v>
      </c>
      <c r="R119" s="87">
        <f>IF(R24=0,0,1000000*R24/TrRoad_act!R62)</f>
        <v>1250.8201825540357</v>
      </c>
      <c r="S119" s="87">
        <f>IF(S24=0,0,1000000*S24/TrRoad_act!S62)</f>
        <v>1262.7833143034211</v>
      </c>
      <c r="T119" s="87">
        <f>IF(T24=0,0,1000000*T24/TrRoad_act!T62)</f>
        <v>1253.8463310779719</v>
      </c>
      <c r="U119" s="87">
        <f>IF(U24=0,0,1000000*U24/TrRoad_act!U62)</f>
        <v>1238.2635053218851</v>
      </c>
      <c r="V119" s="87">
        <f>IF(V24=0,0,1000000*V24/TrRoad_act!V62)</f>
        <v>1083.1365436455353</v>
      </c>
      <c r="W119" s="87">
        <f>IF(W24=0,0,1000000*W24/TrRoad_act!W62)</f>
        <v>1088.501852046219</v>
      </c>
      <c r="X119" s="87">
        <f>IF(X24=0,0,1000000*X24/TrRoad_act!X62)</f>
        <v>1138.896891683517</v>
      </c>
      <c r="Y119" s="87">
        <f>IF(Y24=0,0,1000000*Y24/TrRoad_act!Y62)</f>
        <v>1145.6831177535205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1119.5297325390372</v>
      </c>
      <c r="I120" s="87">
        <f>IF(I26=0,0,1000000*I26/TrRoad_act!I63)</f>
        <v>1336.6447865894056</v>
      </c>
      <c r="J120" s="87">
        <f>IF(J26=0,0,1000000*J26/TrRoad_act!J63)</f>
        <v>1304.6100985778937</v>
      </c>
      <c r="K120" s="87">
        <f>IF(K26=0,0,1000000*K26/TrRoad_act!K63)</f>
        <v>1390.8002204714921</v>
      </c>
      <c r="L120" s="87">
        <f>IF(L26=0,0,1000000*L26/TrRoad_act!L63)</f>
        <v>1486.3683368534619</v>
      </c>
      <c r="M120" s="87">
        <f>IF(M26=0,0,1000000*M26/TrRoad_act!M63)</f>
        <v>1559.4555020668774</v>
      </c>
      <c r="N120" s="87">
        <f>IF(N26=0,0,1000000*N26/TrRoad_act!N63)</f>
        <v>1594.1211493181329</v>
      </c>
      <c r="O120" s="87">
        <f>IF(O26=0,0,1000000*O26/TrRoad_act!O63)</f>
        <v>1533.0249396596294</v>
      </c>
      <c r="P120" s="87">
        <f>IF(P26=0,0,1000000*P26/TrRoad_act!P63)</f>
        <v>1544.4712200657857</v>
      </c>
      <c r="Q120" s="87">
        <f>IF(Q26=0,0,1000000*Q26/TrRoad_act!Q63)</f>
        <v>1618.6395555958673</v>
      </c>
      <c r="R120" s="87">
        <f>IF(R26=0,0,1000000*R26/TrRoad_act!R63)</f>
        <v>1550.0610861454188</v>
      </c>
      <c r="S120" s="87">
        <f>IF(S26=0,0,1000000*S26/TrRoad_act!S63)</f>
        <v>1440.5818205677999</v>
      </c>
      <c r="T120" s="87">
        <f>IF(T26=0,0,1000000*T26/TrRoad_act!T63)</f>
        <v>1386.6016712885537</v>
      </c>
      <c r="U120" s="87">
        <f>IF(U26=0,0,1000000*U26/TrRoad_act!U63)</f>
        <v>1292.0114504414373</v>
      </c>
      <c r="V120" s="87">
        <f>IF(V26=0,0,1000000*V26/TrRoad_act!V63)</f>
        <v>786.84639930079368</v>
      </c>
      <c r="W120" s="87">
        <f>IF(W26=0,0,1000000*W26/TrRoad_act!W63)</f>
        <v>1375.4429445552923</v>
      </c>
      <c r="X120" s="87">
        <f>IF(X26=0,0,1000000*X26/TrRoad_act!X63)</f>
        <v>892.17958557579345</v>
      </c>
      <c r="Y120" s="87">
        <f>IF(Y26=0,0,1000000*Y26/TrRoad_act!Y63)</f>
        <v>811.94418125853781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1007.4383185683357</v>
      </c>
      <c r="O121" s="87">
        <f>IF(O27=0,0,1000000*O27/TrRoad_act!O64)</f>
        <v>1018.1801099907723</v>
      </c>
      <c r="P121" s="87">
        <f>IF(P27=0,0,1000000*P27/TrRoad_act!P64)</f>
        <v>987.09094119718497</v>
      </c>
      <c r="Q121" s="87">
        <f>IF(Q27=0,0,1000000*Q27/TrRoad_act!Q64)</f>
        <v>947.5892551702176</v>
      </c>
      <c r="R121" s="87">
        <f>IF(R27=0,0,1000000*R27/TrRoad_act!R64)</f>
        <v>912.38025557159585</v>
      </c>
      <c r="S121" s="87">
        <f>IF(S27=0,0,1000000*S27/TrRoad_act!S64)</f>
        <v>931.38496852290768</v>
      </c>
      <c r="T121" s="87">
        <f>IF(T27=0,0,1000000*T27/TrRoad_act!T64)</f>
        <v>954.63549429034811</v>
      </c>
      <c r="U121" s="87">
        <f>IF(U27=0,0,1000000*U27/TrRoad_act!U64)</f>
        <v>958.42655626795954</v>
      </c>
      <c r="V121" s="87">
        <f>IF(V27=0,0,1000000*V27/TrRoad_act!V64)</f>
        <v>771.14453502793219</v>
      </c>
      <c r="W121" s="87">
        <f>IF(W27=0,0,1000000*W27/TrRoad_act!W64)</f>
        <v>818.7909350497722</v>
      </c>
      <c r="X121" s="87">
        <f>IF(X27=0,0,1000000*X27/TrRoad_act!X64)</f>
        <v>887.40363798190094</v>
      </c>
      <c r="Y121" s="87">
        <f>IF(Y27=0,0,1000000*Y27/TrRoad_act!Y64)</f>
        <v>930.25525025270724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261.14318912917093</v>
      </c>
      <c r="P122" s="87">
        <f>IF(P29=0,0,1000000*P29/TrRoad_act!P65)</f>
        <v>270.00178195771753</v>
      </c>
      <c r="Q122" s="87">
        <f>IF(Q29=0,0,1000000*Q29/TrRoad_act!Q65)</f>
        <v>258.99902759429273</v>
      </c>
      <c r="R122" s="87">
        <f>IF(R29=0,0,1000000*R29/TrRoad_act!R65)</f>
        <v>285.86863850823647</v>
      </c>
      <c r="S122" s="87">
        <f>IF(S29=0,0,1000000*S29/TrRoad_act!S65)</f>
        <v>356.70064042838169</v>
      </c>
      <c r="T122" s="87">
        <f>IF(T29=0,0,1000000*T29/TrRoad_act!T65)</f>
        <v>382.90482674859379</v>
      </c>
      <c r="U122" s="87">
        <f>IF(U29=0,0,1000000*U29/TrRoad_act!U65)</f>
        <v>375.78836130864181</v>
      </c>
      <c r="V122" s="87">
        <f>IF(V29=0,0,1000000*V29/TrRoad_act!V65)</f>
        <v>308.43301316501959</v>
      </c>
      <c r="W122" s="87">
        <f>IF(W29=0,0,1000000*W29/TrRoad_act!W65)</f>
        <v>319.85849193199005</v>
      </c>
      <c r="X122" s="87">
        <f>IF(X29=0,0,1000000*X29/TrRoad_act!X65)</f>
        <v>355.21227914649586</v>
      </c>
      <c r="Y122" s="87">
        <f>IF(Y29=0,0,1000000*Y29/TrRoad_act!Y65)</f>
        <v>360.15216675137077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121.72011948773165</v>
      </c>
      <c r="N123" s="87">
        <f>IF(N32=0,0,1000000*N32/TrRoad_act!N66)</f>
        <v>116.08114295022045</v>
      </c>
      <c r="O123" s="87">
        <f>IF(O32=0,0,1000000*O32/TrRoad_act!O66)</f>
        <v>116.27079525263834</v>
      </c>
      <c r="P123" s="87">
        <f>IF(P32=0,0,1000000*P32/TrRoad_act!P66)</f>
        <v>108.19164295015322</v>
      </c>
      <c r="Q123" s="87">
        <f>IF(Q32=0,0,1000000*Q32/TrRoad_act!Q66)</f>
        <v>98.992376989474224</v>
      </c>
      <c r="R123" s="87">
        <f>IF(R32=0,0,1000000*R32/TrRoad_act!R66)</f>
        <v>95.038606784585397</v>
      </c>
      <c r="S123" s="87">
        <f>IF(S32=0,0,1000000*S32/TrRoad_act!S66)</f>
        <v>91.815361005908585</v>
      </c>
      <c r="T123" s="87">
        <f>IF(T32=0,0,1000000*T32/TrRoad_act!T66)</f>
        <v>91.557865482574627</v>
      </c>
      <c r="U123" s="87">
        <f>IF(U32=0,0,1000000*U32/TrRoad_act!U66)</f>
        <v>98.88931212836934</v>
      </c>
      <c r="V123" s="87">
        <f>IF(V32=0,0,1000000*V32/TrRoad_act!V66)</f>
        <v>89.847743663623589</v>
      </c>
      <c r="W123" s="87">
        <f>IF(W32=0,0,1000000*W32/TrRoad_act!W66)</f>
        <v>106.16243633226941</v>
      </c>
      <c r="X123" s="87">
        <f>IF(X32=0,0,1000000*X32/TrRoad_act!X66)</f>
        <v>108.63827389828201</v>
      </c>
      <c r="Y123" s="87">
        <f>IF(Y32=0,0,1000000*Y32/TrRoad_act!Y66)</f>
        <v>110.72742567675185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42708.850799632863</v>
      </c>
      <c r="C124" s="116">
        <f>IF(C33=0,0,1000000*C33/TrRoad_act!C67)</f>
        <v>39849.564379007388</v>
      </c>
      <c r="D124" s="116">
        <f>IF(D33=0,0,1000000*D33/TrRoad_act!D67)</f>
        <v>38801.2851879644</v>
      </c>
      <c r="E124" s="116">
        <f>IF(E33=0,0,1000000*E33/TrRoad_act!E67)</f>
        <v>37737.686544027049</v>
      </c>
      <c r="F124" s="116">
        <f>IF(F33=0,0,1000000*F33/TrRoad_act!F67)</f>
        <v>36900.883085210313</v>
      </c>
      <c r="G124" s="116">
        <f>IF(G33=0,0,1000000*G33/TrRoad_act!G67)</f>
        <v>35941.800277836679</v>
      </c>
      <c r="H124" s="116">
        <f>IF(H33=0,0,1000000*H33/TrRoad_act!H67)</f>
        <v>35766.903493127887</v>
      </c>
      <c r="I124" s="116">
        <f>IF(I33=0,0,1000000*I33/TrRoad_act!I67)</f>
        <v>35028.238100613322</v>
      </c>
      <c r="J124" s="116">
        <f>IF(J33=0,0,1000000*J33/TrRoad_act!J67)</f>
        <v>34280.572390775691</v>
      </c>
      <c r="K124" s="116">
        <f>IF(K33=0,0,1000000*K33/TrRoad_act!K67)</f>
        <v>34337.16280095635</v>
      </c>
      <c r="L124" s="116">
        <f>IF(L33=0,0,1000000*L33/TrRoad_act!L67)</f>
        <v>34047.253774840974</v>
      </c>
      <c r="M124" s="116">
        <f>IF(M33=0,0,1000000*M33/TrRoad_act!M67)</f>
        <v>34415.290270895792</v>
      </c>
      <c r="N124" s="116">
        <f>IF(N33=0,0,1000000*N33/TrRoad_act!N67)</f>
        <v>34365.114466336578</v>
      </c>
      <c r="O124" s="116">
        <f>IF(O33=0,0,1000000*O33/TrRoad_act!O67)</f>
        <v>34209.057940283696</v>
      </c>
      <c r="P124" s="116">
        <f>IF(P33=0,0,1000000*P33/TrRoad_act!P67)</f>
        <v>32828.521671594004</v>
      </c>
      <c r="Q124" s="116">
        <f>IF(Q33=0,0,1000000*Q33/TrRoad_act!Q67)</f>
        <v>32762.547695943496</v>
      </c>
      <c r="R124" s="116">
        <f>IF(R33=0,0,1000000*R33/TrRoad_act!R67)</f>
        <v>31279.51994182554</v>
      </c>
      <c r="S124" s="116">
        <f>IF(S33=0,0,1000000*S33/TrRoad_act!S67)</f>
        <v>31201.967325212459</v>
      </c>
      <c r="T124" s="116">
        <f>IF(T33=0,0,1000000*T33/TrRoad_act!T67)</f>
        <v>30098.268176928974</v>
      </c>
      <c r="U124" s="116">
        <f>IF(U33=0,0,1000000*U33/TrRoad_act!U67)</f>
        <v>31077.146601065437</v>
      </c>
      <c r="V124" s="116">
        <f>IF(V33=0,0,1000000*V33/TrRoad_act!V67)</f>
        <v>24662.736705183564</v>
      </c>
      <c r="W124" s="116">
        <f>IF(W33=0,0,1000000*W33/TrRoad_act!W67)</f>
        <v>24881.884516962022</v>
      </c>
      <c r="X124" s="116">
        <f>IF(X33=0,0,1000000*X33/TrRoad_act!X67)</f>
        <v>27953.32607500401</v>
      </c>
      <c r="Y124" s="116">
        <f>IF(Y33=0,0,1000000*Y33/TrRoad_act!Y67)</f>
        <v>28511.543096012716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12179.595463779882</v>
      </c>
      <c r="C125" s="101">
        <f>IF(C34=0,0,1000000*C34/TrRoad_act!C68)</f>
        <v>11595.892015623158</v>
      </c>
      <c r="D125" s="101">
        <f>IF(D34=0,0,1000000*D34/TrRoad_act!D68)</f>
        <v>11124.843963820884</v>
      </c>
      <c r="E125" s="101">
        <f>IF(E34=0,0,1000000*E34/TrRoad_act!E68)</f>
        <v>10672.560352656326</v>
      </c>
      <c r="F125" s="101">
        <f>IF(F34=0,0,1000000*F34/TrRoad_act!F68)</f>
        <v>10260.361277139551</v>
      </c>
      <c r="G125" s="101">
        <f>IF(G34=0,0,1000000*G34/TrRoad_act!G68)</f>
        <v>9841.8902251282852</v>
      </c>
      <c r="H125" s="101">
        <f>IF(H34=0,0,1000000*H34/TrRoad_act!H68)</f>
        <v>10139.935560405916</v>
      </c>
      <c r="I125" s="101">
        <f>IF(I34=0,0,1000000*I34/TrRoad_act!I68)</f>
        <v>9740.9469312419387</v>
      </c>
      <c r="J125" s="101">
        <f>IF(J34=0,0,1000000*J34/TrRoad_act!J68)</f>
        <v>9341.5354561854529</v>
      </c>
      <c r="K125" s="101">
        <f>IF(K34=0,0,1000000*K34/TrRoad_act!K68)</f>
        <v>9194.525420188831</v>
      </c>
      <c r="L125" s="101">
        <f>IF(L34=0,0,1000000*L34/TrRoad_act!L68)</f>
        <v>9093.9580837852081</v>
      </c>
      <c r="M125" s="101">
        <f>IF(M34=0,0,1000000*M34/TrRoad_act!M68)</f>
        <v>9016.1888751569441</v>
      </c>
      <c r="N125" s="101">
        <f>IF(N34=0,0,1000000*N34/TrRoad_act!N68)</f>
        <v>8875.9811722101495</v>
      </c>
      <c r="O125" s="101">
        <f>IF(O34=0,0,1000000*O34/TrRoad_act!O68)</f>
        <v>7971.3365473324111</v>
      </c>
      <c r="P125" s="101">
        <f>IF(P34=0,0,1000000*P34/TrRoad_act!P68)</f>
        <v>7637.7850269377595</v>
      </c>
      <c r="Q125" s="101">
        <f>IF(Q34=0,0,1000000*Q34/TrRoad_act!Q68)</f>
        <v>7311.3385624568245</v>
      </c>
      <c r="R125" s="101">
        <f>IF(R34=0,0,1000000*R34/TrRoad_act!R68)</f>
        <v>7237.0658239390077</v>
      </c>
      <c r="S125" s="101">
        <f>IF(S34=0,0,1000000*S34/TrRoad_act!S68)</f>
        <v>6979.4909431078713</v>
      </c>
      <c r="T125" s="101">
        <f>IF(T34=0,0,1000000*T34/TrRoad_act!T68)</f>
        <v>6590.3263820846323</v>
      </c>
      <c r="U125" s="101">
        <f>IF(U34=0,0,1000000*U34/TrRoad_act!U68)</f>
        <v>6418.0231828315109</v>
      </c>
      <c r="V125" s="101">
        <f>IF(V34=0,0,1000000*V34/TrRoad_act!V68)</f>
        <v>4892.4669680761936</v>
      </c>
      <c r="W125" s="101">
        <f>IF(W34=0,0,1000000*W34/TrRoad_act!W68)</f>
        <v>4828.9221797152504</v>
      </c>
      <c r="X125" s="101">
        <f>IF(X34=0,0,1000000*X34/TrRoad_act!X68)</f>
        <v>5190.3138144431259</v>
      </c>
      <c r="Y125" s="101">
        <f>IF(Y34=0,0,1000000*Y34/TrRoad_act!Y68)</f>
        <v>4009.2048744905755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43277.615008629575</v>
      </c>
      <c r="C126" s="101">
        <f>IF(C36=0,0,1000000*C36/TrRoad_act!C69)</f>
        <v>40356.072791124083</v>
      </c>
      <c r="D126" s="101">
        <f>IF(D36=0,0,1000000*D36/TrRoad_act!D69)</f>
        <v>39270.377412102425</v>
      </c>
      <c r="E126" s="101">
        <f>IF(E36=0,0,1000000*E36/TrRoad_act!E69)</f>
        <v>38151.245348309458</v>
      </c>
      <c r="F126" s="101">
        <f>IF(F36=0,0,1000000*F36/TrRoad_act!F69)</f>
        <v>37246.676770117665</v>
      </c>
      <c r="G126" s="101">
        <f>IF(G36=0,0,1000000*G36/TrRoad_act!G69)</f>
        <v>36254.374050923012</v>
      </c>
      <c r="H126" s="101">
        <f>IF(H36=0,0,1000000*H36/TrRoad_act!H69)</f>
        <v>36028.403165910764</v>
      </c>
      <c r="I126" s="101">
        <f>IF(I36=0,0,1000000*I36/TrRoad_act!I69)</f>
        <v>35252.486379110618</v>
      </c>
      <c r="J126" s="101">
        <f>IF(J36=0,0,1000000*J36/TrRoad_act!J69)</f>
        <v>34457.984238887613</v>
      </c>
      <c r="K126" s="101">
        <f>IF(K36=0,0,1000000*K36/TrRoad_act!K69)</f>
        <v>34488.47255450159</v>
      </c>
      <c r="L126" s="101">
        <f>IF(L36=0,0,1000000*L36/TrRoad_act!L69)</f>
        <v>34171.957901233051</v>
      </c>
      <c r="M126" s="101">
        <f>IF(M36=0,0,1000000*M36/TrRoad_act!M69)</f>
        <v>34515.980464734203</v>
      </c>
      <c r="N126" s="101">
        <f>IF(N36=0,0,1000000*N36/TrRoad_act!N69)</f>
        <v>34456.925325619341</v>
      </c>
      <c r="O126" s="101">
        <f>IF(O36=0,0,1000000*O36/TrRoad_act!O69)</f>
        <v>34311.431934428641</v>
      </c>
      <c r="P126" s="101">
        <f>IF(P36=0,0,1000000*P36/TrRoad_act!P69)</f>
        <v>33909.472513469722</v>
      </c>
      <c r="Q126" s="101">
        <f>IF(Q36=0,0,1000000*Q36/TrRoad_act!Q69)</f>
        <v>33497.519546711585</v>
      </c>
      <c r="R126" s="101">
        <f>IF(R36=0,0,1000000*R36/TrRoad_act!R69)</f>
        <v>32616.759428599664</v>
      </c>
      <c r="S126" s="101">
        <f>IF(S36=0,0,1000000*S36/TrRoad_act!S69)</f>
        <v>32256.024665973775</v>
      </c>
      <c r="T126" s="101">
        <f>IF(T36=0,0,1000000*T36/TrRoad_act!T69)</f>
        <v>31194.168328850854</v>
      </c>
      <c r="U126" s="101">
        <f>IF(U36=0,0,1000000*U36/TrRoad_act!U69)</f>
        <v>30933.160836304447</v>
      </c>
      <c r="V126" s="101">
        <f>IF(V36=0,0,1000000*V36/TrRoad_act!V69)</f>
        <v>24294.131956667912</v>
      </c>
      <c r="W126" s="101">
        <f>IF(W36=0,0,1000000*W36/TrRoad_act!W69)</f>
        <v>24057.086721134041</v>
      </c>
      <c r="X126" s="101">
        <f>IF(X36=0,0,1000000*X36/TrRoad_act!X69)</f>
        <v>27184.963515883155</v>
      </c>
      <c r="Y126" s="101">
        <f>IF(Y36=0,0,1000000*Y36/TrRoad_act!Y69)</f>
        <v>28147.484970676178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0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34141.949534717329</v>
      </c>
      <c r="O128" s="101">
        <f>IF(O39=0,0,1000000*O39/TrRoad_act!O71)</f>
        <v>32036.83970457505</v>
      </c>
      <c r="P128" s="101">
        <f>IF(P39=0,0,1000000*P39/TrRoad_act!P71)</f>
        <v>10732.518985039344</v>
      </c>
      <c r="Q128" s="101">
        <f>IF(Q39=0,0,1000000*Q39/TrRoad_act!Q71)</f>
        <v>18574.991166984419</v>
      </c>
      <c r="R128" s="101">
        <f>IF(R39=0,0,1000000*R39/TrRoad_act!R71)</f>
        <v>15360.738280667552</v>
      </c>
      <c r="S128" s="101">
        <f>IF(S39=0,0,1000000*S39/TrRoad_act!S71)</f>
        <v>17943.968785225385</v>
      </c>
      <c r="T128" s="101">
        <f>IF(T39=0,0,1000000*T39/TrRoad_act!T71)</f>
        <v>17018.562612069836</v>
      </c>
      <c r="U128" s="101">
        <f>IF(U39=0,0,1000000*U39/TrRoad_act!U71)</f>
        <v>35617.706179553999</v>
      </c>
      <c r="V128" s="101">
        <f>IF(V39=0,0,1000000*V39/TrRoad_act!V71)</f>
        <v>33052.84709069151</v>
      </c>
      <c r="W128" s="101">
        <f>IF(W39=0,0,1000000*W39/TrRoad_act!W71)</f>
        <v>44463.148066761962</v>
      </c>
      <c r="X128" s="101">
        <f>IF(X39=0,0,1000000*X39/TrRoad_act!X71)</f>
        <v>48568.135731673276</v>
      </c>
      <c r="Y128" s="101">
        <f>IF(Y39=0,0,1000000*Y39/TrRoad_act!Y71)</f>
        <v>48278.372514495713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18235.745314617543</v>
      </c>
      <c r="Q129" s="101">
        <f>IF(Q41=0,0,1000000*Q41/TrRoad_act!Q72)</f>
        <v>18238.067140287574</v>
      </c>
      <c r="R129" s="101">
        <f>IF(R41=0,0,1000000*R41/TrRoad_act!R72)</f>
        <v>18182.664683300605</v>
      </c>
      <c r="S129" s="101">
        <f>IF(S41=0,0,1000000*S41/TrRoad_act!S72)</f>
        <v>18159.480224689276</v>
      </c>
      <c r="T129" s="101">
        <f>IF(T41=0,0,1000000*T41/TrRoad_act!T72)</f>
        <v>17839.396962045164</v>
      </c>
      <c r="U129" s="101">
        <f>IF(U41=0,0,1000000*U41/TrRoad_act!U72)</f>
        <v>17267.556862941947</v>
      </c>
      <c r="V129" s="101">
        <f>IF(V41=0,0,1000000*V41/TrRoad_act!V72)</f>
        <v>14197.208054883171</v>
      </c>
      <c r="W129" s="101">
        <f>IF(W41=0,0,1000000*W41/TrRoad_act!W72)</f>
        <v>16791.262702128217</v>
      </c>
      <c r="X129" s="101">
        <f>IF(X41=0,0,1000000*X41/TrRoad_act!X72)</f>
        <v>16407.09328381158</v>
      </c>
      <c r="Y129" s="101">
        <f>IF(Y41=0,0,1000000*Y41/TrRoad_act!Y72)</f>
        <v>15599.516937722374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1626.7809332251111</v>
      </c>
      <c r="C131" s="152">
        <f>IF(C43=0,0,1000000*C43/TrRoad_act!C74)</f>
        <v>1631.8368974815075</v>
      </c>
      <c r="D131" s="152">
        <f>IF(D43=0,0,1000000*D43/TrRoad_act!D74)</f>
        <v>1642.8855347530991</v>
      </c>
      <c r="E131" s="152">
        <f>IF(E43=0,0,1000000*E43/TrRoad_act!E74)</f>
        <v>1660.9455838385588</v>
      </c>
      <c r="F131" s="152">
        <f>IF(F43=0,0,1000000*F43/TrRoad_act!F74)</f>
        <v>1731.3026309983281</v>
      </c>
      <c r="G131" s="152">
        <f>IF(G43=0,0,1000000*G43/TrRoad_act!G74)</f>
        <v>1754.4508901937324</v>
      </c>
      <c r="H131" s="152">
        <f>IF(H43=0,0,1000000*H43/TrRoad_act!H74)</f>
        <v>1781.6268717322994</v>
      </c>
      <c r="I131" s="152">
        <f>IF(I43=0,0,1000000*I43/TrRoad_act!I74)</f>
        <v>1800.9932273281381</v>
      </c>
      <c r="J131" s="152">
        <f>IF(J43=0,0,1000000*J43/TrRoad_act!J74)</f>
        <v>1784.1123333888982</v>
      </c>
      <c r="K131" s="152">
        <f>IF(K43=0,0,1000000*K43/TrRoad_act!K74)</f>
        <v>1789.7623595704779</v>
      </c>
      <c r="L131" s="152">
        <f>IF(L43=0,0,1000000*L43/TrRoad_act!L74)</f>
        <v>1771.4887963957851</v>
      </c>
      <c r="M131" s="152">
        <f>IF(M43=0,0,1000000*M43/TrRoad_act!M74)</f>
        <v>1800.9232572545454</v>
      </c>
      <c r="N131" s="152">
        <f>IF(N43=0,0,1000000*N43/TrRoad_act!N74)</f>
        <v>1792.324521245833</v>
      </c>
      <c r="O131" s="152">
        <f>IF(O43=0,0,1000000*O43/TrRoad_act!O74)</f>
        <v>1813.3286973085083</v>
      </c>
      <c r="P131" s="152">
        <f>IF(P43=0,0,1000000*P43/TrRoad_act!P74)</f>
        <v>1839.5450084529205</v>
      </c>
      <c r="Q131" s="152">
        <f>IF(Q43=0,0,1000000*Q43/TrRoad_act!Q74)</f>
        <v>1834.1302517753704</v>
      </c>
      <c r="R131" s="152">
        <f>IF(R43=0,0,1000000*R43/TrRoad_act!R74)</f>
        <v>1808.0303605389502</v>
      </c>
      <c r="S131" s="152">
        <f>IF(S43=0,0,1000000*S43/TrRoad_act!S74)</f>
        <v>1772.2018803916048</v>
      </c>
      <c r="T131" s="152">
        <f>IF(T43=0,0,1000000*T43/TrRoad_act!T74)</f>
        <v>1748.909224627339</v>
      </c>
      <c r="U131" s="152">
        <f>IF(U43=0,0,1000000*U43/TrRoad_act!U74)</f>
        <v>1732.2606034340311</v>
      </c>
      <c r="V131" s="152">
        <f>IF(V43=0,0,1000000*V43/TrRoad_act!V74)</f>
        <v>1726.3567644864859</v>
      </c>
      <c r="W131" s="152">
        <f>IF(W43=0,0,1000000*W43/TrRoad_act!W74)</f>
        <v>1714.873581518121</v>
      </c>
      <c r="X131" s="152">
        <f>IF(X43=0,0,1000000*X43/TrRoad_act!X74)</f>
        <v>1709.8384629574557</v>
      </c>
      <c r="Y131" s="152">
        <f>IF(Y43=0,0,1000000*Y43/TrRoad_act!Y74)</f>
        <v>1705.278081680244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974.69291940687265</v>
      </c>
      <c r="C132" s="87">
        <f>IF(C44=0,0,1000000*C44/TrRoad_act!C75)</f>
        <v>987.58216064168369</v>
      </c>
      <c r="D132" s="87">
        <f>IF(D44=0,0,1000000*D44/TrRoad_act!D75)</f>
        <v>996.24806174504033</v>
      </c>
      <c r="E132" s="87">
        <f>IF(E44=0,0,1000000*E44/TrRoad_act!E75)</f>
        <v>1004.3534642448914</v>
      </c>
      <c r="F132" s="87">
        <f>IF(F44=0,0,1000000*F44/TrRoad_act!F75)</f>
        <v>1065.0041493132539</v>
      </c>
      <c r="G132" s="87">
        <f>IF(G44=0,0,1000000*G44/TrRoad_act!G75)</f>
        <v>1071.0827414623034</v>
      </c>
      <c r="H132" s="87">
        <f>IF(H44=0,0,1000000*H44/TrRoad_act!H75)</f>
        <v>1071.9816097645698</v>
      </c>
      <c r="I132" s="87">
        <f>IF(I44=0,0,1000000*I44/TrRoad_act!I75)</f>
        <v>1074.4275441291893</v>
      </c>
      <c r="J132" s="87">
        <f>IF(J44=0,0,1000000*J44/TrRoad_act!J75)</f>
        <v>1044.27265596597</v>
      </c>
      <c r="K132" s="87">
        <f>IF(K44=0,0,1000000*K44/TrRoad_act!K75)</f>
        <v>1042.0526101668227</v>
      </c>
      <c r="L132" s="87">
        <f>IF(L44=0,0,1000000*L44/TrRoad_act!L75)</f>
        <v>1013.1570038279585</v>
      </c>
      <c r="M132" s="87">
        <f>IF(M44=0,0,1000000*M44/TrRoad_act!M75)</f>
        <v>1021.5498089041505</v>
      </c>
      <c r="N132" s="87">
        <f>IF(N44=0,0,1000000*N44/TrRoad_act!N75)</f>
        <v>1024.5571467143643</v>
      </c>
      <c r="O132" s="87">
        <f>IF(O44=0,0,1000000*O44/TrRoad_act!O75)</f>
        <v>1056.8492313401575</v>
      </c>
      <c r="P132" s="87">
        <f>IF(P44=0,0,1000000*P44/TrRoad_act!P75)</f>
        <v>1086.9771592992527</v>
      </c>
      <c r="Q132" s="87">
        <f>IF(Q44=0,0,1000000*Q44/TrRoad_act!Q75)</f>
        <v>1086.8361826235434</v>
      </c>
      <c r="R132" s="87">
        <f>IF(R44=0,0,1000000*R44/TrRoad_act!R75)</f>
        <v>1067.6074965858236</v>
      </c>
      <c r="S132" s="87">
        <f>IF(S44=0,0,1000000*S44/TrRoad_act!S75)</f>
        <v>1049.0950927996541</v>
      </c>
      <c r="T132" s="87">
        <f>IF(T44=0,0,1000000*T44/TrRoad_act!T75)</f>
        <v>1021.7783489413844</v>
      </c>
      <c r="U132" s="87">
        <f>IF(U44=0,0,1000000*U44/TrRoad_act!U75)</f>
        <v>1011.3698982101303</v>
      </c>
      <c r="V132" s="87">
        <f>IF(V44=0,0,1000000*V44/TrRoad_act!V75)</f>
        <v>1002.798197581923</v>
      </c>
      <c r="W132" s="87">
        <f>IF(W44=0,0,1000000*W44/TrRoad_act!W75)</f>
        <v>991.76341083788486</v>
      </c>
      <c r="X132" s="87">
        <f>IF(X44=0,0,1000000*X44/TrRoad_act!X75)</f>
        <v>984.98834261826164</v>
      </c>
      <c r="Y132" s="87">
        <f>IF(Y44=0,0,1000000*Y44/TrRoad_act!Y75)</f>
        <v>1010.9988545611628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1877.6447158788387</v>
      </c>
      <c r="C133" s="87">
        <f>IF(C46=0,0,1000000*C46/TrRoad_act!C76)</f>
        <v>1873.2258994722072</v>
      </c>
      <c r="D133" s="87">
        <f>IF(D46=0,0,1000000*D46/TrRoad_act!D76)</f>
        <v>1870.9327884691741</v>
      </c>
      <c r="E133" s="87">
        <f>IF(E46=0,0,1000000*E46/TrRoad_act!E76)</f>
        <v>1869.4277716212512</v>
      </c>
      <c r="F133" s="87">
        <f>IF(F46=0,0,1000000*F46/TrRoad_act!F76)</f>
        <v>1916.8604129472214</v>
      </c>
      <c r="G133" s="87">
        <f>IF(G46=0,0,1000000*G46/TrRoad_act!G76)</f>
        <v>1919.2292381695361</v>
      </c>
      <c r="H133" s="87">
        <f>IF(H46=0,0,1000000*H46/TrRoad_act!H76)</f>
        <v>1924.8433137387453</v>
      </c>
      <c r="I133" s="87">
        <f>IF(I46=0,0,1000000*I46/TrRoad_act!I76)</f>
        <v>1930.7107208945754</v>
      </c>
      <c r="J133" s="87">
        <f>IF(J46=0,0,1000000*J46/TrRoad_act!J76)</f>
        <v>1900.513432690886</v>
      </c>
      <c r="K133" s="87">
        <f>IF(K46=0,0,1000000*K46/TrRoad_act!K76)</f>
        <v>1892.4847129703571</v>
      </c>
      <c r="L133" s="87">
        <f>IF(L46=0,0,1000000*L46/TrRoad_act!L76)</f>
        <v>1866.0975895952574</v>
      </c>
      <c r="M133" s="87">
        <f>IF(M46=0,0,1000000*M46/TrRoad_act!M76)</f>
        <v>1888.8532466150737</v>
      </c>
      <c r="N133" s="87">
        <f>IF(N46=0,0,1000000*N46/TrRoad_act!N76)</f>
        <v>1871.9511345428298</v>
      </c>
      <c r="O133" s="87">
        <f>IF(O46=0,0,1000000*O46/TrRoad_act!O76)</f>
        <v>1884.2790800703747</v>
      </c>
      <c r="P133" s="87">
        <f>IF(P46=0,0,1000000*P46/TrRoad_act!P76)</f>
        <v>1899.2096097009128</v>
      </c>
      <c r="Q133" s="87">
        <f>IF(Q46=0,0,1000000*Q46/TrRoad_act!Q76)</f>
        <v>1887.1031342173103</v>
      </c>
      <c r="R133" s="87">
        <f>IF(R46=0,0,1000000*R46/TrRoad_act!R76)</f>
        <v>1855.5650490262203</v>
      </c>
      <c r="S133" s="87">
        <f>IF(S46=0,0,1000000*S46/TrRoad_act!S76)</f>
        <v>1817.2602859813737</v>
      </c>
      <c r="T133" s="87">
        <f>IF(T46=0,0,1000000*T46/TrRoad_act!T76)</f>
        <v>1792.4831694770296</v>
      </c>
      <c r="U133" s="87">
        <f>IF(U46=0,0,1000000*U46/TrRoad_act!U76)</f>
        <v>1775.1192456813833</v>
      </c>
      <c r="V133" s="87">
        <f>IF(V46=0,0,1000000*V46/TrRoad_act!V76)</f>
        <v>1767.8389521789827</v>
      </c>
      <c r="W133" s="87">
        <f>IF(W46=0,0,1000000*W46/TrRoad_act!W76)</f>
        <v>1751.904514892851</v>
      </c>
      <c r="X133" s="87">
        <f>IF(X46=0,0,1000000*X46/TrRoad_act!X76)</f>
        <v>1747.3696100276245</v>
      </c>
      <c r="Y133" s="87">
        <f>IF(Y46=0,0,1000000*Y46/TrRoad_act!Y76)</f>
        <v>1741.6678670292042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1681.3739782135765</v>
      </c>
      <c r="I134" s="87">
        <f>IF(I48=0,0,1000000*I48/TrRoad_act!I77)</f>
        <v>1708.7291787958807</v>
      </c>
      <c r="J134" s="87">
        <f>IF(J48=0,0,1000000*J48/TrRoad_act!J77)</f>
        <v>1652.8198660307273</v>
      </c>
      <c r="K134" s="87">
        <f>IF(K48=0,0,1000000*K48/TrRoad_act!K77)</f>
        <v>1673.7738801663993</v>
      </c>
      <c r="L134" s="87">
        <f>IF(L48=0,0,1000000*L48/TrRoad_act!L77)</f>
        <v>1797.120381226423</v>
      </c>
      <c r="M134" s="87">
        <f>IF(M48=0,0,1000000*M48/TrRoad_act!M77)</f>
        <v>1938.6513036631218</v>
      </c>
      <c r="N134" s="87">
        <f>IF(N48=0,0,1000000*N48/TrRoad_act!N77)</f>
        <v>2010.9772226906341</v>
      </c>
      <c r="O134" s="87">
        <f>IF(O48=0,0,1000000*O48/TrRoad_act!O77)</f>
        <v>1943.1217296424782</v>
      </c>
      <c r="P134" s="87">
        <f>IF(P48=0,0,1000000*P48/TrRoad_act!P77)</f>
        <v>1860.4749781252656</v>
      </c>
      <c r="Q134" s="87">
        <f>IF(Q48=0,0,1000000*Q48/TrRoad_act!Q77)</f>
        <v>1968.7366949578338</v>
      </c>
      <c r="R134" s="87">
        <f>IF(R48=0,0,1000000*R48/TrRoad_act!R77)</f>
        <v>1936.6968644564174</v>
      </c>
      <c r="S134" s="87">
        <f>IF(S48=0,0,1000000*S48/TrRoad_act!S77)</f>
        <v>1689.299799622095</v>
      </c>
      <c r="T134" s="87">
        <f>IF(T48=0,0,1000000*T48/TrRoad_act!T77)</f>
        <v>1580.2667574645393</v>
      </c>
      <c r="U134" s="87">
        <f>IF(U48=0,0,1000000*U48/TrRoad_act!U77)</f>
        <v>1385.9669191286653</v>
      </c>
      <c r="V134" s="87">
        <f>IF(V48=0,0,1000000*V48/TrRoad_act!V77)</f>
        <v>1306.2673881725073</v>
      </c>
      <c r="W134" s="87">
        <f>IF(W48=0,0,1000000*W48/TrRoad_act!W77)</f>
        <v>1696.7984149770675</v>
      </c>
      <c r="X134" s="87">
        <f>IF(X48=0,0,1000000*X48/TrRoad_act!X77)</f>
        <v>1265.663256563802</v>
      </c>
      <c r="Y134" s="87">
        <f>IF(Y48=0,0,1000000*Y48/TrRoad_act!Y77)</f>
        <v>1254.5978728296438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1240.1244471211</v>
      </c>
      <c r="Q135" s="87">
        <f>IF(Q49=0,0,1000000*Q49/TrRoad_act!Q78)</f>
        <v>1320.0797272785817</v>
      </c>
      <c r="R135" s="87">
        <f>IF(R49=0,0,1000000*R49/TrRoad_act!R78)</f>
        <v>1187.2754579158627</v>
      </c>
      <c r="S135" s="87">
        <f>IF(S49=0,0,1000000*S49/TrRoad_act!S78)</f>
        <v>1075.4236785541336</v>
      </c>
      <c r="T135" s="87">
        <f>IF(T49=0,0,1000000*T49/TrRoad_act!T78)</f>
        <v>1043.671491938527</v>
      </c>
      <c r="U135" s="87">
        <f>IF(U49=0,0,1000000*U49/TrRoad_act!U78)</f>
        <v>1015.8243119469694</v>
      </c>
      <c r="V135" s="87">
        <f>IF(V49=0,0,1000000*V49/TrRoad_act!V78)</f>
        <v>1035.2692620582791</v>
      </c>
      <c r="W135" s="87">
        <f>IF(W49=0,0,1000000*W49/TrRoad_act!W78)</f>
        <v>1055.5464954918004</v>
      </c>
      <c r="X135" s="87">
        <f>IF(X49=0,0,1000000*X49/TrRoad_act!X78)</f>
        <v>1067.4755655560743</v>
      </c>
      <c r="Y135" s="87">
        <f>IF(Y49=0,0,1000000*Y49/TrRoad_act!Y78)</f>
        <v>1073.5569802763762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0</v>
      </c>
      <c r="P136" s="87">
        <f>IF(P51=0,0,1000000*P51/TrRoad_act!P79)</f>
        <v>252.68724142278967</v>
      </c>
      <c r="Q136" s="87">
        <f>IF(Q51=0,0,1000000*Q51/TrRoad_act!Q79)</f>
        <v>264.3928073263682</v>
      </c>
      <c r="R136" s="87">
        <f>IF(R51=0,0,1000000*R51/TrRoad_act!R79)</f>
        <v>270.18264269100422</v>
      </c>
      <c r="S136" s="87">
        <f>IF(S51=0,0,1000000*S51/TrRoad_act!S79)</f>
        <v>274.57631022397413</v>
      </c>
      <c r="T136" s="87">
        <f>IF(T51=0,0,1000000*T51/TrRoad_act!T79)</f>
        <v>277.98542386002111</v>
      </c>
      <c r="U136" s="87">
        <f>IF(U51=0,0,1000000*U51/TrRoad_act!U79)</f>
        <v>281.03853611586965</v>
      </c>
      <c r="V136" s="87">
        <f>IF(V51=0,0,1000000*V51/TrRoad_act!V79)</f>
        <v>287.13079378092522</v>
      </c>
      <c r="W136" s="87">
        <f>IF(W51=0,0,1000000*W51/TrRoad_act!W79)</f>
        <v>310.83100219443958</v>
      </c>
      <c r="X136" s="87">
        <f>IF(X51=0,0,1000000*X51/TrRoad_act!X79)</f>
        <v>364.12226082652899</v>
      </c>
      <c r="Y136" s="87">
        <f>IF(Y51=0,0,1000000*Y51/TrRoad_act!Y79)</f>
        <v>382.50958792802618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2440.0932194719903</v>
      </c>
      <c r="C137" s="116">
        <f>IF(C52=0,0,1000000*C52/TrRoad_act!C80)</f>
        <v>4407.7109720524832</v>
      </c>
      <c r="D137" s="116">
        <f>IF(D52=0,0,1000000*D52/TrRoad_act!D80)</f>
        <v>4806.9835019356397</v>
      </c>
      <c r="E137" s="116">
        <f>IF(E52=0,0,1000000*E52/TrRoad_act!E80)</f>
        <v>6016.3461822786512</v>
      </c>
      <c r="F137" s="116">
        <f>IF(F52=0,0,1000000*F52/TrRoad_act!F80)</f>
        <v>8901.1034918274709</v>
      </c>
      <c r="G137" s="116">
        <f>IF(G52=0,0,1000000*G52/TrRoad_act!G80)</f>
        <v>11105.043300500223</v>
      </c>
      <c r="H137" s="116">
        <f>IF(H52=0,0,1000000*H52/TrRoad_act!H80)</f>
        <v>11972.122945226736</v>
      </c>
      <c r="I137" s="116">
        <f>IF(I52=0,0,1000000*I52/TrRoad_act!I80)</f>
        <v>16924.915710729929</v>
      </c>
      <c r="J137" s="116">
        <f>IF(J52=0,0,1000000*J52/TrRoad_act!J80)</f>
        <v>25066.515418801544</v>
      </c>
      <c r="K137" s="116">
        <f>IF(K52=0,0,1000000*K52/TrRoad_act!K80)</f>
        <v>15952.508727200546</v>
      </c>
      <c r="L137" s="116">
        <f>IF(L52=0,0,1000000*L52/TrRoad_act!L80)</f>
        <v>19115.179686835145</v>
      </c>
      <c r="M137" s="116">
        <f>IF(M52=0,0,1000000*M52/TrRoad_act!M80)</f>
        <v>23807.680140644101</v>
      </c>
      <c r="N137" s="116">
        <f>IF(N52=0,0,1000000*N52/TrRoad_act!N80)</f>
        <v>26372.227128624298</v>
      </c>
      <c r="O137" s="116">
        <f>IF(O52=0,0,1000000*O52/TrRoad_act!O80)</f>
        <v>24009.519227139408</v>
      </c>
      <c r="P137" s="116">
        <f>IF(P52=0,0,1000000*P52/TrRoad_act!P80)</f>
        <v>23288.165100680235</v>
      </c>
      <c r="Q137" s="116">
        <f>IF(Q52=0,0,1000000*Q52/TrRoad_act!Q80)</f>
        <v>21467.616957083574</v>
      </c>
      <c r="R137" s="116">
        <f>IF(R52=0,0,1000000*R52/TrRoad_act!R80)</f>
        <v>23900.452632568176</v>
      </c>
      <c r="S137" s="116">
        <f>IF(S52=0,0,1000000*S52/TrRoad_act!S80)</f>
        <v>23733.263309697224</v>
      </c>
      <c r="T137" s="116">
        <f>IF(T52=0,0,1000000*T52/TrRoad_act!T80)</f>
        <v>22937.812341209861</v>
      </c>
      <c r="U137" s="116">
        <f>IF(U52=0,0,1000000*U52/TrRoad_act!U80)</f>
        <v>21336.524767550673</v>
      </c>
      <c r="V137" s="116">
        <f>IF(V52=0,0,1000000*V52/TrRoad_act!V80)</f>
        <v>15433.591506858667</v>
      </c>
      <c r="W137" s="116">
        <f>IF(W52=0,0,1000000*W52/TrRoad_act!W80)</f>
        <v>20668.446803672294</v>
      </c>
      <c r="X137" s="116">
        <f>IF(X52=0,0,1000000*X52/TrRoad_act!X80)</f>
        <v>22067.53684272309</v>
      </c>
      <c r="Y137" s="116">
        <f>IF(Y52=0,0,1000000*Y52/TrRoad_act!Y80)</f>
        <v>14839.287430287101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2574.1073546841967</v>
      </c>
      <c r="C138" s="101">
        <f>IF(C53=0,0,1000000*C53/TrRoad_act!C81)</f>
        <v>2839.7819049908576</v>
      </c>
      <c r="D138" s="101">
        <f>IF(D53=0,0,1000000*D53/TrRoad_act!D81)</f>
        <v>3323.4257133021811</v>
      </c>
      <c r="E138" s="101">
        <f>IF(E53=0,0,1000000*E53/TrRoad_act!E81)</f>
        <v>3726.3425519529928</v>
      </c>
      <c r="F138" s="101">
        <f>IF(F53=0,0,1000000*F53/TrRoad_act!F81)</f>
        <v>5074.1262426124822</v>
      </c>
      <c r="G138" s="101">
        <f>IF(G53=0,0,1000000*G53/TrRoad_act!G81)</f>
        <v>5619.1961787378241</v>
      </c>
      <c r="H138" s="101">
        <f>IF(H53=0,0,1000000*H53/TrRoad_act!H81)</f>
        <v>5188.2329880310826</v>
      </c>
      <c r="I138" s="101">
        <f>IF(I53=0,0,1000000*I53/TrRoad_act!I81)</f>
        <v>5749.9638150139353</v>
      </c>
      <c r="J138" s="101">
        <f>IF(J53=0,0,1000000*J53/TrRoad_act!J81)</f>
        <v>6580.975955748705</v>
      </c>
      <c r="K138" s="101">
        <f>IF(K53=0,0,1000000*K53/TrRoad_act!K81)</f>
        <v>5420.69845204998</v>
      </c>
      <c r="L138" s="101">
        <f>IF(L53=0,0,1000000*L53/TrRoad_act!L81)</f>
        <v>6289.5416535100012</v>
      </c>
      <c r="M138" s="101">
        <f>IF(M53=0,0,1000000*M53/TrRoad_act!M81)</f>
        <v>6552.1943156829984</v>
      </c>
      <c r="N138" s="101">
        <f>IF(N53=0,0,1000000*N53/TrRoad_act!N81)</f>
        <v>6255.3615366744789</v>
      </c>
      <c r="O138" s="101">
        <f>IF(O53=0,0,1000000*O53/TrRoad_act!O81)</f>
        <v>5858.3787010544802</v>
      </c>
      <c r="P138" s="101">
        <f>IF(P53=0,0,1000000*P53/TrRoad_act!P81)</f>
        <v>6188.7755065964766</v>
      </c>
      <c r="Q138" s="101">
        <f>IF(Q53=0,0,1000000*Q53/TrRoad_act!Q81)</f>
        <v>5810.2518553977661</v>
      </c>
      <c r="R138" s="101">
        <f>IF(R53=0,0,1000000*R53/TrRoad_act!R81)</f>
        <v>5650.459872274143</v>
      </c>
      <c r="S138" s="101">
        <f>IF(S53=0,0,1000000*S53/TrRoad_act!S81)</f>
        <v>5941.7428451560154</v>
      </c>
      <c r="T138" s="101">
        <f>IF(T53=0,0,1000000*T53/TrRoad_act!T81)</f>
        <v>5439.4708030758366</v>
      </c>
      <c r="U138" s="101">
        <f>IF(U53=0,0,1000000*U53/TrRoad_act!U81)</f>
        <v>5638.3301619210624</v>
      </c>
      <c r="V138" s="101">
        <f>IF(V53=0,0,1000000*V53/TrRoad_act!V81)</f>
        <v>4973.6257536619705</v>
      </c>
      <c r="W138" s="101">
        <f>IF(W53=0,0,1000000*W53/TrRoad_act!W81)</f>
        <v>5912.424452317402</v>
      </c>
      <c r="X138" s="101">
        <f>IF(X53=0,0,1000000*X53/TrRoad_act!X81)</f>
        <v>6081.4252534772304</v>
      </c>
      <c r="Y138" s="101">
        <f>IF(Y53=0,0,1000000*Y53/TrRoad_act!Y81)</f>
        <v>5597.1383059808704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1244.5233130440495</v>
      </c>
      <c r="C139" s="88">
        <f>IF(C55=0,0,1000000*C55/TrRoad_act!C82)</f>
        <v>16928.801264081347</v>
      </c>
      <c r="D139" s="88">
        <f>IF(D55=0,0,1000000*D55/TrRoad_act!D82)</f>
        <v>16067.196049378146</v>
      </c>
      <c r="E139" s="88">
        <f>IF(E55=0,0,1000000*E55/TrRoad_act!E82)</f>
        <v>22600.665759495747</v>
      </c>
      <c r="F139" s="88">
        <f>IF(F55=0,0,1000000*F55/TrRoad_act!F82)</f>
        <v>32014.521005205861</v>
      </c>
      <c r="G139" s="88">
        <f>IF(G55=0,0,1000000*G55/TrRoad_act!G82)</f>
        <v>41696.196086060532</v>
      </c>
      <c r="H139" s="88">
        <f>IF(H55=0,0,1000000*H55/TrRoad_act!H82)</f>
        <v>45193.87368096361</v>
      </c>
      <c r="I139" s="88">
        <f>IF(I55=0,0,1000000*I55/TrRoad_act!I82)</f>
        <v>72893.103620738184</v>
      </c>
      <c r="J139" s="88">
        <f>IF(J55=0,0,1000000*J55/TrRoad_act!J82)</f>
        <v>114704.2271736621</v>
      </c>
      <c r="K139" s="88">
        <f>IF(K55=0,0,1000000*K55/TrRoad_act!K82)</f>
        <v>70715.481414003152</v>
      </c>
      <c r="L139" s="88">
        <f>IF(L55=0,0,1000000*L55/TrRoad_act!L82)</f>
        <v>80872.914368249709</v>
      </c>
      <c r="M139" s="88">
        <f>IF(M55=0,0,1000000*M55/TrRoad_act!M82)</f>
        <v>100894.0707847047</v>
      </c>
      <c r="N139" s="88">
        <f>IF(N55=0,0,1000000*N55/TrRoad_act!N82)</f>
        <v>111352.35463148863</v>
      </c>
      <c r="O139" s="88">
        <f>IF(O55=0,0,1000000*O55/TrRoad_act!O82)</f>
        <v>99739.718536795335</v>
      </c>
      <c r="P139" s="88">
        <f>IF(P55=0,0,1000000*P55/TrRoad_act!P82)</f>
        <v>94934.37294036313</v>
      </c>
      <c r="Q139" s="88">
        <f>IF(Q55=0,0,1000000*Q55/TrRoad_act!Q82)</f>
        <v>81402.279601350732</v>
      </c>
      <c r="R139" s="88">
        <f>IF(R55=0,0,1000000*R55/TrRoad_act!R82)</f>
        <v>90277.661770418534</v>
      </c>
      <c r="S139" s="88">
        <f>IF(S55=0,0,1000000*S55/TrRoad_act!S82)</f>
        <v>82480.272642850847</v>
      </c>
      <c r="T139" s="88">
        <f>IF(T55=0,0,1000000*T55/TrRoad_act!T82)</f>
        <v>82124.324263885195</v>
      </c>
      <c r="U139" s="88">
        <f>IF(U55=0,0,1000000*U55/TrRoad_act!U82)</f>
        <v>71718.513391161221</v>
      </c>
      <c r="V139" s="88">
        <f>IF(V55=0,0,1000000*V55/TrRoad_act!V82)</f>
        <v>52511.553267661613</v>
      </c>
      <c r="W139" s="88">
        <f>IF(W55=0,0,1000000*W55/TrRoad_act!W82)</f>
        <v>67338.489115713193</v>
      </c>
      <c r="X139" s="88">
        <f>IF(X55=0,0,1000000*X55/TrRoad_act!X82)</f>
        <v>71553.494701289281</v>
      </c>
      <c r="Y139" s="88">
        <f>IF(Y55=0,0,1000000*Y55/TrRoad_act!Y82)</f>
        <v>45021.350670134045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0.90555836664214884</v>
      </c>
      <c r="C142" s="46">
        <f t="shared" si="42"/>
        <v>0.86452890283991546</v>
      </c>
      <c r="D142" s="46">
        <f t="shared" si="42"/>
        <v>0.85606986634926574</v>
      </c>
      <c r="E142" s="46">
        <f t="shared" si="42"/>
        <v>0.83086145192649519</v>
      </c>
      <c r="F142" s="46">
        <f t="shared" si="42"/>
        <v>0.77120449913031919</v>
      </c>
      <c r="G142" s="46">
        <f t="shared" si="42"/>
        <v>0.74488053247924668</v>
      </c>
      <c r="H142" s="46">
        <f t="shared" si="42"/>
        <v>0.72814036777475466</v>
      </c>
      <c r="I142" s="46">
        <f t="shared" si="42"/>
        <v>0.66110716649438594</v>
      </c>
      <c r="J142" s="46">
        <f t="shared" si="42"/>
        <v>0.59894892101419517</v>
      </c>
      <c r="K142" s="46">
        <f t="shared" si="42"/>
        <v>0.69528244174655063</v>
      </c>
      <c r="L142" s="46">
        <f t="shared" ref="L142" si="43">IF(L18=0,0,L18/L$17)</f>
        <v>0.68288493199393507</v>
      </c>
      <c r="M142" s="46">
        <f t="shared" ref="M142:V142" si="44">IF(M18=0,0,M18/M$17)</f>
        <v>0.64972257939275335</v>
      </c>
      <c r="N142" s="46">
        <f t="shared" si="44"/>
        <v>0.62563765400438043</v>
      </c>
      <c r="O142" s="46">
        <f t="shared" si="44"/>
        <v>0.64042581769275619</v>
      </c>
      <c r="P142" s="46">
        <f t="shared" si="44"/>
        <v>0.64197719214129578</v>
      </c>
      <c r="Q142" s="46">
        <f t="shared" si="44"/>
        <v>0.65351619079303469</v>
      </c>
      <c r="R142" s="46">
        <f t="shared" si="44"/>
        <v>0.61738318647549573</v>
      </c>
      <c r="S142" s="46">
        <f t="shared" si="44"/>
        <v>0.61970588342868727</v>
      </c>
      <c r="T142" s="46">
        <f t="shared" si="44"/>
        <v>0.62399780057040111</v>
      </c>
      <c r="U142" s="46">
        <f t="shared" si="44"/>
        <v>0.63976370780664693</v>
      </c>
      <c r="V142" s="46">
        <f t="shared" si="44"/>
        <v>0.65429568556345175</v>
      </c>
      <c r="W142" s="46">
        <f t="shared" ref="W142:Y142" si="45">IF(W18=0,0,W18/W$17)</f>
        <v>0.6190658247457107</v>
      </c>
      <c r="X142" s="46">
        <f t="shared" si="45"/>
        <v>0.62108909192068462</v>
      </c>
      <c r="Y142" s="46">
        <f t="shared" si="45"/>
        <v>0.68459819180503045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2.9488911523647132E-3</v>
      </c>
      <c r="C143" s="154">
        <f t="shared" si="46"/>
        <v>2.6330775044935417E-3</v>
      </c>
      <c r="D143" s="154">
        <f t="shared" si="46"/>
        <v>2.5490726921813937E-3</v>
      </c>
      <c r="E143" s="154">
        <f t="shared" si="46"/>
        <v>3.012851512543767E-3</v>
      </c>
      <c r="F143" s="154">
        <f t="shared" si="46"/>
        <v>3.2587901796202897E-3</v>
      </c>
      <c r="G143" s="154">
        <f t="shared" si="46"/>
        <v>3.3985576733881594E-3</v>
      </c>
      <c r="H143" s="154">
        <f t="shared" si="46"/>
        <v>3.6304282270822937E-3</v>
      </c>
      <c r="I143" s="154">
        <f t="shared" si="46"/>
        <v>3.5435474976387975E-3</v>
      </c>
      <c r="J143" s="154">
        <f t="shared" si="46"/>
        <v>3.2114941260676425E-3</v>
      </c>
      <c r="K143" s="154">
        <f t="shared" si="46"/>
        <v>4.057150853963098E-3</v>
      </c>
      <c r="L143" s="154">
        <f t="shared" ref="L143" si="47">IF(L19=0,0,L19/L$17)</f>
        <v>4.8025912261117146E-3</v>
      </c>
      <c r="M143" s="154">
        <f t="shared" ref="M143:V143" si="48">IF(M19=0,0,M19/M$17)</f>
        <v>5.2938402555827184E-3</v>
      </c>
      <c r="N143" s="154">
        <f t="shared" si="48"/>
        <v>4.7739444440001192E-3</v>
      </c>
      <c r="O143" s="154">
        <f t="shared" si="48"/>
        <v>4.4460976976039776E-3</v>
      </c>
      <c r="P143" s="154">
        <f t="shared" si="48"/>
        <v>4.5455798563180843E-3</v>
      </c>
      <c r="Q143" s="154">
        <f t="shared" si="48"/>
        <v>4.8746271808813276E-3</v>
      </c>
      <c r="R143" s="154">
        <f t="shared" si="48"/>
        <v>4.7127044294536019E-3</v>
      </c>
      <c r="S143" s="154">
        <f t="shared" si="48"/>
        <v>4.4683901634072799E-3</v>
      </c>
      <c r="T143" s="154">
        <f t="shared" si="48"/>
        <v>4.1497795384235724E-3</v>
      </c>
      <c r="U143" s="154">
        <f t="shared" si="48"/>
        <v>4.4786523059674845E-3</v>
      </c>
      <c r="V143" s="154">
        <f t="shared" si="48"/>
        <v>4.8657185420225993E-3</v>
      </c>
      <c r="W143" s="154">
        <f t="shared" ref="W143:Y143" si="49">IF(W19=0,0,W19/W$17)</f>
        <v>4.4237127283409568E-3</v>
      </c>
      <c r="X143" s="154">
        <f t="shared" si="49"/>
        <v>4.1145287792485087E-3</v>
      </c>
      <c r="Y143" s="154">
        <f t="shared" si="49"/>
        <v>4.7329287104033993E-3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0.83580814006061566</v>
      </c>
      <c r="C144" s="156">
        <f t="shared" si="50"/>
        <v>0.80348781029830696</v>
      </c>
      <c r="D144" s="156">
        <f t="shared" si="50"/>
        <v>0.79868076476579997</v>
      </c>
      <c r="E144" s="156">
        <f t="shared" si="50"/>
        <v>0.77538580917089495</v>
      </c>
      <c r="F144" s="156">
        <f t="shared" si="50"/>
        <v>0.71657537699075946</v>
      </c>
      <c r="G144" s="156">
        <f t="shared" si="50"/>
        <v>0.69483559391510596</v>
      </c>
      <c r="H144" s="156">
        <f t="shared" si="50"/>
        <v>0.67962318484112905</v>
      </c>
      <c r="I144" s="156">
        <f t="shared" si="50"/>
        <v>0.61773858878214638</v>
      </c>
      <c r="J144" s="156">
        <f t="shared" si="50"/>
        <v>0.56189561533577714</v>
      </c>
      <c r="K144" s="156">
        <f t="shared" si="50"/>
        <v>0.65061088533594047</v>
      </c>
      <c r="L144" s="156">
        <f t="shared" ref="L144" si="51">IF(L21=0,0,L21/L$17)</f>
        <v>0.63903084719028791</v>
      </c>
      <c r="M144" s="156">
        <f t="shared" ref="M144:V144" si="52">IF(M21=0,0,M21/M$17)</f>
        <v>0.6068787685044823</v>
      </c>
      <c r="N144" s="156">
        <f t="shared" si="52"/>
        <v>0.58386369546954564</v>
      </c>
      <c r="O144" s="156">
        <f t="shared" si="52"/>
        <v>0.59617963913430205</v>
      </c>
      <c r="P144" s="156">
        <f t="shared" si="52"/>
        <v>0.59723579624169265</v>
      </c>
      <c r="Q144" s="156">
        <f t="shared" si="52"/>
        <v>0.60633612780317492</v>
      </c>
      <c r="R144" s="156">
        <f t="shared" si="52"/>
        <v>0.57415210066472511</v>
      </c>
      <c r="S144" s="156">
        <f t="shared" si="52"/>
        <v>0.57608455689632709</v>
      </c>
      <c r="T144" s="156">
        <f t="shared" si="52"/>
        <v>0.58209165504165195</v>
      </c>
      <c r="U144" s="156">
        <f t="shared" si="52"/>
        <v>0.5945236562063978</v>
      </c>
      <c r="V144" s="156">
        <f t="shared" si="52"/>
        <v>0.61891513992674041</v>
      </c>
      <c r="W144" s="156">
        <f t="shared" ref="W144:Y144" si="53">IF(W21=0,0,W21/W$17)</f>
        <v>0.58336160369979673</v>
      </c>
      <c r="X144" s="156">
        <f t="shared" si="53"/>
        <v>0.58268101386818072</v>
      </c>
      <c r="Y144" s="156">
        <f t="shared" si="53"/>
        <v>0.64091718658508523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0.70494331285318046</v>
      </c>
      <c r="C145" s="103">
        <f t="shared" si="54"/>
        <v>0.66991553952920857</v>
      </c>
      <c r="D145" s="103">
        <f t="shared" si="54"/>
        <v>0.62453753395261802</v>
      </c>
      <c r="E145" s="103">
        <f t="shared" si="54"/>
        <v>0.60115783092265684</v>
      </c>
      <c r="F145" s="103">
        <f t="shared" si="54"/>
        <v>0.51157204954060276</v>
      </c>
      <c r="G145" s="103">
        <f t="shared" si="54"/>
        <v>0.47221465363827819</v>
      </c>
      <c r="H145" s="103">
        <f t="shared" si="54"/>
        <v>0.43546896775571803</v>
      </c>
      <c r="I145" s="103">
        <f t="shared" si="54"/>
        <v>0.37131663286664673</v>
      </c>
      <c r="J145" s="103">
        <f t="shared" si="54"/>
        <v>0.33008588647739118</v>
      </c>
      <c r="K145" s="103">
        <f t="shared" si="54"/>
        <v>0.35621016819494045</v>
      </c>
      <c r="L145" s="103">
        <f t="shared" ref="L145" si="55">IF(L22=0,0,L22/L$17)</f>
        <v>0.33657780430419104</v>
      </c>
      <c r="M145" s="103">
        <f t="shared" ref="M145:V145" si="56">IF(M22=0,0,M22/M$17)</f>
        <v>0.30801746624903731</v>
      </c>
      <c r="N145" s="103">
        <f t="shared" si="56"/>
        <v>0.27598319068004828</v>
      </c>
      <c r="O145" s="103">
        <f t="shared" si="56"/>
        <v>0.26509713671195956</v>
      </c>
      <c r="P145" s="103">
        <f t="shared" si="56"/>
        <v>0.24999981288248893</v>
      </c>
      <c r="Q145" s="103">
        <f t="shared" si="56"/>
        <v>0.24650889113539551</v>
      </c>
      <c r="R145" s="103">
        <f t="shared" si="56"/>
        <v>0.22893543890889284</v>
      </c>
      <c r="S145" s="103">
        <f t="shared" si="56"/>
        <v>0.21771387075704215</v>
      </c>
      <c r="T145" s="103">
        <f t="shared" si="56"/>
        <v>0.21656076905233773</v>
      </c>
      <c r="U145" s="103">
        <f t="shared" si="56"/>
        <v>0.21032031351834621</v>
      </c>
      <c r="V145" s="103">
        <f t="shared" si="56"/>
        <v>0.2042010624053465</v>
      </c>
      <c r="W145" s="103">
        <f t="shared" ref="W145:Y145" si="57">IF(W22=0,0,W22/W$17)</f>
        <v>0.20459661327210102</v>
      </c>
      <c r="X145" s="103">
        <f t="shared" si="57"/>
        <v>0.2184389096038824</v>
      </c>
      <c r="Y145" s="103">
        <f t="shared" si="57"/>
        <v>0.2487464045296793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0.13086482720743531</v>
      </c>
      <c r="C146" s="103">
        <f t="shared" si="58"/>
        <v>0.13357227076909839</v>
      </c>
      <c r="D146" s="103">
        <f t="shared" si="58"/>
        <v>0.17414323081318206</v>
      </c>
      <c r="E146" s="103">
        <f t="shared" si="58"/>
        <v>0.17422797824823807</v>
      </c>
      <c r="F146" s="103">
        <f t="shared" si="58"/>
        <v>0.20500332745015667</v>
      </c>
      <c r="G146" s="103">
        <f t="shared" si="58"/>
        <v>0.22262094027682774</v>
      </c>
      <c r="H146" s="103">
        <f t="shared" si="58"/>
        <v>0.24378074881944145</v>
      </c>
      <c r="I146" s="103">
        <f t="shared" si="58"/>
        <v>0.24549945786545049</v>
      </c>
      <c r="J146" s="103">
        <f t="shared" si="58"/>
        <v>0.23115862488558128</v>
      </c>
      <c r="K146" s="103">
        <f t="shared" si="58"/>
        <v>0.29201678138508524</v>
      </c>
      <c r="L146" s="103">
        <f t="shared" ref="L146" si="59">IF(L24=0,0,L24/L$17)</f>
        <v>0.2993943458346171</v>
      </c>
      <c r="M146" s="103">
        <f t="shared" ref="M146:V146" si="60">IF(M24=0,0,M24/M$17)</f>
        <v>0.29537437868925492</v>
      </c>
      <c r="N146" s="103">
        <f t="shared" si="60"/>
        <v>0.30324802689233415</v>
      </c>
      <c r="O146" s="103">
        <f t="shared" si="60"/>
        <v>0.32435174052797006</v>
      </c>
      <c r="P146" s="103">
        <f t="shared" si="60"/>
        <v>0.3400477196078055</v>
      </c>
      <c r="Q146" s="103">
        <f t="shared" si="60"/>
        <v>0.35197380388927607</v>
      </c>
      <c r="R146" s="103">
        <f t="shared" si="60"/>
        <v>0.33719378425023733</v>
      </c>
      <c r="S146" s="103">
        <f t="shared" si="60"/>
        <v>0.35060150428992271</v>
      </c>
      <c r="T146" s="103">
        <f t="shared" si="60"/>
        <v>0.35794050028179286</v>
      </c>
      <c r="U146" s="103">
        <f t="shared" si="60"/>
        <v>0.37670969009318173</v>
      </c>
      <c r="V146" s="103">
        <f t="shared" si="60"/>
        <v>0.40878480705757919</v>
      </c>
      <c r="W146" s="103">
        <f t="shared" ref="W146:Y146" si="61">IF(W24=0,0,W24/W$17)</f>
        <v>0.36954486205828768</v>
      </c>
      <c r="X146" s="103">
        <f t="shared" si="61"/>
        <v>0.35815089988941645</v>
      </c>
      <c r="Y146" s="103">
        <f t="shared" si="61"/>
        <v>0.38560409041899996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0</v>
      </c>
      <c r="C147" s="103">
        <f t="shared" si="62"/>
        <v>0</v>
      </c>
      <c r="D147" s="103">
        <f t="shared" si="62"/>
        <v>0</v>
      </c>
      <c r="E147" s="103">
        <f t="shared" si="62"/>
        <v>0</v>
      </c>
      <c r="F147" s="103">
        <f t="shared" si="62"/>
        <v>0</v>
      </c>
      <c r="G147" s="103">
        <f t="shared" si="62"/>
        <v>0</v>
      </c>
      <c r="H147" s="103">
        <f t="shared" si="62"/>
        <v>3.7346826596952338E-4</v>
      </c>
      <c r="I147" s="103">
        <f t="shared" si="62"/>
        <v>9.2249805004926823E-4</v>
      </c>
      <c r="J147" s="103">
        <f t="shared" si="62"/>
        <v>6.5110397280465008E-4</v>
      </c>
      <c r="K147" s="103">
        <f t="shared" si="62"/>
        <v>2.3839357559147282E-3</v>
      </c>
      <c r="L147" s="103">
        <f t="shared" ref="L147" si="63">IF(L26=0,0,L26/L$17)</f>
        <v>3.0586970514797276E-3</v>
      </c>
      <c r="M147" s="103">
        <f t="shared" ref="M147:V147" si="64">IF(M26=0,0,M26/M$17)</f>
        <v>3.4861369509798399E-3</v>
      </c>
      <c r="N147" s="103">
        <f t="shared" si="64"/>
        <v>4.6279346297491237E-3</v>
      </c>
      <c r="O147" s="103">
        <f t="shared" si="64"/>
        <v>6.7118171131266904E-3</v>
      </c>
      <c r="P147" s="103">
        <f t="shared" si="64"/>
        <v>7.1129311988975133E-3</v>
      </c>
      <c r="Q147" s="103">
        <f t="shared" si="64"/>
        <v>7.7672293434592277E-3</v>
      </c>
      <c r="R147" s="103">
        <f t="shared" si="64"/>
        <v>7.9022151158649797E-3</v>
      </c>
      <c r="S147" s="103">
        <f t="shared" si="64"/>
        <v>7.5627363112395068E-3</v>
      </c>
      <c r="T147" s="103">
        <f t="shared" si="64"/>
        <v>7.3010777152179747E-3</v>
      </c>
      <c r="U147" s="103">
        <f t="shared" si="64"/>
        <v>7.1431518430142421E-3</v>
      </c>
      <c r="V147" s="103">
        <f t="shared" si="64"/>
        <v>5.4478614645005257E-3</v>
      </c>
      <c r="W147" s="103">
        <f t="shared" ref="W147:Y147" si="65">IF(W26=0,0,W26/W$17)</f>
        <v>8.5976621732128961E-3</v>
      </c>
      <c r="X147" s="103">
        <f t="shared" si="65"/>
        <v>5.2669474476497889E-3</v>
      </c>
      <c r="Y147" s="103">
        <f t="shared" si="65"/>
        <v>5.2394661455793133E-3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0</v>
      </c>
      <c r="M148" s="103">
        <f t="shared" ref="M148:V148" si="68">IF(M27=0,0,M27/M$17)</f>
        <v>0</v>
      </c>
      <c r="N148" s="103">
        <f t="shared" si="68"/>
        <v>2.686187015803245E-6</v>
      </c>
      <c r="O148" s="103">
        <f t="shared" si="68"/>
        <v>1.4828741693817767E-5</v>
      </c>
      <c r="P148" s="103">
        <f t="shared" si="68"/>
        <v>6.6959080927999742E-5</v>
      </c>
      <c r="Q148" s="103">
        <f t="shared" si="68"/>
        <v>6.6199074698733304E-5</v>
      </c>
      <c r="R148" s="103">
        <f t="shared" si="68"/>
        <v>8.0076534152770393E-5</v>
      </c>
      <c r="S148" s="103">
        <f t="shared" si="68"/>
        <v>1.1002622248968258E-4</v>
      </c>
      <c r="T148" s="103">
        <f t="shared" si="68"/>
        <v>1.1970390122068391E-4</v>
      </c>
      <c r="U148" s="103">
        <f t="shared" si="68"/>
        <v>1.1607024339752493E-4</v>
      </c>
      <c r="V148" s="103">
        <f t="shared" si="68"/>
        <v>1.1370405658030296E-4</v>
      </c>
      <c r="W148" s="103">
        <f t="shared" ref="W148:Y148" si="69">IF(W27=0,0,W27/W$17)</f>
        <v>1.0621389253658867E-4</v>
      </c>
      <c r="X148" s="103">
        <f t="shared" si="69"/>
        <v>1.0601030707408759E-4</v>
      </c>
      <c r="Y148" s="103">
        <f t="shared" si="69"/>
        <v>1.1646160967396953E-4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0</v>
      </c>
      <c r="O149" s="103">
        <f t="shared" si="72"/>
        <v>1.9016404164148183E-6</v>
      </c>
      <c r="P149" s="103">
        <f t="shared" si="72"/>
        <v>3.0525845212201514E-6</v>
      </c>
      <c r="Q149" s="103">
        <f t="shared" si="72"/>
        <v>8.1570436047344845E-6</v>
      </c>
      <c r="R149" s="103">
        <f t="shared" si="72"/>
        <v>2.1549457137105025E-5</v>
      </c>
      <c r="S149" s="103">
        <f t="shared" si="72"/>
        <v>6.1614687044566065E-5</v>
      </c>
      <c r="T149" s="103">
        <f t="shared" si="72"/>
        <v>1.141299783481092E-4</v>
      </c>
      <c r="U149" s="103">
        <f t="shared" si="72"/>
        <v>1.3039560697310001E-4</v>
      </c>
      <c r="V149" s="103">
        <f t="shared" si="72"/>
        <v>1.5660238653305178E-4</v>
      </c>
      <c r="W149" s="103">
        <f t="shared" ref="W149:Y149" si="73">IF(W29=0,0,W29/W$17)</f>
        <v>1.9627602045120044E-4</v>
      </c>
      <c r="X149" s="103">
        <f t="shared" si="73"/>
        <v>2.8523086010236252E-4</v>
      </c>
      <c r="Y149" s="103">
        <f t="shared" si="73"/>
        <v>5.0335629223347955E-4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0</v>
      </c>
      <c r="M150" s="103">
        <f t="shared" ref="M150:V150" si="76">IF(M32=0,0,M32/M$17)</f>
        <v>7.8661521026362749E-7</v>
      </c>
      <c r="N150" s="103">
        <f t="shared" si="76"/>
        <v>1.8570803982258798E-6</v>
      </c>
      <c r="O150" s="103">
        <f t="shared" si="76"/>
        <v>2.2143991354399611E-6</v>
      </c>
      <c r="P150" s="103">
        <f t="shared" si="76"/>
        <v>5.3208870514539638E-6</v>
      </c>
      <c r="Q150" s="103">
        <f t="shared" si="76"/>
        <v>1.1847316740649986E-5</v>
      </c>
      <c r="R150" s="103">
        <f t="shared" si="76"/>
        <v>1.9036398439952912E-5</v>
      </c>
      <c r="S150" s="103">
        <f t="shared" si="76"/>
        <v>3.480462858855574E-5</v>
      </c>
      <c r="T150" s="103">
        <f t="shared" si="76"/>
        <v>5.5474112734383262E-5</v>
      </c>
      <c r="U150" s="103">
        <f t="shared" si="76"/>
        <v>1.0403490148501648E-4</v>
      </c>
      <c r="V150" s="103">
        <f t="shared" si="76"/>
        <v>2.1110255620095545E-4</v>
      </c>
      <c r="W150" s="103">
        <f t="shared" ref="W150:Y150" si="77">IF(W32=0,0,W32/W$17)</f>
        <v>3.1997628320745865E-4</v>
      </c>
      <c r="X150" s="103">
        <f t="shared" si="77"/>
        <v>4.3301576005565646E-4</v>
      </c>
      <c r="Y150" s="103">
        <f t="shared" si="77"/>
        <v>7.0740758891919841E-4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6.6801335429168524E-2</v>
      </c>
      <c r="C151" s="156">
        <f t="shared" si="78"/>
        <v>5.8408015037114916E-2</v>
      </c>
      <c r="D151" s="156">
        <f t="shared" si="78"/>
        <v>5.4840028891284323E-2</v>
      </c>
      <c r="E151" s="156">
        <f t="shared" si="78"/>
        <v>5.2462791243056507E-2</v>
      </c>
      <c r="F151" s="156">
        <f t="shared" si="78"/>
        <v>5.1370331959939487E-2</v>
      </c>
      <c r="G151" s="156">
        <f t="shared" si="78"/>
        <v>4.6646380890752633E-2</v>
      </c>
      <c r="H151" s="156">
        <f t="shared" si="78"/>
        <v>4.4886754706543255E-2</v>
      </c>
      <c r="I151" s="156">
        <f t="shared" si="78"/>
        <v>3.982503021460073E-2</v>
      </c>
      <c r="J151" s="156">
        <f t="shared" si="78"/>
        <v>3.384181155235047E-2</v>
      </c>
      <c r="K151" s="156">
        <f t="shared" si="78"/>
        <v>4.0614405556647047E-2</v>
      </c>
      <c r="L151" s="156">
        <f t="shared" ref="L151" si="79">IF(L33=0,0,L33/L$17)</f>
        <v>3.9051493577535311E-2</v>
      </c>
      <c r="M151" s="156">
        <f t="shared" ref="M151:V151" si="80">IF(M33=0,0,M33/M$17)</f>
        <v>3.7549970632688404E-2</v>
      </c>
      <c r="N151" s="156">
        <f t="shared" si="80"/>
        <v>3.700001409083474E-2</v>
      </c>
      <c r="O151" s="156">
        <f t="shared" si="80"/>
        <v>3.9800080860850198E-2</v>
      </c>
      <c r="P151" s="156">
        <f t="shared" si="80"/>
        <v>4.0195816043285051E-2</v>
      </c>
      <c r="Q151" s="156">
        <f t="shared" si="80"/>
        <v>4.2305435808978407E-2</v>
      </c>
      <c r="R151" s="156">
        <f t="shared" si="80"/>
        <v>3.8518381381317093E-2</v>
      </c>
      <c r="S151" s="156">
        <f t="shared" si="80"/>
        <v>3.9152936368952833E-2</v>
      </c>
      <c r="T151" s="156">
        <f t="shared" si="80"/>
        <v>3.7756365990325724E-2</v>
      </c>
      <c r="U151" s="156">
        <f t="shared" si="80"/>
        <v>4.076139929428179E-2</v>
      </c>
      <c r="V151" s="156">
        <f t="shared" si="80"/>
        <v>3.0514827094688619E-2</v>
      </c>
      <c r="W151" s="156">
        <f t="shared" ref="W151:Y151" si="81">IF(W33=0,0,W33/W$17)</f>
        <v>3.1280508317573015E-2</v>
      </c>
      <c r="X151" s="156">
        <f t="shared" si="81"/>
        <v>3.429354927325539E-2</v>
      </c>
      <c r="Y151" s="156">
        <f t="shared" si="81"/>
        <v>3.8948076509541851E-2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3.4841725104770596E-4</v>
      </c>
      <c r="C152" s="103">
        <f t="shared" si="82"/>
        <v>2.9932850904782881E-4</v>
      </c>
      <c r="D152" s="103">
        <f t="shared" si="82"/>
        <v>2.6205608114590986E-4</v>
      </c>
      <c r="E152" s="103">
        <f t="shared" si="82"/>
        <v>2.2329863340813592E-4</v>
      </c>
      <c r="F152" s="103">
        <f t="shared" si="82"/>
        <v>1.8302555395505231E-4</v>
      </c>
      <c r="G152" s="103">
        <f t="shared" si="82"/>
        <v>1.5116106231618525E-4</v>
      </c>
      <c r="H152" s="103">
        <f t="shared" si="82"/>
        <v>1.2853957652697478E-4</v>
      </c>
      <c r="I152" s="103">
        <f t="shared" si="82"/>
        <v>9.7348989941449225E-5</v>
      </c>
      <c r="J152" s="103">
        <f t="shared" si="82"/>
        <v>6.5140065361368149E-5</v>
      </c>
      <c r="K152" s="103">
        <f t="shared" si="82"/>
        <v>6.5057194167305888E-5</v>
      </c>
      <c r="L152" s="103">
        <f t="shared" ref="L152" si="83">IF(L34=0,0,L34/L$17)</f>
        <v>5.1867634095861E-5</v>
      </c>
      <c r="M152" s="103">
        <f t="shared" ref="M152:V152" si="84">IF(M34=0,0,M34/M$17)</f>
        <v>3.8844694630361961E-5</v>
      </c>
      <c r="N152" s="103">
        <f t="shared" si="84"/>
        <v>3.3133108909002438E-5</v>
      </c>
      <c r="O152" s="103">
        <f t="shared" si="84"/>
        <v>2.679098856154682E-5</v>
      </c>
      <c r="P152" s="103">
        <f t="shared" si="84"/>
        <v>2.1587805995747454E-5</v>
      </c>
      <c r="Q152" s="103">
        <f t="shared" si="84"/>
        <v>1.6746684837009718E-5</v>
      </c>
      <c r="R152" s="103">
        <f t="shared" si="84"/>
        <v>1.5587063303441822E-5</v>
      </c>
      <c r="S152" s="103">
        <f t="shared" si="84"/>
        <v>1.4657780007651263E-5</v>
      </c>
      <c r="T152" s="103">
        <f t="shared" si="84"/>
        <v>1.35471461160718E-5</v>
      </c>
      <c r="U152" s="103">
        <f t="shared" si="84"/>
        <v>1.3517472453709546E-5</v>
      </c>
      <c r="V152" s="103">
        <f t="shared" si="84"/>
        <v>1.2545854064664927E-5</v>
      </c>
      <c r="W152" s="103">
        <f t="shared" ref="W152:Y152" si="85">IF(W34=0,0,W34/W$17)</f>
        <v>1.0894082535141412E-5</v>
      </c>
      <c r="X152" s="103">
        <f t="shared" si="85"/>
        <v>8.0874931002374971E-6</v>
      </c>
      <c r="Y152" s="103">
        <f t="shared" si="85"/>
        <v>6.2185409778724924E-5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6.6452918178120809E-2</v>
      </c>
      <c r="C153" s="103">
        <f t="shared" si="86"/>
        <v>5.8108686528067097E-2</v>
      </c>
      <c r="D153" s="103">
        <f t="shared" si="86"/>
        <v>5.4577972810138417E-2</v>
      </c>
      <c r="E153" s="103">
        <f t="shared" si="86"/>
        <v>5.2239492609648372E-2</v>
      </c>
      <c r="F153" s="103">
        <f t="shared" si="86"/>
        <v>5.1187306405984428E-2</v>
      </c>
      <c r="G153" s="103">
        <f t="shared" si="86"/>
        <v>4.6495219828436449E-2</v>
      </c>
      <c r="H153" s="103">
        <f t="shared" si="86"/>
        <v>4.4758215130016273E-2</v>
      </c>
      <c r="I153" s="103">
        <f t="shared" si="86"/>
        <v>3.9727681224659285E-2</v>
      </c>
      <c r="J153" s="103">
        <f t="shared" si="86"/>
        <v>3.3776671486989103E-2</v>
      </c>
      <c r="K153" s="103">
        <f t="shared" si="86"/>
        <v>4.054934836247974E-2</v>
      </c>
      <c r="L153" s="103">
        <f t="shared" ref="L153" si="87">IF(L36=0,0,L36/L$17)</f>
        <v>3.8999625943439448E-2</v>
      </c>
      <c r="M153" s="103">
        <f t="shared" ref="M153:V153" si="88">IF(M36=0,0,M36/M$17)</f>
        <v>3.7511125938058047E-2</v>
      </c>
      <c r="N153" s="103">
        <f t="shared" si="88"/>
        <v>3.6602742910764423E-2</v>
      </c>
      <c r="O153" s="103">
        <f t="shared" si="88"/>
        <v>3.9342597427689446E-2</v>
      </c>
      <c r="P153" s="103">
        <f t="shared" si="88"/>
        <v>3.9583314931198786E-2</v>
      </c>
      <c r="Q153" s="103">
        <f t="shared" si="88"/>
        <v>4.1182874320640418E-2</v>
      </c>
      <c r="R153" s="103">
        <f t="shared" si="88"/>
        <v>3.70741180843508E-2</v>
      </c>
      <c r="S153" s="103">
        <f t="shared" si="88"/>
        <v>3.7545768284492E-2</v>
      </c>
      <c r="T153" s="103">
        <f t="shared" si="88"/>
        <v>3.6149380404464991E-2</v>
      </c>
      <c r="U153" s="103">
        <f t="shared" si="88"/>
        <v>3.8536588041208637E-2</v>
      </c>
      <c r="V153" s="103">
        <f t="shared" si="88"/>
        <v>2.8392288067148535E-2</v>
      </c>
      <c r="W153" s="103">
        <f t="shared" ref="W153:Y153" si="89">IF(W36=0,0,W36/W$17)</f>
        <v>2.8805372200224742E-2</v>
      </c>
      <c r="X153" s="103">
        <f t="shared" si="89"/>
        <v>3.1854214594566561E-2</v>
      </c>
      <c r="Y153" s="103">
        <f t="shared" si="89"/>
        <v>3.6111902604912816E-2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3.6413807116131221E-4</v>
      </c>
      <c r="O155" s="103">
        <f t="shared" si="96"/>
        <v>4.306924445991968E-4</v>
      </c>
      <c r="P155" s="103">
        <f t="shared" si="96"/>
        <v>5.7029634812945916E-4</v>
      </c>
      <c r="Q155" s="103">
        <f t="shared" si="96"/>
        <v>1.0849275774598478E-3</v>
      </c>
      <c r="R155" s="103">
        <f t="shared" si="96"/>
        <v>1.3895147347434396E-3</v>
      </c>
      <c r="S155" s="103">
        <f t="shared" si="96"/>
        <v>1.5639074663282488E-3</v>
      </c>
      <c r="T155" s="103">
        <f t="shared" si="96"/>
        <v>1.5567675826040493E-3</v>
      </c>
      <c r="U155" s="103">
        <f t="shared" si="96"/>
        <v>2.1567410661180184E-3</v>
      </c>
      <c r="V155" s="103">
        <f t="shared" si="96"/>
        <v>2.0553838828421449E-3</v>
      </c>
      <c r="W155" s="103">
        <f t="shared" ref="W155:Y155" si="97">IF(W39=0,0,W39/W$17)</f>
        <v>2.4074202239809024E-3</v>
      </c>
      <c r="X155" s="103">
        <f t="shared" si="97"/>
        <v>2.3460293108629551E-3</v>
      </c>
      <c r="Y155" s="103">
        <f t="shared" si="97"/>
        <v>2.5406710919323163E-3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0</v>
      </c>
      <c r="M156" s="103">
        <f t="shared" ref="M156:V156" si="100">IF(M41=0,0,M41/M$17)</f>
        <v>0</v>
      </c>
      <c r="N156" s="103">
        <f t="shared" si="100"/>
        <v>0</v>
      </c>
      <c r="O156" s="103">
        <f t="shared" si="100"/>
        <v>0</v>
      </c>
      <c r="P156" s="103">
        <f t="shared" si="100"/>
        <v>2.0616957961052186E-5</v>
      </c>
      <c r="Q156" s="103">
        <f t="shared" si="100"/>
        <v>2.0887226041135935E-5</v>
      </c>
      <c r="R156" s="103">
        <f t="shared" si="100"/>
        <v>3.9161498919406684E-5</v>
      </c>
      <c r="S156" s="103">
        <f t="shared" si="100"/>
        <v>2.860283812492459E-5</v>
      </c>
      <c r="T156" s="103">
        <f t="shared" si="100"/>
        <v>3.6670857140612196E-5</v>
      </c>
      <c r="U156" s="103">
        <f t="shared" si="100"/>
        <v>5.4552714501422988E-5</v>
      </c>
      <c r="V156" s="103">
        <f t="shared" si="100"/>
        <v>5.4609290633275786E-5</v>
      </c>
      <c r="W156" s="103">
        <f t="shared" ref="W156:Y156" si="101">IF(W41=0,0,W41/W$17)</f>
        <v>5.6821810832229975E-5</v>
      </c>
      <c r="X156" s="103">
        <f t="shared" si="101"/>
        <v>8.5217874725631806E-5</v>
      </c>
      <c r="Y156" s="103">
        <f t="shared" si="101"/>
        <v>2.3331740291800303E-4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9.4441633357851176E-2</v>
      </c>
      <c r="C157" s="46">
        <f t="shared" si="102"/>
        <v>0.13547109716008454</v>
      </c>
      <c r="D157" s="46">
        <f t="shared" si="102"/>
        <v>0.14393013365073426</v>
      </c>
      <c r="E157" s="46">
        <f t="shared" si="102"/>
        <v>0.1691385480735047</v>
      </c>
      <c r="F157" s="46">
        <f t="shared" si="102"/>
        <v>0.2287955008696809</v>
      </c>
      <c r="G157" s="46">
        <f t="shared" si="102"/>
        <v>0.25511946752075332</v>
      </c>
      <c r="H157" s="46">
        <f t="shared" si="102"/>
        <v>0.27185963222524534</v>
      </c>
      <c r="I157" s="46">
        <f t="shared" si="102"/>
        <v>0.33889283350561411</v>
      </c>
      <c r="J157" s="46">
        <f t="shared" si="102"/>
        <v>0.40105107898580483</v>
      </c>
      <c r="K157" s="46">
        <f t="shared" si="102"/>
        <v>0.30471755825344932</v>
      </c>
      <c r="L157" s="46">
        <f t="shared" ref="L157" si="103">IF(L42=0,0,L42/L$17)</f>
        <v>0.31711506800606498</v>
      </c>
      <c r="M157" s="46">
        <f t="shared" ref="M157:V157" si="104">IF(M42=0,0,M42/M$17)</f>
        <v>0.3502774206072467</v>
      </c>
      <c r="N157" s="46">
        <f t="shared" si="104"/>
        <v>0.37436234599561957</v>
      </c>
      <c r="O157" s="46">
        <f t="shared" si="104"/>
        <v>0.35957418230724381</v>
      </c>
      <c r="P157" s="46">
        <f t="shared" si="104"/>
        <v>0.35802280785870427</v>
      </c>
      <c r="Q157" s="46">
        <f t="shared" si="104"/>
        <v>0.34648380920696542</v>
      </c>
      <c r="R157" s="46">
        <f t="shared" si="104"/>
        <v>0.38261681352450427</v>
      </c>
      <c r="S157" s="46">
        <f t="shared" si="104"/>
        <v>0.38029411657131273</v>
      </c>
      <c r="T157" s="46">
        <f t="shared" si="104"/>
        <v>0.37600219942959895</v>
      </c>
      <c r="U157" s="46">
        <f t="shared" si="104"/>
        <v>0.36023629219335307</v>
      </c>
      <c r="V157" s="46">
        <f t="shared" si="104"/>
        <v>0.34570431443654825</v>
      </c>
      <c r="W157" s="46">
        <f t="shared" ref="W157:Y157" si="105">IF(W42=0,0,W42/W$17)</f>
        <v>0.38093417525428935</v>
      </c>
      <c r="X157" s="46">
        <f t="shared" si="105"/>
        <v>0.37891090807931538</v>
      </c>
      <c r="Y157" s="46">
        <f t="shared" si="105"/>
        <v>0.3154018081949696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3.4456342091384685E-2</v>
      </c>
      <c r="C158" s="154">
        <f t="shared" si="106"/>
        <v>3.4575194381951668E-2</v>
      </c>
      <c r="D158" s="154">
        <f t="shared" si="106"/>
        <v>3.6222920972074406E-2</v>
      </c>
      <c r="E158" s="154">
        <f t="shared" si="106"/>
        <v>3.8644892360522529E-2</v>
      </c>
      <c r="F158" s="154">
        <f t="shared" si="106"/>
        <v>4.1806823260162419E-2</v>
      </c>
      <c r="G158" s="154">
        <f t="shared" si="106"/>
        <v>4.3173219288118986E-2</v>
      </c>
      <c r="H158" s="154">
        <f t="shared" si="106"/>
        <v>4.5146052636869285E-2</v>
      </c>
      <c r="I158" s="154">
        <f t="shared" si="106"/>
        <v>4.5726354530626775E-2</v>
      </c>
      <c r="J158" s="154">
        <f t="shared" si="106"/>
        <v>4.3000225232754666E-2</v>
      </c>
      <c r="K158" s="154">
        <f t="shared" si="106"/>
        <v>5.3083158287635997E-2</v>
      </c>
      <c r="L158" s="154">
        <f t="shared" ref="L158" si="107">IF(L43=0,0,L43/L$17)</f>
        <v>5.2295916361339796E-2</v>
      </c>
      <c r="M158" s="154">
        <f t="shared" ref="M158:V158" si="108">IF(M43=0,0,M43/M$17)</f>
        <v>5.179498571346184E-2</v>
      </c>
      <c r="N158" s="154">
        <f t="shared" si="108"/>
        <v>5.1744790143540283E-2</v>
      </c>
      <c r="O158" s="154">
        <f t="shared" si="108"/>
        <v>5.5801749823248988E-2</v>
      </c>
      <c r="P158" s="154">
        <f t="shared" si="108"/>
        <v>5.9174134913310139E-2</v>
      </c>
      <c r="Q158" s="154">
        <f t="shared" si="108"/>
        <v>6.30331747895225E-2</v>
      </c>
      <c r="R158" s="154">
        <f t="shared" si="108"/>
        <v>6.2279371529615019E-2</v>
      </c>
      <c r="S158" s="154">
        <f t="shared" si="108"/>
        <v>6.4129156023122011E-2</v>
      </c>
      <c r="T158" s="154">
        <f t="shared" si="108"/>
        <v>6.6513412762593024E-2</v>
      </c>
      <c r="U158" s="154">
        <f t="shared" si="108"/>
        <v>7.185515201267817E-2</v>
      </c>
      <c r="V158" s="154">
        <f t="shared" si="108"/>
        <v>9.0474322077725017E-2</v>
      </c>
      <c r="W158" s="154">
        <f t="shared" ref="W158:Y158" si="109">IF(W43=0,0,W43/W$17)</f>
        <v>8.3423188047696439E-2</v>
      </c>
      <c r="X158" s="154">
        <f t="shared" si="109"/>
        <v>7.9746407074348963E-2</v>
      </c>
      <c r="Y158" s="154">
        <f t="shared" si="109"/>
        <v>8.8670747059985788E-2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5.735632385341939E-3</v>
      </c>
      <c r="C159" s="103">
        <f t="shared" si="110"/>
        <v>5.7032123286524673E-3</v>
      </c>
      <c r="D159" s="103">
        <f t="shared" si="110"/>
        <v>5.726865130515478E-3</v>
      </c>
      <c r="E159" s="103">
        <f t="shared" si="110"/>
        <v>5.6316910496211191E-3</v>
      </c>
      <c r="F159" s="103">
        <f t="shared" si="110"/>
        <v>5.6019384231671835E-3</v>
      </c>
      <c r="G159" s="103">
        <f t="shared" si="110"/>
        <v>5.1206549345791334E-3</v>
      </c>
      <c r="H159" s="103">
        <f t="shared" si="110"/>
        <v>4.4922528939645087E-3</v>
      </c>
      <c r="I159" s="103">
        <f t="shared" si="110"/>
        <v>4.0720786233771344E-3</v>
      </c>
      <c r="J159" s="103">
        <f t="shared" si="110"/>
        <v>3.3403047819718775E-3</v>
      </c>
      <c r="K159" s="103">
        <f t="shared" si="110"/>
        <v>3.6995000530025361E-3</v>
      </c>
      <c r="L159" s="103">
        <f t="shared" ref="L159" si="111">IF(L44=0,0,L44/L$17)</f>
        <v>3.3140088476348831E-3</v>
      </c>
      <c r="M159" s="103">
        <f t="shared" ref="M159:V159" si="112">IF(M44=0,0,M44/M$17)</f>
        <v>2.9806931625614703E-3</v>
      </c>
      <c r="N159" s="103">
        <f t="shared" si="112"/>
        <v>2.7848294069912553E-3</v>
      </c>
      <c r="O159" s="103">
        <f t="shared" si="112"/>
        <v>2.7912650403198245E-3</v>
      </c>
      <c r="P159" s="103">
        <f t="shared" si="112"/>
        <v>2.52664714795847E-3</v>
      </c>
      <c r="Q159" s="103">
        <f t="shared" si="112"/>
        <v>2.4172149437900938E-3</v>
      </c>
      <c r="R159" s="103">
        <f t="shared" si="112"/>
        <v>2.1321130736031636E-3</v>
      </c>
      <c r="S159" s="103">
        <f t="shared" si="112"/>
        <v>2.0148513778266057E-3</v>
      </c>
      <c r="T159" s="103">
        <f t="shared" si="112"/>
        <v>1.9607034360467554E-3</v>
      </c>
      <c r="U159" s="103">
        <f t="shared" si="112"/>
        <v>1.9991183800028905E-3</v>
      </c>
      <c r="V159" s="103">
        <f t="shared" si="112"/>
        <v>2.366419307728389E-3</v>
      </c>
      <c r="W159" s="103">
        <f t="shared" ref="W159:Y159" si="113">IF(W44=0,0,W44/W$17)</f>
        <v>2.0349382719984338E-3</v>
      </c>
      <c r="X159" s="103">
        <f t="shared" si="113"/>
        <v>1.8315263405466753E-3</v>
      </c>
      <c r="Y159" s="103">
        <f t="shared" si="113"/>
        <v>2.0279227523197357E-3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2.8720709706042753E-2</v>
      </c>
      <c r="C160" s="103">
        <f t="shared" si="114"/>
        <v>2.8871982053299203E-2</v>
      </c>
      <c r="D160" s="103">
        <f t="shared" si="114"/>
        <v>3.0496055841558931E-2</v>
      </c>
      <c r="E160" s="103">
        <f t="shared" si="114"/>
        <v>3.3013201310901408E-2</v>
      </c>
      <c r="F160" s="103">
        <f t="shared" si="114"/>
        <v>3.6204884836995237E-2</v>
      </c>
      <c r="G160" s="103">
        <f t="shared" si="114"/>
        <v>3.8052564353539854E-2</v>
      </c>
      <c r="H160" s="103">
        <f t="shared" si="114"/>
        <v>4.0273512209346142E-2</v>
      </c>
      <c r="I160" s="103">
        <f t="shared" si="114"/>
        <v>4.128361144226033E-2</v>
      </c>
      <c r="J160" s="103">
        <f t="shared" si="114"/>
        <v>3.9215369880385618E-2</v>
      </c>
      <c r="K160" s="103">
        <f t="shared" si="114"/>
        <v>4.917344446771818E-2</v>
      </c>
      <c r="L160" s="103">
        <f t="shared" ref="L160" si="115">IF(L46=0,0,L46/L$17)</f>
        <v>4.8904008088679347E-2</v>
      </c>
      <c r="M160" s="103">
        <f t="shared" ref="M160:V160" si="116">IF(M46=0,0,M46/M$17)</f>
        <v>4.874642974974433E-2</v>
      </c>
      <c r="N160" s="103">
        <f t="shared" si="116"/>
        <v>4.8895617014793301E-2</v>
      </c>
      <c r="O160" s="103">
        <f t="shared" si="116"/>
        <v>5.2945178103524233E-2</v>
      </c>
      <c r="P160" s="103">
        <f t="shared" si="116"/>
        <v>5.6278302214708004E-2</v>
      </c>
      <c r="Q160" s="103">
        <f t="shared" si="116"/>
        <v>6.0134674061238541E-2</v>
      </c>
      <c r="R160" s="103">
        <f t="shared" si="116"/>
        <v>5.9702459069509446E-2</v>
      </c>
      <c r="S160" s="103">
        <f t="shared" si="116"/>
        <v>6.1691291538526059E-2</v>
      </c>
      <c r="T160" s="103">
        <f t="shared" si="116"/>
        <v>6.41607716194975E-2</v>
      </c>
      <c r="U160" s="103">
        <f t="shared" si="116"/>
        <v>6.9427839062656108E-2</v>
      </c>
      <c r="V160" s="103">
        <f t="shared" si="116"/>
        <v>8.7589137141401666E-2</v>
      </c>
      <c r="W160" s="103">
        <f t="shared" ref="W160:Y160" si="117">IF(W46=0,0,W46/W$17)</f>
        <v>8.0809896992520974E-2</v>
      </c>
      <c r="X160" s="103">
        <f t="shared" si="117"/>
        <v>7.7485356142492745E-2</v>
      </c>
      <c r="Y160" s="103">
        <f t="shared" si="117"/>
        <v>8.6168269988686735E-2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3.8028753355862625E-4</v>
      </c>
      <c r="I161" s="103">
        <f t="shared" si="118"/>
        <v>3.7066446498931223E-4</v>
      </c>
      <c r="J161" s="103">
        <f t="shared" si="118"/>
        <v>4.4455057039717154E-4</v>
      </c>
      <c r="K161" s="103">
        <f t="shared" si="118"/>
        <v>2.102137669152776E-4</v>
      </c>
      <c r="L161" s="103">
        <f t="shared" ref="L161" si="119">IF(L48=0,0,L48/L$17)</f>
        <v>7.7899425025565857E-5</v>
      </c>
      <c r="M161" s="103">
        <f t="shared" ref="M161:V161" si="120">IF(M48=0,0,M48/M$17)</f>
        <v>6.7862801156039372E-5</v>
      </c>
      <c r="N161" s="103">
        <f t="shared" si="120"/>
        <v>6.4343721755720433E-5</v>
      </c>
      <c r="O161" s="103">
        <f t="shared" si="120"/>
        <v>6.530667940493097E-5</v>
      </c>
      <c r="P161" s="103">
        <f t="shared" si="120"/>
        <v>3.4811512968602908E-4</v>
      </c>
      <c r="Q161" s="103">
        <f t="shared" si="120"/>
        <v>4.2050235152223228E-4</v>
      </c>
      <c r="R161" s="103">
        <f t="shared" si="120"/>
        <v>3.8896656032199147E-4</v>
      </c>
      <c r="S161" s="103">
        <f t="shared" si="120"/>
        <v>3.6364284526564953E-4</v>
      </c>
      <c r="T161" s="103">
        <f t="shared" si="120"/>
        <v>3.3296237561220211E-4</v>
      </c>
      <c r="U161" s="103">
        <f t="shared" si="120"/>
        <v>3.5029047014708327E-4</v>
      </c>
      <c r="V161" s="103">
        <f t="shared" si="120"/>
        <v>4.1871105437139616E-4</v>
      </c>
      <c r="W161" s="103">
        <f t="shared" ref="W161:Y161" si="121">IF(W48=0,0,W48/W$17)</f>
        <v>4.7849865069029022E-4</v>
      </c>
      <c r="X161" s="103">
        <f t="shared" si="121"/>
        <v>3.2869055772697064E-4</v>
      </c>
      <c r="Y161" s="103">
        <f t="shared" si="121"/>
        <v>3.4401863256412545E-4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1.8927798537836617E-5</v>
      </c>
      <c r="Q162" s="103">
        <f t="shared" si="124"/>
        <v>5.5181688152713028E-5</v>
      </c>
      <c r="R162" s="103">
        <f t="shared" si="124"/>
        <v>4.6667671902878833E-5</v>
      </c>
      <c r="S162" s="103">
        <f t="shared" si="124"/>
        <v>4.1782630100033884E-5</v>
      </c>
      <c r="T162" s="103">
        <f t="shared" si="124"/>
        <v>3.9689574310423537E-5</v>
      </c>
      <c r="U162" s="103">
        <f t="shared" si="124"/>
        <v>5.3487564485913814E-5</v>
      </c>
      <c r="V162" s="103">
        <f t="shared" si="124"/>
        <v>6.636905861688305E-5</v>
      </c>
      <c r="W162" s="103">
        <f t="shared" ref="W162:Y162" si="125">IF(W49=0,0,W49/W$17)</f>
        <v>5.9533008679822141E-5</v>
      </c>
      <c r="X162" s="103">
        <f t="shared" si="125"/>
        <v>5.5444311460084204E-5</v>
      </c>
      <c r="Y162" s="103">
        <f t="shared" si="125"/>
        <v>5.8280516935974465E-5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0</v>
      </c>
      <c r="N163" s="103">
        <f t="shared" si="128"/>
        <v>0</v>
      </c>
      <c r="O163" s="103">
        <f t="shared" si="128"/>
        <v>0</v>
      </c>
      <c r="P163" s="103">
        <f t="shared" si="128"/>
        <v>2.1426224197970878E-6</v>
      </c>
      <c r="Q163" s="103">
        <f t="shared" si="128"/>
        <v>5.6017448189140526E-6</v>
      </c>
      <c r="R163" s="103">
        <f t="shared" si="128"/>
        <v>9.1651542775347573E-6</v>
      </c>
      <c r="S163" s="103">
        <f t="shared" si="128"/>
        <v>1.7587631403658832E-5</v>
      </c>
      <c r="T163" s="103">
        <f t="shared" si="128"/>
        <v>1.9285757126156016E-5</v>
      </c>
      <c r="U163" s="103">
        <f t="shared" si="128"/>
        <v>2.4416535386199812E-5</v>
      </c>
      <c r="V163" s="103">
        <f t="shared" si="128"/>
        <v>3.3685515606679612E-5</v>
      </c>
      <c r="W163" s="103">
        <f t="shared" ref="W163:Y163" si="129">IF(W51=0,0,W51/W$17)</f>
        <v>4.0321123806913542E-5</v>
      </c>
      <c r="X163" s="103">
        <f t="shared" si="129"/>
        <v>4.5389722122509252E-5</v>
      </c>
      <c r="Y163" s="103">
        <f t="shared" si="129"/>
        <v>7.2255169479234173E-5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5.9985291266466484E-2</v>
      </c>
      <c r="C164" s="156">
        <f t="shared" si="130"/>
        <v>0.10089590277813287</v>
      </c>
      <c r="D164" s="156">
        <f t="shared" si="130"/>
        <v>0.10770721267865986</v>
      </c>
      <c r="E164" s="156">
        <f t="shared" si="130"/>
        <v>0.13049365571298219</v>
      </c>
      <c r="F164" s="156">
        <f t="shared" si="130"/>
        <v>0.18698867760951846</v>
      </c>
      <c r="G164" s="156">
        <f t="shared" si="130"/>
        <v>0.21194624823263433</v>
      </c>
      <c r="H164" s="156">
        <f t="shared" si="130"/>
        <v>0.22671357958837604</v>
      </c>
      <c r="I164" s="156">
        <f t="shared" si="130"/>
        <v>0.29316647897498732</v>
      </c>
      <c r="J164" s="156">
        <f t="shared" si="130"/>
        <v>0.35805085375305012</v>
      </c>
      <c r="K164" s="156">
        <f t="shared" si="130"/>
        <v>0.25163439996581327</v>
      </c>
      <c r="L164" s="156">
        <f t="shared" ref="L164" si="131">IF(L52=0,0,L52/L$17)</f>
        <v>0.26481915164472519</v>
      </c>
      <c r="M164" s="156">
        <f t="shared" ref="M164:V164" si="132">IF(M52=0,0,M52/M$17)</f>
        <v>0.2984824348937849</v>
      </c>
      <c r="N164" s="156">
        <f t="shared" si="132"/>
        <v>0.3226175558520793</v>
      </c>
      <c r="O164" s="156">
        <f t="shared" si="132"/>
        <v>0.30377243248399483</v>
      </c>
      <c r="P164" s="156">
        <f t="shared" si="132"/>
        <v>0.29884867294539413</v>
      </c>
      <c r="Q164" s="156">
        <f t="shared" si="132"/>
        <v>0.28345063441744289</v>
      </c>
      <c r="R164" s="156">
        <f t="shared" si="132"/>
        <v>0.32033744199488928</v>
      </c>
      <c r="S164" s="156">
        <f t="shared" si="132"/>
        <v>0.31616496054819071</v>
      </c>
      <c r="T164" s="156">
        <f t="shared" si="132"/>
        <v>0.30948878666700591</v>
      </c>
      <c r="U164" s="156">
        <f t="shared" si="132"/>
        <v>0.2883811401806749</v>
      </c>
      <c r="V164" s="156">
        <f t="shared" si="132"/>
        <v>0.25522999235882327</v>
      </c>
      <c r="W164" s="156">
        <f t="shared" ref="W164:Y164" si="133">IF(W52=0,0,W52/W$17)</f>
        <v>0.29751098720659291</v>
      </c>
      <c r="X164" s="156">
        <f t="shared" si="133"/>
        <v>0.29916450100496639</v>
      </c>
      <c r="Y164" s="156">
        <f t="shared" si="133"/>
        <v>0.22673106113498379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5.6901562268660326E-2</v>
      </c>
      <c r="C165" s="104">
        <f t="shared" si="134"/>
        <v>5.7770588403428781E-2</v>
      </c>
      <c r="D165" s="104">
        <f t="shared" si="134"/>
        <v>6.5797104660948152E-2</v>
      </c>
      <c r="E165" s="104">
        <f t="shared" si="134"/>
        <v>7.1017540265085444E-2</v>
      </c>
      <c r="F165" s="104">
        <f t="shared" si="134"/>
        <v>9.1451942991906857E-2</v>
      </c>
      <c r="G165" s="104">
        <f t="shared" si="134"/>
        <v>9.0937937358401083E-2</v>
      </c>
      <c r="H165" s="104">
        <f t="shared" si="134"/>
        <v>8.1588156830392958E-2</v>
      </c>
      <c r="I165" s="104">
        <f t="shared" si="134"/>
        <v>8.3021869345966545E-2</v>
      </c>
      <c r="J165" s="104">
        <f t="shared" si="134"/>
        <v>7.7931442935720879E-2</v>
      </c>
      <c r="K165" s="104">
        <f t="shared" si="134"/>
        <v>7.1714141113345564E-2</v>
      </c>
      <c r="L165" s="104">
        <f t="shared" ref="L165" si="135">IF(L53=0,0,L53/L$17)</f>
        <v>7.2150499416702915E-2</v>
      </c>
      <c r="M165" s="104">
        <f t="shared" ref="M165:V165" si="136">IF(M53=0,0,M53/M$17)</f>
        <v>6.7121502533352112E-2</v>
      </c>
      <c r="N165" s="104">
        <f t="shared" si="136"/>
        <v>6.1875780800135068E-2</v>
      </c>
      <c r="O165" s="104">
        <f t="shared" si="136"/>
        <v>5.9790496264416196E-2</v>
      </c>
      <c r="P165" s="104">
        <f t="shared" si="136"/>
        <v>6.4116112274245129E-2</v>
      </c>
      <c r="Q165" s="104">
        <f t="shared" si="136"/>
        <v>6.0826191305671337E-2</v>
      </c>
      <c r="R165" s="104">
        <f t="shared" si="136"/>
        <v>5.94010851995391E-2</v>
      </c>
      <c r="S165" s="104">
        <f t="shared" si="136"/>
        <v>6.0754126082477114E-2</v>
      </c>
      <c r="T165" s="104">
        <f t="shared" si="136"/>
        <v>5.6645149474246863E-2</v>
      </c>
      <c r="U165" s="104">
        <f t="shared" si="136"/>
        <v>5.8102890805132229E-2</v>
      </c>
      <c r="V165" s="104">
        <f t="shared" si="136"/>
        <v>6.4152475207872262E-2</v>
      </c>
      <c r="W165" s="104">
        <f t="shared" ref="W165:Y165" si="137">IF(W53=0,0,W53/W$17)</f>
        <v>6.4661574307086508E-2</v>
      </c>
      <c r="X165" s="104">
        <f t="shared" si="137"/>
        <v>6.2314266045772407E-2</v>
      </c>
      <c r="Y165" s="104">
        <f t="shared" si="137"/>
        <v>6.5471141245866435E-2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3.0837289978061589E-3</v>
      </c>
      <c r="C166" s="105">
        <f t="shared" si="138"/>
        <v>4.3125314374704092E-2</v>
      </c>
      <c r="D166" s="105">
        <f t="shared" si="138"/>
        <v>4.1910108017711702E-2</v>
      </c>
      <c r="E166" s="105">
        <f t="shared" si="138"/>
        <v>5.947611544789673E-2</v>
      </c>
      <c r="F166" s="105">
        <f t="shared" si="138"/>
        <v>9.5536734617611613E-2</v>
      </c>
      <c r="G166" s="105">
        <f t="shared" si="138"/>
        <v>0.12100831087423325</v>
      </c>
      <c r="H166" s="105">
        <f t="shared" si="138"/>
        <v>0.14512542275798307</v>
      </c>
      <c r="I166" s="105">
        <f t="shared" si="138"/>
        <v>0.21014460962902079</v>
      </c>
      <c r="J166" s="105">
        <f t="shared" si="138"/>
        <v>0.28011941081732927</v>
      </c>
      <c r="K166" s="105">
        <f t="shared" si="138"/>
        <v>0.17992025885246773</v>
      </c>
      <c r="L166" s="105">
        <f t="shared" ref="L166" si="139">IF(L55=0,0,L55/L$17)</f>
        <v>0.19266865222802226</v>
      </c>
      <c r="M166" s="105">
        <f t="shared" ref="M166:V166" si="140">IF(M55=0,0,M55/M$17)</f>
        <v>0.23136093236043273</v>
      </c>
      <c r="N166" s="105">
        <f t="shared" si="140"/>
        <v>0.26074177505194424</v>
      </c>
      <c r="O166" s="105">
        <f t="shared" si="140"/>
        <v>0.24398193621957867</v>
      </c>
      <c r="P166" s="105">
        <f t="shared" si="140"/>
        <v>0.234732560671149</v>
      </c>
      <c r="Q166" s="105">
        <f t="shared" si="140"/>
        <v>0.22262444311177157</v>
      </c>
      <c r="R166" s="105">
        <f t="shared" si="140"/>
        <v>0.26093635679535016</v>
      </c>
      <c r="S166" s="105">
        <f t="shared" si="140"/>
        <v>0.25541083446571361</v>
      </c>
      <c r="T166" s="105">
        <f t="shared" si="140"/>
        <v>0.25284363719275904</v>
      </c>
      <c r="U166" s="105">
        <f t="shared" si="140"/>
        <v>0.2302782493755427</v>
      </c>
      <c r="V166" s="105">
        <f t="shared" si="140"/>
        <v>0.19107751715095098</v>
      </c>
      <c r="W166" s="105">
        <f t="shared" ref="W166:Y166" si="141">IF(W55=0,0,W55/W$17)</f>
        <v>0.23284941289950645</v>
      </c>
      <c r="X166" s="105">
        <f t="shared" si="141"/>
        <v>0.23685023495919399</v>
      </c>
      <c r="Y166" s="105">
        <f t="shared" si="141"/>
        <v>0.16125991988911734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3516.7973612400001</v>
      </c>
      <c r="C4" s="146">
        <f t="shared" si="0"/>
        <v>3676.9264145999996</v>
      </c>
      <c r="D4" s="146">
        <f t="shared" si="0"/>
        <v>3789.0987375600002</v>
      </c>
      <c r="E4" s="146">
        <f t="shared" si="0"/>
        <v>3845.3595361200005</v>
      </c>
      <c r="F4" s="146">
        <f t="shared" si="0"/>
        <v>4033.3298058</v>
      </c>
      <c r="G4" s="146">
        <f t="shared" si="0"/>
        <v>4305.44483244</v>
      </c>
      <c r="H4" s="146">
        <f t="shared" si="0"/>
        <v>4502.1470367599995</v>
      </c>
      <c r="I4" s="146">
        <f t="shared" si="0"/>
        <v>5103.9397724400005</v>
      </c>
      <c r="J4" s="146">
        <f t="shared" si="0"/>
        <v>6016.0710049200006</v>
      </c>
      <c r="K4" s="146">
        <f t="shared" si="0"/>
        <v>5040.4481719199994</v>
      </c>
      <c r="L4" s="146">
        <f t="shared" ref="L4" si="1">L5+L9+L10+L15</f>
        <v>5174.426661120001</v>
      </c>
      <c r="M4" s="146">
        <f t="shared" ref="M4:V4" si="2">M5+M9+M10+M15</f>
        <v>5526.5686488000001</v>
      </c>
      <c r="N4" s="146">
        <f t="shared" si="2"/>
        <v>5546.673342</v>
      </c>
      <c r="O4" s="146">
        <f t="shared" si="2"/>
        <v>5248.527090120001</v>
      </c>
      <c r="P4" s="146">
        <f t="shared" si="2"/>
        <v>5255.5528551599982</v>
      </c>
      <c r="Q4" s="146">
        <f t="shared" si="2"/>
        <v>5230.3843666800003</v>
      </c>
      <c r="R4" s="146">
        <f t="shared" si="2"/>
        <v>5607.7866100799993</v>
      </c>
      <c r="S4" s="146">
        <f t="shared" si="2"/>
        <v>5736.2934833999989</v>
      </c>
      <c r="T4" s="146">
        <f t="shared" si="2"/>
        <v>5712.2216258400003</v>
      </c>
      <c r="U4" s="146">
        <f t="shared" si="2"/>
        <v>5503.8590492400008</v>
      </c>
      <c r="V4" s="146">
        <f t="shared" si="2"/>
        <v>4476.6189914400011</v>
      </c>
      <c r="W4" s="146">
        <f t="shared" ref="W4:Y4" si="3">W5+W9+W10+W15</f>
        <v>5093.1367304399992</v>
      </c>
      <c r="X4" s="146">
        <f t="shared" si="3"/>
        <v>5628.5586003599992</v>
      </c>
      <c r="Y4" s="146">
        <f t="shared" si="3"/>
        <v>5199.7248727200003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3516.7973612400001</v>
      </c>
      <c r="C5" s="101">
        <f t="shared" si="4"/>
        <v>3676.9264145999996</v>
      </c>
      <c r="D5" s="101">
        <f t="shared" si="4"/>
        <v>3789.0987375600002</v>
      </c>
      <c r="E5" s="101">
        <f t="shared" si="4"/>
        <v>3845.3595361200005</v>
      </c>
      <c r="F5" s="101">
        <f t="shared" si="4"/>
        <v>4033.3298058</v>
      </c>
      <c r="G5" s="101">
        <f t="shared" si="4"/>
        <v>4305.44483244</v>
      </c>
      <c r="H5" s="101">
        <f t="shared" si="4"/>
        <v>4502.1470367599995</v>
      </c>
      <c r="I5" s="101">
        <f t="shared" si="4"/>
        <v>5103.9397724400005</v>
      </c>
      <c r="J5" s="101">
        <f t="shared" si="4"/>
        <v>6016.0710049200006</v>
      </c>
      <c r="K5" s="101">
        <f t="shared" si="4"/>
        <v>5040.4481719199994</v>
      </c>
      <c r="L5" s="101">
        <f t="shared" ref="L5" si="5">SUM(L6:L8)</f>
        <v>5174.426661120001</v>
      </c>
      <c r="M5" s="101">
        <f t="shared" ref="M5:V5" si="6">SUM(M6:M8)</f>
        <v>5526.5686488000001</v>
      </c>
      <c r="N5" s="101">
        <f t="shared" si="6"/>
        <v>5545.0576620000002</v>
      </c>
      <c r="O5" s="101">
        <f t="shared" si="6"/>
        <v>5246.6589601200012</v>
      </c>
      <c r="P5" s="101">
        <f t="shared" si="6"/>
        <v>5252.8263951599984</v>
      </c>
      <c r="Q5" s="101">
        <f t="shared" si="6"/>
        <v>5225.4363466800005</v>
      </c>
      <c r="R5" s="101">
        <f t="shared" si="6"/>
        <v>5601.172420079999</v>
      </c>
      <c r="S5" s="101">
        <f t="shared" si="6"/>
        <v>5728.617993599999</v>
      </c>
      <c r="T5" s="101">
        <f t="shared" si="6"/>
        <v>5704.3779033600003</v>
      </c>
      <c r="U5" s="101">
        <f t="shared" si="6"/>
        <v>5493.4819405200005</v>
      </c>
      <c r="V5" s="101">
        <f t="shared" si="6"/>
        <v>4468.4287056000012</v>
      </c>
      <c r="W5" s="101">
        <f t="shared" ref="W5:Y5" si="7">SUM(W6:W8)</f>
        <v>5082.4207328399989</v>
      </c>
      <c r="X5" s="101">
        <f t="shared" si="7"/>
        <v>5617.2193541999995</v>
      </c>
      <c r="Y5" s="101">
        <f t="shared" si="7"/>
        <v>5188.21133508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2.9846552400000008</v>
      </c>
      <c r="I6" s="101">
        <v>5.8114342800000003</v>
      </c>
      <c r="J6" s="101">
        <v>5.8114342800000003</v>
      </c>
      <c r="K6" s="101">
        <v>11.623095720000002</v>
      </c>
      <c r="L6" s="101">
        <v>14.528699280000001</v>
      </c>
      <c r="M6" s="101">
        <v>17.434529999999999</v>
      </c>
      <c r="N6" s="101">
        <v>23.245964280000003</v>
      </c>
      <c r="O6" s="101">
        <v>31.96322928</v>
      </c>
      <c r="P6" s="101">
        <v>34.86905999999999</v>
      </c>
      <c r="Q6" s="101">
        <v>37.774890720000009</v>
      </c>
      <c r="R6" s="101">
        <v>40.680494280000012</v>
      </c>
      <c r="S6" s="101">
        <v>39.884298479999998</v>
      </c>
      <c r="T6" s="101">
        <v>39.245070240000018</v>
      </c>
      <c r="U6" s="101">
        <v>37.597478759999994</v>
      </c>
      <c r="V6" s="101">
        <v>24.175957320000006</v>
      </c>
      <c r="W6" s="101">
        <v>42.514129799999999</v>
      </c>
      <c r="X6" s="101">
        <v>28.461785039999999</v>
      </c>
      <c r="Y6" s="101">
        <v>26.628376679999995</v>
      </c>
      <c r="DA6" s="175" t="s">
        <v>741</v>
      </c>
    </row>
    <row r="7" spans="1:105" ht="11.45" customHeight="1" x14ac:dyDescent="0.25">
      <c r="A7" s="128" t="s">
        <v>53</v>
      </c>
      <c r="B7" s="101">
        <v>2462.1320908800003</v>
      </c>
      <c r="C7" s="101">
        <v>2440.64213316</v>
      </c>
      <c r="D7" s="101">
        <v>2339.3322968400003</v>
      </c>
      <c r="E7" s="101">
        <v>2284.07247684</v>
      </c>
      <c r="F7" s="101">
        <v>2032.3334354399999</v>
      </c>
      <c r="G7" s="101">
        <v>1998.56357316</v>
      </c>
      <c r="H7" s="101">
        <v>1929.6412304400001</v>
      </c>
      <c r="I7" s="101">
        <v>1868.86515816</v>
      </c>
      <c r="J7" s="101">
        <v>1953.9515595600001</v>
      </c>
      <c r="K7" s="101">
        <v>1783.7785072799998</v>
      </c>
      <c r="L7" s="101">
        <v>1741.2351818399998</v>
      </c>
      <c r="M7" s="101">
        <v>1689.5756077200001</v>
      </c>
      <c r="N7" s="101">
        <v>1525.4801377200001</v>
      </c>
      <c r="O7" s="101">
        <v>1388.73391272</v>
      </c>
      <c r="P7" s="101">
        <v>1297.5696795599999</v>
      </c>
      <c r="Q7" s="101">
        <v>1267.1817681599998</v>
      </c>
      <c r="R7" s="101">
        <v>1258.0652699999998</v>
      </c>
      <c r="S7" s="101">
        <v>1226.9872969200001</v>
      </c>
      <c r="T7" s="101">
        <v>1235.0068315199999</v>
      </c>
      <c r="U7" s="101">
        <v>1182.82434732</v>
      </c>
      <c r="V7" s="101">
        <v>934.03740276000008</v>
      </c>
      <c r="W7" s="101">
        <v>1061.4575663999999</v>
      </c>
      <c r="X7" s="101">
        <v>1235.6539826399996</v>
      </c>
      <c r="Y7" s="101">
        <v>1314.9275000399998</v>
      </c>
      <c r="DA7" s="175" t="s">
        <v>742</v>
      </c>
    </row>
    <row r="8" spans="1:105" ht="11.45" customHeight="1" x14ac:dyDescent="0.25">
      <c r="A8" s="128" t="s">
        <v>54</v>
      </c>
      <c r="B8" s="101">
        <v>1054.66527036</v>
      </c>
      <c r="C8" s="101">
        <v>1236.2842814399999</v>
      </c>
      <c r="D8" s="101">
        <v>1449.76644072</v>
      </c>
      <c r="E8" s="101">
        <v>1561.2870592800002</v>
      </c>
      <c r="F8" s="101">
        <v>2000.9963703600001</v>
      </c>
      <c r="G8" s="101">
        <v>2306.88125928</v>
      </c>
      <c r="H8" s="101">
        <v>2569.52115108</v>
      </c>
      <c r="I8" s="101">
        <v>3229.2631800000008</v>
      </c>
      <c r="J8" s="101">
        <v>4056.3080110800006</v>
      </c>
      <c r="K8" s="101">
        <v>3245.04656892</v>
      </c>
      <c r="L8" s="101">
        <v>3418.662780000001</v>
      </c>
      <c r="M8" s="101">
        <v>3819.5585110800002</v>
      </c>
      <c r="N8" s="101">
        <v>3996.3315600000001</v>
      </c>
      <c r="O8" s="101">
        <v>3825.9618181200012</v>
      </c>
      <c r="P8" s="101">
        <v>3920.3876555999982</v>
      </c>
      <c r="Q8" s="101">
        <v>3920.4796878000006</v>
      </c>
      <c r="R8" s="101">
        <v>4302.426655799999</v>
      </c>
      <c r="S8" s="101">
        <v>4461.746398199999</v>
      </c>
      <c r="T8" s="101">
        <v>4430.1260016000006</v>
      </c>
      <c r="U8" s="101">
        <v>4273.0601144400007</v>
      </c>
      <c r="V8" s="101">
        <v>3510.2153455200014</v>
      </c>
      <c r="W8" s="101">
        <v>3978.4490366399987</v>
      </c>
      <c r="X8" s="101">
        <v>4353.1035865200001</v>
      </c>
      <c r="Y8" s="101">
        <v>3846.65545836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1.6156800000000002</v>
      </c>
      <c r="O9" s="101">
        <v>1.8681300000000001</v>
      </c>
      <c r="P9" s="101">
        <v>2.7264599999999999</v>
      </c>
      <c r="Q9" s="101">
        <v>4.9480199999999996</v>
      </c>
      <c r="R9" s="101">
        <v>6.6141900000000007</v>
      </c>
      <c r="S9" s="101">
        <v>7.6754898000000011</v>
      </c>
      <c r="T9" s="101">
        <v>7.8437224800000003</v>
      </c>
      <c r="U9" s="101">
        <v>10.377108719999999</v>
      </c>
      <c r="V9" s="101">
        <v>8.1902858399999996</v>
      </c>
      <c r="W9" s="101">
        <v>10.715997600000001</v>
      </c>
      <c r="X9" s="101">
        <v>11.33924616</v>
      </c>
      <c r="Y9" s="101">
        <v>11.513537639999999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3516.7973612400006</v>
      </c>
      <c r="C17" s="79">
        <f t="shared" si="12"/>
        <v>3676.9264145999996</v>
      </c>
      <c r="D17" s="79">
        <f t="shared" si="12"/>
        <v>3789.0987375600007</v>
      </c>
      <c r="E17" s="79">
        <f t="shared" si="12"/>
        <v>3845.3595361200005</v>
      </c>
      <c r="F17" s="79">
        <f t="shared" si="12"/>
        <v>4033.3298058000005</v>
      </c>
      <c r="G17" s="79">
        <f t="shared" si="12"/>
        <v>4305.44483244</v>
      </c>
      <c r="H17" s="79">
        <f t="shared" si="12"/>
        <v>4502.1470367599995</v>
      </c>
      <c r="I17" s="79">
        <f t="shared" si="12"/>
        <v>5103.9397724400005</v>
      </c>
      <c r="J17" s="79">
        <f t="shared" si="12"/>
        <v>6016.0710049200006</v>
      </c>
      <c r="K17" s="79">
        <f t="shared" si="12"/>
        <v>5040.4481719200012</v>
      </c>
      <c r="L17" s="79">
        <f t="shared" ref="L17" si="13">SUM(L18,L33)</f>
        <v>5174.426661120001</v>
      </c>
      <c r="M17" s="79">
        <f t="shared" ref="M17:V17" si="14">SUM(M18,M33)</f>
        <v>5526.5686488000001</v>
      </c>
      <c r="N17" s="79">
        <f t="shared" si="14"/>
        <v>5546.673342</v>
      </c>
      <c r="O17" s="79">
        <f t="shared" si="14"/>
        <v>5248.5270901200001</v>
      </c>
      <c r="P17" s="79">
        <f t="shared" si="14"/>
        <v>5255.5528551599982</v>
      </c>
      <c r="Q17" s="79">
        <f t="shared" si="14"/>
        <v>5230.3843666800003</v>
      </c>
      <c r="R17" s="79">
        <f t="shared" si="14"/>
        <v>5607.7866100799984</v>
      </c>
      <c r="S17" s="79">
        <f t="shared" si="14"/>
        <v>5736.2934833999989</v>
      </c>
      <c r="T17" s="79">
        <f t="shared" si="14"/>
        <v>5712.2216258400003</v>
      </c>
      <c r="U17" s="79">
        <f t="shared" si="14"/>
        <v>5503.8590492399999</v>
      </c>
      <c r="V17" s="79">
        <f t="shared" si="14"/>
        <v>4476.618991440002</v>
      </c>
      <c r="W17" s="79">
        <f t="shared" ref="W17:Y17" si="15">SUM(W18,W33)</f>
        <v>5093.1367304399992</v>
      </c>
      <c r="X17" s="79">
        <f t="shared" si="15"/>
        <v>5628.5586003600001</v>
      </c>
      <c r="Y17" s="79">
        <f t="shared" si="15"/>
        <v>5199.7248727200003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3169.9294426656652</v>
      </c>
      <c r="C18" s="32">
        <f t="shared" si="16"/>
        <v>3157.3287845302443</v>
      </c>
      <c r="D18" s="32">
        <f t="shared" si="16"/>
        <v>3221.8777641995357</v>
      </c>
      <c r="E18" s="32">
        <f t="shared" si="16"/>
        <v>3169.6631100597738</v>
      </c>
      <c r="F18" s="32">
        <f t="shared" si="16"/>
        <v>3079.8297706418871</v>
      </c>
      <c r="G18" s="32">
        <f t="shared" si="16"/>
        <v>3173.2002402009111</v>
      </c>
      <c r="H18" s="32">
        <f t="shared" si="16"/>
        <v>3246.1876542758523</v>
      </c>
      <c r="I18" s="32">
        <f t="shared" si="16"/>
        <v>3339.3090327653949</v>
      </c>
      <c r="J18" s="32">
        <f t="shared" si="16"/>
        <v>3560.878827419313</v>
      </c>
      <c r="K18" s="32">
        <f t="shared" si="16"/>
        <v>3480.210906470772</v>
      </c>
      <c r="L18" s="32">
        <f t="shared" ref="L18" si="17">SUM(L19,L20,L27)</f>
        <v>3512.663341642281</v>
      </c>
      <c r="M18" s="32">
        <f t="shared" ref="M18:V18" si="18">SUM(M19,M20,M27)</f>
        <v>3560.2595706508191</v>
      </c>
      <c r="N18" s="32">
        <f t="shared" si="18"/>
        <v>3444.2707081356116</v>
      </c>
      <c r="O18" s="32">
        <f t="shared" si="18"/>
        <v>3339.5319378981176</v>
      </c>
      <c r="P18" s="32">
        <f t="shared" si="18"/>
        <v>3346.2735423364588</v>
      </c>
      <c r="Q18" s="32">
        <f t="shared" si="18"/>
        <v>3387.8043464564439</v>
      </c>
      <c r="R18" s="32">
        <f t="shared" si="18"/>
        <v>3426.6250285816031</v>
      </c>
      <c r="S18" s="32">
        <f t="shared" si="18"/>
        <v>3522.3502614552676</v>
      </c>
      <c r="T18" s="32">
        <f t="shared" si="18"/>
        <v>3543.3685704210188</v>
      </c>
      <c r="U18" s="32">
        <f t="shared" si="18"/>
        <v>3513.1725191254941</v>
      </c>
      <c r="V18" s="32">
        <f t="shared" si="18"/>
        <v>2921.4130516112718</v>
      </c>
      <c r="W18" s="32">
        <f t="shared" ref="W18:Y18" si="19">SUM(W19,W20,W27)</f>
        <v>3142.4938844587914</v>
      </c>
      <c r="X18" s="32">
        <f t="shared" si="19"/>
        <v>3477.9215129763438</v>
      </c>
      <c r="Y18" s="32">
        <f t="shared" si="19"/>
        <v>3548.9835963701889</v>
      </c>
      <c r="DA18" s="173" t="s">
        <v>403</v>
      </c>
    </row>
    <row r="19" spans="1:105" ht="11.45" customHeight="1" x14ac:dyDescent="0.25">
      <c r="A19" s="136" t="s">
        <v>173</v>
      </c>
      <c r="B19" s="141">
        <v>10.169189103578365</v>
      </c>
      <c r="C19" s="141">
        <v>9.4707669757755326</v>
      </c>
      <c r="D19" s="141">
        <v>9.4192996150134896</v>
      </c>
      <c r="E19" s="141">
        <v>11.280789532531767</v>
      </c>
      <c r="F19" s="141">
        <v>12.721373792517488</v>
      </c>
      <c r="G19" s="141">
        <v>14.12444385164588</v>
      </c>
      <c r="H19" s="141">
        <v>15.787931614178991</v>
      </c>
      <c r="I19" s="141">
        <v>17.472018848230732</v>
      </c>
      <c r="J19" s="141">
        <v>18.636920993301061</v>
      </c>
      <c r="K19" s="141">
        <v>19.880287868543821</v>
      </c>
      <c r="L19" s="141">
        <v>24.256798363899136</v>
      </c>
      <c r="M19" s="141">
        <v>28.275280537513567</v>
      </c>
      <c r="N19" s="141">
        <v>25.681230434230486</v>
      </c>
      <c r="O19" s="141">
        <v>22.669961653456639</v>
      </c>
      <c r="P19" s="141">
        <v>22.941694756249021</v>
      </c>
      <c r="Q19" s="141">
        <v>24.336090552051395</v>
      </c>
      <c r="R19" s="141">
        <v>25.14275717431212</v>
      </c>
      <c r="S19" s="141">
        <v>24.449109508111523</v>
      </c>
      <c r="T19" s="141">
        <v>23.007938504740213</v>
      </c>
      <c r="U19" s="141">
        <v>24.425165290510758</v>
      </c>
      <c r="V19" s="141">
        <v>21.484909136664829</v>
      </c>
      <c r="W19" s="141">
        <v>22.235720604047543</v>
      </c>
      <c r="X19" s="141">
        <v>22.641604957877405</v>
      </c>
      <c r="Y19" s="141">
        <v>24.326755763097587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2913.5245962814161</v>
      </c>
      <c r="C20" s="130">
        <f t="shared" si="20"/>
        <v>2923.2968113608522</v>
      </c>
      <c r="D20" s="130">
        <f t="shared" si="20"/>
        <v>2995.845430243437</v>
      </c>
      <c r="E20" s="130">
        <f t="shared" si="20"/>
        <v>2948.4021047144915</v>
      </c>
      <c r="F20" s="130">
        <f t="shared" si="20"/>
        <v>2852.7331108822582</v>
      </c>
      <c r="G20" s="130">
        <f t="shared" si="20"/>
        <v>2951.8286950182846</v>
      </c>
      <c r="H20" s="130">
        <f t="shared" si="20"/>
        <v>3022.8168146659673</v>
      </c>
      <c r="I20" s="130">
        <f t="shared" si="20"/>
        <v>3114.3280499629232</v>
      </c>
      <c r="J20" s="130">
        <f t="shared" si="20"/>
        <v>3334.9652622803487</v>
      </c>
      <c r="K20" s="130">
        <f t="shared" si="20"/>
        <v>3252.2601281997254</v>
      </c>
      <c r="L20" s="130">
        <f t="shared" ref="L20" si="21">SUM(L21:L26)</f>
        <v>3283.6926975656102</v>
      </c>
      <c r="M20" s="130">
        <f t="shared" ref="M20:V20" si="22">SUM(M21:M26)</f>
        <v>3321.1123335648417</v>
      </c>
      <c r="N20" s="130">
        <f t="shared" si="22"/>
        <v>3211.1788962389419</v>
      </c>
      <c r="O20" s="130">
        <f t="shared" si="22"/>
        <v>3105.9788625755837</v>
      </c>
      <c r="P20" s="130">
        <f t="shared" si="22"/>
        <v>3109.6518698838108</v>
      </c>
      <c r="Q20" s="130">
        <f t="shared" si="22"/>
        <v>3139.7850291784753</v>
      </c>
      <c r="R20" s="130">
        <f t="shared" si="22"/>
        <v>3183.8741633793679</v>
      </c>
      <c r="S20" s="130">
        <f t="shared" si="22"/>
        <v>3272.131484232998</v>
      </c>
      <c r="T20" s="130">
        <f t="shared" si="22"/>
        <v>3304.5756960341137</v>
      </c>
      <c r="U20" s="130">
        <f t="shared" si="22"/>
        <v>3266.0420354408466</v>
      </c>
      <c r="V20" s="130">
        <f t="shared" si="22"/>
        <v>2764.5684595245716</v>
      </c>
      <c r="W20" s="130">
        <f t="shared" ref="W20:Y20" si="23">SUM(W21:W26)</f>
        <v>2962.6239526830345</v>
      </c>
      <c r="X20" s="130">
        <f t="shared" si="23"/>
        <v>3263.7565278660763</v>
      </c>
      <c r="Y20" s="130">
        <f t="shared" si="23"/>
        <v>3324.4723685576951</v>
      </c>
      <c r="DA20" s="176" t="s">
        <v>405</v>
      </c>
    </row>
    <row r="21" spans="1:105" ht="11.45" customHeight="1" x14ac:dyDescent="0.25">
      <c r="A21" s="111" t="s">
        <v>110</v>
      </c>
      <c r="B21" s="96">
        <v>2430.9821845945112</v>
      </c>
      <c r="C21" s="96">
        <v>2409.5811678556834</v>
      </c>
      <c r="D21" s="96">
        <v>2307.7828149683664</v>
      </c>
      <c r="E21" s="96">
        <v>2250.8692971550136</v>
      </c>
      <c r="F21" s="96">
        <v>1997.0292364047123</v>
      </c>
      <c r="G21" s="96">
        <v>1962.5294028301439</v>
      </c>
      <c r="H21" s="96">
        <v>1893.758491556745</v>
      </c>
      <c r="I21" s="96">
        <v>1830.8351200119637</v>
      </c>
      <c r="J21" s="96">
        <v>1915.5521840594238</v>
      </c>
      <c r="K21" s="96">
        <v>1745.4516581508012</v>
      </c>
      <c r="L21" s="96">
        <v>1699.9781052323005</v>
      </c>
      <c r="M21" s="96">
        <v>1645.1724736992414</v>
      </c>
      <c r="N21" s="96">
        <v>1484.6397981727987</v>
      </c>
      <c r="O21" s="96">
        <v>1351.6891288601134</v>
      </c>
      <c r="P21" s="96">
        <v>1261.7574825569377</v>
      </c>
      <c r="Q21" s="96">
        <v>1230.6710798490521</v>
      </c>
      <c r="R21" s="96">
        <v>1221.3938377094926</v>
      </c>
      <c r="S21" s="96">
        <v>1191.2366809783875</v>
      </c>
      <c r="T21" s="96">
        <v>1200.6943527386136</v>
      </c>
      <c r="U21" s="96">
        <v>1147.0210390730308</v>
      </c>
      <c r="V21" s="96">
        <v>901.6635946980997</v>
      </c>
      <c r="W21" s="96">
        <v>1028.401573209517</v>
      </c>
      <c r="X21" s="96">
        <v>1202.034975092316</v>
      </c>
      <c r="Y21" s="96">
        <v>1278.5303561917419</v>
      </c>
      <c r="DA21" s="171" t="s">
        <v>751</v>
      </c>
    </row>
    <row r="22" spans="1:105" ht="11.45" customHeight="1" x14ac:dyDescent="0.25">
      <c r="A22" s="111" t="s">
        <v>111</v>
      </c>
      <c r="B22" s="96">
        <v>482.54241168690493</v>
      </c>
      <c r="C22" s="96">
        <v>513.71564350516883</v>
      </c>
      <c r="D22" s="96">
        <v>688.06261527507047</v>
      </c>
      <c r="E22" s="96">
        <v>697.53280755947799</v>
      </c>
      <c r="F22" s="96">
        <v>855.70387447754581</v>
      </c>
      <c r="G22" s="96">
        <v>989.29929218814084</v>
      </c>
      <c r="H22" s="96">
        <v>1127.5794966541591</v>
      </c>
      <c r="I22" s="96">
        <v>1279.3472508665873</v>
      </c>
      <c r="J22" s="96">
        <v>1415.9595736734575</v>
      </c>
      <c r="K22" s="96">
        <v>1496.1272378233043</v>
      </c>
      <c r="L22" s="96">
        <v>1569.5467228026123</v>
      </c>
      <c r="M22" s="96">
        <v>1658.8382381731849</v>
      </c>
      <c r="N22" s="96">
        <v>1703.6000669769692</v>
      </c>
      <c r="O22" s="96">
        <v>1722.5663419523378</v>
      </c>
      <c r="P22" s="96">
        <v>1814.3645454253719</v>
      </c>
      <c r="Q22" s="96">
        <v>1872.9842654791694</v>
      </c>
      <c r="R22" s="96">
        <v>1923.2885023740475</v>
      </c>
      <c r="S22" s="96">
        <v>2042.1511763422823</v>
      </c>
      <c r="T22" s="96">
        <v>2065.4423061107623</v>
      </c>
      <c r="U22" s="96">
        <v>2082.2614374559689</v>
      </c>
      <c r="V22" s="96">
        <v>1839.6533950390651</v>
      </c>
      <c r="W22" s="96">
        <v>1892.9703519434631</v>
      </c>
      <c r="X22" s="96">
        <v>2033.597934552341</v>
      </c>
      <c r="Y22" s="96">
        <v>2019.1330488474796</v>
      </c>
      <c r="DA22" s="171" t="s">
        <v>752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1.4788264550633463</v>
      </c>
      <c r="I23" s="96">
        <v>4.145679084372107</v>
      </c>
      <c r="J23" s="96">
        <v>3.4535045474676953</v>
      </c>
      <c r="K23" s="96">
        <v>10.681232225619553</v>
      </c>
      <c r="L23" s="96">
        <v>14.167869530697232</v>
      </c>
      <c r="M23" s="96">
        <v>17.101621692415577</v>
      </c>
      <c r="N23" s="96">
        <v>22.927199759754512</v>
      </c>
      <c r="O23" s="96">
        <v>31.655220686496722</v>
      </c>
      <c r="P23" s="96">
        <v>33.242150474264022</v>
      </c>
      <c r="Q23" s="96">
        <v>35.834862520738</v>
      </c>
      <c r="R23" s="96">
        <v>38.772038700292221</v>
      </c>
      <c r="S23" s="96">
        <v>38.054504636642335</v>
      </c>
      <c r="T23" s="96">
        <v>37.533377392869959</v>
      </c>
      <c r="U23" s="96">
        <v>35.839936903962247</v>
      </c>
      <c r="V23" s="96">
        <v>22.450462485097397</v>
      </c>
      <c r="W23" s="96">
        <v>40.272768706992906</v>
      </c>
      <c r="X23" s="96">
        <v>26.789925639925592</v>
      </c>
      <c r="Y23" s="96">
        <v>24.987706364444474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1.1831329419870253E-2</v>
      </c>
      <c r="O24" s="96">
        <v>6.2178899843053616E-2</v>
      </c>
      <c r="P24" s="96">
        <v>0.2782168883773265</v>
      </c>
      <c r="Q24" s="96">
        <v>0.27153451123972105</v>
      </c>
      <c r="R24" s="96">
        <v>0.34930802198520544</v>
      </c>
      <c r="S24" s="96">
        <v>0.4922172384445731</v>
      </c>
      <c r="T24" s="96">
        <v>0.54710726391184228</v>
      </c>
      <c r="U24" s="96">
        <v>0.51776388165514098</v>
      </c>
      <c r="V24" s="96">
        <v>0.4165898630020658</v>
      </c>
      <c r="W24" s="96">
        <v>0.44232953482236986</v>
      </c>
      <c r="X24" s="96">
        <v>0.47939568159038354</v>
      </c>
      <c r="Y24" s="96">
        <v>0.49380518494937425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5.992176792577057E-3</v>
      </c>
      <c r="P25" s="96">
        <v>9.4745388598163217E-3</v>
      </c>
      <c r="Q25" s="96">
        <v>2.3286818276027365E-2</v>
      </c>
      <c r="R25" s="96">
        <v>7.0476573550559085E-2</v>
      </c>
      <c r="S25" s="96">
        <v>0.19690503724134087</v>
      </c>
      <c r="T25" s="96">
        <v>0.35855252795581077</v>
      </c>
      <c r="U25" s="96">
        <v>0.40185812622939798</v>
      </c>
      <c r="V25" s="96">
        <v>0.38441743930706007</v>
      </c>
      <c r="W25" s="96">
        <v>0.53692928823932085</v>
      </c>
      <c r="X25" s="96">
        <v>0.85429689990348878</v>
      </c>
      <c r="Y25" s="96">
        <v>1.3274519690800524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246.23565728067064</v>
      </c>
      <c r="C27" s="130">
        <f t="shared" si="24"/>
        <v>224.56120619361687</v>
      </c>
      <c r="D27" s="130">
        <f t="shared" si="24"/>
        <v>216.61303434108501</v>
      </c>
      <c r="E27" s="130">
        <f t="shared" si="24"/>
        <v>209.98021581275054</v>
      </c>
      <c r="F27" s="130">
        <f t="shared" si="24"/>
        <v>214.37528596711124</v>
      </c>
      <c r="G27" s="130">
        <f t="shared" si="24"/>
        <v>207.24710133098063</v>
      </c>
      <c r="H27" s="130">
        <f t="shared" si="24"/>
        <v>207.58290799570628</v>
      </c>
      <c r="I27" s="130">
        <f t="shared" si="24"/>
        <v>207.5089639542411</v>
      </c>
      <c r="J27" s="130">
        <f t="shared" si="24"/>
        <v>207.27664414566314</v>
      </c>
      <c r="K27" s="130">
        <f t="shared" si="24"/>
        <v>208.0704904025028</v>
      </c>
      <c r="L27" s="130">
        <f t="shared" ref="L27" si="25">SUM(L28:L32)</f>
        <v>204.7138457127717</v>
      </c>
      <c r="M27" s="130">
        <f t="shared" ref="M27:V27" si="26">SUM(M28:M32)</f>
        <v>210.87195654846377</v>
      </c>
      <c r="N27" s="130">
        <f t="shared" si="26"/>
        <v>207.41058146243921</v>
      </c>
      <c r="O27" s="130">
        <f t="shared" si="26"/>
        <v>210.88311366907746</v>
      </c>
      <c r="P27" s="130">
        <f t="shared" si="26"/>
        <v>213.67997769639905</v>
      </c>
      <c r="Q27" s="130">
        <f t="shared" si="26"/>
        <v>223.68322672591728</v>
      </c>
      <c r="R27" s="130">
        <f t="shared" si="26"/>
        <v>217.60810802792312</v>
      </c>
      <c r="S27" s="130">
        <f t="shared" si="26"/>
        <v>225.7696677141578</v>
      </c>
      <c r="T27" s="130">
        <f t="shared" si="26"/>
        <v>215.78493588216506</v>
      </c>
      <c r="U27" s="130">
        <f t="shared" si="26"/>
        <v>222.7053183941365</v>
      </c>
      <c r="V27" s="130">
        <f t="shared" si="26"/>
        <v>135.35968295003545</v>
      </c>
      <c r="W27" s="130">
        <f t="shared" ref="W27:Y27" si="27">SUM(W28:W32)</f>
        <v>157.63421117170938</v>
      </c>
      <c r="X27" s="130">
        <f t="shared" si="27"/>
        <v>191.52338015238993</v>
      </c>
      <c r="Y27" s="130">
        <f t="shared" si="27"/>
        <v>200.18447204939625</v>
      </c>
      <c r="DA27" s="176" t="s">
        <v>406</v>
      </c>
    </row>
    <row r="28" spans="1:105" ht="11.45" customHeight="1" x14ac:dyDescent="0.25">
      <c r="A28" s="111" t="s">
        <v>110</v>
      </c>
      <c r="B28" s="97">
        <v>1.2015095606400505</v>
      </c>
      <c r="C28" s="97">
        <v>1.0766377190038607</v>
      </c>
      <c r="D28" s="97">
        <v>0.96834615655360867</v>
      </c>
      <c r="E28" s="97">
        <v>0.83607999793270771</v>
      </c>
      <c r="F28" s="97">
        <v>0.71447879645816681</v>
      </c>
      <c r="G28" s="97">
        <v>0.6282270723131701</v>
      </c>
      <c r="H28" s="97">
        <v>0.5589902669841168</v>
      </c>
      <c r="I28" s="97">
        <v>0.47999452194350128</v>
      </c>
      <c r="J28" s="97">
        <v>0.37802038676769956</v>
      </c>
      <c r="K28" s="97">
        <v>0.31878423911756154</v>
      </c>
      <c r="L28" s="97">
        <v>0.26197164877062012</v>
      </c>
      <c r="M28" s="97">
        <v>0.207475969247325</v>
      </c>
      <c r="N28" s="97">
        <v>0.1782381455996947</v>
      </c>
      <c r="O28" s="97">
        <v>0.13660308986817046</v>
      </c>
      <c r="P28" s="97">
        <v>0.10895438453758052</v>
      </c>
      <c r="Q28" s="97">
        <v>8.3606155613002206E-2</v>
      </c>
      <c r="R28" s="97">
        <v>8.3158567138170117E-2</v>
      </c>
      <c r="S28" s="97">
        <v>8.0201069165277639E-2</v>
      </c>
      <c r="T28" s="97">
        <v>7.5110473187141022E-2</v>
      </c>
      <c r="U28" s="97">
        <v>7.3720056042720347E-2</v>
      </c>
      <c r="V28" s="97">
        <v>5.5397066701095482E-2</v>
      </c>
      <c r="W28" s="97">
        <v>5.4758929967788812E-2</v>
      </c>
      <c r="X28" s="97">
        <v>4.4504202959684033E-2</v>
      </c>
      <c r="Y28" s="97">
        <v>0.31962646561525004</v>
      </c>
      <c r="DA28" s="175" t="s">
        <v>757</v>
      </c>
    </row>
    <row r="29" spans="1:105" ht="11.45" customHeight="1" x14ac:dyDescent="0.25">
      <c r="A29" s="111" t="s">
        <v>111</v>
      </c>
      <c r="B29" s="97">
        <v>245.03414772003057</v>
      </c>
      <c r="C29" s="97">
        <v>223.48456847461301</v>
      </c>
      <c r="D29" s="97">
        <v>215.64468818453139</v>
      </c>
      <c r="E29" s="97">
        <v>209.14413581481784</v>
      </c>
      <c r="F29" s="97">
        <v>213.66080717065307</v>
      </c>
      <c r="G29" s="97">
        <v>206.61887425866746</v>
      </c>
      <c r="H29" s="97">
        <v>207.02391772872215</v>
      </c>
      <c r="I29" s="97">
        <v>207.0289694322976</v>
      </c>
      <c r="J29" s="97">
        <v>206.89862375889544</v>
      </c>
      <c r="K29" s="97">
        <v>207.75170616338525</v>
      </c>
      <c r="L29" s="97">
        <v>204.45187406400109</v>
      </c>
      <c r="M29" s="97">
        <v>210.66448057921644</v>
      </c>
      <c r="N29" s="97">
        <v>205.62849464625938</v>
      </c>
      <c r="O29" s="97">
        <v>208.94055947905233</v>
      </c>
      <c r="P29" s="97">
        <v>211.20142574226307</v>
      </c>
      <c r="Q29" s="97">
        <v>219.14947861867225</v>
      </c>
      <c r="R29" s="97">
        <v>211.46364013155576</v>
      </c>
      <c r="S29" s="97">
        <v>218.693114349692</v>
      </c>
      <c r="T29" s="97">
        <v>208.5946115857046</v>
      </c>
      <c r="U29" s="97">
        <v>213.01084978591038</v>
      </c>
      <c r="V29" s="97">
        <v>127.77375341226866</v>
      </c>
      <c r="W29" s="97">
        <v>147.55371038854091</v>
      </c>
      <c r="X29" s="97">
        <v>180.86975357677116</v>
      </c>
      <c r="Y29" s="97">
        <v>189.09222650390251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1.6038486705801298</v>
      </c>
      <c r="O31" s="97">
        <v>1.8059511001569464</v>
      </c>
      <c r="P31" s="97">
        <v>2.3695975695983988</v>
      </c>
      <c r="Q31" s="97">
        <v>4.4501419516320118</v>
      </c>
      <c r="R31" s="97">
        <v>6.0613093292292053</v>
      </c>
      <c r="S31" s="97">
        <v>6.996352295300551</v>
      </c>
      <c r="T31" s="97">
        <v>7.1152138232733213</v>
      </c>
      <c r="U31" s="97">
        <v>9.6207485521833949</v>
      </c>
      <c r="V31" s="97">
        <v>7.530532471065702</v>
      </c>
      <c r="W31" s="97">
        <v>10.025741853200694</v>
      </c>
      <c r="X31" s="97">
        <v>10.609122372659101</v>
      </c>
      <c r="Y31" s="97">
        <v>10.772619079878494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346.86791857433536</v>
      </c>
      <c r="C33" s="32">
        <f t="shared" si="28"/>
        <v>519.5976300697555</v>
      </c>
      <c r="D33" s="32">
        <f t="shared" si="28"/>
        <v>567.22097336046477</v>
      </c>
      <c r="E33" s="32">
        <f t="shared" si="28"/>
        <v>675.69642606022649</v>
      </c>
      <c r="F33" s="32">
        <f t="shared" si="28"/>
        <v>953.50003515811341</v>
      </c>
      <c r="G33" s="32">
        <f t="shared" si="28"/>
        <v>1132.2445922390887</v>
      </c>
      <c r="H33" s="32">
        <f t="shared" si="28"/>
        <v>1255.9593824841472</v>
      </c>
      <c r="I33" s="32">
        <f t="shared" si="28"/>
        <v>1764.630739674606</v>
      </c>
      <c r="J33" s="32">
        <f t="shared" si="28"/>
        <v>2455.1921775006872</v>
      </c>
      <c r="K33" s="32">
        <f t="shared" si="28"/>
        <v>1560.2372654492287</v>
      </c>
      <c r="L33" s="32">
        <f t="shared" ref="L33" si="29">L34+L40</f>
        <v>1661.76331947772</v>
      </c>
      <c r="M33" s="32">
        <f t="shared" ref="M33:V33" si="30">M34+M40</f>
        <v>1966.309078149181</v>
      </c>
      <c r="N33" s="32">
        <f t="shared" si="30"/>
        <v>2102.402633864388</v>
      </c>
      <c r="O33" s="32">
        <f t="shared" si="30"/>
        <v>1908.995152221883</v>
      </c>
      <c r="P33" s="32">
        <f t="shared" si="30"/>
        <v>1909.2793128235394</v>
      </c>
      <c r="Q33" s="32">
        <f t="shared" si="30"/>
        <v>1842.5800202235564</v>
      </c>
      <c r="R33" s="32">
        <f t="shared" si="30"/>
        <v>2181.1615814983952</v>
      </c>
      <c r="S33" s="32">
        <f t="shared" si="30"/>
        <v>2213.9432219447312</v>
      </c>
      <c r="T33" s="32">
        <f t="shared" si="30"/>
        <v>2168.853055418982</v>
      </c>
      <c r="U33" s="32">
        <f t="shared" si="30"/>
        <v>1990.6865301145062</v>
      </c>
      <c r="V33" s="32">
        <f t="shared" si="30"/>
        <v>1555.2059398287297</v>
      </c>
      <c r="W33" s="32">
        <f t="shared" ref="W33:Y33" si="31">W34+W40</f>
        <v>1950.6428459812075</v>
      </c>
      <c r="X33" s="32">
        <f t="shared" si="31"/>
        <v>2150.6370873836559</v>
      </c>
      <c r="Y33" s="32">
        <f t="shared" si="31"/>
        <v>1650.7412763498112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125.68207566193527</v>
      </c>
      <c r="C34" s="141">
        <f t="shared" si="32"/>
        <v>131.55448814920473</v>
      </c>
      <c r="D34" s="141">
        <f t="shared" si="32"/>
        <v>141.65572977560129</v>
      </c>
      <c r="E34" s="141">
        <f t="shared" si="32"/>
        <v>153.25676422539209</v>
      </c>
      <c r="F34" s="141">
        <f t="shared" si="32"/>
        <v>172.99106535711911</v>
      </c>
      <c r="G34" s="141">
        <f t="shared" si="32"/>
        <v>190.38228091409135</v>
      </c>
      <c r="H34" s="141">
        <f t="shared" si="32"/>
        <v>207.32209182480918</v>
      </c>
      <c r="I34" s="141">
        <f t="shared" si="32"/>
        <v>236.881015972792</v>
      </c>
      <c r="J34" s="141">
        <f t="shared" si="32"/>
        <v>261.95567384639486</v>
      </c>
      <c r="K34" s="141">
        <f t="shared" si="32"/>
        <v>271.00629051524714</v>
      </c>
      <c r="L34" s="141">
        <f t="shared" ref="L34" si="33">SUM(L35:L39)</f>
        <v>273.47380305196316</v>
      </c>
      <c r="M34" s="141">
        <f t="shared" ref="M34:V34" si="34">SUM(M35:M39)</f>
        <v>290.01583084031967</v>
      </c>
      <c r="N34" s="141">
        <f t="shared" si="34"/>
        <v>289.9875774832181</v>
      </c>
      <c r="O34" s="141">
        <f t="shared" si="34"/>
        <v>295.72134349140316</v>
      </c>
      <c r="P34" s="141">
        <f t="shared" si="34"/>
        <v>314.7371195545586</v>
      </c>
      <c r="Q34" s="141">
        <f t="shared" si="34"/>
        <v>334.23317043649382</v>
      </c>
      <c r="R34" s="141">
        <f t="shared" si="34"/>
        <v>354.01841384301378</v>
      </c>
      <c r="S34" s="141">
        <f t="shared" si="34"/>
        <v>372.37483675096325</v>
      </c>
      <c r="T34" s="141">
        <f t="shared" si="34"/>
        <v>382.99414103047252</v>
      </c>
      <c r="U34" s="141">
        <f t="shared" si="34"/>
        <v>396.66083000769629</v>
      </c>
      <c r="V34" s="141">
        <f t="shared" si="34"/>
        <v>406.59494976185135</v>
      </c>
      <c r="W34" s="141">
        <f t="shared" ref="W34:Y34" si="35">SUM(W35:W39)</f>
        <v>426.66149491406145</v>
      </c>
      <c r="X34" s="141">
        <f t="shared" si="35"/>
        <v>451.96674613105461</v>
      </c>
      <c r="Y34" s="141">
        <f t="shared" si="35"/>
        <v>463.51274295833332</v>
      </c>
      <c r="DA34" s="174" t="s">
        <v>412</v>
      </c>
    </row>
    <row r="35" spans="1:105" ht="11.45" customHeight="1" x14ac:dyDescent="0.25">
      <c r="A35" s="111" t="s">
        <v>110</v>
      </c>
      <c r="B35" s="96">
        <v>19.779207621270885</v>
      </c>
      <c r="C35" s="96">
        <v>20.513560609537361</v>
      </c>
      <c r="D35" s="96">
        <v>21.161836100066779</v>
      </c>
      <c r="E35" s="96">
        <v>21.086310154522049</v>
      </c>
      <c r="F35" s="96">
        <v>21.868346446311982</v>
      </c>
      <c r="G35" s="96">
        <v>21.281499405896874</v>
      </c>
      <c r="H35" s="96">
        <v>19.535817002092095</v>
      </c>
      <c r="I35" s="96">
        <v>20.078024777862023</v>
      </c>
      <c r="J35" s="96">
        <v>19.384434120507684</v>
      </c>
      <c r="K35" s="96">
        <v>18.127777021537515</v>
      </c>
      <c r="L35" s="96">
        <v>16.738306595029616</v>
      </c>
      <c r="M35" s="96">
        <v>15.920377513997538</v>
      </c>
      <c r="N35" s="96">
        <v>14.980870967371082</v>
      </c>
      <c r="O35" s="96">
        <v>14.232226939769062</v>
      </c>
      <c r="P35" s="96">
        <v>12.752073323415868</v>
      </c>
      <c r="Q35" s="96">
        <v>12.067704785007157</v>
      </c>
      <c r="R35" s="96">
        <v>11.375039975506359</v>
      </c>
      <c r="S35" s="96">
        <v>11.024400327094281</v>
      </c>
      <c r="T35" s="96">
        <v>10.870877275503105</v>
      </c>
      <c r="U35" s="96">
        <v>10.902564774186155</v>
      </c>
      <c r="V35" s="96">
        <v>10.449084419227301</v>
      </c>
      <c r="W35" s="96">
        <v>10.228584368228212</v>
      </c>
      <c r="X35" s="96">
        <v>10.078601486943212</v>
      </c>
      <c r="Y35" s="96">
        <v>10.42330965046505</v>
      </c>
      <c r="DA35" s="171" t="s">
        <v>762</v>
      </c>
    </row>
    <row r="36" spans="1:105" ht="11.45" customHeight="1" x14ac:dyDescent="0.25">
      <c r="A36" s="111" t="s">
        <v>111</v>
      </c>
      <c r="B36" s="96">
        <v>105.90286804066439</v>
      </c>
      <c r="C36" s="96">
        <v>111.04092753966736</v>
      </c>
      <c r="D36" s="96">
        <v>120.49389367553452</v>
      </c>
      <c r="E36" s="96">
        <v>132.17045407087005</v>
      </c>
      <c r="F36" s="96">
        <v>151.12271891080712</v>
      </c>
      <c r="G36" s="96">
        <v>169.10078150819447</v>
      </c>
      <c r="H36" s="96">
        <v>186.28044603778042</v>
      </c>
      <c r="I36" s="96">
        <v>215.13723599930208</v>
      </c>
      <c r="J36" s="96">
        <v>240.21330999335487</v>
      </c>
      <c r="K36" s="96">
        <v>251.93664999932918</v>
      </c>
      <c r="L36" s="96">
        <v>256.37466670763081</v>
      </c>
      <c r="M36" s="96">
        <v>273.76254501873768</v>
      </c>
      <c r="N36" s="96">
        <v>274.68794199560153</v>
      </c>
      <c r="O36" s="96">
        <v>281.18110795813078</v>
      </c>
      <c r="P36" s="96">
        <v>300.27949116338249</v>
      </c>
      <c r="Q36" s="96">
        <v>319.99909391509635</v>
      </c>
      <c r="R36" s="96">
        <v>340.53134563901403</v>
      </c>
      <c r="S36" s="96">
        <v>359.33372231425642</v>
      </c>
      <c r="T36" s="96">
        <v>370.2301695150245</v>
      </c>
      <c r="U36" s="96">
        <v>383.76212709131096</v>
      </c>
      <c r="V36" s="96">
        <v>394.17720700178921</v>
      </c>
      <c r="W36" s="96">
        <v>413.94362324084921</v>
      </c>
      <c r="X36" s="96">
        <v>439.96555713828644</v>
      </c>
      <c r="Y36" s="96">
        <v>451.20164961714062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1.5058287849366543</v>
      </c>
      <c r="I37" s="96">
        <v>1.6657551956278933</v>
      </c>
      <c r="J37" s="96">
        <v>2.357929732532305</v>
      </c>
      <c r="K37" s="96">
        <v>0.94186349438044803</v>
      </c>
      <c r="L37" s="96">
        <v>0.36082974930276868</v>
      </c>
      <c r="M37" s="96">
        <v>0.33290830758441975</v>
      </c>
      <c r="N37" s="96">
        <v>0.31876452024548907</v>
      </c>
      <c r="O37" s="96">
        <v>0.30800859350327753</v>
      </c>
      <c r="P37" s="96">
        <v>1.6269095257359665</v>
      </c>
      <c r="Q37" s="96">
        <v>1.9400281992620083</v>
      </c>
      <c r="R37" s="96">
        <v>1.9084555797077951</v>
      </c>
      <c r="S37" s="96">
        <v>1.8297938433576604</v>
      </c>
      <c r="T37" s="96">
        <v>1.7116928471300619</v>
      </c>
      <c r="U37" s="96">
        <v>1.7575418560377516</v>
      </c>
      <c r="V37" s="96">
        <v>1.7254948349026065</v>
      </c>
      <c r="W37" s="96">
        <v>2.2413610930070993</v>
      </c>
      <c r="X37" s="96">
        <v>1.6718594000744087</v>
      </c>
      <c r="Y37" s="96">
        <v>1.6406703155555213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7.8645542024274706E-2</v>
      </c>
      <c r="Q38" s="96">
        <v>0.22634353712826663</v>
      </c>
      <c r="R38" s="96">
        <v>0.20357264878558903</v>
      </c>
      <c r="S38" s="96">
        <v>0.18692026625487673</v>
      </c>
      <c r="T38" s="96">
        <v>0.18140139281483564</v>
      </c>
      <c r="U38" s="96">
        <v>0.238596286161462</v>
      </c>
      <c r="V38" s="96">
        <v>0.24316350593223238</v>
      </c>
      <c r="W38" s="96">
        <v>0.24792621197693648</v>
      </c>
      <c r="X38" s="96">
        <v>0.25072810575051668</v>
      </c>
      <c r="Y38" s="96">
        <v>0.24711337517213181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221.18584291240012</v>
      </c>
      <c r="C40" s="130">
        <f t="shared" si="36"/>
        <v>388.04314192055074</v>
      </c>
      <c r="D40" s="130">
        <f t="shared" si="36"/>
        <v>425.56524358486348</v>
      </c>
      <c r="E40" s="130">
        <f t="shared" si="36"/>
        <v>522.4396618348344</v>
      </c>
      <c r="F40" s="130">
        <f t="shared" si="36"/>
        <v>780.50896980099424</v>
      </c>
      <c r="G40" s="130">
        <f t="shared" si="36"/>
        <v>941.86231132499722</v>
      </c>
      <c r="H40" s="130">
        <f t="shared" si="36"/>
        <v>1048.6372906593381</v>
      </c>
      <c r="I40" s="130">
        <f t="shared" si="36"/>
        <v>1527.749723701814</v>
      </c>
      <c r="J40" s="130">
        <f t="shared" si="36"/>
        <v>2193.2365036542924</v>
      </c>
      <c r="K40" s="130">
        <f t="shared" si="36"/>
        <v>1289.2309749339815</v>
      </c>
      <c r="L40" s="130">
        <f t="shared" ref="L40" si="37">SUM(L41:L42)</f>
        <v>1388.2895164257568</v>
      </c>
      <c r="M40" s="130">
        <f t="shared" ref="M40:V40" si="38">SUM(M41:M42)</f>
        <v>1676.2932473088613</v>
      </c>
      <c r="N40" s="130">
        <f t="shared" si="38"/>
        <v>1812.41505638117</v>
      </c>
      <c r="O40" s="130">
        <f t="shared" si="38"/>
        <v>1613.2738087304799</v>
      </c>
      <c r="P40" s="130">
        <f t="shared" si="38"/>
        <v>1594.5421932689808</v>
      </c>
      <c r="Q40" s="130">
        <f t="shared" si="38"/>
        <v>1508.3468497870626</v>
      </c>
      <c r="R40" s="130">
        <f t="shared" si="38"/>
        <v>1827.1431676553814</v>
      </c>
      <c r="S40" s="130">
        <f t="shared" si="38"/>
        <v>1841.5683851937681</v>
      </c>
      <c r="T40" s="130">
        <f t="shared" si="38"/>
        <v>1785.8589143885092</v>
      </c>
      <c r="U40" s="130">
        <f t="shared" si="38"/>
        <v>1594.0257001068101</v>
      </c>
      <c r="V40" s="130">
        <f t="shared" si="38"/>
        <v>1148.6109900668782</v>
      </c>
      <c r="W40" s="130">
        <f t="shared" ref="W40:Y40" si="39">SUM(W41:W42)</f>
        <v>1523.9813510671461</v>
      </c>
      <c r="X40" s="130">
        <f t="shared" si="39"/>
        <v>1698.6703412526015</v>
      </c>
      <c r="Y40" s="130">
        <f t="shared" si="39"/>
        <v>1187.2285333914779</v>
      </c>
      <c r="DA40" s="176" t="s">
        <v>413</v>
      </c>
    </row>
    <row r="41" spans="1:105" ht="11.45" customHeight="1" x14ac:dyDescent="0.25">
      <c r="A41" s="128" t="s">
        <v>27</v>
      </c>
      <c r="B41" s="97">
        <v>209.81510213091013</v>
      </c>
      <c r="C41" s="97">
        <v>222.18425146520386</v>
      </c>
      <c r="D41" s="97">
        <v>259.97294123425979</v>
      </c>
      <c r="E41" s="97">
        <v>284.32324558397545</v>
      </c>
      <c r="F41" s="97">
        <v>381.72932566521877</v>
      </c>
      <c r="G41" s="97">
        <v>404.11668798921153</v>
      </c>
      <c r="H41" s="97">
        <v>377.37652893950889</v>
      </c>
      <c r="I41" s="97">
        <v>432.64372652007756</v>
      </c>
      <c r="J41" s="97">
        <v>477.36818286421533</v>
      </c>
      <c r="K41" s="97">
        <v>367.4223082244423</v>
      </c>
      <c r="L41" s="97">
        <v>378.24221293281414</v>
      </c>
      <c r="M41" s="97">
        <v>376.957932167504</v>
      </c>
      <c r="N41" s="97">
        <v>347.60847546351198</v>
      </c>
      <c r="O41" s="97">
        <v>317.53520504024817</v>
      </c>
      <c r="P41" s="97">
        <v>342.09904726040281</v>
      </c>
      <c r="Q41" s="97">
        <v>323.67891583314332</v>
      </c>
      <c r="R41" s="97">
        <v>338.8123670394566</v>
      </c>
      <c r="S41" s="97">
        <v>353.87500774777499</v>
      </c>
      <c r="T41" s="97">
        <v>326.86239212374619</v>
      </c>
      <c r="U41" s="97">
        <v>321.16351692019197</v>
      </c>
      <c r="V41" s="97">
        <v>288.70524730557867</v>
      </c>
      <c r="W41" s="97">
        <v>331.22485424786561</v>
      </c>
      <c r="X41" s="97">
        <v>353.82338216364906</v>
      </c>
      <c r="Y41" s="97">
        <v>342.82557763234922</v>
      </c>
      <c r="DA41" s="175" t="s">
        <v>767</v>
      </c>
    </row>
    <row r="42" spans="1:105" ht="11.45" customHeight="1" x14ac:dyDescent="0.25">
      <c r="A42" s="138" t="s">
        <v>116</v>
      </c>
      <c r="B42" s="98">
        <v>11.370740781489996</v>
      </c>
      <c r="C42" s="98">
        <v>165.85889045534685</v>
      </c>
      <c r="D42" s="98">
        <v>165.59230235060369</v>
      </c>
      <c r="E42" s="98">
        <v>238.11641625085889</v>
      </c>
      <c r="F42" s="98">
        <v>398.77964413577547</v>
      </c>
      <c r="G42" s="98">
        <v>537.74562333578569</v>
      </c>
      <c r="H42" s="98">
        <v>671.26076171982913</v>
      </c>
      <c r="I42" s="98">
        <v>1095.1059971817365</v>
      </c>
      <c r="J42" s="98">
        <v>1715.8683207900772</v>
      </c>
      <c r="K42" s="98">
        <v>921.80866670953935</v>
      </c>
      <c r="L42" s="98">
        <v>1010.0473034929427</v>
      </c>
      <c r="M42" s="98">
        <v>1299.3353151413573</v>
      </c>
      <c r="N42" s="98">
        <v>1464.806580917658</v>
      </c>
      <c r="O42" s="98">
        <v>1295.7386036902317</v>
      </c>
      <c r="P42" s="98">
        <v>1252.443146008578</v>
      </c>
      <c r="Q42" s="98">
        <v>1184.6679339539194</v>
      </c>
      <c r="R42" s="98">
        <v>1488.3308006159248</v>
      </c>
      <c r="S42" s="98">
        <v>1487.6933774459931</v>
      </c>
      <c r="T42" s="98">
        <v>1458.9965222647629</v>
      </c>
      <c r="U42" s="98">
        <v>1272.862183186618</v>
      </c>
      <c r="V42" s="98">
        <v>859.90574276129962</v>
      </c>
      <c r="W42" s="98">
        <v>1192.7564968192805</v>
      </c>
      <c r="X42" s="98">
        <v>1344.8469590889524</v>
      </c>
      <c r="Y42" s="98">
        <v>844.40295575912853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2.9589335626200937</v>
      </c>
      <c r="C47" s="145">
        <f>IF(C4=0,0,C4/TrRoad_ene!C4)</f>
        <v>2.9660528165867523</v>
      </c>
      <c r="D47" s="145">
        <f>IF(D4=0,0,D4/TrRoad_ene!D4)</f>
        <v>2.9751918902385879</v>
      </c>
      <c r="E47" s="145">
        <f>IF(E4=0,0,E4/TrRoad_ene!E4)</f>
        <v>2.979824136766819</v>
      </c>
      <c r="F47" s="145">
        <f>IF(F4=0,0,F4/TrRoad_ene!F4)</f>
        <v>2.9977925161478383</v>
      </c>
      <c r="G47" s="145">
        <f>IF(G4=0,0,G4/TrRoad_ene!G4)</f>
        <v>3.0057770672478967</v>
      </c>
      <c r="H47" s="145">
        <f>IF(H4=0,0,H4/TrRoad_ene!H4)</f>
        <v>3.0037773863231561</v>
      </c>
      <c r="I47" s="145">
        <f>IF(I4=0,0,I4/TrRoad_ene!I4)</f>
        <v>3.0004534410935335</v>
      </c>
      <c r="J47" s="145">
        <f>IF(J4=0,0,J4/TrRoad_ene!J4)</f>
        <v>2.9965038580127814</v>
      </c>
      <c r="K47" s="145">
        <f>IF(K4=0,0,K4/TrRoad_ene!K4)</f>
        <v>2.9720349920654825</v>
      </c>
      <c r="L47" s="145">
        <f>IF(L4=0,0,L4/TrRoad_ene!L4)</f>
        <v>2.951248139062558</v>
      </c>
      <c r="M47" s="145">
        <f>IF(M4=0,0,M4/TrRoad_ene!M4)</f>
        <v>2.9762834731075771</v>
      </c>
      <c r="N47" s="145">
        <f>IF(N4=0,0,N4/TrRoad_ene!N4)</f>
        <v>2.9578787380960132</v>
      </c>
      <c r="O47" s="145">
        <f>IF(O4=0,0,O4/TrRoad_ene!O4)</f>
        <v>2.9399760086537694</v>
      </c>
      <c r="P47" s="145">
        <f>IF(P4=0,0,P4/TrRoad_ene!P4)</f>
        <v>2.9709098917406647</v>
      </c>
      <c r="Q47" s="145">
        <f>IF(Q4=0,0,Q4/TrRoad_ene!Q4)</f>
        <v>2.9950602689563892</v>
      </c>
      <c r="R47" s="145">
        <f>IF(R4=0,0,R4/TrRoad_ene!R4)</f>
        <v>3.019487697430367</v>
      </c>
      <c r="S47" s="145">
        <f>IF(S4=0,0,S4/TrRoad_ene!S4)</f>
        <v>3.0117285280679962</v>
      </c>
      <c r="T47" s="145">
        <f>IF(T4=0,0,T4/TrRoad_ene!T4)</f>
        <v>2.9355261229172127</v>
      </c>
      <c r="U47" s="145">
        <f>IF(U4=0,0,U4/TrRoad_ene!U4)</f>
        <v>2.8980209703129565</v>
      </c>
      <c r="V47" s="145">
        <f>IF(V4=0,0,V4/TrRoad_ene!V4)</f>
        <v>2.8698716279630831</v>
      </c>
      <c r="W47" s="145">
        <f>IF(W4=0,0,W4/TrRoad_ene!W4)</f>
        <v>2.8725381068082068</v>
      </c>
      <c r="X47" s="145">
        <f>IF(X4=0,0,X4/TrRoad_ene!X4)</f>
        <v>2.9234538586101464</v>
      </c>
      <c r="Y47" s="145">
        <f>IF(Y4=0,0,Y4/TrRoad_ene!Y4)</f>
        <v>2.8803985548720483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2.9014524000000006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2.8985859463490184</v>
      </c>
      <c r="J48" s="97">
        <f>IF(J7=0,0,(J7+J12)/(TrRoad_ene!J7+TrRoad_ene!J12))</f>
        <v>2.8904730195948614</v>
      </c>
      <c r="K48" s="97">
        <f>IF(K7=0,0,(K7+K12)/(TrRoad_ene!K7+TrRoad_ene!K12))</f>
        <v>2.889257688218041</v>
      </c>
      <c r="L48" s="97">
        <f>IF(L7=0,0,(L7+L12)/(TrRoad_ene!L7+TrRoad_ene!L12))</f>
        <v>2.8807219733915774</v>
      </c>
      <c r="M48" s="97">
        <f>IF(M7=0,0,(M7+M12)/(TrRoad_ene!M7+TrRoad_ene!M12))</f>
        <v>2.8764366535593666</v>
      </c>
      <c r="N48" s="97">
        <f>IF(N7=0,0,(N7+N12)/(TrRoad_ene!N7+TrRoad_ene!N12))</f>
        <v>2.8687073276190311</v>
      </c>
      <c r="O48" s="97">
        <f>IF(O7=0,0,(O7+O12)/(TrRoad_ene!O7+TrRoad_ene!O12))</f>
        <v>2.856131027652328</v>
      </c>
      <c r="P48" s="97">
        <f>IF(P7=0,0,(P7+P12)/(TrRoad_ene!P7+TrRoad_ene!P12))</f>
        <v>2.853036165676528</v>
      </c>
      <c r="Q48" s="97">
        <f>IF(Q7=0,0,(Q7+Q12)/(TrRoad_ene!Q7+TrRoad_ene!Q12))</f>
        <v>2.8587841644453977</v>
      </c>
      <c r="R48" s="97">
        <f>IF(R7=0,0,(R7+R12)/(TrRoad_ene!R7+TrRoad_ene!R12))</f>
        <v>2.8726616960942732</v>
      </c>
      <c r="S48" s="97">
        <f>IF(S7=0,0,(S7+S12)/(TrRoad_ene!S7+TrRoad_ene!S12))</f>
        <v>2.8727406417969075</v>
      </c>
      <c r="T48" s="97">
        <f>IF(T7=0,0,(T7+T12)/(TrRoad_ene!T7+TrRoad_ene!T12))</f>
        <v>2.8492698552579991</v>
      </c>
      <c r="U48" s="97">
        <f>IF(U7=0,0,(U7+U12)/(TrRoad_ene!U7+TrRoad_ene!U12))</f>
        <v>2.8716029041436264</v>
      </c>
      <c r="V48" s="97">
        <f>IF(V7=0,0,(V7+V12)/(TrRoad_ene!V7+TrRoad_ene!V12))</f>
        <v>2.8307327909706159</v>
      </c>
      <c r="W48" s="97">
        <f>IF(W7=0,0,(W7+W12)/(TrRoad_ene!W7+TrRoad_ene!W12))</f>
        <v>2.8349457668738931</v>
      </c>
      <c r="X48" s="97">
        <f>IF(X7=0,0,(X7+X12)/(TrRoad_ene!X7+TrRoad_ene!X12))</f>
        <v>2.8581574930236293</v>
      </c>
      <c r="Y48" s="97">
        <f>IF(Y7=0,0,(Y7+Y12)/(TrRoad_ene!Y7+TrRoad_ene!Y12))</f>
        <v>2.8472555711638008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3.0859993648074684</v>
      </c>
      <c r="I49" s="97">
        <f>IF(I8=0,0,(I8+I13+I14)/(TrRoad_ene!I8+TrRoad_ene!I13+TrRoad_ene!I14))</f>
        <v>3.0635096586985333</v>
      </c>
      <c r="J49" s="97">
        <f>IF(J8=0,0,(J8+J13+J14)/(TrRoad_ene!J8+TrRoad_ene!J13+TrRoad_ene!J14))</f>
        <v>3.051003035545754</v>
      </c>
      <c r="K49" s="97">
        <f>IF(K8=0,0,(K8+K13+K14)/(TrRoad_ene!K8+TrRoad_ene!K13+TrRoad_ene!K14))</f>
        <v>3.0209635457776631</v>
      </c>
      <c r="L49" s="97">
        <f>IF(L8=0,0,(L8+L13+L14)/(TrRoad_ene!L8+TrRoad_ene!L13+TrRoad_ene!L14))</f>
        <v>2.9900203524337741</v>
      </c>
      <c r="M49" s="97">
        <f>IF(M8=0,0,(M8+M13+M14)/(TrRoad_ene!M8+TrRoad_ene!M13+TrRoad_ene!M14))</f>
        <v>3.0244745920760701</v>
      </c>
      <c r="N49" s="97">
        <f>IF(N8=0,0,(N8+N13+N14)/(TrRoad_ene!N8+TrRoad_ene!N13+TrRoad_ene!N14))</f>
        <v>2.9958318965321644</v>
      </c>
      <c r="O49" s="97">
        <f>IF(O8=0,0,(O8+O13+O14)/(TrRoad_ene!O8+TrRoad_ene!O13+TrRoad_ene!O14))</f>
        <v>2.9748568174091155</v>
      </c>
      <c r="P49" s="97">
        <f>IF(P8=0,0,(P8+P13+P14)/(TrRoad_ene!P8+TrRoad_ene!P13+TrRoad_ene!P14))</f>
        <v>3.0161695805545703</v>
      </c>
      <c r="Q49" s="97">
        <f>IF(Q8=0,0,(Q8+Q13+Q14)/(TrRoad_ene!Q8+TrRoad_ene!Q13+TrRoad_ene!Q14))</f>
        <v>3.0471634337219657</v>
      </c>
      <c r="R49" s="97">
        <f>IF(R8=0,0,(R8+R13+R14)/(TrRoad_ene!R8+TrRoad_ene!R13+TrRoad_ene!R14))</f>
        <v>3.0711898241826661</v>
      </c>
      <c r="S49" s="97">
        <f>IF(S8=0,0,(S8+S13+S14)/(TrRoad_ene!S8+TrRoad_ene!S13+TrRoad_ene!S14))</f>
        <v>3.058148522863545</v>
      </c>
      <c r="T49" s="97">
        <f>IF(T8=0,0,(T8+T13+T14)/(TrRoad_ene!T8+TrRoad_ene!T13+TrRoad_ene!T14))</f>
        <v>2.9653989399995879</v>
      </c>
      <c r="U49" s="97">
        <f>IF(U8=0,0,(U8+U13+U14)/(TrRoad_ene!U8+TrRoad_ene!U13+TrRoad_ene!U14))</f>
        <v>2.9104670370056813</v>
      </c>
      <c r="V49" s="97">
        <f>IF(V8=0,0,(V8+V13+V14)/(TrRoad_ene!V8+TrRoad_ene!V13+TrRoad_ene!V14))</f>
        <v>2.8850516849900272</v>
      </c>
      <c r="W49" s="97">
        <f>IF(W8=0,0,(W8+W13+W14)/(TrRoad_ene!W8+TrRoad_ene!W13+TrRoad_ene!W14))</f>
        <v>2.889063628655435</v>
      </c>
      <c r="X49" s="97">
        <f>IF(X8=0,0,(X8+X13+X14)/(TrRoad_ene!X8+TrRoad_ene!X13+TrRoad_ene!X14))</f>
        <v>2.9491583854224763</v>
      </c>
      <c r="Y49" s="97">
        <f>IF(Y8=0,0,(Y8+Y13+Y14)/(TrRoad_ene!Y8+TrRoad_ene!Y13+TrRoad_ene!Y14))</f>
        <v>2.9006513073099174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X51" s="97">
        <f>IF(X9=0,0,(X9+X11)/(TrRoad_ene!X9+TrRoad_ene!X11))</f>
        <v>2.3487948000000003</v>
      </c>
      <c r="Y51" s="97">
        <f>IF(Y9=0,0,(Y9+Y11)/(TrRoad_ene!Y9+TrRoad_ene!Y11))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302.27721897983724</v>
      </c>
      <c r="C54" s="62">
        <f>IF(TrRoad_act!C30=0,0,C17/TrRoad_act!C30*1000
)</f>
        <v>308.47177515039255</v>
      </c>
      <c r="D54" s="62">
        <f>IF(TrRoad_act!D30=0,0,D17/TrRoad_act!D30*1000
)</f>
        <v>301.63316717413863</v>
      </c>
      <c r="E54" s="62">
        <f>IF(TrRoad_act!E30=0,0,E17/TrRoad_act!E30*1000
)</f>
        <v>299.70604834120923</v>
      </c>
      <c r="F54" s="62">
        <f>IF(TrRoad_act!F30=0,0,F17/TrRoad_act!F30*1000
)</f>
        <v>295.31855419047633</v>
      </c>
      <c r="G54" s="62">
        <f>IF(TrRoad_act!G30=0,0,G17/TrRoad_act!G30*1000
)</f>
        <v>304.18481581613401</v>
      </c>
      <c r="H54" s="62">
        <f>IF(TrRoad_act!H30=0,0,H17/TrRoad_act!H30*1000
)</f>
        <v>306.12109047301999</v>
      </c>
      <c r="I54" s="62">
        <f>IF(TrRoad_act!I30=0,0,I17/TrRoad_act!I30*1000
)</f>
        <v>331.70083920562433</v>
      </c>
      <c r="J54" s="62">
        <f>IF(TrRoad_act!J30=0,0,J17/TrRoad_act!J30*1000
)</f>
        <v>383.35458168377664</v>
      </c>
      <c r="K54" s="62">
        <f>IF(TrRoad_act!K30=0,0,K17/TrRoad_act!K30*1000
)</f>
        <v>309.0362571455077</v>
      </c>
      <c r="L54" s="62">
        <f>IF(TrRoad_act!L30=0,0,L17/TrRoad_act!L30*1000
)</f>
        <v>314.74747205328396</v>
      </c>
      <c r="M54" s="62">
        <f>IF(TrRoad_act!M30=0,0,M17/TrRoad_act!M30*1000
)</f>
        <v>333.25536036410773</v>
      </c>
      <c r="N54" s="62">
        <f>IF(TrRoad_act!N30=0,0,N17/TrRoad_act!N30*1000
)</f>
        <v>333.33369911320284</v>
      </c>
      <c r="O54" s="62">
        <f>IF(TrRoad_act!O30=0,0,O17/TrRoad_act!O30*1000
)</f>
        <v>312.9436213205837</v>
      </c>
      <c r="P54" s="62">
        <f>IF(TrRoad_act!P30=0,0,P17/TrRoad_act!P30*1000
)</f>
        <v>304.01171638440042</v>
      </c>
      <c r="Q54" s="62">
        <f>IF(TrRoad_act!Q30=0,0,Q17/TrRoad_act!Q30*1000
)</f>
        <v>295.33216467799207</v>
      </c>
      <c r="R54" s="62">
        <f>IF(TrRoad_act!R30=0,0,R17/TrRoad_act!R30*1000
)</f>
        <v>314.93476717930793</v>
      </c>
      <c r="S54" s="62">
        <f>IF(TrRoad_act!S30=0,0,S17/TrRoad_act!S30*1000
)</f>
        <v>303.5006264780273</v>
      </c>
      <c r="T54" s="62">
        <f>IF(TrRoad_act!T30=0,0,T17/TrRoad_act!T30*1000
)</f>
        <v>290.43994112244252</v>
      </c>
      <c r="U54" s="62">
        <f>IF(TrRoad_act!U30=0,0,U17/TrRoad_act!U30*1000
)</f>
        <v>270.23070698078322</v>
      </c>
      <c r="V54" s="62">
        <f>IF(TrRoad_act!V30=0,0,V17/TrRoad_act!V30*1000
)</f>
        <v>245.91423866584776</v>
      </c>
      <c r="W54" s="62">
        <f>IF(TrRoad_act!W30=0,0,W17/TrRoad_act!W30*1000
)</f>
        <v>266.9176788569909</v>
      </c>
      <c r="X54" s="62">
        <f>IF(TrRoad_act!X30=0,0,X17/TrRoad_act!X30*1000
)</f>
        <v>275.53114456659495</v>
      </c>
      <c r="Y54" s="62">
        <f>IF(TrRoad_act!Y30=0,0,Y17/TrRoad_act!Y30*1000
)</f>
        <v>242.76933933192973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293.63798821479759</v>
      </c>
      <c r="C55" s="29">
        <f>IF(TrRoad_act!C31=0,0,C18/TrRoad_act!C31*1000
)</f>
        <v>286.13938503601003</v>
      </c>
      <c r="D55" s="29">
        <f>IF(TrRoad_act!D31=0,0,D18/TrRoad_act!D31*1000
)</f>
        <v>278.07374871327687</v>
      </c>
      <c r="E55" s="29">
        <f>IF(TrRoad_act!E31=0,0,E18/TrRoad_act!E31*1000
)</f>
        <v>268.84107674142581</v>
      </c>
      <c r="F55" s="29">
        <f>IF(TrRoad_act!F31=0,0,F18/TrRoad_act!F31*1000
)</f>
        <v>248.22114681618913</v>
      </c>
      <c r="G55" s="29">
        <f>IF(TrRoad_act!G31=0,0,G18/TrRoad_act!G31*1000
)</f>
        <v>247.41581150554228</v>
      </c>
      <c r="H55" s="29">
        <f>IF(TrRoad_act!H31=0,0,H18/TrRoad_act!H31*1000
)</f>
        <v>244.09170076912051</v>
      </c>
      <c r="I55" s="29">
        <f>IF(TrRoad_act!I31=0,0,I18/TrRoad_act!I31*1000
)</f>
        <v>241.09957339122764</v>
      </c>
      <c r="J55" s="29">
        <f>IF(TrRoad_act!J31=0,0,J18/TrRoad_act!J31*1000
)</f>
        <v>252.97784502661398</v>
      </c>
      <c r="K55" s="29">
        <f>IF(TrRoad_act!K31=0,0,K18/TrRoad_act!K31*1000
)</f>
        <v>235.76671750180461</v>
      </c>
      <c r="L55" s="29">
        <f>IF(TrRoad_act!L31=0,0,L18/TrRoad_act!L31*1000
)</f>
        <v>236.05504096326419</v>
      </c>
      <c r="M55" s="29">
        <f>IF(TrRoad_act!M31=0,0,M18/TrRoad_act!M31*1000
)</f>
        <v>237.26975520342384</v>
      </c>
      <c r="N55" s="29">
        <f>IF(TrRoad_act!N31=0,0,N18/TrRoad_act!N31*1000
)</f>
        <v>228.62291366410503</v>
      </c>
      <c r="O55" s="29">
        <f>IF(TrRoad_act!O31=0,0,O18/TrRoad_act!O31*1000
)</f>
        <v>219.98666379623953</v>
      </c>
      <c r="P55" s="29">
        <f>IF(TrRoad_act!P31=0,0,P18/TrRoad_act!P31*1000
)</f>
        <v>214.29646442914014</v>
      </c>
      <c r="Q55" s="29">
        <f>IF(TrRoad_act!Q31=0,0,Q18/TrRoad_act!Q31*1000
)</f>
        <v>212.42405590690851</v>
      </c>
      <c r="R55" s="29">
        <f>IF(TrRoad_act!R31=0,0,R18/TrRoad_act!R31*1000
)</f>
        <v>215.29704559306899</v>
      </c>
      <c r="S55" s="29">
        <f>IF(TrRoad_act!S31=0,0,S18/TrRoad_act!S31*1000
)</f>
        <v>209.07537539755964</v>
      </c>
      <c r="T55" s="29">
        <f>IF(TrRoad_act!T31=0,0,T18/TrRoad_act!T31*1000
)</f>
        <v>202.17676297514885</v>
      </c>
      <c r="U55" s="29">
        <f>IF(TrRoad_act!U31=0,0,U18/TrRoad_act!U31*1000
)</f>
        <v>193.94794309616893</v>
      </c>
      <c r="V55" s="29">
        <f>IF(TrRoad_act!V31=0,0,V18/TrRoad_act!V31*1000
)</f>
        <v>183.26587271043692</v>
      </c>
      <c r="W55" s="29">
        <f>IF(TrRoad_act!W31=0,0,W18/TrRoad_act!W31*1000
)</f>
        <v>188.54203512025549</v>
      </c>
      <c r="X55" s="29">
        <f>IF(TrRoad_act!X31=0,0,X18/TrRoad_act!X31*1000
)</f>
        <v>194.1409687197559</v>
      </c>
      <c r="Y55" s="29">
        <f>IF(TrRoad_act!Y31=0,0,Y18/TrRoad_act!Y31*1000
)</f>
        <v>188.85629780879563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130.3742192766457</v>
      </c>
      <c r="C56" s="152">
        <f>IF(TrRoad_act!C32=0,0,C19/TrRoad_act!C32*1000
)</f>
        <v>129.73653391473334</v>
      </c>
      <c r="D56" s="152">
        <f>IF(TrRoad_act!D32=0,0,D19/TrRoad_act!D32*1000
)</f>
        <v>129.03150157552724</v>
      </c>
      <c r="E56" s="152">
        <f>IF(TrRoad_act!E32=0,0,E19/TrRoad_act!E32*1000
)</f>
        <v>128.19079014240646</v>
      </c>
      <c r="F56" s="152">
        <f>IF(TrRoad_act!F32=0,0,F19/TrRoad_act!F32*1000
)</f>
        <v>127.21373792517487</v>
      </c>
      <c r="G56" s="152">
        <f>IF(TrRoad_act!G32=0,0,G19/TrRoad_act!G32*1000
)</f>
        <v>126.11110581826679</v>
      </c>
      <c r="H56" s="152">
        <f>IF(TrRoad_act!H32=0,0,H19/TrRoad_act!H32*1000
)</f>
        <v>124.31442215888968</v>
      </c>
      <c r="I56" s="152">
        <f>IF(TrRoad_act!I32=0,0,I19/TrRoad_act!I32*1000
)</f>
        <v>119.6713619741831</v>
      </c>
      <c r="J56" s="152">
        <f>IF(TrRoad_act!J32=0,0,J19/TrRoad_act!J32*1000
)</f>
        <v>116.69075230798703</v>
      </c>
      <c r="K56" s="152">
        <f>IF(TrRoad_act!K32=0,0,K19/TrRoad_act!K32*1000
)</f>
        <v>120.48659314268983</v>
      </c>
      <c r="L56" s="152">
        <f>IF(TrRoad_act!L32=0,0,L19/TrRoad_act!L32*1000
)</f>
        <v>113.08610031336515</v>
      </c>
      <c r="M56" s="152">
        <f>IF(TrRoad_act!M32=0,0,M19/TrRoad_act!M32*1000
)</f>
        <v>112.03714548650717</v>
      </c>
      <c r="N56" s="152">
        <f>IF(TrRoad_act!N32=0,0,N19/TrRoad_act!N32*1000
)</f>
        <v>111.23765338789784</v>
      </c>
      <c r="O56" s="152">
        <f>IF(TrRoad_act!O32=0,0,O19/TrRoad_act!O32*1000
)</f>
        <v>109.76905506093723</v>
      </c>
      <c r="P56" s="152">
        <f>IF(TrRoad_act!P32=0,0,P19/TrRoad_act!P32*1000
)</f>
        <v>108.5348875902973</v>
      </c>
      <c r="Q56" s="152">
        <f>IF(TrRoad_act!Q32=0,0,Q19/TrRoad_act!Q32*1000
)</f>
        <v>106.70662446292127</v>
      </c>
      <c r="R56" s="152">
        <f>IF(TrRoad_act!R32=0,0,R19/TrRoad_act!R32*1000
)</f>
        <v>105.23016974276325</v>
      </c>
      <c r="S56" s="152">
        <f>IF(TrRoad_act!S32=0,0,S19/TrRoad_act!S32*1000
)</f>
        <v>107.18897651150125</v>
      </c>
      <c r="T56" s="152">
        <f>IF(TrRoad_act!T32=0,0,T19/TrRoad_act!T32*1000
)</f>
        <v>104.95770756396834</v>
      </c>
      <c r="U56" s="152">
        <f>IF(TrRoad_act!U32=0,0,U19/TrRoad_act!U32*1000
)</f>
        <v>104.38304126799571</v>
      </c>
      <c r="V56" s="152">
        <f>IF(TrRoad_act!V32=0,0,V19/TrRoad_act!V32*1000
)</f>
        <v>102.1226404645377</v>
      </c>
      <c r="W56" s="152">
        <f>IF(TrRoad_act!W32=0,0,W19/TrRoad_act!W32*1000
)</f>
        <v>101.34476358286517</v>
      </c>
      <c r="X56" s="152">
        <f>IF(TrRoad_act!X32=0,0,X19/TrRoad_act!X32*1000
)</f>
        <v>101.02588730611821</v>
      </c>
      <c r="Y56" s="152">
        <f>IF(TrRoad_act!Y32=0,0,Y19/TrRoad_act!Y32*1000
)</f>
        <v>99.530993729824146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275.30533025828402</v>
      </c>
      <c r="C57" s="116">
        <f>IF(TrRoad_act!C33=0,0,C20/TrRoad_act!C33*1000
)</f>
        <v>269.86315690265957</v>
      </c>
      <c r="D57" s="116">
        <f>IF(TrRoad_act!D33=0,0,D20/TrRoad_act!D33*1000
)</f>
        <v>263.05975065363202</v>
      </c>
      <c r="E57" s="116">
        <f>IF(TrRoad_act!E33=0,0,E20/TrRoad_act!E33*1000
)</f>
        <v>254.61105697550818</v>
      </c>
      <c r="F57" s="116">
        <f>IF(TrRoad_act!F33=0,0,F20/TrRoad_act!F33*1000
)</f>
        <v>234.16874138980131</v>
      </c>
      <c r="G57" s="116">
        <f>IF(TrRoad_act!G33=0,0,G20/TrRoad_act!G33*1000
)</f>
        <v>234.42895765628106</v>
      </c>
      <c r="H57" s="116">
        <f>IF(TrRoad_act!H33=0,0,H20/TrRoad_act!H33*1000
)</f>
        <v>231.65431159385903</v>
      </c>
      <c r="I57" s="116">
        <f>IF(TrRoad_act!I33=0,0,I20/TrRoad_act!I33*1000
)</f>
        <v>229.33284965704738</v>
      </c>
      <c r="J57" s="116">
        <f>IF(TrRoad_act!J33=0,0,J20/TrRoad_act!J33*1000
)</f>
        <v>241.82158988393692</v>
      </c>
      <c r="K57" s="116">
        <f>IF(TrRoad_act!K33=0,0,K20/TrRoad_act!K33*1000
)</f>
        <v>224.77191557860979</v>
      </c>
      <c r="L57" s="116">
        <f>IF(TrRoad_act!L33=0,0,L20/TrRoad_act!L33*1000
)</f>
        <v>225.84369259550459</v>
      </c>
      <c r="M57" s="116">
        <f>IF(TrRoad_act!M33=0,0,M20/TrRoad_act!M33*1000
)</f>
        <v>227.10208872312904</v>
      </c>
      <c r="N57" s="116">
        <f>IF(TrRoad_act!N33=0,0,N20/TrRoad_act!N33*1000
)</f>
        <v>218.35803423895388</v>
      </c>
      <c r="O57" s="116">
        <f>IF(TrRoad_act!O33=0,0,O20/TrRoad_act!O33*1000
)</f>
        <v>209.25985346950125</v>
      </c>
      <c r="P57" s="116">
        <f>IF(TrRoad_act!P33=0,0,P20/TrRoad_act!P33*1000
)</f>
        <v>203.66903424566101</v>
      </c>
      <c r="Q57" s="116">
        <f>IF(TrRoad_act!Q33=0,0,Q20/TrRoad_act!Q33*1000
)</f>
        <v>201.51056243743406</v>
      </c>
      <c r="R57" s="116">
        <f>IF(TrRoad_act!R33=0,0,R20/TrRoad_act!R33*1000
)</f>
        <v>204.88421637501196</v>
      </c>
      <c r="S57" s="116">
        <f>IF(TrRoad_act!S33=0,0,S20/TrRoad_act!S33*1000
)</f>
        <v>198.57358440406091</v>
      </c>
      <c r="T57" s="116">
        <f>IF(TrRoad_act!T33=0,0,T20/TrRoad_act!T33*1000
)</f>
        <v>192.4859436492313</v>
      </c>
      <c r="U57" s="116">
        <f>IF(TrRoad_act!U33=0,0,U20/TrRoad_act!U33*1000
)</f>
        <v>184.11645010939324</v>
      </c>
      <c r="V57" s="116">
        <f>IF(TrRoad_act!V33=0,0,V20/TrRoad_act!V33*1000
)</f>
        <v>176.7122677118827</v>
      </c>
      <c r="W57" s="116">
        <f>IF(TrRoad_act!W33=0,0,W20/TrRoad_act!W33*1000
)</f>
        <v>181.22316784257953</v>
      </c>
      <c r="X57" s="116">
        <f>IF(TrRoad_act!X33=0,0,X20/TrRoad_act!X33*1000
)</f>
        <v>185.76478443725026</v>
      </c>
      <c r="Y57" s="116">
        <f>IF(TrRoad_act!Y33=0,0,Y20/TrRoad_act!Y33*1000
)</f>
        <v>180.52513363022155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284.92427654205642</v>
      </c>
      <c r="C58" s="87">
        <f>IF(TrRoad_act!C34=0,0,C21/TrRoad_act!C34*1000
)</f>
        <v>280.23034759046186</v>
      </c>
      <c r="D58" s="87">
        <f>IF(TrRoad_act!D34=0,0,D21/TrRoad_act!D34*1000
)</f>
        <v>277.67317752496228</v>
      </c>
      <c r="E58" s="87">
        <f>IF(TrRoad_act!E34=0,0,E21/TrRoad_act!E34*1000
)</f>
        <v>266.64383331598094</v>
      </c>
      <c r="F58" s="87">
        <f>IF(TrRoad_act!F34=0,0,F21/TrRoad_act!F34*1000
)</f>
        <v>239.18501911014278</v>
      </c>
      <c r="G58" s="87">
        <f>IF(TrRoad_act!G34=0,0,G21/TrRoad_act!G34*1000
)</f>
        <v>241.30790490206951</v>
      </c>
      <c r="H58" s="87">
        <f>IF(TrRoad_act!H34=0,0,H21/TrRoad_act!H34*1000
)</f>
        <v>238.28184600981828</v>
      </c>
      <c r="I58" s="87">
        <f>IF(TrRoad_act!I34=0,0,I21/TrRoad_act!I34*1000
)</f>
        <v>233.97979813824745</v>
      </c>
      <c r="J58" s="87">
        <f>IF(TrRoad_act!J34=0,0,J21/TrRoad_act!J34*1000
)</f>
        <v>255.62293128945839</v>
      </c>
      <c r="K58" s="87">
        <f>IF(TrRoad_act!K34=0,0,K21/TrRoad_act!K34*1000
)</f>
        <v>234.29382631522378</v>
      </c>
      <c r="L58" s="87">
        <f>IF(TrRoad_act!L34=0,0,L21/TrRoad_act!L34*1000
)</f>
        <v>239.52991372567237</v>
      </c>
      <c r="M58" s="87">
        <f>IF(TrRoad_act!M34=0,0,M21/TrRoad_act!M34*1000
)</f>
        <v>240.56690926023612</v>
      </c>
      <c r="N58" s="87">
        <f>IF(TrRoad_act!N34=0,0,N21/TrRoad_act!N34*1000
)</f>
        <v>226.8771587147161</v>
      </c>
      <c r="O58" s="87">
        <f>IF(TrRoad_act!O34=0,0,O21/TrRoad_act!O34*1000
)</f>
        <v>214.54114798410617</v>
      </c>
      <c r="P58" s="87">
        <f>IF(TrRoad_act!P34=0,0,P21/TrRoad_act!P34*1000
)</f>
        <v>204.07554732687731</v>
      </c>
      <c r="Q58" s="87">
        <f>IF(TrRoad_act!Q34=0,0,Q21/TrRoad_act!Q34*1000
)</f>
        <v>202.34772982371558</v>
      </c>
      <c r="R58" s="87">
        <f>IF(TrRoad_act!R34=0,0,R21/TrRoad_act!R34*1000
)</f>
        <v>210.88536342319819</v>
      </c>
      <c r="S58" s="87">
        <f>IF(TrRoad_act!S34=0,0,S21/TrRoad_act!S34*1000
)</f>
        <v>202.61965038865998</v>
      </c>
      <c r="T58" s="87">
        <f>IF(TrRoad_act!T34=0,0,T21/TrRoad_act!T34*1000
)</f>
        <v>202.95739787183931</v>
      </c>
      <c r="U58" s="87">
        <f>IF(TrRoad_act!U34=0,0,U21/TrRoad_act!U34*1000
)</f>
        <v>192.86631299348372</v>
      </c>
      <c r="V58" s="87">
        <f>IF(TrRoad_act!V34=0,0,V21/TrRoad_act!V34*1000
)</f>
        <v>187.65590468924117</v>
      </c>
      <c r="W58" s="87">
        <f>IF(TrRoad_act!W34=0,0,W21/TrRoad_act!W34*1000
)</f>
        <v>198.8816612726001</v>
      </c>
      <c r="X58" s="87">
        <f>IF(TrRoad_act!X34=0,0,X21/TrRoad_act!X34*1000
)</f>
        <v>209.48569016156415</v>
      </c>
      <c r="Y58" s="87">
        <f>IF(TrRoad_act!Y34=0,0,Y21/TrRoad_act!Y34*1000
)</f>
        <v>206.84880757720188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235.28831518494189</v>
      </c>
      <c r="C59" s="87">
        <f>IF(TrRoad_act!C35=0,0,C22/TrRoad_act!C35*1000
)</f>
        <v>229.9592378159924</v>
      </c>
      <c r="D59" s="87">
        <f>IF(TrRoad_act!D35=0,0,D22/TrRoad_act!D35*1000
)</f>
        <v>223.59207735204544</v>
      </c>
      <c r="E59" s="87">
        <f>IF(TrRoad_act!E35=0,0,E22/TrRoad_act!E35*1000
)</f>
        <v>222.24746257227159</v>
      </c>
      <c r="F59" s="87">
        <f>IF(TrRoad_act!F35=0,0,F22/TrRoad_act!F35*1000
)</f>
        <v>223.24214961096112</v>
      </c>
      <c r="G59" s="87">
        <f>IF(TrRoad_act!G35=0,0,G22/TrRoad_act!G35*1000
)</f>
        <v>221.88138356103008</v>
      </c>
      <c r="H59" s="87">
        <f>IF(TrRoad_act!H35=0,0,H22/TrRoad_act!H35*1000
)</f>
        <v>221.45644695868734</v>
      </c>
      <c r="I59" s="87">
        <f>IF(TrRoad_act!I35=0,0,I22/TrRoad_act!I35*1000
)</f>
        <v>223.20156346089982</v>
      </c>
      <c r="J59" s="87">
        <f>IF(TrRoad_act!J35=0,0,J22/TrRoad_act!J35*1000
)</f>
        <v>225.55224209440473</v>
      </c>
      <c r="K59" s="87">
        <f>IF(TrRoad_act!K35=0,0,K22/TrRoad_act!K35*1000
)</f>
        <v>214.9108160485431</v>
      </c>
      <c r="L59" s="87">
        <f>IF(TrRoad_act!L35=0,0,L22/TrRoad_act!L35*1000
)</f>
        <v>212.9004779322799</v>
      </c>
      <c r="M59" s="87">
        <f>IF(TrRoad_act!M35=0,0,M22/TrRoad_act!M35*1000
)</f>
        <v>215.28918631320391</v>
      </c>
      <c r="N59" s="87">
        <f>IF(TrRoad_act!N35=0,0,N22/TrRoad_act!N35*1000
)</f>
        <v>211.4150565231881</v>
      </c>
      <c r="O59" s="87">
        <f>IF(TrRoad_act!O35=0,0,O22/TrRoad_act!O35*1000
)</f>
        <v>205.23349205204059</v>
      </c>
      <c r="P59" s="87">
        <f>IF(TrRoad_act!P35=0,0,P22/TrRoad_act!P35*1000
)</f>
        <v>203.27145949054926</v>
      </c>
      <c r="Q59" s="87">
        <f>IF(TrRoad_act!Q35=0,0,Q22/TrRoad_act!Q35*1000
)</f>
        <v>200.64419033498061</v>
      </c>
      <c r="R59" s="87">
        <f>IF(TrRoad_act!R35=0,0,R22/TrRoad_act!R35*1000
)</f>
        <v>201.05838414025959</v>
      </c>
      <c r="S59" s="87">
        <f>IF(TrRoad_act!S35=0,0,S22/TrRoad_act!S35*1000
)</f>
        <v>196.43784367887736</v>
      </c>
      <c r="T59" s="87">
        <f>IF(TrRoad_act!T35=0,0,T22/TrRoad_act!T35*1000
)</f>
        <v>187.15819252955072</v>
      </c>
      <c r="U59" s="87">
        <f>IF(TrRoad_act!U35=0,0,U22/TrRoad_act!U35*1000
)</f>
        <v>180.08182010463909</v>
      </c>
      <c r="V59" s="87">
        <f>IF(TrRoad_act!V35=0,0,V22/TrRoad_act!V35*1000
)</f>
        <v>172.9177299460674</v>
      </c>
      <c r="W59" s="87">
        <f>IF(TrRoad_act!W35=0,0,W22/TrRoad_act!W35*1000
)</f>
        <v>173.01313914569494</v>
      </c>
      <c r="X59" s="87">
        <f>IF(TrRoad_act!X35=0,0,X22/TrRoad_act!X35*1000
)</f>
        <v>175.97801362854241</v>
      </c>
      <c r="Y59" s="87">
        <f>IF(TrRoad_act!Y35=0,0,Y22/TrRoad_act!Y35*1000
)</f>
        <v>169.5327339892051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153.79148484759332</v>
      </c>
      <c r="I60" s="87">
        <f>IF(TrRoad_act!I36=0,0,I23/TrRoad_act!I36*1000
)</f>
        <v>177.2578165999995</v>
      </c>
      <c r="J60" s="87">
        <f>IF(TrRoad_act!J36=0,0,J23/TrRoad_act!J36*1000
)</f>
        <v>176.14040847397118</v>
      </c>
      <c r="K60" s="87">
        <f>IF(TrRoad_act!K36=0,0,K23/TrRoad_act!K36*1000
)</f>
        <v>185.12536670541107</v>
      </c>
      <c r="L60" s="87">
        <f>IF(TrRoad_act!L36=0,0,L23/TrRoad_act!L36*1000
)</f>
        <v>201.48299815405423</v>
      </c>
      <c r="M60" s="87">
        <f>IF(TrRoad_act!M36=0,0,M23/TrRoad_act!M36*1000
)</f>
        <v>214.0518836526328</v>
      </c>
      <c r="N60" s="87">
        <f>IF(TrRoad_act!N36=0,0,N23/TrRoad_act!N36*1000
)</f>
        <v>220.78238882719072</v>
      </c>
      <c r="O60" s="87">
        <f>IF(TrRoad_act!O36=0,0,O23/TrRoad_act!O36*1000
)</f>
        <v>213.42987947941589</v>
      </c>
      <c r="P60" s="87">
        <f>IF(TrRoad_act!P36=0,0,P23/TrRoad_act!P36*1000
)</f>
        <v>212.13926865882434</v>
      </c>
      <c r="Q60" s="87">
        <f>IF(TrRoad_act!Q36=0,0,Q23/TrRoad_act!Q36*1000
)</f>
        <v>223.55511931031378</v>
      </c>
      <c r="R60" s="87">
        <f>IF(TrRoad_act!R36=0,0,R23/TrRoad_act!R36*1000
)</f>
        <v>220.82043400762876</v>
      </c>
      <c r="S60" s="87">
        <f>IF(TrRoad_act!S36=0,0,S23/TrRoad_act!S36*1000
)</f>
        <v>199.45525252705156</v>
      </c>
      <c r="T60" s="87">
        <f>IF(TrRoad_act!T36=0,0,T23/TrRoad_act!T36*1000
)</f>
        <v>189.9778280364514</v>
      </c>
      <c r="U60" s="87">
        <f>IF(TrRoad_act!U36=0,0,U23/TrRoad_act!U36*1000
)</f>
        <v>175.72367353860517</v>
      </c>
      <c r="V60" s="87">
        <f>IF(TrRoad_act!V36=0,0,V23/TrRoad_act!V36*1000
)</f>
        <v>133.32155357565065</v>
      </c>
      <c r="W60" s="87">
        <f>IF(TrRoad_act!W36=0,0,W23/TrRoad_act!W36*1000
)</f>
        <v>217.80456275189476</v>
      </c>
      <c r="X60" s="87">
        <f>IF(TrRoad_act!X36=0,0,X23/TrRoad_act!X36*1000
)</f>
        <v>132.55881040408696</v>
      </c>
      <c r="Y60" s="87">
        <f>IF(TrRoad_act!Y36=0,0,Y23/TrRoad_act!Y36*1000
)</f>
        <v>117.31364385120035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147.25399831770423</v>
      </c>
      <c r="O61" s="87">
        <f>IF(TrRoad_act!O37=0,0,O24/TrRoad_act!O37*1000
)</f>
        <v>146.63915678168956</v>
      </c>
      <c r="P61" s="87">
        <f>IF(TrRoad_act!P37=0,0,P24/TrRoad_act!P37*1000
)</f>
        <v>137.47748580569987</v>
      </c>
      <c r="Q61" s="87">
        <f>IF(TrRoad_act!Q37=0,0,Q24/TrRoad_act!Q37*1000
)</f>
        <v>130.07732167287725</v>
      </c>
      <c r="R61" s="87">
        <f>IF(TrRoad_act!R37=0,0,R24/TrRoad_act!R37*1000
)</f>
        <v>129.18536370470932</v>
      </c>
      <c r="S61" s="87">
        <f>IF(TrRoad_act!S37=0,0,S24/TrRoad_act!S37*1000
)</f>
        <v>128.16922573644376</v>
      </c>
      <c r="T61" s="87">
        <f>IF(TrRoad_act!T37=0,0,T24/TrRoad_act!T37*1000
)</f>
        <v>129.9977288840123</v>
      </c>
      <c r="U61" s="87">
        <f>IF(TrRoad_act!U37=0,0,U24/TrRoad_act!U37*1000
)</f>
        <v>129.55964166765085</v>
      </c>
      <c r="V61" s="87">
        <f>IF(TrRoad_act!V37=0,0,V24/TrRoad_act!V37*1000
)</f>
        <v>127.29372584936588</v>
      </c>
      <c r="W61" s="87">
        <f>IF(TrRoad_act!W37=0,0,W24/TrRoad_act!W37*1000
)</f>
        <v>126.31596045616349</v>
      </c>
      <c r="X61" s="87">
        <f>IF(TrRoad_act!X37=0,0,X24/TrRoad_act!X37*1000
)</f>
        <v>125.90765956557118</v>
      </c>
      <c r="Y61" s="87">
        <f>IF(TrRoad_act!Y37=0,0,Y24/TrRoad_act!Y37*1000
)</f>
        <v>125.80935369614157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45.555161120585602</v>
      </c>
      <c r="P62" s="87">
        <f>IF(TrRoad_act!P38=0,0,P25/TrRoad_act!P38*1000
)</f>
        <v>46.191243622821673</v>
      </c>
      <c r="Q62" s="87">
        <f>IF(TrRoad_act!Q38=0,0,Q25/TrRoad_act!Q38*1000
)</f>
        <v>41.511866096424782</v>
      </c>
      <c r="R62" s="87">
        <f>IF(TrRoad_act!R38=0,0,R25/TrRoad_act!R38*1000
)</f>
        <v>50.909345439704893</v>
      </c>
      <c r="S62" s="87">
        <f>IF(TrRoad_act!S38=0,0,S25/TrRoad_act!S38*1000
)</f>
        <v>58.824575021547211</v>
      </c>
      <c r="T62" s="87">
        <f>IF(TrRoad_act!T38=0,0,T25/TrRoad_act!T38*1000
)</f>
        <v>60.12655428911728</v>
      </c>
      <c r="U62" s="87">
        <f>IF(TrRoad_act!U38=0,0,U25/TrRoad_act!U38*1000
)</f>
        <v>58.87644422872976</v>
      </c>
      <c r="V62" s="87">
        <f>IF(TrRoad_act!V38=0,0,V25/TrRoad_act!V38*1000
)</f>
        <v>57.225875636885469</v>
      </c>
      <c r="W62" s="87">
        <f>IF(TrRoad_act!W38=0,0,W25/TrRoad_act!W38*1000
)</f>
        <v>54.377186772354051</v>
      </c>
      <c r="X62" s="87">
        <f>IF(TrRoad_act!X38=0,0,X25/TrRoad_act!X38*1000
)</f>
        <v>55.998142425247799</v>
      </c>
      <c r="Y62" s="87">
        <f>IF(TrRoad_act!Y38=0,0,Y25/TrRoad_act!Y38*1000
)</f>
        <v>50.822462105163197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1831.0095547744377</v>
      </c>
      <c r="C64" s="116">
        <f>IF(TrRoad_act!C40=0,0,C27/TrRoad_act!C40*1000
)</f>
        <v>1744.597545662619</v>
      </c>
      <c r="D64" s="116">
        <f>IF(TrRoad_act!D40=0,0,D27/TrRoad_act!D40*1000
)</f>
        <v>1733.5318524071147</v>
      </c>
      <c r="E64" s="116">
        <f>IF(TrRoad_act!E40=0,0,E27/TrRoad_act!E40*1000
)</f>
        <v>1720.0788629305896</v>
      </c>
      <c r="F64" s="116">
        <f>IF(TrRoad_act!F40=0,0,F27/TrRoad_act!F40*1000
)</f>
        <v>1711.9605955002844</v>
      </c>
      <c r="G64" s="116">
        <f>IF(TrRoad_act!G40=0,0,G27/TrRoad_act!G40*1000
)</f>
        <v>1701.4883946260379</v>
      </c>
      <c r="H64" s="116">
        <f>IF(TrRoad_act!H40=0,0,H27/TrRoad_act!H40*1000
)</f>
        <v>1684.6030696552141</v>
      </c>
      <c r="I64" s="116">
        <f>IF(TrRoad_act!I40=0,0,I27/TrRoad_act!I40*1000
)</f>
        <v>1668.2916343219508</v>
      </c>
      <c r="J64" s="116">
        <f>IF(TrRoad_act!J40=0,0,J27/TrRoad_act!J40*1000
)</f>
        <v>1656.5559587418627</v>
      </c>
      <c r="K64" s="116">
        <f>IF(TrRoad_act!K40=0,0,K27/TrRoad_act!K40*1000
)</f>
        <v>1637.1812033129982</v>
      </c>
      <c r="L64" s="116">
        <f>IF(TrRoad_act!L40=0,0,L27/TrRoad_act!L40*1000
)</f>
        <v>1617.9337938002207</v>
      </c>
      <c r="M64" s="116">
        <f>IF(TrRoad_act!M40=0,0,M27/TrRoad_act!M40*1000
)</f>
        <v>1636.3766150981817</v>
      </c>
      <c r="N64" s="116">
        <f>IF(TrRoad_act!N40=0,0,N27/TrRoad_act!N40*1000
)</f>
        <v>1615.3857197772227</v>
      </c>
      <c r="O64" s="116">
        <f>IF(TrRoad_act!O40=0,0,O27/TrRoad_act!O40*1000
)</f>
        <v>1604.9187055953098</v>
      </c>
      <c r="P64" s="116">
        <f>IF(TrRoad_act!P40=0,0,P27/TrRoad_act!P40*1000
)</f>
        <v>1575.5635041919606</v>
      </c>
      <c r="Q64" s="116">
        <f>IF(TrRoad_act!Q40=0,0,Q27/TrRoad_act!Q40*1000
)</f>
        <v>1609.2318469490447</v>
      </c>
      <c r="R64" s="116">
        <f>IF(TrRoad_act!R40=0,0,R27/TrRoad_act!R40*1000
)</f>
        <v>1588.380350568782</v>
      </c>
      <c r="S64" s="116">
        <f>IF(TrRoad_act!S40=0,0,S27/TrRoad_act!S40*1000
)</f>
        <v>1601.2033171216867</v>
      </c>
      <c r="T64" s="116">
        <f>IF(TrRoad_act!T40=0,0,T27/TrRoad_act!T40*1000
)</f>
        <v>1552.4096106630582</v>
      </c>
      <c r="U64" s="116">
        <f>IF(TrRoad_act!U40=0,0,U27/TrRoad_act!U40*1000
)</f>
        <v>1579.470343220826</v>
      </c>
      <c r="V64" s="116">
        <f>IF(TrRoad_act!V40=0,0,V27/TrRoad_act!V40*1000
)</f>
        <v>1573.9498017445983</v>
      </c>
      <c r="W64" s="116">
        <f>IF(TrRoad_act!W40=0,0,W27/TrRoad_act!W40*1000
)</f>
        <v>1576.3421117170938</v>
      </c>
      <c r="X64" s="116">
        <f>IF(TrRoad_act!X40=0,0,X27/TrRoad_act!X40*1000
)</f>
        <v>1582.8378524990903</v>
      </c>
      <c r="Y64" s="116">
        <f>IF(TrRoad_act!Y40=0,0,Y27/TrRoad_act!Y40*1000
)</f>
        <v>1516.5490306772442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593.07697422909519</v>
      </c>
      <c r="C65" s="101">
        <f>IF(TrRoad_act!C41=0,0,C28/TrRoad_act!C41*1000
)</f>
        <v>588.75383393297795</v>
      </c>
      <c r="D65" s="101">
        <f>IF(TrRoad_act!D41=0,0,D28/TrRoad_act!D41*1000
)</f>
        <v>588.52944134005236</v>
      </c>
      <c r="E65" s="101">
        <f>IF(TrRoad_act!E41=0,0,E28/TrRoad_act!E41*1000
)</f>
        <v>588.09754315578425</v>
      </c>
      <c r="F65" s="101">
        <f>IF(TrRoad_act!F41=0,0,F28/TrRoad_act!F41*1000
)</f>
        <v>587.47744241632904</v>
      </c>
      <c r="G65" s="101">
        <f>IF(TrRoad_act!G41=0,0,G28/TrRoad_act!G41*1000
)</f>
        <v>587.09512835260375</v>
      </c>
      <c r="H65" s="101">
        <f>IF(TrRoad_act!H41=0,0,H28/TrRoad_act!H41*1000
)</f>
        <v>586.17721920412737</v>
      </c>
      <c r="I65" s="101">
        <f>IF(TrRoad_act!I41=0,0,I28/TrRoad_act!I41*1000
)</f>
        <v>585.00886854024998</v>
      </c>
      <c r="J65" s="101">
        <f>IF(TrRoad_act!J41=0,0,J28/TrRoad_act!J41*1000
)</f>
        <v>581.88029714330446</v>
      </c>
      <c r="K65" s="101">
        <f>IF(TrRoad_act!K41=0,0,K28/TrRoad_act!K41*1000
)</f>
        <v>580.07413221193985</v>
      </c>
      <c r="L65" s="101">
        <f>IF(TrRoad_act!L41=0,0,L28/TrRoad_act!L41*1000
)</f>
        <v>576.92511715195599</v>
      </c>
      <c r="M65" s="101">
        <f>IF(TrRoad_act!M41=0,0,M28/TrRoad_act!M41*1000
)</f>
        <v>573.12246060518635</v>
      </c>
      <c r="N65" s="101">
        <f>IF(TrRoad_act!N41=0,0,N28/TrRoad_act!N41*1000
)</f>
        <v>570.1997577500448</v>
      </c>
      <c r="O65" s="101">
        <f>IF(TrRoad_act!O41=0,0,O28/TrRoad_act!O41*1000
)</f>
        <v>518.61348574797898</v>
      </c>
      <c r="P65" s="101">
        <f>IF(TrRoad_act!P41=0,0,P28/TrRoad_act!P41*1000
)</f>
        <v>506.86672902305827</v>
      </c>
      <c r="Q65" s="101">
        <f>IF(TrRoad_act!Q41=0,0,Q28/TrRoad_act!Q41*1000
)</f>
        <v>494.57980470190341</v>
      </c>
      <c r="R65" s="101">
        <f>IF(TrRoad_act!R41=0,0,R28/TrRoad_act!R41*1000
)</f>
        <v>496.98066692088707</v>
      </c>
      <c r="S65" s="101">
        <f>IF(TrRoad_act!S41=0,0,S28/TrRoad_act!S41*1000
)</f>
        <v>496.99432480757747</v>
      </c>
      <c r="T65" s="101">
        <f>IF(TrRoad_act!T41=0,0,T28/TrRoad_act!T41*1000
)</f>
        <v>492.93379545143245</v>
      </c>
      <c r="U65" s="101">
        <f>IF(TrRoad_act!U41=0,0,U28/TrRoad_act!U41*1000
)</f>
        <v>496.79749215635456</v>
      </c>
      <c r="V65" s="101">
        <f>IF(TrRoad_act!V41=0,0,V28/TrRoad_act!V41*1000
)</f>
        <v>489.72681755186795</v>
      </c>
      <c r="W65" s="101">
        <f>IF(TrRoad_act!W41=0,0,W28/TrRoad_act!W41*1000
)</f>
        <v>490.45567733266984</v>
      </c>
      <c r="X65" s="101">
        <f>IF(TrRoad_act!X41=0,0,X28/TrRoad_act!X41*1000
)</f>
        <v>471.80460850158875</v>
      </c>
      <c r="Y65" s="101">
        <f>IF(TrRoad_act!Y41=0,0,Y28/TrRoad_act!Y41*1000
)</f>
        <v>353.76257000302797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1849.9436716799255</v>
      </c>
      <c r="C66" s="101">
        <f>IF(TrRoad_act!C42=0,0,C29/TrRoad_act!C42*1000
)</f>
        <v>1761.2550396577628</v>
      </c>
      <c r="D66" s="101">
        <f>IF(TrRoad_act!D42=0,0,D29/TrRoad_act!D42*1000
)</f>
        <v>1748.8100710768881</v>
      </c>
      <c r="E66" s="101">
        <f>IF(TrRoad_act!E42=0,0,E29/TrRoad_act!E42*1000
)</f>
        <v>1733.416997278307</v>
      </c>
      <c r="F66" s="101">
        <f>IF(TrRoad_act!F42=0,0,F29/TrRoad_act!F42*1000
)</f>
        <v>1722.9888991977164</v>
      </c>
      <c r="G66" s="101">
        <f>IF(TrRoad_act!G42=0,0,G29/TrRoad_act!G42*1000
)</f>
        <v>1711.3652654141083</v>
      </c>
      <c r="H66" s="101">
        <f>IF(TrRoad_act!H42=0,0,H29/TrRoad_act!H42*1000
)</f>
        <v>1693.1700170723534</v>
      </c>
      <c r="I66" s="101">
        <f>IF(TrRoad_act!I42=0,0,I29/TrRoad_act!I42*1000
)</f>
        <v>1675.4848827317237</v>
      </c>
      <c r="J66" s="101">
        <f>IF(TrRoad_act!J42=0,0,J29/TrRoad_act!J42*1000
)</f>
        <v>1662.1648299854296</v>
      </c>
      <c r="K66" s="101">
        <f>IF(TrRoad_act!K42=0,0,K29/TrRoad_act!K42*1000
)</f>
        <v>1641.7721325728917</v>
      </c>
      <c r="L66" s="101">
        <f>IF(TrRoad_act!L42=0,0,L29/TrRoad_act!L42*1000
)</f>
        <v>1621.6832140571246</v>
      </c>
      <c r="M66" s="101">
        <f>IF(TrRoad_act!M42=0,0,M29/TrRoad_act!M42*1000
)</f>
        <v>1639.3719379622294</v>
      </c>
      <c r="N66" s="101">
        <f>IF(TrRoad_act!N42=0,0,N29/TrRoad_act!N42*1000
)</f>
        <v>1623.527622284452</v>
      </c>
      <c r="O66" s="101">
        <f>IF(TrRoad_act!O42=0,0,O29/TrRoad_act!O42*1000
)</f>
        <v>1614.0782776632941</v>
      </c>
      <c r="P66" s="101">
        <f>IF(TrRoad_act!P42=0,0,P29/TrRoad_act!P42*1000
)</f>
        <v>1639.233704960503</v>
      </c>
      <c r="Q66" s="101">
        <f>IF(TrRoad_act!Q42=0,0,Q29/TrRoad_act!Q42*1000
)</f>
        <v>1662.3009290210339</v>
      </c>
      <c r="R66" s="101">
        <f>IF(TrRoad_act!R42=0,0,R29/TrRoad_act!R42*1000
)</f>
        <v>1680.527700205148</v>
      </c>
      <c r="S66" s="101">
        <f>IF(TrRoad_act!S42=0,0,S29/TrRoad_act!S42*1000
)</f>
        <v>1677.1499765126146</v>
      </c>
      <c r="T66" s="101">
        <f>IF(TrRoad_act!T42=0,0,T29/TrRoad_act!T42*1000
)</f>
        <v>1626.7604888815868</v>
      </c>
      <c r="U66" s="101">
        <f>IF(TrRoad_act!U42=0,0,U29/TrRoad_act!U42*1000
)</f>
        <v>1592.8403909382948</v>
      </c>
      <c r="V66" s="101">
        <f>IF(TrRoad_act!V42=0,0,V29/TrRoad_act!V42*1000
)</f>
        <v>1576.0561737558189</v>
      </c>
      <c r="W66" s="101">
        <f>IF(TrRoad_act!W42=0,0,W29/TrRoad_act!W42*1000
)</f>
        <v>1553.9844306385116</v>
      </c>
      <c r="X66" s="101">
        <f>IF(TrRoad_act!X42=0,0,X29/TrRoad_act!X42*1000
)</f>
        <v>1570.8619005795026</v>
      </c>
      <c r="Y66" s="101">
        <f>IF(TrRoad_act!Y42=0,0,Y29/TrRoad_act!Y42*1000
)</f>
        <v>1524.7556732685121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0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1122.3745838904572</v>
      </c>
      <c r="O68" s="101">
        <f>IF(TrRoad_act!O44=0,0,O31/TrRoad_act!O44*1000
)</f>
        <v>1071.2955368161113</v>
      </c>
      <c r="P68" s="101">
        <f>IF(TrRoad_act!P44=0,0,P31/TrRoad_act!P44*1000
)</f>
        <v>366.47625173014984</v>
      </c>
      <c r="Q68" s="101">
        <f>IF(TrRoad_act!Q44=0,0,Q31/TrRoad_act!Q44*1000
)</f>
        <v>645.22595033391337</v>
      </c>
      <c r="R68" s="101">
        <f>IF(TrRoad_act!R44=0,0,R31/TrRoad_act!R44*1000
)</f>
        <v>561.0528438305264</v>
      </c>
      <c r="S68" s="101">
        <f>IF(TrRoad_act!S44=0,0,S31/TrRoad_act!S44*1000
)</f>
        <v>679.59309597269373</v>
      </c>
      <c r="T68" s="101">
        <f>IF(TrRoad_act!T44=0,0,T31/TrRoad_act!T44*1000
)</f>
        <v>682.60608372573836</v>
      </c>
      <c r="U68" s="101">
        <f>IF(TrRoad_act!U44=0,0,U31/TrRoad_act!U44*1000
)</f>
        <v>1409.4340866497364</v>
      </c>
      <c r="V68" s="101">
        <f>IF(TrRoad_act!V44=0,0,V31/TrRoad_act!V44*1000
)</f>
        <v>1648.4925216714016</v>
      </c>
      <c r="W68" s="101">
        <f>IF(TrRoad_act!W44=0,0,W31/TrRoad_act!W44*1000
)</f>
        <v>2158.6484210031081</v>
      </c>
      <c r="X68" s="101">
        <f>IF(TrRoad_act!X44=0,0,X31/TrRoad_act!X44*1000
)</f>
        <v>2011.1137965390817</v>
      </c>
      <c r="Y68" s="101">
        <f>IF(TrRoad_act!Y44=0,0,Y31/TrRoad_act!Y44*1000
)</f>
        <v>1871.5804947620743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413.44048484257866</v>
      </c>
      <c r="C70" s="29">
        <f>IF(TrRoad_act!C46=0,0,C33/TrRoad_act!C46*1000
)</f>
        <v>586.73060704535271</v>
      </c>
      <c r="D70" s="29">
        <f>IF(TrRoad_act!D46=0,0,D33/TrRoad_act!D46*1000
)</f>
        <v>581.44986527044716</v>
      </c>
      <c r="E70" s="29">
        <f>IF(TrRoad_act!E46=0,0,E33/TrRoad_act!E46*1000
)</f>
        <v>649.49755416963581</v>
      </c>
      <c r="F70" s="29">
        <f>IF(TrRoad_act!F46=0,0,F33/TrRoad_act!F46*1000
)</f>
        <v>762.8292731082197</v>
      </c>
      <c r="G70" s="29">
        <f>IF(TrRoad_act!G46=0,0,G33/TrRoad_act!G46*1000
)</f>
        <v>852.164607365037</v>
      </c>
      <c r="H70" s="29">
        <f>IF(TrRoad_act!H46=0,0,H33/TrRoad_act!H46*1000
)</f>
        <v>891.9980806224163</v>
      </c>
      <c r="I70" s="29">
        <f>IF(TrRoad_act!I46=0,0,I33/TrRoad_act!I46*1000
)</f>
        <v>1148.2155879041898</v>
      </c>
      <c r="J70" s="29">
        <f>IF(TrRoad_act!J46=0,0,J33/TrRoad_act!J46*1000
)</f>
        <v>1518.0096118736919</v>
      </c>
      <c r="K70" s="29">
        <f>IF(TrRoad_act!K46=0,0,K33/TrRoad_act!K46*1000
)</f>
        <v>1007.2749761911346</v>
      </c>
      <c r="L70" s="29">
        <f>IF(TrRoad_act!L46=0,0,L33/TrRoad_act!L46*1000
)</f>
        <v>1065.7557710061299</v>
      </c>
      <c r="M70" s="29">
        <f>IF(TrRoad_act!M46=0,0,M33/TrRoad_act!M46*1000
)</f>
        <v>1245.7042700061374</v>
      </c>
      <c r="N70" s="29">
        <f>IF(TrRoad_act!N46=0,0,N33/TrRoad_act!N46*1000
)</f>
        <v>1335.1039368563465</v>
      </c>
      <c r="O70" s="29">
        <f>IF(TrRoad_act!O46=0,0,O33/TrRoad_act!O46*1000
)</f>
        <v>1199.9713815475334</v>
      </c>
      <c r="P70" s="29">
        <f>IF(TrRoad_act!P46=0,0,P33/TrRoad_act!P46*1000
)</f>
        <v>1141.7927844071746</v>
      </c>
      <c r="Q70" s="29">
        <f>IF(TrRoad_act!Q46=0,0,Q33/TrRoad_act!Q46*1000
)</f>
        <v>1045.8111927788257</v>
      </c>
      <c r="R70" s="29">
        <f>IF(TrRoad_act!R46=0,0,R33/TrRoad_act!R46*1000
)</f>
        <v>1153.8198166937746</v>
      </c>
      <c r="S70" s="29">
        <f>IF(TrRoad_act!S46=0,0,S33/TrRoad_act!S46*1000
)</f>
        <v>1078.3105750255911</v>
      </c>
      <c r="T70" s="29">
        <f>IF(TrRoad_act!T46=0,0,T33/TrRoad_act!T46*1000
)</f>
        <v>1012.8260461884353</v>
      </c>
      <c r="U70" s="29">
        <f>IF(TrRoad_act!U46=0,0,U33/TrRoad_act!U46*1000
)</f>
        <v>883.46849301512248</v>
      </c>
      <c r="V70" s="29">
        <f>IF(TrRoad_act!V46=0,0,V33/TrRoad_act!V46*1000
)</f>
        <v>687.1899021259444</v>
      </c>
      <c r="W70" s="29">
        <f>IF(TrRoad_act!W46=0,0,W33/TrRoad_act!W46*1000
)</f>
        <v>808.06649313473031</v>
      </c>
      <c r="X70" s="29">
        <f>IF(TrRoad_act!X46=0,0,X33/TrRoad_act!X46*1000
)</f>
        <v>855.59447602028933</v>
      </c>
      <c r="Y70" s="29">
        <f>IF(TrRoad_act!Y46=0,0,Y33/TrRoad_act!Y46*1000
)</f>
        <v>628.51946188797297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363.16272237342531</v>
      </c>
      <c r="C71" s="152">
        <f>IF(TrRoad_act!C47=0,0,C34/TrRoad_act!C47*1000
)</f>
        <v>354.42975871420794</v>
      </c>
      <c r="D71" s="152">
        <f>IF(TrRoad_act!D47=0,0,D34/TrRoad_act!D47*1000
)</f>
        <v>350.50482334045648</v>
      </c>
      <c r="E71" s="152">
        <f>IF(TrRoad_act!E47=0,0,E34/TrRoad_act!E47*1000
)</f>
        <v>347.74957862471803</v>
      </c>
      <c r="F71" s="152">
        <f>IF(TrRoad_act!F47=0,0,F34/TrRoad_act!F47*1000
)</f>
        <v>345.5102609197661</v>
      </c>
      <c r="G71" s="152">
        <f>IF(TrRoad_act!G47=0,0,G34/TrRoad_act!G47*1000
)</f>
        <v>344.67950531225603</v>
      </c>
      <c r="H71" s="152">
        <f>IF(TrRoad_act!H47=0,0,H34/TrRoad_act!H47*1000
)</f>
        <v>342.72710696942335</v>
      </c>
      <c r="I71" s="152">
        <f>IF(TrRoad_act!I47=0,0,I34/TrRoad_act!I47*1000
)</f>
        <v>340.34611194623284</v>
      </c>
      <c r="J71" s="152">
        <f>IF(TrRoad_act!J47=0,0,J34/TrRoad_act!J47*1000
)</f>
        <v>337.7394701153541</v>
      </c>
      <c r="K71" s="152">
        <f>IF(TrRoad_act!K47=0,0,K34/TrRoad_act!K47*1000
)</f>
        <v>333.67923618502323</v>
      </c>
      <c r="L71" s="152">
        <f>IF(TrRoad_act!L47=0,0,L34/TrRoad_act!L47*1000
)</f>
        <v>330.59005045586065</v>
      </c>
      <c r="M71" s="152">
        <f>IF(TrRoad_act!M47=0,0,M34/TrRoad_act!M47*1000
)</f>
        <v>335.06935360409909</v>
      </c>
      <c r="N71" s="152">
        <f>IF(TrRoad_act!N47=0,0,N34/TrRoad_act!N47*1000
)</f>
        <v>327.11671983502532</v>
      </c>
      <c r="O71" s="152">
        <f>IF(TrRoad_act!O47=0,0,O34/TrRoad_act!O47*1000
)</f>
        <v>320.84835479832253</v>
      </c>
      <c r="P71" s="152">
        <f>IF(TrRoad_act!P47=0,0,P34/TrRoad_act!P47*1000
)</f>
        <v>322.01418623237453</v>
      </c>
      <c r="Q71" s="152">
        <f>IF(TrRoad_act!Q47=0,0,Q34/TrRoad_act!Q47*1000
)</f>
        <v>320.48258571590077</v>
      </c>
      <c r="R71" s="152">
        <f>IF(TrRoad_act!R47=0,0,R34/TrRoad_act!R47*1000
)</f>
        <v>316.61599104901688</v>
      </c>
      <c r="S71" s="152">
        <f>IF(TrRoad_act!S47=0,0,S34/TrRoad_act!S47*1000
)</f>
        <v>307.28931362441506</v>
      </c>
      <c r="T71" s="152">
        <f>IF(TrRoad_act!T47=0,0,T34/TrRoad_act!T47*1000
)</f>
        <v>292.77689974651815</v>
      </c>
      <c r="U71" s="152">
        <f>IF(TrRoad_act!U47=0,0,U34/TrRoad_act!U47*1000
)</f>
        <v>283.54857260585999</v>
      </c>
      <c r="V71" s="152">
        <f>IF(TrRoad_act!V47=0,0,V34/TrRoad_act!V47*1000
)</f>
        <v>279.12721775976723</v>
      </c>
      <c r="W71" s="152">
        <f>IF(TrRoad_act!W47=0,0,W34/TrRoad_act!W47*1000
)</f>
        <v>277.08355606322198</v>
      </c>
      <c r="X71" s="152">
        <f>IF(TrRoad_act!X47=0,0,X34/TrRoad_act!X47*1000
)</f>
        <v>280.91056495552021</v>
      </c>
      <c r="Y71" s="152">
        <f>IF(TrRoad_act!Y47=0,0,Y34/TrRoad_act!Y47*1000
)</f>
        <v>274.62618538927143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273.45724084938911</v>
      </c>
      <c r="C72" s="87">
        <f>IF(TrRoad_act!C48=0,0,C35/TrRoad_act!C48*1000
)</f>
        <v>266.62505074912588</v>
      </c>
      <c r="D72" s="87">
        <f>IF(TrRoad_act!D48=0,0,D35/TrRoad_act!D48*1000
)</f>
        <v>263.6927669673388</v>
      </c>
      <c r="E72" s="87">
        <f>IF(TrRoad_act!E48=0,0,E35/TrRoad_act!E48*1000
)</f>
        <v>261.08847430271192</v>
      </c>
      <c r="F72" s="87">
        <f>IF(TrRoad_act!F48=0,0,F35/TrRoad_act!F48*1000
)</f>
        <v>259.06347980253764</v>
      </c>
      <c r="G72" s="87">
        <f>IF(TrRoad_act!G48=0,0,G35/TrRoad_act!G48*1000
)</f>
        <v>257.31102539142199</v>
      </c>
      <c r="H72" s="87">
        <f>IF(TrRoad_act!H48=0,0,H35/TrRoad_act!H48*1000
)</f>
        <v>254.10403796590819</v>
      </c>
      <c r="I72" s="87">
        <f>IF(TrRoad_act!I48=0,0,I35/TrRoad_act!I48*1000
)</f>
        <v>252.1122206213235</v>
      </c>
      <c r="J72" s="87">
        <f>IF(TrRoad_act!J48=0,0,J35/TrRoad_act!J48*1000
)</f>
        <v>247.4172649975126</v>
      </c>
      <c r="K72" s="87">
        <f>IF(TrRoad_act!K48=0,0,K35/TrRoad_act!K48*1000
)</f>
        <v>244.8045622312992</v>
      </c>
      <c r="L72" s="87">
        <f>IF(TrRoad_act!L48=0,0,L35/TrRoad_act!L48*1000
)</f>
        <v>242.06205608163796</v>
      </c>
      <c r="M72" s="87">
        <f>IF(TrRoad_act!M48=0,0,M35/TrRoad_act!M48*1000
)</f>
        <v>239.94630175373712</v>
      </c>
      <c r="N72" s="87">
        <f>IF(TrRoad_act!N48=0,0,N35/TrRoad_act!N48*1000
)</f>
        <v>237.65832049855086</v>
      </c>
      <c r="O72" s="87">
        <f>IF(TrRoad_act!O48=0,0,O35/TrRoad_act!O48*1000
)</f>
        <v>235.51644398247763</v>
      </c>
      <c r="P72" s="87">
        <f>IF(TrRoad_act!P48=0,0,P35/TrRoad_act!P48*1000
)</f>
        <v>233.33499451600917</v>
      </c>
      <c r="Q72" s="87">
        <f>IF(TrRoad_act!Q48=0,0,Q35/TrRoad_act!Q48*1000
)</f>
        <v>230.67274484714284</v>
      </c>
      <c r="R72" s="87">
        <f>IF(TrRoad_act!R48=0,0,R35/TrRoad_act!R48*1000
)</f>
        <v>227.156741190052</v>
      </c>
      <c r="S72" s="87">
        <f>IF(TrRoad_act!S48=0,0,S35/TrRoad_act!S48*1000
)</f>
        <v>222.15864271899784</v>
      </c>
      <c r="T72" s="87">
        <f>IF(TrRoad_act!T48=0,0,T35/TrRoad_act!T48*1000
)</f>
        <v>214.01997685475175</v>
      </c>
      <c r="U72" s="87">
        <f>IF(TrRoad_act!U48=0,0,U35/TrRoad_act!U48*1000
)</f>
        <v>213.01373578950003</v>
      </c>
      <c r="V72" s="87">
        <f>IF(TrRoad_act!V48=0,0,V35/TrRoad_act!V48*1000
)</f>
        <v>208.00623574586359</v>
      </c>
      <c r="W72" s="87">
        <f>IF(TrRoad_act!W48=0,0,W35/TrRoad_act!W48*1000
)</f>
        <v>206.17794769449463</v>
      </c>
      <c r="X72" s="87">
        <f>IF(TrRoad_act!X48=0,0,X35/TrRoad_act!X48*1000
)</f>
        <v>206.21644121931183</v>
      </c>
      <c r="Y72" s="87">
        <f>IF(TrRoad_act!Y48=0,0,Y35/TrRoad_act!Y48*1000
)</f>
        <v>210.57496180589291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386.86500474031476</v>
      </c>
      <c r="C73" s="87">
        <f>IF(TrRoad_act!C49=0,0,C36/TrRoad_act!C49*1000
)</f>
        <v>377.38936728903968</v>
      </c>
      <c r="D73" s="87">
        <f>IF(TrRoad_act!D49=0,0,D36/TrRoad_act!D49*1000
)</f>
        <v>372.01429604052089</v>
      </c>
      <c r="E73" s="87">
        <f>IF(TrRoad_act!E49=0,0,E36/TrRoad_act!E49*1000
)</f>
        <v>367.19415501213678</v>
      </c>
      <c r="F73" s="87">
        <f>IF(TrRoad_act!F49=0,0,F36/TrRoad_act!F49*1000
)</f>
        <v>363.04033274693882</v>
      </c>
      <c r="G73" s="87">
        <f>IF(TrRoad_act!G49=0,0,G36/TrRoad_act!G49*1000
)</f>
        <v>360.06583033470241</v>
      </c>
      <c r="H73" s="87">
        <f>IF(TrRoad_act!H49=0,0,H36/TrRoad_act!H49*1000
)</f>
        <v>355.66465584589821</v>
      </c>
      <c r="I73" s="87">
        <f>IF(TrRoad_act!I49=0,0,I36/TrRoad_act!I49*1000
)</f>
        <v>351.73427546207245</v>
      </c>
      <c r="J73" s="87">
        <f>IF(TrRoad_act!J49=0,0,J36/TrRoad_act!J49*1000
)</f>
        <v>347.94171678527255</v>
      </c>
      <c r="K73" s="87">
        <f>IF(TrRoad_act!K49=0,0,K36/TrRoad_act!K49*1000
)</f>
        <v>342.59226631081265</v>
      </c>
      <c r="L73" s="87">
        <f>IF(TrRoad_act!L49=0,0,L36/TrRoad_act!L49*1000
)</f>
        <v>338.62350330444934</v>
      </c>
      <c r="M73" s="87">
        <f>IF(TrRoad_act!M49=0,0,M36/TrRoad_act!M49*1000
)</f>
        <v>342.91203620360625</v>
      </c>
      <c r="N73" s="87">
        <f>IF(TrRoad_act!N49=0,0,N36/TrRoad_act!N49*1000
)</f>
        <v>333.89690816864913</v>
      </c>
      <c r="O73" s="87">
        <f>IF(TrRoad_act!O49=0,0,O36/TrRoad_act!O49*1000
)</f>
        <v>326.78484940678516</v>
      </c>
      <c r="P73" s="87">
        <f>IF(TrRoad_act!P49=0,0,P36/TrRoad_act!P49*1000
)</f>
        <v>327.25661207664621</v>
      </c>
      <c r="Q73" s="87">
        <f>IF(TrRoad_act!Q49=0,0,Q36/TrRoad_act!Q49*1000
)</f>
        <v>325.27517014449307</v>
      </c>
      <c r="R73" s="87">
        <f>IF(TrRoad_act!R49=0,0,R36/TrRoad_act!R49*1000
)</f>
        <v>320.96116469879081</v>
      </c>
      <c r="S73" s="87">
        <f>IF(TrRoad_act!S49=0,0,S36/TrRoad_act!S49*1000
)</f>
        <v>311.46719718740832</v>
      </c>
      <c r="T73" s="87">
        <f>IF(TrRoad_act!T49=0,0,T36/TrRoad_act!T49*1000
)</f>
        <v>296.49564922789978</v>
      </c>
      <c r="U73" s="87">
        <f>IF(TrRoad_act!U49=0,0,U36/TrRoad_act!U49*1000
)</f>
        <v>286.95309080392138</v>
      </c>
      <c r="V73" s="87">
        <f>IF(TrRoad_act!V49=0,0,V36/TrRoad_act!V49*1000
)</f>
        <v>282.44840677528379</v>
      </c>
      <c r="W73" s="87">
        <f>IF(TrRoad_act!W49=0,0,W36/TrRoad_act!W49*1000
)</f>
        <v>279.94145994974429</v>
      </c>
      <c r="X73" s="87">
        <f>IF(TrRoad_act!X49=0,0,X36/TrRoad_act!X49*1000
)</f>
        <v>284.13886172704605</v>
      </c>
      <c r="Y73" s="87">
        <f>IF(TrRoad_act!Y49=0,0,Y36/TrRoad_act!Y49*1000
)</f>
        <v>277.62822103853864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351.44780115725223</v>
      </c>
      <c r="I74" s="87">
        <f>IF(TrRoad_act!I50=0,0,I37/TrRoad_act!I50*1000
)</f>
        <v>353.35888353932484</v>
      </c>
      <c r="J74" s="87">
        <f>IF(TrRoad_act!J50=0,0,J37/TrRoad_act!J50*1000
)</f>
        <v>342.53638574321116</v>
      </c>
      <c r="K74" s="87">
        <f>IF(TrRoad_act!K50=0,0,K37/TrRoad_act!K50*1000
)</f>
        <v>343.40510515704102</v>
      </c>
      <c r="L74" s="87">
        <f>IF(TrRoad_act!L50=0,0,L37/TrRoad_act!L50*1000
)</f>
        <v>371.12774458605156</v>
      </c>
      <c r="M74" s="87">
        <f>IF(TrRoad_act!M50=0,0,M37/TrRoad_act!M50*1000
)</f>
        <v>394.58719205245535</v>
      </c>
      <c r="N74" s="87">
        <f>IF(TrRoad_act!N50=0,0,N37/TrRoad_act!N50*1000
)</f>
        <v>404.78419376798723</v>
      </c>
      <c r="O74" s="87">
        <f>IF(TrRoad_act!O50=0,0,O37/TrRoad_act!O50*1000
)</f>
        <v>380.89401358043381</v>
      </c>
      <c r="P74" s="87">
        <f>IF(TrRoad_act!P50=0,0,P37/TrRoad_act!P50*1000
)</f>
        <v>355.01819873787207</v>
      </c>
      <c r="Q74" s="87">
        <f>IF(TrRoad_act!Q50=0,0,Q37/TrRoad_act!Q50*1000
)</f>
        <v>370.745148831606</v>
      </c>
      <c r="R74" s="87">
        <f>IF(TrRoad_act!R50=0,0,R37/TrRoad_act!R50*1000
)</f>
        <v>367.80790079927743</v>
      </c>
      <c r="S74" s="87">
        <f>IF(TrRoad_act!S50=0,0,S37/TrRoad_act!S50*1000
)</f>
        <v>323.46099016335694</v>
      </c>
      <c r="T74" s="87">
        <f>IF(TrRoad_act!T50=0,0,T37/TrRoad_act!T50*1000
)</f>
        <v>305.09691135800165</v>
      </c>
      <c r="U74" s="87">
        <f>IF(TrRoad_act!U50=0,0,U37/TrRoad_act!U50*1000
)</f>
        <v>269.86486264990219</v>
      </c>
      <c r="V74" s="87">
        <f>IF(TrRoad_act!V50=0,0,V37/TrRoad_act!V50*1000
)</f>
        <v>256.67795316120328</v>
      </c>
      <c r="W74" s="87">
        <f>IF(TrRoad_act!W50=0,0,W37/TrRoad_act!W50*1000
)</f>
        <v>336.74379324105155</v>
      </c>
      <c r="X74" s="87">
        <f>IF(TrRoad_act!X50=0,0,X37/TrRoad_act!X50*1000
)</f>
        <v>253.46340101543325</v>
      </c>
      <c r="Y74" s="87">
        <f>IF(TrRoad_act!Y50=0,0,Y37/TrRoad_act!Y50*1000
)</f>
        <v>253.50413012136653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215.84156133591944</v>
      </c>
      <c r="Q75" s="87">
        <f>IF(TrRoad_act!Q51=0,0,Q38/TrRoad_act!Q51*1000
)</f>
        <v>228.15774650873757</v>
      </c>
      <c r="R75" s="87">
        <f>IF(TrRoad_act!R51=0,0,R38/TrRoad_act!R51*1000
)</f>
        <v>227.24180519647132</v>
      </c>
      <c r="S75" s="87">
        <f>IF(TrRoad_act!S51=0,0,S38/TrRoad_act!S51*1000
)</f>
        <v>205.02998215924475</v>
      </c>
      <c r="T75" s="87">
        <f>IF(TrRoad_act!T51=0,0,T38/TrRoad_act!T51*1000
)</f>
        <v>198.23447394930071</v>
      </c>
      <c r="U75" s="87">
        <f>IF(TrRoad_act!U51=0,0,U38/TrRoad_act!U51*1000
)</f>
        <v>192.31299038027282</v>
      </c>
      <c r="V75" s="87">
        <f>IF(TrRoad_act!V51=0,0,V38/TrRoad_act!V51*1000
)</f>
        <v>195.61383107300387</v>
      </c>
      <c r="W75" s="87">
        <f>IF(TrRoad_act!W51=0,0,W38/TrRoad_act!W51*1000
)</f>
        <v>199.39512524721073</v>
      </c>
      <c r="X75" s="87">
        <f>IF(TrRoad_act!X51=0,0,X38/TrRoad_act!X51*1000
)</f>
        <v>200.70746165914662</v>
      </c>
      <c r="Y75" s="87">
        <f>IF(TrRoad_act!Y51=0,0,Y38/TrRoad_act!Y51*1000
)</f>
        <v>201.38157747882798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448.74147685978363</v>
      </c>
      <c r="C77" s="116">
        <f>IF(TrRoad_act!C53=0,0,C40/TrRoad_act!C53*1000
)</f>
        <v>754.34747165243004</v>
      </c>
      <c r="D77" s="116">
        <f>IF(TrRoad_act!D53=0,0,D40/TrRoad_act!D53*1000
)</f>
        <v>744.80135367785761</v>
      </c>
      <c r="E77" s="116">
        <f>IF(TrRoad_act!E53=0,0,E40/TrRoad_act!E53*1000
)</f>
        <v>871.27441094872813</v>
      </c>
      <c r="F77" s="116">
        <f>IF(TrRoad_act!F53=0,0,F40/TrRoad_act!F53*1000
)</f>
        <v>1041.6936265668103</v>
      </c>
      <c r="G77" s="116">
        <f>IF(TrRoad_act!G53=0,0,G40/TrRoad_act!G53*1000
)</f>
        <v>1213.2349947263531</v>
      </c>
      <c r="H77" s="116">
        <f>IF(TrRoad_act!H53=0,0,H40/TrRoad_act!H53*1000
)</f>
        <v>1305.72000589206</v>
      </c>
      <c r="I77" s="116">
        <f>IF(TrRoad_act!I53=0,0,I40/TrRoad_act!I53*1000
)</f>
        <v>1816.9201600652709</v>
      </c>
      <c r="J77" s="116">
        <f>IF(TrRoad_act!J53=0,0,J40/TrRoad_act!J53*1000
)</f>
        <v>2605.5326530674247</v>
      </c>
      <c r="K77" s="116">
        <f>IF(TrRoad_act!K53=0,0,K40/TrRoad_act!K53*1000
)</f>
        <v>1749.7884389348681</v>
      </c>
      <c r="L77" s="116">
        <f>IF(TrRoad_act!L53=0,0,L40/TrRoad_act!L53*1000
)</f>
        <v>1896.5567452888881</v>
      </c>
      <c r="M77" s="116">
        <f>IF(TrRoad_act!M53=0,0,M40/TrRoad_act!M53*1000
)</f>
        <v>2351.2663224738167</v>
      </c>
      <c r="N77" s="116">
        <f>IF(TrRoad_act!N53=0,0,N40/TrRoad_act!N53*1000
)</f>
        <v>2633.5008678195345</v>
      </c>
      <c r="O77" s="116">
        <f>IF(TrRoad_act!O53=0,0,O40/TrRoad_act!O53*1000
)</f>
        <v>2410.8164230291995</v>
      </c>
      <c r="P77" s="116">
        <f>IF(TrRoad_act!P53=0,0,P40/TrRoad_act!P53*1000
)</f>
        <v>2295.0472911132442</v>
      </c>
      <c r="Q77" s="116">
        <f>IF(TrRoad_act!Q53=0,0,Q40/TrRoad_act!Q53*1000
)</f>
        <v>2097.9538516188777</v>
      </c>
      <c r="R77" s="116">
        <f>IF(TrRoad_act!R53=0,0,R40/TrRoad_act!R53*1000
)</f>
        <v>2365.9953790666591</v>
      </c>
      <c r="S77" s="116">
        <f>IF(TrRoad_act!S53=0,0,S40/TrRoad_act!S53*1000
)</f>
        <v>2188.8156997636484</v>
      </c>
      <c r="T77" s="116">
        <f>IF(TrRoad_act!T53=0,0,T40/TrRoad_act!T53*1000
)</f>
        <v>2143.2598992745402</v>
      </c>
      <c r="U77" s="116">
        <f>IF(TrRoad_act!U53=0,0,U40/TrRoad_act!U53*1000
)</f>
        <v>1865.7848564177964</v>
      </c>
      <c r="V77" s="116">
        <f>IF(TrRoad_act!V53=0,0,V40/TrRoad_act!V53*1000
)</f>
        <v>1424.2395736353635</v>
      </c>
      <c r="W77" s="116">
        <f>IF(TrRoad_act!W53=0,0,W40/TrRoad_act!W53*1000
)</f>
        <v>1743.4193297173174</v>
      </c>
      <c r="X77" s="116">
        <f>IF(TrRoad_act!X53=0,0,X40/TrRoad_act!X53*1000
)</f>
        <v>1877.642230375096</v>
      </c>
      <c r="Y77" s="116">
        <f>IF(TrRoad_act!Y53=0,0,Y40/TrRoad_act!Y53*1000
)</f>
        <v>1264.8912205761749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865.02717545199778</v>
      </c>
      <c r="C78" s="101">
        <f>IF(TrRoad_act!C54=0,0,C41/TrRoad_act!C54*1000
)</f>
        <v>903.18801408619458</v>
      </c>
      <c r="D78" s="101">
        <f>IF(TrRoad_act!D54=0,0,D41/TrRoad_act!D54*1000
)</f>
        <v>899.56035029155635</v>
      </c>
      <c r="E78" s="101">
        <f>IF(TrRoad_act!E54=0,0,E41/TrRoad_act!E54*1000
)</f>
        <v>914.22265461085351</v>
      </c>
      <c r="F78" s="101">
        <f>IF(TrRoad_act!F54=0,0,F41/TrRoad_act!F54*1000
)</f>
        <v>935.61109231671264</v>
      </c>
      <c r="G78" s="101">
        <f>IF(TrRoad_act!G54=0,0,G41/TrRoad_act!G54*1000
)</f>
        <v>955.35860044730862</v>
      </c>
      <c r="H78" s="101">
        <f>IF(TrRoad_act!H54=0,0,H41/TrRoad_act!H54*1000
)</f>
        <v>957.80844908504787</v>
      </c>
      <c r="I78" s="101">
        <f>IF(TrRoad_act!I54=0,0,I41/TrRoad_act!I54*1000
)</f>
        <v>1020.3861474530131</v>
      </c>
      <c r="J78" s="101">
        <f>IF(TrRoad_act!J54=0,0,J41/TrRoad_act!J54*1000
)</f>
        <v>1123.2192537981539</v>
      </c>
      <c r="K78" s="101">
        <f>IF(TrRoad_act!K54=0,0,K41/TrRoad_act!K54*1000
)</f>
        <v>993.0332654714656</v>
      </c>
      <c r="L78" s="101">
        <f>IF(TrRoad_act!L54=0,0,L41/TrRoad_act!L54*1000
)</f>
        <v>1003.2949945167484</v>
      </c>
      <c r="M78" s="101">
        <f>IF(TrRoad_act!M54=0,0,M41/TrRoad_act!M54*1000
)</f>
        <v>1073.9542226994417</v>
      </c>
      <c r="N78" s="101">
        <f>IF(TrRoad_act!N54=0,0,N41/TrRoad_act!N54*1000
)</f>
        <v>1103.5189697254348</v>
      </c>
      <c r="O78" s="101">
        <f>IF(TrRoad_act!O54=0,0,O41/TrRoad_act!O54*1000
)</f>
        <v>1065.5543793296918</v>
      </c>
      <c r="P78" s="101">
        <f>IF(TrRoad_act!P54=0,0,P41/TrRoad_act!P54*1000
)</f>
        <v>1059.130177276789</v>
      </c>
      <c r="Q78" s="101">
        <f>IF(TrRoad_act!Q54=0,0,Q41/TrRoad_act!Q54*1000
)</f>
        <v>1034.1179419589243</v>
      </c>
      <c r="R78" s="101">
        <f>IF(TrRoad_act!R54=0,0,R41/TrRoad_act!R54*1000
)</f>
        <v>1072.1910349349891</v>
      </c>
      <c r="S78" s="101">
        <f>IF(TrRoad_act!S54=0,0,S41/TrRoad_act!S54*1000
)</f>
        <v>1040.8088463169854</v>
      </c>
      <c r="T78" s="101">
        <f>IF(TrRoad_act!T54=0,0,T41/TrRoad_act!T54*1000
)</f>
        <v>1008.8345435918092</v>
      </c>
      <c r="U78" s="101">
        <f>IF(TrRoad_act!U54=0,0,U41/TrRoad_act!U54*1000
)</f>
        <v>955.84380035771426</v>
      </c>
      <c r="V78" s="101">
        <f>IF(TrRoad_act!V54=0,0,V41/TrRoad_act!V54*1000
)</f>
        <v>891.06557810363779</v>
      </c>
      <c r="W78" s="101">
        <f>IF(TrRoad_act!W54=0,0,W41/TrRoad_act!W54*1000
)</f>
        <v>938.31403469650309</v>
      </c>
      <c r="X78" s="101">
        <f>IF(TrRoad_act!X54=0,0,X41/TrRoad_act!X54*1000
)</f>
        <v>974.72006105688445</v>
      </c>
      <c r="Y78" s="101">
        <f>IF(TrRoad_act!Y54=0,0,Y41/TrRoad_act!Y54*1000
)</f>
        <v>881.29968543020368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45.419482404117183</v>
      </c>
      <c r="C79" s="88">
        <f>IF(TrRoad_act!C55=0,0,C42/TrRoad_act!C55*1000
)</f>
        <v>617.93337592555474</v>
      </c>
      <c r="D79" s="88">
        <f>IF(TrRoad_act!D55=0,0,D42/TrRoad_act!D55*1000
)</f>
        <v>586.4147376998975</v>
      </c>
      <c r="E79" s="88">
        <f>IF(TrRoad_act!E55=0,0,E42/TrRoad_act!E55*1000
)</f>
        <v>824.99702267270675</v>
      </c>
      <c r="F79" s="88">
        <f>IF(TrRoad_act!F55=0,0,F42/TrRoad_act!F55*1000
)</f>
        <v>1168.519228145879</v>
      </c>
      <c r="G79" s="88">
        <f>IF(TrRoad_act!G55=0,0,G42/TrRoad_act!G55*1000
)</f>
        <v>1521.9657999433884</v>
      </c>
      <c r="H79" s="88">
        <f>IF(TrRoad_act!H55=0,0,H42/TrRoad_act!H55*1000
)</f>
        <v>1640.7815441494399</v>
      </c>
      <c r="I79" s="88">
        <f>IF(TrRoad_act!I55=0,0,I42/TrRoad_act!I55*1000
)</f>
        <v>2627.124807261564</v>
      </c>
      <c r="J79" s="88">
        <f>IF(TrRoad_act!J55=0,0,J42/TrRoad_act!J55*1000
)</f>
        <v>4117.1490710410371</v>
      </c>
      <c r="K79" s="88">
        <f>IF(TrRoad_act!K55=0,0,K42/TrRoad_act!K55*1000
)</f>
        <v>2513.1612571256078</v>
      </c>
      <c r="L79" s="88">
        <f>IF(TrRoad_act!L55=0,0,L42/TrRoad_act!L55*1000
)</f>
        <v>2845.161502716081</v>
      </c>
      <c r="M79" s="88">
        <f>IF(TrRoad_act!M55=0,0,M42/TrRoad_act!M55*1000
)</f>
        <v>3589.9974036860149</v>
      </c>
      <c r="N79" s="88">
        <f>IF(TrRoad_act!N55=0,0,N42/TrRoad_act!N55*1000
)</f>
        <v>3924.8320631342267</v>
      </c>
      <c r="O79" s="88">
        <f>IF(TrRoad_act!O55=0,0,O42/TrRoad_act!O55*1000
)</f>
        <v>3490.8488675218232</v>
      </c>
      <c r="P79" s="88">
        <f>IF(TrRoad_act!P55=0,0,P42/TrRoad_act!P55*1000
)</f>
        <v>3368.8174339247953</v>
      </c>
      <c r="Q79" s="88">
        <f>IF(TrRoad_act!Q55=0,0,Q42/TrRoad_act!Q55*1000
)</f>
        <v>2918.1821447435955</v>
      </c>
      <c r="R79" s="88">
        <f>IF(TrRoad_act!R55=0,0,R42/TrRoad_act!R55*1000
)</f>
        <v>3262.0851261092635</v>
      </c>
      <c r="S79" s="88">
        <f>IF(TrRoad_act!S55=0,0,S42/TrRoad_act!S55*1000
)</f>
        <v>2967.3524092665102</v>
      </c>
      <c r="T79" s="88">
        <f>IF(TrRoad_act!T55=0,0,T42/TrRoad_act!T55*1000
)</f>
        <v>2865.0232570417324</v>
      </c>
      <c r="U79" s="88">
        <f>IF(TrRoad_act!U55=0,0,U42/TrRoad_act!U55*1000
)</f>
        <v>2455.6229868656046</v>
      </c>
      <c r="V79" s="88">
        <f>IF(TrRoad_act!V55=0,0,V42/TrRoad_act!V55*1000
)</f>
        <v>1782.2872097391514</v>
      </c>
      <c r="W79" s="88">
        <f>IF(TrRoad_act!W55=0,0,W42/TrRoad_act!W55*1000
)</f>
        <v>2288.7731298552276</v>
      </c>
      <c r="X79" s="88">
        <f>IF(TrRoad_act!X55=0,0,X42/TrRoad_act!X55*1000
)</f>
        <v>2482.7211448859825</v>
      </c>
      <c r="Y79" s="88">
        <f>IF(TrRoad_act!Y55=0,0,Y42/TrRoad_act!Y55*1000
)</f>
        <v>1536.391869222718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132.53828069394621</v>
      </c>
      <c r="C82" s="29">
        <f>IF(TrRoad_act!C4=0,0,C18/TrRoad_act!C4*1000)</f>
        <v>130.0473074607516</v>
      </c>
      <c r="D82" s="29">
        <f>IF(TrRoad_act!D4=0,0,D18/TrRoad_act!D4*1000)</f>
        <v>130.38605080899455</v>
      </c>
      <c r="E82" s="29">
        <f>IF(TrRoad_act!E4=0,0,E18/TrRoad_act!E4*1000)</f>
        <v>127.40490487200861</v>
      </c>
      <c r="F82" s="29">
        <f>IF(TrRoad_act!F4=0,0,F18/TrRoad_act!F4*1000)</f>
        <v>121.37003612669797</v>
      </c>
      <c r="G82" s="29">
        <f>IF(TrRoad_act!G4=0,0,G18/TrRoad_act!G4*1000)</f>
        <v>123.4694639706338</v>
      </c>
      <c r="H82" s="29">
        <f>IF(TrRoad_act!H4=0,0,H18/TrRoad_act!H4*1000)</f>
        <v>123.49662193235051</v>
      </c>
      <c r="I82" s="29">
        <f>IF(TrRoad_act!I4=0,0,I18/TrRoad_act!I4*1000)</f>
        <v>120.2971042949906</v>
      </c>
      <c r="J82" s="29">
        <f>IF(TrRoad_act!J4=0,0,J18/TrRoad_act!J4*1000)</f>
        <v>126.23289308291322</v>
      </c>
      <c r="K82" s="29">
        <f>IF(TrRoad_act!K4=0,0,K18/TrRoad_act!K4*1000)</f>
        <v>119.34055639540564</v>
      </c>
      <c r="L82" s="29">
        <f>IF(TrRoad_act!L4=0,0,L18/TrRoad_act!L4*1000)</f>
        <v>120.84758470255299</v>
      </c>
      <c r="M82" s="29">
        <f>IF(TrRoad_act!M4=0,0,M18/TrRoad_act!M4*1000)</f>
        <v>122.67034604426659</v>
      </c>
      <c r="N82" s="29">
        <f>IF(TrRoad_act!N4=0,0,N18/TrRoad_act!N4*1000)</f>
        <v>119.57304920419895</v>
      </c>
      <c r="O82" s="29">
        <f>IF(TrRoad_act!O4=0,0,O18/TrRoad_act!O4*1000)</f>
        <v>116.24850596934448</v>
      </c>
      <c r="P82" s="29">
        <f>IF(TrRoad_act!P4=0,0,P18/TrRoad_act!P4*1000)</f>
        <v>114.08795389101381</v>
      </c>
      <c r="Q82" s="29">
        <f>IF(TrRoad_act!Q4=0,0,Q18/TrRoad_act!Q4*1000)</f>
        <v>113.55053123022411</v>
      </c>
      <c r="R82" s="29">
        <f>IF(TrRoad_act!R4=0,0,R18/TrRoad_act!R4*1000)</f>
        <v>114.09366604479419</v>
      </c>
      <c r="S82" s="29">
        <f>IF(TrRoad_act!S4=0,0,S18/TrRoad_act!S4*1000)</f>
        <v>113.32497900576101</v>
      </c>
      <c r="T82" s="29">
        <f>IF(TrRoad_act!T4=0,0,T18/TrRoad_act!T4*1000)</f>
        <v>111.53235085581305</v>
      </c>
      <c r="U82" s="29">
        <f>IF(TrRoad_act!U4=0,0,U18/TrRoad_act!U4*1000)</f>
        <v>108.82492369513898</v>
      </c>
      <c r="V82" s="29">
        <f>IF(TrRoad_act!V4=0,0,V18/TrRoad_act!V4*1000)</f>
        <v>125.83785728033602</v>
      </c>
      <c r="W82" s="29">
        <f>IF(TrRoad_act!W4=0,0,W18/TrRoad_act!W4*1000)</f>
        <v>130.52198615580443</v>
      </c>
      <c r="X82" s="29">
        <f>IF(TrRoad_act!X4=0,0,X18/TrRoad_act!X4*1000)</f>
        <v>129.65010713390205</v>
      </c>
      <c r="Y82" s="29">
        <f>IF(TrRoad_act!Y4=0,0,Y18/TrRoad_act!Y4*1000)</f>
        <v>124.65383873219029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112.8832656033685</v>
      </c>
      <c r="C83" s="152">
        <f>IF(TrRoad_act!C5=0,0,C19/TrRoad_act!C5*1000)</f>
        <v>112.33328643533474</v>
      </c>
      <c r="D83" s="152">
        <f>IF(TrRoad_act!D5=0,0,D19/TrRoad_act!D5*1000)</f>
        <v>111.74224593105673</v>
      </c>
      <c r="E83" s="152">
        <f>IF(TrRoad_act!E5=0,0,E19/TrRoad_act!E5*1000)</f>
        <v>110.96758053579195</v>
      </c>
      <c r="F83" s="152">
        <f>IF(TrRoad_act!F5=0,0,F19/TrRoad_act!F5*1000)</f>
        <v>110.10705586670829</v>
      </c>
      <c r="G83" s="152">
        <f>IF(TrRoad_act!G5=0,0,G19/TrRoad_act!G5*1000)</f>
        <v>109.25162712700715</v>
      </c>
      <c r="H83" s="152">
        <f>IF(TrRoad_act!H5=0,0,H19/TrRoad_act!H5*1000)</f>
        <v>107.66510498925211</v>
      </c>
      <c r="I83" s="152">
        <f>IF(TrRoad_act!I5=0,0,I19/TrRoad_act!I5*1000)</f>
        <v>103.47779671508441</v>
      </c>
      <c r="J83" s="152">
        <f>IF(TrRoad_act!J5=0,0,J19/TrRoad_act!J5*1000)</f>
        <v>100.8474405197848</v>
      </c>
      <c r="K83" s="152">
        <f>IF(TrRoad_act!K5=0,0,K19/TrRoad_act!K5*1000)</f>
        <v>104.07796721086949</v>
      </c>
      <c r="L83" s="152">
        <f>IF(TrRoad_act!L5=0,0,L19/TrRoad_act!L5*1000)</f>
        <v>97.853431637346546</v>
      </c>
      <c r="M83" s="152">
        <f>IF(TrRoad_act!M5=0,0,M19/TrRoad_act!M5*1000)</f>
        <v>97.030769924695988</v>
      </c>
      <c r="N83" s="152">
        <f>IF(TrRoad_act!N5=0,0,N19/TrRoad_act!N5*1000)</f>
        <v>96.936635943298526</v>
      </c>
      <c r="O83" s="152">
        <f>IF(TrRoad_act!O5=0,0,O19/TrRoad_act!O5*1000)</f>
        <v>95.706079465674335</v>
      </c>
      <c r="P83" s="152">
        <f>IF(TrRoad_act!P5=0,0,P19/TrRoad_act!P5*1000)</f>
        <v>94.425003488132958</v>
      </c>
      <c r="Q83" s="152">
        <f>IF(TrRoad_act!Q5=0,0,Q19/TrRoad_act!Q5*1000)</f>
        <v>92.674249229303129</v>
      </c>
      <c r="R83" s="152">
        <f>IF(TrRoad_act!R5=0,0,R19/TrRoad_act!R5*1000)</f>
        <v>91.348998825851197</v>
      </c>
      <c r="S83" s="152">
        <f>IF(TrRoad_act!S5=0,0,S19/TrRoad_act!S5*1000)</f>
        <v>93.093054112624131</v>
      </c>
      <c r="T83" s="152">
        <f>IF(TrRoad_act!T5=0,0,T19/TrRoad_act!T5*1000)</f>
        <v>91.191787521682286</v>
      </c>
      <c r="U83" s="152">
        <f>IF(TrRoad_act!U5=0,0,U19/TrRoad_act!U5*1000)</f>
        <v>90.632724073994979</v>
      </c>
      <c r="V83" s="152">
        <f>IF(TrRoad_act!V5=0,0,V19/TrRoad_act!V5*1000)</f>
        <v>88.765407192518794</v>
      </c>
      <c r="W83" s="152">
        <f>IF(TrRoad_act!W5=0,0,W19/TrRoad_act!W5*1000)</f>
        <v>88.051914231026302</v>
      </c>
      <c r="X83" s="152">
        <f>IF(TrRoad_act!X5=0,0,X19/TrRoad_act!X5*1000)</f>
        <v>87.768167776683228</v>
      </c>
      <c r="Y83" s="152">
        <f>IF(TrRoad_act!Y5=0,0,Y19/TrRoad_act!Y5*1000)</f>
        <v>86.359711079240796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143.34684360548172</v>
      </c>
      <c r="C84" s="116">
        <f>IF(TrRoad_act!C6=0,0,C20/TrRoad_act!C6*1000)</f>
        <v>140.53635937507102</v>
      </c>
      <c r="D84" s="116">
        <f>IF(TrRoad_act!D6=0,0,D20/TrRoad_act!D6*1000)</f>
        <v>140.73591535883108</v>
      </c>
      <c r="E84" s="116">
        <f>IF(TrRoad_act!E6=0,0,E20/TrRoad_act!E6*1000)</f>
        <v>138.22146663140461</v>
      </c>
      <c r="F84" s="116">
        <f>IF(TrRoad_act!F6=0,0,F20/TrRoad_act!F6*1000)</f>
        <v>129.42260733519001</v>
      </c>
      <c r="G84" s="116">
        <f>IF(TrRoad_act!G6=0,0,G20/TrRoad_act!G6*1000)</f>
        <v>131.13993047306789</v>
      </c>
      <c r="H84" s="116">
        <f>IF(TrRoad_act!H6=0,0,H20/TrRoad_act!H6*1000)</f>
        <v>131.39254171372545</v>
      </c>
      <c r="I84" s="116">
        <f>IF(TrRoad_act!I6=0,0,I20/TrRoad_act!I6*1000)</f>
        <v>127.87222541420337</v>
      </c>
      <c r="J84" s="116">
        <f>IF(TrRoad_act!J6=0,0,J20/TrRoad_act!J6*1000)</f>
        <v>134.05278809712792</v>
      </c>
      <c r="K84" s="116">
        <f>IF(TrRoad_act!K6=0,0,K20/TrRoad_act!K6*1000)</f>
        <v>126.17886045391758</v>
      </c>
      <c r="L84" s="116">
        <f>IF(TrRoad_act!L6=0,0,L20/TrRoad_act!L6*1000)</f>
        <v>128.08912067271064</v>
      </c>
      <c r="M84" s="116">
        <f>IF(TrRoad_act!M6=0,0,M20/TrRoad_act!M6*1000)</f>
        <v>130.30389973101813</v>
      </c>
      <c r="N84" s="116">
        <f>IF(TrRoad_act!N6=0,0,N20/TrRoad_act!N6*1000)</f>
        <v>126.91014243799009</v>
      </c>
      <c r="O84" s="116">
        <f>IF(TrRoad_act!O6=0,0,O20/TrRoad_act!O6*1000)</f>
        <v>123.40810052853818</v>
      </c>
      <c r="P84" s="116">
        <f>IF(TrRoad_act!P6=0,0,P20/TrRoad_act!P6*1000)</f>
        <v>121.28745718705353</v>
      </c>
      <c r="Q84" s="116">
        <f>IF(TrRoad_act!Q6=0,0,Q20/TrRoad_act!Q6*1000)</f>
        <v>120.77706885979551</v>
      </c>
      <c r="R84" s="116">
        <f>IF(TrRoad_act!R6=0,0,R20/TrRoad_act!R6*1000)</f>
        <v>121.74961429311949</v>
      </c>
      <c r="S84" s="116">
        <f>IF(TrRoad_act!S6=0,0,S20/TrRoad_act!S6*1000)</f>
        <v>120.56934611566373</v>
      </c>
      <c r="T84" s="116">
        <f>IF(TrRoad_act!T6=0,0,T20/TrRoad_act!T6*1000)</f>
        <v>119.01518749672671</v>
      </c>
      <c r="U84" s="116">
        <f>IF(TrRoad_act!U6=0,0,U20/TrRoad_act!U6*1000)</f>
        <v>115.62029295669949</v>
      </c>
      <c r="V84" s="116">
        <f>IF(TrRoad_act!V6=0,0,V20/TrRoad_act!V6*1000)</f>
        <v>131.7778950152329</v>
      </c>
      <c r="W84" s="116">
        <f>IF(TrRoad_act!W6=0,0,W20/TrRoad_act!W6*1000)</f>
        <v>137.79005407576554</v>
      </c>
      <c r="X84" s="116">
        <f>IF(TrRoad_act!X6=0,0,X20/TrRoad_act!X6*1000)</f>
        <v>139.35766557925177</v>
      </c>
      <c r="Y84" s="116">
        <f>IF(TrRoad_act!Y6=0,0,Y20/TrRoad_act!Y6*1000)</f>
        <v>134.37097807516651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149.25011494204909</v>
      </c>
      <c r="C85" s="87">
        <f>IF(TrRoad_act!C7=0,0,C21/TrRoad_act!C7*1000)</f>
        <v>146.87200879982367</v>
      </c>
      <c r="D85" s="87">
        <f>IF(TrRoad_act!D7=0,0,D21/TrRoad_act!D7*1000)</f>
        <v>149.80345429673542</v>
      </c>
      <c r="E85" s="87">
        <f>IF(TrRoad_act!E7=0,0,E21/TrRoad_act!E7*1000)</f>
        <v>145.97487040774044</v>
      </c>
      <c r="F85" s="87">
        <f>IF(TrRoad_act!F7=0,0,F21/TrRoad_act!F7*1000)</f>
        <v>133.48968125899259</v>
      </c>
      <c r="G85" s="87">
        <f>IF(TrRoad_act!G7=0,0,G21/TrRoad_act!G7*1000)</f>
        <v>136.47580034710199</v>
      </c>
      <c r="H85" s="87">
        <f>IF(TrRoad_act!H7=0,0,H21/TrRoad_act!H7*1000)</f>
        <v>136.79124860629037</v>
      </c>
      <c r="I85" s="87">
        <f>IF(TrRoad_act!I7=0,0,I21/TrRoad_act!I7*1000)</f>
        <v>132.17334814289794</v>
      </c>
      <c r="J85" s="87">
        <f>IF(TrRoad_act!J7=0,0,J21/TrRoad_act!J7*1000)</f>
        <v>143.70794561210135</v>
      </c>
      <c r="K85" s="87">
        <f>IF(TrRoad_act!K7=0,0,K21/TrRoad_act!K7*1000)</f>
        <v>133.48561544603132</v>
      </c>
      <c r="L85" s="87">
        <f>IF(TrRoad_act!L7=0,0,L21/TrRoad_act!L7*1000)</f>
        <v>137.98566468286324</v>
      </c>
      <c r="M85" s="87">
        <f>IF(TrRoad_act!M7=0,0,M21/TrRoad_act!M7*1000)</f>
        <v>140.28238630462178</v>
      </c>
      <c r="N85" s="87">
        <f>IF(TrRoad_act!N7=0,0,N21/TrRoad_act!N7*1000)</f>
        <v>134.09739113599522</v>
      </c>
      <c r="O85" s="87">
        <f>IF(TrRoad_act!O7=0,0,O21/TrRoad_act!O7*1000)</f>
        <v>128.73258743484413</v>
      </c>
      <c r="P85" s="87">
        <f>IF(TrRoad_act!P7=0,0,P21/TrRoad_act!P7*1000)</f>
        <v>123.72416431714738</v>
      </c>
      <c r="Q85" s="87">
        <f>IF(TrRoad_act!Q7=0,0,Q21/TrRoad_act!Q7*1000)</f>
        <v>123.5228780500005</v>
      </c>
      <c r="R85" s="87">
        <f>IF(TrRoad_act!R7=0,0,R21/TrRoad_act!R7*1000)</f>
        <v>127.69581966636324</v>
      </c>
      <c r="S85" s="87">
        <f>IF(TrRoad_act!S7=0,0,S21/TrRoad_act!S7*1000)</f>
        <v>125.41786388196418</v>
      </c>
      <c r="T85" s="87">
        <f>IF(TrRoad_act!T7=0,0,T21/TrRoad_act!T7*1000)</f>
        <v>127.97204790505548</v>
      </c>
      <c r="U85" s="87">
        <f>IF(TrRoad_act!U7=0,0,U21/TrRoad_act!U7*1000)</f>
        <v>123.53807590302787</v>
      </c>
      <c r="V85" s="87">
        <f>IF(TrRoad_act!V7=0,0,V21/TrRoad_act!V7*1000)</f>
        <v>142.84749832743128</v>
      </c>
      <c r="W85" s="87">
        <f>IF(TrRoad_act!W7=0,0,W21/TrRoad_act!W7*1000)</f>
        <v>154.28217018641976</v>
      </c>
      <c r="X85" s="87">
        <f>IF(TrRoad_act!X7=0,0,X21/TrRoad_act!X7*1000)</f>
        <v>160.25706541436369</v>
      </c>
      <c r="Y85" s="87">
        <f>IF(TrRoad_act!Y7=0,0,Y21/TrRoad_act!Y7*1000)</f>
        <v>156.91093695729037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119.52921932901569</v>
      </c>
      <c r="C86" s="87">
        <f>IF(TrRoad_act!C8=0,0,C22/TrRoad_act!C8*1000)</f>
        <v>116.88619815519957</v>
      </c>
      <c r="D86" s="87">
        <f>IF(TrRoad_act!D8=0,0,D22/TrRoad_act!D8*1000)</f>
        <v>116.98570906210462</v>
      </c>
      <c r="E86" s="87">
        <f>IF(TrRoad_act!E8=0,0,E22/TrRoad_act!E8*1000)</f>
        <v>117.99724527881521</v>
      </c>
      <c r="F86" s="87">
        <f>IF(TrRoad_act!F8=0,0,F22/TrRoad_act!F8*1000)</f>
        <v>120.83101395587668</v>
      </c>
      <c r="G86" s="87">
        <f>IF(TrRoad_act!G8=0,0,G22/TrRoad_act!G8*1000)</f>
        <v>121.70081013205346</v>
      </c>
      <c r="H86" s="87">
        <f>IF(TrRoad_act!H8=0,0,H22/TrRoad_act!H8*1000)</f>
        <v>123.29463766374053</v>
      </c>
      <c r="I86" s="87">
        <f>IF(TrRoad_act!I8=0,0,I22/TrRoad_act!I8*1000)</f>
        <v>122.27882727988113</v>
      </c>
      <c r="J86" s="87">
        <f>IF(TrRoad_act!J8=0,0,J22/TrRoad_act!J8*1000)</f>
        <v>122.97494071724626</v>
      </c>
      <c r="K86" s="87">
        <f>IF(TrRoad_act!K8=0,0,K22/TrRoad_act!K8*1000)</f>
        <v>118.74638561416972</v>
      </c>
      <c r="L86" s="87">
        <f>IF(TrRoad_act!L8=0,0,L22/TrRoad_act!L8*1000)</f>
        <v>118.94312685351576</v>
      </c>
      <c r="M86" s="87">
        <f>IF(TrRoad_act!M8=0,0,M22/TrRoad_act!M8*1000)</f>
        <v>121.75252475003883</v>
      </c>
      <c r="N86" s="87">
        <f>IF(TrRoad_act!N8=0,0,N22/TrRoad_act!N8*1000)</f>
        <v>121.18642409688933</v>
      </c>
      <c r="O86" s="87">
        <f>IF(TrRoad_act!O8=0,0,O22/TrRoad_act!O8*1000)</f>
        <v>119.4303310211812</v>
      </c>
      <c r="P86" s="87">
        <f>IF(TrRoad_act!P8=0,0,P22/TrRoad_act!P8*1000)</f>
        <v>119.51666543749975</v>
      </c>
      <c r="Q86" s="87">
        <f>IF(TrRoad_act!Q8=0,0,Q22/TrRoad_act!Q8*1000)</f>
        <v>118.78569910584774</v>
      </c>
      <c r="R86" s="87">
        <f>IF(TrRoad_act!R8=0,0,R22/TrRoad_act!R8*1000)</f>
        <v>118.07037231759708</v>
      </c>
      <c r="S86" s="87">
        <f>IF(TrRoad_act!S8=0,0,S22/TrRoad_act!S8*1000)</f>
        <v>117.92109387720521</v>
      </c>
      <c r="T86" s="87">
        <f>IF(TrRoad_act!T8=0,0,T22/TrRoad_act!T8*1000)</f>
        <v>114.44783438025152</v>
      </c>
      <c r="U86" s="87">
        <f>IF(TrRoad_act!U8=0,0,U22/TrRoad_act!U8*1000)</f>
        <v>111.86721580092173</v>
      </c>
      <c r="V86" s="87">
        <f>IF(TrRoad_act!V8=0,0,V22/TrRoad_act!V8*1000)</f>
        <v>127.65517736485383</v>
      </c>
      <c r="W86" s="87">
        <f>IF(TrRoad_act!W8=0,0,W22/TrRoad_act!W8*1000)</f>
        <v>130.16331158274792</v>
      </c>
      <c r="X86" s="87">
        <f>IF(TrRoad_act!X8=0,0,X22/TrRoad_act!X8*1000)</f>
        <v>130.55987878260783</v>
      </c>
      <c r="Y86" s="87">
        <f>IF(TrRoad_act!Y8=0,0,Y22/TrRoad_act!Y8*1000)</f>
        <v>124.7217692384436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89.927160778640143</v>
      </c>
      <c r="I87" s="87">
        <f>IF(TrRoad_act!I9=0,0,I23/TrRoad_act!I9*1000)</f>
        <v>101.89282824272529</v>
      </c>
      <c r="J87" s="87">
        <f>IF(TrRoad_act!J9=0,0,J23/TrRoad_act!J9*1000)</f>
        <v>100.66257688449872</v>
      </c>
      <c r="K87" s="87">
        <f>IF(TrRoad_act!K9=0,0,K23/TrRoad_act!K9*1000)</f>
        <v>107.13681999731087</v>
      </c>
      <c r="L87" s="87">
        <f>IF(TrRoad_act!L9=0,0,L23/TrRoad_act!L9*1000)</f>
        <v>117.80695986305102</v>
      </c>
      <c r="M87" s="87">
        <f>IF(TrRoad_act!M9=0,0,M23/TrRoad_act!M9*1000)</f>
        <v>126.61454673157277</v>
      </c>
      <c r="N87" s="87">
        <f>IF(TrRoad_act!N9=0,0,N23/TrRoad_act!N9*1000)</f>
        <v>132.28781685927066</v>
      </c>
      <c r="O87" s="87">
        <f>IF(TrRoad_act!O9=0,0,O23/TrRoad_act!O9*1000)</f>
        <v>129.76011919266847</v>
      </c>
      <c r="P87" s="87">
        <f>IF(TrRoad_act!P9=0,0,P23/TrRoad_act!P9*1000)</f>
        <v>130.23875022425599</v>
      </c>
      <c r="Q87" s="87">
        <f>IF(TrRoad_act!Q9=0,0,Q23/TrRoad_act!Q9*1000)</f>
        <v>138.13367159441162</v>
      </c>
      <c r="R87" s="87">
        <f>IF(TrRoad_act!R9=0,0,R23/TrRoad_act!R9*1000)</f>
        <v>135.27782618481942</v>
      </c>
      <c r="S87" s="87">
        <f>IF(TrRoad_act!S9=0,0,S23/TrRoad_act!S9*1000)</f>
        <v>124.85018027573855</v>
      </c>
      <c r="T87" s="87">
        <f>IF(TrRoad_act!T9=0,0,T23/TrRoad_act!T9*1000)</f>
        <v>121.09732464778359</v>
      </c>
      <c r="U87" s="87">
        <f>IF(TrRoad_act!U9=0,0,U23/TrRoad_act!U9*1000)</f>
        <v>113.76273174518738</v>
      </c>
      <c r="V87" s="87">
        <f>IF(TrRoad_act!V9=0,0,V23/TrRoad_act!V9*1000)</f>
        <v>102.49542895524408</v>
      </c>
      <c r="W87" s="87">
        <f>IF(TrRoad_act!W9=0,0,W23/TrRoad_act!W9*1000)</f>
        <v>170.72589261422044</v>
      </c>
      <c r="X87" s="87">
        <f>IF(TrRoad_act!X9=0,0,X23/TrRoad_act!X9*1000)</f>
        <v>102.5189946291986</v>
      </c>
      <c r="Y87" s="87">
        <f>IF(TrRoad_act!Y9=0,0,Y23/TrRoad_act!Y9*1000)</f>
        <v>90.02115763265914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88.231267288692052</v>
      </c>
      <c r="O88" s="87">
        <f>IF(TrRoad_act!O10=0,0,O24/TrRoad_act!O10*1000)</f>
        <v>89.153001954159734</v>
      </c>
      <c r="P88" s="87">
        <f>IF(TrRoad_act!P10=0,0,P24/TrRoad_act!P10*1000)</f>
        <v>84.401610548130137</v>
      </c>
      <c r="Q88" s="87">
        <f>IF(TrRoad_act!Q10=0,0,Q24/TrRoad_act!Q10*1000)</f>
        <v>80.37417389176693</v>
      </c>
      <c r="R88" s="87">
        <f>IF(TrRoad_act!R10=0,0,R24/TrRoad_act!R10*1000)</f>
        <v>79.140842446965763</v>
      </c>
      <c r="S88" s="87">
        <f>IF(TrRoad_act!S10=0,0,S24/TrRoad_act!S10*1000)</f>
        <v>80.228275446526695</v>
      </c>
      <c r="T88" s="87">
        <f>IF(TrRoad_act!T10=0,0,T24/TrRoad_act!T10*1000)</f>
        <v>82.864286537275689</v>
      </c>
      <c r="U88" s="87">
        <f>IF(TrRoad_act!U10=0,0,U24/TrRoad_act!U10*1000)</f>
        <v>83.876340980326177</v>
      </c>
      <c r="V88" s="87">
        <f>IF(TrRoad_act!V10=0,0,V24/TrRoad_act!V10*1000)</f>
        <v>97.861333627789762</v>
      </c>
      <c r="W88" s="87">
        <f>IF(TrRoad_act!W10=0,0,W24/TrRoad_act!W10*1000)</f>
        <v>99.012641552723778</v>
      </c>
      <c r="X88" s="87">
        <f>IF(TrRoad_act!X10=0,0,X24/TrRoad_act!X10*1000)</f>
        <v>97.375094385878612</v>
      </c>
      <c r="Y88" s="87">
        <f>IF(TrRoad_act!Y10=0,0,Y24/TrRoad_act!Y10*1000)</f>
        <v>96.540379183076951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28.3047717745109</v>
      </c>
      <c r="P89" s="87">
        <f>IF(TrRoad_act!P11=0,0,P25/TrRoad_act!P11*1000)</f>
        <v>28.981099745745471</v>
      </c>
      <c r="Q89" s="87">
        <f>IF(TrRoad_act!Q11=0,0,Q25/TrRoad_act!Q11*1000)</f>
        <v>26.21339348358163</v>
      </c>
      <c r="R89" s="87">
        <f>IF(TrRoad_act!R11=0,0,R25/TrRoad_act!R11*1000)</f>
        <v>31.872851824230352</v>
      </c>
      <c r="S89" s="87">
        <f>IF(TrRoad_act!S11=0,0,S25/TrRoad_act!S11*1000)</f>
        <v>37.630375171181619</v>
      </c>
      <c r="T89" s="87">
        <f>IF(TrRoad_act!T11=0,0,T25/TrRoad_act!T11*1000)</f>
        <v>39.168234867847673</v>
      </c>
      <c r="U89" s="87">
        <f>IF(TrRoad_act!U11=0,0,U25/TrRoad_act!U11*1000)</f>
        <v>38.953578946355385</v>
      </c>
      <c r="V89" s="87">
        <f>IF(TrRoad_act!V11=0,0,V25/TrRoad_act!V11*1000)</f>
        <v>44.960655264320621</v>
      </c>
      <c r="W89" s="87">
        <f>IF(TrRoad_act!W11=0,0,W25/TrRoad_act!W11*1000)</f>
        <v>43.559732869745801</v>
      </c>
      <c r="X89" s="87">
        <f>IF(TrRoad_act!X11=0,0,X25/TrRoad_act!X11*1000)</f>
        <v>44.259389092824989</v>
      </c>
      <c r="Y89" s="87">
        <f>IF(TrRoad_act!Y11=0,0,Y25/TrRoad_act!Y11*1000)</f>
        <v>39.855459768757747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70.312866156673508</v>
      </c>
      <c r="C91" s="116">
        <f>IF(TrRoad_act!C13=0,0,C27/TrRoad_act!C13*1000)</f>
        <v>66.183674091841098</v>
      </c>
      <c r="D91" s="116">
        <f>IF(TrRoad_act!D13=0,0,D27/TrRoad_act!D13*1000)</f>
        <v>64.873625139588199</v>
      </c>
      <c r="E91" s="116">
        <f>IF(TrRoad_act!E13=0,0,E27/TrRoad_act!E13*1000)</f>
        <v>60.934479342063419</v>
      </c>
      <c r="F91" s="116">
        <f>IF(TrRoad_act!F13=0,0,F27/TrRoad_act!F13*1000)</f>
        <v>66.61755312837515</v>
      </c>
      <c r="G91" s="116">
        <f>IF(TrRoad_act!G13=0,0,G27/TrRoad_act!G13*1000)</f>
        <v>67.683573262893731</v>
      </c>
      <c r="H91" s="116">
        <f>IF(TrRoad_act!H13=0,0,H27/TrRoad_act!H13*1000)</f>
        <v>66.256912861700059</v>
      </c>
      <c r="I91" s="116">
        <f>IF(TrRoad_act!I13=0,0,I27/TrRoad_act!I13*1000)</f>
        <v>64.144965673644847</v>
      </c>
      <c r="J91" s="116">
        <f>IF(TrRoad_act!J13=0,0,J27/TrRoad_act!J13*1000)</f>
        <v>65.885773727165656</v>
      </c>
      <c r="K91" s="116">
        <f>IF(TrRoad_act!K13=0,0,K27/TrRoad_act!K13*1000)</f>
        <v>65.103407510169845</v>
      </c>
      <c r="L91" s="116">
        <f>IF(TrRoad_act!L13=0,0,L27/TrRoad_act!L13*1000)</f>
        <v>64.314748888712444</v>
      </c>
      <c r="M91" s="116">
        <f>IF(TrRoad_act!M13=0,0,M27/TrRoad_act!M13*1000)</f>
        <v>65.000817722746092</v>
      </c>
      <c r="N91" s="116">
        <f>IF(TrRoad_act!N13=0,0,N27/TrRoad_act!N13*1000)</f>
        <v>64.074207326681901</v>
      </c>
      <c r="O91" s="116">
        <f>IF(TrRoad_act!O13=0,0,O27/TrRoad_act!O13*1000)</f>
        <v>63.475033091920054</v>
      </c>
      <c r="P91" s="116">
        <f>IF(TrRoad_act!P13=0,0,P27/TrRoad_act!P13*1000)</f>
        <v>61.954320498158921</v>
      </c>
      <c r="Q91" s="116">
        <f>IF(TrRoad_act!Q13=0,0,Q27/TrRoad_act!Q13*1000)</f>
        <v>62.549793689854766</v>
      </c>
      <c r="R91" s="116">
        <f>IF(TrRoad_act!R13=0,0,R27/TrRoad_act!R13*1000)</f>
        <v>60.326054628847039</v>
      </c>
      <c r="S91" s="116">
        <f>IF(TrRoad_act!S13=0,0,S27/TrRoad_act!S13*1000)</f>
        <v>61.346761515708103</v>
      </c>
      <c r="T91" s="116">
        <f>IF(TrRoad_act!T13=0,0,T27/TrRoad_act!T13*1000)</f>
        <v>57.518571685250052</v>
      </c>
      <c r="U91" s="116">
        <f>IF(TrRoad_act!U13=0,0,U27/TrRoad_act!U13*1000)</f>
        <v>59.146809788004504</v>
      </c>
      <c r="V91" s="116">
        <f>IF(TrRoad_act!V13=0,0,V27/TrRoad_act!V13*1000)</f>
        <v>67.861321310976379</v>
      </c>
      <c r="W91" s="116">
        <f>IF(TrRoad_act!W13=0,0,W27/TrRoad_act!W13*1000)</f>
        <v>67.863088766086278</v>
      </c>
      <c r="X91" s="116">
        <f>IF(TrRoad_act!X13=0,0,X27/TrRoad_act!X13*1000)</f>
        <v>60.849906210906077</v>
      </c>
      <c r="Y91" s="116">
        <f>IF(TrRoad_act!Y13=0,0,Y27/TrRoad_act!Y13*1000)</f>
        <v>58.057781099334058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59.214573010926919</v>
      </c>
      <c r="C92" s="101">
        <f>IF(TrRoad_act!C14=0,0,C28/TrRoad_act!C14*1000)</f>
        <v>58.071455563930847</v>
      </c>
      <c r="D92" s="101">
        <f>IF(TrRoad_act!D14=0,0,D28/TrRoad_act!D14*1000)</f>
        <v>57.263499139652573</v>
      </c>
      <c r="E92" s="101">
        <f>IF(TrRoad_act!E14=0,0,E28/TrRoad_act!E14*1000)</f>
        <v>54.167333692522185</v>
      </c>
      <c r="F92" s="101">
        <f>IF(TrRoad_act!F14=0,0,F28/TrRoad_act!F14*1000)</f>
        <v>59.437352454472226</v>
      </c>
      <c r="G92" s="101">
        <f>IF(TrRoad_act!G14=0,0,G28/TrRoad_act!G14*1000)</f>
        <v>60.720608068722676</v>
      </c>
      <c r="H92" s="101">
        <f>IF(TrRoad_act!H14=0,0,H28/TrRoad_act!H14*1000)</f>
        <v>59.942643729067484</v>
      </c>
      <c r="I92" s="101">
        <f>IF(TrRoad_act!I14=0,0,I28/TrRoad_act!I14*1000)</f>
        <v>58.482563749720924</v>
      </c>
      <c r="J92" s="101">
        <f>IF(TrRoad_act!J14=0,0,J28/TrRoad_act!J14*1000)</f>
        <v>60.171735713529081</v>
      </c>
      <c r="K92" s="101">
        <f>IF(TrRoad_act!K14=0,0,K28/TrRoad_act!K14*1000)</f>
        <v>59.974110746941889</v>
      </c>
      <c r="L92" s="101">
        <f>IF(TrRoad_act!L14=0,0,L28/TrRoad_act!L14*1000)</f>
        <v>59.626954370100613</v>
      </c>
      <c r="M92" s="101">
        <f>IF(TrRoad_act!M14=0,0,M28/TrRoad_act!M14*1000)</f>
        <v>59.191089295891118</v>
      </c>
      <c r="N92" s="101">
        <f>IF(TrRoad_act!N14=0,0,N28/TrRoad_act!N14*1000)</f>
        <v>58.804069099930295</v>
      </c>
      <c r="O92" s="101">
        <f>IF(TrRoad_act!O14=0,0,O28/TrRoad_act!O14*1000)</f>
        <v>53.32944338115356</v>
      </c>
      <c r="P92" s="101">
        <f>IF(TrRoad_act!P14=0,0,P28/TrRoad_act!P14*1000)</f>
        <v>51.820645508806706</v>
      </c>
      <c r="Q92" s="101">
        <f>IF(TrRoad_act!Q14=0,0,Q28/TrRoad_act!Q14*1000)</f>
        <v>49.982386624651433</v>
      </c>
      <c r="R92" s="101">
        <f>IF(TrRoad_act!R14=0,0,R28/TrRoad_act!R14*1000)</f>
        <v>49.075333507920526</v>
      </c>
      <c r="S92" s="101">
        <f>IF(TrRoad_act!S14=0,0,S28/TrRoad_act!S14*1000)</f>
        <v>49.507379344515662</v>
      </c>
      <c r="T92" s="101">
        <f>IF(TrRoad_act!T14=0,0,T28/TrRoad_act!T14*1000)</f>
        <v>47.4857949235954</v>
      </c>
      <c r="U92" s="101">
        <f>IF(TrRoad_act!U14=0,0,U28/TrRoad_act!U14*1000)</f>
        <v>48.369610695384601</v>
      </c>
      <c r="V92" s="101">
        <f>IF(TrRoad_act!V14=0,0,V28/TrRoad_act!V14*1000)</f>
        <v>54.898271277455322</v>
      </c>
      <c r="W92" s="101">
        <f>IF(TrRoad_act!W14=0,0,W28/TrRoad_act!W14*1000)</f>
        <v>54.89796662162739</v>
      </c>
      <c r="X92" s="101">
        <f>IF(TrRoad_act!X14=0,0,X28/TrRoad_act!X14*1000)</f>
        <v>47.158394615628964</v>
      </c>
      <c r="Y92" s="101">
        <f>IF(TrRoad_act!Y14=0,0,Y28/TrRoad_act!Y14*1000)</f>
        <v>35.211879425437637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70.377545011608888</v>
      </c>
      <c r="C93" s="101">
        <f>IF(TrRoad_act!C15=0,0,C29/TrRoad_act!C15*1000)</f>
        <v>66.228244049359233</v>
      </c>
      <c r="D93" s="101">
        <f>IF(TrRoad_act!D15=0,0,D29/TrRoad_act!D15*1000)</f>
        <v>64.912362787783749</v>
      </c>
      <c r="E93" s="101">
        <f>IF(TrRoad_act!E15=0,0,E29/TrRoad_act!E15*1000)</f>
        <v>60.964926745609567</v>
      </c>
      <c r="F93" s="101">
        <f>IF(TrRoad_act!F15=0,0,F29/TrRoad_act!F15*1000)</f>
        <v>66.644475031509799</v>
      </c>
      <c r="G93" s="101">
        <f>IF(TrRoad_act!G15=0,0,G29/TrRoad_act!G15*1000)</f>
        <v>67.707180192005566</v>
      </c>
      <c r="H93" s="101">
        <f>IF(TrRoad_act!H15=0,0,H29/TrRoad_act!H15*1000)</f>
        <v>66.275763482540356</v>
      </c>
      <c r="I93" s="101">
        <f>IF(TrRoad_act!I15=0,0,I29/TrRoad_act!I15*1000)</f>
        <v>64.159368228215982</v>
      </c>
      <c r="J93" s="101">
        <f>IF(TrRoad_act!J15=0,0,J29/TrRoad_act!J15*1000)</f>
        <v>65.897207122351588</v>
      </c>
      <c r="K93" s="101">
        <f>IF(TrRoad_act!K15=0,0,K29/TrRoad_act!K15*1000)</f>
        <v>65.111952409876608</v>
      </c>
      <c r="L93" s="101">
        <f>IF(TrRoad_act!L15=0,0,L29/TrRoad_act!L15*1000)</f>
        <v>64.321228418154718</v>
      </c>
      <c r="M93" s="101">
        <f>IF(TrRoad_act!M15=0,0,M29/TrRoad_act!M15*1000)</f>
        <v>65.007101731607278</v>
      </c>
      <c r="N93" s="101">
        <f>IF(TrRoad_act!N15=0,0,N29/TrRoad_act!N15*1000)</f>
        <v>64.300586241307315</v>
      </c>
      <c r="O93" s="101">
        <f>IF(TrRoad_act!O15=0,0,O29/TrRoad_act!O15*1000)</f>
        <v>63.758486517756872</v>
      </c>
      <c r="P93" s="101">
        <f>IF(TrRoad_act!P15=0,0,P29/TrRoad_act!P15*1000)</f>
        <v>64.395051886378297</v>
      </c>
      <c r="Q93" s="101">
        <f>IF(TrRoad_act!Q15=0,0,Q29/TrRoad_act!Q15*1000)</f>
        <v>64.564175685427628</v>
      </c>
      <c r="R93" s="101">
        <f>IF(TrRoad_act!R15=0,0,R29/TrRoad_act!R15*1000)</f>
        <v>63.777779607679065</v>
      </c>
      <c r="S93" s="101">
        <f>IF(TrRoad_act!S15=0,0,S29/TrRoad_act!S15*1000)</f>
        <v>64.211223548739184</v>
      </c>
      <c r="T93" s="101">
        <f>IF(TrRoad_act!T15=0,0,T29/TrRoad_act!T15*1000)</f>
        <v>60.232680407653376</v>
      </c>
      <c r="U93" s="101">
        <f>IF(TrRoad_act!U15=0,0,U29/TrRoad_act!U15*1000)</f>
        <v>59.608835465866818</v>
      </c>
      <c r="V93" s="101">
        <f>IF(TrRoad_act!V15=0,0,V29/TrRoad_act!V15*1000)</f>
        <v>67.897107613719385</v>
      </c>
      <c r="W93" s="101">
        <f>IF(TrRoad_act!W15=0,0,W29/TrRoad_act!W15*1000)</f>
        <v>66.854583248649746</v>
      </c>
      <c r="X93" s="101">
        <f>IF(TrRoad_act!X15=0,0,X29/TrRoad_act!X15*1000)</f>
        <v>60.360528540254023</v>
      </c>
      <c r="Y93" s="101">
        <f>IF(TrRoad_act!Y15=0,0,Y29/TrRoad_act!Y15*1000)</f>
        <v>58.125434300063624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0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44.452181001362248</v>
      </c>
      <c r="O95" s="101">
        <f>IF(TrRoad_act!O17=0,0,O31/TrRoad_act!O17*1000)</f>
        <v>42.317763014261786</v>
      </c>
      <c r="P95" s="101">
        <f>IF(TrRoad_act!P17=0,0,P31/TrRoad_act!P17*1000)</f>
        <v>14.396517820414786</v>
      </c>
      <c r="Q95" s="101">
        <f>IF(TrRoad_act!Q17=0,0,Q31/TrRoad_act!Q17*1000)</f>
        <v>25.060734122725531</v>
      </c>
      <c r="R95" s="101">
        <f>IF(TrRoad_act!R17=0,0,R31/TrRoad_act!R17*1000)</f>
        <v>21.292540799962282</v>
      </c>
      <c r="S95" s="101">
        <f>IF(TrRoad_act!S17=0,0,S31/TrRoad_act!S17*1000)</f>
        <v>26.018844360252228</v>
      </c>
      <c r="T95" s="101">
        <f>IF(TrRoad_act!T17=0,0,T31/TrRoad_act!T17*1000)</f>
        <v>25.274276309501072</v>
      </c>
      <c r="U95" s="101">
        <f>IF(TrRoad_act!U17=0,0,U31/TrRoad_act!U17*1000)</f>
        <v>52.745224850556319</v>
      </c>
      <c r="V95" s="101">
        <f>IF(TrRoad_act!V17=0,0,V31/TrRoad_act!V17*1000)</f>
        <v>71.017693409750208</v>
      </c>
      <c r="W95" s="101">
        <f>IF(TrRoad_act!W17=0,0,W31/TrRoad_act!W17*1000)</f>
        <v>92.868073657096616</v>
      </c>
      <c r="X95" s="101">
        <f>IF(TrRoad_act!X17=0,0,X31/TrRoad_act!X17*1000)</f>
        <v>77.277252487257783</v>
      </c>
      <c r="Y95" s="101">
        <f>IF(TrRoad_act!Y17=0,0,Y31/TrRoad_act!Y17*1000)</f>
        <v>71.34679410792134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62.723090074622597</v>
      </c>
      <c r="C97" s="29">
        <f>IF(TrRoad_act!C19=0,0,C33/TrRoad_act!C19*1000)</f>
        <v>89.348322466038184</v>
      </c>
      <c r="D97" s="29">
        <f>IF(TrRoad_act!D19=0,0,D33/TrRoad_act!D19*1000)</f>
        <v>93.530580256452851</v>
      </c>
      <c r="E97" s="29">
        <f>IF(TrRoad_act!E19=0,0,E33/TrRoad_act!E19*1000)</f>
        <v>109.22710079115203</v>
      </c>
      <c r="F97" s="29">
        <f>IF(TrRoad_act!F19=0,0,F33/TrRoad_act!F19*1000)</f>
        <v>133.74033595434989</v>
      </c>
      <c r="G97" s="29">
        <f>IF(TrRoad_act!G19=0,0,G33/TrRoad_act!G19*1000)</f>
        <v>152.93281687235401</v>
      </c>
      <c r="H97" s="29">
        <f>IF(TrRoad_act!H19=0,0,H33/TrRoad_act!H19*1000)</f>
        <v>154.13624708247303</v>
      </c>
      <c r="I97" s="29">
        <f>IF(TrRoad_act!I19=0,0,I33/TrRoad_act!I19*1000)</f>
        <v>205.70621315305451</v>
      </c>
      <c r="J97" s="29">
        <f>IF(TrRoad_act!J19=0,0,J33/TrRoad_act!J19*1000)</f>
        <v>286.44038313584173</v>
      </c>
      <c r="K97" s="29">
        <f>IF(TrRoad_act!K19=0,0,K33/TrRoad_act!K19*1000)</f>
        <v>209.27233035826589</v>
      </c>
      <c r="L97" s="29">
        <f>IF(TrRoad_act!L19=0,0,L33/TrRoad_act!L19*1000)</f>
        <v>222.52774932922767</v>
      </c>
      <c r="M97" s="29">
        <f>IF(TrRoad_act!M19=0,0,M33/TrRoad_act!M19*1000)</f>
        <v>264.10910343830597</v>
      </c>
      <c r="N97" s="29">
        <f>IF(TrRoad_act!N19=0,0,N33/TrRoad_act!N19*1000)</f>
        <v>289.47972102190715</v>
      </c>
      <c r="O97" s="29">
        <f>IF(TrRoad_act!O19=0,0,O33/TrRoad_act!O19*1000)</f>
        <v>261.98387695261516</v>
      </c>
      <c r="P97" s="29">
        <f>IF(TrRoad_act!P19=0,0,P33/TrRoad_act!P19*1000)</f>
        <v>254.92445979789812</v>
      </c>
      <c r="Q97" s="29">
        <f>IF(TrRoad_act!Q19=0,0,Q33/TrRoad_act!Q19*1000)</f>
        <v>232.14036245845722</v>
      </c>
      <c r="R97" s="29">
        <f>IF(TrRoad_act!R19=0,0,R33/TrRoad_act!R19*1000)</f>
        <v>251.08390232490279</v>
      </c>
      <c r="S97" s="29">
        <f>IF(TrRoad_act!S19=0,0,S33/TrRoad_act!S19*1000)</f>
        <v>231.89276933091278</v>
      </c>
      <c r="T97" s="29">
        <f>IF(TrRoad_act!T19=0,0,T33/TrRoad_act!T19*1000)</f>
        <v>223.84522223770202</v>
      </c>
      <c r="U97" s="29">
        <f>IF(TrRoad_act!U19=0,0,U33/TrRoad_act!U19*1000)</f>
        <v>202.30867794800537</v>
      </c>
      <c r="V97" s="29">
        <f>IF(TrRoad_act!V19=0,0,V33/TrRoad_act!V19*1000)</f>
        <v>168.71536352881679</v>
      </c>
      <c r="W97" s="29">
        <f>IF(TrRoad_act!W19=0,0,W33/TrRoad_act!W19*1000)</f>
        <v>194.02489699667896</v>
      </c>
      <c r="X97" s="29">
        <f>IF(TrRoad_act!X19=0,0,X33/TrRoad_act!X19*1000)</f>
        <v>206.22445551710214</v>
      </c>
      <c r="Y97" s="29">
        <f>IF(TrRoad_act!Y19=0,0,Y33/TrRoad_act!Y19*1000)</f>
        <v>150.10389176162997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2066.8017342591529</v>
      </c>
      <c r="C98" s="152">
        <f>IF(TrRoad_act!C20=0,0,C34/TrRoad_act!C20*1000)</f>
        <v>2026.6124555673307</v>
      </c>
      <c r="D98" s="152">
        <f>IF(TrRoad_act!D20=0,0,D34/TrRoad_act!D20*1000)</f>
        <v>2006.3515337206898</v>
      </c>
      <c r="E98" s="152">
        <f>IF(TrRoad_act!E20=0,0,E34/TrRoad_act!E20*1000)</f>
        <v>1989.6325560762516</v>
      </c>
      <c r="F98" s="152">
        <f>IF(TrRoad_act!F20=0,0,F34/TrRoad_act!F20*1000)</f>
        <v>1987.0298969394546</v>
      </c>
      <c r="G98" s="152">
        <f>IF(TrRoad_act!G20=0,0,G34/TrRoad_act!G20*1000)</f>
        <v>1978.4059341828861</v>
      </c>
      <c r="H98" s="152">
        <f>IF(TrRoad_act!H20=0,0,H34/TrRoad_act!H20*1000)</f>
        <v>1965.5673881178705</v>
      </c>
      <c r="I98" s="152">
        <f>IF(TrRoad_act!I20=0,0,I34/TrRoad_act!I20*1000)</f>
        <v>1949.4019015513491</v>
      </c>
      <c r="J98" s="152">
        <f>IF(TrRoad_act!J20=0,0,J34/TrRoad_act!J20*1000)</f>
        <v>1926.5716517629173</v>
      </c>
      <c r="K98" s="152">
        <f>IF(TrRoad_act!K20=0,0,K34/TrRoad_act!K20*1000)</f>
        <v>1897.6203899615377</v>
      </c>
      <c r="L98" s="152">
        <f>IF(TrRoad_act!L20=0,0,L34/TrRoad_act!L20*1000)</f>
        <v>1871.1258309311875</v>
      </c>
      <c r="M98" s="152">
        <f>IF(TrRoad_act!M20=0,0,M34/TrRoad_act!M20*1000)</f>
        <v>1897.9661987169411</v>
      </c>
      <c r="N98" s="152">
        <f>IF(TrRoad_act!N20=0,0,N34/TrRoad_act!N20*1000)</f>
        <v>1853.8195012918077</v>
      </c>
      <c r="O98" s="152">
        <f>IF(TrRoad_act!O20=0,0,O34/TrRoad_act!O20*1000)</f>
        <v>1824.1754758842276</v>
      </c>
      <c r="P98" s="152">
        <f>IF(TrRoad_act!P20=0,0,P34/TrRoad_act!P20*1000)</f>
        <v>1836.8025057570958</v>
      </c>
      <c r="Q98" s="152">
        <f>IF(TrRoad_act!Q20=0,0,Q34/TrRoad_act!Q20*1000)</f>
        <v>1829.9664478764773</v>
      </c>
      <c r="R98" s="152">
        <f>IF(TrRoad_act!R20=0,0,R34/TrRoad_act!R20*1000)</f>
        <v>1807.100099712841</v>
      </c>
      <c r="S98" s="152">
        <f>IF(TrRoad_act!S20=0,0,S34/TrRoad_act!S20*1000)</f>
        <v>1754.142988240402</v>
      </c>
      <c r="T98" s="152">
        <f>IF(TrRoad_act!T20=0,0,T34/TrRoad_act!T20*1000)</f>
        <v>1671.9189019460839</v>
      </c>
      <c r="U98" s="152">
        <f>IF(TrRoad_act!U20=0,0,U34/TrRoad_act!U20*1000)</f>
        <v>1620.0324718025659</v>
      </c>
      <c r="V98" s="152">
        <f>IF(TrRoad_act!V20=0,0,V34/TrRoad_act!V20*1000)</f>
        <v>1594.9452921694724</v>
      </c>
      <c r="W98" s="152">
        <f>IF(TrRoad_act!W20=0,0,W34/TrRoad_act!W20*1000)</f>
        <v>1582.7495737452036</v>
      </c>
      <c r="X98" s="152">
        <f>IF(TrRoad_act!X20=0,0,X34/TrRoad_act!X20*1000)</f>
        <v>1604.8648159596805</v>
      </c>
      <c r="Y98" s="152">
        <f>IF(TrRoad_act!Y20=0,0,Y34/TrRoad_act!Y20*1000)</f>
        <v>1569.5007075900603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1847.4287342197106</v>
      </c>
      <c r="C99" s="87">
        <f>IF(TrRoad_act!C21=0,0,C35/TrRoad_act!C21*1000)</f>
        <v>1815.1728961994484</v>
      </c>
      <c r="D99" s="87">
        <f>IF(TrRoad_act!D21=0,0,D35/TrRoad_act!D21*1000)</f>
        <v>1802.3314528617466</v>
      </c>
      <c r="E99" s="87">
        <f>IF(TrRoad_act!E21=0,0,E35/TrRoad_act!E21*1000)</f>
        <v>1790.9772393794981</v>
      </c>
      <c r="F99" s="87">
        <f>IF(TrRoad_act!F21=0,0,F35/TrRoad_act!F21*1000)</f>
        <v>1800.8511010762304</v>
      </c>
      <c r="G99" s="87">
        <f>IF(TrRoad_act!G21=0,0,G35/TrRoad_act!G21*1000)</f>
        <v>1793.1388111571448</v>
      </c>
      <c r="H99" s="87">
        <f>IF(TrRoad_act!H21=0,0,H35/TrRoad_act!H21*1000)</f>
        <v>1775.535296111909</v>
      </c>
      <c r="I99" s="87">
        <f>IF(TrRoad_act!I21=0,0,I35/TrRoad_act!I21*1000)</f>
        <v>1764.847894830536</v>
      </c>
      <c r="J99" s="87">
        <f>IF(TrRoad_act!J21=0,0,J35/TrRoad_act!J21*1000)</f>
        <v>1727.6671141726888</v>
      </c>
      <c r="K99" s="87">
        <f>IF(TrRoad_act!K21=0,0,K35/TrRoad_act!K21*1000)</f>
        <v>1712.1834322346911</v>
      </c>
      <c r="L99" s="87">
        <f>IF(TrRoad_act!L21=0,0,L35/TrRoad_act!L21*1000)</f>
        <v>1686.3064202449652</v>
      </c>
      <c r="M99" s="87">
        <f>IF(TrRoad_act!M21=0,0,M35/TrRoad_act!M21*1000)</f>
        <v>1676.7704844414041</v>
      </c>
      <c r="N99" s="87">
        <f>IF(TrRoad_act!N21=0,0,N35/TrRoad_act!N21*1000)</f>
        <v>1664.0501278798174</v>
      </c>
      <c r="O99" s="87">
        <f>IF(TrRoad_act!O21=0,0,O35/TrRoad_act!O21*1000)</f>
        <v>1660.8664826862466</v>
      </c>
      <c r="P99" s="87">
        <f>IF(TrRoad_act!P21=0,0,P35/TrRoad_act!P21*1000)</f>
        <v>1657.4824579481535</v>
      </c>
      <c r="Q99" s="87">
        <f>IF(TrRoad_act!Q21=0,0,Q35/TrRoad_act!Q21*1000)</f>
        <v>1642.9548090217925</v>
      </c>
      <c r="R99" s="87">
        <f>IF(TrRoad_act!R21=0,0,R35/TrRoad_act!R21*1000)</f>
        <v>1618.6733752690604</v>
      </c>
      <c r="S99" s="87">
        <f>IF(TrRoad_act!S21=0,0,S35/TrRoad_act!S21*1000)</f>
        <v>1584.5732697088256</v>
      </c>
      <c r="T99" s="87">
        <f>IF(TrRoad_act!T21=0,0,T35/TrRoad_act!T21*1000)</f>
        <v>1527.3585697110955</v>
      </c>
      <c r="U99" s="87">
        <f>IF(TrRoad_act!U21=0,0,U35/TrRoad_act!U21*1000)</f>
        <v>1520.8713143243751</v>
      </c>
      <c r="V99" s="87">
        <f>IF(TrRoad_act!V21=0,0,V35/TrRoad_act!V21*1000)</f>
        <v>1485.3987968211873</v>
      </c>
      <c r="W99" s="87">
        <f>IF(TrRoad_act!W21=0,0,W35/TrRoad_act!W21*1000)</f>
        <v>1472.1221157858931</v>
      </c>
      <c r="X99" s="87">
        <f>IF(TrRoad_act!X21=0,0,X35/TrRoad_act!X21*1000)</f>
        <v>1472.72472969356</v>
      </c>
      <c r="Y99" s="87">
        <f>IF(TrRoad_act!Y21=0,0,Y35/TrRoad_act!Y21*1000)</f>
        <v>1504.250994871441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2113.6782723550914</v>
      </c>
      <c r="C100" s="87">
        <f>IF(TrRoad_act!C22=0,0,C36/TrRoad_act!C22*1000)</f>
        <v>2071.1826589957936</v>
      </c>
      <c r="D100" s="87">
        <f>IF(TrRoad_act!D22=0,0,D36/TrRoad_act!D22*1000)</f>
        <v>2047.0477980033065</v>
      </c>
      <c r="E100" s="87">
        <f>IF(TrRoad_act!E22=0,0,E36/TrRoad_act!E22*1000)</f>
        <v>2025.4754710836803</v>
      </c>
      <c r="F100" s="87">
        <f>IF(TrRoad_act!F22=0,0,F36/TrRoad_act!F22*1000)</f>
        <v>2017.2078125570558</v>
      </c>
      <c r="G100" s="87">
        <f>IF(TrRoad_act!G22=0,0,G36/TrRoad_act!G22*1000)</f>
        <v>2004.4699059053435</v>
      </c>
      <c r="H100" s="87">
        <f>IF(TrRoad_act!H22=0,0,H36/TrRoad_act!H22*1000)</f>
        <v>1983.8981312676865</v>
      </c>
      <c r="I100" s="87">
        <f>IF(TrRoad_act!I22=0,0,I36/TrRoad_act!I22*1000)</f>
        <v>1964.6609048291418</v>
      </c>
      <c r="J100" s="87">
        <f>IF(TrRoad_act!J22=0,0,J36/TrRoad_act!J22*1000)</f>
        <v>1939.976531139848</v>
      </c>
      <c r="K100" s="87">
        <f>IF(TrRoad_act!K22=0,0,K36/TrRoad_act!K22*1000)</f>
        <v>1910.6721560816809</v>
      </c>
      <c r="L100" s="87">
        <f>IF(TrRoad_act!L22=0,0,L36/TrRoad_act!L22*1000)</f>
        <v>1883.7529086638087</v>
      </c>
      <c r="M100" s="87">
        <f>IF(TrRoad_act!M22=0,0,M36/TrRoad_act!M22*1000)</f>
        <v>1911.8084314901944</v>
      </c>
      <c r="N100" s="87">
        <f>IF(TrRoad_act!N22=0,0,N36/TrRoad_act!N22*1000)</f>
        <v>1864.5793301178774</v>
      </c>
      <c r="O100" s="87">
        <f>IF(TrRoad_act!O22=0,0,O36/TrRoad_act!O22*1000)</f>
        <v>1832.5690489012325</v>
      </c>
      <c r="P100" s="87">
        <f>IF(TrRoad_act!P22=0,0,P36/TrRoad_act!P22*1000)</f>
        <v>1842.6592550018552</v>
      </c>
      <c r="Q100" s="87">
        <f>IF(TrRoad_act!Q22=0,0,Q36/TrRoad_act!Q22*1000)</f>
        <v>1835.1330840581072</v>
      </c>
      <c r="R100" s="87">
        <f>IF(TrRoad_act!R22=0,0,R36/TrRoad_act!R22*1000)</f>
        <v>1812.3710504466542</v>
      </c>
      <c r="S100" s="87">
        <f>IF(TrRoad_act!S22=0,0,S36/TrRoad_act!S22*1000)</f>
        <v>1760.4899554835283</v>
      </c>
      <c r="T100" s="87">
        <f>IF(TrRoad_act!T22=0,0,T36/TrRoad_act!T22*1000)</f>
        <v>1677.4549313192251</v>
      </c>
      <c r="U100" s="87">
        <f>IF(TrRoad_act!U22=0,0,U36/TrRoad_act!U22*1000)</f>
        <v>1624.8576778951845</v>
      </c>
      <c r="V100" s="87">
        <f>IF(TrRoad_act!V22=0,0,V36/TrRoad_act!V22*1000)</f>
        <v>1600.2915816421696</v>
      </c>
      <c r="W100" s="87">
        <f>IF(TrRoad_act!W22=0,0,W36/TrRoad_act!W22*1000)</f>
        <v>1586.4845392856291</v>
      </c>
      <c r="X100" s="87">
        <f>IF(TrRoad_act!X22=0,0,X36/TrRoad_act!X22*1000)</f>
        <v>1611.2749005280323</v>
      </c>
      <c r="Y100" s="87">
        <f>IF(TrRoad_act!Y22=0,0,Y36/TrRoad_act!Y22*1000)</f>
        <v>1575.4028211432153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2605.1553271014359</v>
      </c>
      <c r="I101" s="87">
        <f>IF(TrRoad_act!I23=0,0,I37/TrRoad_act!I23*1000)</f>
        <v>2624.9410340272298</v>
      </c>
      <c r="J101" s="87">
        <f>IF(TrRoad_act!J23=0,0,J37/TrRoad_act!J23*1000)</f>
        <v>2543.4462674670453</v>
      </c>
      <c r="K101" s="87">
        <f>IF(TrRoad_act!K23=0,0,K37/TrRoad_act!K23*1000)</f>
        <v>2555.0349702714684</v>
      </c>
      <c r="L101" s="87">
        <f>IF(TrRoad_act!L23=0,0,L37/TrRoad_act!L23*1000)</f>
        <v>2757.6952138640995</v>
      </c>
      <c r="M101" s="87">
        <f>IF(TrRoad_act!M23=0,0,M37/TrRoad_act!M23*1000)</f>
        <v>2940.5354628997379</v>
      </c>
      <c r="N101" s="87">
        <f>IF(TrRoad_act!N23=0,0,N37/TrRoad_act!N23*1000)</f>
        <v>3023.2381577758815</v>
      </c>
      <c r="O101" s="87">
        <f>IF(TrRoad_act!O23=0,0,O37/TrRoad_act!O23*1000)</f>
        <v>2859.9300624160596</v>
      </c>
      <c r="P101" s="87">
        <f>IF(TrRoad_act!P23=0,0,P37/TrRoad_act!P23*1000)</f>
        <v>2680.0157927068399</v>
      </c>
      <c r="Q101" s="87">
        <f>IF(TrRoad_act!Q23=0,0,Q37/TrRoad_act!Q23*1000)</f>
        <v>2806.1443161709585</v>
      </c>
      <c r="R101" s="87">
        <f>IF(TrRoad_act!R23=0,0,R37/TrRoad_act!R23*1000)</f>
        <v>2779.209378648015</v>
      </c>
      <c r="S101" s="87">
        <f>IF(TrRoad_act!S23=0,0,S37/TrRoad_act!S23*1000)</f>
        <v>2440.1187890093838</v>
      </c>
      <c r="T101" s="87">
        <f>IF(TrRoad_act!T23=0,0,T37/TrRoad_act!T23*1000)</f>
        <v>2297.7798854221196</v>
      </c>
      <c r="U101" s="87">
        <f>IF(TrRoad_act!U23=0,0,U37/TrRoad_act!U23*1000)</f>
        <v>2028.9892205037311</v>
      </c>
      <c r="V101" s="87">
        <f>IF(TrRoad_act!V23=0,0,V37/TrRoad_act!V23*1000)</f>
        <v>1926.3241282071715</v>
      </c>
      <c r="W101" s="87">
        <f>IF(TrRoad_act!W23=0,0,W37/TrRoad_act!W23*1000)</f>
        <v>2522.190138460458</v>
      </c>
      <c r="X101" s="87">
        <f>IF(TrRoad_act!X23=0,0,X37/TrRoad_act!X23*1000)</f>
        <v>1894.994415530954</v>
      </c>
      <c r="Y101" s="87">
        <f>IF(TrRoad_act!Y23=0,0,Y37/TrRoad_act!Y23*1000)</f>
        <v>1891.9124467638323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1647.8042959914169</v>
      </c>
      <c r="Q102" s="87">
        <f>IF(TrRoad_act!Q24=0,0,Q38/TrRoad_act!Q24*1000)</f>
        <v>1744.2660390103865</v>
      </c>
      <c r="R102" s="87">
        <f>IF(TrRoad_act!R24=0,0,R38/TrRoad_act!R24*1000)</f>
        <v>1702.1796749664582</v>
      </c>
      <c r="S102" s="87">
        <f>IF(TrRoad_act!S24=0,0,S38/TrRoad_act!S24*1000)</f>
        <v>1537.0016575986024</v>
      </c>
      <c r="T102" s="87">
        <f>IF(TrRoad_act!T24=0,0,T38/TrRoad_act!T24*1000)</f>
        <v>1487.1700414663699</v>
      </c>
      <c r="U102" s="87">
        <f>IF(TrRoad_act!U24=0,0,U38/TrRoad_act!U24*1000)</f>
        <v>1443.6939456122282</v>
      </c>
      <c r="V102" s="87">
        <f>IF(TrRoad_act!V24=0,0,V38/TrRoad_act!V24*1000)</f>
        <v>1469.0440847617456</v>
      </c>
      <c r="W102" s="87">
        <f>IF(TrRoad_act!W24=0,0,W38/TrRoad_act!W24*1000)</f>
        <v>1497.5165155787056</v>
      </c>
      <c r="X102" s="87">
        <f>IF(TrRoad_act!X24=0,0,X38/TrRoad_act!X24*1000)</f>
        <v>1508.7834833041356</v>
      </c>
      <c r="Y102" s="87">
        <f>IF(TrRoad_act!Y24=0,0,Y38/TrRoad_act!Y24*1000)</f>
        <v>1514.5559750571936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40.441068754877058</v>
      </c>
      <c r="C104" s="116">
        <f>IF(TrRoad_act!C26=0,0,C40/TrRoad_act!C26*1000)</f>
        <v>67.479871007662069</v>
      </c>
      <c r="D104" s="116">
        <f>IF(TrRoad_act!D26=0,0,D40/TrRoad_act!D26*1000)</f>
        <v>70.999162793044576</v>
      </c>
      <c r="E104" s="116">
        <f>IF(TrRoad_act!E26=0,0,E40/TrRoad_act!E26*1000)</f>
        <v>85.517803870054152</v>
      </c>
      <c r="F104" s="116">
        <f>IF(TrRoad_act!F26=0,0,F40/TrRoad_act!F26*1000)</f>
        <v>110.82953973926514</v>
      </c>
      <c r="G104" s="116">
        <f>IF(TrRoad_act!G26=0,0,G40/TrRoad_act!G26*1000)</f>
        <v>128.89312505206877</v>
      </c>
      <c r="H104" s="116">
        <f>IF(TrRoad_act!H26=0,0,H40/TrRoad_act!H26*1000)</f>
        <v>130.38058673150496</v>
      </c>
      <c r="I104" s="116">
        <f>IF(TrRoad_act!I26=0,0,I40/TrRoad_act!I26*1000)</f>
        <v>180.65152591124959</v>
      </c>
      <c r="J104" s="116">
        <f>IF(TrRoad_act!J26=0,0,J40/TrRoad_act!J26*1000)</f>
        <v>260.00323866119442</v>
      </c>
      <c r="K104" s="116">
        <f>IF(TrRoad_act!K26=0,0,K40/TrRoad_act!K26*1000)</f>
        <v>176.29974703599578</v>
      </c>
      <c r="L104" s="116">
        <f>IF(TrRoad_act!L26=0,0,L40/TrRoad_act!L26*1000)</f>
        <v>189.61784056528882</v>
      </c>
      <c r="M104" s="116">
        <f>IF(TrRoad_act!M26=0,0,M40/TrRoad_act!M26*1000)</f>
        <v>229.87293563760804</v>
      </c>
      <c r="N104" s="116">
        <f>IF(TrRoad_act!N26=0,0,N40/TrRoad_act!N26*1000)</f>
        <v>255.04460736478984</v>
      </c>
      <c r="O104" s="116">
        <f>IF(TrRoad_act!O26=0,0,O40/TrRoad_act!O26*1000)</f>
        <v>226.43783377335936</v>
      </c>
      <c r="P104" s="116">
        <f>IF(TrRoad_act!P26=0,0,P40/TrRoad_act!P26*1000)</f>
        <v>217.88608068078628</v>
      </c>
      <c r="Q104" s="116">
        <f>IF(TrRoad_act!Q26=0,0,Q40/TrRoad_act!Q26*1000)</f>
        <v>194.5072236220401</v>
      </c>
      <c r="R104" s="116">
        <f>IF(TrRoad_act!R26=0,0,R40/TrRoad_act!R26*1000)</f>
        <v>215.18386635112981</v>
      </c>
      <c r="S104" s="116">
        <f>IF(TrRoad_act!S26=0,0,S40/TrRoad_act!S26*1000)</f>
        <v>197.27591538162426</v>
      </c>
      <c r="T104" s="116">
        <f>IF(TrRoad_act!T26=0,0,T40/TrRoad_act!T26*1000)</f>
        <v>188.78001209180857</v>
      </c>
      <c r="U104" s="116">
        <f>IF(TrRoad_act!U26=0,0,U40/TrRoad_act!U26*1000)</f>
        <v>166.13087025605108</v>
      </c>
      <c r="V104" s="116">
        <f>IF(TrRoad_act!V26=0,0,V40/TrRoad_act!V26*1000)</f>
        <v>128.1502833947203</v>
      </c>
      <c r="W104" s="116">
        <f>IF(TrRoad_act!W26=0,0,W40/TrRoad_act!W26*1000)</f>
        <v>155.76260742714084</v>
      </c>
      <c r="X104" s="116">
        <f>IF(TrRoad_act!X26=0,0,X40/TrRoad_act!X26*1000)</f>
        <v>167.40616352149416</v>
      </c>
      <c r="Y104" s="116">
        <f>IF(TrRoad_act!Y26=0,0,Y40/TrRoad_act!Y26*1000)</f>
        <v>110.93520214833468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110.42900112153164</v>
      </c>
      <c r="C105" s="101">
        <f>IF(TrRoad_act!C27=0,0,C41/TrRoad_act!C27*1000)</f>
        <v>115.30059754291845</v>
      </c>
      <c r="D105" s="101">
        <f>IF(TrRoad_act!D27=0,0,D41/TrRoad_act!D27*1000)</f>
        <v>133.66218058316699</v>
      </c>
      <c r="E105" s="101">
        <f>IF(TrRoad_act!E27=0,0,E41/TrRoad_act!E27*1000)</f>
        <v>142.5179175859526</v>
      </c>
      <c r="F105" s="101">
        <f>IF(TrRoad_act!F27=0,0,F41/TrRoad_act!F27*1000)</f>
        <v>168.38523408258439</v>
      </c>
      <c r="G105" s="101">
        <f>IF(TrRoad_act!G27=0,0,G41/TrRoad_act!G27*1000)</f>
        <v>171.16335789462582</v>
      </c>
      <c r="H105" s="101">
        <f>IF(TrRoad_act!H27=0,0,H41/TrRoad_act!H27*1000)</f>
        <v>165.58864806472525</v>
      </c>
      <c r="I105" s="101">
        <f>IF(TrRoad_act!I27=0,0,I41/TrRoad_act!I27*1000)</f>
        <v>168.14758123594154</v>
      </c>
      <c r="J105" s="101">
        <f>IF(TrRoad_act!J27=0,0,J41/TrRoad_act!J27*1000)</f>
        <v>181.09566876487685</v>
      </c>
      <c r="K105" s="101">
        <f>IF(TrRoad_act!K27=0,0,K41/TrRoad_act!K27*1000)</f>
        <v>161.43335159246146</v>
      </c>
      <c r="L105" s="101">
        <f>IF(TrRoad_act!L27=0,0,L41/TrRoad_act!L27*1000)</f>
        <v>165.31565250560061</v>
      </c>
      <c r="M105" s="101">
        <f>IF(TrRoad_act!M27=0,0,M41/TrRoad_act!M27*1000)</f>
        <v>173.1547690250363</v>
      </c>
      <c r="N105" s="101">
        <f>IF(TrRoad_act!N27=0,0,N41/TrRoad_act!N27*1000)</f>
        <v>187.99809381477124</v>
      </c>
      <c r="O105" s="101">
        <f>IF(TrRoad_act!O27=0,0,O41/TrRoad_act!O27*1000)</f>
        <v>168.09698519864909</v>
      </c>
      <c r="P105" s="101">
        <f>IF(TrRoad_act!P27=0,0,P41/TrRoad_act!P27*1000)</f>
        <v>165.90642447158234</v>
      </c>
      <c r="Q105" s="101">
        <f>IF(TrRoad_act!Q27=0,0,Q41/TrRoad_act!Q27*1000)</f>
        <v>156.44220194932012</v>
      </c>
      <c r="R105" s="101">
        <f>IF(TrRoad_act!R27=0,0,R41/TrRoad_act!R27*1000)</f>
        <v>158.76868183667131</v>
      </c>
      <c r="S105" s="101">
        <f>IF(TrRoad_act!S27=0,0,S41/TrRoad_act!S27*1000)</f>
        <v>153.19264404665583</v>
      </c>
      <c r="T105" s="101">
        <f>IF(TrRoad_act!T27=0,0,T41/TrRoad_act!T27*1000)</f>
        <v>144.88581211158962</v>
      </c>
      <c r="U105" s="101">
        <f>IF(TrRoad_act!U27=0,0,U41/TrRoad_act!U27*1000)</f>
        <v>139.27299085871292</v>
      </c>
      <c r="V105" s="101">
        <f>IF(TrRoad_act!V27=0,0,V41/TrRoad_act!V27*1000)</f>
        <v>126.90340540904558</v>
      </c>
      <c r="W105" s="101">
        <f>IF(TrRoad_act!W27=0,0,W41/TrRoad_act!W27*1000)</f>
        <v>134.42567136682857</v>
      </c>
      <c r="X105" s="101">
        <f>IF(TrRoad_act!X27=0,0,X41/TrRoad_act!X27*1000)</f>
        <v>137.83536508128128</v>
      </c>
      <c r="Y105" s="101">
        <f>IF(TrRoad_act!Y27=0,0,Y41/TrRoad_act!Y27*1000)</f>
        <v>110.69602119223417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3.1856728722156071</v>
      </c>
      <c r="C106" s="88">
        <f>IF(TrRoad_act!C28=0,0,C42/TrRoad_act!C28*1000)</f>
        <v>43.378788566750515</v>
      </c>
      <c r="D106" s="88">
        <f>IF(TrRoad_act!D28=0,0,D42/TrRoad_act!D28*1000)</f>
        <v>40.897618093963061</v>
      </c>
      <c r="E106" s="88">
        <f>IF(TrRoad_act!E28=0,0,E42/TrRoad_act!E28*1000)</f>
        <v>57.877662176561678</v>
      </c>
      <c r="F106" s="88">
        <f>IF(TrRoad_act!F28=0,0,F42/TrRoad_act!F28*1000)</f>
        <v>83.50658987883061</v>
      </c>
      <c r="G106" s="88">
        <f>IF(TrRoad_act!G28=0,0,G42/TrRoad_act!G28*1000)</f>
        <v>108.71647328698643</v>
      </c>
      <c r="H106" s="88">
        <f>IF(TrRoad_act!H28=0,0,H42/TrRoad_act!H28*1000)</f>
        <v>116.45958710264269</v>
      </c>
      <c r="I106" s="88">
        <f>IF(TrRoad_act!I28=0,0,I42/TrRoad_act!I28*1000)</f>
        <v>186.11944943185068</v>
      </c>
      <c r="J106" s="88">
        <f>IF(TrRoad_act!J28=0,0,J42/TrRoad_act!J28*1000)</f>
        <v>295.86895565151548</v>
      </c>
      <c r="K106" s="88">
        <f>IF(TrRoad_act!K28=0,0,K42/TrRoad_act!K28*1000)</f>
        <v>183.01759218626725</v>
      </c>
      <c r="L106" s="88">
        <f>IF(TrRoad_act!L28=0,0,L42/TrRoad_act!L28*1000)</f>
        <v>200.66448024499061</v>
      </c>
      <c r="M106" s="88">
        <f>IF(TrRoad_act!M28=0,0,M42/TrRoad_act!M28*1000)</f>
        <v>254.01158062911995</v>
      </c>
      <c r="N106" s="88">
        <f>IF(TrRoad_act!N28=0,0,N42/TrRoad_act!N28*1000)</f>
        <v>278.62511135021373</v>
      </c>
      <c r="O106" s="88">
        <f>IF(TrRoad_act!O28=0,0,O42/TrRoad_act!O28*1000)</f>
        <v>247.48725402119493</v>
      </c>
      <c r="P106" s="88">
        <f>IF(TrRoad_act!P28=0,0,P42/TrRoad_act!P28*1000)</f>
        <v>238.27748063153376</v>
      </c>
      <c r="Q106" s="88">
        <f>IF(TrRoad_act!Q28=0,0,Q42/TrRoad_act!Q28*1000)</f>
        <v>208.35888832545015</v>
      </c>
      <c r="R106" s="88">
        <f>IF(TrRoad_act!R28=0,0,R42/TrRoad_act!R28*1000)</f>
        <v>234.12181054959757</v>
      </c>
      <c r="S106" s="88">
        <f>IF(TrRoad_act!S28=0,0,S42/TrRoad_act!S28*1000)</f>
        <v>211.77164843167316</v>
      </c>
      <c r="T106" s="88">
        <f>IF(TrRoad_act!T28=0,0,T42/TrRoad_act!T28*1000)</f>
        <v>202.52589148594711</v>
      </c>
      <c r="U106" s="88">
        <f>IF(TrRoad_act!U28=0,0,U42/TrRoad_act!U28*1000)</f>
        <v>174.62782043992564</v>
      </c>
      <c r="V106" s="88">
        <f>IF(TrRoad_act!V28=0,0,V42/TrRoad_act!V28*1000)</f>
        <v>128.57442325976371</v>
      </c>
      <c r="W106" s="88">
        <f>IF(TrRoad_act!W28=0,0,W42/TrRoad_act!W28*1000)</f>
        <v>162.94487661465581</v>
      </c>
      <c r="X106" s="88">
        <f>IF(TrRoad_act!X28=0,0,X42/TrRoad_act!X28*1000)</f>
        <v>177.42044315157685</v>
      </c>
      <c r="Y106" s="88">
        <f>IF(TrRoad_act!Y28=0,0,Y42/TrRoad_act!Y28*1000)</f>
        <v>111.03260430757771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244.69282474502188</v>
      </c>
      <c r="C110" s="152">
        <f>IF(C19=0,0,1000000*C19/TrRoad_act!C59)</f>
        <v>223.80525499859471</v>
      </c>
      <c r="D110" s="152">
        <f>IF(D19=0,0,1000000*D19/TrRoad_act!D59)</f>
        <v>217.7117673642318</v>
      </c>
      <c r="E110" s="152">
        <f>IF(E19=0,0,1000000*E19/TrRoad_act!E59)</f>
        <v>253.40977474462591</v>
      </c>
      <c r="F110" s="152">
        <f>IF(F19=0,0,1000000*F19/TrRoad_act!F59)</f>
        <v>274.36266725294905</v>
      </c>
      <c r="G110" s="152">
        <f>IF(G19=0,0,1000000*G19/TrRoad_act!G59)</f>
        <v>290.20245837656671</v>
      </c>
      <c r="H110" s="152">
        <f>IF(H19=0,0,1000000*H19/TrRoad_act!H59)</f>
        <v>296.8046850935084</v>
      </c>
      <c r="I110" s="152">
        <f>IF(I19=0,0,1000000*I19/TrRoad_act!I59)</f>
        <v>244.38782605612761</v>
      </c>
      <c r="J110" s="152">
        <f>IF(J19=0,0,1000000*J19/TrRoad_act!J59)</f>
        <v>227.29061165545954</v>
      </c>
      <c r="K110" s="152">
        <f>IF(K19=0,0,1000000*K19/TrRoad_act!K59)</f>
        <v>224.81892464540442</v>
      </c>
      <c r="L110" s="152">
        <f>IF(L19=0,0,1000000*L19/TrRoad_act!L59)</f>
        <v>266.53479214903234</v>
      </c>
      <c r="M110" s="152">
        <f>IF(M19=0,0,1000000*M19/TrRoad_act!M59)</f>
        <v>306.72988010276913</v>
      </c>
      <c r="N110" s="152">
        <f>IF(N19=0,0,1000000*N19/TrRoad_act!N59)</f>
        <v>275.84565450301272</v>
      </c>
      <c r="O110" s="152">
        <f>IF(O19=0,0,1000000*O19/TrRoad_act!O59)</f>
        <v>243.79972956635021</v>
      </c>
      <c r="P110" s="152">
        <f>IF(P19=0,0,1000000*P19/TrRoad_act!P59)</f>
        <v>239.48489244069714</v>
      </c>
      <c r="Q110" s="152">
        <f>IF(Q19=0,0,1000000*Q19/TrRoad_act!Q59)</f>
        <v>242.83637894199924</v>
      </c>
      <c r="R110" s="152">
        <f>IF(R19=0,0,1000000*R19/TrRoad_act!R59)</f>
        <v>242.49408948644071</v>
      </c>
      <c r="S110" s="152">
        <f>IF(S19=0,0,1000000*S19/TrRoad_act!S59)</f>
        <v>195.39435539980596</v>
      </c>
      <c r="T110" s="152">
        <f>IF(T19=0,0,1000000*T19/TrRoad_act!T59)</f>
        <v>175.72030782250897</v>
      </c>
      <c r="U110" s="152">
        <f>IF(U19=0,0,1000000*U19/TrRoad_act!U59)</f>
        <v>179.8877985749798</v>
      </c>
      <c r="V110" s="152">
        <f>IF(V19=0,0,1000000*V19/TrRoad_act!V59)</f>
        <v>153.11802742855292</v>
      </c>
      <c r="W110" s="152">
        <f>IF(W19=0,0,1000000*W19/TrRoad_act!W59)</f>
        <v>152.91004905924029</v>
      </c>
      <c r="X110" s="152">
        <f>IF(X19=0,0,1000000*X19/TrRoad_act!X59)</f>
        <v>147.54172096701663</v>
      </c>
      <c r="Y110" s="152">
        <f>IF(Y19=0,0,1000000*Y19/TrRoad_act!Y59)</f>
        <v>150.03087213973657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3170.320561786089</v>
      </c>
      <c r="C111" s="116">
        <f>IF(C20=0,0,1000000*C20/TrRoad_act!C60)</f>
        <v>3123.1803540180044</v>
      </c>
      <c r="D111" s="116">
        <f>IF(D20=0,0,1000000*D20/TrRoad_act!D60)</f>
        <v>3102.5739749828467</v>
      </c>
      <c r="E111" s="116">
        <f>IF(E20=0,0,1000000*E20/TrRoad_act!E60)</f>
        <v>3074.454749441597</v>
      </c>
      <c r="F111" s="116">
        <f>IF(F20=0,0,1000000*F20/TrRoad_act!F60)</f>
        <v>2965.4190341811418</v>
      </c>
      <c r="G111" s="116">
        <f>IF(G20=0,0,1000000*G20/TrRoad_act!G60)</f>
        <v>2919.7118645086894</v>
      </c>
      <c r="H111" s="116">
        <f>IF(H20=0,0,1000000*H20/TrRoad_act!H60)</f>
        <v>2931.9270753307151</v>
      </c>
      <c r="I111" s="116">
        <f>IF(I20=0,0,1000000*I20/TrRoad_act!I60)</f>
        <v>3011.9226788809701</v>
      </c>
      <c r="J111" s="116">
        <f>IF(J20=0,0,1000000*J20/TrRoad_act!J60)</f>
        <v>3190.8047056778246</v>
      </c>
      <c r="K111" s="116">
        <f>IF(K20=0,0,1000000*K20/TrRoad_act!K60)</f>
        <v>3071.4790162606555</v>
      </c>
      <c r="L111" s="116">
        <f>IF(L20=0,0,1000000*L20/TrRoad_act!L60)</f>
        <v>3093.0087105596099</v>
      </c>
      <c r="M111" s="116">
        <f>IF(M20=0,0,1000000*M20/TrRoad_act!M60)</f>
        <v>3114.0293798076341</v>
      </c>
      <c r="N111" s="116">
        <f>IF(N20=0,0,1000000*N20/TrRoad_act!N60)</f>
        <v>3012.2781687559841</v>
      </c>
      <c r="O111" s="116">
        <f>IF(O20=0,0,1000000*O20/TrRoad_act!O60)</f>
        <v>2911.5048932321424</v>
      </c>
      <c r="P111" s="116">
        <f>IF(P20=0,0,1000000*P20/TrRoad_act!P60)</f>
        <v>2910.6724779464366</v>
      </c>
      <c r="Q111" s="116">
        <f>IF(Q20=0,0,1000000*Q20/TrRoad_act!Q60)</f>
        <v>2910.6121595703821</v>
      </c>
      <c r="R111" s="116">
        <f>IF(R20=0,0,1000000*R20/TrRoad_act!R60)</f>
        <v>2903.6091020246431</v>
      </c>
      <c r="S111" s="116">
        <f>IF(S20=0,0,1000000*S20/TrRoad_act!S60)</f>
        <v>2926.9425183333537</v>
      </c>
      <c r="T111" s="116">
        <f>IF(T20=0,0,1000000*T20/TrRoad_act!T60)</f>
        <v>2890.7629760172454</v>
      </c>
      <c r="U111" s="116">
        <f>IF(U20=0,0,1000000*U20/TrRoad_act!U60)</f>
        <v>2802.5770638198878</v>
      </c>
      <c r="V111" s="116">
        <f>IF(V20=0,0,1000000*V20/TrRoad_act!V60)</f>
        <v>2361.4863537952588</v>
      </c>
      <c r="W111" s="116">
        <f>IF(W20=0,0,1000000*W20/TrRoad_act!W60)</f>
        <v>2490.7364895772057</v>
      </c>
      <c r="X111" s="116">
        <f>IF(X20=0,0,1000000*X20/TrRoad_act!X60)</f>
        <v>2702.3332777476198</v>
      </c>
      <c r="Y111" s="116">
        <f>IF(Y20=0,0,1000000*Y20/TrRoad_act!Y60)</f>
        <v>2701.5820932317229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3019.8536454590198</v>
      </c>
      <c r="C112" s="87">
        <f>IF(C21=0,0,1000000*C21/TrRoad_act!C61)</f>
        <v>2960.5735023844541</v>
      </c>
      <c r="D112" s="87">
        <f>IF(D21=0,0,1000000*D21/TrRoad_act!D61)</f>
        <v>2890.9114555860929</v>
      </c>
      <c r="E112" s="87">
        <f>IF(E21=0,0,1000000*E21/TrRoad_act!E61)</f>
        <v>2831.2821347861804</v>
      </c>
      <c r="F112" s="87">
        <f>IF(F21=0,0,1000000*F21/TrRoad_act!F61)</f>
        <v>2594.2216557889947</v>
      </c>
      <c r="G112" s="87">
        <f>IF(G21=0,0,1000000*G21/TrRoad_act!G61)</f>
        <v>2514.2195759393676</v>
      </c>
      <c r="H112" s="87">
        <f>IF(H21=0,0,1000000*H21/TrRoad_act!H61)</f>
        <v>2465.3915793103902</v>
      </c>
      <c r="I112" s="87">
        <f>IF(I21=0,0,1000000*I21/TrRoad_act!I61)</f>
        <v>2458.0709051670642</v>
      </c>
      <c r="J112" s="87">
        <f>IF(J21=0,0,1000000*J21/TrRoad_act!J61)</f>
        <v>2637.7095914166594</v>
      </c>
      <c r="K112" s="87">
        <f>IF(K21=0,0,1000000*K21/TrRoad_act!K61)</f>
        <v>2452.2519871459394</v>
      </c>
      <c r="L112" s="87">
        <f>IF(L21=0,0,1000000*L21/TrRoad_act!L61)</f>
        <v>2461.80262059701</v>
      </c>
      <c r="M112" s="87">
        <f>IF(M21=0,0,1000000*M21/TrRoad_act!M61)</f>
        <v>2441.7165823399159</v>
      </c>
      <c r="N112" s="87">
        <f>IF(N21=0,0,1000000*N21/TrRoad_act!N61)</f>
        <v>2282.1968486863789</v>
      </c>
      <c r="O112" s="87">
        <f>IF(O21=0,0,1000000*O21/TrRoad_act!O61)</f>
        <v>2146.8911819989953</v>
      </c>
      <c r="P112" s="87">
        <f>IF(P21=0,0,1000000*P21/TrRoad_act!P61)</f>
        <v>2069.9275920194659</v>
      </c>
      <c r="Q112" s="87">
        <f>IF(Q21=0,0,1000000*Q21/TrRoad_act!Q61)</f>
        <v>2063.8282084655539</v>
      </c>
      <c r="R112" s="87">
        <f>IF(R21=0,0,1000000*R21/TrRoad_act!R61)</f>
        <v>2085.2862079312517</v>
      </c>
      <c r="S112" s="87">
        <f>IF(S21=0,0,1000000*S21/TrRoad_act!S61)</f>
        <v>2061.5016742754378</v>
      </c>
      <c r="T112" s="87">
        <f>IF(T21=0,0,1000000*T21/TrRoad_act!T61)</f>
        <v>2086.7160922049111</v>
      </c>
      <c r="U112" s="87">
        <f>IF(U21=0,0,1000000*U21/TrRoad_act!U61)</f>
        <v>1997.5706348100875</v>
      </c>
      <c r="V112" s="87">
        <f>IF(V21=0,0,1000000*V21/TrRoad_act!V61)</f>
        <v>1591.6504171222739</v>
      </c>
      <c r="W112" s="87">
        <f>IF(W21=0,0,1000000*W21/TrRoad_act!W61)</f>
        <v>1804.9542675581151</v>
      </c>
      <c r="X112" s="87">
        <f>IF(X21=0,0,1000000*X21/TrRoad_act!X61)</f>
        <v>2067.1885078193445</v>
      </c>
      <c r="Y112" s="87">
        <f>IF(Y21=0,0,1000000*Y21/TrRoad_act!Y61)</f>
        <v>2141.4053653479796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4232.8281726921487</v>
      </c>
      <c r="C113" s="87">
        <f>IF(C22=0,0,1000000*C22/TrRoad_act!C62)</f>
        <v>4206.9907747536554</v>
      </c>
      <c r="D113" s="87">
        <f>IF(D22=0,0,1000000*D22/TrRoad_act!D62)</f>
        <v>4112.4768561246447</v>
      </c>
      <c r="E113" s="87">
        <f>IF(E22=0,0,1000000*E22/TrRoad_act!E62)</f>
        <v>4253.248826582183</v>
      </c>
      <c r="F113" s="87">
        <f>IF(F22=0,0,1000000*F22/TrRoad_act!F62)</f>
        <v>4452.1301891121575</v>
      </c>
      <c r="G113" s="87">
        <f>IF(G22=0,0,1000000*G22/TrRoad_act!G62)</f>
        <v>4293.311976791626</v>
      </c>
      <c r="H113" s="87">
        <f>IF(H22=0,0,1000000*H22/TrRoad_act!H62)</f>
        <v>4297.7839735563284</v>
      </c>
      <c r="I113" s="87">
        <f>IF(I22=0,0,1000000*I22/TrRoad_act!I62)</f>
        <v>4442.1779543978719</v>
      </c>
      <c r="J113" s="87">
        <f>IF(J22=0,0,1000000*J22/TrRoad_act!J62)</f>
        <v>4453.2632207619117</v>
      </c>
      <c r="K113" s="87">
        <f>IF(K22=0,0,1000000*K22/TrRoad_act!K62)</f>
        <v>4346.9830488567022</v>
      </c>
      <c r="L113" s="87">
        <f>IF(L22=0,0,1000000*L22/TrRoad_act!L62)</f>
        <v>4270.8754361975843</v>
      </c>
      <c r="M113" s="87">
        <f>IF(M22=0,0,1000000*M22/TrRoad_act!M62)</f>
        <v>4269.1945598445154</v>
      </c>
      <c r="N113" s="87">
        <f>IF(N22=0,0,1000000*N22/TrRoad_act!N62)</f>
        <v>4154.919435581116</v>
      </c>
      <c r="O113" s="87">
        <f>IF(O22=0,0,1000000*O22/TrRoad_act!O62)</f>
        <v>4012.4721745534921</v>
      </c>
      <c r="P113" s="87">
        <f>IF(P22=0,0,1000000*P22/TrRoad_act!P62)</f>
        <v>4028.1437084009481</v>
      </c>
      <c r="Q113" s="87">
        <f>IF(Q22=0,0,1000000*Q22/TrRoad_act!Q62)</f>
        <v>3954.2299119615286</v>
      </c>
      <c r="R113" s="87">
        <f>IF(R22=0,0,1000000*R22/TrRoad_act!R62)</f>
        <v>3841.5062165422592</v>
      </c>
      <c r="S113" s="87">
        <f>IF(S22=0,0,1000000*S22/TrRoad_act!S62)</f>
        <v>3861.7789273337398</v>
      </c>
      <c r="T113" s="87">
        <f>IF(T22=0,0,1000000*T22/TrRoad_act!T62)</f>
        <v>3718.1545811009905</v>
      </c>
      <c r="U113" s="87">
        <f>IF(U22=0,0,1000000*U22/TrRoad_act!U62)</f>
        <v>3603.925115366455</v>
      </c>
      <c r="V113" s="87">
        <f>IF(V22=0,0,1000000*V22/TrRoad_act!V62)</f>
        <v>3124.9049103188258</v>
      </c>
      <c r="W113" s="87">
        <f>IF(W22=0,0,1000000*W22/TrRoad_act!W62)</f>
        <v>3144.7511104708115</v>
      </c>
      <c r="X113" s="87">
        <f>IF(X22=0,0,1000000*X22/TrRoad_act!X62)</f>
        <v>3358.787318240039</v>
      </c>
      <c r="Y113" s="87">
        <f>IF(Y22=0,0,1000000*Y22/TrRoad_act!Y62)</f>
        <v>3323.227233274652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2957.6529101266924</v>
      </c>
      <c r="I114" s="87">
        <f>IF(I23=0,0,1000000*I23/TrRoad_act!I63)</f>
        <v>3531.2428316627829</v>
      </c>
      <c r="J114" s="87">
        <f>IF(J23=0,0,1000000*J23/TrRoad_act!J63)</f>
        <v>3446.6113248180591</v>
      </c>
      <c r="K114" s="87">
        <f>IF(K23=0,0,1000000*K23/TrRoad_act!K63)</f>
        <v>3674.3144910971973</v>
      </c>
      <c r="L114" s="87">
        <f>IF(L23=0,0,1000000*L23/TrRoad_act!L63)</f>
        <v>3926.7931071777252</v>
      </c>
      <c r="M114" s="87">
        <f>IF(M23=0,0,1000000*M23/TrRoad_act!M63)</f>
        <v>4119.8799548098232</v>
      </c>
      <c r="N114" s="87">
        <f>IF(N23=0,0,1000000*N23/TrRoad_act!N63)</f>
        <v>4211.4621160460165</v>
      </c>
      <c r="O114" s="87">
        <f>IF(O23=0,0,1000000*O23/TrRoad_act!O63)</f>
        <v>4050.053823758537</v>
      </c>
      <c r="P114" s="87">
        <f>IF(P23=0,0,1000000*P23/TrRoad_act!P63)</f>
        <v>4080.293417732174</v>
      </c>
      <c r="Q114" s="87">
        <f>IF(Q23=0,0,1000000*Q23/TrRoad_act!Q63)</f>
        <v>4276.236577653699</v>
      </c>
      <c r="R114" s="87">
        <f>IF(R23=0,0,1000000*R23/TrRoad_act!R63)</f>
        <v>4095.0611217038681</v>
      </c>
      <c r="S114" s="87">
        <f>IF(S23=0,0,1000000*S23/TrRoad_act!S63)</f>
        <v>3805.8310467689107</v>
      </c>
      <c r="T114" s="87">
        <f>IF(T23=0,0,1000000*T23/TrRoad_act!T63)</f>
        <v>3663.2224666084285</v>
      </c>
      <c r="U114" s="87">
        <f>IF(U23=0,0,1000000*U23/TrRoad_act!U63)</f>
        <v>3413.3273241868806</v>
      </c>
      <c r="V114" s="87">
        <f>IF(V23=0,0,1000000*V23/TrRoad_act!V63)</f>
        <v>2078.746526397907</v>
      </c>
      <c r="W114" s="87">
        <f>IF(W23=0,0,1000000*W23/TrRoad_act!W63)</f>
        <v>3633.742552286647</v>
      </c>
      <c r="X114" s="87">
        <f>IF(X23=0,0,1000000*X23/TrRoad_act!X63)</f>
        <v>2357.0231954887904</v>
      </c>
      <c r="Y114" s="87">
        <f>IF(Y23=0,0,1000000*Y23/TrRoad_act!Y63)</f>
        <v>2145.0516236968388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2366.2658839740507</v>
      </c>
      <c r="O115" s="87">
        <f>IF(O24=0,0,1000000*O24/TrRoad_act!O64)</f>
        <v>2391.4961478097543</v>
      </c>
      <c r="P115" s="87">
        <f>IF(P24=0,0,1000000*P24/TrRoad_act!P64)</f>
        <v>2318.4740698110541</v>
      </c>
      <c r="Q115" s="87">
        <f>IF(Q24=0,0,1000000*Q24/TrRoad_act!Q64)</f>
        <v>2225.6927150796805</v>
      </c>
      <c r="R115" s="87">
        <f>IF(R24=0,0,1000000*R24/TrRoad_act!R64)</f>
        <v>2142.9939999092358</v>
      </c>
      <c r="S115" s="87">
        <f>IF(S24=0,0,1000000*S24/TrRoad_act!S64)</f>
        <v>2187.6321708647693</v>
      </c>
      <c r="T115" s="87">
        <f>IF(T24=0,0,1000000*T24/TrRoad_act!T64)</f>
        <v>2242.2428848845993</v>
      </c>
      <c r="U115" s="87">
        <f>IF(U24=0,0,1000000*U24/TrRoad_act!U64)</f>
        <v>2251.1473115440913</v>
      </c>
      <c r="V115" s="87">
        <f>IF(V24=0,0,1000000*V24/TrRoad_act!V64)</f>
        <v>1811.2602739220251</v>
      </c>
      <c r="W115" s="87">
        <f>IF(W24=0,0,1000000*W24/TrRoad_act!W64)</f>
        <v>1923.1718905320429</v>
      </c>
      <c r="X115" s="87">
        <f>IF(X24=0,0,1000000*X24/TrRoad_act!X64)</f>
        <v>2084.329050392972</v>
      </c>
      <c r="Y115" s="87">
        <f>IF(Y24=0,0,1000000*Y24/TrRoad_act!Y64)</f>
        <v>2184.9786944662578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460.93667635208135</v>
      </c>
      <c r="P116" s="87">
        <f>IF(P25=0,0,1000000*P25/TrRoad_act!P65)</f>
        <v>473.72694299081604</v>
      </c>
      <c r="Q116" s="87">
        <f>IF(Q25=0,0,1000000*Q25/TrRoad_act!Q65)</f>
        <v>423.39669592777028</v>
      </c>
      <c r="R116" s="87">
        <f>IF(R25=0,0,1000000*R25/TrRoad_act!R65)</f>
        <v>503.40409678970775</v>
      </c>
      <c r="S116" s="87">
        <f>IF(S25=0,0,1000000*S25/TrRoad_act!S65)</f>
        <v>598.49555392504828</v>
      </c>
      <c r="T116" s="87">
        <f>IF(T25=0,0,1000000*T25/TrRoad_act!T65)</f>
        <v>618.19401371691515</v>
      </c>
      <c r="U116" s="87">
        <f>IF(U25=0,0,1000000*U25/TrRoad_act!U65)</f>
        <v>609.79988805674964</v>
      </c>
      <c r="V116" s="87">
        <f>IF(V25=0,0,1000000*V25/TrRoad_act!V65)</f>
        <v>485.37555468063141</v>
      </c>
      <c r="W116" s="87">
        <f>IF(W25=0,0,1000000*W25/TrRoad_act!W65)</f>
        <v>493.50118404349342</v>
      </c>
      <c r="X116" s="87">
        <f>IF(X25=0,0,1000000*X25/TrRoad_act!X65)</f>
        <v>552.58531688453354</v>
      </c>
      <c r="Y116" s="87">
        <f>IF(Y25=0,0,1000000*Y25/TrRoad_act!Y65)</f>
        <v>526.14029690053599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132455.97486856946</v>
      </c>
      <c r="C118" s="116">
        <f>IF(C27=0,0,1000000*C27/TrRoad_act!C67)</f>
        <v>123588.99625405441</v>
      </c>
      <c r="D118" s="116">
        <f>IF(D27=0,0,1000000*D27/TrRoad_act!D67)</f>
        <v>120340.57463393612</v>
      </c>
      <c r="E118" s="116">
        <f>IF(E27=0,0,1000000*E27/TrRoad_act!E67)</f>
        <v>117045.82821223553</v>
      </c>
      <c r="F118" s="116">
        <f>IF(F27=0,0,1000000*F27/TrRoad_act!F67)</f>
        <v>114455.57179237118</v>
      </c>
      <c r="G118" s="116">
        <f>IF(G27=0,0,1000000*G27/TrRoad_act!G67)</f>
        <v>111483.10991445972</v>
      </c>
      <c r="H118" s="116">
        <f>IF(H27=0,0,1000000*H27/TrRoad_act!H67)</f>
        <v>110357.73949798314</v>
      </c>
      <c r="I118" s="116">
        <f>IF(I27=0,0,1000000*I27/TrRoad_act!I67)</f>
        <v>107295.22438171721</v>
      </c>
      <c r="J118" s="116">
        <f>IF(J27=0,0,1000000*J27/TrRoad_act!J67)</f>
        <v>104579.53791405809</v>
      </c>
      <c r="K118" s="116">
        <f>IF(K27=0,0,1000000*K27/TrRoad_act!K67)</f>
        <v>103724.07298230448</v>
      </c>
      <c r="L118" s="116">
        <f>IF(L27=0,0,1000000*L27/TrRoad_act!L67)</f>
        <v>101797.03914110975</v>
      </c>
      <c r="M118" s="116">
        <f>IF(M27=0,0,1000000*M27/TrRoad_act!M67)</f>
        <v>104082.90056686266</v>
      </c>
      <c r="N118" s="116">
        <f>IF(N27=0,0,1000000*N27/TrRoad_act!N67)</f>
        <v>102729.36179417494</v>
      </c>
      <c r="O118" s="116">
        <f>IF(O27=0,0,1000000*O27/TrRoad_act!O67)</f>
        <v>101532.55352386975</v>
      </c>
      <c r="P118" s="116">
        <f>IF(P27=0,0,1000000*P27/TrRoad_act!P67)</f>
        <v>98651.88259298203</v>
      </c>
      <c r="Q118" s="116">
        <f>IF(Q27=0,0,1000000*Q27/TrRoad_act!Q67)</f>
        <v>99194.335576903453</v>
      </c>
      <c r="R118" s="116">
        <f>IF(R27=0,0,1000000*R27/TrRoad_act!R67)</f>
        <v>95150.025372944088</v>
      </c>
      <c r="S118" s="116">
        <f>IF(S27=0,0,1000000*S27/TrRoad_act!S67)</f>
        <v>94464.296114710378</v>
      </c>
      <c r="T118" s="116">
        <f>IF(T27=0,0,1000000*T27/TrRoad_act!T67)</f>
        <v>88400.219533865238</v>
      </c>
      <c r="U118" s="116">
        <f>IF(U27=0,0,1000000*U27/TrRoad_act!U67)</f>
        <v>89403.981691744877</v>
      </c>
      <c r="V118" s="116">
        <f>IF(V27=0,0,1000000*V27/TrRoad_act!V67)</f>
        <v>70134.550751313713</v>
      </c>
      <c r="W118" s="116">
        <f>IF(W27=0,0,1000000*W27/TrRoad_act!W67)</f>
        <v>70719.699942444771</v>
      </c>
      <c r="X118" s="116">
        <f>IF(X27=0,0,1000000*X27/TrRoad_act!X67)</f>
        <v>81085.258320232824</v>
      </c>
      <c r="Y118" s="116">
        <f>IF(Y27=0,0,1000000*Y27/TrRoad_act!Y67)</f>
        <v>81177.80699488899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35338.516489413254</v>
      </c>
      <c r="C119" s="101">
        <f>IF(C28=0,0,1000000*C28/TrRoad_act!C68)</f>
        <v>33644.928718870651</v>
      </c>
      <c r="D119" s="101">
        <f>IF(D28=0,0,1000000*D28/TrRoad_act!D68)</f>
        <v>32278.205218453622</v>
      </c>
      <c r="E119" s="101">
        <f>IF(E28=0,0,1000000*E28/TrRoad_act!E68)</f>
        <v>30965.925849359544</v>
      </c>
      <c r="F119" s="101">
        <f>IF(F28=0,0,1000000*F28/TrRoad_act!F68)</f>
        <v>29769.949852423615</v>
      </c>
      <c r="G119" s="101">
        <f>IF(G28=0,0,1000000*G28/TrRoad_act!G68)</f>
        <v>28555.776014235002</v>
      </c>
      <c r="H119" s="101">
        <f>IF(H28=0,0,1000000*H28/TrRoad_act!H68)</f>
        <v>29420.540367585094</v>
      </c>
      <c r="I119" s="101">
        <f>IF(I28=0,0,1000000*I28/TrRoad_act!I68)</f>
        <v>28234.97187902949</v>
      </c>
      <c r="J119" s="101">
        <f>IF(J28=0,0,1000000*J28/TrRoad_act!J68)</f>
        <v>27001.456197692827</v>
      </c>
      <c r="K119" s="101">
        <f>IF(K28=0,0,1000000*K28/TrRoad_act!K68)</f>
        <v>26565.353259796797</v>
      </c>
      <c r="L119" s="101">
        <f>IF(L28=0,0,1000000*L28/TrRoad_act!L68)</f>
        <v>26197.164877062012</v>
      </c>
      <c r="M119" s="101">
        <f>IF(M28=0,0,1000000*M28/TrRoad_act!M68)</f>
        <v>25934.496155915625</v>
      </c>
      <c r="N119" s="101">
        <f>IF(N28=0,0,1000000*N28/TrRoad_act!N68)</f>
        <v>25462.592228527814</v>
      </c>
      <c r="O119" s="101">
        <f>IF(O28=0,0,1000000*O28/TrRoad_act!O68)</f>
        <v>22767.18164469508</v>
      </c>
      <c r="P119" s="101">
        <f>IF(P28=0,0,1000000*P28/TrRoad_act!P68)</f>
        <v>21790.876907516104</v>
      </c>
      <c r="Q119" s="101">
        <f>IF(Q28=0,0,1000000*Q28/TrRoad_act!Q68)</f>
        <v>20901.538903250552</v>
      </c>
      <c r="R119" s="101">
        <f>IF(R28=0,0,1000000*R28/TrRoad_act!R68)</f>
        <v>20789.641784542528</v>
      </c>
      <c r="S119" s="101">
        <f>IF(S28=0,0,1000000*S28/TrRoad_act!S68)</f>
        <v>20050.267291319411</v>
      </c>
      <c r="T119" s="101">
        <f>IF(T28=0,0,1000000*T28/TrRoad_act!T68)</f>
        <v>18777.618296785255</v>
      </c>
      <c r="U119" s="101">
        <f>IF(U28=0,0,1000000*U28/TrRoad_act!U68)</f>
        <v>18430.014010680086</v>
      </c>
      <c r="V119" s="101">
        <f>IF(V28=0,0,1000000*V28/TrRoad_act!V68)</f>
        <v>13849.26667527387</v>
      </c>
      <c r="W119" s="101">
        <f>IF(W28=0,0,1000000*W28/TrRoad_act!W68)</f>
        <v>13689.732491947203</v>
      </c>
      <c r="X119" s="101">
        <f>IF(X28=0,0,1000000*X28/TrRoad_act!X68)</f>
        <v>14834.734319894678</v>
      </c>
      <c r="Y119" s="101">
        <f>IF(Y28=0,0,1000000*Y28/TrRoad_act!Y68)</f>
        <v>11415.230914830359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134265.28642193455</v>
      </c>
      <c r="C120" s="101">
        <f>IF(C29=0,0,1000000*C29/TrRoad_act!C69)</f>
        <v>125201.43892135183</v>
      </c>
      <c r="D120" s="101">
        <f>IF(D29=0,0,1000000*D29/TrRoad_act!D69)</f>
        <v>121833.15716640191</v>
      </c>
      <c r="E120" s="101">
        <f>IF(E29=0,0,1000000*E29/TrRoad_act!E69)</f>
        <v>118361.14081200784</v>
      </c>
      <c r="F120" s="101">
        <f>IF(F29=0,0,1000000*F29/TrRoad_act!F69)</f>
        <v>115554.79024913633</v>
      </c>
      <c r="G120" s="101">
        <f>IF(G29=0,0,1000000*G29/TrRoad_act!G69)</f>
        <v>112476.25163781572</v>
      </c>
      <c r="H120" s="101">
        <f>IF(H29=0,0,1000000*H29/TrRoad_act!H69)</f>
        <v>111183.62928502802</v>
      </c>
      <c r="I120" s="101">
        <f>IF(I29=0,0,1000000*I29/TrRoad_act!I69)</f>
        <v>107996.33251554387</v>
      </c>
      <c r="J120" s="101">
        <f>IF(J29=0,0,1000000*J29/TrRoad_act!J69)</f>
        <v>105131.41451163386</v>
      </c>
      <c r="K120" s="101">
        <f>IF(K29=0,0,1000000*K29/TrRoad_act!K69)</f>
        <v>104188.41833670273</v>
      </c>
      <c r="L120" s="101">
        <f>IF(L29=0,0,1000000*L29/TrRoad_act!L69)</f>
        <v>102174.84960719694</v>
      </c>
      <c r="M120" s="101">
        <f>IF(M29=0,0,1000000*M29/TrRoad_act!M69)</f>
        <v>104392.70593618258</v>
      </c>
      <c r="N120" s="101">
        <f>IF(N29=0,0,1000000*N29/TrRoad_act!N69)</f>
        <v>103227.15594691737</v>
      </c>
      <c r="O120" s="101">
        <f>IF(O29=0,0,1000000*O29/TrRoad_act!O69)</f>
        <v>102071.59720520387</v>
      </c>
      <c r="P120" s="101">
        <f>IF(P29=0,0,1000000*P29/TrRoad_act!P69)</f>
        <v>102276.71948777873</v>
      </c>
      <c r="Q120" s="101">
        <f>IF(Q29=0,0,1000000*Q29/TrRoad_act!Q69)</f>
        <v>102072.41668312634</v>
      </c>
      <c r="R120" s="101">
        <f>IF(R29=0,0,1000000*R29/TrRoad_act!R69)</f>
        <v>100172.25965492931</v>
      </c>
      <c r="S120" s="101">
        <f>IF(S29=0,0,1000000*S29/TrRoad_act!S69)</f>
        <v>98643.714185697783</v>
      </c>
      <c r="T120" s="101">
        <f>IF(T29=0,0,1000000*T29/TrRoad_act!T69)</f>
        <v>92503.153696543057</v>
      </c>
      <c r="U120" s="101">
        <f>IF(U29=0,0,1000000*U29/TrRoad_act!U69)</f>
        <v>90029.944964459151</v>
      </c>
      <c r="V120" s="101">
        <f>IF(V29=0,0,1000000*V29/TrRoad_act!V69)</f>
        <v>70089.826336954837</v>
      </c>
      <c r="W120" s="101">
        <f>IF(W29=0,0,1000000*W29/TrRoad_act!W69)</f>
        <v>69502.454257438003</v>
      </c>
      <c r="X120" s="101">
        <f>IF(X29=0,0,1000000*X29/TrRoad_act!X69)</f>
        <v>80172.763110270913</v>
      </c>
      <c r="Y120" s="101">
        <f>IF(Y29=0,0,1000000*Y29/TrRoad_act!Y69)</f>
        <v>81646.039077678113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0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80192.433529006492</v>
      </c>
      <c r="O122" s="101">
        <f>IF(O31=0,0,1000000*O31/TrRoad_act!O71)</f>
        <v>75247.962506539436</v>
      </c>
      <c r="P122" s="101">
        <f>IF(P31=0,0,1000000*P31/TrRoad_act!P71)</f>
        <v>25208.484782961688</v>
      </c>
      <c r="Q122" s="101">
        <f>IF(Q31=0,0,1000000*Q31/TrRoad_act!Q71)</f>
        <v>43628.842663058938</v>
      </c>
      <c r="R122" s="101">
        <f>IF(R31=0,0,1000000*R31/TrRoad_act!R71)</f>
        <v>36079.222197792886</v>
      </c>
      <c r="S122" s="101">
        <f>IF(S31=0,0,1000000*S31/TrRoad_act!S71)</f>
        <v>42146.700574099705</v>
      </c>
      <c r="T122" s="101">
        <f>IF(T31=0,0,1000000*T31/TrRoad_act!T71)</f>
        <v>39973.111366704055</v>
      </c>
      <c r="U122" s="101">
        <f>IF(U31=0,0,1000000*U31/TrRoad_act!U71)</f>
        <v>83658.683062464304</v>
      </c>
      <c r="V122" s="101">
        <f>IF(V31=0,0,1000000*V31/TrRoad_act!V71)</f>
        <v>77634.355371811354</v>
      </c>
      <c r="W122" s="101">
        <f>IF(W31=0,0,1000000*W31/TrRoad_act!W71)</f>
        <v>104434.81097084057</v>
      </c>
      <c r="X122" s="101">
        <f>IF(X31=0,0,1000000*X31/TrRoad_act!X71)</f>
        <v>114076.58465224839</v>
      </c>
      <c r="Y122" s="101">
        <f>IF(Y31=0,0,1000000*Y31/TrRoad_act!Y71)</f>
        <v>113395.99031451046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4992.5349829957604</v>
      </c>
      <c r="C125" s="152">
        <f>IF(C34=0,0,1000000*C34/TrRoad_act!C74)</f>
        <v>5008.5467200641415</v>
      </c>
      <c r="D125" s="152">
        <f>IF(D34=0,0,1000000*D34/TrRoad_act!D74)</f>
        <v>5044.7197213533227</v>
      </c>
      <c r="E125" s="152">
        <f>IF(E34=0,0,1000000*E34/TrRoad_act!E74)</f>
        <v>5104.3052198298783</v>
      </c>
      <c r="F125" s="152">
        <f>IF(F34=0,0,1000000*F34/TrRoad_act!F74)</f>
        <v>5324.604184712337</v>
      </c>
      <c r="G125" s="152">
        <f>IF(G34=0,0,1000000*G34/TrRoad_act!G74)</f>
        <v>5401.2222229372264</v>
      </c>
      <c r="H125" s="152">
        <f>IF(H34=0,0,1000000*H34/TrRoad_act!H74)</f>
        <v>5458.7175309323111</v>
      </c>
      <c r="I125" s="152">
        <f>IF(I34=0,0,1000000*I34/TrRoad_act!I74)</f>
        <v>5484.7534319570259</v>
      </c>
      <c r="J125" s="152">
        <f>IF(J34=0,0,1000000*J34/TrRoad_act!J74)</f>
        <v>5413.5376603441873</v>
      </c>
      <c r="K125" s="152">
        <f>IF(K34=0,0,1000000*K34/TrRoad_act!K74)</f>
        <v>5387.6919050366232</v>
      </c>
      <c r="L125" s="152">
        <f>IF(L34=0,0,1000000*L34/TrRoad_act!L74)</f>
        <v>5283.5990465805589</v>
      </c>
      <c r="M125" s="152">
        <f>IF(M34=0,0,1000000*M34/TrRoad_act!M74)</f>
        <v>5430.6012815579297</v>
      </c>
      <c r="N125" s="152">
        <f>IF(N34=0,0,1000000*N34/TrRoad_act!N74)</f>
        <v>5356.4516140828646</v>
      </c>
      <c r="O125" s="152">
        <f>IF(O34=0,0,1000000*O34/TrRoad_act!O74)</f>
        <v>5382.9175872618298</v>
      </c>
      <c r="P125" s="152">
        <f>IF(P34=0,0,1000000*P34/TrRoad_act!P74)</f>
        <v>5530.9220552597935</v>
      </c>
      <c r="Q125" s="152">
        <f>IF(Q34=0,0,1000000*Q34/TrRoad_act!Q74)</f>
        <v>5569.0677558733305</v>
      </c>
      <c r="R125" s="152">
        <f>IF(R34=0,0,1000000*R34/TrRoad_act!R74)</f>
        <v>5533.8723186815341</v>
      </c>
      <c r="S125" s="152">
        <f>IF(S34=0,0,1000000*S34/TrRoad_act!S74)</f>
        <v>5402.8443276597209</v>
      </c>
      <c r="T125" s="152">
        <f>IF(T34=0,0,1000000*T34/TrRoad_act!T74)</f>
        <v>5175.2468215724957</v>
      </c>
      <c r="U125" s="152">
        <f>IF(U34=0,0,1000000*U34/TrRoad_act!U74)</f>
        <v>5035.1087219651972</v>
      </c>
      <c r="V125" s="152">
        <f>IF(V34=0,0,1000000*V34/TrRoad_act!V74)</f>
        <v>4973.6993695562196</v>
      </c>
      <c r="W125" s="152">
        <f>IF(W34=0,0,1000000*W34/TrRoad_act!W74)</f>
        <v>4946.62788441053</v>
      </c>
      <c r="X125" s="152">
        <f>IF(X34=0,0,1000000*X34/TrRoad_act!X74)</f>
        <v>5033.261460767234</v>
      </c>
      <c r="Y125" s="152">
        <f>IF(Y34=0,0,1000000*Y34/TrRoad_act!Y74)</f>
        <v>4937.9733341678475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2828.0251102760772</v>
      </c>
      <c r="C126" s="87">
        <f>IF(C35=0,0,1000000*C35/TrRoad_act!C75)</f>
        <v>2865.4226301909985</v>
      </c>
      <c r="D126" s="87">
        <f>IF(D35=0,0,1000000*D35/TrRoad_act!D75)</f>
        <v>2890.5663297454962</v>
      </c>
      <c r="E126" s="87">
        <f>IF(E35=0,0,1000000*E35/TrRoad_act!E75)</f>
        <v>2914.0837692816544</v>
      </c>
      <c r="F126" s="87">
        <f>IF(F35=0,0,1000000*F35/TrRoad_act!F75)</f>
        <v>3090.0588450348992</v>
      </c>
      <c r="G126" s="87">
        <f>IF(G35=0,0,1000000*G35/TrRoad_act!G75)</f>
        <v>3107.6955908143796</v>
      </c>
      <c r="H126" s="87">
        <f>IF(H35=0,0,1000000*H35/TrRoad_act!H75)</f>
        <v>3110.3036144072753</v>
      </c>
      <c r="I126" s="87">
        <f>IF(I35=0,0,1000000*I35/TrRoad_act!I75)</f>
        <v>3114.3205797831588</v>
      </c>
      <c r="J126" s="87">
        <f>IF(J35=0,0,1000000*J35/TrRoad_act!J75)</f>
        <v>3018.4419371703025</v>
      </c>
      <c r="K126" s="87">
        <f>IF(K35=0,0,1000000*K35/TrRoad_act!K75)</f>
        <v>3010.7585154521703</v>
      </c>
      <c r="L126" s="87">
        <f>IF(L35=0,0,1000000*L35/TrRoad_act!L75)</f>
        <v>2918.6236434227753</v>
      </c>
      <c r="M126" s="87">
        <f>IF(M35=0,0,1000000*M35/TrRoad_act!M75)</f>
        <v>2938.4233137684641</v>
      </c>
      <c r="N126" s="87">
        <f>IF(N35=0,0,1000000*N35/TrRoad_act!N75)</f>
        <v>2939.1545943439437</v>
      </c>
      <c r="O126" s="87">
        <f>IF(O35=0,0,1000000*O35/TrRoad_act!O75)</f>
        <v>3018.499881181137</v>
      </c>
      <c r="P126" s="87">
        <f>IF(P35=0,0,1000000*P35/TrRoad_act!P75)</f>
        <v>3101.1851467451042</v>
      </c>
      <c r="Q126" s="87">
        <f>IF(Q35=0,0,1000000*Q35/TrRoad_act!Q75)</f>
        <v>3107.0300682304728</v>
      </c>
      <c r="R126" s="87">
        <f>IF(R35=0,0,1000000*R35/TrRoad_act!R75)</f>
        <v>3066.8751619051927</v>
      </c>
      <c r="S126" s="87">
        <f>IF(S35=0,0,1000000*S35/TrRoad_act!S75)</f>
        <v>3013.7781101952655</v>
      </c>
      <c r="T126" s="87">
        <f>IF(T35=0,0,1000000*T35/TrRoad_act!T75)</f>
        <v>2911.3222483939753</v>
      </c>
      <c r="U126" s="87">
        <f>IF(U35=0,0,1000000*U35/TrRoad_act!U75)</f>
        <v>2904.2527368636534</v>
      </c>
      <c r="V126" s="87">
        <f>IF(V35=0,0,1000000*V35/TrRoad_act!V75)</f>
        <v>2838.6537406213802</v>
      </c>
      <c r="W126" s="87">
        <f>IF(W35=0,0,1000000*W35/TrRoad_act!W75)</f>
        <v>2811.5954832952752</v>
      </c>
      <c r="X126" s="87">
        <f>IF(X35=0,0,1000000*X35/TrRoad_act!X75)</f>
        <v>2815.2518119953106</v>
      </c>
      <c r="Y126" s="87">
        <f>IF(Y35=0,0,1000000*Y35/TrRoad_act!Y75)</f>
        <v>2878.5721210894922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5825.2402662631675</v>
      </c>
      <c r="C127" s="87">
        <f>IF(C36=0,0,1000000*C36/TrRoad_act!C76)</f>
        <v>5811.5312471694861</v>
      </c>
      <c r="D127" s="87">
        <f>IF(D36=0,0,1000000*D36/TrRoad_act!D76)</f>
        <v>5804.4170564831884</v>
      </c>
      <c r="E127" s="87">
        <f>IF(E36=0,0,1000000*E36/TrRoad_act!E76)</f>
        <v>5799.7478639198762</v>
      </c>
      <c r="F127" s="87">
        <f>IF(F36=0,0,1000000*F36/TrRoad_act!F76)</f>
        <v>5946.9037821032243</v>
      </c>
      <c r="G127" s="87">
        <f>IF(G36=0,0,1000000*G36/TrRoad_act!G76)</f>
        <v>5954.2528700068478</v>
      </c>
      <c r="H127" s="87">
        <f>IF(H36=0,0,1000000*H36/TrRoad_act!H76)</f>
        <v>5940.0652435516722</v>
      </c>
      <c r="I127" s="87">
        <f>IF(I36=0,0,1000000*I36/TrRoad_act!I76)</f>
        <v>5914.7509416133416</v>
      </c>
      <c r="J127" s="87">
        <f>IF(J36=0,0,1000000*J36/TrRoad_act!J76)</f>
        <v>5798.4722522353741</v>
      </c>
      <c r="K127" s="87">
        <f>IF(K36=0,0,1000000*K36/TrRoad_act!K76)</f>
        <v>5717.1273288249522</v>
      </c>
      <c r="L127" s="87">
        <f>IF(L36=0,0,1000000*L36/TrRoad_act!L76)</f>
        <v>5579.669772517429</v>
      </c>
      <c r="M127" s="87">
        <f>IF(M36=0,0,1000000*M36/TrRoad_act!M76)</f>
        <v>5712.7886525476861</v>
      </c>
      <c r="N127" s="87">
        <f>IF(N36=0,0,1000000*N36/TrRoad_act!N76)</f>
        <v>5608.0509176129835</v>
      </c>
      <c r="O127" s="87">
        <f>IF(O36=0,0,1000000*O36/TrRoad_act!O76)</f>
        <v>5605.4604672487294</v>
      </c>
      <c r="P127" s="87">
        <f>IF(P36=0,0,1000000*P36/TrRoad_act!P76)</f>
        <v>5728.3382518768121</v>
      </c>
      <c r="Q127" s="87">
        <f>IF(Q36=0,0,1000000*Q36/TrRoad_act!Q76)</f>
        <v>5750.3116662491029</v>
      </c>
      <c r="R127" s="87">
        <f>IF(R36=0,0,1000000*R36/TrRoad_act!R76)</f>
        <v>5698.7924966783366</v>
      </c>
      <c r="S127" s="87">
        <f>IF(S36=0,0,1000000*S36/TrRoad_act!S76)</f>
        <v>5557.4518592325221</v>
      </c>
      <c r="T127" s="87">
        <f>IF(T36=0,0,1000000*T36/TrRoad_act!T76)</f>
        <v>5315.4276907342855</v>
      </c>
      <c r="U127" s="87">
        <f>IF(U36=0,0,1000000*U36/TrRoad_act!U76)</f>
        <v>5166.4260513100562</v>
      </c>
      <c r="V127" s="87">
        <f>IF(V36=0,0,1000000*V36/TrRoad_act!V76)</f>
        <v>5100.3067477749782</v>
      </c>
      <c r="W127" s="87">
        <f>IF(W36=0,0,1000000*W36/TrRoad_act!W76)</f>
        <v>5061.3636148541809</v>
      </c>
      <c r="X127" s="87">
        <f>IF(X36=0,0,1000000*X36/TrRoad_act!X76)</f>
        <v>5153.2697378453722</v>
      </c>
      <c r="Y127" s="87">
        <f>IF(Y36=0,0,1000000*Y36/TrRoad_act!Y76)</f>
        <v>5051.9711753979373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4441.9728169222844</v>
      </c>
      <c r="I128" s="87">
        <f>IF(I37=0,0,1000000*I37/TrRoad_act!I77)</f>
        <v>4514.2417225688168</v>
      </c>
      <c r="J128" s="87">
        <f>IF(J37=0,0,1000000*J37/TrRoad_act!J77)</f>
        <v>4366.5365417264911</v>
      </c>
      <c r="K128" s="87">
        <f>IF(K37=0,0,1000000*K37/TrRoad_act!K77)</f>
        <v>4421.8943398143101</v>
      </c>
      <c r="L128" s="87">
        <f>IF(L37=0,0,1000000*L37/TrRoad_act!L77)</f>
        <v>4747.7598592469558</v>
      </c>
      <c r="M128" s="87">
        <f>IF(M37=0,0,1000000*M37/TrRoad_act!M77)</f>
        <v>5121.6662705295339</v>
      </c>
      <c r="N128" s="87">
        <f>IF(N37=0,0,1000000*N37/TrRoad_act!N77)</f>
        <v>5312.7420040914849</v>
      </c>
      <c r="O128" s="87">
        <f>IF(O37=0,0,1000000*O37/TrRoad_act!O77)</f>
        <v>5133.4765583879589</v>
      </c>
      <c r="P128" s="87">
        <f>IF(P37=0,0,1000000*P37/TrRoad_act!P77)</f>
        <v>4915.1345188397772</v>
      </c>
      <c r="Q128" s="87">
        <f>IF(Q37=0,0,1000000*Q37/TrRoad_act!Q77)</f>
        <v>5201.1479872976097</v>
      </c>
      <c r="R128" s="87">
        <f>IF(R37=0,0,1000000*R37/TrRoad_act!R77)</f>
        <v>5116.5028946589682</v>
      </c>
      <c r="S128" s="87">
        <f>IF(S37=0,0,1000000*S37/TrRoad_act!S77)</f>
        <v>4462.9118130674642</v>
      </c>
      <c r="T128" s="87">
        <f>IF(T37=0,0,1000000*T37/TrRoad_act!T77)</f>
        <v>4174.8606027562482</v>
      </c>
      <c r="U128" s="87">
        <f>IF(U37=0,0,1000000*U37/TrRoad_act!U77)</f>
        <v>3661.5455334119824</v>
      </c>
      <c r="V128" s="87">
        <f>IF(V37=0,0,1000000*V37/TrRoad_act!V77)</f>
        <v>3450.989669805213</v>
      </c>
      <c r="W128" s="87">
        <f>IF(W37=0,0,1000000*W37/TrRoad_act!W77)</f>
        <v>4482.722186014199</v>
      </c>
      <c r="X128" s="87">
        <f>IF(X37=0,0,1000000*X37/TrRoad_act!X77)</f>
        <v>3343.7188001488171</v>
      </c>
      <c r="Y128" s="87">
        <f>IF(Y37=0,0,1000000*Y37/TrRoad_act!Y77)</f>
        <v>3314.4854859707502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2912.7978527509149</v>
      </c>
      <c r="Q129" s="87">
        <f>IF(Q38=0,0,1000000*Q38/TrRoad_act!Q78)</f>
        <v>3100.5963990173509</v>
      </c>
      <c r="R129" s="87">
        <f>IF(R38=0,0,1000000*R38/TrRoad_act!R78)</f>
        <v>2788.6664217203975</v>
      </c>
      <c r="S129" s="87">
        <f>IF(S38=0,0,1000000*S38/TrRoad_act!S78)</f>
        <v>2525.9495439848206</v>
      </c>
      <c r="T129" s="87">
        <f>IF(T38=0,0,1000000*T38/TrRoad_act!T78)</f>
        <v>2451.3701731734545</v>
      </c>
      <c r="U129" s="87">
        <f>IF(U38=0,0,1000000*U38/TrRoad_act!U78)</f>
        <v>2385.9628616146201</v>
      </c>
      <c r="V129" s="87">
        <f>IF(V38=0,0,1000000*V38/TrRoad_act!V78)</f>
        <v>2431.6350593223237</v>
      </c>
      <c r="W129" s="87">
        <f>IF(W38=0,0,1000000*W38/TrRoad_act!W78)</f>
        <v>2479.2621197693647</v>
      </c>
      <c r="X129" s="87">
        <f>IF(X38=0,0,1000000*X38/TrRoad_act!X78)</f>
        <v>2507.2810575051672</v>
      </c>
      <c r="Y129" s="87">
        <f>IF(Y38=0,0,1000000*Y38/TrRoad_act!Y78)</f>
        <v>2521.5650527768553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7570.1910778424299</v>
      </c>
      <c r="C131" s="116">
        <f>IF(C40=0,0,1000000*C40/TrRoad_act!C80)</f>
        <v>13674.565384661901</v>
      </c>
      <c r="D131" s="116">
        <f>IF(D40=0,0,1000000*D40/TrRoad_act!D80)</f>
        <v>14913.275987694964</v>
      </c>
      <c r="E131" s="116">
        <f>IF(E40=0,0,1000000*E40/TrRoad_act!E80)</f>
        <v>18665.225503209516</v>
      </c>
      <c r="F131" s="116">
        <f>IF(F40=0,0,1000000*F40/TrRoad_act!F80)</f>
        <v>27614.950813791194</v>
      </c>
      <c r="G131" s="116">
        <f>IF(G40=0,0,1000000*G40/TrRoad_act!G80)</f>
        <v>34452.495110285949</v>
      </c>
      <c r="H131" s="116">
        <f>IF(H40=0,0,1000000*H40/TrRoad_act!H80)</f>
        <v>36945.963804366635</v>
      </c>
      <c r="I131" s="116">
        <f>IF(I40=0,0,1000000*I40/TrRoad_act!I80)</f>
        <v>51849.642752479689</v>
      </c>
      <c r="J131" s="116">
        <f>IF(J40=0,0,1000000*J40/TrRoad_act!J80)</f>
        <v>76478.014633317958</v>
      </c>
      <c r="K131" s="116">
        <f>IF(K40=0,0,1000000*K40/TrRoad_act!K80)</f>
        <v>48191.947328572882</v>
      </c>
      <c r="L131" s="116">
        <f>IF(L40=0,0,1000000*L40/TrRoad_act!L80)</f>
        <v>57154.776304065737</v>
      </c>
      <c r="M131" s="116">
        <f>IF(M40=0,0,1000000*M40/TrRoad_act!M80)</f>
        <v>72005.723681652118</v>
      </c>
      <c r="N131" s="116">
        <f>IF(N40=0,0,1000000*N40/TrRoad_act!N80)</f>
        <v>79006.759214523539</v>
      </c>
      <c r="O131" s="116">
        <f>IF(O40=0,0,1000000*O40/TrRoad_act!O80)</f>
        <v>71424.881955570905</v>
      </c>
      <c r="P131" s="116">
        <f>IF(P40=0,0,1000000*P40/TrRoad_act!P80)</f>
        <v>70241.05516360428</v>
      </c>
      <c r="Q131" s="116">
        <f>IF(Q40=0,0,1000000*Q40/TrRoad_act!Q80)</f>
        <v>65415.337400774682</v>
      </c>
      <c r="R131" s="116">
        <f>IF(R40=0,0,1000000*R40/TrRoad_act!R80)</f>
        <v>73402.826918503197</v>
      </c>
      <c r="S131" s="116">
        <f>IF(S40=0,0,1000000*S40/TrRoad_act!S80)</f>
        <v>72579.844133282153</v>
      </c>
      <c r="T131" s="116">
        <f>IF(T40=0,0,1000000*T40/TrRoad_act!T80)</f>
        <v>68019.764402533197</v>
      </c>
      <c r="U131" s="116">
        <f>IF(U40=0,0,1000000*U40/TrRoad_act!U80)</f>
        <v>62099.252020211541</v>
      </c>
      <c r="V131" s="116">
        <f>IF(V40=0,0,1000000*V40/TrRoad_act!V80)</f>
        <v>44526.709182310369</v>
      </c>
      <c r="W131" s="116">
        <f>IF(W40=0,0,1000000*W40/TrRoad_act!W80)</f>
        <v>59712.457921289322</v>
      </c>
      <c r="X131" s="116">
        <f>IF(X40=0,0,1000000*X40/TrRoad_act!X80)</f>
        <v>65080.661325336245</v>
      </c>
      <c r="Y131" s="116">
        <f>IF(Y40=0,0,1000000*Y40/TrRoad_act!Y80)</f>
        <v>43043.598484209913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7985.9590503905201</v>
      </c>
      <c r="C132" s="101">
        <f>IF(C41=0,0,1000000*C41/TrRoad_act!C81)</f>
        <v>8810.1927699434491</v>
      </c>
      <c r="D132" s="101">
        <f>IF(D41=0,0,1000000*D41/TrRoad_act!D81)</f>
        <v>10310.658413352097</v>
      </c>
      <c r="E132" s="101">
        <f>IF(E41=0,0,1000000*E41/TrRoad_act!E81)</f>
        <v>11560.675188418942</v>
      </c>
      <c r="F132" s="101">
        <f>IF(F41=0,0,1000000*F41/TrRoad_act!F81)</f>
        <v>15742.064648654326</v>
      </c>
      <c r="G132" s="101">
        <f>IF(G41=0,0,1000000*G41/TrRoad_act!G81)</f>
        <v>17433.099865804386</v>
      </c>
      <c r="H132" s="101">
        <f>IF(H41=0,0,1000000*H41/TrRoad_act!H81)</f>
        <v>16010.883705537077</v>
      </c>
      <c r="I132" s="101">
        <f>IF(I41=0,0,1000000*I41/TrRoad_act!I81)</f>
        <v>17615.069684462262</v>
      </c>
      <c r="J132" s="101">
        <f>IF(J41=0,0,1000000*J41/TrRoad_act!J81)</f>
        <v>20078.577617842915</v>
      </c>
      <c r="K132" s="101">
        <f>IF(K41=0,0,1000000*K41/TrRoad_act!K81)</f>
        <v>16375.7324162964</v>
      </c>
      <c r="L132" s="101">
        <f>IF(L41=0,0,1000000*L41/TrRoad_act!L81)</f>
        <v>18805.857551474874</v>
      </c>
      <c r="M132" s="101">
        <f>IF(M41=0,0,1000000*M41/TrRoad_act!M81)</f>
        <v>19816.945230128484</v>
      </c>
      <c r="N132" s="101">
        <f>IF(N41=0,0,1000000*N41/TrRoad_act!N81)</f>
        <v>18740.011615909862</v>
      </c>
      <c r="O132" s="101">
        <f>IF(O41=0,0,1000000*O41/TrRoad_act!O81)</f>
        <v>17427.837817796277</v>
      </c>
      <c r="P132" s="101">
        <f>IF(P41=0,0,1000000*P41/TrRoad_act!P81)</f>
        <v>18666.396423877493</v>
      </c>
      <c r="Q132" s="101">
        <f>IF(Q41=0,0,1000000*Q41/TrRoad_act!Q81)</f>
        <v>17704.786994483278</v>
      </c>
      <c r="R132" s="101">
        <f>IF(R41=0,0,1000000*R41/TrRoad_act!R81)</f>
        <v>17353.634861680835</v>
      </c>
      <c r="S132" s="101">
        <f>IF(S41=0,0,1000000*S41/TrRoad_act!S81)</f>
        <v>18170.732105148905</v>
      </c>
      <c r="T132" s="101">
        <f>IF(T41=0,0,1000000*T41/TrRoad_act!T81)</f>
        <v>16130.200953599793</v>
      </c>
      <c r="U132" s="101">
        <f>IF(U41=0,0,1000000*U41/TrRoad_act!U81)</f>
        <v>16410.174080026158</v>
      </c>
      <c r="V132" s="101">
        <f>IF(V41=0,0,1000000*V41/TrRoad_act!V81)</f>
        <v>14349.167361112259</v>
      </c>
      <c r="W132" s="101">
        <f>IF(W41=0,0,1000000*W41/TrRoad_act!W81)</f>
        <v>17081.370442363241</v>
      </c>
      <c r="X132" s="101">
        <f>IF(X41=0,0,1000000*X41/TrRoad_act!X81)</f>
        <v>17935.086281612381</v>
      </c>
      <c r="Y132" s="101">
        <f>IF(Y41=0,0,1000000*Y41/TrRoad_act!Y81)</f>
        <v>16235.346544437829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3861.0325234261445</v>
      </c>
      <c r="C133" s="88">
        <f>IF(C42=0,0,1000000*C42/TrRoad_act!C82)</f>
        <v>52520.231303149732</v>
      </c>
      <c r="D133" s="88">
        <f>IF(D42=0,0,1000000*D42/TrRoad_act!D82)</f>
        <v>49847.171086876493</v>
      </c>
      <c r="E133" s="88">
        <f>IF(E42=0,0,1000000*E42/TrRoad_act!E82)</f>
        <v>70116.73034477589</v>
      </c>
      <c r="F133" s="88">
        <f>IF(F42=0,0,1000000*F42/TrRoad_act!F82)</f>
        <v>99322.451839545567</v>
      </c>
      <c r="G133" s="88">
        <f>IF(G42=0,0,1000000*G42/TrRoad_act!G82)</f>
        <v>129359.06262588062</v>
      </c>
      <c r="H133" s="88">
        <f>IF(H42=0,0,1000000*H42/TrRoad_act!H82)</f>
        <v>139468.26547264264</v>
      </c>
      <c r="I133" s="88">
        <f>IF(I42=0,0,1000000*I42/TrRoad_act!I82)</f>
        <v>223308.72699464447</v>
      </c>
      <c r="J133" s="88">
        <f>IF(J42=0,0,1000000*J42/TrRoad_act!J82)</f>
        <v>349962.94529677281</v>
      </c>
      <c r="K133" s="88">
        <f>IF(K42=0,0,1000000*K42/TrRoad_act!K82)</f>
        <v>213628.89147382139</v>
      </c>
      <c r="L133" s="88">
        <f>IF(L42=0,0,1000000*L42/TrRoad_act!L82)</f>
        <v>241811.65992170043</v>
      </c>
      <c r="M133" s="88">
        <f>IF(M42=0,0,1000000*M42/TrRoad_act!M82)</f>
        <v>305151.55357946391</v>
      </c>
      <c r="N133" s="88">
        <f>IF(N42=0,0,1000000*N42/TrRoad_act!N82)</f>
        <v>333592.93575897475</v>
      </c>
      <c r="O133" s="88">
        <f>IF(O42=0,0,1000000*O42/TrRoad_act!O82)</f>
        <v>296711.3816556519</v>
      </c>
      <c r="P133" s="88">
        <f>IF(P42=0,0,1000000*P42/TrRoad_act!P82)</f>
        <v>286338.16781174624</v>
      </c>
      <c r="Q133" s="88">
        <f>IF(Q42=0,0,1000000*Q42/TrRoad_act!Q82)</f>
        <v>248046.04982284745</v>
      </c>
      <c r="R133" s="88">
        <f>IF(R42=0,0,1000000*R42/TrRoad_act!R82)</f>
        <v>277259.83618031384</v>
      </c>
      <c r="S133" s="88">
        <f>IF(S42=0,0,1000000*S42/TrRoad_act!S82)</f>
        <v>252236.9239481168</v>
      </c>
      <c r="T133" s="88">
        <f>IF(T42=0,0,1000000*T42/TrRoad_act!T82)</f>
        <v>243531.3841203076</v>
      </c>
      <c r="U133" s="88">
        <f>IF(U42=0,0,1000000*U42/TrRoad_act!U82)</f>
        <v>208734.36916802527</v>
      </c>
      <c r="V133" s="88">
        <f>IF(V42=0,0,1000000*V42/TrRoad_act!V82)</f>
        <v>151498.54523631072</v>
      </c>
      <c r="W133" s="88">
        <f>IF(W42=0,0,1000000*W42/TrRoad_act!W82)</f>
        <v>194545.17971281693</v>
      </c>
      <c r="X133" s="88">
        <f>IF(X42=0,0,1000000*X42/TrRoad_act!X82)</f>
        <v>211022.58890459003</v>
      </c>
      <c r="Y133" s="88">
        <f>IF(Y42=0,0,1000000*Y42/TrRoad_act!Y82)</f>
        <v>130591.23967818258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0.90136823850094339</v>
      </c>
      <c r="C136" s="46">
        <f t="shared" si="40"/>
        <v>0.85868696528530319</v>
      </c>
      <c r="D136" s="46">
        <f t="shared" si="40"/>
        <v>0.85030187581606065</v>
      </c>
      <c r="E136" s="46">
        <f t="shared" si="40"/>
        <v>0.82428263996817053</v>
      </c>
      <c r="F136" s="46">
        <f t="shared" si="40"/>
        <v>0.76359482584663341</v>
      </c>
      <c r="G136" s="46">
        <f t="shared" si="40"/>
        <v>0.73702029957322235</v>
      </c>
      <c r="H136" s="46">
        <f t="shared" si="40"/>
        <v>0.7210310164840803</v>
      </c>
      <c r="I136" s="46">
        <f t="shared" si="40"/>
        <v>0.65426105746718044</v>
      </c>
      <c r="J136" s="46">
        <f t="shared" si="40"/>
        <v>0.59189441489423777</v>
      </c>
      <c r="K136" s="46">
        <f t="shared" si="40"/>
        <v>0.69045663952241265</v>
      </c>
      <c r="L136" s="46">
        <f t="shared" si="41"/>
        <v>0.67885073491059345</v>
      </c>
      <c r="M136" s="46">
        <f t="shared" si="40"/>
        <v>0.64420797006183372</v>
      </c>
      <c r="N136" s="46">
        <f t="shared" si="40"/>
        <v>0.62096151977352398</v>
      </c>
      <c r="O136" s="46">
        <f t="shared" si="40"/>
        <v>0.63627983252378795</v>
      </c>
      <c r="P136" s="46">
        <f t="shared" si="40"/>
        <v>0.63671199482867458</v>
      </c>
      <c r="Q136" s="46">
        <f t="shared" si="40"/>
        <v>0.64771613498203795</v>
      </c>
      <c r="R136" s="46">
        <f t="shared" si="40"/>
        <v>0.61104768544905819</v>
      </c>
      <c r="S136" s="46">
        <f t="shared" si="40"/>
        <v>0.61404638232831676</v>
      </c>
      <c r="T136" s="46">
        <f t="shared" si="40"/>
        <v>0.62031356668517834</v>
      </c>
      <c r="U136" s="46">
        <f t="shared" si="40"/>
        <v>0.6383107720773864</v>
      </c>
      <c r="V136" s="46">
        <f t="shared" si="40"/>
        <v>0.65259363309619878</v>
      </c>
      <c r="W136" s="46">
        <f t="shared" si="42"/>
        <v>0.61700560004155036</v>
      </c>
      <c r="X136" s="46">
        <f t="shared" si="42"/>
        <v>0.61790624561568885</v>
      </c>
      <c r="Y136" s="46">
        <f t="shared" si="42"/>
        <v>0.68253295765506516</v>
      </c>
      <c r="DA136" s="211"/>
    </row>
    <row r="137" spans="1:105" ht="11.45" customHeight="1" x14ac:dyDescent="0.25">
      <c r="A137" s="153" t="s">
        <v>173</v>
      </c>
      <c r="B137" s="154">
        <f t="shared" si="40"/>
        <v>2.8916050767260506E-3</v>
      </c>
      <c r="C137" s="154">
        <f t="shared" si="40"/>
        <v>2.5757292662072014E-3</v>
      </c>
      <c r="D137" s="154">
        <f t="shared" si="40"/>
        <v>2.4858944744942358E-3</v>
      </c>
      <c r="E137" s="154">
        <f t="shared" si="40"/>
        <v>2.9336111296147296E-3</v>
      </c>
      <c r="F137" s="154">
        <f t="shared" si="40"/>
        <v>3.1540623765068565E-3</v>
      </c>
      <c r="G137" s="154">
        <f t="shared" si="40"/>
        <v>3.2806003563727502E-3</v>
      </c>
      <c r="H137" s="154">
        <f t="shared" si="40"/>
        <v>3.5067561066465928E-3</v>
      </c>
      <c r="I137" s="154">
        <f t="shared" si="40"/>
        <v>3.4232415794902731E-3</v>
      </c>
      <c r="J137" s="154">
        <f t="shared" si="40"/>
        <v>3.0978558893436608E-3</v>
      </c>
      <c r="K137" s="154">
        <f t="shared" si="40"/>
        <v>3.9441508354942662E-3</v>
      </c>
      <c r="L137" s="154">
        <f t="shared" si="41"/>
        <v>4.6878233961960862E-3</v>
      </c>
      <c r="M137" s="154">
        <f t="shared" si="40"/>
        <v>5.1162452390151819E-3</v>
      </c>
      <c r="N137" s="154">
        <f t="shared" si="40"/>
        <v>4.6300239532350825E-3</v>
      </c>
      <c r="O137" s="154">
        <f t="shared" si="40"/>
        <v>4.3192997319440951E-3</v>
      </c>
      <c r="P137" s="154">
        <f t="shared" si="40"/>
        <v>4.3652295749864725E-3</v>
      </c>
      <c r="Q137" s="154">
        <f t="shared" si="40"/>
        <v>4.652830240753184E-3</v>
      </c>
      <c r="R137" s="154">
        <f t="shared" si="40"/>
        <v>4.4835438511725834E-3</v>
      </c>
      <c r="S137" s="154">
        <f t="shared" si="40"/>
        <v>4.262178980009251E-3</v>
      </c>
      <c r="T137" s="154">
        <f t="shared" si="40"/>
        <v>4.027844157982372E-3</v>
      </c>
      <c r="U137" s="154">
        <f t="shared" si="40"/>
        <v>4.4378253643474943E-3</v>
      </c>
      <c r="V137" s="154">
        <f t="shared" si="40"/>
        <v>4.7993606732552726E-3</v>
      </c>
      <c r="W137" s="154">
        <f t="shared" si="42"/>
        <v>4.3658204719209618E-3</v>
      </c>
      <c r="X137" s="154">
        <f t="shared" si="42"/>
        <v>4.0226293382517606E-3</v>
      </c>
      <c r="Y137" s="154">
        <f t="shared" si="42"/>
        <v>4.6784697957244319E-3</v>
      </c>
      <c r="DA137" s="212"/>
    </row>
    <row r="138" spans="1:105" ht="11.45" customHeight="1" x14ac:dyDescent="0.25">
      <c r="A138" s="155" t="s">
        <v>20</v>
      </c>
      <c r="B138" s="156">
        <f t="shared" si="40"/>
        <v>0.82845961737588592</v>
      </c>
      <c r="C138" s="156">
        <f t="shared" si="40"/>
        <v>0.79503816006578087</v>
      </c>
      <c r="D138" s="156">
        <f t="shared" si="40"/>
        <v>0.79064855200174033</v>
      </c>
      <c r="E138" s="156">
        <f t="shared" si="40"/>
        <v>0.76674289543532603</v>
      </c>
      <c r="F138" s="156">
        <f t="shared" si="40"/>
        <v>0.70728981963735693</v>
      </c>
      <c r="G138" s="156">
        <f t="shared" si="40"/>
        <v>0.68560365070231588</v>
      </c>
      <c r="H138" s="156">
        <f t="shared" si="40"/>
        <v>0.6714167240618063</v>
      </c>
      <c r="I138" s="156">
        <f t="shared" si="40"/>
        <v>0.61018119116128999</v>
      </c>
      <c r="J138" s="156">
        <f t="shared" si="40"/>
        <v>0.55434273623981201</v>
      </c>
      <c r="K138" s="156">
        <f t="shared" si="40"/>
        <v>0.645232331981479</v>
      </c>
      <c r="L138" s="156">
        <f t="shared" si="41"/>
        <v>0.63460029731194556</v>
      </c>
      <c r="M138" s="156">
        <f t="shared" si="40"/>
        <v>0.60093568805771813</v>
      </c>
      <c r="N138" s="156">
        <f t="shared" si="40"/>
        <v>0.57893780618439417</v>
      </c>
      <c r="O138" s="156">
        <f t="shared" si="40"/>
        <v>0.59178104813870169</v>
      </c>
      <c r="P138" s="156">
        <f t="shared" si="40"/>
        <v>0.59168882048835214</v>
      </c>
      <c r="Q138" s="156">
        <f t="shared" si="40"/>
        <v>0.60029718832527446</v>
      </c>
      <c r="R138" s="156">
        <f t="shared" si="40"/>
        <v>0.56775950740642533</v>
      </c>
      <c r="S138" s="156">
        <f t="shared" si="40"/>
        <v>0.57042609373144382</v>
      </c>
      <c r="T138" s="156">
        <f t="shared" si="40"/>
        <v>0.5785097134686481</v>
      </c>
      <c r="U138" s="156">
        <f t="shared" si="40"/>
        <v>0.5934094616561516</v>
      </c>
      <c r="V138" s="156">
        <f t="shared" si="40"/>
        <v>0.61755723790898009</v>
      </c>
      <c r="W138" s="156">
        <f t="shared" si="42"/>
        <v>0.58168945965585572</v>
      </c>
      <c r="X138" s="156">
        <f t="shared" si="42"/>
        <v>0.57985654225174588</v>
      </c>
      <c r="Y138" s="156">
        <f t="shared" si="42"/>
        <v>0.63935543705385478</v>
      </c>
      <c r="DA138" s="213"/>
    </row>
    <row r="139" spans="1:105" ht="11.45" customHeight="1" x14ac:dyDescent="0.25">
      <c r="A139" s="157" t="s">
        <v>110</v>
      </c>
      <c r="B139" s="103">
        <f t="shared" si="40"/>
        <v>0.69124886505754268</v>
      </c>
      <c r="C139" s="103">
        <f t="shared" si="40"/>
        <v>0.65532482735796427</v>
      </c>
      <c r="D139" s="103">
        <f t="shared" si="40"/>
        <v>0.60905850567897013</v>
      </c>
      <c r="E139" s="103">
        <f t="shared" si="40"/>
        <v>0.58534690345916507</v>
      </c>
      <c r="F139" s="103">
        <f t="shared" si="40"/>
        <v>0.49513164867721665</v>
      </c>
      <c r="G139" s="103">
        <f t="shared" si="40"/>
        <v>0.45582500280648836</v>
      </c>
      <c r="H139" s="103">
        <f t="shared" si="40"/>
        <v>0.42063452750303798</v>
      </c>
      <c r="I139" s="103">
        <f t="shared" si="40"/>
        <v>0.35871017324656063</v>
      </c>
      <c r="J139" s="103">
        <f t="shared" si="40"/>
        <v>0.31840584702089897</v>
      </c>
      <c r="K139" s="103">
        <f t="shared" si="40"/>
        <v>0.34628898038761619</v>
      </c>
      <c r="L139" s="103">
        <f t="shared" si="41"/>
        <v>0.32853458297239474</v>
      </c>
      <c r="M139" s="103">
        <f t="shared" si="40"/>
        <v>0.29768425550209399</v>
      </c>
      <c r="N139" s="103">
        <f t="shared" si="40"/>
        <v>0.26766310302266194</v>
      </c>
      <c r="O139" s="103">
        <f t="shared" si="40"/>
        <v>0.25753684903419427</v>
      </c>
      <c r="P139" s="103">
        <f t="shared" si="40"/>
        <v>0.24008082828395894</v>
      </c>
      <c r="Q139" s="103">
        <f t="shared" si="40"/>
        <v>0.23529266561918541</v>
      </c>
      <c r="R139" s="103">
        <f t="shared" si="40"/>
        <v>0.21780319449282123</v>
      </c>
      <c r="S139" s="103">
        <f t="shared" si="40"/>
        <v>0.20766662034040861</v>
      </c>
      <c r="T139" s="103">
        <f t="shared" si="40"/>
        <v>0.21019743829740634</v>
      </c>
      <c r="U139" s="103">
        <f t="shared" si="40"/>
        <v>0.20840305480414095</v>
      </c>
      <c r="V139" s="103">
        <f t="shared" si="40"/>
        <v>0.20141620191984666</v>
      </c>
      <c r="W139" s="103">
        <f t="shared" si="42"/>
        <v>0.20191909772677019</v>
      </c>
      <c r="X139" s="103">
        <f t="shared" si="42"/>
        <v>0.21356000007096565</v>
      </c>
      <c r="Y139" s="103">
        <f t="shared" si="42"/>
        <v>0.24588423185608602</v>
      </c>
      <c r="DA139" s="191"/>
    </row>
    <row r="140" spans="1:105" ht="11.45" customHeight="1" x14ac:dyDescent="0.25">
      <c r="A140" s="157" t="s">
        <v>111</v>
      </c>
      <c r="B140" s="103">
        <f t="shared" si="40"/>
        <v>0.13721075231834329</v>
      </c>
      <c r="C140" s="103">
        <f t="shared" si="40"/>
        <v>0.13971333270781658</v>
      </c>
      <c r="D140" s="103">
        <f t="shared" si="40"/>
        <v>0.18159004632277015</v>
      </c>
      <c r="E140" s="103">
        <f t="shared" si="40"/>
        <v>0.18139599197616105</v>
      </c>
      <c r="F140" s="103">
        <f t="shared" si="40"/>
        <v>0.21215817096014025</v>
      </c>
      <c r="G140" s="103">
        <f t="shared" si="40"/>
        <v>0.2297786478958275</v>
      </c>
      <c r="H140" s="103">
        <f t="shared" si="40"/>
        <v>0.25045372517767195</v>
      </c>
      <c r="I140" s="103">
        <f t="shared" si="40"/>
        <v>0.25065876713019669</v>
      </c>
      <c r="J140" s="103">
        <f t="shared" si="40"/>
        <v>0.23536284271170871</v>
      </c>
      <c r="K140" s="103">
        <f t="shared" si="40"/>
        <v>0.29682424792266071</v>
      </c>
      <c r="L140" s="103">
        <f t="shared" si="41"/>
        <v>0.3033276584236842</v>
      </c>
      <c r="M140" s="103">
        <f t="shared" si="40"/>
        <v>0.30015699497976439</v>
      </c>
      <c r="N140" s="103">
        <f t="shared" si="40"/>
        <v>0.30713906551466236</v>
      </c>
      <c r="O140" s="103">
        <f t="shared" si="40"/>
        <v>0.3281999525533465</v>
      </c>
      <c r="P140" s="103">
        <f t="shared" si="40"/>
        <v>0.34522810357505884</v>
      </c>
      <c r="Q140" s="103">
        <f t="shared" si="40"/>
        <v>0.35809686901998194</v>
      </c>
      <c r="R140" s="103">
        <f t="shared" si="40"/>
        <v>0.34296749075953348</v>
      </c>
      <c r="S140" s="103">
        <f t="shared" si="40"/>
        <v>0.35600535123455096</v>
      </c>
      <c r="T140" s="103">
        <f t="shared" si="40"/>
        <v>0.36158301295024287</v>
      </c>
      <c r="U140" s="103">
        <f t="shared" si="40"/>
        <v>0.37832753688405191</v>
      </c>
      <c r="V140" s="103">
        <f t="shared" si="40"/>
        <v>0.41094705592697772</v>
      </c>
      <c r="W140" s="103">
        <f t="shared" si="42"/>
        <v>0.37167082922196126</v>
      </c>
      <c r="X140" s="103">
        <f t="shared" si="42"/>
        <v>0.36129994887541422</v>
      </c>
      <c r="Y140" s="103">
        <f t="shared" si="42"/>
        <v>0.38831536249941273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3.2847138109633883E-4</v>
      </c>
      <c r="I141" s="103">
        <f t="shared" si="40"/>
        <v>8.1225078453271303E-4</v>
      </c>
      <c r="J141" s="103">
        <f t="shared" si="40"/>
        <v>5.7404650720435082E-4</v>
      </c>
      <c r="K141" s="103">
        <f t="shared" si="40"/>
        <v>2.1191036712020928E-3</v>
      </c>
      <c r="L141" s="103">
        <f t="shared" si="41"/>
        <v>2.7380559158665524E-3</v>
      </c>
      <c r="M141" s="103">
        <f t="shared" si="40"/>
        <v>3.0944375758598245E-3</v>
      </c>
      <c r="N141" s="103">
        <f t="shared" si="40"/>
        <v>4.1335045974579604E-3</v>
      </c>
      <c r="O141" s="103">
        <f t="shared" si="40"/>
        <v>6.0312579401725006E-3</v>
      </c>
      <c r="P141" s="103">
        <f t="shared" si="40"/>
        <v>6.3251481605072751E-3</v>
      </c>
      <c r="Q141" s="103">
        <f t="shared" si="40"/>
        <v>6.851286637560113E-3</v>
      </c>
      <c r="R141" s="103">
        <f t="shared" si="40"/>
        <v>6.9139647058965243E-3</v>
      </c>
      <c r="S141" s="103">
        <f t="shared" si="40"/>
        <v>6.6339884363947818E-3</v>
      </c>
      <c r="T141" s="103">
        <f t="shared" si="40"/>
        <v>6.5707144875266554E-3</v>
      </c>
      <c r="U141" s="103">
        <f t="shared" si="40"/>
        <v>6.5117832021717933E-3</v>
      </c>
      <c r="V141" s="103">
        <f t="shared" si="40"/>
        <v>5.0150487517535451E-3</v>
      </c>
      <c r="W141" s="103">
        <f t="shared" si="42"/>
        <v>7.9072624275519331E-3</v>
      </c>
      <c r="X141" s="103">
        <f t="shared" si="42"/>
        <v>4.7596423066843651E-3</v>
      </c>
      <c r="Y141" s="103">
        <f t="shared" si="42"/>
        <v>4.8055824060116645E-3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2.1330496119687035E-6</v>
      </c>
      <c r="O142" s="103">
        <f t="shared" si="40"/>
        <v>1.1846923675044227E-5</v>
      </c>
      <c r="P142" s="103">
        <f t="shared" si="40"/>
        <v>5.2937701521575996E-5</v>
      </c>
      <c r="Q142" s="103">
        <f t="shared" si="40"/>
        <v>5.1914829236933932E-5</v>
      </c>
      <c r="R142" s="103">
        <f t="shared" si="40"/>
        <v>6.228982061430871E-5</v>
      </c>
      <c r="S142" s="103">
        <f t="shared" si="40"/>
        <v>8.5807541031325955E-5</v>
      </c>
      <c r="T142" s="103">
        <f t="shared" si="40"/>
        <v>9.5778367813484196E-5</v>
      </c>
      <c r="U142" s="103">
        <f t="shared" si="40"/>
        <v>9.4072881776766502E-5</v>
      </c>
      <c r="V142" s="103">
        <f t="shared" si="40"/>
        <v>9.3059039377407589E-5</v>
      </c>
      <c r="W142" s="103">
        <f t="shared" si="42"/>
        <v>8.6848156299969731E-5</v>
      </c>
      <c r="X142" s="103">
        <f t="shared" si="42"/>
        <v>8.5172015719925447E-5</v>
      </c>
      <c r="Y142" s="103">
        <f t="shared" si="42"/>
        <v>9.4967560214596975E-5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1.1416873133525265E-6</v>
      </c>
      <c r="P143" s="103">
        <f t="shared" si="40"/>
        <v>1.8027673055393298E-6</v>
      </c>
      <c r="Q143" s="103">
        <f t="shared" si="40"/>
        <v>4.4522193099947512E-6</v>
      </c>
      <c r="R143" s="103">
        <f t="shared" si="40"/>
        <v>1.2567627559842847E-5</v>
      </c>
      <c r="S143" s="103">
        <f t="shared" si="40"/>
        <v>3.4326179058159328E-5</v>
      </c>
      <c r="T143" s="103">
        <f t="shared" si="40"/>
        <v>6.276936565868704E-5</v>
      </c>
      <c r="U143" s="103">
        <f t="shared" si="40"/>
        <v>7.3013884010145305E-5</v>
      </c>
      <c r="V143" s="103">
        <f t="shared" si="40"/>
        <v>8.5872271024656446E-5</v>
      </c>
      <c r="W143" s="103">
        <f t="shared" si="42"/>
        <v>1.0542212327233854E-4</v>
      </c>
      <c r="X143" s="103">
        <f t="shared" si="42"/>
        <v>1.5177898296179208E-4</v>
      </c>
      <c r="Y143" s="103">
        <f t="shared" si="42"/>
        <v>2.5529273212981674E-4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7.0017016048331396E-2</v>
      </c>
      <c r="C145" s="156">
        <f t="shared" si="40"/>
        <v>6.1073075953315244E-2</v>
      </c>
      <c r="D145" s="156">
        <f t="shared" si="40"/>
        <v>5.7167429339825937E-2</v>
      </c>
      <c r="E145" s="156">
        <f t="shared" si="40"/>
        <v>5.4606133403229784E-2</v>
      </c>
      <c r="F145" s="156">
        <f t="shared" si="40"/>
        <v>5.3150943832769575E-2</v>
      </c>
      <c r="G145" s="156">
        <f t="shared" si="40"/>
        <v>4.8136048514533784E-2</v>
      </c>
      <c r="H145" s="156">
        <f t="shared" si="40"/>
        <v>4.6107536315627466E-2</v>
      </c>
      <c r="I145" s="156">
        <f t="shared" si="40"/>
        <v>4.0656624726400116E-2</v>
      </c>
      <c r="J145" s="156">
        <f t="shared" si="40"/>
        <v>3.4453822765082111E-2</v>
      </c>
      <c r="K145" s="156">
        <f t="shared" si="40"/>
        <v>4.1280156705439316E-2</v>
      </c>
      <c r="L145" s="156">
        <f t="shared" si="41"/>
        <v>3.9562614202451857E-2</v>
      </c>
      <c r="M145" s="156">
        <f t="shared" si="40"/>
        <v>3.8156036765100348E-2</v>
      </c>
      <c r="N145" s="156">
        <f t="shared" si="40"/>
        <v>3.7393689635894768E-2</v>
      </c>
      <c r="O145" s="156">
        <f t="shared" si="40"/>
        <v>4.0179484653142167E-2</v>
      </c>
      <c r="P145" s="156">
        <f t="shared" si="40"/>
        <v>4.0657944765335984E-2</v>
      </c>
      <c r="Q145" s="156">
        <f t="shared" si="40"/>
        <v>4.2766116416010316E-2</v>
      </c>
      <c r="R145" s="156">
        <f t="shared" si="40"/>
        <v>3.880463419146022E-2</v>
      </c>
      <c r="S145" s="156">
        <f t="shared" si="40"/>
        <v>3.9358109616863653E-2</v>
      </c>
      <c r="T145" s="156">
        <f t="shared" si="40"/>
        <v>3.7776009058547902E-2</v>
      </c>
      <c r="U145" s="156">
        <f t="shared" si="40"/>
        <v>4.0463485056887266E-2</v>
      </c>
      <c r="V145" s="156">
        <f t="shared" si="40"/>
        <v>3.023703451396342E-2</v>
      </c>
      <c r="W145" s="156">
        <f t="shared" si="42"/>
        <v>3.09503199137737E-2</v>
      </c>
      <c r="X145" s="156">
        <f t="shared" si="42"/>
        <v>3.4027074025691086E-2</v>
      </c>
      <c r="Y145" s="156">
        <f t="shared" si="42"/>
        <v>3.8499050805485949E-2</v>
      </c>
      <c r="DA145" s="213"/>
    </row>
    <row r="146" spans="1:105" ht="11.45" customHeight="1" x14ac:dyDescent="0.25">
      <c r="A146" s="157" t="s">
        <v>110</v>
      </c>
      <c r="B146" s="103">
        <f t="shared" si="40"/>
        <v>3.4164878928833305E-4</v>
      </c>
      <c r="C146" s="103">
        <f t="shared" si="40"/>
        <v>2.9280915569287628E-4</v>
      </c>
      <c r="D146" s="103">
        <f t="shared" si="40"/>
        <v>2.5556107761318922E-4</v>
      </c>
      <c r="E146" s="103">
        <f t="shared" si="40"/>
        <v>2.1742570235092225E-4</v>
      </c>
      <c r="F146" s="103">
        <f t="shared" si="40"/>
        <v>1.7714365818305598E-4</v>
      </c>
      <c r="G146" s="103">
        <f t="shared" si="40"/>
        <v>1.45914556279923E-4</v>
      </c>
      <c r="H146" s="103">
        <f t="shared" si="40"/>
        <v>1.2416081980885235E-4</v>
      </c>
      <c r="I146" s="103">
        <f t="shared" si="40"/>
        <v>9.4043923585335348E-5</v>
      </c>
      <c r="J146" s="103">
        <f t="shared" si="40"/>
        <v>6.283509394396291E-5</v>
      </c>
      <c r="K146" s="103">
        <f t="shared" si="40"/>
        <v>6.3245217140310488E-5</v>
      </c>
      <c r="L146" s="103">
        <f t="shared" si="41"/>
        <v>5.0628149924134119E-5</v>
      </c>
      <c r="M146" s="103">
        <f t="shared" si="40"/>
        <v>3.7541552893290279E-5</v>
      </c>
      <c r="N146" s="103">
        <f t="shared" si="40"/>
        <v>3.2134242384540032E-5</v>
      </c>
      <c r="O146" s="103">
        <f t="shared" si="40"/>
        <v>2.602693813380836E-5</v>
      </c>
      <c r="P146" s="103">
        <f t="shared" si="40"/>
        <v>2.0731288893918575E-5</v>
      </c>
      <c r="Q146" s="103">
        <f t="shared" si="40"/>
        <v>1.5984705855579679E-5</v>
      </c>
      <c r="R146" s="103">
        <f t="shared" si="40"/>
        <v>1.4829124736788766E-5</v>
      </c>
      <c r="S146" s="103">
        <f t="shared" si="40"/>
        <v>1.3981339936209312E-5</v>
      </c>
      <c r="T146" s="103">
        <f t="shared" si="40"/>
        <v>1.3149082459855676E-5</v>
      </c>
      <c r="U146" s="103">
        <f t="shared" si="40"/>
        <v>1.3394248541466551E-5</v>
      </c>
      <c r="V146" s="103">
        <f t="shared" si="40"/>
        <v>1.2374755771492586E-5</v>
      </c>
      <c r="W146" s="103">
        <f t="shared" si="42"/>
        <v>1.0751513824577444E-5</v>
      </c>
      <c r="X146" s="103">
        <f t="shared" si="42"/>
        <v>7.9068561099883667E-6</v>
      </c>
      <c r="Y146" s="103">
        <f t="shared" si="42"/>
        <v>6.1469880318504606E-5</v>
      </c>
      <c r="DA146" s="191"/>
    </row>
    <row r="147" spans="1:105" ht="11.45" customHeight="1" x14ac:dyDescent="0.25">
      <c r="A147" s="157" t="s">
        <v>111</v>
      </c>
      <c r="B147" s="103">
        <f t="shared" si="40"/>
        <v>6.9675367259043067E-2</v>
      </c>
      <c r="C147" s="103">
        <f t="shared" si="40"/>
        <v>6.078026679762237E-2</v>
      </c>
      <c r="D147" s="103">
        <f t="shared" si="40"/>
        <v>5.6911868262212749E-2</v>
      </c>
      <c r="E147" s="103">
        <f t="shared" si="40"/>
        <v>5.4388707700878863E-2</v>
      </c>
      <c r="F147" s="103">
        <f t="shared" si="40"/>
        <v>5.297380017458652E-2</v>
      </c>
      <c r="G147" s="103">
        <f t="shared" si="40"/>
        <v>4.7990133958253862E-2</v>
      </c>
      <c r="H147" s="103">
        <f t="shared" si="40"/>
        <v>4.5983375495818615E-2</v>
      </c>
      <c r="I147" s="103">
        <f t="shared" si="40"/>
        <v>4.0562580802814781E-2</v>
      </c>
      <c r="J147" s="103">
        <f t="shared" si="40"/>
        <v>3.439098767113815E-2</v>
      </c>
      <c r="K147" s="103">
        <f t="shared" si="40"/>
        <v>4.1216911488299014E-2</v>
      </c>
      <c r="L147" s="103">
        <f t="shared" si="41"/>
        <v>3.9511986052527724E-2</v>
      </c>
      <c r="M147" s="103">
        <f t="shared" si="40"/>
        <v>3.811849521220706E-2</v>
      </c>
      <c r="N147" s="103">
        <f t="shared" si="40"/>
        <v>3.7072400332144775E-2</v>
      </c>
      <c r="O147" s="103">
        <f t="shared" si="40"/>
        <v>3.9809370494127562E-2</v>
      </c>
      <c r="P147" s="103">
        <f t="shared" si="40"/>
        <v>4.0186338442948326E-2</v>
      </c>
      <c r="Q147" s="103">
        <f t="shared" si="40"/>
        <v>4.1899306677107159E-2</v>
      </c>
      <c r="R147" s="103">
        <f t="shared" ref="R147:V147" si="43">IF(R29=0,0,R29/R$17)</f>
        <v>3.7708931319078688E-2</v>
      </c>
      <c r="S147" s="103">
        <f t="shared" si="43"/>
        <v>3.8124463991000133E-2</v>
      </c>
      <c r="T147" s="103">
        <f t="shared" si="43"/>
        <v>3.6517247622553525E-2</v>
      </c>
      <c r="U147" s="103">
        <f t="shared" si="43"/>
        <v>3.870209027524496E-2</v>
      </c>
      <c r="V147" s="103">
        <f t="shared" si="43"/>
        <v>2.8542467799156489E-2</v>
      </c>
      <c r="W147" s="103">
        <f t="shared" ref="W147:Y147" si="44">IF(W29=0,0,W29/W$17)</f>
        <v>2.8971087602392653E-2</v>
      </c>
      <c r="X147" s="103">
        <f t="shared" si="44"/>
        <v>3.2134293416648946E-2</v>
      </c>
      <c r="Y147" s="103">
        <f t="shared" si="44"/>
        <v>3.636581379448784E-2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2.8915506136545257E-4</v>
      </c>
      <c r="O149" s="103">
        <f t="shared" si="50"/>
        <v>3.4408722088079301E-4</v>
      </c>
      <c r="P149" s="103">
        <f t="shared" si="50"/>
        <v>4.5087503349374261E-4</v>
      </c>
      <c r="Q149" s="103">
        <f t="shared" si="50"/>
        <v>8.5082503304757134E-4</v>
      </c>
      <c r="R149" s="103">
        <f t="shared" si="50"/>
        <v>1.080873747644748E-3</v>
      </c>
      <c r="S149" s="103">
        <f t="shared" si="50"/>
        <v>1.2196642859273116E-3</v>
      </c>
      <c r="T149" s="103">
        <f t="shared" si="50"/>
        <v>1.2456123535345158E-3</v>
      </c>
      <c r="U149" s="103">
        <f t="shared" si="50"/>
        <v>1.7480005331008386E-3</v>
      </c>
      <c r="V149" s="103">
        <f t="shared" si="50"/>
        <v>1.6821919590354376E-3</v>
      </c>
      <c r="W149" s="103">
        <f t="shared" ref="W149:Y149" si="51">IF(W31=0,0,W31/W$17)</f>
        <v>1.9684807975564726E-3</v>
      </c>
      <c r="X149" s="103">
        <f t="shared" si="51"/>
        <v>1.8848737529321533E-3</v>
      </c>
      <c r="Y149" s="103">
        <f t="shared" si="51"/>
        <v>2.071767130679606E-3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9.8631761499056614E-2</v>
      </c>
      <c r="C151" s="46">
        <f t="shared" si="55"/>
        <v>0.14131303471469683</v>
      </c>
      <c r="D151" s="46">
        <f t="shared" si="55"/>
        <v>0.14969812418393935</v>
      </c>
      <c r="E151" s="46">
        <f t="shared" si="55"/>
        <v>0.17571736003182936</v>
      </c>
      <c r="F151" s="46">
        <f t="shared" si="55"/>
        <v>0.23640517415336659</v>
      </c>
      <c r="G151" s="46">
        <f t="shared" si="55"/>
        <v>0.26297970042677754</v>
      </c>
      <c r="H151" s="46">
        <f t="shared" si="55"/>
        <v>0.27896898351591976</v>
      </c>
      <c r="I151" s="46">
        <f t="shared" si="55"/>
        <v>0.34573894253281967</v>
      </c>
      <c r="J151" s="46">
        <f t="shared" si="55"/>
        <v>0.40810558510576211</v>
      </c>
      <c r="K151" s="46">
        <f t="shared" si="55"/>
        <v>0.30954336047758729</v>
      </c>
      <c r="L151" s="46">
        <f t="shared" ref="L151" si="56">IF(L33=0,0,L33/L$17)</f>
        <v>0.32114926508940655</v>
      </c>
      <c r="M151" s="46">
        <f t="shared" ref="M151:V151" si="57">IF(M33=0,0,M33/M$17)</f>
        <v>0.35579202993816633</v>
      </c>
      <c r="N151" s="46">
        <f t="shared" si="57"/>
        <v>0.3790384802264759</v>
      </c>
      <c r="O151" s="46">
        <f t="shared" si="57"/>
        <v>0.36372016747621216</v>
      </c>
      <c r="P151" s="46">
        <f t="shared" si="57"/>
        <v>0.36328800517132542</v>
      </c>
      <c r="Q151" s="46">
        <f t="shared" si="57"/>
        <v>0.35228386501796211</v>
      </c>
      <c r="R151" s="46">
        <f t="shared" si="57"/>
        <v>0.38895231455094181</v>
      </c>
      <c r="S151" s="46">
        <f t="shared" si="57"/>
        <v>0.38595361767168324</v>
      </c>
      <c r="T151" s="46">
        <f t="shared" si="57"/>
        <v>0.37968643331482177</v>
      </c>
      <c r="U151" s="46">
        <f t="shared" si="57"/>
        <v>0.36168922792261371</v>
      </c>
      <c r="V151" s="46">
        <f t="shared" si="57"/>
        <v>0.34740636690380117</v>
      </c>
      <c r="W151" s="46">
        <f t="shared" ref="W151:Y151" si="58">IF(W33=0,0,W33/W$17)</f>
        <v>0.38299439995844964</v>
      </c>
      <c r="X151" s="46">
        <f t="shared" si="58"/>
        <v>0.38209375438431115</v>
      </c>
      <c r="Y151" s="46">
        <f t="shared" si="58"/>
        <v>0.31746704234493484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3.5737650695239535E-2</v>
      </c>
      <c r="C152" s="154">
        <f t="shared" si="59"/>
        <v>3.5778384801730144E-2</v>
      </c>
      <c r="D152" s="154">
        <f t="shared" si="59"/>
        <v>3.7385072173342422E-2</v>
      </c>
      <c r="E152" s="154">
        <f t="shared" si="59"/>
        <v>3.9854989575312749E-2</v>
      </c>
      <c r="F152" s="154">
        <f t="shared" si="59"/>
        <v>4.2890384294474226E-2</v>
      </c>
      <c r="G152" s="154">
        <f t="shared" si="59"/>
        <v>4.4218957232857424E-2</v>
      </c>
      <c r="H152" s="154">
        <f t="shared" si="59"/>
        <v>4.6049604806779013E-2</v>
      </c>
      <c r="I152" s="154">
        <f t="shared" si="59"/>
        <v>4.6411405019293195E-2</v>
      </c>
      <c r="J152" s="154">
        <f t="shared" si="59"/>
        <v>4.3542649950800948E-2</v>
      </c>
      <c r="K152" s="154">
        <f t="shared" si="59"/>
        <v>5.3766308326510533E-2</v>
      </c>
      <c r="L152" s="154">
        <f t="shared" ref="L152" si="60">IF(L34=0,0,L34/L$17)</f>
        <v>5.2851034706281823E-2</v>
      </c>
      <c r="M152" s="154">
        <f t="shared" ref="M152:V152" si="61">IF(M34=0,0,M34/M$17)</f>
        <v>5.247665400904622E-2</v>
      </c>
      <c r="N152" s="154">
        <f t="shared" si="61"/>
        <v>5.2281351289862582E-2</v>
      </c>
      <c r="O152" s="154">
        <f t="shared" si="61"/>
        <v>5.6343682411028939E-2</v>
      </c>
      <c r="P152" s="154">
        <f t="shared" si="61"/>
        <v>5.9886586288546963E-2</v>
      </c>
      <c r="Q152" s="154">
        <f t="shared" si="61"/>
        <v>6.3902219608508268E-2</v>
      </c>
      <c r="R152" s="154">
        <f t="shared" si="61"/>
        <v>6.3129794062895608E-2</v>
      </c>
      <c r="S152" s="154">
        <f t="shared" si="61"/>
        <v>6.4915583177283728E-2</v>
      </c>
      <c r="T152" s="154">
        <f t="shared" si="61"/>
        <v>6.7048193525606078E-2</v>
      </c>
      <c r="U152" s="154">
        <f t="shared" si="61"/>
        <v>7.2069583624687697E-2</v>
      </c>
      <c r="V152" s="154">
        <f t="shared" si="61"/>
        <v>9.0826346968398405E-2</v>
      </c>
      <c r="W152" s="154">
        <f t="shared" ref="W152:Y152" si="62">IF(W34=0,0,W34/W$17)</f>
        <v>8.3771851708603531E-2</v>
      </c>
      <c r="X152" s="154">
        <f t="shared" si="62"/>
        <v>8.0298843491146563E-2</v>
      </c>
      <c r="Y152" s="154">
        <f t="shared" si="62"/>
        <v>8.9141782364317218E-2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5.6242102087726946E-3</v>
      </c>
      <c r="C153" s="103">
        <f t="shared" si="63"/>
        <v>5.5789967751554695E-3</v>
      </c>
      <c r="D153" s="103">
        <f t="shared" si="63"/>
        <v>5.5849260116388509E-3</v>
      </c>
      <c r="E153" s="103">
        <f t="shared" si="63"/>
        <v>5.4835731110330225E-3</v>
      </c>
      <c r="F153" s="103">
        <f t="shared" si="63"/>
        <v>5.4219088195725795E-3</v>
      </c>
      <c r="G153" s="103">
        <f t="shared" si="63"/>
        <v>4.9429269759882471E-3</v>
      </c>
      <c r="H153" s="103">
        <f t="shared" si="63"/>
        <v>4.339222340492721E-3</v>
      </c>
      <c r="I153" s="103">
        <f t="shared" si="63"/>
        <v>3.9338287035200412E-3</v>
      </c>
      <c r="J153" s="103">
        <f t="shared" si="63"/>
        <v>3.2221085995585669E-3</v>
      </c>
      <c r="K153" s="103">
        <f t="shared" si="63"/>
        <v>3.596461346934613E-3</v>
      </c>
      <c r="L153" s="103">
        <f t="shared" ref="L153" si="64">IF(L35=0,0,L35/L$17)</f>
        <v>3.2348137660929998E-3</v>
      </c>
      <c r="M153" s="103">
        <f t="shared" ref="M153:V153" si="65">IF(M35=0,0,M35/M$17)</f>
        <v>2.8806984090307781E-3</v>
      </c>
      <c r="N153" s="103">
        <f t="shared" si="65"/>
        <v>2.7008749287495146E-3</v>
      </c>
      <c r="O153" s="103">
        <f t="shared" si="65"/>
        <v>2.7116611375713907E-3</v>
      </c>
      <c r="P153" s="103">
        <f t="shared" si="65"/>
        <v>2.4263999763403858E-3</v>
      </c>
      <c r="Q153" s="103">
        <f t="shared" si="65"/>
        <v>2.3072309679349938E-3</v>
      </c>
      <c r="R153" s="103">
        <f t="shared" si="65"/>
        <v>2.0284366660920589E-3</v>
      </c>
      <c r="S153" s="103">
        <f t="shared" si="65"/>
        <v>1.9218682515107178E-3</v>
      </c>
      <c r="T153" s="103">
        <f t="shared" si="65"/>
        <v>1.9030909491199071E-3</v>
      </c>
      <c r="U153" s="103">
        <f t="shared" si="65"/>
        <v>1.9808946189658755E-3</v>
      </c>
      <c r="V153" s="103">
        <f t="shared" si="65"/>
        <v>2.3341464706305337E-3</v>
      </c>
      <c r="W153" s="103">
        <f t="shared" ref="W153:Y153" si="66">IF(W35=0,0,W35/W$17)</f>
        <v>2.0083074359844564E-3</v>
      </c>
      <c r="X153" s="103">
        <f t="shared" si="66"/>
        <v>1.7906185584171744E-3</v>
      </c>
      <c r="Y153" s="103">
        <f t="shared" si="66"/>
        <v>2.0045886860572621E-3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3.0113440486466841E-2</v>
      </c>
      <c r="C154" s="103">
        <f t="shared" si="67"/>
        <v>3.019938802657467E-2</v>
      </c>
      <c r="D154" s="103">
        <f t="shared" si="67"/>
        <v>3.1800146161703575E-2</v>
      </c>
      <c r="E154" s="103">
        <f t="shared" si="67"/>
        <v>3.4371416464279728E-2</v>
      </c>
      <c r="F154" s="103">
        <f t="shared" si="67"/>
        <v>3.746847547490164E-2</v>
      </c>
      <c r="G154" s="103">
        <f t="shared" si="67"/>
        <v>3.9276030256869175E-2</v>
      </c>
      <c r="H154" s="103">
        <f t="shared" si="67"/>
        <v>4.1375913429037715E-2</v>
      </c>
      <c r="I154" s="103">
        <f t="shared" si="67"/>
        <v>4.2151209769556726E-2</v>
      </c>
      <c r="J154" s="103">
        <f t="shared" si="67"/>
        <v>3.9928602870030312E-2</v>
      </c>
      <c r="K154" s="103">
        <f t="shared" si="67"/>
        <v>4.9982985918365627E-2</v>
      </c>
      <c r="L154" s="103">
        <f t="shared" ref="L154" si="68">IF(L36=0,0,L36/L$17)</f>
        <v>4.9546487659009299E-2</v>
      </c>
      <c r="M154" s="103">
        <f t="shared" ref="M154:V154" si="69">IF(M36=0,0,M36/M$17)</f>
        <v>4.9535717805329449E-2</v>
      </c>
      <c r="N154" s="103">
        <f t="shared" si="69"/>
        <v>4.9523006865328671E-2</v>
      </c>
      <c r="O154" s="103">
        <f t="shared" si="69"/>
        <v>5.3573336505671344E-2</v>
      </c>
      <c r="P154" s="103">
        <f t="shared" si="69"/>
        <v>5.713566192537909E-2</v>
      </c>
      <c r="Q154" s="103">
        <f t="shared" si="69"/>
        <v>6.1180798863204121E-2</v>
      </c>
      <c r="R154" s="103">
        <f t="shared" si="69"/>
        <v>6.072473318205597E-2</v>
      </c>
      <c r="S154" s="103">
        <f t="shared" si="69"/>
        <v>6.2642143982715684E-2</v>
      </c>
      <c r="T154" s="103">
        <f t="shared" si="69"/>
        <v>6.4813691373639751E-2</v>
      </c>
      <c r="U154" s="103">
        <f t="shared" si="69"/>
        <v>6.9726009270586739E-2</v>
      </c>
      <c r="V154" s="103">
        <f t="shared" si="69"/>
        <v>8.8052435946753091E-2</v>
      </c>
      <c r="W154" s="103">
        <f t="shared" ref="W154:Y154" si="70">IF(W36=0,0,W36/W$17)</f>
        <v>8.1274790988202741E-2</v>
      </c>
      <c r="X154" s="103">
        <f t="shared" si="70"/>
        <v>7.8166647693806796E-2</v>
      </c>
      <c r="Y154" s="103">
        <f t="shared" si="70"/>
        <v>8.6774139144234166E-2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3.3446903724857776E-4</v>
      </c>
      <c r="I155" s="103">
        <f t="shared" si="71"/>
        <v>3.2636654621642579E-4</v>
      </c>
      <c r="J155" s="103">
        <f t="shared" si="71"/>
        <v>3.9193848121206806E-4</v>
      </c>
      <c r="K155" s="103">
        <f t="shared" si="71"/>
        <v>1.8686106121029204E-4</v>
      </c>
      <c r="L155" s="103">
        <f t="shared" ref="L155" si="72">IF(L37=0,0,L37/L$17)</f>
        <v>6.9733281179535999E-5</v>
      </c>
      <c r="M155" s="103">
        <f t="shared" ref="M155:V155" si="73">IF(M37=0,0,M37/M$17)</f>
        <v>6.023779468598569E-5</v>
      </c>
      <c r="N155" s="103">
        <f t="shared" si="73"/>
        <v>5.746949578439571E-5</v>
      </c>
      <c r="O155" s="103">
        <f t="shared" si="73"/>
        <v>5.8684767786201014E-5</v>
      </c>
      <c r="P155" s="103">
        <f t="shared" si="73"/>
        <v>3.095601111001361E-4</v>
      </c>
      <c r="Q155" s="103">
        <f t="shared" si="73"/>
        <v>3.7091503477658302E-4</v>
      </c>
      <c r="R155" s="103">
        <f t="shared" si="73"/>
        <v>3.40322432433029E-4</v>
      </c>
      <c r="S155" s="103">
        <f t="shared" si="73"/>
        <v>3.1898539512540953E-4</v>
      </c>
      <c r="T155" s="103">
        <f t="shared" si="73"/>
        <v>2.9965448808690997E-4</v>
      </c>
      <c r="U155" s="103">
        <f t="shared" si="73"/>
        <v>3.193290090305713E-4</v>
      </c>
      <c r="V155" s="103">
        <f t="shared" si="73"/>
        <v>3.854459890828376E-4</v>
      </c>
      <c r="W155" s="103">
        <f t="shared" ref="W155:Y155" si="74">IF(W37=0,0,W37/W$17)</f>
        <v>4.4007479312527053E-4</v>
      </c>
      <c r="X155" s="103">
        <f t="shared" si="74"/>
        <v>2.9703153485289777E-4</v>
      </c>
      <c r="Y155" s="103">
        <f t="shared" si="74"/>
        <v>3.1553021663957369E-4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1.4964275727349801E-5</v>
      </c>
      <c r="Q156" s="103">
        <f t="shared" si="77"/>
        <v>4.3274742592567583E-5</v>
      </c>
      <c r="R156" s="103">
        <f t="shared" si="77"/>
        <v>3.6301782314552972E-5</v>
      </c>
      <c r="S156" s="103">
        <f t="shared" si="77"/>
        <v>3.2585547931917511E-5</v>
      </c>
      <c r="T156" s="103">
        <f t="shared" si="77"/>
        <v>3.1756714759497796E-5</v>
      </c>
      <c r="U156" s="103">
        <f t="shared" si="77"/>
        <v>4.3350726104515439E-5</v>
      </c>
      <c r="V156" s="103">
        <f t="shared" si="77"/>
        <v>5.4318561931939969E-5</v>
      </c>
      <c r="W156" s="103">
        <f t="shared" ref="W156:Y156" si="78">IF(W38=0,0,W38/W$17)</f>
        <v>4.8678491291066908E-5</v>
      </c>
      <c r="X156" s="103">
        <f t="shared" si="78"/>
        <v>4.4545704069684947E-5</v>
      </c>
      <c r="Y156" s="103">
        <f t="shared" si="78"/>
        <v>4.7524317386213097E-5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6.2894110803817085E-2</v>
      </c>
      <c r="C158" s="156">
        <f t="shared" si="83"/>
        <v>0.10553464991296668</v>
      </c>
      <c r="D158" s="156">
        <f t="shared" si="83"/>
        <v>0.11231305201059692</v>
      </c>
      <c r="E158" s="156">
        <f t="shared" si="83"/>
        <v>0.13586237045651661</v>
      </c>
      <c r="F158" s="156">
        <f t="shared" si="83"/>
        <v>0.19351478985889237</v>
      </c>
      <c r="G158" s="156">
        <f t="shared" si="83"/>
        <v>0.21876074319392011</v>
      </c>
      <c r="H158" s="156">
        <f t="shared" si="83"/>
        <v>0.23291937870914073</v>
      </c>
      <c r="I158" s="156">
        <f t="shared" si="83"/>
        <v>0.29932753751352648</v>
      </c>
      <c r="J158" s="156">
        <f t="shared" si="83"/>
        <v>0.36456293515496119</v>
      </c>
      <c r="K158" s="156">
        <f t="shared" si="83"/>
        <v>0.25577705215107671</v>
      </c>
      <c r="L158" s="156">
        <f t="shared" ref="L158" si="84">IF(L40=0,0,L40/L$17)</f>
        <v>0.26829823038312473</v>
      </c>
      <c r="M158" s="156">
        <f t="shared" ref="M158:V158" si="85">IF(M40=0,0,M40/M$17)</f>
        <v>0.30331537592912011</v>
      </c>
      <c r="N158" s="156">
        <f t="shared" si="85"/>
        <v>0.32675712893661335</v>
      </c>
      <c r="O158" s="156">
        <f t="shared" si="85"/>
        <v>0.30737648506518322</v>
      </c>
      <c r="P158" s="156">
        <f t="shared" si="85"/>
        <v>0.30340141888277844</v>
      </c>
      <c r="Q158" s="156">
        <f t="shared" si="85"/>
        <v>0.28838164540945382</v>
      </c>
      <c r="R158" s="156">
        <f t="shared" si="85"/>
        <v>0.32582252048804622</v>
      </c>
      <c r="S158" s="156">
        <f t="shared" si="85"/>
        <v>0.32103803449439955</v>
      </c>
      <c r="T158" s="156">
        <f t="shared" si="85"/>
        <v>0.31263823978921562</v>
      </c>
      <c r="U158" s="156">
        <f t="shared" si="85"/>
        <v>0.28961964429792603</v>
      </c>
      <c r="V158" s="156">
        <f t="shared" si="85"/>
        <v>0.25658001993540275</v>
      </c>
      <c r="W158" s="156">
        <f t="shared" ref="W158:Y158" si="86">IF(W40=0,0,W40/W$17)</f>
        <v>0.29922254824984612</v>
      </c>
      <c r="X158" s="156">
        <f t="shared" si="86"/>
        <v>0.30179491089316457</v>
      </c>
      <c r="Y158" s="156">
        <f t="shared" si="86"/>
        <v>0.22832525998061762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5.9660844961772451E-2</v>
      </c>
      <c r="C159" s="103">
        <f t="shared" si="87"/>
        <v>6.0426624417332687E-2</v>
      </c>
      <c r="D159" s="103">
        <f t="shared" si="87"/>
        <v>6.8610759243943581E-2</v>
      </c>
      <c r="E159" s="103">
        <f t="shared" si="87"/>
        <v>7.3939313843942908E-2</v>
      </c>
      <c r="F159" s="103">
        <f t="shared" si="87"/>
        <v>9.4643717237376704E-2</v>
      </c>
      <c r="G159" s="103">
        <f t="shared" si="87"/>
        <v>9.3861773571997861E-2</v>
      </c>
      <c r="H159" s="103">
        <f t="shared" si="87"/>
        <v>8.3821458041737004E-2</v>
      </c>
      <c r="I159" s="103">
        <f t="shared" si="87"/>
        <v>8.4766620651804236E-2</v>
      </c>
      <c r="J159" s="103">
        <f t="shared" si="87"/>
        <v>7.9348827910079356E-2</v>
      </c>
      <c r="K159" s="103">
        <f t="shared" si="87"/>
        <v>7.2894769610235721E-2</v>
      </c>
      <c r="L159" s="103">
        <f t="shared" ref="L159" si="88">IF(L41=0,0,L41/L$17)</f>
        <v>7.3098381270891161E-2</v>
      </c>
      <c r="M159" s="103">
        <f t="shared" ref="M159:V159" si="89">IF(M41=0,0,M41/M$17)</f>
        <v>6.820831443925951E-2</v>
      </c>
      <c r="N159" s="103">
        <f t="shared" si="89"/>
        <v>6.2669721836940293E-2</v>
      </c>
      <c r="O159" s="103">
        <f t="shared" si="89"/>
        <v>6.0499869694487597E-2</v>
      </c>
      <c r="P159" s="103">
        <f t="shared" si="89"/>
        <v>6.5092875419286045E-2</v>
      </c>
      <c r="Q159" s="103">
        <f t="shared" si="89"/>
        <v>6.1884345994747479E-2</v>
      </c>
      <c r="R159" s="103">
        <f t="shared" si="89"/>
        <v>6.0418198943312365E-2</v>
      </c>
      <c r="S159" s="103">
        <f t="shared" si="89"/>
        <v>6.1690533926103665E-2</v>
      </c>
      <c r="T159" s="103">
        <f t="shared" si="89"/>
        <v>5.7221587944897012E-2</v>
      </c>
      <c r="U159" s="103">
        <f t="shared" si="89"/>
        <v>5.8352424007758669E-2</v>
      </c>
      <c r="V159" s="103">
        <f t="shared" si="89"/>
        <v>6.4491806842983154E-2</v>
      </c>
      <c r="W159" s="103">
        <f t="shared" ref="W159:Y159" si="90">IF(W41=0,0,W41/W$17)</f>
        <v>6.5033568069799472E-2</v>
      </c>
      <c r="X159" s="103">
        <f t="shared" si="90"/>
        <v>6.2862165482476931E-2</v>
      </c>
      <c r="Y159" s="103">
        <f t="shared" si="90"/>
        <v>6.593148407350552E-2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3.2332658420446336E-3</v>
      </c>
      <c r="C160" s="105">
        <f t="shared" si="91"/>
        <v>4.5108025495633988E-2</v>
      </c>
      <c r="D160" s="105">
        <f t="shared" si="91"/>
        <v>4.3702292766653335E-2</v>
      </c>
      <c r="E160" s="105">
        <f t="shared" si="91"/>
        <v>6.192305661257369E-2</v>
      </c>
      <c r="F160" s="105">
        <f t="shared" si="91"/>
        <v>9.8871072621515649E-2</v>
      </c>
      <c r="G160" s="105">
        <f t="shared" si="91"/>
        <v>0.12489896962192225</v>
      </c>
      <c r="H160" s="105">
        <f t="shared" si="91"/>
        <v>0.14909792066740371</v>
      </c>
      <c r="I160" s="105">
        <f t="shared" si="91"/>
        <v>0.21456091686172224</v>
      </c>
      <c r="J160" s="105">
        <f t="shared" si="91"/>
        <v>0.28521410724488183</v>
      </c>
      <c r="K160" s="105">
        <f t="shared" si="91"/>
        <v>0.18288228254084105</v>
      </c>
      <c r="L160" s="105">
        <f t="shared" ref="L160" si="92">IF(L42=0,0,L42/L$17)</f>
        <v>0.19519984911223356</v>
      </c>
      <c r="M160" s="105">
        <f t="shared" ref="M160:V160" si="93">IF(M42=0,0,M42/M$17)</f>
        <v>0.23510706148986057</v>
      </c>
      <c r="N160" s="105">
        <f t="shared" si="93"/>
        <v>0.26408740709967304</v>
      </c>
      <c r="O160" s="105">
        <f t="shared" si="93"/>
        <v>0.24687661537069563</v>
      </c>
      <c r="P160" s="105">
        <f t="shared" si="93"/>
        <v>0.23830854346349239</v>
      </c>
      <c r="Q160" s="105">
        <f t="shared" si="93"/>
        <v>0.22649729941470637</v>
      </c>
      <c r="R160" s="105">
        <f t="shared" si="93"/>
        <v>0.26540432154473381</v>
      </c>
      <c r="S160" s="105">
        <f t="shared" si="93"/>
        <v>0.25934750056829586</v>
      </c>
      <c r="T160" s="105">
        <f t="shared" si="93"/>
        <v>0.25541665184431861</v>
      </c>
      <c r="U160" s="105">
        <f t="shared" si="93"/>
        <v>0.23126722029016733</v>
      </c>
      <c r="V160" s="105">
        <f t="shared" si="93"/>
        <v>0.19208821309241961</v>
      </c>
      <c r="W160" s="105">
        <f t="shared" ref="W160:Y160" si="94">IF(W42=0,0,W42/W$17)</f>
        <v>0.23418898018004664</v>
      </c>
      <c r="X160" s="105">
        <f t="shared" si="94"/>
        <v>0.23893274541068768</v>
      </c>
      <c r="Y160" s="105">
        <f t="shared" si="94"/>
        <v>0.16239377590711207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1016810</v>
      </c>
      <c r="C3" s="54">
        <f>TrRoad_act!C57</f>
        <v>1034777</v>
      </c>
      <c r="D3" s="54">
        <f>TrRoad_act!D57</f>
        <v>1067281</v>
      </c>
      <c r="E3" s="54">
        <f>TrRoad_act!E57</f>
        <v>1063325</v>
      </c>
      <c r="F3" s="54">
        <f>TrRoad_act!F57</f>
        <v>1070993</v>
      </c>
      <c r="G3" s="54">
        <f>TrRoad_act!G57</f>
        <v>1124116</v>
      </c>
      <c r="H3" s="54">
        <f>TrRoad_act!H57</f>
        <v>1152437</v>
      </c>
      <c r="I3" s="54">
        <f>TrRoad_act!I57</f>
        <v>1180081</v>
      </c>
      <c r="J3" s="54">
        <f>TrRoad_act!J57</f>
        <v>1206225</v>
      </c>
      <c r="K3" s="54">
        <f>TrRoad_act!K57</f>
        <v>1226345</v>
      </c>
      <c r="L3" s="54">
        <f>TrRoad_act!L57</f>
        <v>1230718</v>
      </c>
      <c r="M3" s="54">
        <f>TrRoad_act!M57</f>
        <v>1237393</v>
      </c>
      <c r="N3" s="54">
        <f>TrRoad_act!N57</f>
        <v>1238227</v>
      </c>
      <c r="O3" s="54">
        <f>TrRoad_act!O57</f>
        <v>1239382</v>
      </c>
      <c r="P3" s="54">
        <f>TrRoad_act!P57</f>
        <v>1245930</v>
      </c>
      <c r="Q3" s="54">
        <f>TrRoad_act!Q57</f>
        <v>1264282</v>
      </c>
      <c r="R3" s="54">
        <f>TrRoad_act!R57</f>
        <v>1291359</v>
      </c>
      <c r="S3" s="54">
        <f>TrRoad_act!S57</f>
        <v>1339747</v>
      </c>
      <c r="T3" s="54">
        <f>TrRoad_act!T57</f>
        <v>1376786</v>
      </c>
      <c r="U3" s="54">
        <f>TrRoad_act!U57</f>
        <v>1408090</v>
      </c>
      <c r="V3" s="54">
        <f>TrRoad_act!V57</f>
        <v>1420481</v>
      </c>
      <c r="W3" s="54">
        <f>TrRoad_act!W57</f>
        <v>1448878</v>
      </c>
      <c r="X3" s="54">
        <f>TrRoad_act!X57</f>
        <v>1479473</v>
      </c>
      <c r="Y3" s="54">
        <f>TrRoad_act!Y57</f>
        <v>1516625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962418</v>
      </c>
      <c r="C4" s="28">
        <f>TrRoad_act!C58</f>
        <v>980134</v>
      </c>
      <c r="D4" s="28">
        <f>TrRoad_act!D58</f>
        <v>1010665</v>
      </c>
      <c r="E4" s="28">
        <f>TrRoad_act!E58</f>
        <v>1005310</v>
      </c>
      <c r="F4" s="28">
        <f>TrRoad_act!F58</f>
        <v>1010240</v>
      </c>
      <c r="G4" s="28">
        <f>TrRoad_act!G58</f>
        <v>1061530</v>
      </c>
      <c r="H4" s="28">
        <f>TrRoad_act!H58</f>
        <v>1086074</v>
      </c>
      <c r="I4" s="28">
        <f>TrRoad_act!I58</f>
        <v>1107427</v>
      </c>
      <c r="J4" s="28">
        <f>TrRoad_act!J58</f>
        <v>1129158</v>
      </c>
      <c r="K4" s="28">
        <f>TrRoad_act!K58</f>
        <v>1149292</v>
      </c>
      <c r="L4" s="28">
        <f>TrRoad_act!L58</f>
        <v>1154669</v>
      </c>
      <c r="M4" s="28">
        <f>TrRoad_act!M58</f>
        <v>1160709</v>
      </c>
      <c r="N4" s="28">
        <f>TrRoad_act!N58</f>
        <v>1161149</v>
      </c>
      <c r="O4" s="28">
        <f>TrRoad_act!O58</f>
        <v>1161858</v>
      </c>
      <c r="P4" s="28">
        <f>TrRoad_act!P58</f>
        <v>1166324</v>
      </c>
      <c r="Q4" s="28">
        <f>TrRoad_act!Q58</f>
        <v>1181208</v>
      </c>
      <c r="R4" s="28">
        <f>TrRoad_act!R58</f>
        <v>1202494</v>
      </c>
      <c r="S4" s="28">
        <f>TrRoad_act!S58</f>
        <v>1245452</v>
      </c>
      <c r="T4" s="28">
        <f>TrRoad_act!T58</f>
        <v>1276526</v>
      </c>
      <c r="U4" s="28">
        <f>TrRoad_act!U58</f>
        <v>1303642</v>
      </c>
      <c r="V4" s="28">
        <f>TrRoad_act!V58</f>
        <v>1312936</v>
      </c>
      <c r="W4" s="28">
        <f>TrRoad_act!W58</f>
        <v>1337103</v>
      </c>
      <c r="X4" s="28">
        <f>TrRoad_act!X58</f>
        <v>1363576</v>
      </c>
      <c r="Y4" s="28">
        <f>TrRoad_act!Y58</f>
        <v>1395176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41559</v>
      </c>
      <c r="C5" s="137">
        <f>TrRoad_act!C59</f>
        <v>42317</v>
      </c>
      <c r="D5" s="137">
        <f>TrRoad_act!D59</f>
        <v>43265</v>
      </c>
      <c r="E5" s="137">
        <f>TrRoad_act!E59</f>
        <v>44516</v>
      </c>
      <c r="F5" s="137">
        <f>TrRoad_act!F59</f>
        <v>46367</v>
      </c>
      <c r="G5" s="137">
        <f>TrRoad_act!G59</f>
        <v>48671</v>
      </c>
      <c r="H5" s="137">
        <f>TrRoad_act!H59</f>
        <v>53193</v>
      </c>
      <c r="I5" s="137">
        <f>TrRoad_act!I59</f>
        <v>71493</v>
      </c>
      <c r="J5" s="137">
        <f>TrRoad_act!J59</f>
        <v>81996</v>
      </c>
      <c r="K5" s="137">
        <f>TrRoad_act!K59</f>
        <v>88428</v>
      </c>
      <c r="L5" s="137">
        <f>TrRoad_act!L59</f>
        <v>91008</v>
      </c>
      <c r="M5" s="137">
        <f>TrRoad_act!M59</f>
        <v>92183</v>
      </c>
      <c r="N5" s="137">
        <f>TrRoad_act!N59</f>
        <v>93100</v>
      </c>
      <c r="O5" s="137">
        <f>TrRoad_act!O59</f>
        <v>92986</v>
      </c>
      <c r="P5" s="137">
        <f>TrRoad_act!P59</f>
        <v>95796</v>
      </c>
      <c r="Q5" s="137">
        <f>TrRoad_act!Q59</f>
        <v>100216</v>
      </c>
      <c r="R5" s="137">
        <f>TrRoad_act!R59</f>
        <v>103684</v>
      </c>
      <c r="S5" s="137">
        <f>TrRoad_act!S59</f>
        <v>125127</v>
      </c>
      <c r="T5" s="137">
        <f>TrRoad_act!T59</f>
        <v>130935</v>
      </c>
      <c r="U5" s="137">
        <f>TrRoad_act!U59</f>
        <v>135780</v>
      </c>
      <c r="V5" s="137">
        <f>TrRoad_act!V59</f>
        <v>140316</v>
      </c>
      <c r="W5" s="137">
        <f>TrRoad_act!W59</f>
        <v>145417</v>
      </c>
      <c r="X5" s="137">
        <f>TrRoad_act!X59</f>
        <v>153459</v>
      </c>
      <c r="Y5" s="137">
        <f>TrRoad_act!Y59</f>
        <v>162145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919000</v>
      </c>
      <c r="C6" s="110">
        <f>TrRoad_act!C60</f>
        <v>936000</v>
      </c>
      <c r="D6" s="110">
        <f>TrRoad_act!D60</f>
        <v>965600</v>
      </c>
      <c r="E6" s="110">
        <f>TrRoad_act!E60</f>
        <v>959000</v>
      </c>
      <c r="F6" s="110">
        <f>TrRoad_act!F60</f>
        <v>962000</v>
      </c>
      <c r="G6" s="110">
        <f>TrRoad_act!G60</f>
        <v>1011000</v>
      </c>
      <c r="H6" s="110">
        <f>TrRoad_act!H60</f>
        <v>1031000</v>
      </c>
      <c r="I6" s="110">
        <f>TrRoad_act!I60</f>
        <v>1034000</v>
      </c>
      <c r="J6" s="110">
        <f>TrRoad_act!J60</f>
        <v>1045180</v>
      </c>
      <c r="K6" s="110">
        <f>TrRoad_act!K60</f>
        <v>1058858</v>
      </c>
      <c r="L6" s="110">
        <f>TrRoad_act!L60</f>
        <v>1061650</v>
      </c>
      <c r="M6" s="110">
        <f>TrRoad_act!M60</f>
        <v>1066500</v>
      </c>
      <c r="N6" s="110">
        <f>TrRoad_act!N60</f>
        <v>1066030</v>
      </c>
      <c r="O6" s="110">
        <f>TrRoad_act!O60</f>
        <v>1066795</v>
      </c>
      <c r="P6" s="110">
        <f>TrRoad_act!P60</f>
        <v>1068362</v>
      </c>
      <c r="Q6" s="110">
        <f>TrRoad_act!Q60</f>
        <v>1078737</v>
      </c>
      <c r="R6" s="110">
        <f>TrRoad_act!R60</f>
        <v>1096523</v>
      </c>
      <c r="S6" s="110">
        <f>TrRoad_act!S60</f>
        <v>1117935</v>
      </c>
      <c r="T6" s="110">
        <f>TrRoad_act!T60</f>
        <v>1143150</v>
      </c>
      <c r="U6" s="110">
        <f>TrRoad_act!U60</f>
        <v>1165371</v>
      </c>
      <c r="V6" s="110">
        <f>TrRoad_act!V60</f>
        <v>1170690</v>
      </c>
      <c r="W6" s="110">
        <f>TrRoad_act!W60</f>
        <v>1189457</v>
      </c>
      <c r="X6" s="110">
        <f>TrRoad_act!X60</f>
        <v>1207755</v>
      </c>
      <c r="Y6" s="110">
        <f>TrRoad_act!Y60</f>
        <v>1230565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805000</v>
      </c>
      <c r="C7" s="84">
        <f>TrRoad_act!C61</f>
        <v>813890</v>
      </c>
      <c r="D7" s="84">
        <f>TrRoad_act!D61</f>
        <v>798289</v>
      </c>
      <c r="E7" s="84">
        <f>TrRoad_act!E61</f>
        <v>795000</v>
      </c>
      <c r="F7" s="84">
        <f>TrRoad_act!F61</f>
        <v>769799</v>
      </c>
      <c r="G7" s="84">
        <f>TrRoad_act!G61</f>
        <v>780572</v>
      </c>
      <c r="H7" s="84">
        <f>TrRoad_act!H61</f>
        <v>768137</v>
      </c>
      <c r="I7" s="84">
        <f>TrRoad_act!I61</f>
        <v>744826</v>
      </c>
      <c r="J7" s="84">
        <f>TrRoad_act!J61</f>
        <v>726218</v>
      </c>
      <c r="K7" s="84">
        <f>TrRoad_act!K61</f>
        <v>711775</v>
      </c>
      <c r="L7" s="84">
        <f>TrRoad_act!L61</f>
        <v>690542</v>
      </c>
      <c r="M7" s="84">
        <f>TrRoad_act!M61</f>
        <v>673777</v>
      </c>
      <c r="N7" s="84">
        <f>TrRoad_act!N61</f>
        <v>650531</v>
      </c>
      <c r="O7" s="84">
        <f>TrRoad_act!O61</f>
        <v>629603</v>
      </c>
      <c r="P7" s="84">
        <f>TrRoad_act!P61</f>
        <v>609566</v>
      </c>
      <c r="Q7" s="84">
        <f>TrRoad_act!Q61</f>
        <v>596305</v>
      </c>
      <c r="R7" s="84">
        <f>TrRoad_act!R61</f>
        <v>585720</v>
      </c>
      <c r="S7" s="84">
        <f>TrRoad_act!S61</f>
        <v>577849</v>
      </c>
      <c r="T7" s="84">
        <f>TrRoad_act!T61</f>
        <v>575399</v>
      </c>
      <c r="U7" s="84">
        <f>TrRoad_act!U61</f>
        <v>574208</v>
      </c>
      <c r="V7" s="84">
        <f>TrRoad_act!V61</f>
        <v>566496</v>
      </c>
      <c r="W7" s="84">
        <f>TrRoad_act!W61</f>
        <v>569766</v>
      </c>
      <c r="X7" s="84">
        <f>TrRoad_act!X61</f>
        <v>581483</v>
      </c>
      <c r="Y7" s="84">
        <f>TrRoad_act!Y61</f>
        <v>597052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114000</v>
      </c>
      <c r="C8" s="84">
        <f>TrRoad_act!C62</f>
        <v>122110</v>
      </c>
      <c r="D8" s="84">
        <f>TrRoad_act!D62</f>
        <v>167311</v>
      </c>
      <c r="E8" s="84">
        <f>TrRoad_act!E62</f>
        <v>164000</v>
      </c>
      <c r="F8" s="84">
        <f>TrRoad_act!F62</f>
        <v>192201</v>
      </c>
      <c r="G8" s="84">
        <f>TrRoad_act!G62</f>
        <v>230428</v>
      </c>
      <c r="H8" s="84">
        <f>TrRoad_act!H62</f>
        <v>262363</v>
      </c>
      <c r="I8" s="84">
        <f>TrRoad_act!I62</f>
        <v>288000</v>
      </c>
      <c r="J8" s="84">
        <f>TrRoad_act!J62</f>
        <v>317960</v>
      </c>
      <c r="K8" s="84">
        <f>TrRoad_act!K62</f>
        <v>344176</v>
      </c>
      <c r="L8" s="84">
        <f>TrRoad_act!L62</f>
        <v>367500</v>
      </c>
      <c r="M8" s="84">
        <f>TrRoad_act!M62</f>
        <v>388560</v>
      </c>
      <c r="N8" s="84">
        <f>TrRoad_act!N62</f>
        <v>410020</v>
      </c>
      <c r="O8" s="84">
        <f>TrRoad_act!O62</f>
        <v>429303</v>
      </c>
      <c r="P8" s="84">
        <f>TrRoad_act!P62</f>
        <v>450422</v>
      </c>
      <c r="Q8" s="84">
        <f>TrRoad_act!Q62</f>
        <v>473666</v>
      </c>
      <c r="R8" s="84">
        <f>TrRoad_act!R62</f>
        <v>500660</v>
      </c>
      <c r="S8" s="84">
        <f>TrRoad_act!S62</f>
        <v>528811</v>
      </c>
      <c r="T8" s="84">
        <f>TrRoad_act!T62</f>
        <v>555502</v>
      </c>
      <c r="U8" s="84">
        <f>TrRoad_act!U62</f>
        <v>577776</v>
      </c>
      <c r="V8" s="84">
        <f>TrRoad_act!V62</f>
        <v>588707</v>
      </c>
      <c r="W8" s="84">
        <f>TrRoad_act!W62</f>
        <v>601946</v>
      </c>
      <c r="X8" s="84">
        <f>TrRoad_act!X62</f>
        <v>605456</v>
      </c>
      <c r="Y8" s="84">
        <f>TrRoad_act!Y62</f>
        <v>607582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500</v>
      </c>
      <c r="I9" s="84">
        <f>TrRoad_act!I63</f>
        <v>1174</v>
      </c>
      <c r="J9" s="84">
        <f>TrRoad_act!J63</f>
        <v>1002</v>
      </c>
      <c r="K9" s="84">
        <f>TrRoad_act!K63</f>
        <v>2907</v>
      </c>
      <c r="L9" s="84">
        <f>TrRoad_act!L63</f>
        <v>3608</v>
      </c>
      <c r="M9" s="84">
        <f>TrRoad_act!M63</f>
        <v>4151</v>
      </c>
      <c r="N9" s="84">
        <f>TrRoad_act!N63</f>
        <v>5444</v>
      </c>
      <c r="O9" s="84">
        <f>TrRoad_act!O63</f>
        <v>7816</v>
      </c>
      <c r="P9" s="84">
        <f>TrRoad_act!P63</f>
        <v>8147</v>
      </c>
      <c r="Q9" s="84">
        <f>TrRoad_act!Q63</f>
        <v>8380</v>
      </c>
      <c r="R9" s="84">
        <f>TrRoad_act!R63</f>
        <v>9468</v>
      </c>
      <c r="S9" s="84">
        <f>TrRoad_act!S63</f>
        <v>9999</v>
      </c>
      <c r="T9" s="84">
        <f>TrRoad_act!T63</f>
        <v>10246</v>
      </c>
      <c r="U9" s="84">
        <f>TrRoad_act!U63</f>
        <v>10500</v>
      </c>
      <c r="V9" s="84">
        <f>TrRoad_act!V63</f>
        <v>10800</v>
      </c>
      <c r="W9" s="84">
        <f>TrRoad_act!W63</f>
        <v>11083</v>
      </c>
      <c r="X9" s="84">
        <f>TrRoad_act!X63</f>
        <v>11366</v>
      </c>
      <c r="Y9" s="84">
        <f>TrRoad_act!Y63</f>
        <v>11649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5</v>
      </c>
      <c r="O10" s="84">
        <f>TrRoad_act!O64</f>
        <v>26</v>
      </c>
      <c r="P10" s="84">
        <f>TrRoad_act!P64</f>
        <v>120</v>
      </c>
      <c r="Q10" s="84">
        <f>TrRoad_act!Q64</f>
        <v>122</v>
      </c>
      <c r="R10" s="84">
        <f>TrRoad_act!R64</f>
        <v>163</v>
      </c>
      <c r="S10" s="84">
        <f>TrRoad_act!S64</f>
        <v>225</v>
      </c>
      <c r="T10" s="84">
        <f>TrRoad_act!T64</f>
        <v>244</v>
      </c>
      <c r="U10" s="84">
        <f>TrRoad_act!U64</f>
        <v>230</v>
      </c>
      <c r="V10" s="84">
        <f>TrRoad_act!V64</f>
        <v>230</v>
      </c>
      <c r="W10" s="84">
        <f>TrRoad_act!W64</f>
        <v>230</v>
      </c>
      <c r="X10" s="84">
        <f>TrRoad_act!X64</f>
        <v>230</v>
      </c>
      <c r="Y10" s="84">
        <f>TrRoad_act!Y64</f>
        <v>226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13</v>
      </c>
      <c r="P11" s="84">
        <f>TrRoad_act!P65</f>
        <v>20</v>
      </c>
      <c r="Q11" s="84">
        <f>TrRoad_act!Q65</f>
        <v>55</v>
      </c>
      <c r="R11" s="84">
        <f>TrRoad_act!R65</f>
        <v>140</v>
      </c>
      <c r="S11" s="84">
        <f>TrRoad_act!S65</f>
        <v>329</v>
      </c>
      <c r="T11" s="84">
        <f>TrRoad_act!T65</f>
        <v>580</v>
      </c>
      <c r="U11" s="84">
        <f>TrRoad_act!U65</f>
        <v>659</v>
      </c>
      <c r="V11" s="84">
        <f>TrRoad_act!V65</f>
        <v>792</v>
      </c>
      <c r="W11" s="84">
        <f>TrRoad_act!W65</f>
        <v>1088</v>
      </c>
      <c r="X11" s="84">
        <f>TrRoad_act!X65</f>
        <v>1546</v>
      </c>
      <c r="Y11" s="84">
        <f>TrRoad_act!Y65</f>
        <v>2523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12</v>
      </c>
      <c r="N12" s="84">
        <f>TrRoad_act!N66</f>
        <v>30</v>
      </c>
      <c r="O12" s="84">
        <f>TrRoad_act!O66</f>
        <v>34</v>
      </c>
      <c r="P12" s="84">
        <f>TrRoad_act!P66</f>
        <v>87</v>
      </c>
      <c r="Q12" s="84">
        <f>TrRoad_act!Q66</f>
        <v>209</v>
      </c>
      <c r="R12" s="84">
        <f>TrRoad_act!R66</f>
        <v>372</v>
      </c>
      <c r="S12" s="84">
        <f>TrRoad_act!S66</f>
        <v>722</v>
      </c>
      <c r="T12" s="84">
        <f>TrRoad_act!T66</f>
        <v>1179</v>
      </c>
      <c r="U12" s="84">
        <f>TrRoad_act!U66</f>
        <v>1998</v>
      </c>
      <c r="V12" s="84">
        <f>TrRoad_act!V66</f>
        <v>3665</v>
      </c>
      <c r="W12" s="84">
        <f>TrRoad_act!W66</f>
        <v>5344</v>
      </c>
      <c r="X12" s="84">
        <f>TrRoad_act!X66</f>
        <v>7674</v>
      </c>
      <c r="Y12" s="84">
        <f>TrRoad_act!Y66</f>
        <v>11533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1859</v>
      </c>
      <c r="C13" s="110">
        <f>TrRoad_act!C67</f>
        <v>1817</v>
      </c>
      <c r="D13" s="110">
        <f>TrRoad_act!D67</f>
        <v>1800</v>
      </c>
      <c r="E13" s="110">
        <f>TrRoad_act!E67</f>
        <v>1794</v>
      </c>
      <c r="F13" s="110">
        <f>TrRoad_act!F67</f>
        <v>1873</v>
      </c>
      <c r="G13" s="110">
        <f>TrRoad_act!G67</f>
        <v>1859</v>
      </c>
      <c r="H13" s="110">
        <f>TrRoad_act!H67</f>
        <v>1881</v>
      </c>
      <c r="I13" s="110">
        <f>TrRoad_act!I67</f>
        <v>1934</v>
      </c>
      <c r="J13" s="110">
        <f>TrRoad_act!J67</f>
        <v>1982</v>
      </c>
      <c r="K13" s="110">
        <f>TrRoad_act!K67</f>
        <v>2006</v>
      </c>
      <c r="L13" s="110">
        <f>TrRoad_act!L67</f>
        <v>2011</v>
      </c>
      <c r="M13" s="110">
        <f>TrRoad_act!M67</f>
        <v>2026</v>
      </c>
      <c r="N13" s="110">
        <f>TrRoad_act!N67</f>
        <v>2019</v>
      </c>
      <c r="O13" s="110">
        <f>TrRoad_act!O67</f>
        <v>2077</v>
      </c>
      <c r="P13" s="110">
        <f>TrRoad_act!P67</f>
        <v>2166</v>
      </c>
      <c r="Q13" s="110">
        <f>TrRoad_act!Q67</f>
        <v>2255</v>
      </c>
      <c r="R13" s="110">
        <f>TrRoad_act!R67</f>
        <v>2287</v>
      </c>
      <c r="S13" s="110">
        <f>TrRoad_act!S67</f>
        <v>2390</v>
      </c>
      <c r="T13" s="110">
        <f>TrRoad_act!T67</f>
        <v>2441</v>
      </c>
      <c r="U13" s="110">
        <f>TrRoad_act!U67</f>
        <v>2491</v>
      </c>
      <c r="V13" s="110">
        <f>TrRoad_act!V67</f>
        <v>1930</v>
      </c>
      <c r="W13" s="110">
        <f>TrRoad_act!W67</f>
        <v>2229</v>
      </c>
      <c r="X13" s="110">
        <f>TrRoad_act!X67</f>
        <v>2362</v>
      </c>
      <c r="Y13" s="110">
        <f>TrRoad_act!Y67</f>
        <v>2466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34</v>
      </c>
      <c r="C14" s="102">
        <f>TrRoad_act!C68</f>
        <v>32</v>
      </c>
      <c r="D14" s="102">
        <f>TrRoad_act!D68</f>
        <v>30</v>
      </c>
      <c r="E14" s="102">
        <f>TrRoad_act!E68</f>
        <v>27</v>
      </c>
      <c r="F14" s="102">
        <f>TrRoad_act!F68</f>
        <v>24</v>
      </c>
      <c r="G14" s="102">
        <f>TrRoad_act!G68</f>
        <v>22</v>
      </c>
      <c r="H14" s="102">
        <f>TrRoad_act!H68</f>
        <v>19</v>
      </c>
      <c r="I14" s="102">
        <f>TrRoad_act!I68</f>
        <v>17</v>
      </c>
      <c r="J14" s="102">
        <f>TrRoad_act!J68</f>
        <v>14</v>
      </c>
      <c r="K14" s="102">
        <f>TrRoad_act!K68</f>
        <v>12</v>
      </c>
      <c r="L14" s="102">
        <f>TrRoad_act!L68</f>
        <v>10</v>
      </c>
      <c r="M14" s="102">
        <f>TrRoad_act!M68</f>
        <v>8</v>
      </c>
      <c r="N14" s="102">
        <f>TrRoad_act!N68</f>
        <v>7</v>
      </c>
      <c r="O14" s="102">
        <f>TrRoad_act!O68</f>
        <v>6</v>
      </c>
      <c r="P14" s="102">
        <f>TrRoad_act!P68</f>
        <v>5</v>
      </c>
      <c r="Q14" s="102">
        <f>TrRoad_act!Q68</f>
        <v>4</v>
      </c>
      <c r="R14" s="102">
        <f>TrRoad_act!R68</f>
        <v>4</v>
      </c>
      <c r="S14" s="102">
        <f>TrRoad_act!S68</f>
        <v>4</v>
      </c>
      <c r="T14" s="102">
        <f>TrRoad_act!T68</f>
        <v>4</v>
      </c>
      <c r="U14" s="102">
        <f>TrRoad_act!U68</f>
        <v>4</v>
      </c>
      <c r="V14" s="102">
        <f>TrRoad_act!V68</f>
        <v>4</v>
      </c>
      <c r="W14" s="102">
        <f>TrRoad_act!W68</f>
        <v>4</v>
      </c>
      <c r="X14" s="102">
        <f>TrRoad_act!X68</f>
        <v>3</v>
      </c>
      <c r="Y14" s="102">
        <f>TrRoad_act!Y68</f>
        <v>28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1825</v>
      </c>
      <c r="C15" s="102">
        <f>TrRoad_act!C69</f>
        <v>1785</v>
      </c>
      <c r="D15" s="102">
        <f>TrRoad_act!D69</f>
        <v>1770</v>
      </c>
      <c r="E15" s="102">
        <f>TrRoad_act!E69</f>
        <v>1767</v>
      </c>
      <c r="F15" s="102">
        <f>TrRoad_act!F69</f>
        <v>1849</v>
      </c>
      <c r="G15" s="102">
        <f>TrRoad_act!G69</f>
        <v>1837</v>
      </c>
      <c r="H15" s="102">
        <f>TrRoad_act!H69</f>
        <v>1862</v>
      </c>
      <c r="I15" s="102">
        <f>TrRoad_act!I69</f>
        <v>1917</v>
      </c>
      <c r="J15" s="102">
        <f>TrRoad_act!J69</f>
        <v>1968</v>
      </c>
      <c r="K15" s="102">
        <f>TrRoad_act!K69</f>
        <v>1994</v>
      </c>
      <c r="L15" s="102">
        <f>TrRoad_act!L69</f>
        <v>2001</v>
      </c>
      <c r="M15" s="102">
        <f>TrRoad_act!M69</f>
        <v>2018</v>
      </c>
      <c r="N15" s="102">
        <f>TrRoad_act!N69</f>
        <v>1992</v>
      </c>
      <c r="O15" s="102">
        <f>TrRoad_act!O69</f>
        <v>2047</v>
      </c>
      <c r="P15" s="102">
        <f>TrRoad_act!P69</f>
        <v>2065</v>
      </c>
      <c r="Q15" s="102">
        <f>TrRoad_act!Q69</f>
        <v>2147</v>
      </c>
      <c r="R15" s="102">
        <f>TrRoad_act!R69</f>
        <v>2111</v>
      </c>
      <c r="S15" s="102">
        <f>TrRoad_act!S69</f>
        <v>2217</v>
      </c>
      <c r="T15" s="102">
        <f>TrRoad_act!T69</f>
        <v>2255</v>
      </c>
      <c r="U15" s="102">
        <f>TrRoad_act!U69</f>
        <v>2366</v>
      </c>
      <c r="V15" s="102">
        <f>TrRoad_act!V69</f>
        <v>1823</v>
      </c>
      <c r="W15" s="102">
        <f>TrRoad_act!W69</f>
        <v>2123</v>
      </c>
      <c r="X15" s="102">
        <f>TrRoad_act!X69</f>
        <v>2256</v>
      </c>
      <c r="Y15" s="102">
        <f>TrRoad_act!Y69</f>
        <v>2316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20</v>
      </c>
      <c r="O17" s="102">
        <f>TrRoad_act!O71</f>
        <v>24</v>
      </c>
      <c r="P17" s="102">
        <f>TrRoad_act!P71</f>
        <v>94</v>
      </c>
      <c r="Q17" s="102">
        <f>TrRoad_act!Q71</f>
        <v>102</v>
      </c>
      <c r="R17" s="102">
        <f>TrRoad_act!R71</f>
        <v>168</v>
      </c>
      <c r="S17" s="102">
        <f>TrRoad_act!S71</f>
        <v>166</v>
      </c>
      <c r="T17" s="102">
        <f>TrRoad_act!T71</f>
        <v>178</v>
      </c>
      <c r="U17" s="102">
        <f>TrRoad_act!U71</f>
        <v>115</v>
      </c>
      <c r="V17" s="102">
        <f>TrRoad_act!V71</f>
        <v>97</v>
      </c>
      <c r="W17" s="102">
        <f>TrRoad_act!W71</f>
        <v>96</v>
      </c>
      <c r="X17" s="102">
        <f>TrRoad_act!X71</f>
        <v>93</v>
      </c>
      <c r="Y17" s="102">
        <f>TrRoad_act!Y71</f>
        <v>95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2</v>
      </c>
      <c r="Q18" s="102">
        <f>TrRoad_act!Q72</f>
        <v>2</v>
      </c>
      <c r="R18" s="102">
        <f>TrRoad_act!R72</f>
        <v>4</v>
      </c>
      <c r="S18" s="102">
        <f>TrRoad_act!S72</f>
        <v>3</v>
      </c>
      <c r="T18" s="102">
        <f>TrRoad_act!T72</f>
        <v>4</v>
      </c>
      <c r="U18" s="102">
        <f>TrRoad_act!U72</f>
        <v>6</v>
      </c>
      <c r="V18" s="102">
        <f>TrRoad_act!V72</f>
        <v>6</v>
      </c>
      <c r="W18" s="102">
        <f>TrRoad_act!W72</f>
        <v>6</v>
      </c>
      <c r="X18" s="102">
        <f>TrRoad_act!X72</f>
        <v>10</v>
      </c>
      <c r="Y18" s="102">
        <f>TrRoad_act!Y72</f>
        <v>27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54392</v>
      </c>
      <c r="C19" s="28">
        <f>TrRoad_act!C73</f>
        <v>54643</v>
      </c>
      <c r="D19" s="28">
        <f>TrRoad_act!D73</f>
        <v>56616</v>
      </c>
      <c r="E19" s="28">
        <f>TrRoad_act!E73</f>
        <v>58015</v>
      </c>
      <c r="F19" s="28">
        <f>TrRoad_act!F73</f>
        <v>60753</v>
      </c>
      <c r="G19" s="28">
        <f>TrRoad_act!G73</f>
        <v>62586</v>
      </c>
      <c r="H19" s="28">
        <f>TrRoad_act!H73</f>
        <v>66363</v>
      </c>
      <c r="I19" s="28">
        <f>TrRoad_act!I73</f>
        <v>72654</v>
      </c>
      <c r="J19" s="28">
        <f>TrRoad_act!J73</f>
        <v>77067</v>
      </c>
      <c r="K19" s="28">
        <f>TrRoad_act!K73</f>
        <v>77053</v>
      </c>
      <c r="L19" s="28">
        <f>TrRoad_act!L73</f>
        <v>76049</v>
      </c>
      <c r="M19" s="28">
        <f>TrRoad_act!M73</f>
        <v>76684</v>
      </c>
      <c r="N19" s="28">
        <f>TrRoad_act!N73</f>
        <v>77078</v>
      </c>
      <c r="O19" s="28">
        <f>TrRoad_act!O73</f>
        <v>77524</v>
      </c>
      <c r="P19" s="28">
        <f>TrRoad_act!P73</f>
        <v>79606</v>
      </c>
      <c r="Q19" s="28">
        <f>TrRoad_act!Q73</f>
        <v>83074</v>
      </c>
      <c r="R19" s="28">
        <f>TrRoad_act!R73</f>
        <v>88865</v>
      </c>
      <c r="S19" s="28">
        <f>TrRoad_act!S73</f>
        <v>94295</v>
      </c>
      <c r="T19" s="28">
        <f>TrRoad_act!T73</f>
        <v>100260</v>
      </c>
      <c r="U19" s="28">
        <f>TrRoad_act!U73</f>
        <v>104448</v>
      </c>
      <c r="V19" s="28">
        <f>TrRoad_act!V73</f>
        <v>107545</v>
      </c>
      <c r="W19" s="28">
        <f>TrRoad_act!W73</f>
        <v>111775</v>
      </c>
      <c r="X19" s="28">
        <f>TrRoad_act!X73</f>
        <v>115897</v>
      </c>
      <c r="Y19" s="28">
        <f>TrRoad_act!Y73</f>
        <v>121449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25174</v>
      </c>
      <c r="C20" s="137">
        <f>TrRoad_act!C74</f>
        <v>26266</v>
      </c>
      <c r="D20" s="137">
        <f>TrRoad_act!D74</f>
        <v>28080</v>
      </c>
      <c r="E20" s="137">
        <f>TrRoad_act!E74</f>
        <v>30025</v>
      </c>
      <c r="F20" s="137">
        <f>TrRoad_act!F74</f>
        <v>32489</v>
      </c>
      <c r="G20" s="137">
        <f>TrRoad_act!G74</f>
        <v>35248</v>
      </c>
      <c r="H20" s="137">
        <f>TrRoad_act!H74</f>
        <v>37980</v>
      </c>
      <c r="I20" s="137">
        <f>TrRoad_act!I74</f>
        <v>43189</v>
      </c>
      <c r="J20" s="137">
        <f>TrRoad_act!J74</f>
        <v>48389</v>
      </c>
      <c r="K20" s="137">
        <f>TrRoad_act!K74</f>
        <v>50301</v>
      </c>
      <c r="L20" s="137">
        <f>TrRoad_act!L74</f>
        <v>51759</v>
      </c>
      <c r="M20" s="137">
        <f>TrRoad_act!M74</f>
        <v>53404</v>
      </c>
      <c r="N20" s="137">
        <f>TrRoad_act!N74</f>
        <v>54138</v>
      </c>
      <c r="O20" s="137">
        <f>TrRoad_act!O74</f>
        <v>54937</v>
      </c>
      <c r="P20" s="137">
        <f>TrRoad_act!P74</f>
        <v>56905</v>
      </c>
      <c r="Q20" s="137">
        <f>TrRoad_act!Q74</f>
        <v>60016</v>
      </c>
      <c r="R20" s="137">
        <f>TrRoad_act!R74</f>
        <v>63973</v>
      </c>
      <c r="S20" s="137">
        <f>TrRoad_act!S74</f>
        <v>68922</v>
      </c>
      <c r="T20" s="137">
        <f>TrRoad_act!T74</f>
        <v>74005</v>
      </c>
      <c r="U20" s="137">
        <f>TrRoad_act!U74</f>
        <v>78779</v>
      </c>
      <c r="V20" s="137">
        <f>TrRoad_act!V74</f>
        <v>81749</v>
      </c>
      <c r="W20" s="137">
        <f>TrRoad_act!W74</f>
        <v>86253</v>
      </c>
      <c r="X20" s="137">
        <f>TrRoad_act!X74</f>
        <v>89796</v>
      </c>
      <c r="Y20" s="137">
        <f>TrRoad_act!Y74</f>
        <v>93867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6994</v>
      </c>
      <c r="C21" s="84">
        <f>TrRoad_act!C75</f>
        <v>7159</v>
      </c>
      <c r="D21" s="84">
        <f>TrRoad_act!D75</f>
        <v>7321</v>
      </c>
      <c r="E21" s="84">
        <f>TrRoad_act!E75</f>
        <v>7236</v>
      </c>
      <c r="F21" s="84">
        <f>TrRoad_act!F75</f>
        <v>7077</v>
      </c>
      <c r="G21" s="84">
        <f>TrRoad_act!G75</f>
        <v>6848</v>
      </c>
      <c r="H21" s="84">
        <f>TrRoad_act!H75</f>
        <v>6281</v>
      </c>
      <c r="I21" s="84">
        <f>TrRoad_act!I75</f>
        <v>6447</v>
      </c>
      <c r="J21" s="84">
        <f>TrRoad_act!J75</f>
        <v>6422</v>
      </c>
      <c r="K21" s="84">
        <f>TrRoad_act!K75</f>
        <v>6021</v>
      </c>
      <c r="L21" s="84">
        <f>TrRoad_act!L75</f>
        <v>5735</v>
      </c>
      <c r="M21" s="84">
        <f>TrRoad_act!M75</f>
        <v>5418</v>
      </c>
      <c r="N21" s="84">
        <f>TrRoad_act!N75</f>
        <v>5097</v>
      </c>
      <c r="O21" s="84">
        <f>TrRoad_act!O75</f>
        <v>4715</v>
      </c>
      <c r="P21" s="84">
        <f>TrRoad_act!P75</f>
        <v>4112</v>
      </c>
      <c r="Q21" s="84">
        <f>TrRoad_act!Q75</f>
        <v>3884</v>
      </c>
      <c r="R21" s="84">
        <f>TrRoad_act!R75</f>
        <v>3709</v>
      </c>
      <c r="S21" s="84">
        <f>TrRoad_act!S75</f>
        <v>3658</v>
      </c>
      <c r="T21" s="84">
        <f>TrRoad_act!T75</f>
        <v>3734</v>
      </c>
      <c r="U21" s="84">
        <f>TrRoad_act!U75</f>
        <v>3754</v>
      </c>
      <c r="V21" s="84">
        <f>TrRoad_act!V75</f>
        <v>3681</v>
      </c>
      <c r="W21" s="84">
        <f>TrRoad_act!W75</f>
        <v>3638</v>
      </c>
      <c r="X21" s="84">
        <f>TrRoad_act!X75</f>
        <v>3580</v>
      </c>
      <c r="Y21" s="84">
        <f>TrRoad_act!Y75</f>
        <v>3621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18180</v>
      </c>
      <c r="C22" s="84">
        <f>TrRoad_act!C76</f>
        <v>19107</v>
      </c>
      <c r="D22" s="84">
        <f>TrRoad_act!D76</f>
        <v>20759</v>
      </c>
      <c r="E22" s="84">
        <f>TrRoad_act!E76</f>
        <v>22789</v>
      </c>
      <c r="F22" s="84">
        <f>TrRoad_act!F76</f>
        <v>25412</v>
      </c>
      <c r="G22" s="84">
        <f>TrRoad_act!G76</f>
        <v>28400</v>
      </c>
      <c r="H22" s="84">
        <f>TrRoad_act!H76</f>
        <v>31360</v>
      </c>
      <c r="I22" s="84">
        <f>TrRoad_act!I76</f>
        <v>36373</v>
      </c>
      <c r="J22" s="84">
        <f>TrRoad_act!J76</f>
        <v>41427</v>
      </c>
      <c r="K22" s="84">
        <f>TrRoad_act!K76</f>
        <v>44067</v>
      </c>
      <c r="L22" s="84">
        <f>TrRoad_act!L76</f>
        <v>45948</v>
      </c>
      <c r="M22" s="84">
        <f>TrRoad_act!M76</f>
        <v>47921</v>
      </c>
      <c r="N22" s="84">
        <f>TrRoad_act!N76</f>
        <v>48981</v>
      </c>
      <c r="O22" s="84">
        <f>TrRoad_act!O76</f>
        <v>50162</v>
      </c>
      <c r="P22" s="84">
        <f>TrRoad_act!P76</f>
        <v>52420</v>
      </c>
      <c r="Q22" s="84">
        <f>TrRoad_act!Q76</f>
        <v>55649</v>
      </c>
      <c r="R22" s="84">
        <f>TrRoad_act!R76</f>
        <v>59755</v>
      </c>
      <c r="S22" s="84">
        <f>TrRoad_act!S76</f>
        <v>64658</v>
      </c>
      <c r="T22" s="84">
        <f>TrRoad_act!T76</f>
        <v>69652</v>
      </c>
      <c r="U22" s="84">
        <f>TrRoad_act!U76</f>
        <v>74280</v>
      </c>
      <c r="V22" s="84">
        <f>TrRoad_act!V76</f>
        <v>77285</v>
      </c>
      <c r="W22" s="84">
        <f>TrRoad_act!W76</f>
        <v>81785</v>
      </c>
      <c r="X22" s="84">
        <f>TrRoad_act!X76</f>
        <v>85376</v>
      </c>
      <c r="Y22" s="84">
        <f>TrRoad_act!Y76</f>
        <v>89312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339</v>
      </c>
      <c r="I23" s="84">
        <f>TrRoad_act!I77</f>
        <v>369</v>
      </c>
      <c r="J23" s="84">
        <f>TrRoad_act!J77</f>
        <v>540</v>
      </c>
      <c r="K23" s="84">
        <f>TrRoad_act!K77</f>
        <v>213</v>
      </c>
      <c r="L23" s="84">
        <f>TrRoad_act!L77</f>
        <v>76</v>
      </c>
      <c r="M23" s="84">
        <f>TrRoad_act!M77</f>
        <v>65</v>
      </c>
      <c r="N23" s="84">
        <f>TrRoad_act!N77</f>
        <v>60</v>
      </c>
      <c r="O23" s="84">
        <f>TrRoad_act!O77</f>
        <v>60</v>
      </c>
      <c r="P23" s="84">
        <f>TrRoad_act!P77</f>
        <v>331</v>
      </c>
      <c r="Q23" s="84">
        <f>TrRoad_act!Q77</f>
        <v>373</v>
      </c>
      <c r="R23" s="84">
        <f>TrRoad_act!R77</f>
        <v>373</v>
      </c>
      <c r="S23" s="84">
        <f>TrRoad_act!S77</f>
        <v>410</v>
      </c>
      <c r="T23" s="84">
        <f>TrRoad_act!T77</f>
        <v>410</v>
      </c>
      <c r="U23" s="84">
        <f>TrRoad_act!U77</f>
        <v>480</v>
      </c>
      <c r="V23" s="84">
        <f>TrRoad_act!V77</f>
        <v>500</v>
      </c>
      <c r="W23" s="84">
        <f>TrRoad_act!W77</f>
        <v>500</v>
      </c>
      <c r="X23" s="84">
        <f>TrRoad_act!X77</f>
        <v>500</v>
      </c>
      <c r="Y23" s="84">
        <f>TrRoad_act!Y77</f>
        <v>495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27</v>
      </c>
      <c r="Q24" s="84">
        <f>TrRoad_act!Q78</f>
        <v>73</v>
      </c>
      <c r="R24" s="84">
        <f>TrRoad_act!R78</f>
        <v>73</v>
      </c>
      <c r="S24" s="84">
        <f>TrRoad_act!S78</f>
        <v>74</v>
      </c>
      <c r="T24" s="84">
        <f>TrRoad_act!T78</f>
        <v>74</v>
      </c>
      <c r="U24" s="84">
        <f>TrRoad_act!U78</f>
        <v>100</v>
      </c>
      <c r="V24" s="84">
        <f>TrRoad_act!V78</f>
        <v>100</v>
      </c>
      <c r="W24" s="84">
        <f>TrRoad_act!W78</f>
        <v>100</v>
      </c>
      <c r="X24" s="84">
        <f>TrRoad_act!X78</f>
        <v>100</v>
      </c>
      <c r="Y24" s="84">
        <f>TrRoad_act!Y78</f>
        <v>98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0</v>
      </c>
      <c r="P25" s="84">
        <f>TrRoad_act!P79</f>
        <v>15</v>
      </c>
      <c r="Q25" s="84">
        <f>TrRoad_act!Q79</f>
        <v>37</v>
      </c>
      <c r="R25" s="84">
        <f>TrRoad_act!R79</f>
        <v>63</v>
      </c>
      <c r="S25" s="84">
        <f>TrRoad_act!S79</f>
        <v>122</v>
      </c>
      <c r="T25" s="84">
        <f>TrRoad_act!T79</f>
        <v>135</v>
      </c>
      <c r="U25" s="84">
        <f>TrRoad_act!U79</f>
        <v>165</v>
      </c>
      <c r="V25" s="84">
        <f>TrRoad_act!V79</f>
        <v>183</v>
      </c>
      <c r="W25" s="84">
        <f>TrRoad_act!W79</f>
        <v>230</v>
      </c>
      <c r="X25" s="84">
        <f>TrRoad_act!X79</f>
        <v>240</v>
      </c>
      <c r="Y25" s="84">
        <f>TrRoad_act!Y79</f>
        <v>341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29218</v>
      </c>
      <c r="C26" s="110">
        <f>TrRoad_act!C80</f>
        <v>28377</v>
      </c>
      <c r="D26" s="110">
        <f>TrRoad_act!D80</f>
        <v>28536</v>
      </c>
      <c r="E26" s="110">
        <f>TrRoad_act!E80</f>
        <v>27990</v>
      </c>
      <c r="F26" s="110">
        <f>TrRoad_act!F80</f>
        <v>28264</v>
      </c>
      <c r="G26" s="110">
        <f>TrRoad_act!G80</f>
        <v>27338</v>
      </c>
      <c r="H26" s="110">
        <f>TrRoad_act!H80</f>
        <v>28383</v>
      </c>
      <c r="I26" s="110">
        <f>TrRoad_act!I80</f>
        <v>29465</v>
      </c>
      <c r="J26" s="110">
        <f>TrRoad_act!J80</f>
        <v>28678</v>
      </c>
      <c r="K26" s="110">
        <f>TrRoad_act!K80</f>
        <v>26752</v>
      </c>
      <c r="L26" s="110">
        <f>TrRoad_act!L80</f>
        <v>24290</v>
      </c>
      <c r="M26" s="110">
        <f>TrRoad_act!M80</f>
        <v>23280</v>
      </c>
      <c r="N26" s="110">
        <f>TrRoad_act!N80</f>
        <v>22940</v>
      </c>
      <c r="O26" s="110">
        <f>TrRoad_act!O80</f>
        <v>22587</v>
      </c>
      <c r="P26" s="110">
        <f>TrRoad_act!P80</f>
        <v>22701</v>
      </c>
      <c r="Q26" s="110">
        <f>TrRoad_act!Q80</f>
        <v>23058</v>
      </c>
      <c r="R26" s="110">
        <f>TrRoad_act!R80</f>
        <v>24892</v>
      </c>
      <c r="S26" s="110">
        <f>TrRoad_act!S80</f>
        <v>25373</v>
      </c>
      <c r="T26" s="110">
        <f>TrRoad_act!T80</f>
        <v>26255</v>
      </c>
      <c r="U26" s="110">
        <f>TrRoad_act!U80</f>
        <v>25669</v>
      </c>
      <c r="V26" s="110">
        <f>TrRoad_act!V80</f>
        <v>25796</v>
      </c>
      <c r="W26" s="110">
        <f>TrRoad_act!W80</f>
        <v>25522</v>
      </c>
      <c r="X26" s="110">
        <f>TrRoad_act!X80</f>
        <v>26101</v>
      </c>
      <c r="Y26" s="110">
        <f>TrRoad_act!Y80</f>
        <v>27582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26273</v>
      </c>
      <c r="C27" s="102">
        <f>TrRoad_act!C81</f>
        <v>25219</v>
      </c>
      <c r="D27" s="102">
        <f>TrRoad_act!D81</f>
        <v>25214</v>
      </c>
      <c r="E27" s="102">
        <f>TrRoad_act!E81</f>
        <v>24594</v>
      </c>
      <c r="F27" s="102">
        <f>TrRoad_act!F81</f>
        <v>24249</v>
      </c>
      <c r="G27" s="102">
        <f>TrRoad_act!G81</f>
        <v>23181</v>
      </c>
      <c r="H27" s="102">
        <f>TrRoad_act!H81</f>
        <v>23570</v>
      </c>
      <c r="I27" s="102">
        <f>TrRoad_act!I81</f>
        <v>24561</v>
      </c>
      <c r="J27" s="102">
        <f>TrRoad_act!J81</f>
        <v>23775</v>
      </c>
      <c r="K27" s="102">
        <f>TrRoad_act!K81</f>
        <v>22437</v>
      </c>
      <c r="L27" s="102">
        <f>TrRoad_act!L81</f>
        <v>20113</v>
      </c>
      <c r="M27" s="102">
        <f>TrRoad_act!M81</f>
        <v>19022</v>
      </c>
      <c r="N27" s="102">
        <f>TrRoad_act!N81</f>
        <v>18549</v>
      </c>
      <c r="O27" s="102">
        <f>TrRoad_act!O81</f>
        <v>18220</v>
      </c>
      <c r="P27" s="102">
        <f>TrRoad_act!P81</f>
        <v>18327</v>
      </c>
      <c r="Q27" s="102">
        <f>TrRoad_act!Q81</f>
        <v>18282</v>
      </c>
      <c r="R27" s="102">
        <f>TrRoad_act!R81</f>
        <v>19524</v>
      </c>
      <c r="S27" s="102">
        <f>TrRoad_act!S81</f>
        <v>19475</v>
      </c>
      <c r="T27" s="102">
        <f>TrRoad_act!T81</f>
        <v>20264</v>
      </c>
      <c r="U27" s="102">
        <f>TrRoad_act!U81</f>
        <v>19571</v>
      </c>
      <c r="V27" s="102">
        <f>TrRoad_act!V81</f>
        <v>20120</v>
      </c>
      <c r="W27" s="102">
        <f>TrRoad_act!W81</f>
        <v>19391</v>
      </c>
      <c r="X27" s="102">
        <f>TrRoad_act!X81</f>
        <v>19728</v>
      </c>
      <c r="Y27" s="102">
        <f>TrRoad_act!Y81</f>
        <v>21116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2945</v>
      </c>
      <c r="C28" s="86">
        <f>TrRoad_act!C82</f>
        <v>3158</v>
      </c>
      <c r="D28" s="86">
        <f>TrRoad_act!D82</f>
        <v>3322</v>
      </c>
      <c r="E28" s="86">
        <f>TrRoad_act!E82</f>
        <v>3396</v>
      </c>
      <c r="F28" s="86">
        <f>TrRoad_act!F82</f>
        <v>4015</v>
      </c>
      <c r="G28" s="86">
        <f>TrRoad_act!G82</f>
        <v>4157</v>
      </c>
      <c r="H28" s="86">
        <f>TrRoad_act!H82</f>
        <v>4813</v>
      </c>
      <c r="I28" s="86">
        <f>TrRoad_act!I82</f>
        <v>4904</v>
      </c>
      <c r="J28" s="86">
        <f>TrRoad_act!J82</f>
        <v>4903</v>
      </c>
      <c r="K28" s="86">
        <f>TrRoad_act!K82</f>
        <v>4315</v>
      </c>
      <c r="L28" s="86">
        <f>TrRoad_act!L82</f>
        <v>4177</v>
      </c>
      <c r="M28" s="86">
        <f>TrRoad_act!M82</f>
        <v>4258</v>
      </c>
      <c r="N28" s="86">
        <f>TrRoad_act!N82</f>
        <v>4391</v>
      </c>
      <c r="O28" s="86">
        <f>TrRoad_act!O82</f>
        <v>4367</v>
      </c>
      <c r="P28" s="86">
        <f>TrRoad_act!P82</f>
        <v>4374</v>
      </c>
      <c r="Q28" s="86">
        <f>TrRoad_act!Q82</f>
        <v>4776</v>
      </c>
      <c r="R28" s="86">
        <f>TrRoad_act!R82</f>
        <v>5368</v>
      </c>
      <c r="S28" s="86">
        <f>TrRoad_act!S82</f>
        <v>5898</v>
      </c>
      <c r="T28" s="86">
        <f>TrRoad_act!T82</f>
        <v>5991</v>
      </c>
      <c r="U28" s="86">
        <f>TrRoad_act!U82</f>
        <v>6098</v>
      </c>
      <c r="V28" s="86">
        <f>TrRoad_act!V82</f>
        <v>5676</v>
      </c>
      <c r="W28" s="86">
        <f>TrRoad_act!W82</f>
        <v>6131</v>
      </c>
      <c r="X28" s="86">
        <f>TrRoad_act!X82</f>
        <v>6373</v>
      </c>
      <c r="Y28" s="86">
        <f>TrRoad_act!Y82</f>
        <v>6466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61876</v>
      </c>
      <c r="C30" s="54">
        <f>TrRoad_act!C111</f>
        <v>76309</v>
      </c>
      <c r="D30" s="54">
        <f>TrRoad_act!D111</f>
        <v>90541</v>
      </c>
      <c r="E30" s="54">
        <f>TrRoad_act!E111</f>
        <v>67973</v>
      </c>
      <c r="F30" s="54">
        <f>TrRoad_act!F111</f>
        <v>73313</v>
      </c>
      <c r="G30" s="54">
        <f>TrRoad_act!G111</f>
        <v>83473</v>
      </c>
      <c r="H30" s="54">
        <f>TrRoad_act!H111</f>
        <v>84798</v>
      </c>
      <c r="I30" s="54">
        <f>TrRoad_act!I111</f>
        <v>108696</v>
      </c>
      <c r="J30" s="54">
        <f>TrRoad_act!J111</f>
        <v>110026</v>
      </c>
      <c r="K30" s="54">
        <f>TrRoad_act!K111</f>
        <v>93254</v>
      </c>
      <c r="L30" s="54">
        <f>TrRoad_act!L111</f>
        <v>86763</v>
      </c>
      <c r="M30" s="54">
        <f>TrRoad_act!M111</f>
        <v>81114</v>
      </c>
      <c r="N30" s="54">
        <f>TrRoad_act!N111</f>
        <v>73840</v>
      </c>
      <c r="O30" s="54">
        <f>TrRoad_act!O111</f>
        <v>73647</v>
      </c>
      <c r="P30" s="54">
        <f>TrRoad_act!P111</f>
        <v>78876</v>
      </c>
      <c r="Q30" s="54">
        <f>TrRoad_act!Q111</f>
        <v>91120</v>
      </c>
      <c r="R30" s="54">
        <f>TrRoad_act!R111</f>
        <v>97431</v>
      </c>
      <c r="S30" s="54">
        <f>TrRoad_act!S111</f>
        <v>126066</v>
      </c>
      <c r="T30" s="54">
        <f>TrRoad_act!T111</f>
        <v>123548</v>
      </c>
      <c r="U30" s="54">
        <f>TrRoad_act!U111</f>
        <v>122374</v>
      </c>
      <c r="V30" s="54">
        <f>TrRoad_act!V111</f>
        <v>95886</v>
      </c>
      <c r="W30" s="54">
        <f>TrRoad_act!W111</f>
        <v>114350</v>
      </c>
      <c r="X30" s="54">
        <f>TrRoad_act!X111</f>
        <v>106451</v>
      </c>
      <c r="Y30" s="54">
        <f>TrRoad_act!Y111</f>
        <v>127571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57043</v>
      </c>
      <c r="C31" s="28">
        <f>TrRoad_act!C112</f>
        <v>71024</v>
      </c>
      <c r="D31" s="28">
        <f>TrRoad_act!D112</f>
        <v>84935</v>
      </c>
      <c r="E31" s="28">
        <f>TrRoad_act!E112</f>
        <v>62048</v>
      </c>
      <c r="F31" s="28">
        <f>TrRoad_act!F112</f>
        <v>65963</v>
      </c>
      <c r="G31" s="28">
        <f>TrRoad_act!G112</f>
        <v>76370</v>
      </c>
      <c r="H31" s="28">
        <f>TrRoad_act!H112</f>
        <v>74651</v>
      </c>
      <c r="I31" s="28">
        <f>TrRoad_act!I112</f>
        <v>97574</v>
      </c>
      <c r="J31" s="28">
        <f>TrRoad_act!J112</f>
        <v>98787</v>
      </c>
      <c r="K31" s="28">
        <f>TrRoad_act!K112</f>
        <v>87300</v>
      </c>
      <c r="L31" s="28">
        <f>TrRoad_act!L112</f>
        <v>80251</v>
      </c>
      <c r="M31" s="28">
        <f>TrRoad_act!M112</f>
        <v>73258</v>
      </c>
      <c r="N31" s="28">
        <f>TrRoad_act!N112</f>
        <v>66159</v>
      </c>
      <c r="O31" s="28">
        <f>TrRoad_act!O112</f>
        <v>65346</v>
      </c>
      <c r="P31" s="28">
        <f>TrRoad_act!P112</f>
        <v>69538</v>
      </c>
      <c r="Q31" s="28">
        <f>TrRoad_act!Q112</f>
        <v>80505</v>
      </c>
      <c r="R31" s="28">
        <f>TrRoad_act!R112</f>
        <v>84535</v>
      </c>
      <c r="S31" s="28">
        <f>TrRoad_act!S112</f>
        <v>111427</v>
      </c>
      <c r="T31" s="28">
        <f>TrRoad_act!T112</f>
        <v>107999</v>
      </c>
      <c r="U31" s="28">
        <f>TrRoad_act!U112</f>
        <v>106739</v>
      </c>
      <c r="V31" s="28">
        <f>TrRoad_act!V112</f>
        <v>84737</v>
      </c>
      <c r="W31" s="28">
        <f>TrRoad_act!W112</f>
        <v>100327</v>
      </c>
      <c r="X31" s="28">
        <f>TrRoad_act!X112</f>
        <v>94618</v>
      </c>
      <c r="Y31" s="28">
        <f>TrRoad_act!Y112</f>
        <v>114611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1636</v>
      </c>
      <c r="C32" s="137">
        <f>TrRoad_act!C113</f>
        <v>1838</v>
      </c>
      <c r="D32" s="137">
        <f>TrRoad_act!D113</f>
        <v>2105</v>
      </c>
      <c r="E32" s="137">
        <f>TrRoad_act!E113</f>
        <v>2527</v>
      </c>
      <c r="F32" s="137">
        <f>TrRoad_act!F113</f>
        <v>3349</v>
      </c>
      <c r="G32" s="137">
        <f>TrRoad_act!G113</f>
        <v>3990</v>
      </c>
      <c r="H32" s="137">
        <f>TrRoad_act!H113</f>
        <v>6985</v>
      </c>
      <c r="I32" s="137">
        <f>TrRoad_act!I113</f>
        <v>25400</v>
      </c>
      <c r="J32" s="137">
        <f>TrRoad_act!J113</f>
        <v>15395</v>
      </c>
      <c r="K32" s="137">
        <f>TrRoad_act!K113</f>
        <v>10190</v>
      </c>
      <c r="L32" s="137">
        <f>TrRoad_act!L113</f>
        <v>5195</v>
      </c>
      <c r="M32" s="137">
        <f>TrRoad_act!M113</f>
        <v>3378</v>
      </c>
      <c r="N32" s="137">
        <f>TrRoad_act!N113</f>
        <v>3059</v>
      </c>
      <c r="O32" s="137">
        <f>TrRoad_act!O113</f>
        <v>2584</v>
      </c>
      <c r="P32" s="137">
        <f>TrRoad_act!P113</f>
        <v>5593</v>
      </c>
      <c r="Q32" s="137">
        <f>TrRoad_act!Q113</f>
        <v>7928</v>
      </c>
      <c r="R32" s="137">
        <f>TrRoad_act!R113</f>
        <v>7439</v>
      </c>
      <c r="S32" s="137">
        <f>TrRoad_act!S113</f>
        <v>24707</v>
      </c>
      <c r="T32" s="137">
        <f>TrRoad_act!T113</f>
        <v>10643</v>
      </c>
      <c r="U32" s="137">
        <f>TrRoad_act!U113</f>
        <v>9021</v>
      </c>
      <c r="V32" s="137">
        <f>TrRoad_act!V113</f>
        <v>8676</v>
      </c>
      <c r="W32" s="137">
        <f>TrRoad_act!W113</f>
        <v>9512</v>
      </c>
      <c r="X32" s="137">
        <f>TrRoad_act!X113</f>
        <v>13494</v>
      </c>
      <c r="Y32" s="137">
        <f>TrRoad_act!Y113</f>
        <v>14504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54984</v>
      </c>
      <c r="C33" s="110">
        <f>TrRoad_act!C114</f>
        <v>69055</v>
      </c>
      <c r="D33" s="110">
        <f>TrRoad_act!D114</f>
        <v>82738</v>
      </c>
      <c r="E33" s="110">
        <f>TrRoad_act!E114</f>
        <v>59390</v>
      </c>
      <c r="F33" s="110">
        <f>TrRoad_act!F114</f>
        <v>62471</v>
      </c>
      <c r="G33" s="110">
        <f>TrRoad_act!G114</f>
        <v>72243</v>
      </c>
      <c r="H33" s="110">
        <f>TrRoad_act!H114</f>
        <v>67513</v>
      </c>
      <c r="I33" s="110">
        <f>TrRoad_act!I114</f>
        <v>72026</v>
      </c>
      <c r="J33" s="110">
        <f>TrRoad_act!J114</f>
        <v>83195</v>
      </c>
      <c r="K33" s="110">
        <f>TrRoad_act!K114</f>
        <v>76976</v>
      </c>
      <c r="L33" s="110">
        <f>TrRoad_act!L114</f>
        <v>74913</v>
      </c>
      <c r="M33" s="110">
        <f>TrRoad_act!M114</f>
        <v>69755</v>
      </c>
      <c r="N33" s="110">
        <f>TrRoad_act!N114</f>
        <v>62980</v>
      </c>
      <c r="O33" s="110">
        <f>TrRoad_act!O114</f>
        <v>62562</v>
      </c>
      <c r="P33" s="110">
        <f>TrRoad_act!P114</f>
        <v>63720</v>
      </c>
      <c r="Q33" s="110">
        <f>TrRoad_act!Q114</f>
        <v>72376</v>
      </c>
      <c r="R33" s="110">
        <f>TrRoad_act!R114</f>
        <v>76869</v>
      </c>
      <c r="S33" s="110">
        <f>TrRoad_act!S114</f>
        <v>86529</v>
      </c>
      <c r="T33" s="110">
        <f>TrRoad_act!T114</f>
        <v>97175</v>
      </c>
      <c r="U33" s="110">
        <f>TrRoad_act!U114</f>
        <v>97523</v>
      </c>
      <c r="V33" s="110">
        <f>TrRoad_act!V114</f>
        <v>75905</v>
      </c>
      <c r="W33" s="110">
        <f>TrRoad_act!W114</f>
        <v>90514</v>
      </c>
      <c r="X33" s="110">
        <f>TrRoad_act!X114</f>
        <v>80967</v>
      </c>
      <c r="Y33" s="110">
        <f>TrRoad_act!Y114</f>
        <v>99907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49755</v>
      </c>
      <c r="C34" s="84">
        <f>TrRoad_act!C115</f>
        <v>53704</v>
      </c>
      <c r="D34" s="84">
        <f>TrRoad_act!D115</f>
        <v>34955</v>
      </c>
      <c r="E34" s="84">
        <f>TrRoad_act!E115</f>
        <v>35071</v>
      </c>
      <c r="F34" s="84">
        <f>TrRoad_act!F115</f>
        <v>33965</v>
      </c>
      <c r="G34" s="84">
        <f>TrRoad_act!G115</f>
        <v>34016</v>
      </c>
      <c r="H34" s="84">
        <f>TrRoad_act!H115</f>
        <v>35078</v>
      </c>
      <c r="I34" s="84">
        <f>TrRoad_act!I115</f>
        <v>38584</v>
      </c>
      <c r="J34" s="84">
        <f>TrRoad_act!J115</f>
        <v>43543</v>
      </c>
      <c r="K34" s="84">
        <f>TrRoad_act!K115</f>
        <v>37442</v>
      </c>
      <c r="L34" s="84">
        <f>TrRoad_act!L115</f>
        <v>38173</v>
      </c>
      <c r="M34" s="84">
        <f>TrRoad_act!M115</f>
        <v>34075</v>
      </c>
      <c r="N34" s="84">
        <f>TrRoad_act!N115</f>
        <v>24853</v>
      </c>
      <c r="O34" s="84">
        <f>TrRoad_act!O115</f>
        <v>23944</v>
      </c>
      <c r="P34" s="84">
        <f>TrRoad_act!P115</f>
        <v>23916</v>
      </c>
      <c r="Q34" s="84">
        <f>TrRoad_act!Q115</f>
        <v>29038</v>
      </c>
      <c r="R34" s="84">
        <f>TrRoad_act!R115</f>
        <v>31429</v>
      </c>
      <c r="S34" s="84">
        <f>TrRoad_act!S115</f>
        <v>38229</v>
      </c>
      <c r="T34" s="84">
        <f>TrRoad_act!T115</f>
        <v>48240</v>
      </c>
      <c r="U34" s="84">
        <f>TrRoad_act!U115</f>
        <v>50555</v>
      </c>
      <c r="V34" s="84">
        <f>TrRoad_act!V115</f>
        <v>36813</v>
      </c>
      <c r="W34" s="84">
        <f>TrRoad_act!W115</f>
        <v>43429</v>
      </c>
      <c r="X34" s="84">
        <f>TrRoad_act!X115</f>
        <v>40628</v>
      </c>
      <c r="Y34" s="84">
        <f>TrRoad_act!Y115</f>
        <v>57912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5229</v>
      </c>
      <c r="C35" s="84">
        <f>TrRoad_act!C116</f>
        <v>15351</v>
      </c>
      <c r="D35" s="84">
        <f>TrRoad_act!D116</f>
        <v>47783</v>
      </c>
      <c r="E35" s="84">
        <f>TrRoad_act!E116</f>
        <v>24319</v>
      </c>
      <c r="F35" s="84">
        <f>TrRoad_act!F116</f>
        <v>28506</v>
      </c>
      <c r="G35" s="84">
        <f>TrRoad_act!G116</f>
        <v>38227</v>
      </c>
      <c r="H35" s="84">
        <f>TrRoad_act!H116</f>
        <v>31935</v>
      </c>
      <c r="I35" s="84">
        <f>TrRoad_act!I116</f>
        <v>32767</v>
      </c>
      <c r="J35" s="84">
        <f>TrRoad_act!J116</f>
        <v>39652</v>
      </c>
      <c r="K35" s="84">
        <f>TrRoad_act!K116</f>
        <v>37626</v>
      </c>
      <c r="L35" s="84">
        <f>TrRoad_act!L116</f>
        <v>36034</v>
      </c>
      <c r="M35" s="84">
        <f>TrRoad_act!M116</f>
        <v>35116</v>
      </c>
      <c r="N35" s="84">
        <f>TrRoad_act!N116</f>
        <v>36796</v>
      </c>
      <c r="O35" s="84">
        <f>TrRoad_act!O116</f>
        <v>36186</v>
      </c>
      <c r="P35" s="84">
        <f>TrRoad_act!P116</f>
        <v>39289</v>
      </c>
      <c r="Q35" s="84">
        <f>TrRoad_act!Q116</f>
        <v>42867</v>
      </c>
      <c r="R35" s="84">
        <f>TrRoad_act!R116</f>
        <v>44014</v>
      </c>
      <c r="S35" s="84">
        <f>TrRoad_act!S116</f>
        <v>47104</v>
      </c>
      <c r="T35" s="84">
        <f>TrRoad_act!T116</f>
        <v>47823</v>
      </c>
      <c r="U35" s="84">
        <f>TrRoad_act!U116</f>
        <v>45614</v>
      </c>
      <c r="V35" s="84">
        <f>TrRoad_act!V116</f>
        <v>36653</v>
      </c>
      <c r="W35" s="84">
        <f>TrRoad_act!W116</f>
        <v>44258</v>
      </c>
      <c r="X35" s="84">
        <f>TrRoad_act!X116</f>
        <v>36644</v>
      </c>
      <c r="Y35" s="84">
        <f>TrRoad_act!Y116</f>
        <v>36079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500</v>
      </c>
      <c r="I36" s="84">
        <f>TrRoad_act!I117</f>
        <v>675</v>
      </c>
      <c r="J36" s="84">
        <f>TrRoad_act!J117</f>
        <v>0</v>
      </c>
      <c r="K36" s="84">
        <f>TrRoad_act!K117</f>
        <v>1908</v>
      </c>
      <c r="L36" s="84">
        <f>TrRoad_act!L117</f>
        <v>706</v>
      </c>
      <c r="M36" s="84">
        <f>TrRoad_act!M117</f>
        <v>552</v>
      </c>
      <c r="N36" s="84">
        <f>TrRoad_act!N117</f>
        <v>1307</v>
      </c>
      <c r="O36" s="84">
        <f>TrRoad_act!O117</f>
        <v>2393</v>
      </c>
      <c r="P36" s="84">
        <f>TrRoad_act!P117</f>
        <v>360</v>
      </c>
      <c r="Q36" s="84">
        <f>TrRoad_act!Q117</f>
        <v>272</v>
      </c>
      <c r="R36" s="84">
        <f>TrRoad_act!R117</f>
        <v>1137</v>
      </c>
      <c r="S36" s="84">
        <f>TrRoad_act!S117</f>
        <v>591</v>
      </c>
      <c r="T36" s="84">
        <f>TrRoad_act!T117</f>
        <v>319</v>
      </c>
      <c r="U36" s="84">
        <f>TrRoad_act!U117</f>
        <v>338</v>
      </c>
      <c r="V36" s="84">
        <f>TrRoad_act!V117</f>
        <v>396</v>
      </c>
      <c r="W36" s="84">
        <f>TrRoad_act!W117</f>
        <v>557</v>
      </c>
      <c r="X36" s="84">
        <f>TrRoad_act!X117</f>
        <v>689</v>
      </c>
      <c r="Y36" s="84">
        <f>TrRoad_act!Y117</f>
        <v>504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5</v>
      </c>
      <c r="O37" s="84">
        <f>TrRoad_act!O118</f>
        <v>21</v>
      </c>
      <c r="P37" s="84">
        <f>TrRoad_act!P118</f>
        <v>94</v>
      </c>
      <c r="Q37" s="84">
        <f>TrRoad_act!Q118</f>
        <v>41</v>
      </c>
      <c r="R37" s="84">
        <f>TrRoad_act!R118</f>
        <v>41</v>
      </c>
      <c r="S37" s="84">
        <f>TrRoad_act!S118</f>
        <v>65</v>
      </c>
      <c r="T37" s="84">
        <f>TrRoad_act!T118</f>
        <v>20</v>
      </c>
      <c r="U37" s="84">
        <f>TrRoad_act!U118</f>
        <v>28</v>
      </c>
      <c r="V37" s="84">
        <f>TrRoad_act!V118</f>
        <v>50</v>
      </c>
      <c r="W37" s="84">
        <f>TrRoad_act!W118</f>
        <v>16</v>
      </c>
      <c r="X37" s="84">
        <f>TrRoad_act!X118</f>
        <v>6</v>
      </c>
      <c r="Y37" s="84">
        <f>TrRoad_act!Y118</f>
        <v>0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13</v>
      </c>
      <c r="P38" s="84">
        <f>TrRoad_act!P119</f>
        <v>8</v>
      </c>
      <c r="Q38" s="84">
        <f>TrRoad_act!Q119</f>
        <v>35</v>
      </c>
      <c r="R38" s="84">
        <f>TrRoad_act!R119</f>
        <v>85</v>
      </c>
      <c r="S38" s="84">
        <f>TrRoad_act!S119</f>
        <v>189</v>
      </c>
      <c r="T38" s="84">
        <f>TrRoad_act!T119</f>
        <v>252</v>
      </c>
      <c r="U38" s="84">
        <f>TrRoad_act!U119</f>
        <v>166</v>
      </c>
      <c r="V38" s="84">
        <f>TrRoad_act!V119</f>
        <v>245</v>
      </c>
      <c r="W38" s="84">
        <f>TrRoad_act!W119</f>
        <v>512</v>
      </c>
      <c r="X38" s="84">
        <f>TrRoad_act!X119</f>
        <v>656</v>
      </c>
      <c r="Y38" s="84">
        <f>TrRoad_act!Y119</f>
        <v>1074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12</v>
      </c>
      <c r="N39" s="84">
        <f>TrRoad_act!N120</f>
        <v>19</v>
      </c>
      <c r="O39" s="84">
        <f>TrRoad_act!O120</f>
        <v>5</v>
      </c>
      <c r="P39" s="84">
        <f>TrRoad_act!P120</f>
        <v>53</v>
      </c>
      <c r="Q39" s="84">
        <f>TrRoad_act!Q120</f>
        <v>123</v>
      </c>
      <c r="R39" s="84">
        <f>TrRoad_act!R120</f>
        <v>163</v>
      </c>
      <c r="S39" s="84">
        <f>TrRoad_act!S120</f>
        <v>351</v>
      </c>
      <c r="T39" s="84">
        <f>TrRoad_act!T120</f>
        <v>521</v>
      </c>
      <c r="U39" s="84">
        <f>TrRoad_act!U120</f>
        <v>822</v>
      </c>
      <c r="V39" s="84">
        <f>TrRoad_act!V120</f>
        <v>1748</v>
      </c>
      <c r="W39" s="84">
        <f>TrRoad_act!W120</f>
        <v>1742</v>
      </c>
      <c r="X39" s="84">
        <f>TrRoad_act!X120</f>
        <v>2344</v>
      </c>
      <c r="Y39" s="84">
        <f>TrRoad_act!Y120</f>
        <v>4338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423</v>
      </c>
      <c r="C40" s="110">
        <f>TrRoad_act!C121</f>
        <v>131</v>
      </c>
      <c r="D40" s="110">
        <f>TrRoad_act!D121</f>
        <v>92</v>
      </c>
      <c r="E40" s="110">
        <f>TrRoad_act!E121</f>
        <v>131</v>
      </c>
      <c r="F40" s="110">
        <f>TrRoad_act!F121</f>
        <v>143</v>
      </c>
      <c r="G40" s="110">
        <f>TrRoad_act!G121</f>
        <v>137</v>
      </c>
      <c r="H40" s="110">
        <f>TrRoad_act!H121</f>
        <v>153</v>
      </c>
      <c r="I40" s="110">
        <f>TrRoad_act!I121</f>
        <v>148</v>
      </c>
      <c r="J40" s="110">
        <f>TrRoad_act!J121</f>
        <v>197</v>
      </c>
      <c r="K40" s="110">
        <f>TrRoad_act!K121</f>
        <v>134</v>
      </c>
      <c r="L40" s="110">
        <f>TrRoad_act!L121</f>
        <v>143</v>
      </c>
      <c r="M40" s="110">
        <f>TrRoad_act!M121</f>
        <v>125</v>
      </c>
      <c r="N40" s="110">
        <f>TrRoad_act!N121</f>
        <v>120</v>
      </c>
      <c r="O40" s="110">
        <f>TrRoad_act!O121</f>
        <v>200</v>
      </c>
      <c r="P40" s="110">
        <f>TrRoad_act!P121</f>
        <v>225</v>
      </c>
      <c r="Q40" s="110">
        <f>TrRoad_act!Q121</f>
        <v>201</v>
      </c>
      <c r="R40" s="110">
        <f>TrRoad_act!R121</f>
        <v>227</v>
      </c>
      <c r="S40" s="110">
        <f>TrRoad_act!S121</f>
        <v>191</v>
      </c>
      <c r="T40" s="110">
        <f>TrRoad_act!T121</f>
        <v>181</v>
      </c>
      <c r="U40" s="110">
        <f>TrRoad_act!U121</f>
        <v>195</v>
      </c>
      <c r="V40" s="110">
        <f>TrRoad_act!V121</f>
        <v>156</v>
      </c>
      <c r="W40" s="110">
        <f>TrRoad_act!W121</f>
        <v>301</v>
      </c>
      <c r="X40" s="110">
        <f>TrRoad_act!X121</f>
        <v>157</v>
      </c>
      <c r="Y40" s="110">
        <f>TrRoad_act!Y121</f>
        <v>200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1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1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25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423</v>
      </c>
      <c r="C42" s="102">
        <f>TrRoad_act!C123</f>
        <v>130</v>
      </c>
      <c r="D42" s="102">
        <f>TrRoad_act!D123</f>
        <v>92</v>
      </c>
      <c r="E42" s="102">
        <f>TrRoad_act!E123</f>
        <v>131</v>
      </c>
      <c r="F42" s="102">
        <f>TrRoad_act!F123</f>
        <v>143</v>
      </c>
      <c r="G42" s="102">
        <f>TrRoad_act!G123</f>
        <v>137</v>
      </c>
      <c r="H42" s="102">
        <f>TrRoad_act!H123</f>
        <v>153</v>
      </c>
      <c r="I42" s="102">
        <f>TrRoad_act!I123</f>
        <v>148</v>
      </c>
      <c r="J42" s="102">
        <f>TrRoad_act!J123</f>
        <v>197</v>
      </c>
      <c r="K42" s="102">
        <f>TrRoad_act!K123</f>
        <v>134</v>
      </c>
      <c r="L42" s="102">
        <f>TrRoad_act!L123</f>
        <v>143</v>
      </c>
      <c r="M42" s="102">
        <f>TrRoad_act!M123</f>
        <v>125</v>
      </c>
      <c r="N42" s="102">
        <f>TrRoad_act!N123</f>
        <v>100</v>
      </c>
      <c r="O42" s="102">
        <f>TrRoad_act!O123</f>
        <v>179</v>
      </c>
      <c r="P42" s="102">
        <f>TrRoad_act!P123</f>
        <v>153</v>
      </c>
      <c r="Q42" s="102">
        <f>TrRoad_act!Q123</f>
        <v>193</v>
      </c>
      <c r="R42" s="102">
        <f>TrRoad_act!R123</f>
        <v>153</v>
      </c>
      <c r="S42" s="102">
        <f>TrRoad_act!S123</f>
        <v>191</v>
      </c>
      <c r="T42" s="102">
        <f>TrRoad_act!T123</f>
        <v>163</v>
      </c>
      <c r="U42" s="102">
        <f>TrRoad_act!U123</f>
        <v>163</v>
      </c>
      <c r="V42" s="102">
        <f>TrRoad_act!V123</f>
        <v>153</v>
      </c>
      <c r="W42" s="102">
        <f>TrRoad_act!W123</f>
        <v>300</v>
      </c>
      <c r="X42" s="102">
        <f>TrRoad_act!X123</f>
        <v>153</v>
      </c>
      <c r="Y42" s="102">
        <f>TrRoad_act!Y123</f>
        <v>153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20</v>
      </c>
      <c r="O44" s="102">
        <f>TrRoad_act!O125</f>
        <v>20</v>
      </c>
      <c r="P44" s="102">
        <f>TrRoad_act!P125</f>
        <v>70</v>
      </c>
      <c r="Q44" s="102">
        <f>TrRoad_act!Q125</f>
        <v>8</v>
      </c>
      <c r="R44" s="102">
        <f>TrRoad_act!R125</f>
        <v>72</v>
      </c>
      <c r="S44" s="102">
        <f>TrRoad_act!S125</f>
        <v>0</v>
      </c>
      <c r="T44" s="102">
        <f>TrRoad_act!T125</f>
        <v>16</v>
      </c>
      <c r="U44" s="102">
        <f>TrRoad_act!U125</f>
        <v>27</v>
      </c>
      <c r="V44" s="102">
        <f>TrRoad_act!V125</f>
        <v>0</v>
      </c>
      <c r="W44" s="102">
        <f>TrRoad_act!W125</f>
        <v>1</v>
      </c>
      <c r="X44" s="102">
        <f>TrRoad_act!X125</f>
        <v>0</v>
      </c>
      <c r="Y44" s="102">
        <f>TrRoad_act!Y125</f>
        <v>4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2</v>
      </c>
      <c r="Q45" s="102">
        <f>TrRoad_act!Q126</f>
        <v>0</v>
      </c>
      <c r="R45" s="102">
        <f>TrRoad_act!R126</f>
        <v>2</v>
      </c>
      <c r="S45" s="102">
        <f>TrRoad_act!S126</f>
        <v>0</v>
      </c>
      <c r="T45" s="102">
        <f>TrRoad_act!T126</f>
        <v>2</v>
      </c>
      <c r="U45" s="102">
        <f>TrRoad_act!U126</f>
        <v>5</v>
      </c>
      <c r="V45" s="102">
        <f>TrRoad_act!V126</f>
        <v>3</v>
      </c>
      <c r="W45" s="102">
        <f>TrRoad_act!W126</f>
        <v>0</v>
      </c>
      <c r="X45" s="102">
        <f>TrRoad_act!X126</f>
        <v>4</v>
      </c>
      <c r="Y45" s="102">
        <f>TrRoad_act!Y126</f>
        <v>18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4833</v>
      </c>
      <c r="C46" s="28">
        <f>TrRoad_act!C127</f>
        <v>5285</v>
      </c>
      <c r="D46" s="28">
        <f>TrRoad_act!D127</f>
        <v>5606</v>
      </c>
      <c r="E46" s="28">
        <f>TrRoad_act!E127</f>
        <v>5925</v>
      </c>
      <c r="F46" s="28">
        <f>TrRoad_act!F127</f>
        <v>7350</v>
      </c>
      <c r="G46" s="28">
        <f>TrRoad_act!G127</f>
        <v>7103</v>
      </c>
      <c r="H46" s="28">
        <f>TrRoad_act!H127</f>
        <v>10147</v>
      </c>
      <c r="I46" s="28">
        <f>TrRoad_act!I127</f>
        <v>11122</v>
      </c>
      <c r="J46" s="28">
        <f>TrRoad_act!J127</f>
        <v>11239</v>
      </c>
      <c r="K46" s="28">
        <f>TrRoad_act!K127</f>
        <v>5954</v>
      </c>
      <c r="L46" s="28">
        <f>TrRoad_act!L127</f>
        <v>6512</v>
      </c>
      <c r="M46" s="28">
        <f>TrRoad_act!M127</f>
        <v>7856</v>
      </c>
      <c r="N46" s="28">
        <f>TrRoad_act!N127</f>
        <v>7681</v>
      </c>
      <c r="O46" s="28">
        <f>TrRoad_act!O127</f>
        <v>8301</v>
      </c>
      <c r="P46" s="28">
        <f>TrRoad_act!P127</f>
        <v>9338</v>
      </c>
      <c r="Q46" s="28">
        <f>TrRoad_act!Q127</f>
        <v>10615</v>
      </c>
      <c r="R46" s="28">
        <f>TrRoad_act!R127</f>
        <v>12896</v>
      </c>
      <c r="S46" s="28">
        <f>TrRoad_act!S127</f>
        <v>14639</v>
      </c>
      <c r="T46" s="28">
        <f>TrRoad_act!T127</f>
        <v>15549</v>
      </c>
      <c r="U46" s="28">
        <f>TrRoad_act!U127</f>
        <v>15635</v>
      </c>
      <c r="V46" s="28">
        <f>TrRoad_act!V127</f>
        <v>11149</v>
      </c>
      <c r="W46" s="28">
        <f>TrRoad_act!W127</f>
        <v>14023</v>
      </c>
      <c r="X46" s="28">
        <f>TrRoad_act!X127</f>
        <v>11833</v>
      </c>
      <c r="Y46" s="28">
        <f>TrRoad_act!Y127</f>
        <v>12960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2153</v>
      </c>
      <c r="C47" s="137">
        <f>TrRoad_act!C128</f>
        <v>2546</v>
      </c>
      <c r="D47" s="137">
        <f>TrRoad_act!D128</f>
        <v>3209</v>
      </c>
      <c r="E47" s="137">
        <f>TrRoad_act!E128</f>
        <v>3665</v>
      </c>
      <c r="F47" s="137">
        <f>TrRoad_act!F128</f>
        <v>4075</v>
      </c>
      <c r="G47" s="137">
        <f>TrRoad_act!G128</f>
        <v>4415</v>
      </c>
      <c r="H47" s="137">
        <f>TrRoad_act!H128</f>
        <v>6206</v>
      </c>
      <c r="I47" s="137">
        <f>TrRoad_act!I128</f>
        <v>7291</v>
      </c>
      <c r="J47" s="137">
        <f>TrRoad_act!J128</f>
        <v>8086</v>
      </c>
      <c r="K47" s="137">
        <f>TrRoad_act!K128</f>
        <v>4777</v>
      </c>
      <c r="L47" s="137">
        <f>TrRoad_act!L128</f>
        <v>4887</v>
      </c>
      <c r="M47" s="137">
        <f>TrRoad_act!M128</f>
        <v>5722</v>
      </c>
      <c r="N47" s="137">
        <f>TrRoad_act!N128</f>
        <v>5587</v>
      </c>
      <c r="O47" s="137">
        <f>TrRoad_act!O128</f>
        <v>6154</v>
      </c>
      <c r="P47" s="137">
        <f>TrRoad_act!P128</f>
        <v>6847</v>
      </c>
      <c r="Q47" s="137">
        <f>TrRoad_act!Q128</f>
        <v>7517</v>
      </c>
      <c r="R47" s="137">
        <f>TrRoad_act!R128</f>
        <v>9164</v>
      </c>
      <c r="S47" s="137">
        <f>TrRoad_act!S128</f>
        <v>10970</v>
      </c>
      <c r="T47" s="137">
        <f>TrRoad_act!T128</f>
        <v>11987</v>
      </c>
      <c r="U47" s="137">
        <f>TrRoad_act!U128</f>
        <v>12503</v>
      </c>
      <c r="V47" s="137">
        <f>TrRoad_act!V128</f>
        <v>9333</v>
      </c>
      <c r="W47" s="137">
        <f>TrRoad_act!W128</f>
        <v>11053</v>
      </c>
      <c r="X47" s="137">
        <f>TrRoad_act!X128</f>
        <v>8928</v>
      </c>
      <c r="Y47" s="137">
        <f>TrRoad_act!Y128</f>
        <v>9997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677</v>
      </c>
      <c r="C48" s="84">
        <f>TrRoad_act!C129</f>
        <v>768</v>
      </c>
      <c r="D48" s="84">
        <f>TrRoad_act!D129</f>
        <v>701</v>
      </c>
      <c r="E48" s="84">
        <f>TrRoad_act!E129</f>
        <v>589</v>
      </c>
      <c r="F48" s="84">
        <f>TrRoad_act!F129</f>
        <v>446</v>
      </c>
      <c r="G48" s="84">
        <f>TrRoad_act!G129</f>
        <v>345</v>
      </c>
      <c r="H48" s="84">
        <f>TrRoad_act!H129</f>
        <v>473</v>
      </c>
      <c r="I48" s="84">
        <f>TrRoad_act!I129</f>
        <v>592</v>
      </c>
      <c r="J48" s="84">
        <f>TrRoad_act!J129</f>
        <v>815</v>
      </c>
      <c r="K48" s="84">
        <f>TrRoad_act!K129</f>
        <v>302</v>
      </c>
      <c r="L48" s="84">
        <f>TrRoad_act!L129</f>
        <v>340</v>
      </c>
      <c r="M48" s="84">
        <f>TrRoad_act!M129</f>
        <v>343</v>
      </c>
      <c r="N48" s="84">
        <f>TrRoad_act!N129</f>
        <v>230</v>
      </c>
      <c r="O48" s="84">
        <f>TrRoad_act!O129</f>
        <v>116</v>
      </c>
      <c r="P48" s="84">
        <f>TrRoad_act!P129</f>
        <v>106</v>
      </c>
      <c r="Q48" s="84">
        <f>TrRoad_act!Q129</f>
        <v>171</v>
      </c>
      <c r="R48" s="84">
        <f>TrRoad_act!R129</f>
        <v>240</v>
      </c>
      <c r="S48" s="84">
        <f>TrRoad_act!S129</f>
        <v>345</v>
      </c>
      <c r="T48" s="84">
        <f>TrRoad_act!T129</f>
        <v>802</v>
      </c>
      <c r="U48" s="84">
        <f>TrRoad_act!U129</f>
        <v>818</v>
      </c>
      <c r="V48" s="84">
        <f>TrRoad_act!V129</f>
        <v>189</v>
      </c>
      <c r="W48" s="84">
        <f>TrRoad_act!W129</f>
        <v>214</v>
      </c>
      <c r="X48" s="84">
        <f>TrRoad_act!X129</f>
        <v>238</v>
      </c>
      <c r="Y48" s="84">
        <f>TrRoad_act!Y129</f>
        <v>264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1476</v>
      </c>
      <c r="C49" s="84">
        <f>TrRoad_act!C130</f>
        <v>1778</v>
      </c>
      <c r="D49" s="84">
        <f>TrRoad_act!D130</f>
        <v>2508</v>
      </c>
      <c r="E49" s="84">
        <f>TrRoad_act!E130</f>
        <v>3076</v>
      </c>
      <c r="F49" s="84">
        <f>TrRoad_act!F130</f>
        <v>3629</v>
      </c>
      <c r="G49" s="84">
        <f>TrRoad_act!G130</f>
        <v>4070</v>
      </c>
      <c r="H49" s="84">
        <f>TrRoad_act!H130</f>
        <v>5394</v>
      </c>
      <c r="I49" s="84">
        <f>TrRoad_act!I130</f>
        <v>6669</v>
      </c>
      <c r="J49" s="84">
        <f>TrRoad_act!J130</f>
        <v>7100</v>
      </c>
      <c r="K49" s="84">
        <f>TrRoad_act!K130</f>
        <v>4470</v>
      </c>
      <c r="L49" s="84">
        <f>TrRoad_act!L130</f>
        <v>4546</v>
      </c>
      <c r="M49" s="84">
        <f>TrRoad_act!M130</f>
        <v>5379</v>
      </c>
      <c r="N49" s="84">
        <f>TrRoad_act!N130</f>
        <v>5353</v>
      </c>
      <c r="O49" s="84">
        <f>TrRoad_act!O130</f>
        <v>6025</v>
      </c>
      <c r="P49" s="84">
        <f>TrRoad_act!P130</f>
        <v>6428</v>
      </c>
      <c r="Q49" s="84">
        <f>TrRoad_act!Q130</f>
        <v>7225</v>
      </c>
      <c r="R49" s="84">
        <f>TrRoad_act!R130</f>
        <v>8885</v>
      </c>
      <c r="S49" s="84">
        <f>TrRoad_act!S130</f>
        <v>10492</v>
      </c>
      <c r="T49" s="84">
        <f>TrRoad_act!T130</f>
        <v>11131</v>
      </c>
      <c r="U49" s="84">
        <f>TrRoad_act!U130</f>
        <v>11532</v>
      </c>
      <c r="V49" s="84">
        <f>TrRoad_act!V130</f>
        <v>9083</v>
      </c>
      <c r="W49" s="84">
        <f>TrRoad_act!W130</f>
        <v>10763</v>
      </c>
      <c r="X49" s="84">
        <f>TrRoad_act!X130</f>
        <v>8579</v>
      </c>
      <c r="Y49" s="84">
        <f>TrRoad_act!Y130</f>
        <v>9618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339</v>
      </c>
      <c r="I50" s="84">
        <f>TrRoad_act!I131</f>
        <v>30</v>
      </c>
      <c r="J50" s="84">
        <f>TrRoad_act!J131</f>
        <v>171</v>
      </c>
      <c r="K50" s="84">
        <f>TrRoad_act!K131</f>
        <v>5</v>
      </c>
      <c r="L50" s="84">
        <f>TrRoad_act!L131</f>
        <v>1</v>
      </c>
      <c r="M50" s="84">
        <f>TrRoad_act!M131</f>
        <v>0</v>
      </c>
      <c r="N50" s="84">
        <f>TrRoad_act!N131</f>
        <v>4</v>
      </c>
      <c r="O50" s="84">
        <f>TrRoad_act!O131</f>
        <v>13</v>
      </c>
      <c r="P50" s="84">
        <f>TrRoad_act!P131</f>
        <v>271</v>
      </c>
      <c r="Q50" s="84">
        <f>TrRoad_act!Q131</f>
        <v>53</v>
      </c>
      <c r="R50" s="84">
        <f>TrRoad_act!R131</f>
        <v>12</v>
      </c>
      <c r="S50" s="84">
        <f>TrRoad_act!S131</f>
        <v>50</v>
      </c>
      <c r="T50" s="84">
        <f>TrRoad_act!T131</f>
        <v>16</v>
      </c>
      <c r="U50" s="84">
        <f>TrRoad_act!U131</f>
        <v>85</v>
      </c>
      <c r="V50" s="84">
        <f>TrRoad_act!V131</f>
        <v>35</v>
      </c>
      <c r="W50" s="84">
        <f>TrRoad_act!W131</f>
        <v>15</v>
      </c>
      <c r="X50" s="84">
        <f>TrRoad_act!X131</f>
        <v>15</v>
      </c>
      <c r="Y50" s="84">
        <f>TrRoad_act!Y131</f>
        <v>10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27</v>
      </c>
      <c r="Q51" s="84">
        <f>TrRoad_act!Q132</f>
        <v>46</v>
      </c>
      <c r="R51" s="84">
        <f>TrRoad_act!R132</f>
        <v>1</v>
      </c>
      <c r="S51" s="84">
        <f>TrRoad_act!S132</f>
        <v>24</v>
      </c>
      <c r="T51" s="84">
        <f>TrRoad_act!T132</f>
        <v>6</v>
      </c>
      <c r="U51" s="84">
        <f>TrRoad_act!U132</f>
        <v>27</v>
      </c>
      <c r="V51" s="84">
        <f>TrRoad_act!V132</f>
        <v>5</v>
      </c>
      <c r="W51" s="84">
        <f>TrRoad_act!W132</f>
        <v>4</v>
      </c>
      <c r="X51" s="84">
        <f>TrRoad_act!X132</f>
        <v>5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0</v>
      </c>
      <c r="P52" s="84">
        <f>TrRoad_act!P133</f>
        <v>15</v>
      </c>
      <c r="Q52" s="84">
        <f>TrRoad_act!Q133</f>
        <v>22</v>
      </c>
      <c r="R52" s="84">
        <f>TrRoad_act!R133</f>
        <v>26</v>
      </c>
      <c r="S52" s="84">
        <f>TrRoad_act!S133</f>
        <v>59</v>
      </c>
      <c r="T52" s="84">
        <f>TrRoad_act!T133</f>
        <v>32</v>
      </c>
      <c r="U52" s="84">
        <f>TrRoad_act!U133</f>
        <v>41</v>
      </c>
      <c r="V52" s="84">
        <f>TrRoad_act!V133</f>
        <v>21</v>
      </c>
      <c r="W52" s="84">
        <f>TrRoad_act!W133</f>
        <v>57</v>
      </c>
      <c r="X52" s="84">
        <f>TrRoad_act!X133</f>
        <v>91</v>
      </c>
      <c r="Y52" s="84">
        <f>TrRoad_act!Y133</f>
        <v>105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2680</v>
      </c>
      <c r="C53" s="110">
        <f>TrRoad_act!C134</f>
        <v>2739</v>
      </c>
      <c r="D53" s="110">
        <f>TrRoad_act!D134</f>
        <v>2397</v>
      </c>
      <c r="E53" s="110">
        <f>TrRoad_act!E134</f>
        <v>2260</v>
      </c>
      <c r="F53" s="110">
        <f>TrRoad_act!F134</f>
        <v>3275</v>
      </c>
      <c r="G53" s="110">
        <f>TrRoad_act!G134</f>
        <v>2688</v>
      </c>
      <c r="H53" s="110">
        <f>TrRoad_act!H134</f>
        <v>3941</v>
      </c>
      <c r="I53" s="110">
        <f>TrRoad_act!I134</f>
        <v>3831</v>
      </c>
      <c r="J53" s="110">
        <f>TrRoad_act!J134</f>
        <v>3153</v>
      </c>
      <c r="K53" s="110">
        <f>TrRoad_act!K134</f>
        <v>1177</v>
      </c>
      <c r="L53" s="110">
        <f>TrRoad_act!L134</f>
        <v>1625</v>
      </c>
      <c r="M53" s="110">
        <f>TrRoad_act!M134</f>
        <v>2134</v>
      </c>
      <c r="N53" s="110">
        <f>TrRoad_act!N134</f>
        <v>2094</v>
      </c>
      <c r="O53" s="110">
        <f>TrRoad_act!O134</f>
        <v>2147</v>
      </c>
      <c r="P53" s="110">
        <f>TrRoad_act!P134</f>
        <v>2491</v>
      </c>
      <c r="Q53" s="110">
        <f>TrRoad_act!Q134</f>
        <v>3098</v>
      </c>
      <c r="R53" s="110">
        <f>TrRoad_act!R134</f>
        <v>3732</v>
      </c>
      <c r="S53" s="110">
        <f>TrRoad_act!S134</f>
        <v>3669</v>
      </c>
      <c r="T53" s="110">
        <f>TrRoad_act!T134</f>
        <v>3562</v>
      </c>
      <c r="U53" s="110">
        <f>TrRoad_act!U134</f>
        <v>3132</v>
      </c>
      <c r="V53" s="110">
        <f>TrRoad_act!V134</f>
        <v>1816</v>
      </c>
      <c r="W53" s="110">
        <f>TrRoad_act!W134</f>
        <v>2970</v>
      </c>
      <c r="X53" s="110">
        <f>TrRoad_act!X134</f>
        <v>2905</v>
      </c>
      <c r="Y53" s="110">
        <f>TrRoad_act!Y134</f>
        <v>2963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2385</v>
      </c>
      <c r="C54" s="102">
        <f>TrRoad_act!C135</f>
        <v>2398</v>
      </c>
      <c r="D54" s="102">
        <f>TrRoad_act!D135</f>
        <v>2076</v>
      </c>
      <c r="E54" s="102">
        <f>TrRoad_act!E135</f>
        <v>2001</v>
      </c>
      <c r="F54" s="102">
        <f>TrRoad_act!F135</f>
        <v>2445</v>
      </c>
      <c r="G54" s="102">
        <f>TrRoad_act!G135</f>
        <v>2303</v>
      </c>
      <c r="H54" s="102">
        <f>TrRoad_act!H135</f>
        <v>3013</v>
      </c>
      <c r="I54" s="102">
        <f>TrRoad_act!I135</f>
        <v>3436</v>
      </c>
      <c r="J54" s="102">
        <f>TrRoad_act!J135</f>
        <v>2824</v>
      </c>
      <c r="K54" s="102">
        <f>TrRoad_act!K135</f>
        <v>1177</v>
      </c>
      <c r="L54" s="102">
        <f>TrRoad_act!L135</f>
        <v>1422</v>
      </c>
      <c r="M54" s="102">
        <f>TrRoad_act!M135</f>
        <v>1705</v>
      </c>
      <c r="N54" s="102">
        <f>TrRoad_act!N135</f>
        <v>1604</v>
      </c>
      <c r="O54" s="102">
        <f>TrRoad_act!O135</f>
        <v>1819</v>
      </c>
      <c r="P54" s="102">
        <f>TrRoad_act!P135</f>
        <v>2134</v>
      </c>
      <c r="Q54" s="102">
        <f>TrRoad_act!Q135</f>
        <v>2339</v>
      </c>
      <c r="R54" s="102">
        <f>TrRoad_act!R135</f>
        <v>2774</v>
      </c>
      <c r="S54" s="102">
        <f>TrRoad_act!S135</f>
        <v>2756</v>
      </c>
      <c r="T54" s="102">
        <f>TrRoad_act!T135</f>
        <v>3067</v>
      </c>
      <c r="U54" s="102">
        <f>TrRoad_act!U135</f>
        <v>2600</v>
      </c>
      <c r="V54" s="102">
        <f>TrRoad_act!V135</f>
        <v>1800</v>
      </c>
      <c r="W54" s="102">
        <f>TrRoad_act!W135</f>
        <v>2067</v>
      </c>
      <c r="X54" s="102">
        <f>TrRoad_act!X135</f>
        <v>2204</v>
      </c>
      <c r="Y54" s="102">
        <f>TrRoad_act!Y135</f>
        <v>2405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295</v>
      </c>
      <c r="C55" s="86">
        <f>TrRoad_act!C136</f>
        <v>341</v>
      </c>
      <c r="D55" s="86">
        <f>TrRoad_act!D136</f>
        <v>321</v>
      </c>
      <c r="E55" s="86">
        <f>TrRoad_act!E136</f>
        <v>259</v>
      </c>
      <c r="F55" s="86">
        <f>TrRoad_act!F136</f>
        <v>830</v>
      </c>
      <c r="G55" s="86">
        <f>TrRoad_act!G136</f>
        <v>385</v>
      </c>
      <c r="H55" s="86">
        <f>TrRoad_act!H136</f>
        <v>928</v>
      </c>
      <c r="I55" s="86">
        <f>TrRoad_act!I136</f>
        <v>395</v>
      </c>
      <c r="J55" s="86">
        <f>TrRoad_act!J136</f>
        <v>329</v>
      </c>
      <c r="K55" s="86">
        <f>TrRoad_act!K136</f>
        <v>0</v>
      </c>
      <c r="L55" s="86">
        <f>TrRoad_act!L136</f>
        <v>203</v>
      </c>
      <c r="M55" s="86">
        <f>TrRoad_act!M136</f>
        <v>429</v>
      </c>
      <c r="N55" s="86">
        <f>TrRoad_act!N136</f>
        <v>490</v>
      </c>
      <c r="O55" s="86">
        <f>TrRoad_act!O136</f>
        <v>328</v>
      </c>
      <c r="P55" s="86">
        <f>TrRoad_act!P136</f>
        <v>357</v>
      </c>
      <c r="Q55" s="86">
        <f>TrRoad_act!Q136</f>
        <v>759</v>
      </c>
      <c r="R55" s="86">
        <f>TrRoad_act!R136</f>
        <v>958</v>
      </c>
      <c r="S55" s="86">
        <f>TrRoad_act!S136</f>
        <v>913</v>
      </c>
      <c r="T55" s="86">
        <f>TrRoad_act!T136</f>
        <v>495</v>
      </c>
      <c r="U55" s="86">
        <f>TrRoad_act!U136</f>
        <v>532</v>
      </c>
      <c r="V55" s="86">
        <f>TrRoad_act!V136</f>
        <v>16</v>
      </c>
      <c r="W55" s="86">
        <f>TrRoad_act!W136</f>
        <v>903</v>
      </c>
      <c r="X55" s="86">
        <f>TrRoad_act!X136</f>
        <v>701</v>
      </c>
      <c r="Y55" s="86">
        <f>TrRoad_act!Y136</f>
        <v>558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7598</v>
      </c>
      <c r="C59" s="54">
        <f t="shared" si="0"/>
        <v>7814</v>
      </c>
      <c r="D59" s="54">
        <f t="shared" si="0"/>
        <v>12479</v>
      </c>
      <c r="E59" s="54">
        <f t="shared" si="0"/>
        <v>13935</v>
      </c>
      <c r="F59" s="54">
        <f t="shared" si="0"/>
        <v>18807</v>
      </c>
      <c r="G59" s="54">
        <f t="shared" si="0"/>
        <v>26859</v>
      </c>
      <c r="H59" s="54">
        <f t="shared" si="0"/>
        <v>31707</v>
      </c>
      <c r="I59" s="54">
        <f t="shared" si="0"/>
        <v>49522</v>
      </c>
      <c r="J59" s="54">
        <f t="shared" si="0"/>
        <v>54743</v>
      </c>
      <c r="K59" s="54">
        <f t="shared" si="0"/>
        <v>53206</v>
      </c>
      <c r="L59" s="54">
        <f t="shared" ref="L59" si="1">L60+L75</f>
        <v>52754</v>
      </c>
      <c r="M59" s="54">
        <f t="shared" ref="M59:V59" si="2">M60+M75</f>
        <v>52171</v>
      </c>
      <c r="N59" s="54">
        <f t="shared" si="2"/>
        <v>50548</v>
      </c>
      <c r="O59" s="54">
        <f t="shared" si="2"/>
        <v>56101</v>
      </c>
      <c r="P59" s="54">
        <f t="shared" si="2"/>
        <v>64773</v>
      </c>
      <c r="Q59" s="54">
        <f t="shared" si="2"/>
        <v>78822</v>
      </c>
      <c r="R59" s="54">
        <f t="shared" si="2"/>
        <v>87494</v>
      </c>
      <c r="S59" s="54">
        <f t="shared" si="2"/>
        <v>117894</v>
      </c>
      <c r="T59" s="54">
        <f t="shared" si="2"/>
        <v>117874</v>
      </c>
      <c r="U59" s="54">
        <f t="shared" si="2"/>
        <v>119121</v>
      </c>
      <c r="V59" s="54">
        <f t="shared" si="2"/>
        <v>94692</v>
      </c>
      <c r="W59" s="54">
        <f t="shared" ref="W59:Y59" si="3">W60+W75</f>
        <v>113790</v>
      </c>
      <c r="X59" s="54">
        <f t="shared" si="3"/>
        <v>106350</v>
      </c>
      <c r="Y59" s="54">
        <f t="shared" si="3"/>
        <v>127571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7598</v>
      </c>
      <c r="C60" s="28">
        <f t="shared" si="4"/>
        <v>7814</v>
      </c>
      <c r="D60" s="28">
        <f t="shared" si="4"/>
        <v>12479</v>
      </c>
      <c r="E60" s="28">
        <f t="shared" si="4"/>
        <v>13935</v>
      </c>
      <c r="F60" s="28">
        <f t="shared" si="4"/>
        <v>18807</v>
      </c>
      <c r="G60" s="28">
        <f t="shared" si="4"/>
        <v>26859</v>
      </c>
      <c r="H60" s="28">
        <f t="shared" si="4"/>
        <v>31707</v>
      </c>
      <c r="I60" s="28">
        <f t="shared" si="4"/>
        <v>49517</v>
      </c>
      <c r="J60" s="28">
        <f t="shared" si="4"/>
        <v>54553</v>
      </c>
      <c r="K60" s="28">
        <f t="shared" si="4"/>
        <v>53206</v>
      </c>
      <c r="L60" s="28">
        <f t="shared" ref="L60" si="5">L61+L62+L69</f>
        <v>52588</v>
      </c>
      <c r="M60" s="28">
        <f t="shared" ref="M60:V60" si="6">M61+M62+M69</f>
        <v>51708</v>
      </c>
      <c r="N60" s="28">
        <f t="shared" si="6"/>
        <v>50069</v>
      </c>
      <c r="O60" s="28">
        <f t="shared" si="6"/>
        <v>52443</v>
      </c>
      <c r="P60" s="28">
        <f t="shared" si="6"/>
        <v>58550</v>
      </c>
      <c r="Q60" s="28">
        <f t="shared" si="6"/>
        <v>70859</v>
      </c>
      <c r="R60" s="28">
        <f t="shared" si="6"/>
        <v>76937</v>
      </c>
      <c r="S60" s="28">
        <f t="shared" si="6"/>
        <v>105092</v>
      </c>
      <c r="T60" s="28">
        <f t="shared" si="6"/>
        <v>103505</v>
      </c>
      <c r="U60" s="28">
        <f t="shared" si="6"/>
        <v>104157</v>
      </c>
      <c r="V60" s="28">
        <f t="shared" si="6"/>
        <v>83741</v>
      </c>
      <c r="W60" s="28">
        <f t="shared" ref="W60:Y60" si="7">W61+W62+W69</f>
        <v>99892</v>
      </c>
      <c r="X60" s="28">
        <f t="shared" si="7"/>
        <v>94549</v>
      </c>
      <c r="Y60" s="28">
        <f t="shared" si="7"/>
        <v>114611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222</v>
      </c>
      <c r="E61" s="137">
        <v>792</v>
      </c>
      <c r="F61" s="137">
        <v>1291</v>
      </c>
      <c r="G61" s="137">
        <v>1825</v>
      </c>
      <c r="H61" s="137">
        <v>3686</v>
      </c>
      <c r="I61" s="137">
        <v>15124</v>
      </c>
      <c r="J61" s="137">
        <v>10149</v>
      </c>
      <c r="K61" s="137">
        <v>7319</v>
      </c>
      <c r="L61" s="137">
        <v>4012</v>
      </c>
      <c r="M61" s="137">
        <v>2770</v>
      </c>
      <c r="N61" s="137">
        <v>2637</v>
      </c>
      <c r="O61" s="137">
        <v>2320</v>
      </c>
      <c r="P61" s="137">
        <v>5189</v>
      </c>
      <c r="Q61" s="137">
        <v>7544</v>
      </c>
      <c r="R61" s="137">
        <v>7216</v>
      </c>
      <c r="S61" s="137">
        <v>24302</v>
      </c>
      <c r="T61" s="137">
        <v>10565</v>
      </c>
      <c r="U61" s="137">
        <v>9000</v>
      </c>
      <c r="V61" s="137">
        <v>8673</v>
      </c>
      <c r="W61" s="137">
        <v>9511</v>
      </c>
      <c r="X61" s="137">
        <v>13494</v>
      </c>
      <c r="Y61" s="137">
        <v>14504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7597</v>
      </c>
      <c r="C62" s="110">
        <f t="shared" si="8"/>
        <v>7813</v>
      </c>
      <c r="D62" s="110">
        <f t="shared" si="8"/>
        <v>12257</v>
      </c>
      <c r="E62" s="110">
        <f t="shared" si="8"/>
        <v>13143</v>
      </c>
      <c r="F62" s="110">
        <f t="shared" si="8"/>
        <v>17513</v>
      </c>
      <c r="G62" s="110">
        <f t="shared" si="8"/>
        <v>25014</v>
      </c>
      <c r="H62" s="110">
        <f t="shared" si="8"/>
        <v>27986</v>
      </c>
      <c r="I62" s="110">
        <f t="shared" si="8"/>
        <v>34346</v>
      </c>
      <c r="J62" s="110">
        <f t="shared" si="8"/>
        <v>44327</v>
      </c>
      <c r="K62" s="110">
        <f t="shared" si="8"/>
        <v>45823</v>
      </c>
      <c r="L62" s="110">
        <f t="shared" ref="L62" si="9">SUM(L63:L68)</f>
        <v>48495</v>
      </c>
      <c r="M62" s="110">
        <f t="shared" ref="M62:V62" si="10">SUM(M63:M68)</f>
        <v>48857</v>
      </c>
      <c r="N62" s="110">
        <f t="shared" si="10"/>
        <v>47360</v>
      </c>
      <c r="O62" s="110">
        <f t="shared" si="10"/>
        <v>49981</v>
      </c>
      <c r="P62" s="110">
        <f t="shared" si="10"/>
        <v>53232</v>
      </c>
      <c r="Q62" s="110">
        <f t="shared" si="10"/>
        <v>63144</v>
      </c>
      <c r="R62" s="110">
        <f t="shared" si="10"/>
        <v>69533</v>
      </c>
      <c r="S62" s="110">
        <f t="shared" si="10"/>
        <v>80609</v>
      </c>
      <c r="T62" s="110">
        <f t="shared" si="10"/>
        <v>92766</v>
      </c>
      <c r="U62" s="110">
        <f t="shared" si="10"/>
        <v>94969</v>
      </c>
      <c r="V62" s="110">
        <f t="shared" si="10"/>
        <v>74914</v>
      </c>
      <c r="W62" s="110">
        <f t="shared" ref="W62:Y62" si="11">SUM(W63:W68)</f>
        <v>90081</v>
      </c>
      <c r="X62" s="110">
        <f t="shared" si="11"/>
        <v>80898</v>
      </c>
      <c r="Y62" s="110">
        <f t="shared" si="11"/>
        <v>99907</v>
      </c>
      <c r="DA62" s="176" t="s">
        <v>841</v>
      </c>
    </row>
    <row r="63" spans="1:105" ht="11.45" customHeight="1" x14ac:dyDescent="0.25">
      <c r="A63" s="111" t="s">
        <v>110</v>
      </c>
      <c r="B63" s="84">
        <v>7597</v>
      </c>
      <c r="C63" s="84">
        <v>7813</v>
      </c>
      <c r="D63" s="84">
        <v>6487</v>
      </c>
      <c r="E63" s="84">
        <v>8087</v>
      </c>
      <c r="F63" s="84">
        <v>9535</v>
      </c>
      <c r="G63" s="84">
        <v>11403</v>
      </c>
      <c r="H63" s="84">
        <v>13794</v>
      </c>
      <c r="I63" s="84">
        <v>17503</v>
      </c>
      <c r="J63" s="84">
        <v>22432</v>
      </c>
      <c r="K63" s="84">
        <v>21590</v>
      </c>
      <c r="L63" s="84">
        <v>24306</v>
      </c>
      <c r="M63" s="84">
        <v>23660</v>
      </c>
      <c r="N63" s="84">
        <v>18601</v>
      </c>
      <c r="O63" s="84">
        <v>19111</v>
      </c>
      <c r="P63" s="84">
        <v>20156</v>
      </c>
      <c r="Q63" s="84">
        <v>25612</v>
      </c>
      <c r="R63" s="84">
        <v>28771</v>
      </c>
      <c r="S63" s="84">
        <v>36048</v>
      </c>
      <c r="T63" s="84">
        <v>46540</v>
      </c>
      <c r="U63" s="84">
        <v>49597</v>
      </c>
      <c r="V63" s="84">
        <v>36521</v>
      </c>
      <c r="W63" s="84">
        <v>43348</v>
      </c>
      <c r="X63" s="84">
        <v>40628</v>
      </c>
      <c r="Y63" s="84">
        <v>57912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5770</v>
      </c>
      <c r="E64" s="84">
        <v>5056</v>
      </c>
      <c r="F64" s="84">
        <v>7978</v>
      </c>
      <c r="G64" s="84">
        <v>13611</v>
      </c>
      <c r="H64" s="84">
        <v>13871</v>
      </c>
      <c r="I64" s="84">
        <v>16363</v>
      </c>
      <c r="J64" s="84">
        <v>21895</v>
      </c>
      <c r="K64" s="84">
        <v>22741</v>
      </c>
      <c r="L64" s="84">
        <v>23614</v>
      </c>
      <c r="M64" s="84">
        <v>24731</v>
      </c>
      <c r="N64" s="84">
        <v>27620</v>
      </c>
      <c r="O64" s="84">
        <v>28726</v>
      </c>
      <c r="P64" s="84">
        <v>32746</v>
      </c>
      <c r="Q64" s="84">
        <v>37260</v>
      </c>
      <c r="R64" s="84">
        <v>39644</v>
      </c>
      <c r="S64" s="84">
        <v>43707</v>
      </c>
      <c r="T64" s="84">
        <v>45460</v>
      </c>
      <c r="U64" s="84">
        <v>44192</v>
      </c>
      <c r="V64" s="84">
        <v>36019</v>
      </c>
      <c r="W64" s="84">
        <v>43923</v>
      </c>
      <c r="X64" s="84">
        <v>36576</v>
      </c>
      <c r="Y64" s="84">
        <v>36079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321</v>
      </c>
      <c r="I65" s="84">
        <v>480</v>
      </c>
      <c r="J65" s="84">
        <v>0</v>
      </c>
      <c r="K65" s="84">
        <v>1492</v>
      </c>
      <c r="L65" s="84">
        <v>575</v>
      </c>
      <c r="M65" s="84">
        <v>466</v>
      </c>
      <c r="N65" s="84">
        <v>1139</v>
      </c>
      <c r="O65" s="84">
        <v>2144</v>
      </c>
      <c r="P65" s="84">
        <v>330</v>
      </c>
      <c r="Q65" s="84">
        <v>255</v>
      </c>
      <c r="R65" s="84">
        <v>1085</v>
      </c>
      <c r="S65" s="84">
        <v>572</v>
      </c>
      <c r="T65" s="84">
        <v>313</v>
      </c>
      <c r="U65" s="84">
        <v>334</v>
      </c>
      <c r="V65" s="84">
        <v>394</v>
      </c>
      <c r="W65" s="84">
        <v>556</v>
      </c>
      <c r="X65" s="84">
        <v>689</v>
      </c>
      <c r="Y65" s="84">
        <v>504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17</v>
      </c>
      <c r="R66" s="84">
        <v>33</v>
      </c>
      <c r="S66" s="84">
        <v>59</v>
      </c>
      <c r="T66" s="84">
        <v>19</v>
      </c>
      <c r="U66" s="84">
        <v>27</v>
      </c>
      <c r="V66" s="84">
        <v>49</v>
      </c>
      <c r="W66" s="84">
        <v>16</v>
      </c>
      <c r="X66" s="84">
        <v>6</v>
      </c>
      <c r="Y66" s="84">
        <v>0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58</v>
      </c>
      <c r="V67" s="84">
        <v>229</v>
      </c>
      <c r="W67" s="84">
        <v>506</v>
      </c>
      <c r="X67" s="84">
        <v>656</v>
      </c>
      <c r="Y67" s="84">
        <v>1074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223</v>
      </c>
      <c r="T68" s="84">
        <v>434</v>
      </c>
      <c r="U68" s="84">
        <v>761</v>
      </c>
      <c r="V68" s="84">
        <v>1702</v>
      </c>
      <c r="W68" s="84">
        <v>1732</v>
      </c>
      <c r="X68" s="84">
        <v>2343</v>
      </c>
      <c r="Y68" s="84">
        <v>4338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1</v>
      </c>
      <c r="C69" s="110">
        <f t="shared" si="12"/>
        <v>1</v>
      </c>
      <c r="D69" s="110">
        <f t="shared" si="12"/>
        <v>0</v>
      </c>
      <c r="E69" s="110">
        <f t="shared" si="12"/>
        <v>0</v>
      </c>
      <c r="F69" s="110">
        <f t="shared" si="12"/>
        <v>3</v>
      </c>
      <c r="G69" s="110">
        <f t="shared" si="12"/>
        <v>20</v>
      </c>
      <c r="H69" s="110">
        <f t="shared" si="12"/>
        <v>35</v>
      </c>
      <c r="I69" s="110">
        <f t="shared" si="12"/>
        <v>47</v>
      </c>
      <c r="J69" s="110">
        <f t="shared" si="12"/>
        <v>77</v>
      </c>
      <c r="K69" s="110">
        <f t="shared" si="12"/>
        <v>64</v>
      </c>
      <c r="L69" s="110">
        <f t="shared" ref="L69" si="13">SUM(L70:L74)</f>
        <v>81</v>
      </c>
      <c r="M69" s="110">
        <f t="shared" ref="M69:V69" si="14">SUM(M70:M74)</f>
        <v>81</v>
      </c>
      <c r="N69" s="110">
        <f t="shared" si="14"/>
        <v>72</v>
      </c>
      <c r="O69" s="110">
        <f t="shared" si="14"/>
        <v>142</v>
      </c>
      <c r="P69" s="110">
        <f t="shared" si="14"/>
        <v>129</v>
      </c>
      <c r="Q69" s="110">
        <f t="shared" si="14"/>
        <v>171</v>
      </c>
      <c r="R69" s="110">
        <f t="shared" si="14"/>
        <v>188</v>
      </c>
      <c r="S69" s="110">
        <f t="shared" si="14"/>
        <v>181</v>
      </c>
      <c r="T69" s="110">
        <f t="shared" si="14"/>
        <v>174</v>
      </c>
      <c r="U69" s="110">
        <f t="shared" si="14"/>
        <v>188</v>
      </c>
      <c r="V69" s="110">
        <f t="shared" si="14"/>
        <v>154</v>
      </c>
      <c r="W69" s="110">
        <f t="shared" ref="W69:Y69" si="15">SUM(W70:W74)</f>
        <v>300</v>
      </c>
      <c r="X69" s="110">
        <f t="shared" si="15"/>
        <v>157</v>
      </c>
      <c r="Y69" s="110">
        <f t="shared" si="15"/>
        <v>200</v>
      </c>
      <c r="DA69" s="176" t="s">
        <v>848</v>
      </c>
    </row>
    <row r="70" spans="1:105" ht="11.45" customHeight="1" x14ac:dyDescent="0.25">
      <c r="A70" s="111" t="s">
        <v>110</v>
      </c>
      <c r="B70" s="102">
        <v>1</v>
      </c>
      <c r="C70" s="102">
        <v>1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1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25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3</v>
      </c>
      <c r="G71" s="102">
        <v>20</v>
      </c>
      <c r="H71" s="102">
        <v>35</v>
      </c>
      <c r="I71" s="102">
        <v>47</v>
      </c>
      <c r="J71" s="102">
        <v>77</v>
      </c>
      <c r="K71" s="102">
        <v>64</v>
      </c>
      <c r="L71" s="102">
        <v>81</v>
      </c>
      <c r="M71" s="102">
        <v>81</v>
      </c>
      <c r="N71" s="102">
        <v>72</v>
      </c>
      <c r="O71" s="102">
        <v>141</v>
      </c>
      <c r="P71" s="102">
        <v>129</v>
      </c>
      <c r="Q71" s="102">
        <v>171</v>
      </c>
      <c r="R71" s="102">
        <v>141</v>
      </c>
      <c r="S71" s="102">
        <v>181</v>
      </c>
      <c r="T71" s="102">
        <v>158</v>
      </c>
      <c r="U71" s="102">
        <v>159</v>
      </c>
      <c r="V71" s="102">
        <v>151</v>
      </c>
      <c r="W71" s="102">
        <v>299</v>
      </c>
      <c r="X71" s="102">
        <v>153</v>
      </c>
      <c r="Y71" s="102">
        <v>153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47</v>
      </c>
      <c r="S73" s="102">
        <v>0</v>
      </c>
      <c r="T73" s="102">
        <v>16</v>
      </c>
      <c r="U73" s="102">
        <v>27</v>
      </c>
      <c r="V73" s="102">
        <v>0</v>
      </c>
      <c r="W73" s="102">
        <v>1</v>
      </c>
      <c r="X73" s="102">
        <v>0</v>
      </c>
      <c r="Y73" s="102">
        <v>4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2</v>
      </c>
      <c r="V74" s="102">
        <v>3</v>
      </c>
      <c r="W74" s="102">
        <v>0</v>
      </c>
      <c r="X74" s="102">
        <v>4</v>
      </c>
      <c r="Y74" s="102">
        <v>18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5</v>
      </c>
      <c r="J75" s="28">
        <f t="shared" si="16"/>
        <v>190</v>
      </c>
      <c r="K75" s="28">
        <f t="shared" si="16"/>
        <v>0</v>
      </c>
      <c r="L75" s="28">
        <f t="shared" ref="L75" si="17">L76+L82</f>
        <v>166</v>
      </c>
      <c r="M75" s="28">
        <f t="shared" ref="M75:V75" si="18">M76+M82</f>
        <v>463</v>
      </c>
      <c r="N75" s="28">
        <f t="shared" si="18"/>
        <v>479</v>
      </c>
      <c r="O75" s="28">
        <f t="shared" si="18"/>
        <v>3658</v>
      </c>
      <c r="P75" s="28">
        <f t="shared" si="18"/>
        <v>6223</v>
      </c>
      <c r="Q75" s="28">
        <f t="shared" si="18"/>
        <v>7963</v>
      </c>
      <c r="R75" s="28">
        <f t="shared" si="18"/>
        <v>10557</v>
      </c>
      <c r="S75" s="28">
        <f t="shared" si="18"/>
        <v>12802</v>
      </c>
      <c r="T75" s="28">
        <f t="shared" si="18"/>
        <v>14369</v>
      </c>
      <c r="U75" s="28">
        <f t="shared" si="18"/>
        <v>14964</v>
      </c>
      <c r="V75" s="28">
        <f t="shared" si="18"/>
        <v>10951</v>
      </c>
      <c r="W75" s="28">
        <f t="shared" ref="W75:Y75" si="19">W76+W82</f>
        <v>13898</v>
      </c>
      <c r="X75" s="28">
        <f t="shared" si="19"/>
        <v>11801</v>
      </c>
      <c r="Y75" s="28">
        <f t="shared" si="19"/>
        <v>12960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37</v>
      </c>
      <c r="M76" s="137">
        <f t="shared" ref="M76:V76" si="22">SUM(M77:M81)</f>
        <v>180</v>
      </c>
      <c r="N76" s="137">
        <f t="shared" si="22"/>
        <v>144</v>
      </c>
      <c r="O76" s="137">
        <f t="shared" si="22"/>
        <v>3427</v>
      </c>
      <c r="P76" s="137">
        <f t="shared" si="22"/>
        <v>4689</v>
      </c>
      <c r="Q76" s="137">
        <f t="shared" si="22"/>
        <v>5733</v>
      </c>
      <c r="R76" s="137">
        <f t="shared" si="22"/>
        <v>7615</v>
      </c>
      <c r="S76" s="137">
        <f t="shared" si="22"/>
        <v>9703</v>
      </c>
      <c r="T76" s="137">
        <f t="shared" si="22"/>
        <v>11168</v>
      </c>
      <c r="U76" s="137">
        <f t="shared" si="22"/>
        <v>12043</v>
      </c>
      <c r="V76" s="137">
        <f t="shared" si="22"/>
        <v>9188</v>
      </c>
      <c r="W76" s="137">
        <f t="shared" ref="W76:Y76" si="23">SUM(W77:W81)</f>
        <v>11016</v>
      </c>
      <c r="X76" s="137">
        <f t="shared" si="23"/>
        <v>8927</v>
      </c>
      <c r="Y76" s="137">
        <f t="shared" si="23"/>
        <v>9997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36</v>
      </c>
      <c r="M77" s="84">
        <v>180</v>
      </c>
      <c r="N77" s="84">
        <v>141</v>
      </c>
      <c r="O77" s="84">
        <v>81</v>
      </c>
      <c r="P77" s="84">
        <v>81</v>
      </c>
      <c r="Q77" s="84">
        <v>141</v>
      </c>
      <c r="R77" s="84">
        <v>209</v>
      </c>
      <c r="S77" s="84">
        <v>314</v>
      </c>
      <c r="T77" s="84">
        <v>753</v>
      </c>
      <c r="U77" s="84">
        <v>787</v>
      </c>
      <c r="V77" s="84">
        <v>185</v>
      </c>
      <c r="W77" s="84">
        <v>212</v>
      </c>
      <c r="X77" s="84">
        <v>237</v>
      </c>
      <c r="Y77" s="84">
        <v>264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3337</v>
      </c>
      <c r="P78" s="84">
        <v>4399</v>
      </c>
      <c r="Q78" s="84">
        <v>5520</v>
      </c>
      <c r="R78" s="84">
        <v>7394</v>
      </c>
      <c r="S78" s="84">
        <v>9316</v>
      </c>
      <c r="T78" s="84">
        <v>10369</v>
      </c>
      <c r="U78" s="84">
        <v>11110</v>
      </c>
      <c r="V78" s="84">
        <v>8942</v>
      </c>
      <c r="W78" s="84">
        <v>10728</v>
      </c>
      <c r="X78" s="84">
        <v>8579</v>
      </c>
      <c r="Y78" s="84">
        <v>9618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1</v>
      </c>
      <c r="M79" s="84">
        <v>0</v>
      </c>
      <c r="N79" s="84">
        <v>3</v>
      </c>
      <c r="O79" s="84">
        <v>9</v>
      </c>
      <c r="P79" s="84">
        <v>209</v>
      </c>
      <c r="Q79" s="84">
        <v>43</v>
      </c>
      <c r="R79" s="84">
        <v>11</v>
      </c>
      <c r="S79" s="84">
        <v>46</v>
      </c>
      <c r="T79" s="84">
        <v>16</v>
      </c>
      <c r="U79" s="84">
        <v>82</v>
      </c>
      <c r="V79" s="84">
        <v>35</v>
      </c>
      <c r="W79" s="84">
        <v>15</v>
      </c>
      <c r="X79" s="84">
        <v>15</v>
      </c>
      <c r="Y79" s="84">
        <v>10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29</v>
      </c>
      <c r="R80" s="84">
        <v>1</v>
      </c>
      <c r="S80" s="84">
        <v>22</v>
      </c>
      <c r="T80" s="84">
        <v>6</v>
      </c>
      <c r="U80" s="84">
        <v>26</v>
      </c>
      <c r="V80" s="84">
        <v>5</v>
      </c>
      <c r="W80" s="84">
        <v>4</v>
      </c>
      <c r="X80" s="84">
        <v>5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5</v>
      </c>
      <c r="T81" s="84">
        <v>24</v>
      </c>
      <c r="U81" s="84">
        <v>38</v>
      </c>
      <c r="V81" s="84">
        <v>21</v>
      </c>
      <c r="W81" s="84">
        <v>57</v>
      </c>
      <c r="X81" s="84">
        <v>91</v>
      </c>
      <c r="Y81" s="84">
        <v>105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5</v>
      </c>
      <c r="J82" s="110">
        <f t="shared" si="24"/>
        <v>190</v>
      </c>
      <c r="K82" s="110">
        <f t="shared" si="24"/>
        <v>0</v>
      </c>
      <c r="L82" s="110">
        <f t="shared" ref="L82" si="25">SUM(L83:L84)</f>
        <v>129</v>
      </c>
      <c r="M82" s="110">
        <f t="shared" ref="M82:V82" si="26">SUM(M83:M84)</f>
        <v>283</v>
      </c>
      <c r="N82" s="110">
        <f t="shared" si="26"/>
        <v>335</v>
      </c>
      <c r="O82" s="110">
        <f t="shared" si="26"/>
        <v>231</v>
      </c>
      <c r="P82" s="110">
        <f t="shared" si="26"/>
        <v>1534</v>
      </c>
      <c r="Q82" s="110">
        <f t="shared" si="26"/>
        <v>2230</v>
      </c>
      <c r="R82" s="110">
        <f t="shared" si="26"/>
        <v>2942</v>
      </c>
      <c r="S82" s="110">
        <f t="shared" si="26"/>
        <v>3099</v>
      </c>
      <c r="T82" s="110">
        <f t="shared" si="26"/>
        <v>3201</v>
      </c>
      <c r="U82" s="110">
        <f t="shared" si="26"/>
        <v>2921</v>
      </c>
      <c r="V82" s="110">
        <f t="shared" si="26"/>
        <v>1763</v>
      </c>
      <c r="W82" s="110">
        <f t="shared" ref="W82:Y82" si="27">SUM(W83:W84)</f>
        <v>2882</v>
      </c>
      <c r="X82" s="110">
        <f t="shared" si="27"/>
        <v>2874</v>
      </c>
      <c r="Y82" s="110">
        <f t="shared" si="27"/>
        <v>2963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0</v>
      </c>
      <c r="K83" s="102">
        <v>0</v>
      </c>
      <c r="L83" s="102">
        <v>0</v>
      </c>
      <c r="M83" s="102">
        <v>0</v>
      </c>
      <c r="N83" s="102">
        <v>0</v>
      </c>
      <c r="O83" s="102">
        <v>0</v>
      </c>
      <c r="P83" s="102">
        <v>1271</v>
      </c>
      <c r="Q83" s="102">
        <v>1653</v>
      </c>
      <c r="R83" s="102">
        <v>2189</v>
      </c>
      <c r="S83" s="102">
        <v>2360</v>
      </c>
      <c r="T83" s="102">
        <v>2787</v>
      </c>
      <c r="U83" s="102">
        <v>2461</v>
      </c>
      <c r="V83" s="102">
        <v>1750</v>
      </c>
      <c r="W83" s="102">
        <v>2042</v>
      </c>
      <c r="X83" s="102">
        <v>2198</v>
      </c>
      <c r="Y83" s="102">
        <v>2405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5</v>
      </c>
      <c r="J84" s="86">
        <v>190</v>
      </c>
      <c r="K84" s="86">
        <v>0</v>
      </c>
      <c r="L84" s="86">
        <v>129</v>
      </c>
      <c r="M84" s="86">
        <v>283</v>
      </c>
      <c r="N84" s="86">
        <v>335</v>
      </c>
      <c r="O84" s="86">
        <v>231</v>
      </c>
      <c r="P84" s="86">
        <v>263</v>
      </c>
      <c r="Q84" s="86">
        <v>577</v>
      </c>
      <c r="R84" s="86">
        <v>753</v>
      </c>
      <c r="S84" s="86">
        <v>739</v>
      </c>
      <c r="T84" s="86">
        <v>414</v>
      </c>
      <c r="U84" s="86">
        <v>460</v>
      </c>
      <c r="V84" s="86">
        <v>13</v>
      </c>
      <c r="W84" s="86">
        <v>840</v>
      </c>
      <c r="X84" s="86">
        <v>676</v>
      </c>
      <c r="Y84" s="86">
        <v>558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4.189661826395783</v>
      </c>
      <c r="C90" s="141">
        <v>4.1685826653170643</v>
      </c>
      <c r="D90" s="141">
        <v>4.1444152079719485</v>
      </c>
      <c r="E90" s="141">
        <v>4.1144494124832987</v>
      </c>
      <c r="F90" s="141">
        <v>4.0775230616290239</v>
      </c>
      <c r="G90" s="141">
        <v>4.0336866672704383</v>
      </c>
      <c r="H90" s="141">
        <v>3.9591373610362077</v>
      </c>
      <c r="I90" s="141">
        <v>3.7601811605389868</v>
      </c>
      <c r="J90" s="141">
        <v>3.647248795919499</v>
      </c>
      <c r="K90" s="141">
        <v>3.5627484437350345</v>
      </c>
      <c r="L90" s="141">
        <v>3.5127025121053541</v>
      </c>
      <c r="M90" s="141">
        <v>3.474683408784641</v>
      </c>
      <c r="N90" s="141">
        <v>3.4515038183541638</v>
      </c>
      <c r="O90" s="141">
        <v>3.408952688655964</v>
      </c>
      <c r="P90" s="141">
        <v>3.3578281498234941</v>
      </c>
      <c r="Q90" s="141">
        <v>3.2638235930577308</v>
      </c>
      <c r="R90" s="141">
        <v>3.1732872718024931</v>
      </c>
      <c r="S90" s="141">
        <v>3.0140802032958209</v>
      </c>
      <c r="T90" s="141">
        <v>2.9476825716391688</v>
      </c>
      <c r="U90" s="141">
        <v>2.8784503146424298</v>
      </c>
      <c r="V90" s="141">
        <v>2.8328132825272974</v>
      </c>
      <c r="W90" s="141">
        <v>2.7780805476457897</v>
      </c>
      <c r="X90" s="141">
        <v>2.7098724274842274</v>
      </c>
      <c r="Y90" s="141">
        <v>2.6440477644776714</v>
      </c>
      <c r="DA90" s="174" t="s">
        <v>864</v>
      </c>
    </row>
    <row r="91" spans="1:105" ht="11.45" customHeight="1" x14ac:dyDescent="0.25">
      <c r="A91" s="109" t="s">
        <v>20</v>
      </c>
      <c r="B91" s="130">
        <v>8.2364474285425295</v>
      </c>
      <c r="C91" s="130">
        <v>8.1121136289990901</v>
      </c>
      <c r="D91" s="130">
        <v>8.0105678734252557</v>
      </c>
      <c r="E91" s="130">
        <v>7.9510376090759562</v>
      </c>
      <c r="F91" s="130">
        <v>7.8694779500063667</v>
      </c>
      <c r="G91" s="130">
        <v>7.7967989896596794</v>
      </c>
      <c r="H91" s="130">
        <v>7.7193784779527546</v>
      </c>
      <c r="I91" s="130">
        <v>7.6307318444400547</v>
      </c>
      <c r="J91" s="130">
        <v>7.5104555814935816</v>
      </c>
      <c r="K91" s="130">
        <v>7.3882846228039627</v>
      </c>
      <c r="L91" s="130">
        <v>7.271114798145347</v>
      </c>
      <c r="M91" s="130">
        <v>7.1381814570031494</v>
      </c>
      <c r="N91" s="130">
        <v>7.0237860211691965</v>
      </c>
      <c r="O91" s="130">
        <v>6.8859388762755245</v>
      </c>
      <c r="P91" s="130">
        <v>6.7485936630328673</v>
      </c>
      <c r="Q91" s="130">
        <v>6.5988748144176794</v>
      </c>
      <c r="R91" s="130">
        <v>6.4598205735375567</v>
      </c>
      <c r="S91" s="130">
        <v>6.3093633627058825</v>
      </c>
      <c r="T91" s="130">
        <v>6.1297778771445017</v>
      </c>
      <c r="U91" s="130">
        <v>5.9563877395218192</v>
      </c>
      <c r="V91" s="130">
        <v>5.7983826364300448</v>
      </c>
      <c r="W91" s="130">
        <v>5.681452391783834</v>
      </c>
      <c r="X91" s="130">
        <v>5.5740918853068342</v>
      </c>
      <c r="Y91" s="130">
        <v>5.4504195363739329</v>
      </c>
      <c r="DA91" s="176" t="s">
        <v>865</v>
      </c>
    </row>
    <row r="92" spans="1:105" ht="11.45" customHeight="1" x14ac:dyDescent="0.25">
      <c r="A92" s="111" t="s">
        <v>110</v>
      </c>
      <c r="B92" s="96">
        <v>8.3139911224818572</v>
      </c>
      <c r="C92" s="96">
        <v>8.1625330585509754</v>
      </c>
      <c r="D92" s="96">
        <v>8.1070614656398376</v>
      </c>
      <c r="E92" s="96">
        <v>8.047432357767466</v>
      </c>
      <c r="F92" s="96">
        <v>7.98366450867191</v>
      </c>
      <c r="G92" s="96">
        <v>7.926587235607033</v>
      </c>
      <c r="H92" s="96">
        <v>7.852411320547267</v>
      </c>
      <c r="I92" s="96">
        <v>7.7603220451625416</v>
      </c>
      <c r="J92" s="96">
        <v>7.6299567821210763</v>
      </c>
      <c r="K92" s="96">
        <v>7.4957760437437848</v>
      </c>
      <c r="L92" s="96">
        <v>7.3512012857521629</v>
      </c>
      <c r="M92" s="96">
        <v>7.2034923944194347</v>
      </c>
      <c r="N92" s="96">
        <v>7.0845246021593296</v>
      </c>
      <c r="O92" s="96">
        <v>6.9387718964199347</v>
      </c>
      <c r="P92" s="96">
        <v>6.8017956719949311</v>
      </c>
      <c r="Q92" s="96">
        <v>6.6385014886262415</v>
      </c>
      <c r="R92" s="96">
        <v>6.4733211471700951</v>
      </c>
      <c r="S92" s="96">
        <v>6.2853167188114032</v>
      </c>
      <c r="T92" s="96">
        <v>6.0520342583690088</v>
      </c>
      <c r="U92" s="96">
        <v>5.8389649393396601</v>
      </c>
      <c r="V92" s="96">
        <v>5.668558840949764</v>
      </c>
      <c r="W92" s="96">
        <v>5.5463236964292353</v>
      </c>
      <c r="X92" s="96">
        <v>5.4392159820879602</v>
      </c>
      <c r="Y92" s="96">
        <v>5.2823593886961042</v>
      </c>
      <c r="DA92" s="171" t="s">
        <v>866</v>
      </c>
    </row>
    <row r="93" spans="1:105" ht="11.45" customHeight="1" x14ac:dyDescent="0.25">
      <c r="A93" s="111" t="s">
        <v>111</v>
      </c>
      <c r="B93" s="96">
        <v>7.6888801160762146</v>
      </c>
      <c r="C93" s="96">
        <v>7.5012698936345048</v>
      </c>
      <c r="D93" s="96">
        <v>7.2600735736034503</v>
      </c>
      <c r="E93" s="96">
        <v>7.1391159334877541</v>
      </c>
      <c r="F93" s="96">
        <v>7.0792108308954926</v>
      </c>
      <c r="G93" s="96">
        <v>7.026659220745338</v>
      </c>
      <c r="H93" s="96">
        <v>6.9994712839986288</v>
      </c>
      <c r="I93" s="96">
        <v>6.9642178386167233</v>
      </c>
      <c r="J93" s="96">
        <v>6.899531706300869</v>
      </c>
      <c r="K93" s="96">
        <v>6.8245107004939713</v>
      </c>
      <c r="L93" s="96">
        <v>6.7518543389459893</v>
      </c>
      <c r="M93" s="96">
        <v>6.6660696911591995</v>
      </c>
      <c r="N93" s="96">
        <v>6.5652183194107403</v>
      </c>
      <c r="O93" s="96">
        <v>6.444005974153808</v>
      </c>
      <c r="P93" s="96">
        <v>6.2971760807957757</v>
      </c>
      <c r="Q93" s="96">
        <v>6.1619650242365633</v>
      </c>
      <c r="R93" s="96">
        <v>6.0529296563844639</v>
      </c>
      <c r="S93" s="96">
        <v>5.9452254404295299</v>
      </c>
      <c r="T93" s="96">
        <v>5.842411213217189</v>
      </c>
      <c r="U93" s="96">
        <v>5.7457491245279666</v>
      </c>
      <c r="V93" s="96">
        <v>5.6466717212048856</v>
      </c>
      <c r="W93" s="96">
        <v>5.5413193328515185</v>
      </c>
      <c r="X93" s="96">
        <v>5.4567922029766089</v>
      </c>
      <c r="Y93" s="96">
        <v>5.423237830188584</v>
      </c>
      <c r="DA93" s="171" t="s">
        <v>867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6.3567928771151534</v>
      </c>
      <c r="I94" s="96">
        <v>6.4579324722919553</v>
      </c>
      <c r="J94" s="96">
        <v>6.472476495746756</v>
      </c>
      <c r="K94" s="96">
        <v>6.5040796466001014</v>
      </c>
      <c r="L94" s="96">
        <v>6.4722205061396618</v>
      </c>
      <c r="M94" s="96">
        <v>6.4609270734337905</v>
      </c>
      <c r="N94" s="96">
        <v>6.426806727771142</v>
      </c>
      <c r="O94" s="96">
        <v>6.3533893153345442</v>
      </c>
      <c r="P94" s="96">
        <v>6.3099569773711695</v>
      </c>
      <c r="Q94" s="96">
        <v>6.2903759187429129</v>
      </c>
      <c r="R94" s="96">
        <v>6.1800127500412607</v>
      </c>
      <c r="S94" s="96">
        <v>6.1228470481346138</v>
      </c>
      <c r="T94" s="96">
        <v>6.0906589529812249</v>
      </c>
      <c r="U94" s="96">
        <v>6.0608552204289685</v>
      </c>
      <c r="V94" s="96">
        <v>6.0304949628737257</v>
      </c>
      <c r="W94" s="96">
        <v>5.9225433757015047</v>
      </c>
      <c r="X94" s="96">
        <v>5.7943741915960443</v>
      </c>
      <c r="Y94" s="96">
        <v>5.708352043613889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5.8836376896622529</v>
      </c>
      <c r="O95" s="96">
        <v>5.8343781255367224</v>
      </c>
      <c r="P95" s="96">
        <v>5.4423590495799079</v>
      </c>
      <c r="Q95" s="96">
        <v>5.1323860058483621</v>
      </c>
      <c r="R95" s="96">
        <v>5.0859014823395761</v>
      </c>
      <c r="S95" s="96">
        <v>5.0311295125619253</v>
      </c>
      <c r="T95" s="96">
        <v>5.0981998495289096</v>
      </c>
      <c r="U95" s="96">
        <v>5.068568643441747</v>
      </c>
      <c r="V95" s="96">
        <v>4.9618822508491212</v>
      </c>
      <c r="W95" s="96">
        <v>4.9183985484818074</v>
      </c>
      <c r="X95" s="96">
        <v>4.9009526619651576</v>
      </c>
      <c r="Y95" s="96">
        <v>4.8972460533733697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2.3513424518066168</v>
      </c>
      <c r="P96" s="96">
        <v>2.4385857370909485</v>
      </c>
      <c r="Q96" s="96">
        <v>2.3247805881454946</v>
      </c>
      <c r="R96" s="96">
        <v>2.5394677386792139</v>
      </c>
      <c r="S96" s="96">
        <v>3.0995502333689955</v>
      </c>
      <c r="T96" s="96">
        <v>3.2139530340316544</v>
      </c>
      <c r="U96" s="96">
        <v>3.1752913818423916</v>
      </c>
      <c r="V96" s="96">
        <v>3.158754088362651</v>
      </c>
      <c r="W96" s="96">
        <v>2.942818548501513</v>
      </c>
      <c r="X96" s="96">
        <v>2.9133832467126153</v>
      </c>
      <c r="Y96" s="96">
        <v>2.813513056333222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1.6199263019531938</v>
      </c>
      <c r="N97" s="96">
        <v>1.5394954504103344</v>
      </c>
      <c r="O97" s="96">
        <v>1.5397836173315114</v>
      </c>
      <c r="P97" s="96">
        <v>1.4221174258303524</v>
      </c>
      <c r="Q97" s="96">
        <v>1.2931197135801153</v>
      </c>
      <c r="R97" s="96">
        <v>1.2385354354198879</v>
      </c>
      <c r="S97" s="96">
        <v>1.1933334083943363</v>
      </c>
      <c r="T97" s="96">
        <v>1.1860363527078794</v>
      </c>
      <c r="U97" s="96">
        <v>1.2787121713068135</v>
      </c>
      <c r="V97" s="96">
        <v>1.3466946952498955</v>
      </c>
      <c r="W97" s="96">
        <v>1.3775042726012143</v>
      </c>
      <c r="X97" s="96">
        <v>1.4026154888888387</v>
      </c>
      <c r="Y97" s="96">
        <v>1.4246845120701561</v>
      </c>
      <c r="DA97" s="171" t="s">
        <v>871</v>
      </c>
    </row>
    <row r="98" spans="1:105" ht="11.45" customHeight="1" x14ac:dyDescent="0.25">
      <c r="A98" s="109" t="s">
        <v>21</v>
      </c>
      <c r="B98" s="130">
        <v>53.556676465260558</v>
      </c>
      <c r="C98" s="130">
        <v>51.624510741835998</v>
      </c>
      <c r="D98" s="130">
        <v>51.311722733707725</v>
      </c>
      <c r="E98" s="130">
        <v>50.893369995513915</v>
      </c>
      <c r="F98" s="130">
        <v>50.590677180774783</v>
      </c>
      <c r="G98" s="130">
        <v>50.143013404385485</v>
      </c>
      <c r="H98" s="130">
        <v>49.726161716602455</v>
      </c>
      <c r="I98" s="130">
        <v>49.37729342467096</v>
      </c>
      <c r="J98" s="130">
        <v>48.875550108565037</v>
      </c>
      <c r="K98" s="130">
        <v>48.507961360175599</v>
      </c>
      <c r="L98" s="130">
        <v>48.082666853441992</v>
      </c>
      <c r="M98" s="130">
        <v>47.749272736891868</v>
      </c>
      <c r="N98" s="130">
        <v>47.317351907215681</v>
      </c>
      <c r="O98" s="130">
        <v>46.844274775167662</v>
      </c>
      <c r="P98" s="130">
        <v>46.084613495564717</v>
      </c>
      <c r="Q98" s="130">
        <v>45.669796654817851</v>
      </c>
      <c r="R98" s="130">
        <v>44.924988246604826</v>
      </c>
      <c r="S98" s="130">
        <v>44.591381614509807</v>
      </c>
      <c r="T98" s="130">
        <v>44.145406401460356</v>
      </c>
      <c r="U98" s="130">
        <v>43.954175513363595</v>
      </c>
      <c r="V98" s="130">
        <v>42.357718201764314</v>
      </c>
      <c r="W98" s="130">
        <v>41.590309776840598</v>
      </c>
      <c r="X98" s="130">
        <v>41.138300601671631</v>
      </c>
      <c r="Y98" s="130">
        <v>40.104347786285089</v>
      </c>
      <c r="DA98" s="176" t="s">
        <v>872</v>
      </c>
    </row>
    <row r="99" spans="1:105" ht="11.45" customHeight="1" x14ac:dyDescent="0.25">
      <c r="A99" s="111" t="s">
        <v>110</v>
      </c>
      <c r="B99" s="97">
        <v>18.582448075298945</v>
      </c>
      <c r="C99" s="97">
        <v>18.444492913647345</v>
      </c>
      <c r="D99" s="97">
        <v>18.437332351114073</v>
      </c>
      <c r="E99" s="97">
        <v>18.423550104935003</v>
      </c>
      <c r="F99" s="97">
        <v>18.403762151759249</v>
      </c>
      <c r="G99" s="97">
        <v>18.39156217793229</v>
      </c>
      <c r="H99" s="97">
        <v>18.36227089976737</v>
      </c>
      <c r="I99" s="97">
        <v>18.343449010612414</v>
      </c>
      <c r="J99" s="97">
        <v>18.295683571194207</v>
      </c>
      <c r="K99" s="97">
        <v>18.245644215357402</v>
      </c>
      <c r="L99" s="97">
        <v>18.199512755414023</v>
      </c>
      <c r="M99" s="97">
        <v>18.104736254659308</v>
      </c>
      <c r="N99" s="97">
        <v>18.060110904336621</v>
      </c>
      <c r="O99" s="97">
        <v>16.081780813408745</v>
      </c>
      <c r="P99" s="97">
        <v>15.652332793833592</v>
      </c>
      <c r="Q99" s="97">
        <v>15.142386124066091</v>
      </c>
      <c r="R99" s="97">
        <v>15.142386124066089</v>
      </c>
      <c r="S99" s="97">
        <v>15.142386124066089</v>
      </c>
      <c r="T99" s="97">
        <v>15.142386124066091</v>
      </c>
      <c r="U99" s="97">
        <v>15.142386124066093</v>
      </c>
      <c r="V99" s="97">
        <v>15.142386124066089</v>
      </c>
      <c r="W99" s="97">
        <v>15.142386124066093</v>
      </c>
      <c r="X99" s="97">
        <v>14.273638691691934</v>
      </c>
      <c r="Y99" s="97">
        <v>9.2384112577245645</v>
      </c>
      <c r="DA99" s="175" t="s">
        <v>873</v>
      </c>
    </row>
    <row r="100" spans="1:105" ht="11.45" customHeight="1" x14ac:dyDescent="0.25">
      <c r="A100" s="111" t="s">
        <v>111</v>
      </c>
      <c r="B100" s="97">
        <v>54.208251131155727</v>
      </c>
      <c r="C100" s="97">
        <v>51.592351417217152</v>
      </c>
      <c r="D100" s="97">
        <v>51.199530696084629</v>
      </c>
      <c r="E100" s="97">
        <v>50.681428545876216</v>
      </c>
      <c r="F100" s="97">
        <v>50.276910934103221</v>
      </c>
      <c r="G100" s="97">
        <v>49.802926422543138</v>
      </c>
      <c r="H100" s="97">
        <v>49.35115150708998</v>
      </c>
      <c r="I100" s="97">
        <v>48.986467943703573</v>
      </c>
      <c r="J100" s="97">
        <v>48.476417775777158</v>
      </c>
      <c r="K100" s="97">
        <v>48.108953115214412</v>
      </c>
      <c r="L100" s="97">
        <v>47.697836111059189</v>
      </c>
      <c r="M100" s="97">
        <v>47.364060462514509</v>
      </c>
      <c r="N100" s="97">
        <v>47.053972472361842</v>
      </c>
      <c r="O100" s="97">
        <v>46.588478717008016</v>
      </c>
      <c r="P100" s="97">
        <v>46.168073799777169</v>
      </c>
      <c r="Q100" s="97">
        <v>45.735086920538855</v>
      </c>
      <c r="R100" s="97">
        <v>45.290952370915889</v>
      </c>
      <c r="S100" s="97">
        <v>44.844527242109066</v>
      </c>
      <c r="T100" s="97">
        <v>44.373172509221057</v>
      </c>
      <c r="U100" s="97">
        <v>43.894560797037812</v>
      </c>
      <c r="V100" s="97">
        <v>42.488724315545653</v>
      </c>
      <c r="W100" s="97">
        <v>41.483585627093362</v>
      </c>
      <c r="X100" s="97">
        <v>40.928933813727781</v>
      </c>
      <c r="Y100" s="97">
        <v>40.216755587540568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37.031113281497682</v>
      </c>
      <c r="O102" s="97">
        <v>36.635045260717696</v>
      </c>
      <c r="P102" s="97">
        <v>36.296179106767312</v>
      </c>
      <c r="Q102" s="97">
        <v>36.271911010643997</v>
      </c>
      <c r="R102" s="97">
        <v>36.067272706395364</v>
      </c>
      <c r="S102" s="97">
        <v>36.063817956855445</v>
      </c>
      <c r="T102" s="97">
        <v>36.013183103022534</v>
      </c>
      <c r="U102" s="97">
        <v>35.75159138890951</v>
      </c>
      <c r="V102" s="97">
        <v>35.71483690747003</v>
      </c>
      <c r="W102" s="97">
        <v>35.707490744265279</v>
      </c>
      <c r="X102" s="97">
        <v>35.702997082306545</v>
      </c>
      <c r="Y102" s="97">
        <v>35.671638020674187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28.872641845773401</v>
      </c>
      <c r="Q103" s="97">
        <v>28.872641845773401</v>
      </c>
      <c r="R103" s="97">
        <v>28.373816635210076</v>
      </c>
      <c r="S103" s="97">
        <v>28.215593696887158</v>
      </c>
      <c r="T103" s="97">
        <v>27.25294859530069</v>
      </c>
      <c r="U103" s="97">
        <v>26.042532972024954</v>
      </c>
      <c r="V103" s="97">
        <v>25.543129221938386</v>
      </c>
      <c r="W103" s="97">
        <v>25.543129221938386</v>
      </c>
      <c r="X103" s="97">
        <v>24.718176257723442</v>
      </c>
      <c r="Y103" s="97">
        <v>23.347498614438997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10.567109303466015</v>
      </c>
      <c r="C105" s="141">
        <v>10.377827863491349</v>
      </c>
      <c r="D105" s="141">
        <v>10.287755109666971</v>
      </c>
      <c r="E105" s="141">
        <v>10.216863554957822</v>
      </c>
      <c r="F105" s="141">
        <v>10.158055267090445</v>
      </c>
      <c r="G105" s="141">
        <v>10.112731768207764</v>
      </c>
      <c r="H105" s="141">
        <v>10.065767877886662</v>
      </c>
      <c r="I105" s="141">
        <v>10.001855925804902</v>
      </c>
      <c r="J105" s="141">
        <v>9.9030684576805008</v>
      </c>
      <c r="K105" s="141">
        <v>9.8184634063449447</v>
      </c>
      <c r="L105" s="141">
        <v>9.7873107714452345</v>
      </c>
      <c r="M105" s="141">
        <v>9.7726357548558962</v>
      </c>
      <c r="N105" s="141">
        <v>9.538821132937171</v>
      </c>
      <c r="O105" s="141">
        <v>9.3322074707449865</v>
      </c>
      <c r="P105" s="141">
        <v>9.1422910206052102</v>
      </c>
      <c r="Q105" s="141">
        <v>8.904634802170655</v>
      </c>
      <c r="R105" s="141">
        <v>8.6065638159869984</v>
      </c>
      <c r="S105" s="141">
        <v>8.2548581881347065</v>
      </c>
      <c r="T105" s="141">
        <v>7.9476971771815395</v>
      </c>
      <c r="U105" s="141">
        <v>7.6805084532623651</v>
      </c>
      <c r="V105" s="141">
        <v>7.5006136336704285</v>
      </c>
      <c r="W105" s="141">
        <v>7.3174034486452149</v>
      </c>
      <c r="X105" s="141">
        <v>7.2531571807714172</v>
      </c>
      <c r="Y105" s="141">
        <v>7.1632697384674513</v>
      </c>
      <c r="DA105" s="174" t="s">
        <v>878</v>
      </c>
    </row>
    <row r="106" spans="1:105" ht="11.45" customHeight="1" x14ac:dyDescent="0.25">
      <c r="A106" s="111" t="s">
        <v>110</v>
      </c>
      <c r="B106" s="96">
        <v>8.5680361904176614</v>
      </c>
      <c r="C106" s="96">
        <v>8.3528253209944516</v>
      </c>
      <c r="D106" s="96">
        <v>8.2586773406667806</v>
      </c>
      <c r="E106" s="96">
        <v>8.1738390845357234</v>
      </c>
      <c r="F106" s="96">
        <v>8.1066249365310554</v>
      </c>
      <c r="G106" s="96">
        <v>8.0474931488780825</v>
      </c>
      <c r="H106" s="96">
        <v>7.936821715824057</v>
      </c>
      <c r="I106" s="96">
        <v>7.8665127134506818</v>
      </c>
      <c r="J106" s="96">
        <v>7.7120803510582556</v>
      </c>
      <c r="K106" s="96">
        <v>7.6157803016371481</v>
      </c>
      <c r="L106" s="96">
        <v>7.5354931819563964</v>
      </c>
      <c r="M106" s="96">
        <v>7.4568553591068865</v>
      </c>
      <c r="N106" s="96">
        <v>7.372672878202124</v>
      </c>
      <c r="O106" s="96">
        <v>7.3164969886881401</v>
      </c>
      <c r="P106" s="96">
        <v>7.2177369786422991</v>
      </c>
      <c r="Q106" s="96">
        <v>7.070624867199288</v>
      </c>
      <c r="R106" s="96">
        <v>6.8562579412757305</v>
      </c>
      <c r="S106" s="96">
        <v>6.6218978552192675</v>
      </c>
      <c r="T106" s="96">
        <v>6.1990990111020823</v>
      </c>
      <c r="U106" s="96">
        <v>5.8948834384512914</v>
      </c>
      <c r="V106" s="96">
        <v>5.7840140995870346</v>
      </c>
      <c r="W106" s="96">
        <v>5.6679524947299287</v>
      </c>
      <c r="X106" s="96">
        <v>5.5538497996398029</v>
      </c>
      <c r="Y106" s="96">
        <v>5.6587399218380572</v>
      </c>
      <c r="DA106" s="171" t="s">
        <v>879</v>
      </c>
    </row>
    <row r="107" spans="1:105" ht="11.45" customHeight="1" x14ac:dyDescent="0.25">
      <c r="A107" s="111" t="s">
        <v>111</v>
      </c>
      <c r="B107" s="96">
        <v>11.336169663898369</v>
      </c>
      <c r="C107" s="96">
        <v>11.055593778894792</v>
      </c>
      <c r="D107" s="96">
        <v>10.889735358455063</v>
      </c>
      <c r="E107" s="96">
        <v>10.733591317858853</v>
      </c>
      <c r="F107" s="96">
        <v>10.590298684474092</v>
      </c>
      <c r="G107" s="96">
        <v>10.47517036254631</v>
      </c>
      <c r="H107" s="96">
        <v>10.356376758621726</v>
      </c>
      <c r="I107" s="96">
        <v>10.261102216393944</v>
      </c>
      <c r="J107" s="96">
        <v>10.132390121672644</v>
      </c>
      <c r="K107" s="96">
        <v>10.033595266285435</v>
      </c>
      <c r="L107" s="96">
        <v>10.008198752935339</v>
      </c>
      <c r="M107" s="96">
        <v>9.995752122806536</v>
      </c>
      <c r="N107" s="96">
        <v>9.719330904703428</v>
      </c>
      <c r="O107" s="96">
        <v>9.4545927318263114</v>
      </c>
      <c r="P107" s="96">
        <v>9.2114341851716119</v>
      </c>
      <c r="Q107" s="96">
        <v>8.9354291900670297</v>
      </c>
      <c r="R107" s="96">
        <v>8.604703504228036</v>
      </c>
      <c r="S107" s="96">
        <v>8.2370462740786667</v>
      </c>
      <c r="T107" s="96">
        <v>7.9457568973777057</v>
      </c>
      <c r="U107" s="96">
        <v>7.7047056133805585</v>
      </c>
      <c r="V107" s="96">
        <v>7.5451984412176412</v>
      </c>
      <c r="W107" s="96">
        <v>7.3765711990809741</v>
      </c>
      <c r="X107" s="96">
        <v>7.304926364119277</v>
      </c>
      <c r="Y107" s="96">
        <v>7.2124115215677485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12.034836307859106</v>
      </c>
      <c r="I108" s="96">
        <v>11.999880916632188</v>
      </c>
      <c r="J108" s="96">
        <v>11.684818928043997</v>
      </c>
      <c r="K108" s="96">
        <v>11.175944893934815</v>
      </c>
      <c r="L108" s="96">
        <v>11.027690584141954</v>
      </c>
      <c r="M108" s="96">
        <v>11.023720984403282</v>
      </c>
      <c r="N108" s="96">
        <v>10.867852002807577</v>
      </c>
      <c r="O108" s="96">
        <v>10.371303886825707</v>
      </c>
      <c r="P108" s="96">
        <v>9.3550737952659375</v>
      </c>
      <c r="Q108" s="96">
        <v>9.1990164149359366</v>
      </c>
      <c r="R108" s="96">
        <v>9.0628173199788833</v>
      </c>
      <c r="S108" s="96">
        <v>8.6609387007437704</v>
      </c>
      <c r="T108" s="96">
        <v>8.5051378597991523</v>
      </c>
      <c r="U108" s="96">
        <v>7.9986453574094734</v>
      </c>
      <c r="V108" s="96">
        <v>7.9042352622830743</v>
      </c>
      <c r="W108" s="96">
        <v>7.8314060647872479</v>
      </c>
      <c r="X108" s="96">
        <v>7.7505766811329266</v>
      </c>
      <c r="Y108" s="96">
        <v>7.7240600118025311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7.1942537436636709</v>
      </c>
      <c r="Q109" s="96">
        <v>7.5174956873568508</v>
      </c>
      <c r="R109" s="96">
        <v>7.4848300158876269</v>
      </c>
      <c r="S109" s="96">
        <v>6.6881422272644322</v>
      </c>
      <c r="T109" s="96">
        <v>6.4472309750342687</v>
      </c>
      <c r="U109" s="96">
        <v>6.2041993920456422</v>
      </c>
      <c r="V109" s="96">
        <v>6.289959977811618</v>
      </c>
      <c r="W109" s="96">
        <v>6.394299829237295</v>
      </c>
      <c r="X109" s="96">
        <v>6.4198028095614195</v>
      </c>
      <c r="Y109" s="96">
        <v>6.4420977130504467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1.2508321057961216</v>
      </c>
      <c r="Q110" s="96">
        <v>1.2925008628831816</v>
      </c>
      <c r="R110" s="96">
        <v>1.3096207796977721</v>
      </c>
      <c r="S110" s="96">
        <v>1.3170115673413278</v>
      </c>
      <c r="T110" s="96">
        <v>1.3242369902090667</v>
      </c>
      <c r="U110" s="96">
        <v>1.3314288210483924</v>
      </c>
      <c r="V110" s="96">
        <v>1.3590168727141954</v>
      </c>
      <c r="W110" s="96">
        <v>1.4612059369366652</v>
      </c>
      <c r="X110" s="96">
        <v>1.697203508063351</v>
      </c>
      <c r="Y110" s="96">
        <v>1.7793629520123215</v>
      </c>
      <c r="DA110" s="171" t="s">
        <v>883</v>
      </c>
    </row>
    <row r="111" spans="1:105" ht="11.45" customHeight="1" x14ac:dyDescent="0.25">
      <c r="A111" s="109" t="s">
        <v>154</v>
      </c>
      <c r="B111" s="130">
        <v>28.893128316481729</v>
      </c>
      <c r="C111" s="130">
        <v>28.81280260351361</v>
      </c>
      <c r="D111" s="130">
        <v>28.701266800071874</v>
      </c>
      <c r="E111" s="130">
        <v>28.575823606858076</v>
      </c>
      <c r="F111" s="130">
        <v>28.478167391146577</v>
      </c>
      <c r="G111" s="130">
        <v>28.304165253845799</v>
      </c>
      <c r="H111" s="130">
        <v>28.104936073803259</v>
      </c>
      <c r="I111" s="130">
        <v>27.774129101070358</v>
      </c>
      <c r="J111" s="130">
        <v>27.464758873011583</v>
      </c>
      <c r="K111" s="130">
        <v>27.175923996690987</v>
      </c>
      <c r="L111" s="130">
        <v>26.907929111125704</v>
      </c>
      <c r="M111" s="130">
        <v>26.676403776445529</v>
      </c>
      <c r="N111" s="130">
        <v>26.415551823573775</v>
      </c>
      <c r="O111" s="130">
        <v>26.08062296603644</v>
      </c>
      <c r="P111" s="130">
        <v>25.750602041545577</v>
      </c>
      <c r="Q111" s="130">
        <v>25.329921976617833</v>
      </c>
      <c r="R111" s="130">
        <v>24.867829321963839</v>
      </c>
      <c r="S111" s="130">
        <v>24.399194549658983</v>
      </c>
      <c r="T111" s="130">
        <v>23.891448725509377</v>
      </c>
      <c r="U111" s="130">
        <v>23.429866504570739</v>
      </c>
      <c r="V111" s="130">
        <v>23.178180678281347</v>
      </c>
      <c r="W111" s="130">
        <v>22.886128871042896</v>
      </c>
      <c r="X111" s="130">
        <v>22.6237426339375</v>
      </c>
      <c r="Y111" s="130">
        <v>22.383162200359205</v>
      </c>
      <c r="DA111" s="176" t="s">
        <v>884</v>
      </c>
    </row>
    <row r="112" spans="1:105" ht="11.45" customHeight="1" x14ac:dyDescent="0.25">
      <c r="A112" s="128" t="s">
        <v>27</v>
      </c>
      <c r="B112" s="97">
        <v>28.013300489846433</v>
      </c>
      <c r="C112" s="97">
        <v>27.865976348330211</v>
      </c>
      <c r="D112" s="97">
        <v>27.732591716600872</v>
      </c>
      <c r="E112" s="97">
        <v>27.579058975111082</v>
      </c>
      <c r="F112" s="97">
        <v>27.375686979338084</v>
      </c>
      <c r="G112" s="97">
        <v>27.133044851495757</v>
      </c>
      <c r="H112" s="97">
        <v>26.848812444178058</v>
      </c>
      <c r="I112" s="97">
        <v>26.536801308507577</v>
      </c>
      <c r="J112" s="97">
        <v>26.179690073747356</v>
      </c>
      <c r="K112" s="97">
        <v>25.964952759539237</v>
      </c>
      <c r="L112" s="97">
        <v>25.6046538265959</v>
      </c>
      <c r="M112" s="97">
        <v>25.327232434211162</v>
      </c>
      <c r="N112" s="97">
        <v>25.054622642430722</v>
      </c>
      <c r="O112" s="97">
        <v>24.728779472872233</v>
      </c>
      <c r="P112" s="97">
        <v>24.413230580458947</v>
      </c>
      <c r="Q112" s="97">
        <v>23.922890297952474</v>
      </c>
      <c r="R112" s="97">
        <v>23.464642567495634</v>
      </c>
      <c r="S112" s="97">
        <v>22.905159777663563</v>
      </c>
      <c r="T112" s="97">
        <v>22.401007177028333</v>
      </c>
      <c r="U112" s="97">
        <v>21.859015271053384</v>
      </c>
      <c r="V112" s="97">
        <v>21.730915591246564</v>
      </c>
      <c r="W112" s="97">
        <v>21.388275755535684</v>
      </c>
      <c r="X112" s="97">
        <v>21.173907710202688</v>
      </c>
      <c r="Y112" s="97">
        <v>21.063273427020054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36.373920820571925</v>
      </c>
      <c r="D113" s="98">
        <v>36.053516515495673</v>
      </c>
      <c r="E113" s="98">
        <v>35.794442379880934</v>
      </c>
      <c r="F113" s="98">
        <v>35.136709733847496</v>
      </c>
      <c r="G113" s="98">
        <v>34.834774358218262</v>
      </c>
      <c r="H113" s="98">
        <v>34.256366356426561</v>
      </c>
      <c r="I113" s="98">
        <v>33.971112770143463</v>
      </c>
      <c r="J113" s="98">
        <v>33.696150001403808</v>
      </c>
      <c r="K113" s="98">
        <v>33.472693787646648</v>
      </c>
      <c r="L113" s="98">
        <v>33.183432055283689</v>
      </c>
      <c r="M113" s="98">
        <v>32.703631881655042</v>
      </c>
      <c r="N113" s="98">
        <v>32.164555554164174</v>
      </c>
      <c r="O113" s="98">
        <v>31.720785193069172</v>
      </c>
      <c r="P113" s="98">
        <v>31.354170118211034</v>
      </c>
      <c r="Q113" s="98">
        <v>30.715883691307962</v>
      </c>
      <c r="R113" s="98">
        <v>29.971372204645895</v>
      </c>
      <c r="S113" s="98">
        <v>29.332447717616041</v>
      </c>
      <c r="T113" s="98">
        <v>28.932728568343606</v>
      </c>
      <c r="U113" s="98">
        <v>28.471376752384465</v>
      </c>
      <c r="V113" s="98">
        <v>28.308373340568142</v>
      </c>
      <c r="W113" s="98">
        <v>27.623507726498833</v>
      </c>
      <c r="X113" s="98">
        <v>27.111792747767769</v>
      </c>
      <c r="Y113" s="98">
        <v>26.693519660586485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1.0725000000065621</v>
      </c>
      <c r="C117" s="150">
        <f>IF(TrRoad_act!C59=0,0,TrRoad_ene!C62/TrRoad_tech!C90)</f>
        <v>1.0726509522983112</v>
      </c>
      <c r="D117" s="150">
        <f>IF(TrRoad_act!D59=0,0,TrRoad_ene!D62/TrRoad_tech!D90)</f>
        <v>1.0730427942920833</v>
      </c>
      <c r="E117" s="150">
        <f>IF(TrRoad_act!E59=0,0,TrRoad_ene!E62/TrRoad_tech!E90)</f>
        <v>1.0738154476744075</v>
      </c>
      <c r="F117" s="150">
        <f>IF(TrRoad_act!F59=0,0,TrRoad_ene!F62/TrRoad_tech!F90)</f>
        <v>1.075281410044342</v>
      </c>
      <c r="G117" s="150">
        <f>IF(TrRoad_act!G59=0,0,TrRoad_ene!G62/TrRoad_tech!G90)</f>
        <v>1.0775457644013322</v>
      </c>
      <c r="H117" s="150">
        <f>IF(TrRoad_act!H59=0,0,TrRoad_ene!H62/TrRoad_tech!H90)</f>
        <v>1.0821949320341424</v>
      </c>
      <c r="I117" s="150">
        <f>IF(TrRoad_act!I59=0,0,TrRoad_ene!I62/TrRoad_tech!I90)</f>
        <v>1.0979821564582763</v>
      </c>
      <c r="J117" s="150">
        <f>IF(TrRoad_act!J59=0,0,TrRoad_ene!J62/TrRoad_tech!J90)</f>
        <v>1.1068840522218844</v>
      </c>
      <c r="K117" s="150">
        <f>IF(TrRoad_act!K59=0,0,TrRoad_ene!K62/TrRoad_tech!K90)</f>
        <v>1.1704888685656054</v>
      </c>
      <c r="L117" s="150">
        <f>IF(TrRoad_act!L59=0,0,TrRoad_ene!L62/TrRoad_tech!L90)</f>
        <v>1.1175488381923286</v>
      </c>
      <c r="M117" s="150">
        <f>IF(TrRoad_act!M59=0,0,TrRoad_ene!M62/TrRoad_tech!M90)</f>
        <v>1.1209648133153205</v>
      </c>
      <c r="N117" s="150">
        <f>IF(TrRoad_act!N59=0,0,TrRoad_ene!N62/TrRoad_tech!N90)</f>
        <v>1.1234589741311696</v>
      </c>
      <c r="O117" s="150">
        <f>IF(TrRoad_act!O59=0,0,TrRoad_ene!O62/TrRoad_tech!O90)</f>
        <v>1.1274072531498414</v>
      </c>
      <c r="P117" s="150">
        <f>IF(TrRoad_act!P59=0,0,TrRoad_ene!P62/TrRoad_tech!P90)</f>
        <v>1.1329314117866986</v>
      </c>
      <c r="Q117" s="150">
        <f>IF(TrRoad_act!Q59=0,0,TrRoad_ene!Q62/TrRoad_tech!Q90)</f>
        <v>1.1436241992266478</v>
      </c>
      <c r="R117" s="150">
        <f>IF(TrRoad_act!R59=0,0,TrRoad_ene!R62/TrRoad_tech!R90)</f>
        <v>1.1543736306625458</v>
      </c>
      <c r="S117" s="150">
        <f>IF(TrRoad_act!S59=0,0,TrRoad_ene!S62/TrRoad_tech!S90)</f>
        <v>1.2379380190619169</v>
      </c>
      <c r="T117" s="150">
        <f>IF(TrRoad_act!T59=0,0,TrRoad_ene!T62/TrRoad_tech!T90)</f>
        <v>1.2496835108093653</v>
      </c>
      <c r="U117" s="150">
        <f>IF(TrRoad_act!U59=0,0,TrRoad_ene!U62/TrRoad_tech!U90)</f>
        <v>1.2628356246072265</v>
      </c>
      <c r="V117" s="150">
        <f>IF(TrRoad_act!V59=0,0,TrRoad_ene!V62/TrRoad_tech!V90)</f>
        <v>1.2735183571023503</v>
      </c>
      <c r="W117" s="150">
        <f>IF(TrRoad_act!W59=0,0,TrRoad_ene!W62/TrRoad_tech!W90)</f>
        <v>1.2868019940579762</v>
      </c>
      <c r="X117" s="150">
        <f>IF(TrRoad_act!X59=0,0,TrRoad_ene!X62/TrRoad_tech!X90)</f>
        <v>1.3043605985368463</v>
      </c>
      <c r="Y117" s="150">
        <f>IF(TrRoad_act!Y59=0,0,TrRoad_ene!Y62/TrRoad_tech!Y90)</f>
        <v>1.3220947856368239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1.1396584837019499</v>
      </c>
      <c r="C118" s="151">
        <f>IF(TrRoad_act!C60=0,0,TrRoad_ene!C63/TrRoad_tech!C91)</f>
        <v>1.1335012647848002</v>
      </c>
      <c r="D118" s="151">
        <f>IF(TrRoad_act!D60=0,0,TrRoad_ene!D63/TrRoad_tech!D91)</f>
        <v>1.1149768831579707</v>
      </c>
      <c r="E118" s="151">
        <f>IF(TrRoad_act!E60=0,0,TrRoad_ene!E63/TrRoad_tech!E91)</f>
        <v>1.0867531466474281</v>
      </c>
      <c r="F118" s="151">
        <f>IF(TrRoad_act!F60=0,0,TrRoad_ene!F63/TrRoad_tech!F91)</f>
        <v>1.0056477852964596</v>
      </c>
      <c r="G118" s="151">
        <f>IF(TrRoad_act!G60=0,0,TrRoad_ene!G63/TrRoad_tech!G91)</f>
        <v>1.0137878648517393</v>
      </c>
      <c r="H118" s="151">
        <f>IF(TrRoad_act!H60=0,0,TrRoad_ene!H63/TrRoad_tech!H91)</f>
        <v>1.0112681772230814</v>
      </c>
      <c r="I118" s="151">
        <f>IF(TrRoad_act!I60=0,0,TrRoad_ene!I63/TrRoad_tech!I91)</f>
        <v>1.0140493678822922</v>
      </c>
      <c r="J118" s="151">
        <f>IF(TrRoad_act!J60=0,0,TrRoad_ene!J63/TrRoad_tech!J91)</f>
        <v>1.0891588658038924</v>
      </c>
      <c r="K118" s="151">
        <f>IF(TrRoad_act!K60=0,0,TrRoad_ene!K63/TrRoad_tech!K91)</f>
        <v>1.0321663931959764</v>
      </c>
      <c r="L118" s="151">
        <f>IF(TrRoad_act!L60=0,0,TrRoad_ene!L63/TrRoad_tech!L91)</f>
        <v>1.0597972541275262</v>
      </c>
      <c r="M118" s="151">
        <f>IF(TrRoad_act!M60=0,0,TrRoad_ene!M63/TrRoad_tech!M91)</f>
        <v>1.0795262311928346</v>
      </c>
      <c r="N118" s="151">
        <f>IF(TrRoad_act!N60=0,0,TrRoad_ene!N63/TrRoad_tech!N91)</f>
        <v>1.0599786031595742</v>
      </c>
      <c r="O118" s="151">
        <f>IF(TrRoad_act!O60=0,0,TrRoad_ene!O63/TrRoad_tech!O91)</f>
        <v>1.0413460025900365</v>
      </c>
      <c r="P118" s="151">
        <f>IF(TrRoad_act!P60=0,0,TrRoad_ene!P63/TrRoad_tech!P91)</f>
        <v>1.0253560794801355</v>
      </c>
      <c r="Q118" s="151">
        <f>IF(TrRoad_act!Q60=0,0,TrRoad_ene!Q63/TrRoad_tech!Q91)</f>
        <v>1.0298393836205073</v>
      </c>
      <c r="R118" s="151">
        <f>IF(TrRoad_act!R60=0,0,TrRoad_ene!R63/TrRoad_tech!R91)</f>
        <v>1.0622269748652553</v>
      </c>
      <c r="S118" s="151">
        <f>IF(TrRoad_act!S60=0,0,TrRoad_ene!S63/TrRoad_tech!S91)</f>
        <v>1.0553753889660129</v>
      </c>
      <c r="T118" s="151">
        <f>IF(TrRoad_act!T60=0,0,TrRoad_ene!T63/TrRoad_tech!T91)</f>
        <v>1.0763389373157513</v>
      </c>
      <c r="U118" s="151">
        <f>IF(TrRoad_act!U60=0,0,TrRoad_ene!U63/TrRoad_tech!U91)</f>
        <v>1.0686187285649684</v>
      </c>
      <c r="V118" s="151">
        <f>IF(TrRoad_act!V60=0,0,TrRoad_ene!V63/TrRoad_tech!V91)</f>
        <v>1.0642685991734522</v>
      </c>
      <c r="W118" s="151">
        <f>IF(TrRoad_act!W60=0,0,TrRoad_ene!W63/TrRoad_tech!W91)</f>
        <v>1.1136153119311285</v>
      </c>
      <c r="X118" s="151">
        <f>IF(TrRoad_act!X60=0,0,TrRoad_ene!X63/TrRoad_tech!X91)</f>
        <v>1.1455217156579007</v>
      </c>
      <c r="Y118" s="151">
        <f>IF(TrRoad_act!Y60=0,0,TrRoad_ene!Y63/TrRoad_tech!Y91)</f>
        <v>1.152695806057163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1.1811483501861604</v>
      </c>
      <c r="C119" s="91">
        <f>IF(TrRoad_act!C61=0,0,TrRoad_ene!C64/TrRoad_tech!C92)</f>
        <v>1.1832452294728628</v>
      </c>
      <c r="D119" s="91">
        <f>IF(TrRoad_act!D61=0,0,TrRoad_ene!D64/TrRoad_tech!D92)</f>
        <v>1.1804701622644782</v>
      </c>
      <c r="E119" s="91">
        <f>IF(TrRoad_act!E61=0,0,TrRoad_ene!E64/TrRoad_tech!E92)</f>
        <v>1.1419806867177349</v>
      </c>
      <c r="F119" s="91">
        <f>IF(TrRoad_act!F61=0,0,TrRoad_ene!F64/TrRoad_tech!F92)</f>
        <v>1.032562256726818</v>
      </c>
      <c r="G119" s="91">
        <f>IF(TrRoad_act!G61=0,0,TrRoad_ene!G64/TrRoad_tech!G92)</f>
        <v>1.0492279602118963</v>
      </c>
      <c r="H119" s="91">
        <f>IF(TrRoad_act!H61=0,0,TrRoad_ene!H64/TrRoad_tech!H92)</f>
        <v>1.0458573801960396</v>
      </c>
      <c r="I119" s="91">
        <f>IF(TrRoad_act!I61=0,0,TrRoad_ene!I64/TrRoad_tech!I92)</f>
        <v>1.040189427638561</v>
      </c>
      <c r="J119" s="91">
        <f>IF(TrRoad_act!J61=0,0,TrRoad_ene!J64/TrRoad_tech!J92)</f>
        <v>1.159067724956464</v>
      </c>
      <c r="K119" s="91">
        <f>IF(TrRoad_act!K61=0,0,TrRoad_ene!K64/TrRoad_tech!K92)</f>
        <v>1.0818273706063142</v>
      </c>
      <c r="L119" s="91">
        <f>IF(TrRoad_act!L61=0,0,TrRoad_ene!L64/TrRoad_tech!L92)</f>
        <v>1.131097645267797</v>
      </c>
      <c r="M119" s="91">
        <f>IF(TrRoad_act!M61=0,0,TrRoad_ene!M64/TrRoad_tech!M92)</f>
        <v>1.161015378591727</v>
      </c>
      <c r="N119" s="91">
        <f>IF(TrRoad_act!N61=0,0,TrRoad_ene!N64/TrRoad_tech!N92)</f>
        <v>1.1163331439246555</v>
      </c>
      <c r="O119" s="91">
        <f>IF(TrRoad_act!O61=0,0,TrRoad_ene!O64/TrRoad_tech!O92)</f>
        <v>1.0825547304531098</v>
      </c>
      <c r="P119" s="91">
        <f>IF(TrRoad_act!P61=0,0,TrRoad_ene!P64/TrRoad_tech!P92)</f>
        <v>1.0516230862423401</v>
      </c>
      <c r="Q119" s="91">
        <f>IF(TrRoad_act!Q61=0,0,TrRoad_ene!Q64/TrRoad_tech!Q92)</f>
        <v>1.0662202133058121</v>
      </c>
      <c r="R119" s="91">
        <f>IF(TrRoad_act!R61=0,0,TrRoad_ene!R64/TrRoad_tech!R92)</f>
        <v>1.1340567857030817</v>
      </c>
      <c r="S119" s="91">
        <f>IF(TrRoad_act!S61=0,0,TrRoad_ene!S64/TrRoad_tech!S92)</f>
        <v>1.1221682485696272</v>
      </c>
      <c r="T119" s="91">
        <f>IF(TrRoad_act!T61=0,0,TrRoad_ene!T64/TrRoad_tech!T92)</f>
        <v>1.1769822817465723</v>
      </c>
      <c r="U119" s="91">
        <f>IF(TrRoad_act!U61=0,0,TrRoad_ene!U64/TrRoad_tech!U92)</f>
        <v>1.1502602893592826</v>
      </c>
      <c r="V119" s="91">
        <f>IF(TrRoad_act!V61=0,0,TrRoad_ene!V64/TrRoad_tech!V92)</f>
        <v>1.1694743460319745</v>
      </c>
      <c r="W119" s="91">
        <f>IF(TrRoad_act!W61=0,0,TrRoad_ene!W64/TrRoad_tech!W92)</f>
        <v>1.2648667358691581</v>
      </c>
      <c r="X119" s="91">
        <f>IF(TrRoad_act!X61=0,0,TrRoad_ene!X64/TrRoad_tech!X92)</f>
        <v>1.3475097046741769</v>
      </c>
      <c r="Y119" s="91">
        <f>IF(TrRoad_act!Y61=0,0,TrRoad_ene!Y64/TrRoad_tech!Y92)</f>
        <v>1.3753037427508679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0.9863631683036721</v>
      </c>
      <c r="C120" s="91">
        <f>IF(TrRoad_act!C62=0,0,TrRoad_ene!C65/TrRoad_tech!C93)</f>
        <v>0.98813355095535504</v>
      </c>
      <c r="D120" s="91">
        <f>IF(TrRoad_act!D62=0,0,TrRoad_ene!D65/TrRoad_tech!D93)</f>
        <v>0.9926930140041883</v>
      </c>
      <c r="E120" s="91">
        <f>IF(TrRoad_act!E62=0,0,TrRoad_ene!E65/TrRoad_tech!E93)</f>
        <v>1.0034412567534547</v>
      </c>
      <c r="F120" s="91">
        <f>IF(TrRoad_act!F62=0,0,TrRoad_ene!F65/TrRoad_tech!F93)</f>
        <v>1.0164614811724946</v>
      </c>
      <c r="G120" s="91">
        <f>IF(TrRoad_act!G62=0,0,TrRoad_ene!G65/TrRoad_tech!G93)</f>
        <v>1.017821335324461</v>
      </c>
      <c r="H120" s="91">
        <f>IF(TrRoad_act!H62=0,0,TrRoad_ene!H65/TrRoad_tech!H93)</f>
        <v>1.0252440542699268</v>
      </c>
      <c r="I120" s="91">
        <f>IF(TrRoad_act!I62=0,0,TrRoad_ene!I65/TrRoad_tech!I93)</f>
        <v>1.0461781160122379</v>
      </c>
      <c r="J120" s="91">
        <f>IF(TrRoad_act!J62=0,0,TrRoad_ene!J65/TrRoad_tech!J93)</f>
        <v>1.0714820355183221</v>
      </c>
      <c r="K120" s="91">
        <f>IF(TrRoad_act!K62=0,0,TrRoad_ene!K65/TrRoad_tech!K93)</f>
        <v>1.0424164820513906</v>
      </c>
      <c r="L120" s="91">
        <f>IF(TrRoad_act!L62=0,0,TrRoad_ene!L65/TrRoad_tech!L93)</f>
        <v>1.054579749137817</v>
      </c>
      <c r="M120" s="91">
        <f>IF(TrRoad_act!M62=0,0,TrRoad_ene!M65/TrRoad_tech!M93)</f>
        <v>1.0678307579080673</v>
      </c>
      <c r="N120" s="91">
        <f>IF(TrRoad_act!N62=0,0,TrRoad_ene!N65/TrRoad_tech!N93)</f>
        <v>1.0749030632403855</v>
      </c>
      <c r="O120" s="91">
        <f>IF(TrRoad_act!O62=0,0,TrRoad_ene!O65/TrRoad_tech!O93)</f>
        <v>1.0705975194177701</v>
      </c>
      <c r="P120" s="91">
        <f>IF(TrRoad_act!P62=0,0,TrRoad_ene!P65/TrRoad_tech!P93)</f>
        <v>1.0702243124499859</v>
      </c>
      <c r="Q120" s="91">
        <f>IF(TrRoad_act!Q62=0,0,TrRoad_ene!Q65/TrRoad_tech!Q93)</f>
        <v>1.0685912463493816</v>
      </c>
      <c r="R120" s="91">
        <f>IF(TrRoad_act!R62=0,0,TrRoad_ene!R65/TrRoad_tech!R93)</f>
        <v>1.081558216418447</v>
      </c>
      <c r="S120" s="91">
        <f>IF(TrRoad_act!S62=0,0,TrRoad_ene!S65/TrRoad_tech!S93)</f>
        <v>1.0804340361516576</v>
      </c>
      <c r="T120" s="91">
        <f>IF(TrRoad_act!T62=0,0,TrRoad_ene!T65/TrRoad_tech!T93)</f>
        <v>1.0802731781173145</v>
      </c>
      <c r="U120" s="91">
        <f>IF(TrRoad_act!U62=0,0,TrRoad_ene!U65/TrRoad_tech!U93)</f>
        <v>1.0768631777190787</v>
      </c>
      <c r="V120" s="91">
        <f>IF(TrRoad_act!V62=0,0,TrRoad_ene!V65/TrRoad_tech!V93)</f>
        <v>1.0614349598775181</v>
      </c>
      <c r="W120" s="91">
        <f>IF(TrRoad_act!W62=0,0,TrRoad_ene!W65/TrRoad_tech!W93)</f>
        <v>1.0807090814657641</v>
      </c>
      <c r="X120" s="91">
        <f>IF(TrRoad_act!X62=0,0,TrRoad_ene!X65/TrRoad_tech!X93)</f>
        <v>1.093510350547426</v>
      </c>
      <c r="Y120" s="91">
        <f>IF(TrRoad_act!Y62=0,0,TrRoad_ene!Y65/TrRoad_tech!Y93)</f>
        <v>1.0777037420023572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0.91576207575144897</v>
      </c>
      <c r="I121" s="91">
        <f>IF(TrRoad_act!I63=0,0,TrRoad_ene!I66/TrRoad_tech!I94)</f>
        <v>1.0389635735347411</v>
      </c>
      <c r="J121" s="91">
        <f>IF(TrRoad_act!J63=0,0,TrRoad_ene!J66/TrRoad_tech!J94)</f>
        <v>1.030094201285906</v>
      </c>
      <c r="K121" s="91">
        <f>IF(TrRoad_act!K63=0,0,TrRoad_ene!K66/TrRoad_tech!K94)</f>
        <v>1.0773790002405805</v>
      </c>
      <c r="L121" s="91">
        <f>IF(TrRoad_act!L63=0,0,TrRoad_ene!L66/TrRoad_tech!L94)</f>
        <v>1.1783478802123992</v>
      </c>
      <c r="M121" s="91">
        <f>IF(TrRoad_act!M63=0,0,TrRoad_ene!M66/TrRoad_tech!M94)</f>
        <v>1.2540436117826972</v>
      </c>
      <c r="N121" s="91">
        <f>IF(TrRoad_act!N63=0,0,TrRoad_ene!N66/TrRoad_tech!N94)</f>
        <v>1.3003420703676392</v>
      </c>
      <c r="O121" s="91">
        <f>IF(TrRoad_act!O63=0,0,TrRoad_ene!O66/TrRoad_tech!O94)</f>
        <v>1.2715638601256278</v>
      </c>
      <c r="P121" s="91">
        <f>IF(TrRoad_act!P63=0,0,TrRoad_ene!P66/TrRoad_tech!P94)</f>
        <v>1.2725741421678256</v>
      </c>
      <c r="Q121" s="91">
        <f>IF(TrRoad_act!Q63=0,0,TrRoad_ene!Q66/TrRoad_tech!Q94)</f>
        <v>1.3452296924134928</v>
      </c>
      <c r="R121" s="91">
        <f>IF(TrRoad_act!R63=0,0,TrRoad_ene!R66/TrRoad_tech!R94)</f>
        <v>1.3525032373128913</v>
      </c>
      <c r="S121" s="91">
        <f>IF(TrRoad_act!S63=0,0,TrRoad_ene!S66/TrRoad_tech!S94)</f>
        <v>1.2330494455655912</v>
      </c>
      <c r="T121" s="91">
        <f>IF(TrRoad_act!T63=0,0,TrRoad_ene!T66/TrRoad_tech!T94)</f>
        <v>1.1806660128533142</v>
      </c>
      <c r="U121" s="91">
        <f>IF(TrRoad_act!U63=0,0,TrRoad_ene!U66/TrRoad_tech!U94)</f>
        <v>1.0974501169054696</v>
      </c>
      <c r="V121" s="91">
        <f>IF(TrRoad_act!V63=0,0,TrRoad_ene!V66/TrRoad_tech!V94)</f>
        <v>0.83682728490155756</v>
      </c>
      <c r="W121" s="91">
        <f>IF(TrRoad_act!W63=0,0,TrRoad_ene!W66/TrRoad_tech!W94)</f>
        <v>1.392025364116193</v>
      </c>
      <c r="X121" s="91">
        <f>IF(TrRoad_act!X63=0,0,TrRoad_ene!X66/TrRoad_tech!X94)</f>
        <v>0.86594535198337796</v>
      </c>
      <c r="Y121" s="91">
        <f>IF(TrRoad_act!Y63=0,0,TrRoad_ene!Y66/TrRoad_tech!Y94)</f>
        <v>0.77790435142279613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1.0655555555606799</v>
      </c>
      <c r="O122" s="91">
        <f>IF(TrRoad_act!O64=0,0,TrRoad_ene!O67/TrRoad_tech!O95)</f>
        <v>1.070065360579568</v>
      </c>
      <c r="P122" s="91">
        <f>IF(TrRoad_act!P64=0,0,TrRoad_ene!P67/TrRoad_tech!P95)</f>
        <v>1.0754725107400247</v>
      </c>
      <c r="Q122" s="91">
        <f>IF(TrRoad_act!Q64=0,0,TrRoad_ene!Q67/TrRoad_tech!Q95)</f>
        <v>1.0790391376872643</v>
      </c>
      <c r="R122" s="91">
        <f>IF(TrRoad_act!R64=0,0,TrRoad_ene!R67/TrRoad_tech!R95)</f>
        <v>1.0814346788508804</v>
      </c>
      <c r="S122" s="91">
        <f>IF(TrRoad_act!S64=0,0,TrRoad_ene!S67/TrRoad_tech!S95)</f>
        <v>1.0846089574992714</v>
      </c>
      <c r="T122" s="91">
        <f>IF(TrRoad_act!T64=0,0,TrRoad_ene!T67/TrRoad_tech!T95)</f>
        <v>1.0856099933928631</v>
      </c>
      <c r="U122" s="91">
        <f>IF(TrRoad_act!U64=0,0,TrRoad_ene!U67/TrRoad_tech!U95)</f>
        <v>1.0882766947258331</v>
      </c>
      <c r="V122" s="91">
        <f>IF(TrRoad_act!V64=0,0,TrRoad_ene!V67/TrRoad_tech!V95)</f>
        <v>1.0922334370512428</v>
      </c>
      <c r="W122" s="91">
        <f>IF(TrRoad_act!W64=0,0,TrRoad_ene!W67/TrRoad_tech!W95)</f>
        <v>1.0934260948774204</v>
      </c>
      <c r="X122" s="91">
        <f>IF(TrRoad_act!X64=0,0,TrRoad_ene!X67/TrRoad_tech!X95)</f>
        <v>1.0937714086548942</v>
      </c>
      <c r="Y122" s="91">
        <f>IF(TrRoad_act!Y64=0,0,TrRoad_ene!Y67/TrRoad_tech!Y95)</f>
        <v>1.0937446196273131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1.0976380149850653</v>
      </c>
      <c r="P123" s="91">
        <f>IF(TrRoad_act!P65=0,0,TrRoad_ene!P68/TrRoad_tech!P96)</f>
        <v>1.0795932745823773</v>
      </c>
      <c r="Q123" s="91">
        <f>IF(TrRoad_act!Q65=0,0,TrRoad_ene!Q68/TrRoad_tech!Q96)</f>
        <v>1.0922975389082743</v>
      </c>
      <c r="R123" s="91">
        <f>IF(TrRoad_act!R65=0,0,TrRoad_ene!R68/TrRoad_tech!R96)</f>
        <v>1.1384254104562326</v>
      </c>
      <c r="S123" s="91">
        <f>IF(TrRoad_act!S65=0,0,TrRoad_ene!S68/TrRoad_tech!S96)</f>
        <v>1.1311054102284193</v>
      </c>
      <c r="T123" s="91">
        <f>IF(TrRoad_act!T65=0,0,TrRoad_ene!T68/TrRoad_tech!T96)</f>
        <v>1.1587582408465551</v>
      </c>
      <c r="U123" s="91">
        <f>IF(TrRoad_act!U65=0,0,TrRoad_ene!U68/TrRoad_tech!U96)</f>
        <v>1.1426519726797528</v>
      </c>
      <c r="V123" s="91">
        <f>IF(TrRoad_act!V65=0,0,TrRoad_ene!V68/TrRoad_tech!V96)</f>
        <v>1.1512233413566573</v>
      </c>
      <c r="W123" s="91">
        <f>IF(TrRoad_act!W65=0,0,TrRoad_ene!W68/TrRoad_tech!W96)</f>
        <v>1.1976307464353708</v>
      </c>
      <c r="X123" s="91">
        <f>IF(TrRoad_act!X65=0,0,TrRoad_ene!X68/TrRoad_tech!X96)</f>
        <v>1.2355622524754686</v>
      </c>
      <c r="Y123" s="91">
        <f>IF(TrRoad_act!Y65=0,0,TrRoad_ene!Y68/TrRoad_tech!Y96)</f>
        <v>1.2364917761545404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1.0603703703752698</v>
      </c>
      <c r="N124" s="91">
        <f>IF(TrRoad_act!N66=0,0,TrRoad_ene!N69/TrRoad_tech!N97)</f>
        <v>1.0636013616502491</v>
      </c>
      <c r="O124" s="91">
        <f>IF(TrRoad_act!O66=0,0,TrRoad_ene!O69/TrRoad_tech!O97)</f>
        <v>1.0648622282655122</v>
      </c>
      <c r="P124" s="91">
        <f>IF(TrRoad_act!P66=0,0,TrRoad_ene!P69/TrRoad_tech!P97)</f>
        <v>1.0721301132593632</v>
      </c>
      <c r="Q124" s="91">
        <f>IF(TrRoad_act!Q66=0,0,TrRoad_ene!Q69/TrRoad_tech!Q97)</f>
        <v>1.0785286976909723</v>
      </c>
      <c r="R124" s="91">
        <f>IF(TrRoad_act!R66=0,0,TrRoad_ene!R69/TrRoad_tech!R97)</f>
        <v>1.0827622570074185</v>
      </c>
      <c r="S124" s="91">
        <f>IF(TrRoad_act!S66=0,0,TrRoad_ene!S69/TrRoad_tech!S97)</f>
        <v>1.0872118465129479</v>
      </c>
      <c r="T124" s="91">
        <f>IF(TrRoad_act!T66=0,0,TrRoad_ene!T69/TrRoad_tech!T97)</f>
        <v>1.0914054173267149</v>
      </c>
      <c r="U124" s="91">
        <f>IF(TrRoad_act!U66=0,0,TrRoad_ene!U69/TrRoad_tech!U97)</f>
        <v>1.0937658708801981</v>
      </c>
      <c r="V124" s="91">
        <f>IF(TrRoad_act!V66=0,0,TrRoad_ene!V69/TrRoad_tech!V97)</f>
        <v>1.0961148762347936</v>
      </c>
      <c r="W124" s="91">
        <f>IF(TrRoad_act!W66=0,0,TrRoad_ene!W69/TrRoad_tech!W97)</f>
        <v>1.0972218513890135</v>
      </c>
      <c r="X124" s="91">
        <f>IF(TrRoad_act!X66=0,0,TrRoad_ene!X69/TrRoad_tech!X97)</f>
        <v>1.0981029024355888</v>
      </c>
      <c r="Y124" s="91">
        <f>IF(TrRoad_act!Y66=0,0,TrRoad_ene!Y69/TrRoad_tech!Y97)</f>
        <v>1.0992445116514966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1.1023596912007003</v>
      </c>
      <c r="C125" s="151">
        <f>IF(TrRoad_act!C67=0,0,TrRoad_ene!C70/TrRoad_tech!C98)</f>
        <v>1.0896401103957125</v>
      </c>
      <c r="D125" s="151">
        <f>IF(TrRoad_act!D67=0,0,TrRoad_ene!D70/TrRoad_tech!D98)</f>
        <v>1.0893044048036895</v>
      </c>
      <c r="E125" s="151">
        <f>IF(TrRoad_act!E67=0,0,TrRoad_ene!E70/TrRoad_tech!E98)</f>
        <v>1.0896988271728218</v>
      </c>
      <c r="F125" s="151">
        <f>IF(TrRoad_act!F67=0,0,TrRoad_ene!F70/TrRoad_tech!F98)</f>
        <v>1.0909958326713838</v>
      </c>
      <c r="G125" s="151">
        <f>IF(TrRoad_act!G67=0,0,TrRoad_ene!G70/TrRoad_tech!G98)</f>
        <v>1.0939798246215788</v>
      </c>
      <c r="H125" s="151">
        <f>IF(TrRoad_act!H67=0,0,TrRoad_ene!H70/TrRoad_tech!H98)</f>
        <v>1.0979718266804219</v>
      </c>
      <c r="I125" s="151">
        <f>IF(TrRoad_act!I67=0,0,TrRoad_ene!I70/TrRoad_tech!I98)</f>
        <v>1.103017980622464</v>
      </c>
      <c r="J125" s="151">
        <f>IF(TrRoad_act!J67=0,0,TrRoad_ene!J70/TrRoad_tech!J98)</f>
        <v>1.111004450691411</v>
      </c>
      <c r="K125" s="151">
        <f>IF(TrRoad_act!K67=0,0,TrRoad_ene!K70/TrRoad_tech!K98)</f>
        <v>1.1172968448399438</v>
      </c>
      <c r="L125" s="151">
        <f>IF(TrRoad_act!L67=0,0,TrRoad_ene!L70/TrRoad_tech!L98)</f>
        <v>1.125431691175119</v>
      </c>
      <c r="M125" s="151">
        <f>IF(TrRoad_act!M67=0,0,TrRoad_ene!M70/TrRoad_tech!M98)</f>
        <v>1.1331530016850757</v>
      </c>
      <c r="N125" s="151">
        <f>IF(TrRoad_act!N67=0,0,TrRoad_ene!N70/TrRoad_tech!N98)</f>
        <v>1.1420339444505929</v>
      </c>
      <c r="O125" s="151">
        <f>IF(TrRoad_act!O67=0,0,TrRoad_ene!O70/TrRoad_tech!O98)</f>
        <v>1.1543362255493361</v>
      </c>
      <c r="P125" s="151">
        <f>IF(TrRoad_act!P67=0,0,TrRoad_ene!P70/TrRoad_tech!P98)</f>
        <v>1.1376951629296486</v>
      </c>
      <c r="Q125" s="151">
        <f>IF(TrRoad_act!Q67=0,0,TrRoad_ene!Q70/TrRoad_tech!Q98)</f>
        <v>1.1638053096533039</v>
      </c>
      <c r="R125" s="151">
        <f>IF(TrRoad_act!R67=0,0,TrRoad_ene!R70/TrRoad_tech!R98)</f>
        <v>1.1622985726001176</v>
      </c>
      <c r="S125" s="151">
        <f>IF(TrRoad_act!S67=0,0,TrRoad_ene!S70/TrRoad_tech!S98)</f>
        <v>1.1860686786113737</v>
      </c>
      <c r="T125" s="151">
        <f>IF(TrRoad_act!T67=0,0,TrRoad_ene!T70/TrRoad_tech!T98)</f>
        <v>1.1973164996345731</v>
      </c>
      <c r="U125" s="151">
        <f>IF(TrRoad_act!U67=0,0,TrRoad_ene!U70/TrRoad_tech!U98)</f>
        <v>1.2490954125285139</v>
      </c>
      <c r="V125" s="151">
        <f>IF(TrRoad_act!V67=0,0,TrRoad_ene!V70/TrRoad_tech!V98)</f>
        <v>1.306674956354418</v>
      </c>
      <c r="W125" s="151">
        <f>IF(TrRoad_act!W67=0,0,TrRoad_ene!W70/TrRoad_tech!W98)</f>
        <v>1.3335250659563973</v>
      </c>
      <c r="X125" s="151">
        <f>IF(TrRoad_act!X67=0,0,TrRoad_ene!X70/TrRoad_tech!X98)</f>
        <v>1.3264218466520858</v>
      </c>
      <c r="Y125" s="151">
        <f>IF(TrRoad_act!Y67=0,0,TrRoad_ene!Y70/TrRoad_tech!Y98)</f>
        <v>1.328153912491598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1.1001491771847669</v>
      </c>
      <c r="D126" s="93">
        <f>IF(TrRoad_act!D68=0,0,TrRoad_ene!D71/TrRoad_tech!D99)</f>
        <v>1.1001569811696297</v>
      </c>
      <c r="E126" s="93">
        <f>IF(TrRoad_act!E68=0,0,TrRoad_ene!E71/TrRoad_tech!E99)</f>
        <v>1.1001720189133684</v>
      </c>
      <c r="F126" s="93">
        <f>IF(TrRoad_act!F68=0,0,TrRoad_ene!F71/TrRoad_tech!F99)</f>
        <v>1.1001936488388446</v>
      </c>
      <c r="G126" s="93">
        <f>IF(TrRoad_act!G68=0,0,TrRoad_ene!G71/TrRoad_tech!G99)</f>
        <v>1.1002070076480799</v>
      </c>
      <c r="H126" s="93">
        <f>IF(TrRoad_act!H68=0,0,TrRoad_ene!H71/TrRoad_tech!H99)</f>
        <v>1.1002391536816472</v>
      </c>
      <c r="I126" s="93">
        <f>IF(TrRoad_act!I68=0,0,TrRoad_ene!I71/TrRoad_tech!I99)</f>
        <v>1.1002598641492769</v>
      </c>
      <c r="J126" s="93">
        <f>IF(TrRoad_act!J68=0,0,TrRoad_ene!J71/TrRoad_tech!J99)</f>
        <v>1.1003126136339094</v>
      </c>
      <c r="K126" s="93">
        <f>IF(TrRoad_act!K68=0,0,TrRoad_ene!K71/TrRoad_tech!K99)</f>
        <v>1.1003681705267425</v>
      </c>
      <c r="L126" s="93">
        <f>IF(TrRoad_act!L68=0,0,TrRoad_ene!L71/TrRoad_tech!L99)</f>
        <v>1.10041965927299</v>
      </c>
      <c r="M126" s="93">
        <f>IF(TrRoad_act!M68=0,0,TrRoad_ene!M71/TrRoad_tech!M99)</f>
        <v>1.1005262655525663</v>
      </c>
      <c r="N126" s="93">
        <f>IF(TrRoad_act!N68=0,0,TrRoad_ene!N71/TrRoad_tech!N99)</f>
        <v>1.1005768483802707</v>
      </c>
      <c r="O126" s="93">
        <f>IF(TrRoad_act!O68=0,0,TrRoad_ene!O71/TrRoad_tech!O99)</f>
        <v>1.1290977446635166</v>
      </c>
      <c r="P126" s="93">
        <f>IF(TrRoad_act!P68=0,0,TrRoad_ene!P71/TrRoad_tech!P99)</f>
        <v>1.1350302464696924</v>
      </c>
      <c r="Q126" s="93">
        <f>IF(TrRoad_act!Q68=0,0,TrRoad_ene!Q71/TrRoad_tech!Q99)</f>
        <v>1.1425118011956217</v>
      </c>
      <c r="R126" s="93">
        <f>IF(TrRoad_act!R68=0,0,TrRoad_ene!R71/TrRoad_tech!R99)</f>
        <v>1.1425118011956223</v>
      </c>
      <c r="S126" s="93">
        <f>IF(TrRoad_act!S68=0,0,TrRoad_ene!S71/TrRoad_tech!S99)</f>
        <v>1.1425118011956219</v>
      </c>
      <c r="T126" s="93">
        <f>IF(TrRoad_act!T68=0,0,TrRoad_ene!T71/TrRoad_tech!T99)</f>
        <v>1.1425118011956219</v>
      </c>
      <c r="U126" s="93">
        <f>IF(TrRoad_act!U68=0,0,TrRoad_ene!U71/TrRoad_tech!U99)</f>
        <v>1.1425118011956217</v>
      </c>
      <c r="V126" s="93">
        <f>IF(TrRoad_act!V68=0,0,TrRoad_ene!V71/TrRoad_tech!V99)</f>
        <v>1.1425118011956217</v>
      </c>
      <c r="W126" s="93">
        <f>IF(TrRoad_act!W68=0,0,TrRoad_ene!W71/TrRoad_tech!W99)</f>
        <v>1.1425118011956219</v>
      </c>
      <c r="X126" s="93">
        <f>IF(TrRoad_act!X68=0,0,TrRoad_ene!X71/TrRoad_tech!X99)</f>
        <v>1.1564885128308384</v>
      </c>
      <c r="Y126" s="93">
        <f>IF(TrRoad_act!Y68=0,0,TrRoad_ene!Y71/TrRoad_tech!Y99)</f>
        <v>1.3448942521036706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1.1003643290120404</v>
      </c>
      <c r="D127" s="93">
        <f>IF(TrRoad_act!D69=0,0,TrRoad_ene!D72/TrRoad_tech!D100)</f>
        <v>1.1009719185793483</v>
      </c>
      <c r="E127" s="93">
        <f>IF(TrRoad_act!E69=0,0,TrRoad_ene!E72/TrRoad_tech!E100)</f>
        <v>1.1024369973753585</v>
      </c>
      <c r="F127" s="93">
        <f>IF(TrRoad_act!F69=0,0,TrRoad_ene!F72/TrRoad_tech!F100)</f>
        <v>1.1046214431812338</v>
      </c>
      <c r="G127" s="93">
        <f>IF(TrRoad_act!G69=0,0,TrRoad_ene!G72/TrRoad_tech!G100)</f>
        <v>1.1076114253306568</v>
      </c>
      <c r="H127" s="93">
        <f>IF(TrRoad_act!H69=0,0,TrRoad_ene!H72/TrRoad_tech!H100)</f>
        <v>1.1117507893925538</v>
      </c>
      <c r="I127" s="93">
        <f>IF(TrRoad_act!I69=0,0,TrRoad_ene!I72/TrRoad_tech!I100)</f>
        <v>1.1164650515705612</v>
      </c>
      <c r="J127" s="93">
        <f>IF(TrRoad_act!J69=0,0,TrRoad_ene!J72/TrRoad_tech!J100)</f>
        <v>1.1238307976608071</v>
      </c>
      <c r="K127" s="93">
        <f>IF(TrRoad_act!K69=0,0,TrRoad_ene!K72/TrRoad_tech!K100)</f>
        <v>1.1296437103565824</v>
      </c>
      <c r="L127" s="93">
        <f>IF(TrRoad_act!L69=0,0,TrRoad_ene!L72/TrRoad_tech!L100)</f>
        <v>1.1370857052274259</v>
      </c>
      <c r="M127" s="93">
        <f>IF(TrRoad_act!M69=0,0,TrRoad_ene!M72/TrRoad_tech!M100)</f>
        <v>1.1444020562349397</v>
      </c>
      <c r="N127" s="93">
        <f>IF(TrRoad_act!N69=0,0,TrRoad_ene!N72/TrRoad_tech!N100)</f>
        <v>1.1517174514169506</v>
      </c>
      <c r="O127" s="93">
        <f>IF(TrRoad_act!O69=0,0,TrRoad_ene!O72/TrRoad_tech!O100)</f>
        <v>1.1646086081057314</v>
      </c>
      <c r="P127" s="93">
        <f>IF(TrRoad_act!P69=0,0,TrRoad_ene!P72/TrRoad_tech!P100)</f>
        <v>1.1771813259016213</v>
      </c>
      <c r="Q127" s="93">
        <f>IF(TrRoad_act!Q69=0,0,TrRoad_ene!Q72/TrRoad_tech!Q100)</f>
        <v>1.1927911019518793</v>
      </c>
      <c r="R127" s="93">
        <f>IF(TrRoad_act!R69=0,0,TrRoad_ene!R72/TrRoad_tech!R100)</f>
        <v>1.2081686495489237</v>
      </c>
      <c r="S127" s="93">
        <f>IF(TrRoad_act!S69=0,0,TrRoad_ene!S72/TrRoad_tech!S100)</f>
        <v>1.2229364143740877</v>
      </c>
      <c r="T127" s="93">
        <f>IF(TrRoad_act!T69=0,0,TrRoad_ene!T72/TrRoad_tech!T100)</f>
        <v>1.2362890067206764</v>
      </c>
      <c r="U127" s="93">
        <f>IF(TrRoad_act!U69=0,0,TrRoad_ene!U72/TrRoad_tech!U100)</f>
        <v>1.2468059525934709</v>
      </c>
      <c r="V127" s="93">
        <f>IF(TrRoad_act!V69=0,0,TrRoad_ene!V72/TrRoad_tech!V100)</f>
        <v>1.2857140881934737</v>
      </c>
      <c r="W127" s="93">
        <f>IF(TrRoad_act!W69=0,0,TrRoad_ene!W72/TrRoad_tech!W100)</f>
        <v>1.2966216502824126</v>
      </c>
      <c r="X127" s="93">
        <f>IF(TrRoad_act!X69=0,0,TrRoad_ene!X72/TrRoad_tech!X100)</f>
        <v>1.3013960309659356</v>
      </c>
      <c r="Y127" s="93">
        <f>IF(TrRoad_act!Y69=0,0,TrRoad_ene!Y72/TrRoad_tech!Y100)</f>
        <v>1.3070665533110015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1.2904048247531705</v>
      </c>
      <c r="O129" s="93">
        <f>IF(TrRoad_act!O71=0,0,TrRoad_ene!O74/TrRoad_tech!O102)</f>
        <v>1.2449946534964029</v>
      </c>
      <c r="P129" s="93">
        <f>IF(TrRoad_act!P71=0,0,TrRoad_ene!P74/TrRoad_tech!P102)</f>
        <v>0.42987268577318855</v>
      </c>
      <c r="Q129" s="93">
        <f>IF(TrRoad_act!Q71=0,0,TrRoad_ene!Q74/TrRoad_tech!Q102)</f>
        <v>0.75734944573370477</v>
      </c>
      <c r="R129" s="93">
        <f>IF(TrRoad_act!R71=0,0,TrRoad_ene!R74/TrRoad_tech!R102)</f>
        <v>0.66228571493790456</v>
      </c>
      <c r="S129" s="93">
        <f>IF(TrRoad_act!S71=0,0,TrRoad_ene!S74/TrRoad_tech!S102)</f>
        <v>0.80229147834670678</v>
      </c>
      <c r="T129" s="93">
        <f>IF(TrRoad_act!T71=0,0,TrRoad_ene!T74/TrRoad_tech!T102)</f>
        <v>0.80698148154886939</v>
      </c>
      <c r="U129" s="93">
        <f>IF(TrRoad_act!U71=0,0,TrRoad_ene!U74/TrRoad_tech!U102)</f>
        <v>1.6784341828161544</v>
      </c>
      <c r="V129" s="93">
        <f>IF(TrRoad_act!V71=0,0,TrRoad_ene!V74/TrRoad_tech!V102)</f>
        <v>1.9651388127104594</v>
      </c>
      <c r="W129" s="93">
        <f>IF(TrRoad_act!W71=0,0,TrRoad_ene!W74/TrRoad_tech!W102)</f>
        <v>2.5738160545248605</v>
      </c>
      <c r="X129" s="93">
        <f>IF(TrRoad_act!X71=0,0,TrRoad_ene!X74/TrRoad_tech!X102)</f>
        <v>2.3982082583812057</v>
      </c>
      <c r="Y129" s="93">
        <f>IF(TrRoad_act!Y71=0,0,TrRoad_ene!Y74/TrRoad_tech!Y102)</f>
        <v>2.233779913203167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1.2773333333398114</v>
      </c>
      <c r="Q130" s="93">
        <f>IF(TrRoad_act!Q72=0,0,TrRoad_ene!Q75/TrRoad_tech!Q103)</f>
        <v>1.2773333333398114</v>
      </c>
      <c r="R130" s="93">
        <f>IF(TrRoad_act!R72=0,0,TrRoad_ene!R75/TrRoad_tech!R103)</f>
        <v>1.2976943795935578</v>
      </c>
      <c r="S130" s="93">
        <f>IF(TrRoad_act!S72=0,0,TrRoad_ene!S75/TrRoad_tech!S103)</f>
        <v>1.3043031166392871</v>
      </c>
      <c r="T130" s="93">
        <f>IF(TrRoad_act!T72=0,0,TrRoad_ene!T75/TrRoad_tech!T103)</f>
        <v>1.3289226186193264</v>
      </c>
      <c r="U130" s="93">
        <f>IF(TrRoad_act!U72=0,0,TrRoad_ene!U75/TrRoad_tech!U103)</f>
        <v>1.3465136947006957</v>
      </c>
      <c r="V130" s="93">
        <f>IF(TrRoad_act!V72=0,0,TrRoad_ene!V75/TrRoad_tech!V103)</f>
        <v>1.3505794306191226</v>
      </c>
      <c r="W130" s="93">
        <f>IF(TrRoad_act!W72=0,0,TrRoad_ene!W75/TrRoad_tech!W103)</f>
        <v>1.350579430619123</v>
      </c>
      <c r="X130" s="93">
        <f>IF(TrRoad_act!X72=0,0,TrRoad_ene!X75/TrRoad_tech!X103)</f>
        <v>1.3547068306624548</v>
      </c>
      <c r="Y130" s="93">
        <f>IF(TrRoad_act!Y72=0,0,TrRoad_ene!Y75/TrRoad_tech!Y103)</f>
        <v>1.360652176207731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1.119832378154805</v>
      </c>
      <c r="C132" s="150">
        <f>IF(TrRoad_act!C74=0,0,TrRoad_ene!C77/TrRoad_tech!C105)</f>
        <v>1.1127272807100217</v>
      </c>
      <c r="D132" s="150">
        <f>IF(TrRoad_act!D74=0,0,TrRoad_ene!D77/TrRoad_tech!D105)</f>
        <v>1.10954173933581</v>
      </c>
      <c r="E132" s="150">
        <f>IF(TrRoad_act!E74=0,0,TrRoad_ene!E77/TrRoad_tech!E105)</f>
        <v>1.1075613383395702</v>
      </c>
      <c r="F132" s="150">
        <f>IF(TrRoad_act!F74=0,0,TrRoad_ene!F77/TrRoad_tech!F105)</f>
        <v>1.1059513880134713</v>
      </c>
      <c r="G132" s="150">
        <f>IF(TrRoad_act!G74=0,0,TrRoad_ene!G77/TrRoad_tech!G105)</f>
        <v>1.1071236883393643</v>
      </c>
      <c r="H132" s="150">
        <f>IF(TrRoad_act!H74=0,0,TrRoad_ene!H77/TrRoad_tech!H105)</f>
        <v>1.1112906915338308</v>
      </c>
      <c r="I132" s="150">
        <f>IF(TrRoad_act!I74=0,0,TrRoad_ene!I77/TrRoad_tech!I105)</f>
        <v>1.1173652749447534</v>
      </c>
      <c r="J132" s="150">
        <f>IF(TrRoad_act!J74=0,0,TrRoad_ene!J77/TrRoad_tech!J105)</f>
        <v>1.1239657295576138</v>
      </c>
      <c r="K132" s="150">
        <f>IF(TrRoad_act!K74=0,0,TrRoad_ene!K77/TrRoad_tech!K105)</f>
        <v>1.1289592712384506</v>
      </c>
      <c r="L132" s="150">
        <f>IF(TrRoad_act!L74=0,0,TrRoad_ene!L77/TrRoad_tech!L105)</f>
        <v>1.132491515954499</v>
      </c>
      <c r="M132" s="150">
        <f>IF(TrRoad_act!M74=0,0,TrRoad_ene!M77/TrRoad_tech!M105)</f>
        <v>1.137025709277905</v>
      </c>
      <c r="N132" s="150">
        <f>IF(TrRoad_act!N74=0,0,TrRoad_ene!N77/TrRoad_tech!N105)</f>
        <v>1.1474862700662158</v>
      </c>
      <c r="O132" s="150">
        <f>IF(TrRoad_act!O74=0,0,TrRoad_ene!O77/TrRoad_tech!O105)</f>
        <v>1.1581751308958046</v>
      </c>
      <c r="P132" s="150">
        <f>IF(TrRoad_act!P74=0,0,TrRoad_ene!P77/TrRoad_tech!P105)</f>
        <v>1.1714745095228167</v>
      </c>
      <c r="Q132" s="150">
        <f>IF(TrRoad_act!Q74=0,0,TrRoad_ene!Q77/TrRoad_tech!Q105)</f>
        <v>1.1853210455834005</v>
      </c>
      <c r="R132" s="150">
        <f>IF(TrRoad_act!R74=0,0,TrRoad_ene!R77/TrRoad_tech!R105)</f>
        <v>1.2019312769021044</v>
      </c>
      <c r="S132" s="150">
        <f>IF(TrRoad_act!S74=0,0,TrRoad_ene!S77/TrRoad_tech!S105)</f>
        <v>1.2210363112101743</v>
      </c>
      <c r="T132" s="150">
        <f>IF(TrRoad_act!T74=0,0,TrRoad_ene!T77/TrRoad_tech!T105)</f>
        <v>1.2448920615406884</v>
      </c>
      <c r="U132" s="150">
        <f>IF(TrRoad_act!U74=0,0,TrRoad_ene!U77/TrRoad_tech!U105)</f>
        <v>1.270111562552066</v>
      </c>
      <c r="V132" s="150">
        <f>IF(TrRoad_act!V74=0,0,TrRoad_ene!V77/TrRoad_tech!V105)</f>
        <v>1.2916843906135402</v>
      </c>
      <c r="W132" s="150">
        <f>IF(TrRoad_act!W74=0,0,TrRoad_ene!W77/TrRoad_tech!W105)</f>
        <v>1.3127336579828339</v>
      </c>
      <c r="X132" s="150">
        <f>IF(TrRoad_act!X74=0,0,TrRoad_ene!X77/TrRoad_tech!X105)</f>
        <v>1.3156687985938027</v>
      </c>
      <c r="Y132" s="150">
        <f>IF(TrRoad_act!Y74=0,0,TrRoad_ene!Y77/TrRoad_tech!Y105)</f>
        <v>1.3239668433234182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1.1001505031635956</v>
      </c>
      <c r="D133" s="91">
        <f>IF(TrRoad_act!D75=0,0,TrRoad_ene!D78/TrRoad_tech!D106)</f>
        <v>1.100454950100842</v>
      </c>
      <c r="E133" s="91">
        <f>IF(TrRoad_act!E75=0,0,TrRoad_ene!E78/TrRoad_tech!E106)</f>
        <v>1.1008956777628107</v>
      </c>
      <c r="F133" s="91">
        <f>IF(TrRoad_act!F75=0,0,TrRoad_ene!F78/TrRoad_tech!F106)</f>
        <v>1.1014141823783041</v>
      </c>
      <c r="G133" s="91">
        <f>IF(TrRoad_act!G75=0,0,TrRoad_ene!G78/TrRoad_tech!G106)</f>
        <v>1.1020018655987298</v>
      </c>
      <c r="H133" s="91">
        <f>IF(TrRoad_act!H75=0,0,TrRoad_ene!H78/TrRoad_tech!H106)</f>
        <v>1.1034419520075511</v>
      </c>
      <c r="I133" s="91">
        <f>IF(TrRoad_act!I75=0,0,TrRoad_ene!I78/TrRoad_tech!I106)</f>
        <v>1.1056698485651031</v>
      </c>
      <c r="J133" s="91">
        <f>IF(TrRoad_act!J75=0,0,TrRoad_ene!J78/TrRoad_tech!J106)</f>
        <v>1.1099145282035037</v>
      </c>
      <c r="K133" s="91">
        <f>IF(TrRoad_act!K75=0,0,TrRoad_ene!K78/TrRoad_tech!K106)</f>
        <v>1.1125481667417496</v>
      </c>
      <c r="L133" s="91">
        <f>IF(TrRoad_act!L75=0,0,TrRoad_ene!L78/TrRoad_tech!L106)</f>
        <v>1.1150996803744111</v>
      </c>
      <c r="M133" s="91">
        <f>IF(TrRoad_act!M75=0,0,TrRoad_ene!M78/TrRoad_tech!M106)</f>
        <v>1.1186739558627603</v>
      </c>
      <c r="N133" s="91">
        <f>IF(TrRoad_act!N75=0,0,TrRoad_ene!N78/TrRoad_tech!N106)</f>
        <v>1.1236778394852922</v>
      </c>
      <c r="O133" s="91">
        <f>IF(TrRoad_act!O75=0,0,TrRoad_ene!O78/TrRoad_tech!O106)</f>
        <v>1.1270415052084948</v>
      </c>
      <c r="P133" s="91">
        <f>IF(TrRoad_act!P75=0,0,TrRoad_ene!P78/TrRoad_tech!P106)</f>
        <v>1.1331086329809057</v>
      </c>
      <c r="Q133" s="91">
        <f>IF(TrRoad_act!Q75=0,0,TrRoad_ene!Q78/TrRoad_tech!Q106)</f>
        <v>1.1411877980250063</v>
      </c>
      <c r="R133" s="91">
        <f>IF(TrRoad_act!R75=0,0,TrRoad_ene!R78/TrRoad_tech!R106)</f>
        <v>1.1533310867715707</v>
      </c>
      <c r="S133" s="91">
        <f>IF(TrRoad_act!S75=0,0,TrRoad_ene!S78/TrRoad_tech!S106)</f>
        <v>1.1678426116139853</v>
      </c>
      <c r="T133" s="91">
        <f>IF(TrRoad_act!T75=0,0,TrRoad_ene!T78/TrRoad_tech!T106)</f>
        <v>1.2116917655362491</v>
      </c>
      <c r="U133" s="91">
        <f>IF(TrRoad_act!U75=0,0,TrRoad_ene!U78/TrRoad_tech!U106)</f>
        <v>1.2583689773666624</v>
      </c>
      <c r="V133" s="91">
        <f>IF(TrRoad_act!V75=0,0,TrRoad_ene!V78/TrRoad_tech!V106)</f>
        <v>1.2704223806784445</v>
      </c>
      <c r="W133" s="91">
        <f>IF(TrRoad_act!W75=0,0,TrRoad_ene!W78/TrRoad_tech!W106)</f>
        <v>1.283131762413054</v>
      </c>
      <c r="X133" s="91">
        <f>IF(TrRoad_act!X75=0,0,TrRoad_ene!X78/TrRoad_tech!X106)</f>
        <v>1.2991012521059009</v>
      </c>
      <c r="Y133" s="91">
        <f>IF(TrRoad_act!Y75=0,0,TrRoad_ene!Y78/TrRoad_tech!Y106)</f>
        <v>1.306954730948185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1.1002899945141826</v>
      </c>
      <c r="D134" s="91">
        <f>IF(TrRoad_act!D76=0,0,TrRoad_ene!D79/TrRoad_tech!D107)</f>
        <v>1.1011383299506627</v>
      </c>
      <c r="E134" s="91">
        <f>IF(TrRoad_act!E76=0,0,TrRoad_ene!E79/TrRoad_tech!E107)</f>
        <v>1.102681987971416</v>
      </c>
      <c r="F134" s="91">
        <f>IF(TrRoad_act!F76=0,0,TrRoad_ene!F79/TrRoad_tech!F107)</f>
        <v>1.1049592049353811</v>
      </c>
      <c r="G134" s="91">
        <f>IF(TrRoad_act!G76=0,0,TrRoad_ene!G79/TrRoad_tech!G107)</f>
        <v>1.1079505851202789</v>
      </c>
      <c r="H134" s="91">
        <f>IF(TrRoad_act!H76=0,0,TrRoad_ene!H79/TrRoad_tech!H107)</f>
        <v>1.1128510389443687</v>
      </c>
      <c r="I134" s="91">
        <f>IF(TrRoad_act!I76=0,0,TrRoad_ene!I79/TrRoad_tech!I107)</f>
        <v>1.1189261489495759</v>
      </c>
      <c r="J134" s="91">
        <f>IF(TrRoad_act!J76=0,0,TrRoad_ene!J79/TrRoad_tech!J107)</f>
        <v>1.1255167418298453</v>
      </c>
      <c r="K134" s="91">
        <f>IF(TrRoad_act!K76=0,0,TrRoad_ene!K79/TrRoad_tech!K107)</f>
        <v>1.1302525402531751</v>
      </c>
      <c r="L134" s="91">
        <f>IF(TrRoad_act!L76=0,0,TrRoad_ene!L79/TrRoad_tech!L107)</f>
        <v>1.1315846108525782</v>
      </c>
      <c r="M134" s="91">
        <f>IF(TrRoad_act!M76=0,0,TrRoad_ene!M79/TrRoad_tech!M107)</f>
        <v>1.1342722594764527</v>
      </c>
      <c r="N134" s="91">
        <f>IF(TrRoad_act!N76=0,0,TrRoad_ene!N79/TrRoad_tech!N107)</f>
        <v>1.1467231729549294</v>
      </c>
      <c r="O134" s="91">
        <f>IF(TrRoad_act!O76=0,0,TrRoad_ene!O79/TrRoad_tech!O107)</f>
        <v>1.1618579123483181</v>
      </c>
      <c r="P134" s="91">
        <f>IF(TrRoad_act!P76=0,0,TrRoad_ene!P79/TrRoad_tech!P107)</f>
        <v>1.1778918612871487</v>
      </c>
      <c r="Q134" s="91">
        <f>IF(TrRoad_act!Q76=0,0,TrRoad_ene!Q79/TrRoad_tech!Q107)</f>
        <v>1.1946474132382661</v>
      </c>
      <c r="R134" s="91">
        <f>IF(TrRoad_act!R76=0,0,TrRoad_ene!R79/TrRoad_tech!R107)</f>
        <v>1.2145346706619122</v>
      </c>
      <c r="S134" s="91">
        <f>IF(TrRoad_act!S76=0,0,TrRoad_ene!S79/TrRoad_tech!S107)</f>
        <v>1.2364661611669998</v>
      </c>
      <c r="T134" s="91">
        <f>IF(TrRoad_act!T76=0,0,TrRoad_ene!T79/TrRoad_tech!T107)</f>
        <v>1.2583455666643002</v>
      </c>
      <c r="U134" s="91">
        <f>IF(TrRoad_act!U76=0,0,TrRoad_ene!U79/TrRoad_tech!U107)</f>
        <v>1.2796528622529466</v>
      </c>
      <c r="V134" s="91">
        <f>IF(TrRoad_act!V76=0,0,TrRoad_ene!V79/TrRoad_tech!V107)</f>
        <v>1.2975224030886741</v>
      </c>
      <c r="W134" s="91">
        <f>IF(TrRoad_act!W76=0,0,TrRoad_ene!W79/TrRoad_tech!W107)</f>
        <v>1.3135771275541017</v>
      </c>
      <c r="X134" s="91">
        <f>IF(TrRoad_act!X76=0,0,TrRoad_ene!X79/TrRoad_tech!X107)</f>
        <v>1.3189146636692928</v>
      </c>
      <c r="Y134" s="91">
        <f>IF(TrRoad_act!Y76=0,0,TrRoad_ene!Y79/TrRoad_tech!Y107)</f>
        <v>1.3270509193390416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1.1053735495802481</v>
      </c>
      <c r="I135" s="91">
        <f>IF(TrRoad_act!I77=0,0,TrRoad_ene!I80/TrRoad_tech!I108)</f>
        <v>1.1146217236515421</v>
      </c>
      <c r="J135" s="91">
        <f>IF(TrRoad_act!J77=0,0,TrRoad_ene!J80/TrRoad_tech!J108)</f>
        <v>1.1096171217790185</v>
      </c>
      <c r="K135" s="91">
        <f>IF(TrRoad_act!K77=0,0,TrRoad_ene!K80/TrRoad_tech!K108)</f>
        <v>1.163083569873302</v>
      </c>
      <c r="L135" s="91">
        <f>IF(TrRoad_act!L77=0,0,TrRoad_ene!L80/TrRoad_tech!L108)</f>
        <v>1.2738763518118872</v>
      </c>
      <c r="M135" s="91">
        <f>IF(TrRoad_act!M77=0,0,TrRoad_ene!M80/TrRoad_tech!M108)</f>
        <v>1.3548873784458337</v>
      </c>
      <c r="N135" s="91">
        <f>IF(TrRoad_act!N77=0,0,TrRoad_ene!N80/TrRoad_tech!N108)</f>
        <v>1.4098348937106555</v>
      </c>
      <c r="O135" s="91">
        <f>IF(TrRoad_act!O77=0,0,TrRoad_ene!O80/TrRoad_tech!O108)</f>
        <v>1.3901421533702176</v>
      </c>
      <c r="P135" s="91">
        <f>IF(TrRoad_act!P77=0,0,TrRoad_ene!P80/TrRoad_tech!P108)</f>
        <v>1.4364543332481381</v>
      </c>
      <c r="Q135" s="91">
        <f>IF(TrRoad_act!Q77=0,0,TrRoad_ene!Q80/TrRoad_tech!Q108)</f>
        <v>1.5255361678122741</v>
      </c>
      <c r="R135" s="91">
        <f>IF(TrRoad_act!R77=0,0,TrRoad_ene!R80/TrRoad_tech!R108)</f>
        <v>1.5361946676394218</v>
      </c>
      <c r="S135" s="91">
        <f>IF(TrRoad_act!S77=0,0,TrRoad_ene!S80/TrRoad_tech!S108)</f>
        <v>1.413661309965117</v>
      </c>
      <c r="T135" s="91">
        <f>IF(TrRoad_act!T77=0,0,TrRoad_ene!T80/TrRoad_tech!T108)</f>
        <v>1.3578283713601631</v>
      </c>
      <c r="U135" s="91">
        <f>IF(TrRoad_act!U77=0,0,TrRoad_ene!U80/TrRoad_tech!U108)</f>
        <v>1.2770806519643281</v>
      </c>
      <c r="V135" s="91">
        <f>IF(TrRoad_act!V77=0,0,TrRoad_ene!V80/TrRoad_tech!V108)</f>
        <v>1.2291846680070675</v>
      </c>
      <c r="W135" s="91">
        <f>IF(TrRoad_act!W77=0,0,TrRoad_ene!W80/TrRoad_tech!W108)</f>
        <v>1.6276022512000989</v>
      </c>
      <c r="X135" s="91">
        <f>IF(TrRoad_act!X77=0,0,TrRoad_ene!X80/TrRoad_tech!X108)</f>
        <v>1.2378546884190651</v>
      </c>
      <c r="Y135" s="91">
        <f>IF(TrRoad_act!Y77=0,0,TrRoad_ene!Y80/TrRoad_tech!Y108)</f>
        <v>1.2423038330496561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1.2773333333398114</v>
      </c>
      <c r="Q136" s="91">
        <f>IF(TrRoad_act!Q78=0,0,TrRoad_ene!Q81/TrRoad_tech!Q109)</f>
        <v>1.2921619678827134</v>
      </c>
      <c r="R136" s="91">
        <f>IF(TrRoad_act!R78=0,0,TrRoad_ene!R81/TrRoad_tech!R109)</f>
        <v>1.2925912512480726</v>
      </c>
      <c r="S136" s="91">
        <f>IF(TrRoad_act!S78=0,0,TrRoad_ene!S81/TrRoad_tech!S109)</f>
        <v>1.305169141540462</v>
      </c>
      <c r="T136" s="91">
        <f>IF(TrRoad_act!T78=0,0,TrRoad_ene!T81/TrRoad_tech!T109)</f>
        <v>1.3090639907721175</v>
      </c>
      <c r="U136" s="91">
        <f>IF(TrRoad_act!U78=0,0,TrRoad_ene!U81/TrRoad_tech!U109)</f>
        <v>1.3197078421408175</v>
      </c>
      <c r="V136" s="91">
        <f>IF(TrRoad_act!V78=0,0,TrRoad_ene!V81/TrRoad_tech!V109)</f>
        <v>1.3240567507636085</v>
      </c>
      <c r="W136" s="91">
        <f>IF(TrRoad_act!W78=0,0,TrRoad_ene!W81/TrRoad_tech!W109)</f>
        <v>1.3276281837983188</v>
      </c>
      <c r="X136" s="91">
        <f>IF(TrRoad_act!X78=0,0,TrRoad_ene!X81/TrRoad_tech!X109)</f>
        <v>1.3310573049477266</v>
      </c>
      <c r="Y136" s="91">
        <f>IF(TrRoad_act!Y78=0,0,TrRoad_ene!Y81/TrRoad_tech!Y109)</f>
        <v>1.3309059108594268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0</v>
      </c>
      <c r="P137" s="91">
        <f>IF(TrRoad_act!P79=0,0,TrRoad_ene!P82/TrRoad_tech!P110)</f>
        <v>1.2773333333398114</v>
      </c>
      <c r="Q137" s="91">
        <f>IF(TrRoad_act!Q79=0,0,TrRoad_ene!Q82/TrRoad_tech!Q110)</f>
        <v>1.2913008535983925</v>
      </c>
      <c r="R137" s="91">
        <f>IF(TrRoad_act!R79=0,0,TrRoad_ene!R82/TrRoad_tech!R110)</f>
        <v>1.3025363608309455</v>
      </c>
      <c r="S137" s="91">
        <f>IF(TrRoad_act!S79=0,0,TrRoad_ene!S82/TrRoad_tech!S110)</f>
        <v>1.3165348078937551</v>
      </c>
      <c r="T137" s="91">
        <f>IF(TrRoad_act!T79=0,0,TrRoad_ene!T82/TrRoad_tech!T110)</f>
        <v>1.3258440317944649</v>
      </c>
      <c r="U137" s="91">
        <f>IF(TrRoad_act!U79=0,0,TrRoad_ene!U82/TrRoad_tech!U110)</f>
        <v>1.3333738176813452</v>
      </c>
      <c r="V137" s="91">
        <f>IF(TrRoad_act!V79=0,0,TrRoad_ene!V82/TrRoad_tech!V110)</f>
        <v>1.3364774162511481</v>
      </c>
      <c r="W137" s="91">
        <f>IF(TrRoad_act!W79=0,0,TrRoad_ene!W82/TrRoad_tech!W110)</f>
        <v>1.3438855261575493</v>
      </c>
      <c r="X137" s="91">
        <f>IF(TrRoad_act!X79=0,0,TrRoad_ene!X82/TrRoad_tech!X110)</f>
        <v>1.3556869899184167</v>
      </c>
      <c r="Y137" s="91">
        <f>IF(TrRoad_act!Y79=0,0,TrRoad_ene!Y82/TrRoad_tech!Y110)</f>
        <v>1.358538779927295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0.50061196243073258</v>
      </c>
      <c r="C138" s="151">
        <f>IF(TrRoad_act!C80=0,0,TrRoad_ene!C83/TrRoad_tech!C111)</f>
        <v>0.84388936092864386</v>
      </c>
      <c r="D138" s="151">
        <f>IF(TrRoad_act!D80=0,0,TrRoad_ene!D83/TrRoad_tech!D111)</f>
        <v>0.83644804036544251</v>
      </c>
      <c r="E138" s="151">
        <f>IF(TrRoad_act!E80=0,0,TrRoad_ene!E83/TrRoad_tech!E111)</f>
        <v>0.98277879937872648</v>
      </c>
      <c r="F138" s="151">
        <f>IF(TrRoad_act!F80=0,0,TrRoad_ene!F83/TrRoad_tech!F111)</f>
        <v>1.1790373012701869</v>
      </c>
      <c r="G138" s="151">
        <f>IF(TrRoad_act!G80=0,0,TrRoad_ene!G83/TrRoad_tech!G111)</f>
        <v>1.3816376329271514</v>
      </c>
      <c r="H138" s="151">
        <f>IF(TrRoad_act!H80=0,0,TrRoad_ene!H83/TrRoad_tech!H111)</f>
        <v>1.5054683311117201</v>
      </c>
      <c r="I138" s="151">
        <f>IF(TrRoad_act!I80=0,0,TrRoad_ene!I83/TrRoad_tech!I111)</f>
        <v>2.1353847652614335</v>
      </c>
      <c r="J138" s="151">
        <f>IF(TrRoad_act!J80=0,0,TrRoad_ene!J83/TrRoad_tech!J111)</f>
        <v>3.109410709126855</v>
      </c>
      <c r="K138" s="151">
        <f>IF(TrRoad_act!K80=0,0,TrRoad_ene!K83/TrRoad_tech!K111)</f>
        <v>2.1313547385674445</v>
      </c>
      <c r="L138" s="151">
        <f>IF(TrRoad_act!L80=0,0,TrRoad_ene!L83/TrRoad_tech!L111)</f>
        <v>2.357281359884404</v>
      </c>
      <c r="M138" s="151">
        <f>IF(TrRoad_act!M80=0,0,TrRoad_ene!M83/TrRoad_tech!M111)</f>
        <v>2.9142352073583155</v>
      </c>
      <c r="N138" s="151">
        <f>IF(TrRoad_act!N80=0,0,TrRoad_ene!N83/TrRoad_tech!N111)</f>
        <v>3.3277932603641842</v>
      </c>
      <c r="O138" s="151">
        <f>IF(TrRoad_act!O80=0,0,TrRoad_ene!O83/TrRoad_tech!O111)</f>
        <v>3.1072780196807059</v>
      </c>
      <c r="P138" s="151">
        <f>IF(TrRoad_act!P80=0,0,TrRoad_ene!P83/TrRoad_tech!P111)</f>
        <v>2.9549388378946531</v>
      </c>
      <c r="Q138" s="151">
        <f>IF(TrRoad_act!Q80=0,0,TrRoad_ene!Q83/TrRoad_tech!Q111)</f>
        <v>2.7181056336961795</v>
      </c>
      <c r="R138" s="151">
        <f>IF(TrRoad_act!R80=0,0,TrRoad_ene!R83/TrRoad_tech!R111)</f>
        <v>3.097913976151446</v>
      </c>
      <c r="S138" s="151">
        <f>IF(TrRoad_act!S80=0,0,TrRoad_ene!S83/TrRoad_tech!S111)</f>
        <v>2.9334259633463811</v>
      </c>
      <c r="T138" s="151">
        <f>IF(TrRoad_act!T80=0,0,TrRoad_ene!T83/TrRoad_tech!T111)</f>
        <v>3.0251661004681569</v>
      </c>
      <c r="U138" s="151">
        <f>IF(TrRoad_act!U80=0,0,TrRoad_ene!U83/TrRoad_tech!U111)</f>
        <v>2.7360817210004158</v>
      </c>
      <c r="V138" s="151">
        <f>IF(TrRoad_act!V80=0,0,TrRoad_ene!V83/TrRoad_tech!V111)</f>
        <v>2.1298553396009678</v>
      </c>
      <c r="W138" s="151">
        <f>IF(TrRoad_act!W80=0,0,TrRoad_ene!W83/TrRoad_tech!W111)</f>
        <v>2.6367709837049618</v>
      </c>
      <c r="X138" s="151">
        <f>IF(TrRoad_act!X80=0,0,TrRoad_ene!X83/TrRoad_tech!X111)</f>
        <v>2.8141697845870524</v>
      </c>
      <c r="Y138" s="151">
        <f>IF(TrRoad_act!Y80=0,0,TrRoad_ene!Y83/TrRoad_tech!Y111)</f>
        <v>1.9482119897543917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0.99532531048710315</v>
      </c>
      <c r="C139" s="93">
        <f>IF(TrRoad_act!C81=0,0,TrRoad_ene!C84/TrRoad_tech!C112)</f>
        <v>1.0447285856342727</v>
      </c>
      <c r="D139" s="93">
        <f>IF(TrRoad_act!D81=0,0,TrRoad_ene!D84/TrRoad_tech!D112)</f>
        <v>1.0455370409299187</v>
      </c>
      <c r="E139" s="93">
        <f>IF(TrRoad_act!E81=0,0,TrRoad_ene!E84/TrRoad_tech!E112)</f>
        <v>1.0684940595378585</v>
      </c>
      <c r="F139" s="93">
        <f>IF(TrRoad_act!F81=0,0,TrRoad_ene!F84/TrRoad_tech!F112)</f>
        <v>1.1016151810071553</v>
      </c>
      <c r="G139" s="93">
        <f>IF(TrRoad_act!G81=0,0,TrRoad_ene!G84/TrRoad_tech!G112)</f>
        <v>1.1349257806165116</v>
      </c>
      <c r="H139" s="93">
        <f>IF(TrRoad_act!H81=0,0,TrRoad_ene!H84/TrRoad_tech!H112)</f>
        <v>1.1559997770665984</v>
      </c>
      <c r="I139" s="93">
        <f>IF(TrRoad_act!I81=0,0,TrRoad_ene!I84/TrRoad_tech!I112)</f>
        <v>1.2551531704999777</v>
      </c>
      <c r="J139" s="93">
        <f>IF(TrRoad_act!J81=0,0,TrRoad_ene!J84/TrRoad_tech!J112)</f>
        <v>1.4062333673629306</v>
      </c>
      <c r="K139" s="93">
        <f>IF(TrRoad_act!K81=0,0,TrRoad_ene!K84/TrRoad_tech!K112)</f>
        <v>1.2659914588861181</v>
      </c>
      <c r="L139" s="93">
        <f>IF(TrRoad_act!L81=0,0,TrRoad_ene!L84/TrRoad_tech!L112)</f>
        <v>1.3104956764654183</v>
      </c>
      <c r="M139" s="93">
        <f>IF(TrRoad_act!M81=0,0,TrRoad_ene!M84/TrRoad_tech!M112)</f>
        <v>1.4020002578164767</v>
      </c>
      <c r="N139" s="93">
        <f>IF(TrRoad_act!N81=0,0,TrRoad_ene!N84/TrRoad_tech!N112)</f>
        <v>1.4701934946673128</v>
      </c>
      <c r="O139" s="93">
        <f>IF(TrRoad_act!O81=0,0,TrRoad_ene!O84/TrRoad_tech!O112)</f>
        <v>1.4484612097103555</v>
      </c>
      <c r="P139" s="93">
        <f>IF(TrRoad_act!P81=0,0,TrRoad_ene!P84/TrRoad_tech!P112)</f>
        <v>1.4383624399117483</v>
      </c>
      <c r="Q139" s="93">
        <f>IF(TrRoad_act!Q81=0,0,TrRoad_ene!Q84/TrRoad_tech!Q112)</f>
        <v>1.4186023545749817</v>
      </c>
      <c r="R139" s="93">
        <f>IF(TrRoad_act!R81=0,0,TrRoad_ene!R84/TrRoad_tech!R112)</f>
        <v>1.4878240285660183</v>
      </c>
      <c r="S139" s="93">
        <f>IF(TrRoad_act!S81=0,0,TrRoad_ene!S84/TrRoad_tech!S112)</f>
        <v>1.4858640512936983</v>
      </c>
      <c r="T139" s="93">
        <f>IF(TrRoad_act!T81=0,0,TrRoad_ene!T84/TrRoad_tech!T112)</f>
        <v>1.5186904828233332</v>
      </c>
      <c r="U139" s="93">
        <f>IF(TrRoad_act!U81=0,0,TrRoad_ene!U84/TrRoad_tech!U112)</f>
        <v>1.5024279324342411</v>
      </c>
      <c r="V139" s="93">
        <f>IF(TrRoad_act!V81=0,0,TrRoad_ene!V84/TrRoad_tech!V112)</f>
        <v>1.4212747627997344</v>
      </c>
      <c r="W139" s="93">
        <f>IF(TrRoad_act!W81=0,0,TrRoad_ene!W84/TrRoad_tech!W112)</f>
        <v>1.5185018686087923</v>
      </c>
      <c r="X139" s="93">
        <f>IF(TrRoad_act!X81=0,0,TrRoad_ene!X84/TrRoad_tech!X112)</f>
        <v>1.5609205261045795</v>
      </c>
      <c r="Y139" s="93">
        <f>IF(TrRoad_act!Y81=0,0,TrRoad_ene!Y84/TrRoad_tech!Y112)</f>
        <v>1.4424548392922967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3.9845180282408937E-2</v>
      </c>
      <c r="C140" s="94">
        <f>IF(TrRoad_act!C82=0,0,TrRoad_ene!C85/TrRoad_tech!C113)</f>
        <v>0.54758445718226145</v>
      </c>
      <c r="D140" s="94">
        <f>IF(TrRoad_act!D82=0,0,TrRoad_ene!D85/TrRoad_tech!D113)</f>
        <v>0.52427219153890825</v>
      </c>
      <c r="E140" s="94">
        <f>IF(TrRoad_act!E82=0,0,TrRoad_ene!E85/TrRoad_tech!E113)</f>
        <v>0.74291026055566867</v>
      </c>
      <c r="F140" s="94">
        <f>IF(TrRoad_act!F82=0,0,TrRoad_ene!F85/TrRoad_tech!F113)</f>
        <v>1.0719495560771866</v>
      </c>
      <c r="G140" s="94">
        <f>IF(TrRoad_act!G82=0,0,TrRoad_ene!G85/TrRoad_tech!G113)</f>
        <v>1.408287966343871</v>
      </c>
      <c r="H140" s="94">
        <f>IF(TrRoad_act!H82=0,0,TrRoad_ene!H85/TrRoad_tech!H113)</f>
        <v>1.552078330321055</v>
      </c>
      <c r="I140" s="94">
        <f>IF(TrRoad_act!I82=0,0,TrRoad_ene!I85/TrRoad_tech!I113)</f>
        <v>2.5243622584263741</v>
      </c>
      <c r="J140" s="94">
        <f>IF(TrRoad_act!J82=0,0,TrRoad_ene!J85/TrRoad_tech!J113)</f>
        <v>4.0047339488296707</v>
      </c>
      <c r="K140" s="94">
        <f>IF(TrRoad_act!K82=0,0,TrRoad_ene!K85/TrRoad_tech!K113)</f>
        <v>2.4853308279253974</v>
      </c>
      <c r="L140" s="94">
        <f>IF(TrRoad_act!L82=0,0,TrRoad_ene!L85/TrRoad_tech!L113)</f>
        <v>2.8675531583445624</v>
      </c>
      <c r="M140" s="94">
        <f>IF(TrRoad_act!M82=0,0,TrRoad_ene!M85/TrRoad_tech!M113)</f>
        <v>3.6295117641638166</v>
      </c>
      <c r="N140" s="94">
        <f>IF(TrRoad_act!N82=0,0,TrRoad_ene!N85/TrRoad_tech!N113)</f>
        <v>4.0731094809276058</v>
      </c>
      <c r="O140" s="94">
        <f>IF(TrRoad_act!O82=0,0,TrRoad_ene!O85/TrRoad_tech!O113)</f>
        <v>3.6993127589205002</v>
      </c>
      <c r="P140" s="94">
        <f>IF(TrRoad_act!P82=0,0,TrRoad_ene!P85/TrRoad_tech!P113)</f>
        <v>3.5622665266121283</v>
      </c>
      <c r="Q140" s="94">
        <f>IF(TrRoad_act!Q82=0,0,TrRoad_ene!Q85/TrRoad_tech!Q113)</f>
        <v>3.1178386276206984</v>
      </c>
      <c r="R140" s="94">
        <f>IF(TrRoad_act!R82=0,0,TrRoad_ene!R85/TrRoad_tech!R113)</f>
        <v>3.543904440093455</v>
      </c>
      <c r="S140" s="94">
        <f>IF(TrRoad_act!S82=0,0,TrRoad_ene!S85/TrRoad_tech!S113)</f>
        <v>3.3079752248669596</v>
      </c>
      <c r="T140" s="94">
        <f>IF(TrRoad_act!T82=0,0,TrRoad_ene!T85/TrRoad_tech!T113)</f>
        <v>3.339301488220229</v>
      </c>
      <c r="U140" s="94">
        <f>IF(TrRoad_act!U82=0,0,TrRoad_ene!U85/TrRoad_tech!U113)</f>
        <v>2.9634017764800178</v>
      </c>
      <c r="V140" s="94">
        <f>IF(TrRoad_act!V82=0,0,TrRoad_ene!V85/TrRoad_tech!V113)</f>
        <v>2.1822734955194218</v>
      </c>
      <c r="W140" s="94">
        <f>IF(TrRoad_act!W82=0,0,TrRoad_ene!W85/TrRoad_tech!W113)</f>
        <v>2.8679185527360906</v>
      </c>
      <c r="X140" s="94">
        <f>IF(TrRoad_act!X82=0,0,TrRoad_ene!X85/TrRoad_tech!X113)</f>
        <v>3.10507153552172</v>
      </c>
      <c r="Y140" s="94">
        <f>IF(TrRoad_act!Y82=0,0,TrRoad_ene!Y85/TrRoad_tech!Y113)</f>
        <v>1.9842693966709319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3.7351124746807187</v>
      </c>
      <c r="C144" s="141">
        <v>3.7147781851659056</v>
      </c>
      <c r="D144" s="141">
        <v>3.6923143392750277</v>
      </c>
      <c r="E144" s="141">
        <v>3.646098582935307</v>
      </c>
      <c r="F144" s="141">
        <v>3.641049369868091</v>
      </c>
      <c r="G144" s="141">
        <v>3.5919998715008514</v>
      </c>
      <c r="H144" s="141">
        <v>3.519559120761</v>
      </c>
      <c r="I144" s="141">
        <v>3.4679334932778345</v>
      </c>
      <c r="J144" s="141">
        <v>3.2995576942608831</v>
      </c>
      <c r="K144" s="141">
        <v>3.1179405915880696</v>
      </c>
      <c r="L144" s="141">
        <v>3.0045393879049884</v>
      </c>
      <c r="M144" s="141">
        <v>2.9165671849988644</v>
      </c>
      <c r="N144" s="141">
        <v>2.8034253224641072</v>
      </c>
      <c r="O144" s="141">
        <v>2.6656408959448097</v>
      </c>
      <c r="P144" s="141">
        <v>2.5598572795847763</v>
      </c>
      <c r="Q144" s="141">
        <v>2.508334360218448</v>
      </c>
      <c r="R144" s="141">
        <v>2.4448157238192922</v>
      </c>
      <c r="S144" s="141">
        <v>2.3940008146999676</v>
      </c>
      <c r="T144" s="141">
        <v>2.3533488874045076</v>
      </c>
      <c r="U144" s="141">
        <v>2.3208273455681399</v>
      </c>
      <c r="V144" s="141">
        <v>2.2948101120990456</v>
      </c>
      <c r="W144" s="141">
        <v>2.2739963253237701</v>
      </c>
      <c r="X144" s="141">
        <v>2.2573452959035496</v>
      </c>
      <c r="Y144" s="141">
        <v>2.2440244723673732</v>
      </c>
      <c r="DA144" s="174" t="s">
        <v>887</v>
      </c>
    </row>
    <row r="145" spans="1:105" ht="11.45" customHeight="1" x14ac:dyDescent="0.25">
      <c r="A145" s="109" t="s">
        <v>20</v>
      </c>
      <c r="B145" s="130">
        <v>7.2805517819923669</v>
      </c>
      <c r="C145" s="130">
        <v>7.2484171700566726</v>
      </c>
      <c r="D145" s="130">
        <v>7.0305273364153846</v>
      </c>
      <c r="E145" s="130">
        <v>7.0690066278081423</v>
      </c>
      <c r="F145" s="130">
        <v>7.0239846423212455</v>
      </c>
      <c r="G145" s="130">
        <v>6.9567196106039999</v>
      </c>
      <c r="H145" s="130">
        <v>6.9153972812228517</v>
      </c>
      <c r="I145" s="130">
        <v>6.8325945751710142</v>
      </c>
      <c r="J145" s="130">
        <v>6.5148430820262302</v>
      </c>
      <c r="K145" s="130">
        <v>6.1960046099400401</v>
      </c>
      <c r="L145" s="130">
        <v>5.9697147858991801</v>
      </c>
      <c r="M145" s="130">
        <v>5.7799403170540966</v>
      </c>
      <c r="N145" s="130">
        <v>5.5235768303853572</v>
      </c>
      <c r="O145" s="130">
        <v>5.2064252857431947</v>
      </c>
      <c r="P145" s="130">
        <v>5.0314613185570147</v>
      </c>
      <c r="Q145" s="130">
        <v>4.9399485388240452</v>
      </c>
      <c r="R145" s="130">
        <v>4.9367128440096648</v>
      </c>
      <c r="S145" s="130">
        <v>4.9671944827296519</v>
      </c>
      <c r="T145" s="130">
        <v>5.0481973688261119</v>
      </c>
      <c r="U145" s="130">
        <v>5.0417634150858639</v>
      </c>
      <c r="V145" s="130">
        <v>4.7620426625686276</v>
      </c>
      <c r="W145" s="130">
        <v>4.7144392937578798</v>
      </c>
      <c r="X145" s="130">
        <v>4.6297066873816997</v>
      </c>
      <c r="Y145" s="130">
        <v>4.5615924203690543</v>
      </c>
      <c r="DA145" s="176" t="s">
        <v>888</v>
      </c>
    </row>
    <row r="146" spans="1:105" ht="11.45" customHeight="1" x14ac:dyDescent="0.25">
      <c r="A146" s="111" t="s">
        <v>110</v>
      </c>
      <c r="B146" s="96">
        <v>7.4119805470507876</v>
      </c>
      <c r="C146" s="96">
        <v>7.3716290558055935</v>
      </c>
      <c r="D146" s="96">
        <v>7.3270516595735389</v>
      </c>
      <c r="E146" s="96">
        <v>7.2353408237474968</v>
      </c>
      <c r="F146" s="96">
        <v>7.2253211337687313</v>
      </c>
      <c r="G146" s="96">
        <v>7.1279870025464405</v>
      </c>
      <c r="H146" s="96">
        <v>6.9842351238715086</v>
      </c>
      <c r="I146" s="96">
        <v>6.8817889059253607</v>
      </c>
      <c r="J146" s="96">
        <v>6.5476629176538932</v>
      </c>
      <c r="K146" s="96">
        <v>6.1872608036217907</v>
      </c>
      <c r="L146" s="96">
        <v>5.9622267460374898</v>
      </c>
      <c r="M146" s="96">
        <v>5.7864143913211734</v>
      </c>
      <c r="N146" s="96">
        <v>5.5626626437398849</v>
      </c>
      <c r="O146" s="96">
        <v>5.2915497249019365</v>
      </c>
      <c r="P146" s="96">
        <v>5.0808865464778155</v>
      </c>
      <c r="Q146" s="96">
        <v>4.9812067517522713</v>
      </c>
      <c r="R146" s="96">
        <v>4.9656042571576586</v>
      </c>
      <c r="S146" s="96">
        <v>4.9686800640693152</v>
      </c>
      <c r="T146" s="96">
        <v>4.9815269452505815</v>
      </c>
      <c r="U146" s="96">
        <v>5.0326516366794918</v>
      </c>
      <c r="V146" s="96">
        <v>4.818291215655818</v>
      </c>
      <c r="W146" s="96">
        <v>4.6349111428082113</v>
      </c>
      <c r="X146" s="96">
        <v>4.6174820111183319</v>
      </c>
      <c r="Y146" s="96">
        <v>4.617416905096051</v>
      </c>
      <c r="DA146" s="171" t="s">
        <v>889</v>
      </c>
    </row>
    <row r="147" spans="1:105" ht="11.45" customHeight="1" x14ac:dyDescent="0.25">
      <c r="A147" s="111" t="s">
        <v>111</v>
      </c>
      <c r="B147" s="96">
        <v>6.8207608629188599</v>
      </c>
      <c r="C147" s="96">
        <v>6.8173722145319502</v>
      </c>
      <c r="D147" s="96">
        <v>6.8136090241287297</v>
      </c>
      <c r="E147" s="96">
        <v>6.8291321845420097</v>
      </c>
      <c r="F147" s="96">
        <v>6.7840914994034796</v>
      </c>
      <c r="G147" s="96">
        <v>6.8043186478207813</v>
      </c>
      <c r="H147" s="96">
        <v>6.8479481365581041</v>
      </c>
      <c r="I147" s="96">
        <v>6.7849146973041812</v>
      </c>
      <c r="J147" s="96">
        <v>6.4788026779423191</v>
      </c>
      <c r="K147" s="96">
        <v>6.2241993272245173</v>
      </c>
      <c r="L147" s="96">
        <v>5.9851191369200372</v>
      </c>
      <c r="M147" s="96">
        <v>5.7786014061184128</v>
      </c>
      <c r="N147" s="96">
        <v>5.4995871469585298</v>
      </c>
      <c r="O147" s="96">
        <v>5.1424815679785771</v>
      </c>
      <c r="P147" s="96">
        <v>5.0036420730275246</v>
      </c>
      <c r="Q147" s="96">
        <v>4.9189450653260973</v>
      </c>
      <c r="R147" s="96">
        <v>4.9240993734696969</v>
      </c>
      <c r="S147" s="96">
        <v>4.9972904934953126</v>
      </c>
      <c r="T147" s="96">
        <v>5.1643018916448291</v>
      </c>
      <c r="U147" s="96">
        <v>5.1208123768450493</v>
      </c>
      <c r="V147" s="96">
        <v>4.8771340622122716</v>
      </c>
      <c r="W147" s="96">
        <v>4.9466845558440466</v>
      </c>
      <c r="X147" s="96">
        <v>4.8791673851486035</v>
      </c>
      <c r="Y147" s="96">
        <v>4.9045134652393712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6.3939864621009521</v>
      </c>
      <c r="I148" s="96">
        <v>6.3351316125588504</v>
      </c>
      <c r="J148" s="96">
        <v>0</v>
      </c>
      <c r="K148" s="96">
        <v>5.8115869808112004</v>
      </c>
      <c r="L148" s="96">
        <v>5.5883558070815509</v>
      </c>
      <c r="M148" s="96">
        <v>5.555906411162983</v>
      </c>
      <c r="N148" s="96">
        <v>5.5129224328577147</v>
      </c>
      <c r="O148" s="96">
        <v>5.3393399523994942</v>
      </c>
      <c r="P148" s="96">
        <v>5.3003374691360232</v>
      </c>
      <c r="Q148" s="96">
        <v>5.9067148746163527</v>
      </c>
      <c r="R148" s="96">
        <v>5.3346815361429591</v>
      </c>
      <c r="S148" s="96">
        <v>5.2172954472091257</v>
      </c>
      <c r="T148" s="96">
        <v>5.3055837047998979</v>
      </c>
      <c r="U148" s="96">
        <v>5.7036230894098408</v>
      </c>
      <c r="V148" s="96">
        <v>4.709045444301216</v>
      </c>
      <c r="W148" s="96">
        <v>4.4812596781451566</v>
      </c>
      <c r="X148" s="96">
        <v>4.4727397647725686</v>
      </c>
      <c r="Y148" s="96">
        <v>4.4529594052422308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5.8836376896622529</v>
      </c>
      <c r="O149" s="96">
        <v>5.8230732125397564</v>
      </c>
      <c r="P149" s="96">
        <v>5.3385698890363464</v>
      </c>
      <c r="Q149" s="96">
        <v>4.7397575003294632</v>
      </c>
      <c r="R149" s="96">
        <v>4.9557735899684516</v>
      </c>
      <c r="S149" s="96">
        <v>4.9173141496915358</v>
      </c>
      <c r="T149" s="96">
        <v>5.7689160415375573</v>
      </c>
      <c r="U149" s="96">
        <v>5.050053100227597</v>
      </c>
      <c r="V149" s="96">
        <v>4.7190158970038594</v>
      </c>
      <c r="W149" s="96">
        <v>4.4783605617655482</v>
      </c>
      <c r="X149" s="96">
        <v>4.2504067759913857</v>
      </c>
      <c r="Y149" s="96">
        <v>0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2.3513424518066168</v>
      </c>
      <c r="P150" s="96">
        <v>2.5647246896673823</v>
      </c>
      <c r="Q150" s="96">
        <v>2.2634557997260139</v>
      </c>
      <c r="R150" s="96">
        <v>2.6705909573729425</v>
      </c>
      <c r="S150" s="96">
        <v>3.4906315156430345</v>
      </c>
      <c r="T150" s="96">
        <v>3.3515567638418644</v>
      </c>
      <c r="U150" s="96">
        <v>2.7695192842993626</v>
      </c>
      <c r="V150" s="96">
        <v>3.0674031395248518</v>
      </c>
      <c r="W150" s="96">
        <v>2.8129404565850509</v>
      </c>
      <c r="X150" s="96">
        <v>2.9641597626475189</v>
      </c>
      <c r="Y150" s="96">
        <v>2.6786432040728698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1.6199263019531938</v>
      </c>
      <c r="N151" s="96">
        <v>1.4946118485802586</v>
      </c>
      <c r="O151" s="96">
        <v>1.5563198624247636</v>
      </c>
      <c r="P151" s="96">
        <v>1.3523454667048822</v>
      </c>
      <c r="Q151" s="96">
        <v>1.2100668033600104</v>
      </c>
      <c r="R151" s="96">
        <v>1.1728449626730739</v>
      </c>
      <c r="S151" s="96">
        <v>1.1497248880851667</v>
      </c>
      <c r="T151" s="96">
        <v>1.1993441180587499</v>
      </c>
      <c r="U151" s="96">
        <v>1.4020535127206517</v>
      </c>
      <c r="V151" s="96">
        <v>1.4149041407840706</v>
      </c>
      <c r="W151" s="96">
        <v>1.4322021918199683</v>
      </c>
      <c r="X151" s="96">
        <v>1.4549844732303663</v>
      </c>
      <c r="Y151" s="96">
        <v>1.4430775657217438</v>
      </c>
      <c r="DA151" s="171" t="s">
        <v>894</v>
      </c>
    </row>
    <row r="152" spans="1:105" ht="11.45" customHeight="1" x14ac:dyDescent="0.25">
      <c r="A152" s="109" t="s">
        <v>21</v>
      </c>
      <c r="B152" s="130">
        <v>47.789710887703791</v>
      </c>
      <c r="C152" s="130">
        <v>47.478232734776483</v>
      </c>
      <c r="D152" s="130">
        <v>47.651908581035649</v>
      </c>
      <c r="E152" s="130">
        <v>47.501383826234225</v>
      </c>
      <c r="F152" s="130">
        <v>47.484921437135618</v>
      </c>
      <c r="G152" s="130">
        <v>47.323368849014138</v>
      </c>
      <c r="H152" s="130">
        <v>47.081109039796175</v>
      </c>
      <c r="I152" s="130">
        <v>46.906539692561978</v>
      </c>
      <c r="J152" s="130">
        <v>46.315669747006716</v>
      </c>
      <c r="K152" s="130">
        <v>45.65088941947495</v>
      </c>
      <c r="L152" s="130">
        <v>45.224162243372476</v>
      </c>
      <c r="M152" s="130">
        <v>44.885691286680363</v>
      </c>
      <c r="N152" s="130">
        <v>43.202965495080626</v>
      </c>
      <c r="O152" s="130">
        <v>42.975438978216104</v>
      </c>
      <c r="P152" s="130">
        <v>41.041010468033946</v>
      </c>
      <c r="Q152" s="130">
        <v>42.913432835729829</v>
      </c>
      <c r="R152" s="130">
        <v>40.36938555230811</v>
      </c>
      <c r="S152" s="130">
        <v>41.837309854226937</v>
      </c>
      <c r="T152" s="130">
        <v>40.171240944247067</v>
      </c>
      <c r="U152" s="130">
        <v>38.634027910902518</v>
      </c>
      <c r="V152" s="130">
        <v>37.895258624876789</v>
      </c>
      <c r="W152" s="130">
        <v>36.63160017262031</v>
      </c>
      <c r="X152" s="130">
        <v>34.754592632732376</v>
      </c>
      <c r="Y152" s="130">
        <v>29.424646711256582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15.478242438191273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11.106837066436709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8.931914055027768</v>
      </c>
      <c r="DA153" s="175" t="s">
        <v>896</v>
      </c>
    </row>
    <row r="154" spans="1:105" ht="11.45" customHeight="1" x14ac:dyDescent="0.25">
      <c r="A154" s="111" t="s">
        <v>111</v>
      </c>
      <c r="B154" s="97">
        <v>47.789710887703791</v>
      </c>
      <c r="C154" s="97">
        <v>47.724386506288681</v>
      </c>
      <c r="D154" s="97">
        <v>47.651908581035656</v>
      </c>
      <c r="E154" s="97">
        <v>47.501383826234225</v>
      </c>
      <c r="F154" s="97">
        <v>47.484921437135618</v>
      </c>
      <c r="G154" s="97">
        <v>47.323368849014138</v>
      </c>
      <c r="H154" s="97">
        <v>47.081109039796175</v>
      </c>
      <c r="I154" s="97">
        <v>46.906539692561978</v>
      </c>
      <c r="J154" s="97">
        <v>46.315669747006716</v>
      </c>
      <c r="K154" s="97">
        <v>45.65088941947495</v>
      </c>
      <c r="L154" s="97">
        <v>45.224162243372476</v>
      </c>
      <c r="M154" s="97">
        <v>44.885691286680363</v>
      </c>
      <c r="N154" s="97">
        <v>44.437335937797215</v>
      </c>
      <c r="O154" s="97">
        <v>43.870430793407756</v>
      </c>
      <c r="P154" s="97">
        <v>43.42183945559664</v>
      </c>
      <c r="Q154" s="97">
        <v>43.199999999908329</v>
      </c>
      <c r="R154" s="97">
        <v>42.657303171705749</v>
      </c>
      <c r="S154" s="97">
        <v>41.837309854226937</v>
      </c>
      <c r="T154" s="97">
        <v>40.783899141251524</v>
      </c>
      <c r="U154" s="97">
        <v>39.539658093809052</v>
      </c>
      <c r="V154" s="97">
        <v>38.144711157525904</v>
      </c>
      <c r="W154" s="97">
        <v>36.635935164037619</v>
      </c>
      <c r="X154" s="97">
        <v>35.046496552284019</v>
      </c>
      <c r="Y154" s="97">
        <v>33.405646218221733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37.031113281497682</v>
      </c>
      <c r="O156" s="97">
        <v>36.5586923278398</v>
      </c>
      <c r="P156" s="97">
        <v>36.1848662129972</v>
      </c>
      <c r="Q156" s="97">
        <v>35.99999999992361</v>
      </c>
      <c r="R156" s="97">
        <v>35.853644393070063</v>
      </c>
      <c r="S156" s="97">
        <v>0</v>
      </c>
      <c r="T156" s="97">
        <v>35.620921458238158</v>
      </c>
      <c r="U156" s="97">
        <v>35.519869442342916</v>
      </c>
      <c r="V156" s="97">
        <v>0</v>
      </c>
      <c r="W156" s="97">
        <v>35.331102747427096</v>
      </c>
      <c r="X156" s="97">
        <v>0</v>
      </c>
      <c r="Y156" s="97">
        <v>35.150673816233954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28.872641845773401</v>
      </c>
      <c r="Q157" s="97">
        <v>0</v>
      </c>
      <c r="R157" s="97">
        <v>27.910369400958118</v>
      </c>
      <c r="S157" s="97">
        <v>0</v>
      </c>
      <c r="T157" s="97">
        <v>26.642153776455121</v>
      </c>
      <c r="U157" s="97">
        <v>25.926939678371298</v>
      </c>
      <c r="V157" s="97">
        <v>25.17317945977199</v>
      </c>
      <c r="W157" s="97">
        <v>0</v>
      </c>
      <c r="X157" s="97">
        <v>23.589267709881948</v>
      </c>
      <c r="Y157" s="97">
        <v>22.775829123486744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9.334696842330958</v>
      </c>
      <c r="C159" s="141">
        <v>9.3522806190711361</v>
      </c>
      <c r="D159" s="141">
        <v>9.536070214947582</v>
      </c>
      <c r="E159" s="141">
        <v>9.6763417104306715</v>
      </c>
      <c r="F159" s="141">
        <v>9.7582606094203985</v>
      </c>
      <c r="G159" s="141">
        <v>9.8459485659349912</v>
      </c>
      <c r="H159" s="141">
        <v>9.9890564066149992</v>
      </c>
      <c r="I159" s="141">
        <v>9.8133083304568558</v>
      </c>
      <c r="J159" s="141">
        <v>9.5090806567906192</v>
      </c>
      <c r="K159" s="141">
        <v>9.3177230751160707</v>
      </c>
      <c r="L159" s="141">
        <v>9.8450844573880172</v>
      </c>
      <c r="M159" s="141">
        <v>9.9225749541494199</v>
      </c>
      <c r="N159" s="141">
        <v>8.1022050539613293</v>
      </c>
      <c r="O159" s="141">
        <v>8.00525935264222</v>
      </c>
      <c r="P159" s="141">
        <v>7.9983041495922595</v>
      </c>
      <c r="Q159" s="141">
        <v>7.6139984178682933</v>
      </c>
      <c r="R159" s="141">
        <v>7.314586105614068</v>
      </c>
      <c r="S159" s="141">
        <v>7.0129682213789586</v>
      </c>
      <c r="T159" s="141">
        <v>7.0888281084103504</v>
      </c>
      <c r="U159" s="141">
        <v>7.0922403449257061</v>
      </c>
      <c r="V159" s="141">
        <v>7.3050979150538602</v>
      </c>
      <c r="W159" s="141">
        <v>7.0278036024447088</v>
      </c>
      <c r="X159" s="141">
        <v>6.7340745935516262</v>
      </c>
      <c r="Y159" s="141">
        <v>6.7814974090696856</v>
      </c>
      <c r="DA159" s="174" t="s">
        <v>901</v>
      </c>
    </row>
    <row r="160" spans="1:105" ht="11.45" customHeight="1" x14ac:dyDescent="0.25">
      <c r="A160" s="111" t="s">
        <v>110</v>
      </c>
      <c r="B160" s="96">
        <v>7.6384634809238401</v>
      </c>
      <c r="C160" s="96">
        <v>7.5968789961399628</v>
      </c>
      <c r="D160" s="96">
        <v>7.5509394782160086</v>
      </c>
      <c r="E160" s="96">
        <v>7.4564262956981491</v>
      </c>
      <c r="F160" s="96">
        <v>7.4461004407519384</v>
      </c>
      <c r="G160" s="96">
        <v>7.3457921355601883</v>
      </c>
      <c r="H160" s="96">
        <v>7.197647726842118</v>
      </c>
      <c r="I160" s="96">
        <v>7.0920711283104643</v>
      </c>
      <c r="J160" s="96">
        <v>6.7477354756144106</v>
      </c>
      <c r="K160" s="96">
        <v>6.3763207951512557</v>
      </c>
      <c r="L160" s="96">
        <v>6.1444105223287302</v>
      </c>
      <c r="M160" s="96">
        <v>5.9645036349752809</v>
      </c>
      <c r="N160" s="96">
        <v>5.6294537533727453</v>
      </c>
      <c r="O160" s="96">
        <v>5.5293617213286517</v>
      </c>
      <c r="P160" s="96">
        <v>5.2776825381272223</v>
      </c>
      <c r="Q160" s="96">
        <v>4.8955859258674179</v>
      </c>
      <c r="R160" s="96">
        <v>4.7373048538754716</v>
      </c>
      <c r="S160" s="96">
        <v>4.8692618597838271</v>
      </c>
      <c r="T160" s="96">
        <v>5.462750707386081</v>
      </c>
      <c r="U160" s="96">
        <v>5.8037637502841957</v>
      </c>
      <c r="V160" s="96">
        <v>5.4622694659699222</v>
      </c>
      <c r="W160" s="96">
        <v>5.5812338022592822</v>
      </c>
      <c r="X160" s="96">
        <v>5.5586661108778248</v>
      </c>
      <c r="Y160" s="96">
        <v>7.3327140687654664</v>
      </c>
      <c r="DA160" s="171" t="s">
        <v>902</v>
      </c>
    </row>
    <row r="161" spans="1:105" ht="11.45" customHeight="1" x14ac:dyDescent="0.25">
      <c r="A161" s="111" t="s">
        <v>111</v>
      </c>
      <c r="B161" s="96">
        <v>10.0562502226117</v>
      </c>
      <c r="C161" s="96">
        <v>10.051254138336047</v>
      </c>
      <c r="D161" s="96">
        <v>10.045705844664612</v>
      </c>
      <c r="E161" s="96">
        <v>10.068592556059283</v>
      </c>
      <c r="F161" s="96">
        <v>10.002186416179292</v>
      </c>
      <c r="G161" s="96">
        <v>10.032008494663257</v>
      </c>
      <c r="H161" s="96">
        <v>10.096334024416459</v>
      </c>
      <c r="I161" s="96">
        <v>10.003400105419921</v>
      </c>
      <c r="J161" s="96">
        <v>9.552081092084137</v>
      </c>
      <c r="K161" s="96">
        <v>9.1767043483761217</v>
      </c>
      <c r="L161" s="96">
        <v>8.8242143160627684</v>
      </c>
      <c r="M161" s="96">
        <v>8.5197330392542501</v>
      </c>
      <c r="N161" s="96">
        <v>8.1083658527807234</v>
      </c>
      <c r="O161" s="96">
        <v>7.9643619672802162</v>
      </c>
      <c r="P161" s="96">
        <v>7.8917667503131295</v>
      </c>
      <c r="Q161" s="96">
        <v>7.4622004056412914</v>
      </c>
      <c r="R161" s="96">
        <v>7.1714578517550738</v>
      </c>
      <c r="S161" s="96">
        <v>6.9203493365208404</v>
      </c>
      <c r="T161" s="96">
        <v>7.0662633092914326</v>
      </c>
      <c r="U161" s="96">
        <v>7.0867827815323752</v>
      </c>
      <c r="V161" s="96">
        <v>7.3419201439782471</v>
      </c>
      <c r="W161" s="96">
        <v>7.0724650740205766</v>
      </c>
      <c r="X161" s="96">
        <v>6.7928864930017347</v>
      </c>
      <c r="Y161" s="96">
        <v>6.7401625130535745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10.095378473836522</v>
      </c>
      <c r="I162" s="96">
        <v>10.002453350414697</v>
      </c>
      <c r="J162" s="96">
        <v>9.5511770514090735</v>
      </c>
      <c r="K162" s="96">
        <v>9.1758358346026299</v>
      </c>
      <c r="L162" s="96">
        <v>8.8233791631164848</v>
      </c>
      <c r="M162" s="96">
        <v>0</v>
      </c>
      <c r="N162" s="96">
        <v>8.7042784320057791</v>
      </c>
      <c r="O162" s="96">
        <v>5.97971022429393</v>
      </c>
      <c r="P162" s="96">
        <v>5.97971022429393</v>
      </c>
      <c r="Q162" s="96">
        <v>7.2272756667725204</v>
      </c>
      <c r="R162" s="96">
        <v>6.3043118911457237</v>
      </c>
      <c r="S162" s="96">
        <v>5.717064867982649</v>
      </c>
      <c r="T162" s="96">
        <v>5.6785737381784092</v>
      </c>
      <c r="U162" s="96">
        <v>6.1350584115757458</v>
      </c>
      <c r="V162" s="96">
        <v>4.4293389253705611</v>
      </c>
      <c r="W162" s="96">
        <v>6.8701315749430281</v>
      </c>
      <c r="X162" s="96">
        <v>6.4821489377905976</v>
      </c>
      <c r="Y162" s="96">
        <v>8.3037747341770061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7.1942537436636709</v>
      </c>
      <c r="Q163" s="96">
        <v>7.7003728993319882</v>
      </c>
      <c r="R163" s="96">
        <v>4.9470846924962775</v>
      </c>
      <c r="S163" s="96">
        <v>5.0207020242298537</v>
      </c>
      <c r="T163" s="96">
        <v>4.5348276347882557</v>
      </c>
      <c r="U163" s="96">
        <v>5.6411909631271309</v>
      </c>
      <c r="V163" s="96">
        <v>8.7172366015115497</v>
      </c>
      <c r="W163" s="96">
        <v>9.5900246373161249</v>
      </c>
      <c r="X163" s="96">
        <v>7.408054547804686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0</v>
      </c>
      <c r="P164" s="96">
        <v>1.2508321057961216</v>
      </c>
      <c r="Q164" s="96">
        <v>1.3198853792075025</v>
      </c>
      <c r="R164" s="96">
        <v>1.3327601031814273</v>
      </c>
      <c r="S164" s="96">
        <v>1.3243940415049613</v>
      </c>
      <c r="T164" s="96">
        <v>1.3278876468902263</v>
      </c>
      <c r="U164" s="96">
        <v>1.3453432040769242</v>
      </c>
      <c r="V164" s="96">
        <v>1.5522253613397206</v>
      </c>
      <c r="W164" s="96">
        <v>1.7326635591558426</v>
      </c>
      <c r="X164" s="96">
        <v>1.9533060320328779</v>
      </c>
      <c r="Y164" s="96">
        <v>1.937108463333743</v>
      </c>
      <c r="DA164" s="171" t="s">
        <v>906</v>
      </c>
    </row>
    <row r="165" spans="1:105" ht="11.45" customHeight="1" x14ac:dyDescent="0.25">
      <c r="A165" s="109" t="s">
        <v>154</v>
      </c>
      <c r="B165" s="130">
        <v>27.508112843008956</v>
      </c>
      <c r="C165" s="130">
        <v>27.480238479637244</v>
      </c>
      <c r="D165" s="130">
        <v>27.404698008471197</v>
      </c>
      <c r="E165" s="130">
        <v>27.101660658105946</v>
      </c>
      <c r="F165" s="130">
        <v>27.822251749751754</v>
      </c>
      <c r="G165" s="130">
        <v>26.845731505037854</v>
      </c>
      <c r="H165" s="130">
        <v>27.180491146844115</v>
      </c>
      <c r="I165" s="130">
        <v>26.004784580369286</v>
      </c>
      <c r="J165" s="130">
        <v>25.678631125145483</v>
      </c>
      <c r="K165" s="130">
        <v>24.643903189364909</v>
      </c>
      <c r="L165" s="130">
        <v>25.051240539967335</v>
      </c>
      <c r="M165" s="130">
        <v>25.106102617191386</v>
      </c>
      <c r="N165" s="130">
        <v>24.854035845589312</v>
      </c>
      <c r="O165" s="130">
        <v>23.869630769501786</v>
      </c>
      <c r="P165" s="130">
        <v>23.307075727474505</v>
      </c>
      <c r="Q165" s="130">
        <v>23.38409167199686</v>
      </c>
      <c r="R165" s="130">
        <v>23.000844737761344</v>
      </c>
      <c r="S165" s="130">
        <v>22.642811474127274</v>
      </c>
      <c r="T165" s="130">
        <v>21.775442116400214</v>
      </c>
      <c r="U165" s="130">
        <v>21.553845427057198</v>
      </c>
      <c r="V165" s="130">
        <v>20.857058471534113</v>
      </c>
      <c r="W165" s="130">
        <v>21.873374534010086</v>
      </c>
      <c r="X165" s="130">
        <v>21.495142729180081</v>
      </c>
      <c r="Y165" s="130">
        <v>21.064687978028019</v>
      </c>
      <c r="DA165" s="176" t="s">
        <v>907</v>
      </c>
    </row>
    <row r="166" spans="1:105" ht="11.45" customHeight="1" x14ac:dyDescent="0.25">
      <c r="A166" s="128" t="s">
        <v>27</v>
      </c>
      <c r="B166" s="97">
        <v>26.761270004743029</v>
      </c>
      <c r="C166" s="97">
        <v>26.638144329843865</v>
      </c>
      <c r="D166" s="97">
        <v>26.502002310289701</v>
      </c>
      <c r="E166" s="97">
        <v>26.332480155047378</v>
      </c>
      <c r="F166" s="97">
        <v>26.130008623106278</v>
      </c>
      <c r="G166" s="97">
        <v>25.895098567024377</v>
      </c>
      <c r="H166" s="97">
        <v>25.628337747266013</v>
      </c>
      <c r="I166" s="97">
        <v>25.330387211858454</v>
      </c>
      <c r="J166" s="97">
        <v>25.001977282241409</v>
      </c>
      <c r="K166" s="97">
        <v>24.643903189364909</v>
      </c>
      <c r="L166" s="97">
        <v>24.257020408101098</v>
      </c>
      <c r="M166" s="97">
        <v>23.842239738783256</v>
      </c>
      <c r="N166" s="97">
        <v>23.400522186577142</v>
      </c>
      <c r="O166" s="97">
        <v>22.932873689982319</v>
      </c>
      <c r="P166" s="97">
        <v>22.440339748555257</v>
      </c>
      <c r="Q166" s="97">
        <v>21.923999999953473</v>
      </c>
      <c r="R166" s="97">
        <v>21.584081615023379</v>
      </c>
      <c r="S166" s="97">
        <v>21.346138745572311</v>
      </c>
      <c r="T166" s="97">
        <v>21.096298732648691</v>
      </c>
      <c r="U166" s="97">
        <v>20.790938716853159</v>
      </c>
      <c r="V166" s="97">
        <v>20.82130467589155</v>
      </c>
      <c r="W166" s="97">
        <v>20.61736536013861</v>
      </c>
      <c r="X166" s="97">
        <v>20.503776580111378</v>
      </c>
      <c r="Y166" s="97">
        <v>20.298738814310266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121.56104361384429</v>
      </c>
      <c r="C171" s="152">
        <v>120.94944178882594</v>
      </c>
      <c r="D171" s="152">
        <v>120.2482345176671</v>
      </c>
      <c r="E171" s="152">
        <v>119.37879122528258</v>
      </c>
      <c r="F171" s="152">
        <v>118.30739073218879</v>
      </c>
      <c r="G171" s="152">
        <v>117.03549861599815</v>
      </c>
      <c r="H171" s="152">
        <v>114.87248598108172</v>
      </c>
      <c r="I171" s="152">
        <v>109.09986652680628</v>
      </c>
      <c r="J171" s="152">
        <v>105.82318772317743</v>
      </c>
      <c r="K171" s="152">
        <v>103.3714502267128</v>
      </c>
      <c r="L171" s="152">
        <v>101.91939134234109</v>
      </c>
      <c r="M171" s="152">
        <v>100.81628515658379</v>
      </c>
      <c r="N171" s="152">
        <v>100.14374037372855</v>
      </c>
      <c r="O171" s="152">
        <v>98.909139599872987</v>
      </c>
      <c r="P171" s="152">
        <v>97.42578544092936</v>
      </c>
      <c r="Q171" s="152">
        <v>94.698287972539788</v>
      </c>
      <c r="R171" s="152">
        <v>92.071419706607983</v>
      </c>
      <c r="S171" s="152">
        <v>87.45210239645148</v>
      </c>
      <c r="T171" s="152">
        <v>85.525606719206394</v>
      </c>
      <c r="U171" s="152">
        <v>83.51686573700033</v>
      </c>
      <c r="V171" s="152">
        <v>82.192728973407043</v>
      </c>
      <c r="W171" s="152">
        <v>80.604684723601906</v>
      </c>
      <c r="X171" s="152">
        <v>78.625658584179376</v>
      </c>
      <c r="Y171" s="152">
        <v>76.71578731958374</v>
      </c>
      <c r="DA171" s="174" t="s">
        <v>910</v>
      </c>
    </row>
    <row r="172" spans="1:105" ht="11.45" customHeight="1" x14ac:dyDescent="0.25">
      <c r="A172" s="109" t="s">
        <v>20</v>
      </c>
      <c r="B172" s="116">
        <v>242.4238569379996</v>
      </c>
      <c r="C172" s="116">
        <v>238.7776905142743</v>
      </c>
      <c r="D172" s="116">
        <v>241.43322188443196</v>
      </c>
      <c r="E172" s="116">
        <v>237.01658591130152</v>
      </c>
      <c r="F172" s="116">
        <v>235.2991979963052</v>
      </c>
      <c r="G172" s="116">
        <v>234.32991702183759</v>
      </c>
      <c r="H172" s="116">
        <v>231.10343576804365</v>
      </c>
      <c r="I172" s="116">
        <v>228.15774175048105</v>
      </c>
      <c r="J172" s="116">
        <v>225.06628488758881</v>
      </c>
      <c r="K172" s="116">
        <v>221.2124146352314</v>
      </c>
      <c r="L172" s="116">
        <v>217.84833375682047</v>
      </c>
      <c r="M172" s="116">
        <v>214.18005270394085</v>
      </c>
      <c r="N172" s="116">
        <v>211.60536761060683</v>
      </c>
      <c r="O172" s="116">
        <v>206.97054917005221</v>
      </c>
      <c r="P172" s="116">
        <v>203.91223091511992</v>
      </c>
      <c r="Q172" s="116">
        <v>199.08838614148883</v>
      </c>
      <c r="R172" s="116">
        <v>194.41786335575131</v>
      </c>
      <c r="S172" s="116">
        <v>189.56547035030476</v>
      </c>
      <c r="T172" s="116">
        <v>183.61310679359246</v>
      </c>
      <c r="U172" s="116">
        <v>177.96543384460367</v>
      </c>
      <c r="V172" s="116">
        <v>172.58316224420165</v>
      </c>
      <c r="W172" s="116">
        <v>169.35183026393116</v>
      </c>
      <c r="X172" s="116">
        <v>165.03542620401586</v>
      </c>
      <c r="Y172" s="116">
        <v>159.56579726346965</v>
      </c>
      <c r="DA172" s="176" t="s">
        <v>911</v>
      </c>
    </row>
    <row r="173" spans="1:105" ht="11.45" customHeight="1" x14ac:dyDescent="0.25">
      <c r="A173" s="111" t="s">
        <v>110</v>
      </c>
      <c r="B173" s="87">
        <v>241.22649495903676</v>
      </c>
      <c r="C173" s="87">
        <v>236.8320113281207</v>
      </c>
      <c r="D173" s="87">
        <v>235.22252946428222</v>
      </c>
      <c r="E173" s="87">
        <v>233.49241928282075</v>
      </c>
      <c r="F173" s="87">
        <v>231.64222549480937</v>
      </c>
      <c r="G173" s="87">
        <v>229.98615558561394</v>
      </c>
      <c r="H173" s="87">
        <v>227.83397671789038</v>
      </c>
      <c r="I173" s="87">
        <v>225.16205022709769</v>
      </c>
      <c r="J173" s="87">
        <v>221.37956417381477</v>
      </c>
      <c r="K173" s="87">
        <v>217.48637391982911</v>
      </c>
      <c r="L173" s="87">
        <v>213.29160613428698</v>
      </c>
      <c r="M173" s="87">
        <v>209.0059029617002</v>
      </c>
      <c r="N173" s="87">
        <v>205.5541090979423</v>
      </c>
      <c r="O173" s="87">
        <v>201.3251637192017</v>
      </c>
      <c r="P173" s="87">
        <v>197.35086376819308</v>
      </c>
      <c r="Q173" s="87">
        <v>192.61296076578179</v>
      </c>
      <c r="R173" s="87">
        <v>187.82033178427429</v>
      </c>
      <c r="S173" s="87">
        <v>182.36547278555474</v>
      </c>
      <c r="T173" s="87">
        <v>175.59689323826981</v>
      </c>
      <c r="U173" s="87">
        <v>169.41478836762911</v>
      </c>
      <c r="V173" s="87">
        <v>164.47053653614913</v>
      </c>
      <c r="W173" s="87">
        <v>160.92394200181479</v>
      </c>
      <c r="X173" s="87">
        <v>157.81626265347467</v>
      </c>
      <c r="Y173" s="87">
        <v>153.26514325994845</v>
      </c>
      <c r="DA173" s="171" t="s">
        <v>912</v>
      </c>
    </row>
    <row r="174" spans="1:105" ht="11.45" customHeight="1" x14ac:dyDescent="0.25">
      <c r="A174" s="111" t="s">
        <v>111</v>
      </c>
      <c r="B174" s="87">
        <v>238.54126223061033</v>
      </c>
      <c r="C174" s="87">
        <v>232.72080741885688</v>
      </c>
      <c r="D174" s="87">
        <v>225.23788744130528</v>
      </c>
      <c r="E174" s="87">
        <v>221.4852748743196</v>
      </c>
      <c r="F174" s="87">
        <v>219.62676770933797</v>
      </c>
      <c r="G174" s="87">
        <v>217.9963966763369</v>
      </c>
      <c r="H174" s="87">
        <v>217.15291301537488</v>
      </c>
      <c r="I174" s="87">
        <v>216.05920349819891</v>
      </c>
      <c r="J174" s="87">
        <v>214.05236876823895</v>
      </c>
      <c r="K174" s="87">
        <v>211.72490298013668</v>
      </c>
      <c r="L174" s="87">
        <v>209.47079836007609</v>
      </c>
      <c r="M174" s="87">
        <v>206.80939931962496</v>
      </c>
      <c r="N174" s="87">
        <v>203.6805674024429</v>
      </c>
      <c r="O174" s="87">
        <v>199.92005281527088</v>
      </c>
      <c r="P174" s="87">
        <v>195.36477459971135</v>
      </c>
      <c r="Q174" s="87">
        <v>191.16996136133972</v>
      </c>
      <c r="R174" s="87">
        <v>187.78722761044702</v>
      </c>
      <c r="S174" s="87">
        <v>184.44579176626857</v>
      </c>
      <c r="T174" s="87">
        <v>181.25606385215818</v>
      </c>
      <c r="U174" s="87">
        <v>178.25720104019109</v>
      </c>
      <c r="V174" s="87">
        <v>175.18340505294395</v>
      </c>
      <c r="W174" s="87">
        <v>171.91493275042006</v>
      </c>
      <c r="X174" s="87">
        <v>169.29254718208048</v>
      </c>
      <c r="Y174" s="87">
        <v>168.25155001248271</v>
      </c>
      <c r="DA174" s="171" t="s">
        <v>913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167.93825483698512</v>
      </c>
      <c r="I175" s="87">
        <v>170.61023226919929</v>
      </c>
      <c r="J175" s="87">
        <v>170.99446657799683</v>
      </c>
      <c r="K175" s="87">
        <v>171.8293809922713</v>
      </c>
      <c r="L175" s="87">
        <v>170.98770366331595</v>
      </c>
      <c r="M175" s="87">
        <v>170.68934576234187</v>
      </c>
      <c r="N175" s="87">
        <v>169.7879303134213</v>
      </c>
      <c r="O175" s="87">
        <v>167.84833713214326</v>
      </c>
      <c r="P175" s="87">
        <v>166.70091087773156</v>
      </c>
      <c r="Q175" s="87">
        <v>166.18360460750077</v>
      </c>
      <c r="R175" s="87">
        <v>163.26795227961708</v>
      </c>
      <c r="S175" s="87">
        <v>161.75770829333032</v>
      </c>
      <c r="T175" s="87">
        <v>160.90734040639671</v>
      </c>
      <c r="U175" s="87">
        <v>160.1199642987886</v>
      </c>
      <c r="V175" s="87">
        <v>159.3178855196318</v>
      </c>
      <c r="W175" s="87">
        <v>156.46594405999238</v>
      </c>
      <c r="X175" s="87">
        <v>153.07987981051198</v>
      </c>
      <c r="Y175" s="87">
        <v>150.80728580143864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138.19457610562716</v>
      </c>
      <c r="O176" s="87">
        <v>137.03757002494402</v>
      </c>
      <c r="P176" s="87">
        <v>127.82984635386231</v>
      </c>
      <c r="Q176" s="87">
        <v>120.54921562129404</v>
      </c>
      <c r="R176" s="87">
        <v>119.45738955031487</v>
      </c>
      <c r="S176" s="87">
        <v>118.17090837231984</v>
      </c>
      <c r="T176" s="87">
        <v>119.74625295934287</v>
      </c>
      <c r="U176" s="87">
        <v>119.05027673159029</v>
      </c>
      <c r="V176" s="87">
        <v>116.54443229006711</v>
      </c>
      <c r="W176" s="87">
        <v>115.52308935001618</v>
      </c>
      <c r="X176" s="87">
        <v>115.11332127469922</v>
      </c>
      <c r="Y176" s="87">
        <v>115.02626064483894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41.516036354057398</v>
      </c>
      <c r="P177" s="87">
        <v>43.361295125421684</v>
      </c>
      <c r="Q177" s="87">
        <v>38.236589583897626</v>
      </c>
      <c r="R177" s="87">
        <v>43.77411348134158</v>
      </c>
      <c r="S177" s="87">
        <v>51.103931882268625</v>
      </c>
      <c r="T177" s="87">
        <v>50.366267110112119</v>
      </c>
      <c r="U177" s="87">
        <v>50.268533925764807</v>
      </c>
      <c r="V177" s="87">
        <v>48.878030623935523</v>
      </c>
      <c r="W177" s="87">
        <v>42.924429045013483</v>
      </c>
      <c r="X177" s="87">
        <v>41.221895934395427</v>
      </c>
      <c r="Y177" s="87">
        <v>36.940087400935745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1661.5523993134191</v>
      </c>
      <c r="C179" s="116">
        <v>1601.3503391666227</v>
      </c>
      <c r="D179" s="116">
        <v>1591.9045326944224</v>
      </c>
      <c r="E179" s="116">
        <v>1578.9254786943832</v>
      </c>
      <c r="F179" s="116">
        <v>1569.5346799036668</v>
      </c>
      <c r="G179" s="116">
        <v>1555.6462747441756</v>
      </c>
      <c r="H179" s="116">
        <v>1542.7137896142774</v>
      </c>
      <c r="I179" s="116">
        <v>1531.8904341381558</v>
      </c>
      <c r="J179" s="116">
        <v>1516.3242551715423</v>
      </c>
      <c r="K179" s="116">
        <v>1504.9201127348235</v>
      </c>
      <c r="L179" s="116">
        <v>1491.7256960025527</v>
      </c>
      <c r="M179" s="116">
        <v>1481.3824142526078</v>
      </c>
      <c r="N179" s="116">
        <v>1417.0402897834413</v>
      </c>
      <c r="O179" s="116">
        <v>1423.1521206866985</v>
      </c>
      <c r="P179" s="116">
        <v>1325.5316132935159</v>
      </c>
      <c r="Q179" s="116">
        <v>1405.3765861107267</v>
      </c>
      <c r="R179" s="116">
        <v>1289.897204443027</v>
      </c>
      <c r="S179" s="116">
        <v>1383.411406388296</v>
      </c>
      <c r="T179" s="116">
        <v>1333.4608399184012</v>
      </c>
      <c r="U179" s="116">
        <v>1298.009553690315</v>
      </c>
      <c r="V179" s="116">
        <v>1297.3264361484232</v>
      </c>
      <c r="W179" s="116">
        <v>1289.3012473607798</v>
      </c>
      <c r="X179" s="116">
        <v>1254.2120144476712</v>
      </c>
      <c r="Y179" s="116">
        <v>1147.2499646896001</v>
      </c>
      <c r="DA179" s="176" t="s">
        <v>918</v>
      </c>
    </row>
    <row r="180" spans="1:105" ht="11.45" customHeight="1" x14ac:dyDescent="0.25">
      <c r="A180" s="111" t="s">
        <v>110</v>
      </c>
      <c r="B180" s="101">
        <v>539.16088565951509</v>
      </c>
      <c r="C180" s="101">
        <v>535.15818231085086</v>
      </c>
      <c r="D180" s="101">
        <v>534.95042199737566</v>
      </c>
      <c r="E180" s="101">
        <v>534.55053668483924</v>
      </c>
      <c r="F180" s="101">
        <v>533.97639864251039</v>
      </c>
      <c r="G180" s="101">
        <v>533.62242220910866</v>
      </c>
      <c r="H180" s="101">
        <v>532.77254971580192</v>
      </c>
      <c r="I180" s="101">
        <v>532.2264415611902</v>
      </c>
      <c r="J180" s="101">
        <v>530.84055007282006</v>
      </c>
      <c r="K180" s="101">
        <v>529.38868198194848</v>
      </c>
      <c r="L180" s="101">
        <v>528.05019963026632</v>
      </c>
      <c r="M180" s="101">
        <v>525.30030457448265</v>
      </c>
      <c r="N180" s="101">
        <v>524.00552127653668</v>
      </c>
      <c r="O180" s="101">
        <v>466.60521537338758</v>
      </c>
      <c r="P180" s="101">
        <v>454.14498550267183</v>
      </c>
      <c r="Q180" s="101">
        <v>439.34912561398255</v>
      </c>
      <c r="R180" s="101">
        <v>439.34912561398255</v>
      </c>
      <c r="S180" s="101">
        <v>439.34912561398249</v>
      </c>
      <c r="T180" s="101">
        <v>439.34912561398261</v>
      </c>
      <c r="U180" s="101">
        <v>439.34912561398266</v>
      </c>
      <c r="V180" s="101">
        <v>439.34912561398261</v>
      </c>
      <c r="W180" s="101">
        <v>439.34912561398272</v>
      </c>
      <c r="X180" s="101">
        <v>414.14283238742416</v>
      </c>
      <c r="Y180" s="101">
        <v>268.04810515911953</v>
      </c>
      <c r="DA180" s="175" t="s">
        <v>919</v>
      </c>
    </row>
    <row r="181" spans="1:105" ht="11.45" customHeight="1" x14ac:dyDescent="0.25">
      <c r="A181" s="111" t="s">
        <v>111</v>
      </c>
      <c r="B181" s="101">
        <v>1681.7669742441878</v>
      </c>
      <c r="C181" s="101">
        <v>1600.6108097298115</v>
      </c>
      <c r="D181" s="101">
        <v>1588.4238658271004</v>
      </c>
      <c r="E181" s="101">
        <v>1572.3501673158307</v>
      </c>
      <c r="F181" s="101">
        <v>1559.8003368788738</v>
      </c>
      <c r="G181" s="101">
        <v>1545.095352283146</v>
      </c>
      <c r="H181" s="101">
        <v>1531.0794023724429</v>
      </c>
      <c r="I181" s="101">
        <v>1519.7653909414332</v>
      </c>
      <c r="J181" s="101">
        <v>1503.9414986422526</v>
      </c>
      <c r="K181" s="101">
        <v>1492.5412059295977</v>
      </c>
      <c r="L181" s="101">
        <v>1479.7866347026888</v>
      </c>
      <c r="M181" s="101">
        <v>1469.4315162324169</v>
      </c>
      <c r="N181" s="101">
        <v>1459.8112881293785</v>
      </c>
      <c r="O181" s="101">
        <v>1445.3697223504555</v>
      </c>
      <c r="P181" s="101">
        <v>1432.3270011621612</v>
      </c>
      <c r="Q181" s="101">
        <v>1418.8939348191388</v>
      </c>
      <c r="R181" s="101">
        <v>1405.1150210543406</v>
      </c>
      <c r="S181" s="101">
        <v>1391.2650439303134</v>
      </c>
      <c r="T181" s="101">
        <v>1376.641646082506</v>
      </c>
      <c r="U181" s="101">
        <v>1361.7931063447311</v>
      </c>
      <c r="V181" s="101">
        <v>1318.1781710456598</v>
      </c>
      <c r="W181" s="101">
        <v>1286.9945594090423</v>
      </c>
      <c r="X181" s="101">
        <v>1269.7869372766474</v>
      </c>
      <c r="Y181" s="101">
        <v>1247.6921860979094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869.784863137927</v>
      </c>
      <c r="O183" s="101">
        <v>860.48203806138395</v>
      </c>
      <c r="P183" s="101">
        <v>852.5227674584371</v>
      </c>
      <c r="Q183" s="101">
        <v>851.95275967863381</v>
      </c>
      <c r="R183" s="101">
        <v>847.14622582963375</v>
      </c>
      <c r="S183" s="101">
        <v>847.06508085208702</v>
      </c>
      <c r="T183" s="101">
        <v>845.8757720382722</v>
      </c>
      <c r="U183" s="101">
        <v>839.73151945995437</v>
      </c>
      <c r="V183" s="101">
        <v>838.86823211113688</v>
      </c>
      <c r="W183" s="101">
        <v>838.69568581178419</v>
      </c>
      <c r="X183" s="101">
        <v>838.59013891336781</v>
      </c>
      <c r="Y183" s="101">
        <v>837.85357890441833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322.32116784173235</v>
      </c>
      <c r="C186" s="152">
        <v>315.42850723131846</v>
      </c>
      <c r="D186" s="152">
        <v>314.41016637082561</v>
      </c>
      <c r="E186" s="152">
        <v>313.52473237935908</v>
      </c>
      <c r="F186" s="152">
        <v>312.28330750703327</v>
      </c>
      <c r="G186" s="152">
        <v>311.7945267185309</v>
      </c>
      <c r="H186" s="152">
        <v>305.05750837847739</v>
      </c>
      <c r="I186" s="152">
        <v>307.46274449039839</v>
      </c>
      <c r="J186" s="152">
        <v>297.09870947782548</v>
      </c>
      <c r="K186" s="152">
        <v>293.3117964361133</v>
      </c>
      <c r="L186" s="152">
        <v>265.54502400934774</v>
      </c>
      <c r="M186" s="152">
        <v>254.93584986976106</v>
      </c>
      <c r="N186" s="152">
        <v>291.86531536563621</v>
      </c>
      <c r="O186" s="152">
        <v>285.92140504782498</v>
      </c>
      <c r="P186" s="152">
        <v>273.34683324424373</v>
      </c>
      <c r="Q186" s="152">
        <v>266.88177519130465</v>
      </c>
      <c r="R186" s="152">
        <v>258.3238574111374</v>
      </c>
      <c r="S186" s="152">
        <v>248.05019618459141</v>
      </c>
      <c r="T186" s="152">
        <v>240.40784659739501</v>
      </c>
      <c r="U186" s="152">
        <v>233.04112454421227</v>
      </c>
      <c r="V186" s="152">
        <v>231.46725275452792</v>
      </c>
      <c r="W186" s="152">
        <v>226.07088752384877</v>
      </c>
      <c r="X186" s="152">
        <v>223.16112724038268</v>
      </c>
      <c r="Y186" s="152">
        <v>218.67269939640008</v>
      </c>
      <c r="DA186" s="174" t="s">
        <v>924</v>
      </c>
    </row>
    <row r="187" spans="1:105" ht="11.45" customHeight="1" x14ac:dyDescent="0.25">
      <c r="A187" s="111" t="s">
        <v>110</v>
      </c>
      <c r="B187" s="87">
        <v>248.59749167974181</v>
      </c>
      <c r="C187" s="87">
        <v>242.35325074380123</v>
      </c>
      <c r="D187" s="87">
        <v>239.6215919090325</v>
      </c>
      <c r="E187" s="87">
        <v>237.16005029039979</v>
      </c>
      <c r="F187" s="87">
        <v>235.2098637799788</v>
      </c>
      <c r="G187" s="87">
        <v>233.49418310795872</v>
      </c>
      <c r="H187" s="87">
        <v>230.28310415749829</v>
      </c>
      <c r="I187" s="87">
        <v>228.24312192071997</v>
      </c>
      <c r="J187" s="87">
        <v>223.76234043570818</v>
      </c>
      <c r="K187" s="87">
        <v>220.96824034057829</v>
      </c>
      <c r="L187" s="87">
        <v>218.63874777971023</v>
      </c>
      <c r="M187" s="87">
        <v>216.3571087813354</v>
      </c>
      <c r="N187" s="87">
        <v>213.91459416874463</v>
      </c>
      <c r="O187" s="87">
        <v>212.28467747421979</v>
      </c>
      <c r="P187" s="87">
        <v>209.41920279250448</v>
      </c>
      <c r="Q187" s="87">
        <v>205.15081490435057</v>
      </c>
      <c r="R187" s="87">
        <v>198.93106058733528</v>
      </c>
      <c r="S187" s="87">
        <v>192.13121424580797</v>
      </c>
      <c r="T187" s="87">
        <v>179.86390703599761</v>
      </c>
      <c r="U187" s="87">
        <v>171.03723700214749</v>
      </c>
      <c r="V187" s="87">
        <v>167.82041590880638</v>
      </c>
      <c r="W187" s="87">
        <v>164.45294368920139</v>
      </c>
      <c r="X187" s="87">
        <v>161.14230830404424</v>
      </c>
      <c r="Y187" s="87">
        <v>164.18564527192845</v>
      </c>
      <c r="DA187" s="171" t="s">
        <v>925</v>
      </c>
    </row>
    <row r="188" spans="1:105" ht="11.45" customHeight="1" x14ac:dyDescent="0.25">
      <c r="A188" s="111" t="s">
        <v>111</v>
      </c>
      <c r="B188" s="87">
        <v>351.69545885267974</v>
      </c>
      <c r="C188" s="87">
        <v>342.99081984806247</v>
      </c>
      <c r="D188" s="87">
        <v>337.84519703095725</v>
      </c>
      <c r="E188" s="87">
        <v>333.00095496042081</v>
      </c>
      <c r="F188" s="87">
        <v>328.55541736327694</v>
      </c>
      <c r="G188" s="87">
        <v>324.98365465966492</v>
      </c>
      <c r="H188" s="87">
        <v>321.29817955831106</v>
      </c>
      <c r="I188" s="87">
        <v>318.34236424862246</v>
      </c>
      <c r="J188" s="87">
        <v>314.34917602411508</v>
      </c>
      <c r="K188" s="87">
        <v>311.28414585714938</v>
      </c>
      <c r="L188" s="87">
        <v>310.49623965243154</v>
      </c>
      <c r="M188" s="87">
        <v>310.11009305934903</v>
      </c>
      <c r="N188" s="87">
        <v>301.5343492217292</v>
      </c>
      <c r="O188" s="87">
        <v>293.32106237561311</v>
      </c>
      <c r="P188" s="87">
        <v>285.77726591039089</v>
      </c>
      <c r="Q188" s="87">
        <v>277.21443505332729</v>
      </c>
      <c r="R188" s="87">
        <v>266.95393919942939</v>
      </c>
      <c r="S188" s="87">
        <v>255.5476721717161</v>
      </c>
      <c r="T188" s="87">
        <v>246.51065578654269</v>
      </c>
      <c r="U188" s="87">
        <v>239.03223543417374</v>
      </c>
      <c r="V188" s="87">
        <v>234.08365493764308</v>
      </c>
      <c r="W188" s="87">
        <v>228.85213167567358</v>
      </c>
      <c r="X188" s="87">
        <v>226.6294088465929</v>
      </c>
      <c r="Y188" s="87">
        <v>223.75921097848394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317.9448262451279</v>
      </c>
      <c r="I189" s="87">
        <v>317.0213499712782</v>
      </c>
      <c r="J189" s="87">
        <v>308.69781929286739</v>
      </c>
      <c r="K189" s="87">
        <v>295.25402477695491</v>
      </c>
      <c r="L189" s="87">
        <v>291.33733745679575</v>
      </c>
      <c r="M189" s="87">
        <v>291.23246576042294</v>
      </c>
      <c r="N189" s="87">
        <v>287.11460864938857</v>
      </c>
      <c r="O189" s="87">
        <v>273.99644896531345</v>
      </c>
      <c r="P189" s="87">
        <v>247.14896291558264</v>
      </c>
      <c r="Q189" s="87">
        <v>243.02612855339939</v>
      </c>
      <c r="R189" s="87">
        <v>239.42792443386475</v>
      </c>
      <c r="S189" s="87">
        <v>228.8108105408491</v>
      </c>
      <c r="T189" s="87">
        <v>224.69475361777876</v>
      </c>
      <c r="U189" s="87">
        <v>211.31387609295655</v>
      </c>
      <c r="V189" s="87">
        <v>208.81968335756</v>
      </c>
      <c r="W189" s="87">
        <v>206.8956300550434</v>
      </c>
      <c r="X189" s="87">
        <v>204.76022217045994</v>
      </c>
      <c r="Y189" s="87">
        <v>204.05968602628766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168.97825782997765</v>
      </c>
      <c r="Q190" s="87">
        <v>176.57054779486199</v>
      </c>
      <c r="R190" s="87">
        <v>175.80329820200774</v>
      </c>
      <c r="S190" s="87">
        <v>157.09073685059118</v>
      </c>
      <c r="T190" s="87">
        <v>151.43222588559419</v>
      </c>
      <c r="U190" s="87">
        <v>145.72391270199969</v>
      </c>
      <c r="V190" s="87">
        <v>147.73825288092044</v>
      </c>
      <c r="W190" s="87">
        <v>150.18898188553447</v>
      </c>
      <c r="X190" s="87">
        <v>150.78799456123255</v>
      </c>
      <c r="Y190" s="87">
        <v>151.31165609504785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896.38584479865267</v>
      </c>
      <c r="C192" s="116">
        <v>893.89380477829582</v>
      </c>
      <c r="D192" s="116">
        <v>890.43349704358832</v>
      </c>
      <c r="E192" s="116">
        <v>886.54172383400305</v>
      </c>
      <c r="F192" s="116">
        <v>883.51201903840092</v>
      </c>
      <c r="G192" s="116">
        <v>878.11374401837998</v>
      </c>
      <c r="H192" s="116">
        <v>871.93282048165418</v>
      </c>
      <c r="I192" s="116">
        <v>861.66980276787785</v>
      </c>
      <c r="J192" s="116">
        <v>852.07184265097953</v>
      </c>
      <c r="K192" s="116">
        <v>843.11097514705261</v>
      </c>
      <c r="L192" s="116">
        <v>834.79665143423676</v>
      </c>
      <c r="M192" s="116">
        <v>827.61376592435602</v>
      </c>
      <c r="N192" s="116">
        <v>819.52104589829571</v>
      </c>
      <c r="O192" s="116">
        <v>809.1301500554323</v>
      </c>
      <c r="P192" s="116">
        <v>798.89151885009392</v>
      </c>
      <c r="Q192" s="116">
        <v>785.84026142792322</v>
      </c>
      <c r="R192" s="116">
        <v>771.50421203651877</v>
      </c>
      <c r="S192" s="116">
        <v>756.96519875719571</v>
      </c>
      <c r="T192" s="116">
        <v>741.21279685256343</v>
      </c>
      <c r="U192" s="116">
        <v>726.89258325270544</v>
      </c>
      <c r="V192" s="116">
        <v>719.08423486096808</v>
      </c>
      <c r="W192" s="116">
        <v>710.02356468746257</v>
      </c>
      <c r="X192" s="116">
        <v>701.88324473889224</v>
      </c>
      <c r="Y192" s="116">
        <v>694.41943213843763</v>
      </c>
      <c r="DA192" s="176" t="s">
        <v>930</v>
      </c>
    </row>
    <row r="193" spans="1:105" ht="11.45" customHeight="1" x14ac:dyDescent="0.25">
      <c r="A193" s="128" t="s">
        <v>27</v>
      </c>
      <c r="B193" s="101">
        <v>812.79257938186106</v>
      </c>
      <c r="C193" s="101">
        <v>808.51803954205934</v>
      </c>
      <c r="D193" s="101">
        <v>804.64794794351724</v>
      </c>
      <c r="E193" s="101">
        <v>800.19326853077587</v>
      </c>
      <c r="F193" s="101">
        <v>794.29252687849248</v>
      </c>
      <c r="G193" s="101">
        <v>787.2523810368001</v>
      </c>
      <c r="H193" s="101">
        <v>779.00551303310294</v>
      </c>
      <c r="I193" s="101">
        <v>769.95265844892458</v>
      </c>
      <c r="J193" s="101">
        <v>759.59124595730441</v>
      </c>
      <c r="K193" s="101">
        <v>753.36074500051745</v>
      </c>
      <c r="L193" s="101">
        <v>742.90684296345864</v>
      </c>
      <c r="M193" s="101">
        <v>734.85759331599832</v>
      </c>
      <c r="N193" s="101">
        <v>726.94794996974963</v>
      </c>
      <c r="O193" s="101">
        <v>717.49376550635884</v>
      </c>
      <c r="P193" s="101">
        <v>708.33826459426007</v>
      </c>
      <c r="Q193" s="101">
        <v>694.11127469930921</v>
      </c>
      <c r="R193" s="101">
        <v>680.81543492602373</v>
      </c>
      <c r="S193" s="101">
        <v>664.58230809285408</v>
      </c>
      <c r="T193" s="101">
        <v>649.95456036206087</v>
      </c>
      <c r="U193" s="101">
        <v>634.22892319834489</v>
      </c>
      <c r="V193" s="101">
        <v>630.51217196419771</v>
      </c>
      <c r="W193" s="101">
        <v>620.57064022760824</v>
      </c>
      <c r="X193" s="101">
        <v>614.35085343146091</v>
      </c>
      <c r="Y193" s="101">
        <v>611.14085236683559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1055.371998622584</v>
      </c>
      <c r="D194" s="88">
        <v>1046.0756202232456</v>
      </c>
      <c r="E194" s="88">
        <v>1038.5587074976725</v>
      </c>
      <c r="F194" s="88">
        <v>1019.4749078537518</v>
      </c>
      <c r="G194" s="88">
        <v>1010.7143966511084</v>
      </c>
      <c r="H194" s="88">
        <v>993.93216380133106</v>
      </c>
      <c r="I194" s="88">
        <v>985.65566677603408</v>
      </c>
      <c r="J194" s="88">
        <v>977.6777529233309</v>
      </c>
      <c r="K194" s="88">
        <v>971.19427724632476</v>
      </c>
      <c r="L194" s="88">
        <v>962.80148577039813</v>
      </c>
      <c r="M194" s="88">
        <v>948.88031211744533</v>
      </c>
      <c r="N194" s="88">
        <v>933.23926907562986</v>
      </c>
      <c r="O194" s="88">
        <v>920.36348328315012</v>
      </c>
      <c r="P194" s="88">
        <v>909.72632139491691</v>
      </c>
      <c r="Q194" s="88">
        <v>891.20674454266339</v>
      </c>
      <c r="R194" s="88">
        <v>869.60509814463126</v>
      </c>
      <c r="S194" s="88">
        <v>851.06700828151588</v>
      </c>
      <c r="T194" s="88">
        <v>839.46934743169129</v>
      </c>
      <c r="U194" s="88">
        <v>826.0834440951013</v>
      </c>
      <c r="V194" s="88">
        <v>821.35397769087456</v>
      </c>
      <c r="W194" s="88">
        <v>801.48292789468576</v>
      </c>
      <c r="X194" s="88">
        <v>786.63576136313395</v>
      </c>
      <c r="Y194" s="88">
        <v>774.49976683655836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1.0725000000065621</v>
      </c>
      <c r="C198" s="150">
        <f>IF(TrRoad_act!C59=0,0,TrRoad_emi!C56/TrRoad_tech!C171)</f>
        <v>1.0726509522983116</v>
      </c>
      <c r="D198" s="150">
        <f>IF(TrRoad_act!D59=0,0,TrRoad_emi!D56/TrRoad_tech!D171)</f>
        <v>1.0730427942920833</v>
      </c>
      <c r="E198" s="150">
        <f>IF(TrRoad_act!E59=0,0,TrRoad_emi!E56/TrRoad_tech!E171)</f>
        <v>1.0738154476744075</v>
      </c>
      <c r="F198" s="150">
        <f>IF(TrRoad_act!F59=0,0,TrRoad_emi!F56/TrRoad_tech!F171)</f>
        <v>1.075281410044342</v>
      </c>
      <c r="G198" s="150">
        <f>IF(TrRoad_act!G59=0,0,TrRoad_emi!G56/TrRoad_tech!G171)</f>
        <v>1.0775457644013322</v>
      </c>
      <c r="H198" s="150">
        <f>IF(TrRoad_act!H59=0,0,TrRoad_emi!H56/TrRoad_tech!H171)</f>
        <v>1.0821949320341422</v>
      </c>
      <c r="I198" s="150">
        <f>IF(TrRoad_act!I59=0,0,TrRoad_emi!I56/TrRoad_tech!I171)</f>
        <v>1.0968974187038016</v>
      </c>
      <c r="J198" s="150">
        <f>IF(TrRoad_act!J59=0,0,TrRoad_emi!J56/TrRoad_tech!J171)</f>
        <v>1.1026954944245115</v>
      </c>
      <c r="K198" s="150">
        <f>IF(TrRoad_act!K59=0,0,TrRoad_emi!K56/TrRoad_tech!K171)</f>
        <v>1.1655693412295207</v>
      </c>
      <c r="L198" s="150">
        <f>IF(TrRoad_act!L59=0,0,TrRoad_emi!L56/TrRoad_tech!L171)</f>
        <v>1.1095641253735098</v>
      </c>
      <c r="M198" s="150">
        <f>IF(TrRoad_act!M59=0,0,TrRoad_emi!M56/TrRoad_tech!M171)</f>
        <v>1.1113000772890569</v>
      </c>
      <c r="N198" s="150">
        <f>IF(TrRoad_act!N59=0,0,TrRoad_emi!N56/TrRoad_tech!N171)</f>
        <v>1.1107798947070249</v>
      </c>
      <c r="O198" s="150">
        <f>IF(TrRoad_act!O59=0,0,TrRoad_emi!O56/TrRoad_tech!O171)</f>
        <v>1.1097968853535372</v>
      </c>
      <c r="P198" s="150">
        <f>IF(TrRoad_act!P59=0,0,TrRoad_emi!P56/TrRoad_tech!P171)</f>
        <v>1.1140263031916078</v>
      </c>
      <c r="Q198" s="150">
        <f>IF(TrRoad_act!Q59=0,0,TrRoad_emi!Q56/TrRoad_tech!Q171)</f>
        <v>1.1268062680696362</v>
      </c>
      <c r="R198" s="150">
        <f>IF(TrRoad_act!R59=0,0,TrRoad_emi!R56/TrRoad_tech!R171)</f>
        <v>1.1429189435558456</v>
      </c>
      <c r="S198" s="150">
        <f>IF(TrRoad_act!S59=0,0,TrRoad_emi!S56/TrRoad_tech!S171)</f>
        <v>1.2256878173788837</v>
      </c>
      <c r="T198" s="150">
        <f>IF(TrRoad_act!T59=0,0,TrRoad_emi!T56/TrRoad_tech!T171)</f>
        <v>1.227207985890828</v>
      </c>
      <c r="U198" s="150">
        <f>IF(TrRoad_act!U59=0,0,TrRoad_emi!U56/TrRoad_tech!U171)</f>
        <v>1.2498438530572282</v>
      </c>
      <c r="V198" s="150">
        <f>IF(TrRoad_act!V59=0,0,TrRoad_emi!V56/TrRoad_tech!V171)</f>
        <v>1.2424777926229806</v>
      </c>
      <c r="W198" s="150">
        <f>IF(TrRoad_act!W59=0,0,TrRoad_emi!W56/TrRoad_tech!W171)</f>
        <v>1.2573061222233197</v>
      </c>
      <c r="X198" s="150">
        <f>IF(TrRoad_act!X59=0,0,TrRoad_emi!X56/TrRoad_tech!X171)</f>
        <v>1.2848971840147623</v>
      </c>
      <c r="Y198" s="150">
        <f>IF(TrRoad_act!Y59=0,0,TrRoad_emi!Y56/TrRoad_tech!Y171)</f>
        <v>1.297399103983597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1.1356362931256139</v>
      </c>
      <c r="C199" s="151">
        <f>IF(TrRoad_act!C60=0,0,TrRoad_emi!C57/TrRoad_tech!C172)</f>
        <v>1.1301858072311282</v>
      </c>
      <c r="D199" s="151">
        <f>IF(TrRoad_act!D60=0,0,TrRoad_emi!D57/TrRoad_tech!D172)</f>
        <v>1.0895756126700415</v>
      </c>
      <c r="E199" s="151">
        <f>IF(TrRoad_act!E60=0,0,TrRoad_emi!E57/TrRoad_tech!E172)</f>
        <v>1.0742330794976138</v>
      </c>
      <c r="F199" s="151">
        <f>IF(TrRoad_act!F60=0,0,TrRoad_emi!F57/TrRoad_tech!F172)</f>
        <v>0.99519566315512209</v>
      </c>
      <c r="G199" s="151">
        <f>IF(TrRoad_act!G60=0,0,TrRoad_emi!G57/TrRoad_tech!G172)</f>
        <v>1.0004226546729593</v>
      </c>
      <c r="H199" s="151">
        <f>IF(TrRoad_act!H60=0,0,TrRoad_emi!H57/TrRoad_tech!H172)</f>
        <v>1.0023836764866114</v>
      </c>
      <c r="I199" s="151">
        <f>IF(TrRoad_act!I60=0,0,TrRoad_emi!I57/TrRoad_tech!I172)</f>
        <v>1.0051504187302636</v>
      </c>
      <c r="J199" s="151">
        <f>IF(TrRoad_act!J60=0,0,TrRoad_emi!J57/TrRoad_tech!J172)</f>
        <v>1.074446090424946</v>
      </c>
      <c r="K199" s="151">
        <f>IF(TrRoad_act!K60=0,0,TrRoad_emi!K57/TrRoad_tech!K172)</f>
        <v>1.016090873332077</v>
      </c>
      <c r="L199" s="151">
        <f>IF(TrRoad_act!L60=0,0,TrRoad_emi!L57/TrRoad_tech!L172)</f>
        <v>1.0367014918168214</v>
      </c>
      <c r="M199" s="151">
        <f>IF(TrRoad_act!M60=0,0,TrRoad_emi!M57/TrRoad_tech!M172)</f>
        <v>1.0603325839920781</v>
      </c>
      <c r="N199" s="151">
        <f>IF(TrRoad_act!N60=0,0,TrRoad_emi!N57/TrRoad_tech!N172)</f>
        <v>1.0319116036828195</v>
      </c>
      <c r="O199" s="151">
        <f>IF(TrRoad_act!O60=0,0,TrRoad_emi!O57/TrRoad_tech!O172)</f>
        <v>1.0110610147609362</v>
      </c>
      <c r="P199" s="151">
        <f>IF(TrRoad_act!P60=0,0,TrRoad_emi!P57/TrRoad_tech!P172)</f>
        <v>0.99880734633539392</v>
      </c>
      <c r="Q199" s="151">
        <f>IF(TrRoad_act!Q60=0,0,TrRoad_emi!Q57/TrRoad_tech!Q172)</f>
        <v>1.0121663364844589</v>
      </c>
      <c r="R199" s="151">
        <f>IF(TrRoad_act!R60=0,0,TrRoad_emi!R57/TrRoad_tech!R172)</f>
        <v>1.053834317683602</v>
      </c>
      <c r="S199" s="151">
        <f>IF(TrRoad_act!S60=0,0,TrRoad_emi!S57/TrRoad_tech!S172)</f>
        <v>1.0475198043035461</v>
      </c>
      <c r="T199" s="151">
        <f>IF(TrRoad_act!T60=0,0,TrRoad_emi!T57/TrRoad_tech!T172)</f>
        <v>1.0483235484142925</v>
      </c>
      <c r="U199" s="151">
        <f>IF(TrRoad_act!U60=0,0,TrRoad_emi!U57/TrRoad_tech!U172)</f>
        <v>1.0345629830012975</v>
      </c>
      <c r="V199" s="151">
        <f>IF(TrRoad_act!V60=0,0,TrRoad_emi!V57/TrRoad_tech!V172)</f>
        <v>1.023925308900288</v>
      </c>
      <c r="W199" s="151">
        <f>IF(TrRoad_act!W60=0,0,TrRoad_emi!W57/TrRoad_tech!W172)</f>
        <v>1.0700986671366182</v>
      </c>
      <c r="X199" s="151">
        <f>IF(TrRoad_act!X60=0,0,TrRoad_emi!X57/TrRoad_tech!X172)</f>
        <v>1.1256055061027253</v>
      </c>
      <c r="Y199" s="151">
        <f>IF(TrRoad_act!Y60=0,0,TrRoad_emi!Y57/TrRoad_tech!Y172)</f>
        <v>1.1313523118751103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1.1811483501861604</v>
      </c>
      <c r="C200" s="91">
        <f>IF(TrRoad_act!C61=0,0,TrRoad_emi!C58/TrRoad_tech!C173)</f>
        <v>1.183245229472863</v>
      </c>
      <c r="D200" s="91">
        <f>IF(TrRoad_act!D61=0,0,TrRoad_emi!D58/TrRoad_tech!D173)</f>
        <v>1.1804701622644784</v>
      </c>
      <c r="E200" s="91">
        <f>IF(TrRoad_act!E61=0,0,TrRoad_emi!E58/TrRoad_tech!E173)</f>
        <v>1.1419806867177349</v>
      </c>
      <c r="F200" s="91">
        <f>IF(TrRoad_act!F61=0,0,TrRoad_emi!F58/TrRoad_tech!F173)</f>
        <v>1.0325622567268178</v>
      </c>
      <c r="G200" s="91">
        <f>IF(TrRoad_act!G61=0,0,TrRoad_emi!G58/TrRoad_tech!G173)</f>
        <v>1.0492279602118961</v>
      </c>
      <c r="H200" s="91">
        <f>IF(TrRoad_act!H61=0,0,TrRoad_emi!H58/TrRoad_tech!H173)</f>
        <v>1.0458573801960394</v>
      </c>
      <c r="I200" s="91">
        <f>IF(TrRoad_act!I61=0,0,TrRoad_emi!I58/TrRoad_tech!I173)</f>
        <v>1.0391617854885236</v>
      </c>
      <c r="J200" s="91">
        <f>IF(TrRoad_act!J61=0,0,TrRoad_emi!J58/TrRoad_tech!J173)</f>
        <v>1.1546816990242046</v>
      </c>
      <c r="K200" s="91">
        <f>IF(TrRoad_act!K61=0,0,TrRoad_emi!K58/TrRoad_tech!K173)</f>
        <v>1.0772804847148278</v>
      </c>
      <c r="L200" s="91">
        <f>IF(TrRoad_act!L61=0,0,TrRoad_emi!L58/TrRoad_tech!L173)</f>
        <v>1.1230161283274596</v>
      </c>
      <c r="M200" s="91">
        <f>IF(TrRoad_act!M61=0,0,TrRoad_emi!M58/TrRoad_tech!M173)</f>
        <v>1.1510053345446392</v>
      </c>
      <c r="N200" s="91">
        <f>IF(TrRoad_act!N61=0,0,TrRoad_emi!N58/TrRoad_tech!N173)</f>
        <v>1.1037344848533961</v>
      </c>
      <c r="O200" s="91">
        <f>IF(TrRoad_act!O61=0,0,TrRoad_emi!O58/TrRoad_tech!O173)</f>
        <v>1.0656449696637897</v>
      </c>
      <c r="P200" s="91">
        <f>IF(TrRoad_act!P61=0,0,TrRoad_emi!P58/TrRoad_tech!P173)</f>
        <v>1.0340747612160592</v>
      </c>
      <c r="Q200" s="91">
        <f>IF(TrRoad_act!Q61=0,0,TrRoad_emi!Q58/TrRoad_tech!Q173)</f>
        <v>1.0505405712015989</v>
      </c>
      <c r="R200" s="91">
        <f>IF(TrRoad_act!R61=0,0,TrRoad_emi!R58/TrRoad_tech!R173)</f>
        <v>1.122803699790158</v>
      </c>
      <c r="S200" s="91">
        <f>IF(TrRoad_act!S61=0,0,TrRoad_emi!S58/TrRoad_tech!S173)</f>
        <v>1.1110636640463314</v>
      </c>
      <c r="T200" s="91">
        <f>IF(TrRoad_act!T61=0,0,TrRoad_emi!T58/TrRoad_tech!T173)</f>
        <v>1.1558142865115708</v>
      </c>
      <c r="U200" s="91">
        <f>IF(TrRoad_act!U61=0,0,TrRoad_emi!U58/TrRoad_tech!U173)</f>
        <v>1.1384266677768704</v>
      </c>
      <c r="V200" s="91">
        <f>IF(TrRoad_act!V61=0,0,TrRoad_emi!V58/TrRoad_tech!V173)</f>
        <v>1.1409697362299058</v>
      </c>
      <c r="W200" s="91">
        <f>IF(TrRoad_act!W61=0,0,TrRoad_emi!W58/TrRoad_tech!W173)</f>
        <v>1.235873660554234</v>
      </c>
      <c r="X200" s="91">
        <f>IF(TrRoad_act!X61=0,0,TrRoad_emi!X58/TrRoad_tech!X173)</f>
        <v>1.327402427603692</v>
      </c>
      <c r="Y200" s="91">
        <f>IF(TrRoad_act!Y61=0,0,TrRoad_emi!Y58/TrRoad_tech!Y173)</f>
        <v>1.3496141599944338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0.98636316830367221</v>
      </c>
      <c r="C201" s="91">
        <f>IF(TrRoad_act!C62=0,0,TrRoad_emi!C59/TrRoad_tech!C174)</f>
        <v>0.98813355095535516</v>
      </c>
      <c r="D201" s="91">
        <f>IF(TrRoad_act!D62=0,0,TrRoad_emi!D59/TrRoad_tech!D174)</f>
        <v>0.9926930140041883</v>
      </c>
      <c r="E201" s="91">
        <f>IF(TrRoad_act!E62=0,0,TrRoad_emi!E59/TrRoad_tech!E174)</f>
        <v>1.0034412567534545</v>
      </c>
      <c r="F201" s="91">
        <f>IF(TrRoad_act!F62=0,0,TrRoad_emi!F59/TrRoad_tech!F174)</f>
        <v>1.0164614811724948</v>
      </c>
      <c r="G201" s="91">
        <f>IF(TrRoad_act!G62=0,0,TrRoad_emi!G59/TrRoad_tech!G174)</f>
        <v>1.0178213353244607</v>
      </c>
      <c r="H201" s="91">
        <f>IF(TrRoad_act!H62=0,0,TrRoad_emi!H59/TrRoad_tech!H174)</f>
        <v>1.0198179885480412</v>
      </c>
      <c r="I201" s="91">
        <f>IF(TrRoad_act!I62=0,0,TrRoad_emi!I59/TrRoad_tech!I174)</f>
        <v>1.0330574205914835</v>
      </c>
      <c r="J201" s="91">
        <f>IF(TrRoad_act!J62=0,0,TrRoad_emi!J59/TrRoad_tech!J174)</f>
        <v>1.0537245786736285</v>
      </c>
      <c r="K201" s="91">
        <f>IF(TrRoad_act!K62=0,0,TrRoad_emi!K59/TrRoad_tech!K174)</f>
        <v>1.0150474177744944</v>
      </c>
      <c r="L201" s="91">
        <f>IF(TrRoad_act!L62=0,0,TrRoad_emi!L59/TrRoad_tech!L174)</f>
        <v>1.0163730677452627</v>
      </c>
      <c r="M201" s="91">
        <f>IF(TrRoad_act!M62=0,0,TrRoad_emi!M59/TrRoad_tech!M174)</f>
        <v>1.0410029090625297</v>
      </c>
      <c r="N201" s="91">
        <f>IF(TrRoad_act!N62=0,0,TrRoad_emi!N59/TrRoad_tech!N174)</f>
        <v>1.0379736232051189</v>
      </c>
      <c r="O201" s="91">
        <f>IF(TrRoad_act!O62=0,0,TrRoad_emi!O59/TrRoad_tech!O174)</f>
        <v>1.026577820293392</v>
      </c>
      <c r="P201" s="91">
        <f>IF(TrRoad_act!P62=0,0,TrRoad_emi!P59/TrRoad_tech!P174)</f>
        <v>1.0404713946362036</v>
      </c>
      <c r="Q201" s="91">
        <f>IF(TrRoad_act!Q62=0,0,TrRoad_emi!Q59/TrRoad_tech!Q174)</f>
        <v>1.0495591928050516</v>
      </c>
      <c r="R201" s="91">
        <f>IF(TrRoad_act!R62=0,0,TrRoad_emi!R59/TrRoad_tech!R174)</f>
        <v>1.0706712415891393</v>
      </c>
      <c r="S201" s="91">
        <f>IF(TrRoad_act!S62=0,0,TrRoad_emi!S59/TrRoad_tech!S174)</f>
        <v>1.065016673992786</v>
      </c>
      <c r="T201" s="91">
        <f>IF(TrRoad_act!T62=0,0,TrRoad_emi!T59/TrRoad_tech!T174)</f>
        <v>1.0325623791665619</v>
      </c>
      <c r="U201" s="91">
        <f>IF(TrRoad_act!U62=0,0,TrRoad_emi!U59/TrRoad_tech!U174)</f>
        <v>1.0102358785720897</v>
      </c>
      <c r="V201" s="91">
        <f>IF(TrRoad_act!V62=0,0,TrRoad_emi!V59/TrRoad_tech!V174)</f>
        <v>0.98706683942927231</v>
      </c>
      <c r="W201" s="91">
        <f>IF(TrRoad_act!W62=0,0,TrRoad_emi!W59/TrRoad_tech!W174)</f>
        <v>1.0063880803005589</v>
      </c>
      <c r="X201" s="91">
        <f>IF(TrRoad_act!X62=0,0,TrRoad_emi!X59/TrRoad_tech!X174)</f>
        <v>1.0394906128931445</v>
      </c>
      <c r="Y201" s="91">
        <f>IF(TrRoad_act!Y62=0,0,TrRoad_emi!Y59/TrRoad_tech!Y174)</f>
        <v>1.0076146934552896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0.91576207575144908</v>
      </c>
      <c r="I202" s="91">
        <f>IF(TrRoad_act!I63=0,0,TrRoad_emi!I60/TrRoad_tech!I175)</f>
        <v>1.0389635735347411</v>
      </c>
      <c r="J202" s="91">
        <f>IF(TrRoad_act!J63=0,0,TrRoad_emi!J60/TrRoad_tech!J175)</f>
        <v>1.030094201285906</v>
      </c>
      <c r="K202" s="91">
        <f>IF(TrRoad_act!K63=0,0,TrRoad_emi!K60/TrRoad_tech!K175)</f>
        <v>1.0773790002405805</v>
      </c>
      <c r="L202" s="91">
        <f>IF(TrRoad_act!L63=0,0,TrRoad_emi!L60/TrRoad_tech!L175)</f>
        <v>1.1783478802123992</v>
      </c>
      <c r="M202" s="91">
        <f>IF(TrRoad_act!M63=0,0,TrRoad_emi!M60/TrRoad_tech!M175)</f>
        <v>1.254043611782697</v>
      </c>
      <c r="N202" s="91">
        <f>IF(TrRoad_act!N63=0,0,TrRoad_emi!N60/TrRoad_tech!N175)</f>
        <v>1.3003420703676394</v>
      </c>
      <c r="O202" s="91">
        <f>IF(TrRoad_act!O63=0,0,TrRoad_emi!O60/TrRoad_tech!O175)</f>
        <v>1.2715638601256281</v>
      </c>
      <c r="P202" s="91">
        <f>IF(TrRoad_act!P63=0,0,TrRoad_emi!P60/TrRoad_tech!P175)</f>
        <v>1.2725741421678254</v>
      </c>
      <c r="Q202" s="91">
        <f>IF(TrRoad_act!Q63=0,0,TrRoad_emi!Q60/TrRoad_tech!Q175)</f>
        <v>1.345229692413493</v>
      </c>
      <c r="R202" s="91">
        <f>IF(TrRoad_act!R63=0,0,TrRoad_emi!R60/TrRoad_tech!R175)</f>
        <v>1.3525032373128913</v>
      </c>
      <c r="S202" s="91">
        <f>IF(TrRoad_act!S63=0,0,TrRoad_emi!S60/TrRoad_tech!S175)</f>
        <v>1.2330494455655909</v>
      </c>
      <c r="T202" s="91">
        <f>IF(TrRoad_act!T63=0,0,TrRoad_emi!T60/TrRoad_tech!T175)</f>
        <v>1.1806660128533142</v>
      </c>
      <c r="U202" s="91">
        <f>IF(TrRoad_act!U63=0,0,TrRoad_emi!U60/TrRoad_tech!U175)</f>
        <v>1.0974501169054696</v>
      </c>
      <c r="V202" s="91">
        <f>IF(TrRoad_act!V63=0,0,TrRoad_emi!V60/TrRoad_tech!V175)</f>
        <v>0.83682728490155756</v>
      </c>
      <c r="W202" s="91">
        <f>IF(TrRoad_act!W63=0,0,TrRoad_emi!W60/TrRoad_tech!W175)</f>
        <v>1.3920253641161928</v>
      </c>
      <c r="X202" s="91">
        <f>IF(TrRoad_act!X63=0,0,TrRoad_emi!X60/TrRoad_tech!X175)</f>
        <v>0.86594535198337774</v>
      </c>
      <c r="Y202" s="91">
        <f>IF(TrRoad_act!Y63=0,0,TrRoad_emi!Y60/TrRoad_tech!Y175)</f>
        <v>0.77790435142279601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1.0655555555606799</v>
      </c>
      <c r="O203" s="91">
        <f>IF(TrRoad_act!O64=0,0,TrRoad_emi!O61/TrRoad_tech!O176)</f>
        <v>1.0700653605795682</v>
      </c>
      <c r="P203" s="91">
        <f>IF(TrRoad_act!P64=0,0,TrRoad_emi!P61/TrRoad_tech!P176)</f>
        <v>1.0754725107400245</v>
      </c>
      <c r="Q203" s="91">
        <f>IF(TrRoad_act!Q64=0,0,TrRoad_emi!Q61/TrRoad_tech!Q176)</f>
        <v>1.0790391376872646</v>
      </c>
      <c r="R203" s="91">
        <f>IF(TrRoad_act!R64=0,0,TrRoad_emi!R61/TrRoad_tech!R176)</f>
        <v>1.0814346788508806</v>
      </c>
      <c r="S203" s="91">
        <f>IF(TrRoad_act!S64=0,0,TrRoad_emi!S61/TrRoad_tech!S176)</f>
        <v>1.0846089574992714</v>
      </c>
      <c r="T203" s="91">
        <f>IF(TrRoad_act!T64=0,0,TrRoad_emi!T61/TrRoad_tech!T176)</f>
        <v>1.0856099933928629</v>
      </c>
      <c r="U203" s="91">
        <f>IF(TrRoad_act!U64=0,0,TrRoad_emi!U61/TrRoad_tech!U176)</f>
        <v>1.0882766947258333</v>
      </c>
      <c r="V203" s="91">
        <f>IF(TrRoad_act!V64=0,0,TrRoad_emi!V61/TrRoad_tech!V176)</f>
        <v>1.0922334370512432</v>
      </c>
      <c r="W203" s="91">
        <f>IF(TrRoad_act!W64=0,0,TrRoad_emi!W61/TrRoad_tech!W176)</f>
        <v>1.0934260948774204</v>
      </c>
      <c r="X203" s="91">
        <f>IF(TrRoad_act!X64=0,0,TrRoad_emi!X61/TrRoad_tech!X176)</f>
        <v>1.0937714086548944</v>
      </c>
      <c r="Y203" s="91">
        <f>IF(TrRoad_act!Y64=0,0,TrRoad_emi!Y61/TrRoad_tech!Y176)</f>
        <v>1.0937446196273133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1.0972907127280096</v>
      </c>
      <c r="P204" s="91">
        <f>IF(TrRoad_act!P65=0,0,TrRoad_emi!P62/TrRoad_tech!P177)</f>
        <v>1.065264390494205</v>
      </c>
      <c r="Q204" s="91">
        <f>IF(TrRoad_act!Q65=0,0,TrRoad_emi!Q62/TrRoad_tech!Q177)</f>
        <v>1.0856581757988808</v>
      </c>
      <c r="R204" s="91">
        <f>IF(TrRoad_act!R65=0,0,TrRoad_emi!R62/TrRoad_tech!R177)</f>
        <v>1.1630011756012981</v>
      </c>
      <c r="S204" s="91">
        <f>IF(TrRoad_act!S65=0,0,TrRoad_emi!S62/TrRoad_tech!S177)</f>
        <v>1.151077282215097</v>
      </c>
      <c r="T204" s="91">
        <f>IF(TrRoad_act!T65=0,0,TrRoad_emi!T62/TrRoad_tech!T177)</f>
        <v>1.1937861933993827</v>
      </c>
      <c r="U204" s="91">
        <f>IF(TrRoad_act!U65=0,0,TrRoad_emi!U62/TrRoad_tech!U177)</f>
        <v>1.171238538917345</v>
      </c>
      <c r="V204" s="91">
        <f>IF(TrRoad_act!V65=0,0,TrRoad_emi!V62/TrRoad_tech!V177)</f>
        <v>1.1707893077194076</v>
      </c>
      <c r="W204" s="91">
        <f>IF(TrRoad_act!W65=0,0,TrRoad_emi!W62/TrRoad_tech!W177)</f>
        <v>1.2668121156679901</v>
      </c>
      <c r="X204" s="91">
        <f>IF(TrRoad_act!X65=0,0,TrRoad_emi!X62/TrRoad_tech!X177)</f>
        <v>1.358456256218024</v>
      </c>
      <c r="Y204" s="91">
        <f>IF(TrRoad_act!Y65=0,0,TrRoad_emi!Y62/TrRoad_tech!Y177)</f>
        <v>1.3758078467317267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1.1019872473062187</v>
      </c>
      <c r="C206" s="151">
        <f>IF(TrRoad_act!C67=0,0,TrRoad_emi!C64/TrRoad_tech!C179)</f>
        <v>1.0894540082781294</v>
      </c>
      <c r="D206" s="151">
        <f>IF(TrRoad_act!D67=0,0,TrRoad_emi!D64/TrRoad_tech!D179)</f>
        <v>1.0889672193300293</v>
      </c>
      <c r="E206" s="151">
        <f>IF(TrRoad_act!E67=0,0,TrRoad_emi!E64/TrRoad_tech!E179)</f>
        <v>1.0893983827235003</v>
      </c>
      <c r="F206" s="151">
        <f>IF(TrRoad_act!F67=0,0,TrRoad_emi!F64/TrRoad_tech!F179)</f>
        <v>1.0907440386123608</v>
      </c>
      <c r="G206" s="151">
        <f>IF(TrRoad_act!G67=0,0,TrRoad_emi!G64/TrRoad_tech!G179)</f>
        <v>1.0937501810338253</v>
      </c>
      <c r="H206" s="151">
        <f>IF(TrRoad_act!H67=0,0,TrRoad_emi!H64/TrRoad_tech!H179)</f>
        <v>1.0919738197688718</v>
      </c>
      <c r="I206" s="151">
        <f>IF(TrRoad_act!I67=0,0,TrRoad_emi!I64/TrRoad_tech!I179)</f>
        <v>1.0890410940261106</v>
      </c>
      <c r="J206" s="151">
        <f>IF(TrRoad_act!J67=0,0,TrRoad_emi!J64/TrRoad_tech!J179)</f>
        <v>1.0924813430188491</v>
      </c>
      <c r="K206" s="151">
        <f>IF(TrRoad_act!K67=0,0,TrRoad_emi!K64/TrRoad_tech!K179)</f>
        <v>1.0878857883943238</v>
      </c>
      <c r="L206" s="151">
        <f>IF(TrRoad_act!L67=0,0,TrRoad_emi!L64/TrRoad_tech!L179)</f>
        <v>1.0846054325777679</v>
      </c>
      <c r="M206" s="151">
        <f>IF(TrRoad_act!M67=0,0,TrRoad_emi!M64/TrRoad_tech!M179)</f>
        <v>1.1046280820903172</v>
      </c>
      <c r="N206" s="151">
        <f>IF(TrRoad_act!N67=0,0,TrRoad_emi!N64/TrRoad_tech!N179)</f>
        <v>1.1399716235479045</v>
      </c>
      <c r="O206" s="151">
        <f>IF(TrRoad_act!O67=0,0,TrRoad_emi!O64/TrRoad_tech!O179)</f>
        <v>1.1277211214925538</v>
      </c>
      <c r="P206" s="151">
        <f>IF(TrRoad_act!P67=0,0,TrRoad_emi!P64/TrRoad_tech!P179)</f>
        <v>1.1886276331631176</v>
      </c>
      <c r="Q206" s="151">
        <f>IF(TrRoad_act!Q67=0,0,TrRoad_emi!Q64/TrRoad_tech!Q179)</f>
        <v>1.1450538331526299</v>
      </c>
      <c r="R206" s="151">
        <f>IF(TrRoad_act!R67=0,0,TrRoad_emi!R64/TrRoad_tech!R179)</f>
        <v>1.2314007233271267</v>
      </c>
      <c r="S206" s="151">
        <f>IF(TrRoad_act!S67=0,0,TrRoad_emi!S64/TrRoad_tech!S179)</f>
        <v>1.1574310503207321</v>
      </c>
      <c r="T206" s="151">
        <f>IF(TrRoad_act!T67=0,0,TrRoad_emi!T64/TrRoad_tech!T179)</f>
        <v>1.1641958760169178</v>
      </c>
      <c r="U206" s="151">
        <f>IF(TrRoad_act!U67=0,0,TrRoad_emi!U64/TrRoad_tech!U179)</f>
        <v>1.2168403065526767</v>
      </c>
      <c r="V206" s="151">
        <f>IF(TrRoad_act!V67=0,0,TrRoad_emi!V64/TrRoad_tech!V179)</f>
        <v>1.2132257216752864</v>
      </c>
      <c r="W206" s="151">
        <f>IF(TrRoad_act!W67=0,0,TrRoad_emi!W64/TrRoad_tech!W179)</f>
        <v>1.2226328912221958</v>
      </c>
      <c r="X206" s="151">
        <f>IF(TrRoad_act!X67=0,0,TrRoad_emi!X64/TrRoad_tech!X179)</f>
        <v>1.2620177723270647</v>
      </c>
      <c r="Y206" s="151">
        <f>IF(TrRoad_act!Y67=0,0,TrRoad_emi!Y64/TrRoad_tech!Y179)</f>
        <v>1.3218993918971804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1.1001491771847667</v>
      </c>
      <c r="D207" s="93">
        <f>IF(TrRoad_act!D68=0,0,TrRoad_emi!D65/TrRoad_tech!D180)</f>
        <v>1.1001569811696299</v>
      </c>
      <c r="E207" s="93">
        <f>IF(TrRoad_act!E68=0,0,TrRoad_emi!E65/TrRoad_tech!E180)</f>
        <v>1.1001720189133686</v>
      </c>
      <c r="F207" s="93">
        <f>IF(TrRoad_act!F68=0,0,TrRoad_emi!F65/TrRoad_tech!F180)</f>
        <v>1.1001936488388446</v>
      </c>
      <c r="G207" s="93">
        <f>IF(TrRoad_act!G68=0,0,TrRoad_emi!G65/TrRoad_tech!G180)</f>
        <v>1.1002070076480799</v>
      </c>
      <c r="H207" s="93">
        <f>IF(TrRoad_act!H68=0,0,TrRoad_emi!H65/TrRoad_tech!H180)</f>
        <v>1.1002391536816476</v>
      </c>
      <c r="I207" s="93">
        <f>IF(TrRoad_act!I68=0,0,TrRoad_emi!I65/TrRoad_tech!I180)</f>
        <v>1.0991728761619435</v>
      </c>
      <c r="J207" s="93">
        <f>IF(TrRoad_act!J68=0,0,TrRoad_emi!J65/TrRoad_tech!J180)</f>
        <v>1.0961489228045649</v>
      </c>
      <c r="K207" s="93">
        <f>IF(TrRoad_act!K68=0,0,TrRoad_emi!K65/TrRoad_tech!K180)</f>
        <v>1.0957433582452745</v>
      </c>
      <c r="L207" s="93">
        <f>IF(TrRoad_act!L68=0,0,TrRoad_emi!L65/TrRoad_tech!L180)</f>
        <v>1.0925573317762425</v>
      </c>
      <c r="M207" s="93">
        <f>IF(TrRoad_act!M68=0,0,TrRoad_emi!M65/TrRoad_tech!M180)</f>
        <v>1.0910377466265546</v>
      </c>
      <c r="N207" s="93">
        <f>IF(TrRoad_act!N68=0,0,TrRoad_emi!N65/TrRoad_tech!N180)</f>
        <v>1.088156010953804</v>
      </c>
      <c r="O207" s="93">
        <f>IF(TrRoad_act!O68=0,0,TrRoad_emi!O65/TrRoad_tech!O180)</f>
        <v>1.1114609709901619</v>
      </c>
      <c r="P207" s="93">
        <f>IF(TrRoad_act!P68=0,0,TrRoad_emi!P65/TrRoad_tech!P180)</f>
        <v>1.1160901148386153</v>
      </c>
      <c r="Q207" s="93">
        <f>IF(TrRoad_act!Q68=0,0,TrRoad_emi!Q65/TrRoad_tech!Q180)</f>
        <v>1.1257102287633711</v>
      </c>
      <c r="R207" s="93">
        <f>IF(TrRoad_act!R68=0,0,TrRoad_emi!R65/TrRoad_tech!R180)</f>
        <v>1.1311748173536602</v>
      </c>
      <c r="S207" s="93">
        <f>IF(TrRoad_act!S68=0,0,TrRoad_emi!S65/TrRoad_tech!S180)</f>
        <v>1.131205903990447</v>
      </c>
      <c r="T207" s="93">
        <f>IF(TrRoad_act!T68=0,0,TrRoad_emi!T65/TrRoad_tech!T180)</f>
        <v>1.1219637566424339</v>
      </c>
      <c r="U207" s="93">
        <f>IF(TrRoad_act!U68=0,0,TrRoad_emi!U65/TrRoad_tech!U180)</f>
        <v>1.1307578943330974</v>
      </c>
      <c r="V207" s="93">
        <f>IF(TrRoad_act!V68=0,0,TrRoad_emi!V65/TrRoad_tech!V180)</f>
        <v>1.1146643728207799</v>
      </c>
      <c r="W207" s="93">
        <f>IF(TrRoad_act!W68=0,0,TrRoad_emi!W65/TrRoad_tech!W180)</f>
        <v>1.1163233263461412</v>
      </c>
      <c r="X207" s="93">
        <f>IF(TrRoad_act!X68=0,0,TrRoad_emi!X65/TrRoad_tech!X180)</f>
        <v>1.1392316167389875</v>
      </c>
      <c r="Y207" s="93">
        <f>IF(TrRoad_act!Y68=0,0,TrRoad_emi!Y65/TrRoad_tech!Y180)</f>
        <v>1.3197726945058104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1.1003643290120404</v>
      </c>
      <c r="D208" s="93">
        <f>IF(TrRoad_act!D69=0,0,TrRoad_emi!D66/TrRoad_tech!D181)</f>
        <v>1.1009719185793483</v>
      </c>
      <c r="E208" s="93">
        <f>IF(TrRoad_act!E69=0,0,TrRoad_emi!E66/TrRoad_tech!E181)</f>
        <v>1.1024369973753585</v>
      </c>
      <c r="F208" s="93">
        <f>IF(TrRoad_act!F69=0,0,TrRoad_emi!F66/TrRoad_tech!F181)</f>
        <v>1.1046214431812338</v>
      </c>
      <c r="G208" s="93">
        <f>IF(TrRoad_act!G69=0,0,TrRoad_emi!G66/TrRoad_tech!G181)</f>
        <v>1.1076114253306566</v>
      </c>
      <c r="H208" s="93">
        <f>IF(TrRoad_act!H69=0,0,TrRoad_emi!H66/TrRoad_tech!H181)</f>
        <v>1.1058668900180797</v>
      </c>
      <c r="I208" s="93">
        <f>IF(TrRoad_act!I69=0,0,TrRoad_emi!I66/TrRoad_tech!I181)</f>
        <v>1.1024628490150237</v>
      </c>
      <c r="J208" s="93">
        <f>IF(TrRoad_act!J69=0,0,TrRoad_emi!J66/TrRoad_tech!J181)</f>
        <v>1.1052057752818309</v>
      </c>
      <c r="K208" s="93">
        <f>IF(TrRoad_act!K69=0,0,TrRoad_emi!K66/TrRoad_tech!K181)</f>
        <v>1.0999844600942517</v>
      </c>
      <c r="L208" s="93">
        <f>IF(TrRoad_act!L69=0,0,TrRoad_emi!L66/TrRoad_tech!L181)</f>
        <v>1.0958898911686312</v>
      </c>
      <c r="M208" s="93">
        <f>IF(TrRoad_act!M69=0,0,TrRoad_emi!M66/TrRoad_tech!M181)</f>
        <v>1.1156504538336942</v>
      </c>
      <c r="N208" s="93">
        <f>IF(TrRoad_act!N69=0,0,TrRoad_emi!N66/TrRoad_tech!N181)</f>
        <v>1.1121489712309747</v>
      </c>
      <c r="O208" s="93">
        <f>IF(TrRoad_act!O69=0,0,TrRoad_emi!O66/TrRoad_tech!O181)</f>
        <v>1.1167234602358249</v>
      </c>
      <c r="P208" s="93">
        <f>IF(TrRoad_act!P69=0,0,TrRoad_emi!P66/TrRoad_tech!P181)</f>
        <v>1.1444549349627997</v>
      </c>
      <c r="Q208" s="93">
        <f>IF(TrRoad_act!Q69=0,0,TrRoad_emi!Q66/TrRoad_tech!Q181)</f>
        <v>1.1715469974384809</v>
      </c>
      <c r="R208" s="93">
        <f>IF(TrRoad_act!R69=0,0,TrRoad_emi!R66/TrRoad_tech!R181)</f>
        <v>1.1960072129498331</v>
      </c>
      <c r="S208" s="93">
        <f>IF(TrRoad_act!S69=0,0,TrRoad_emi!S66/TrRoad_tech!S181)</f>
        <v>1.2054856001949696</v>
      </c>
      <c r="T208" s="93">
        <f>IF(TrRoad_act!T69=0,0,TrRoad_emi!T66/TrRoad_tech!T181)</f>
        <v>1.1816876915723429</v>
      </c>
      <c r="U208" s="93">
        <f>IF(TrRoad_act!U69=0,0,TrRoad_emi!U66/TrRoad_tech!U181)</f>
        <v>1.1696640139512318</v>
      </c>
      <c r="V208" s="93">
        <f>IF(TrRoad_act!V69=0,0,TrRoad_emi!V66/TrRoad_tech!V181)</f>
        <v>1.1956321295364756</v>
      </c>
      <c r="W208" s="93">
        <f>IF(TrRoad_act!W69=0,0,TrRoad_emi!W66/TrRoad_tech!W181)</f>
        <v>1.2074522143683846</v>
      </c>
      <c r="X208" s="93">
        <f>IF(TrRoad_act!X69=0,0,TrRoad_emi!X66/TrRoad_tech!X181)</f>
        <v>1.2371066786594767</v>
      </c>
      <c r="Y208" s="93">
        <f>IF(TrRoad_act!Y69=0,0,TrRoad_emi!Y66/TrRoad_tech!Y181)</f>
        <v>1.2220607696815862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1.2904048247531705</v>
      </c>
      <c r="O210" s="93">
        <f>IF(TrRoad_act!O71=0,0,TrRoad_emi!O68/TrRoad_tech!O183)</f>
        <v>1.2449946534964029</v>
      </c>
      <c r="P210" s="93">
        <f>IF(TrRoad_act!P71=0,0,TrRoad_emi!P68/TrRoad_tech!P183)</f>
        <v>0.42987268577318855</v>
      </c>
      <c r="Q210" s="93">
        <f>IF(TrRoad_act!Q71=0,0,TrRoad_emi!Q68/TrRoad_tech!Q183)</f>
        <v>0.75734944573370466</v>
      </c>
      <c r="R210" s="93">
        <f>IF(TrRoad_act!R71=0,0,TrRoad_emi!R68/TrRoad_tech!R183)</f>
        <v>0.66228571493790445</v>
      </c>
      <c r="S210" s="93">
        <f>IF(TrRoad_act!S71=0,0,TrRoad_emi!S68/TrRoad_tech!S183)</f>
        <v>0.80229147834670689</v>
      </c>
      <c r="T210" s="93">
        <f>IF(TrRoad_act!T71=0,0,TrRoad_emi!T68/TrRoad_tech!T183)</f>
        <v>0.80698148154886906</v>
      </c>
      <c r="U210" s="93">
        <f>IF(TrRoad_act!U71=0,0,TrRoad_emi!U68/TrRoad_tech!U183)</f>
        <v>1.6784341828161546</v>
      </c>
      <c r="V210" s="93">
        <f>IF(TrRoad_act!V71=0,0,TrRoad_emi!V68/TrRoad_tech!V183)</f>
        <v>1.9651388127104594</v>
      </c>
      <c r="W210" s="93">
        <f>IF(TrRoad_act!W71=0,0,TrRoad_emi!W68/TrRoad_tech!W183)</f>
        <v>2.5738160545248601</v>
      </c>
      <c r="X210" s="93">
        <f>IF(TrRoad_act!X71=0,0,TrRoad_emi!X68/TrRoad_tech!X183)</f>
        <v>2.3982082583812065</v>
      </c>
      <c r="Y210" s="93">
        <f>IF(TrRoad_act!Y71=0,0,TrRoad_emi!Y68/TrRoad_tech!Y183)</f>
        <v>2.233779913203167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1.1267107425961771</v>
      </c>
      <c r="C213" s="150">
        <f>IF(TrRoad_act!C74=0,0,TrRoad_emi!C71/TrRoad_tech!C186)</f>
        <v>1.1236452970761075</v>
      </c>
      <c r="D213" s="150">
        <f>IF(TrRoad_act!D74=0,0,TrRoad_emi!D71/TrRoad_tech!D186)</f>
        <v>1.1148011763940853</v>
      </c>
      <c r="E213" s="150">
        <f>IF(TrRoad_act!E74=0,0,TrRoad_emi!E71/TrRoad_tech!E186)</f>
        <v>1.109161551580395</v>
      </c>
      <c r="F213" s="150">
        <f>IF(TrRoad_act!F74=0,0,TrRoad_emi!F71/TrRoad_tech!F186)</f>
        <v>1.1064000304018315</v>
      </c>
      <c r="G213" s="150">
        <f>IF(TrRoad_act!G74=0,0,TrRoad_emi!G71/TrRoad_tech!G186)</f>
        <v>1.1054700316257049</v>
      </c>
      <c r="H213" s="150">
        <f>IF(TrRoad_act!H74=0,0,TrRoad_emi!H71/TrRoad_tech!H186)</f>
        <v>1.1234835975392883</v>
      </c>
      <c r="I213" s="150">
        <f>IF(TrRoad_act!I74=0,0,TrRoad_emi!I71/TrRoad_tech!I186)</f>
        <v>1.1069507380815737</v>
      </c>
      <c r="J213" s="150">
        <f>IF(TrRoad_act!J74=0,0,TrRoad_emi!J71/TrRoad_tech!J186)</f>
        <v>1.1367921143412503</v>
      </c>
      <c r="K213" s="150">
        <f>IF(TrRoad_act!K74=0,0,TrRoad_emi!K71/TrRoad_tech!K186)</f>
        <v>1.1376263765705803</v>
      </c>
      <c r="L213" s="150">
        <f>IF(TrRoad_act!L74=0,0,TrRoad_emi!L71/TrRoad_tech!L186)</f>
        <v>1.2449491444592959</v>
      </c>
      <c r="M213" s="150">
        <f>IF(TrRoad_act!M74=0,0,TrRoad_emi!M71/TrRoad_tech!M186)</f>
        <v>1.3143281095039234</v>
      </c>
      <c r="N213" s="150">
        <f>IF(TrRoad_act!N74=0,0,TrRoad_emi!N71/TrRoad_tech!N186)</f>
        <v>1.1207796973930515</v>
      </c>
      <c r="O213" s="150">
        <f>IF(TrRoad_act!O74=0,0,TrRoad_emi!O71/TrRoad_tech!O186)</f>
        <v>1.122155771249989</v>
      </c>
      <c r="P213" s="150">
        <f>IF(TrRoad_act!P74=0,0,TrRoad_emi!P71/TrRoad_tech!P186)</f>
        <v>1.1780424979156243</v>
      </c>
      <c r="Q213" s="150">
        <f>IF(TrRoad_act!Q74=0,0,TrRoad_emi!Q71/TrRoad_tech!Q186)</f>
        <v>1.200841029651329</v>
      </c>
      <c r="R213" s="150">
        <f>IF(TrRoad_act!R74=0,0,TrRoad_emi!R71/TrRoad_tech!R186)</f>
        <v>1.2256552461784596</v>
      </c>
      <c r="S213" s="150">
        <f>IF(TrRoad_act!S74=0,0,TrRoad_emi!S71/TrRoad_tech!S186)</f>
        <v>1.2388190711034137</v>
      </c>
      <c r="T213" s="150">
        <f>IF(TrRoad_act!T74=0,0,TrRoad_emi!T71/TrRoad_tech!T186)</f>
        <v>1.2178342092004355</v>
      </c>
      <c r="U213" s="150">
        <f>IF(TrRoad_act!U74=0,0,TrRoad_emi!U71/TrRoad_tech!U186)</f>
        <v>1.2167319101314478</v>
      </c>
      <c r="V213" s="150">
        <f>IF(TrRoad_act!V74=0,0,TrRoad_emi!V71/TrRoad_tech!V186)</f>
        <v>1.2059037053322741</v>
      </c>
      <c r="W213" s="150">
        <f>IF(TrRoad_act!W74=0,0,TrRoad_emi!W71/TrRoad_tech!W186)</f>
        <v>1.2256489948710967</v>
      </c>
      <c r="X213" s="150">
        <f>IF(TrRoad_act!X74=0,0,TrRoad_emi!X71/TrRoad_tech!X186)</f>
        <v>1.2587791091991192</v>
      </c>
      <c r="Y213" s="150">
        <f>IF(TrRoad_act!Y74=0,0,TrRoad_emi!Y71/TrRoad_tech!Y186)</f>
        <v>1.2558777851433633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1.1001505031635952</v>
      </c>
      <c r="D214" s="91">
        <f>IF(TrRoad_act!D75=0,0,TrRoad_emi!D72/TrRoad_tech!D187)</f>
        <v>1.1004549501008425</v>
      </c>
      <c r="E214" s="91">
        <f>IF(TrRoad_act!E75=0,0,TrRoad_emi!E72/TrRoad_tech!E187)</f>
        <v>1.1008956777628105</v>
      </c>
      <c r="F214" s="91">
        <f>IF(TrRoad_act!F75=0,0,TrRoad_emi!F72/TrRoad_tech!F187)</f>
        <v>1.1014141823783041</v>
      </c>
      <c r="G214" s="91">
        <f>IF(TrRoad_act!G75=0,0,TrRoad_emi!G72/TrRoad_tech!G187)</f>
        <v>1.10200186559873</v>
      </c>
      <c r="H214" s="91">
        <f>IF(TrRoad_act!H75=0,0,TrRoad_emi!H72/TrRoad_tech!H187)</f>
        <v>1.1034419520075514</v>
      </c>
      <c r="I214" s="91">
        <f>IF(TrRoad_act!I75=0,0,TrRoad_emi!I72/TrRoad_tech!I187)</f>
        <v>1.1045775158512527</v>
      </c>
      <c r="J214" s="91">
        <f>IF(TrRoad_act!J75=0,0,TrRoad_emi!J72/TrRoad_tech!J187)</f>
        <v>1.1057145027878406</v>
      </c>
      <c r="K214" s="91">
        <f>IF(TrRoad_act!K75=0,0,TrRoad_emi!K72/TrRoad_tech!K187)</f>
        <v>1.1078721623251468</v>
      </c>
      <c r="L214" s="91">
        <f>IF(TrRoad_act!L75=0,0,TrRoad_emi!L72/TrRoad_tech!L187)</f>
        <v>1.1071324664076831</v>
      </c>
      <c r="M214" s="91">
        <f>IF(TrRoad_act!M75=0,0,TrRoad_emi!M72/TrRoad_tech!M187)</f>
        <v>1.1090289711545485</v>
      </c>
      <c r="N214" s="91">
        <f>IF(TrRoad_act!N75=0,0,TrRoad_emi!N72/TrRoad_tech!N187)</f>
        <v>1.1109962900010282</v>
      </c>
      <c r="O214" s="91">
        <f>IF(TrRoad_act!O75=0,0,TrRoad_emi!O72/TrRoad_tech!O187)</f>
        <v>1.1094368504814915</v>
      </c>
      <c r="P214" s="91">
        <f>IF(TrRoad_act!P75=0,0,TrRoad_emi!P72/TrRoad_tech!P187)</f>
        <v>1.1142005671141859</v>
      </c>
      <c r="Q214" s="91">
        <f>IF(TrRoad_act!Q75=0,0,TrRoad_emi!Q72/TrRoad_tech!Q187)</f>
        <v>1.1244056961445248</v>
      </c>
      <c r="R214" s="91">
        <f>IF(TrRoad_act!R75=0,0,TrRoad_emi!R72/TrRoad_tech!R187)</f>
        <v>1.1418867446812058</v>
      </c>
      <c r="S214" s="91">
        <f>IF(TrRoad_act!S75=0,0,TrRoad_emi!S72/TrRoad_tech!S187)</f>
        <v>1.1562860495680494</v>
      </c>
      <c r="T214" s="91">
        <f>IF(TrRoad_act!T75=0,0,TrRoad_emi!T72/TrRoad_tech!T187)</f>
        <v>1.1898995211525023</v>
      </c>
      <c r="U214" s="91">
        <f>IF(TrRoad_act!U75=0,0,TrRoad_emi!U72/TrRoad_tech!U187)</f>
        <v>1.2454231576883197</v>
      </c>
      <c r="V214" s="91">
        <f>IF(TrRoad_act!V75=0,0,TrRoad_emi!V72/TrRoad_tech!V187)</f>
        <v>1.2394572771103975</v>
      </c>
      <c r="W214" s="91">
        <f>IF(TrRoad_act!W75=0,0,TrRoad_emi!W72/TrRoad_tech!W187)</f>
        <v>1.2537200190478139</v>
      </c>
      <c r="X214" s="91">
        <f>IF(TrRoad_act!X75=0,0,TrRoad_emi!X72/TrRoad_tech!X187)</f>
        <v>1.2797163165257721</v>
      </c>
      <c r="Y214" s="91">
        <f>IF(TrRoad_act!Y75=0,0,TrRoad_emi!Y72/TrRoad_tech!Y187)</f>
        <v>1.2825418535045088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1.1002899945141826</v>
      </c>
      <c r="D215" s="91">
        <f>IF(TrRoad_act!D76=0,0,TrRoad_emi!D73/TrRoad_tech!D188)</f>
        <v>1.1011383299506627</v>
      </c>
      <c r="E215" s="91">
        <f>IF(TrRoad_act!E76=0,0,TrRoad_emi!E73/TrRoad_tech!E188)</f>
        <v>1.102681987971416</v>
      </c>
      <c r="F215" s="91">
        <f>IF(TrRoad_act!F76=0,0,TrRoad_emi!F73/TrRoad_tech!F188)</f>
        <v>1.1049592049353811</v>
      </c>
      <c r="G215" s="91">
        <f>IF(TrRoad_act!G76=0,0,TrRoad_emi!G73/TrRoad_tech!G188)</f>
        <v>1.1079505851202789</v>
      </c>
      <c r="H215" s="91">
        <f>IF(TrRoad_act!H76=0,0,TrRoad_emi!H73/TrRoad_tech!H188)</f>
        <v>1.1069613165403887</v>
      </c>
      <c r="I215" s="91">
        <f>IF(TrRoad_act!I76=0,0,TrRoad_emi!I73/TrRoad_tech!I188)</f>
        <v>1.1048930804175696</v>
      </c>
      <c r="J215" s="91">
        <f>IF(TrRoad_act!J76=0,0,TrRoad_emi!J73/TrRoad_tech!J188)</f>
        <v>1.1068637786363418</v>
      </c>
      <c r="K215" s="91">
        <f>IF(TrRoad_act!K76=0,0,TrRoad_emi!K73/TrRoad_tech!K188)</f>
        <v>1.1005773049168743</v>
      </c>
      <c r="L215" s="91">
        <f>IF(TrRoad_act!L76=0,0,TrRoad_emi!L73/TrRoad_tech!L188)</f>
        <v>1.0905880975676336</v>
      </c>
      <c r="M215" s="91">
        <f>IF(TrRoad_act!M76=0,0,TrRoad_emi!M73/TrRoad_tech!M188)</f>
        <v>1.10577515494789</v>
      </c>
      <c r="N215" s="91">
        <f>IF(TrRoad_act!N76=0,0,TrRoad_emi!N73/TrRoad_tech!N188)</f>
        <v>1.1073262765268661</v>
      </c>
      <c r="O215" s="91">
        <f>IF(TrRoad_act!O76=0,0,TrRoad_emi!O73/TrRoad_tech!O188)</f>
        <v>1.1140858646840706</v>
      </c>
      <c r="P215" s="91">
        <f>IF(TrRoad_act!P76=0,0,TrRoad_emi!P73/TrRoad_tech!P188)</f>
        <v>1.1451457170118693</v>
      </c>
      <c r="Q215" s="91">
        <f>IF(TrRoad_act!Q76=0,0,TrRoad_emi!Q73/TrRoad_tech!Q188)</f>
        <v>1.1733702470505203</v>
      </c>
      <c r="R215" s="91">
        <f>IF(TrRoad_act!R76=0,0,TrRoad_emi!R73/TrRoad_tech!R188)</f>
        <v>1.2023091536364821</v>
      </c>
      <c r="S215" s="91">
        <f>IF(TrRoad_act!S76=0,0,TrRoad_emi!S73/TrRoad_tech!S188)</f>
        <v>1.2188222829050734</v>
      </c>
      <c r="T215" s="91">
        <f>IF(TrRoad_act!T76=0,0,TrRoad_emi!T73/TrRoad_tech!T188)</f>
        <v>1.2027701126422699</v>
      </c>
      <c r="U215" s="91">
        <f>IF(TrRoad_act!U76=0,0,TrRoad_emi!U73/TrRoad_tech!U188)</f>
        <v>1.2004786311884048</v>
      </c>
      <c r="V215" s="91">
        <f>IF(TrRoad_act!V76=0,0,TrRoad_emi!V73/TrRoad_tech!V188)</f>
        <v>1.2066131095335317</v>
      </c>
      <c r="W215" s="91">
        <f>IF(TrRoad_act!W76=0,0,TrRoad_emi!W73/TrRoad_tech!W188)</f>
        <v>1.223241653464141</v>
      </c>
      <c r="X215" s="91">
        <f>IF(TrRoad_act!X76=0,0,TrRoad_emi!X73/TrRoad_tech!X188)</f>
        <v>1.2537598856791869</v>
      </c>
      <c r="Y215" s="91">
        <f>IF(TrRoad_act!Y76=0,0,TrRoad_emi!Y73/TrRoad_tech!Y188)</f>
        <v>1.240745441604344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1.1053735495802481</v>
      </c>
      <c r="I216" s="91">
        <f>IF(TrRoad_act!I77=0,0,TrRoad_emi!I74/TrRoad_tech!I189)</f>
        <v>1.1146217236515421</v>
      </c>
      <c r="J216" s="91">
        <f>IF(TrRoad_act!J77=0,0,TrRoad_emi!J74/TrRoad_tech!J189)</f>
        <v>1.1096171217790187</v>
      </c>
      <c r="K216" s="91">
        <f>IF(TrRoad_act!K77=0,0,TrRoad_emi!K74/TrRoad_tech!K189)</f>
        <v>1.1630835698733017</v>
      </c>
      <c r="L216" s="91">
        <f>IF(TrRoad_act!L77=0,0,TrRoad_emi!L74/TrRoad_tech!L189)</f>
        <v>1.273876351811887</v>
      </c>
      <c r="M216" s="91">
        <f>IF(TrRoad_act!M77=0,0,TrRoad_emi!M74/TrRoad_tech!M189)</f>
        <v>1.3548873784458333</v>
      </c>
      <c r="N216" s="91">
        <f>IF(TrRoad_act!N77=0,0,TrRoad_emi!N74/TrRoad_tech!N189)</f>
        <v>1.4098348937106557</v>
      </c>
      <c r="O216" s="91">
        <f>IF(TrRoad_act!O77=0,0,TrRoad_emi!O74/TrRoad_tech!O189)</f>
        <v>1.3901421533702178</v>
      </c>
      <c r="P216" s="91">
        <f>IF(TrRoad_act!P77=0,0,TrRoad_emi!P74/TrRoad_tech!P189)</f>
        <v>1.4364543332481381</v>
      </c>
      <c r="Q216" s="91">
        <f>IF(TrRoad_act!Q77=0,0,TrRoad_emi!Q74/TrRoad_tech!Q189)</f>
        <v>1.5255361678122741</v>
      </c>
      <c r="R216" s="91">
        <f>IF(TrRoad_act!R77=0,0,TrRoad_emi!R74/TrRoad_tech!R189)</f>
        <v>1.5361946676394218</v>
      </c>
      <c r="S216" s="91">
        <f>IF(TrRoad_act!S77=0,0,TrRoad_emi!S74/TrRoad_tech!S189)</f>
        <v>1.413661309965117</v>
      </c>
      <c r="T216" s="91">
        <f>IF(TrRoad_act!T77=0,0,TrRoad_emi!T74/TrRoad_tech!T189)</f>
        <v>1.3578283713601631</v>
      </c>
      <c r="U216" s="91">
        <f>IF(TrRoad_act!U77=0,0,TrRoad_emi!U74/TrRoad_tech!U189)</f>
        <v>1.2770806519643281</v>
      </c>
      <c r="V216" s="91">
        <f>IF(TrRoad_act!V77=0,0,TrRoad_emi!V74/TrRoad_tech!V189)</f>
        <v>1.2291846680070673</v>
      </c>
      <c r="W216" s="91">
        <f>IF(TrRoad_act!W77=0,0,TrRoad_emi!W74/TrRoad_tech!W189)</f>
        <v>1.6276022512000992</v>
      </c>
      <c r="X216" s="91">
        <f>IF(TrRoad_act!X77=0,0,TrRoad_emi!X74/TrRoad_tech!X189)</f>
        <v>1.2378546884190651</v>
      </c>
      <c r="Y216" s="91">
        <f>IF(TrRoad_act!Y77=0,0,TrRoad_emi!Y74/TrRoad_tech!Y189)</f>
        <v>1.2423038330496561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1.2773333333398114</v>
      </c>
      <c r="Q217" s="91">
        <f>IF(TrRoad_act!Q78=0,0,TrRoad_emi!Q75/TrRoad_tech!Q190)</f>
        <v>1.2921619678827134</v>
      </c>
      <c r="R217" s="91">
        <f>IF(TrRoad_act!R78=0,0,TrRoad_emi!R75/TrRoad_tech!R190)</f>
        <v>1.2925912512480733</v>
      </c>
      <c r="S217" s="91">
        <f>IF(TrRoad_act!S78=0,0,TrRoad_emi!S75/TrRoad_tech!S190)</f>
        <v>1.3051691415404623</v>
      </c>
      <c r="T217" s="91">
        <f>IF(TrRoad_act!T78=0,0,TrRoad_emi!T75/TrRoad_tech!T190)</f>
        <v>1.3090639907721175</v>
      </c>
      <c r="U217" s="91">
        <f>IF(TrRoad_act!U78=0,0,TrRoad_emi!U75/TrRoad_tech!U190)</f>
        <v>1.319707842140817</v>
      </c>
      <c r="V217" s="91">
        <f>IF(TrRoad_act!V78=0,0,TrRoad_emi!V75/TrRoad_tech!V190)</f>
        <v>1.3240567507636087</v>
      </c>
      <c r="W217" s="91">
        <f>IF(TrRoad_act!W78=0,0,TrRoad_emi!W75/TrRoad_tech!W190)</f>
        <v>1.3276281837983188</v>
      </c>
      <c r="X217" s="91">
        <f>IF(TrRoad_act!X78=0,0,TrRoad_emi!X75/TrRoad_tech!X190)</f>
        <v>1.3310573049477263</v>
      </c>
      <c r="Y217" s="91">
        <f>IF(TrRoad_act!Y78=0,0,TrRoad_emi!Y75/TrRoad_tech!Y190)</f>
        <v>1.3309059108594266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0.50061196243073258</v>
      </c>
      <c r="C219" s="151">
        <f>IF(TrRoad_act!C80=0,0,TrRoad_emi!C77/TrRoad_tech!C192)</f>
        <v>0.84388936092864397</v>
      </c>
      <c r="D219" s="151">
        <f>IF(TrRoad_act!D80=0,0,TrRoad_emi!D77/TrRoad_tech!D192)</f>
        <v>0.83644804036544262</v>
      </c>
      <c r="E219" s="151">
        <f>IF(TrRoad_act!E80=0,0,TrRoad_emi!E77/TrRoad_tech!E192)</f>
        <v>0.98277879937872659</v>
      </c>
      <c r="F219" s="151">
        <f>IF(TrRoad_act!F80=0,0,TrRoad_emi!F77/TrRoad_tech!F192)</f>
        <v>1.1790373012701869</v>
      </c>
      <c r="G219" s="151">
        <f>IF(TrRoad_act!G80=0,0,TrRoad_emi!G77/TrRoad_tech!G192)</f>
        <v>1.3816376329271514</v>
      </c>
      <c r="H219" s="151">
        <f>IF(TrRoad_act!H80=0,0,TrRoad_emi!H77/TrRoad_tech!H192)</f>
        <v>1.4975006964077606</v>
      </c>
      <c r="I219" s="151">
        <f>IF(TrRoad_act!I80=0,0,TrRoad_emi!I77/TrRoad_tech!I192)</f>
        <v>2.1086037299078062</v>
      </c>
      <c r="J219" s="151">
        <f>IF(TrRoad_act!J80=0,0,TrRoad_emi!J77/TrRoad_tech!J192)</f>
        <v>3.0578790691651654</v>
      </c>
      <c r="K219" s="151">
        <f>IF(TrRoad_act!K80=0,0,TrRoad_emi!K77/TrRoad_tech!K192)</f>
        <v>2.0753951621014965</v>
      </c>
      <c r="L219" s="151">
        <f>IF(TrRoad_act!L80=0,0,TrRoad_emi!L77/TrRoad_tech!L192)</f>
        <v>2.2718787168473615</v>
      </c>
      <c r="M219" s="151">
        <f>IF(TrRoad_act!M80=0,0,TrRoad_emi!M77/TrRoad_tech!M192)</f>
        <v>2.8410188656633855</v>
      </c>
      <c r="N219" s="151">
        <f>IF(TrRoad_act!N80=0,0,TrRoad_emi!N77/TrRoad_tech!N192)</f>
        <v>3.2134633771764753</v>
      </c>
      <c r="O219" s="151">
        <f>IF(TrRoad_act!O80=0,0,TrRoad_emi!O77/TrRoad_tech!O192)</f>
        <v>2.9795162408223672</v>
      </c>
      <c r="P219" s="151">
        <f>IF(TrRoad_act!P80=0,0,TrRoad_emi!P77/TrRoad_tech!P192)</f>
        <v>2.8727896553673302</v>
      </c>
      <c r="Q219" s="151">
        <f>IF(TrRoad_act!Q80=0,0,TrRoad_emi!Q77/TrRoad_tech!Q192)</f>
        <v>2.6696950443933201</v>
      </c>
      <c r="R219" s="151">
        <f>IF(TrRoad_act!R80=0,0,TrRoad_emi!R77/TrRoad_tech!R192)</f>
        <v>3.0667303459318842</v>
      </c>
      <c r="S219" s="151">
        <f>IF(TrRoad_act!S80=0,0,TrRoad_emi!S77/TrRoad_tech!S192)</f>
        <v>2.8915671464914112</v>
      </c>
      <c r="T219" s="151">
        <f>IF(TrRoad_act!T80=0,0,TrRoad_emi!T77/TrRoad_tech!T192)</f>
        <v>2.8915581441328806</v>
      </c>
      <c r="U219" s="151">
        <f>IF(TrRoad_act!U80=0,0,TrRoad_emi!U77/TrRoad_tech!U192)</f>
        <v>2.5667958366953831</v>
      </c>
      <c r="V219" s="151">
        <f>IF(TrRoad_act!V80=0,0,TrRoad_emi!V77/TrRoad_tech!V192)</f>
        <v>1.9806296739501379</v>
      </c>
      <c r="W219" s="151">
        <f>IF(TrRoad_act!W80=0,0,TrRoad_emi!W77/TrRoad_tech!W192)</f>
        <v>2.4554386874254432</v>
      </c>
      <c r="X219" s="151">
        <f>IF(TrRoad_act!X80=0,0,TrRoad_emi!X77/TrRoad_tech!X192)</f>
        <v>2.6751489573933314</v>
      </c>
      <c r="Y219" s="151">
        <f>IF(TrRoad_act!Y80=0,0,TrRoad_emi!Y77/TrRoad_tech!Y192)</f>
        <v>1.8215089642307267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1.0642655917329631</v>
      </c>
      <c r="C220" s="93">
        <f>IF(TrRoad_act!C81=0,0,TrRoad_emi!C78/TrRoad_tech!C193)</f>
        <v>1.1170907387517981</v>
      </c>
      <c r="D220" s="93">
        <f>IF(TrRoad_act!D81=0,0,TrRoad_emi!D78/TrRoad_tech!D193)</f>
        <v>1.1179551909510388</v>
      </c>
      <c r="E220" s="93">
        <f>IF(TrRoad_act!E81=0,0,TrRoad_emi!E78/TrRoad_tech!E193)</f>
        <v>1.1425023060859354</v>
      </c>
      <c r="F220" s="93">
        <f>IF(TrRoad_act!F81=0,0,TrRoad_emi!F78/TrRoad_tech!F193)</f>
        <v>1.1779175312067849</v>
      </c>
      <c r="G220" s="93">
        <f>IF(TrRoad_act!G81=0,0,TrRoad_emi!G78/TrRoad_tech!G193)</f>
        <v>1.2135353584947117</v>
      </c>
      <c r="H220" s="93">
        <f>IF(TrRoad_act!H81=0,0,TrRoad_emi!H78/TrRoad_tech!H193)</f>
        <v>1.2295271767150471</v>
      </c>
      <c r="I220" s="93">
        <f>IF(TrRoad_act!I81=0,0,TrRoad_emi!I78/TrRoad_tech!I193)</f>
        <v>1.3252582951120511</v>
      </c>
      <c r="J220" s="93">
        <f>IF(TrRoad_act!J81=0,0,TrRoad_emi!J78/TrRoad_tech!J193)</f>
        <v>1.4787153745862001</v>
      </c>
      <c r="K220" s="93">
        <f>IF(TrRoad_act!K81=0,0,TrRoad_emi!K78/TrRoad_tech!K193)</f>
        <v>1.3181377873236328</v>
      </c>
      <c r="L220" s="93">
        <f>IF(TrRoad_act!L81=0,0,TrRoad_emi!L78/TrRoad_tech!L193)</f>
        <v>1.3504990619208732</v>
      </c>
      <c r="M220" s="93">
        <f>IF(TrRoad_act!M81=0,0,TrRoad_emi!M78/TrRoad_tech!M193)</f>
        <v>1.461445363656503</v>
      </c>
      <c r="N220" s="93">
        <f>IF(TrRoad_act!N81=0,0,TrRoad_emi!N78/TrRoad_tech!N193)</f>
        <v>1.5180164821585305</v>
      </c>
      <c r="O220" s="93">
        <f>IF(TrRoad_act!O81=0,0,TrRoad_emi!O78/TrRoad_tech!O193)</f>
        <v>1.4851061159781578</v>
      </c>
      <c r="P220" s="93">
        <f>IF(TrRoad_act!P81=0,0,TrRoad_emi!P78/TrRoad_tech!P193)</f>
        <v>1.4952321937365116</v>
      </c>
      <c r="Q220" s="93">
        <f>IF(TrRoad_act!Q81=0,0,TrRoad_emi!Q78/TrRoad_tech!Q193)</f>
        <v>1.4898446108758381</v>
      </c>
      <c r="R220" s="93">
        <f>IF(TrRoad_act!R81=0,0,TrRoad_emi!R78/TrRoad_tech!R193)</f>
        <v>1.5748629950663378</v>
      </c>
      <c r="S220" s="93">
        <f>IF(TrRoad_act!S81=0,0,TrRoad_emi!S78/TrRoad_tech!S193)</f>
        <v>1.5661097709684528</v>
      </c>
      <c r="T220" s="93">
        <f>IF(TrRoad_act!T81=0,0,TrRoad_emi!T78/TrRoad_tech!T193)</f>
        <v>1.55216165116194</v>
      </c>
      <c r="U220" s="93">
        <f>IF(TrRoad_act!U81=0,0,TrRoad_emi!U78/TrRoad_tech!U193)</f>
        <v>1.5070958850906733</v>
      </c>
      <c r="V220" s="93">
        <f>IF(TrRoad_act!V81=0,0,TrRoad_emi!V78/TrRoad_tech!V193)</f>
        <v>1.413240882135159</v>
      </c>
      <c r="W220" s="93">
        <f>IF(TrRoad_act!W81=0,0,TrRoad_emi!W78/TrRoad_tech!W193)</f>
        <v>1.5120180908854395</v>
      </c>
      <c r="X220" s="93">
        <f>IF(TrRoad_act!X81=0,0,TrRoad_emi!X78/TrRoad_tech!X193)</f>
        <v>1.5865853455115735</v>
      </c>
      <c r="Y220" s="93">
        <f>IF(TrRoad_act!Y81=0,0,TrRoad_emi!Y78/TrRoad_tech!Y193)</f>
        <v>1.4420565766747433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4.2605019609329033E-2</v>
      </c>
      <c r="C221" s="94">
        <f>IF(TrRoad_act!C82=0,0,TrRoad_emi!C79/TrRoad_tech!C194)</f>
        <v>0.58551238495246116</v>
      </c>
      <c r="D221" s="94">
        <f>IF(TrRoad_act!D82=0,0,TrRoad_emi!D79/TrRoad_tech!D194)</f>
        <v>0.56058541692688457</v>
      </c>
      <c r="E221" s="94">
        <f>IF(TrRoad_act!E82=0,0,TrRoad_emi!E79/TrRoad_tech!E194)</f>
        <v>0.79436724829978445</v>
      </c>
      <c r="F221" s="94">
        <f>IF(TrRoad_act!F82=0,0,TrRoad_emi!F79/TrRoad_tech!F194)</f>
        <v>1.1461971443769052</v>
      </c>
      <c r="G221" s="94">
        <f>IF(TrRoad_act!G82=0,0,TrRoad_emi!G79/TrRoad_tech!G194)</f>
        <v>1.5058317215884682</v>
      </c>
      <c r="H221" s="94">
        <f>IF(TrRoad_act!H82=0,0,TrRoad_emi!H79/TrRoad_tech!H194)</f>
        <v>1.6507983179397365</v>
      </c>
      <c r="I221" s="94">
        <f>IF(TrRoad_act!I82=0,0,TrRoad_emi!I79/TrRoad_tech!I194)</f>
        <v>2.6653575846163253</v>
      </c>
      <c r="J221" s="94">
        <f>IF(TrRoad_act!J82=0,0,TrRoad_emi!J79/TrRoad_tech!J194)</f>
        <v>4.2111514338241287</v>
      </c>
      <c r="K221" s="94">
        <f>IF(TrRoad_act!K82=0,0,TrRoad_emi!K79/TrRoad_tech!K194)</f>
        <v>2.5877018800515366</v>
      </c>
      <c r="L221" s="94">
        <f>IF(TrRoad_act!L82=0,0,TrRoad_emi!L79/TrRoad_tech!L194)</f>
        <v>2.955086323365494</v>
      </c>
      <c r="M221" s="94">
        <f>IF(TrRoad_act!M82=0,0,TrRoad_emi!M79/TrRoad_tech!M194)</f>
        <v>3.7834038264266061</v>
      </c>
      <c r="N221" s="94">
        <f>IF(TrRoad_act!N82=0,0,TrRoad_emi!N79/TrRoad_tech!N194)</f>
        <v>4.2056010641534174</v>
      </c>
      <c r="O221" s="94">
        <f>IF(TrRoad_act!O82=0,0,TrRoad_emi!O79/TrRoad_tech!O194)</f>
        <v>3.7929024031561478</v>
      </c>
      <c r="P221" s="94">
        <f>IF(TrRoad_act!P82=0,0,TrRoad_emi!P79/TrRoad_tech!P194)</f>
        <v>3.7031108748829684</v>
      </c>
      <c r="Q221" s="94">
        <f>IF(TrRoad_act!Q82=0,0,TrRoad_emi!Q79/TrRoad_tech!Q194)</f>
        <v>3.2744165847186291</v>
      </c>
      <c r="R221" s="94">
        <f>IF(TrRoad_act!R82=0,0,TrRoad_emi!R79/TrRoad_tech!R194)</f>
        <v>3.751225853055796</v>
      </c>
      <c r="S221" s="94">
        <f>IF(TrRoad_act!S82=0,0,TrRoad_emi!S79/TrRoad_tech!S194)</f>
        <v>3.4866260592784837</v>
      </c>
      <c r="T221" s="94">
        <f>IF(TrRoad_act!T82=0,0,TrRoad_emi!T79/TrRoad_tech!T194)</f>
        <v>3.4128980001558222</v>
      </c>
      <c r="U221" s="94">
        <f>IF(TrRoad_act!U82=0,0,TrRoad_emi!U79/TrRoad_tech!U194)</f>
        <v>2.9726088864491342</v>
      </c>
      <c r="V221" s="94">
        <f>IF(TrRoad_act!V82=0,0,TrRoad_emi!V79/TrRoad_tech!V194)</f>
        <v>2.1699380025525783</v>
      </c>
      <c r="W221" s="94">
        <f>IF(TrRoad_act!W82=0,0,TrRoad_emi!W79/TrRoad_tech!W194)</f>
        <v>2.8556729659449096</v>
      </c>
      <c r="X221" s="94">
        <f>IF(TrRoad_act!X82=0,0,TrRoad_emi!X79/TrRoad_tech!X194)</f>
        <v>3.1561254481791683</v>
      </c>
      <c r="Y221" s="94">
        <f>IF(TrRoad_act!Y82=0,0,TrRoad_emi!Y79/TrRoad_tech!Y194)</f>
        <v>1.9837215387399085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108.37251053932312</v>
      </c>
      <c r="C225" s="152">
        <v>107.78252080817262</v>
      </c>
      <c r="D225" s="152">
        <v>107.13074301243944</v>
      </c>
      <c r="E225" s="152">
        <v>105.78981484094247</v>
      </c>
      <c r="F225" s="152">
        <v>105.64331432722261</v>
      </c>
      <c r="G225" s="152">
        <v>104.22016647965837</v>
      </c>
      <c r="H225" s="152">
        <v>102.11833257873894</v>
      </c>
      <c r="I225" s="152">
        <v>100.62043957111356</v>
      </c>
      <c r="J225" s="152">
        <v>95.735095909517071</v>
      </c>
      <c r="K225" s="152">
        <v>90.465562125206233</v>
      </c>
      <c r="L225" s="152">
        <v>87.175280179314598</v>
      </c>
      <c r="M225" s="152">
        <v>84.622808586762005</v>
      </c>
      <c r="N225" s="152">
        <v>81.340051300842589</v>
      </c>
      <c r="O225" s="152">
        <v>77.34230175077218</v>
      </c>
      <c r="P225" s="152">
        <v>74.2730404750872</v>
      </c>
      <c r="Q225" s="152">
        <v>72.778127494582819</v>
      </c>
      <c r="R225" s="152">
        <v>70.935164494332241</v>
      </c>
      <c r="S225" s="152">
        <v>69.460794094131771</v>
      </c>
      <c r="T225" s="152">
        <v>68.281297773971389</v>
      </c>
      <c r="U225" s="152">
        <v>67.337700717843092</v>
      </c>
      <c r="V225" s="152">
        <v>66.582823072940442</v>
      </c>
      <c r="W225" s="152">
        <v>65.978920957018332</v>
      </c>
      <c r="X225" s="152">
        <v>65.495799264280649</v>
      </c>
      <c r="Y225" s="152">
        <v>65.10930191009048</v>
      </c>
      <c r="DA225" s="174" t="s">
        <v>933</v>
      </c>
    </row>
    <row r="226" spans="1:105" ht="11.45" customHeight="1" x14ac:dyDescent="0.25">
      <c r="A226" s="109" t="s">
        <v>20</v>
      </c>
      <c r="B226" s="116">
        <v>214.28892237095664</v>
      </c>
      <c r="C226" s="116">
        <v>213.35503802153883</v>
      </c>
      <c r="D226" s="116">
        <v>211.89544776324877</v>
      </c>
      <c r="E226" s="116">
        <v>210.72366892025886</v>
      </c>
      <c r="F226" s="116">
        <v>210.0187539219443</v>
      </c>
      <c r="G226" s="116">
        <v>209.08164122981711</v>
      </c>
      <c r="H226" s="116">
        <v>207.03377557611842</v>
      </c>
      <c r="I226" s="116">
        <v>204.2935566794248</v>
      </c>
      <c r="J226" s="116">
        <v>195.23070380847119</v>
      </c>
      <c r="K226" s="116">
        <v>185.5143935069039</v>
      </c>
      <c r="L226" s="116">
        <v>178.85736303370001</v>
      </c>
      <c r="M226" s="116">
        <v>173.42623316443562</v>
      </c>
      <c r="N226" s="116">
        <v>166.40861526766153</v>
      </c>
      <c r="O226" s="116">
        <v>156.48943738314972</v>
      </c>
      <c r="P226" s="116">
        <v>152.02819334791752</v>
      </c>
      <c r="Q226" s="116">
        <v>149.03849669457219</v>
      </c>
      <c r="R226" s="116">
        <v>148.57768140882766</v>
      </c>
      <c r="S226" s="116">
        <v>149.23986847957664</v>
      </c>
      <c r="T226" s="116">
        <v>151.21513718359986</v>
      </c>
      <c r="U226" s="116">
        <v>150.63821442551668</v>
      </c>
      <c r="V226" s="116">
        <v>141.73752112949344</v>
      </c>
      <c r="W226" s="116">
        <v>140.52725747041148</v>
      </c>
      <c r="X226" s="116">
        <v>137.0744566241685</v>
      </c>
      <c r="Y226" s="116">
        <v>133.54460633528223</v>
      </c>
      <c r="DA226" s="176" t="s">
        <v>934</v>
      </c>
    </row>
    <row r="227" spans="1:105" ht="11.45" customHeight="1" x14ac:dyDescent="0.25">
      <c r="A227" s="111" t="s">
        <v>110</v>
      </c>
      <c r="B227" s="87">
        <v>215.0550874699382</v>
      </c>
      <c r="C227" s="87">
        <v>213.88430815876873</v>
      </c>
      <c r="D227" s="87">
        <v>212.59091622593627</v>
      </c>
      <c r="E227" s="87">
        <v>209.92996997880152</v>
      </c>
      <c r="F227" s="87">
        <v>209.63925344344008</v>
      </c>
      <c r="G227" s="87">
        <v>206.81514995707178</v>
      </c>
      <c r="H227" s="87">
        <v>202.64425762321287</v>
      </c>
      <c r="I227" s="87">
        <v>199.67182937390515</v>
      </c>
      <c r="J227" s="87">
        <v>189.97732286817893</v>
      </c>
      <c r="K227" s="87">
        <v>179.52042708094373</v>
      </c>
      <c r="L227" s="87">
        <v>172.99117101634664</v>
      </c>
      <c r="M227" s="87">
        <v>167.89005923093362</v>
      </c>
      <c r="N227" s="87">
        <v>161.39800878069434</v>
      </c>
      <c r="O227" s="87">
        <v>153.53179649036062</v>
      </c>
      <c r="P227" s="87">
        <v>147.4195046440577</v>
      </c>
      <c r="Q227" s="87">
        <v>144.52734284767831</v>
      </c>
      <c r="R227" s="87">
        <v>144.07464389380308</v>
      </c>
      <c r="S227" s="87">
        <v>144.16388696726071</v>
      </c>
      <c r="T227" s="87">
        <v>144.53663310961969</v>
      </c>
      <c r="U227" s="87">
        <v>146.0199916960764</v>
      </c>
      <c r="V227" s="87">
        <v>139.80042611563491</v>
      </c>
      <c r="W227" s="87">
        <v>134.4797405908763</v>
      </c>
      <c r="X227" s="87">
        <v>133.9740426311611</v>
      </c>
      <c r="Y227" s="87">
        <v>133.97215361091509</v>
      </c>
      <c r="DA227" s="171" t="s">
        <v>935</v>
      </c>
    </row>
    <row r="228" spans="1:105" ht="11.45" customHeight="1" x14ac:dyDescent="0.25">
      <c r="A228" s="111" t="s">
        <v>111</v>
      </c>
      <c r="B228" s="87">
        <v>211.60856731423695</v>
      </c>
      <c r="C228" s="87">
        <v>211.50343724961556</v>
      </c>
      <c r="D228" s="87">
        <v>211.38668732306624</v>
      </c>
      <c r="E228" s="87">
        <v>211.86828077008201</v>
      </c>
      <c r="F228" s="87">
        <v>210.47093008669543</v>
      </c>
      <c r="G228" s="87">
        <v>211.09846094189774</v>
      </c>
      <c r="H228" s="87">
        <v>212.45203040282831</v>
      </c>
      <c r="I228" s="87">
        <v>210.49646913312802</v>
      </c>
      <c r="J228" s="87">
        <v>200.99959229538595</v>
      </c>
      <c r="K228" s="87">
        <v>193.10073007728695</v>
      </c>
      <c r="L228" s="87">
        <v>185.68346130620498</v>
      </c>
      <c r="M228" s="87">
        <v>179.27641640048199</v>
      </c>
      <c r="N228" s="87">
        <v>170.62022556962509</v>
      </c>
      <c r="O228" s="87">
        <v>159.54131495150216</v>
      </c>
      <c r="P228" s="87">
        <v>155.23393235831566</v>
      </c>
      <c r="Q228" s="87">
        <v>152.60627646834914</v>
      </c>
      <c r="R228" s="87">
        <v>152.7661846932061</v>
      </c>
      <c r="S228" s="87">
        <v>155.03687976081139</v>
      </c>
      <c r="T228" s="87">
        <v>160.21827277514481</v>
      </c>
      <c r="U228" s="87">
        <v>158.86904589196769</v>
      </c>
      <c r="V228" s="87">
        <v>151.30912404727721</v>
      </c>
      <c r="W228" s="87">
        <v>153.46687163720219</v>
      </c>
      <c r="X228" s="87">
        <v>151.37220624031869</v>
      </c>
      <c r="Y228" s="87">
        <v>152.15854779411771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168.92086129819813</v>
      </c>
      <c r="I229" s="87">
        <v>167.36599221376142</v>
      </c>
      <c r="J229" s="87">
        <v>0</v>
      </c>
      <c r="K229" s="87">
        <v>153.53461946265273</v>
      </c>
      <c r="L229" s="87">
        <v>147.63714026739183</v>
      </c>
      <c r="M229" s="87">
        <v>146.7798691518428</v>
      </c>
      <c r="N229" s="87">
        <v>145.64428798031759</v>
      </c>
      <c r="O229" s="87">
        <v>141.05846311517615</v>
      </c>
      <c r="P229" s="87">
        <v>140.02806789856365</v>
      </c>
      <c r="Q229" s="87">
        <v>156.04777551174607</v>
      </c>
      <c r="R229" s="87">
        <v>140.9353937763523</v>
      </c>
      <c r="S229" s="87">
        <v>137.83420496954733</v>
      </c>
      <c r="T229" s="87">
        <v>140.16666666666671</v>
      </c>
      <c r="U229" s="87">
        <v>150.6823529411765</v>
      </c>
      <c r="V229" s="87">
        <v>124.4068965517241</v>
      </c>
      <c r="W229" s="87">
        <v>118.3890909090909</v>
      </c>
      <c r="X229" s="87">
        <v>118.1640058055152</v>
      </c>
      <c r="Y229" s="87">
        <v>117.6414342629482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138.19457610562716</v>
      </c>
      <c r="O230" s="87">
        <v>136.77204081632675</v>
      </c>
      <c r="P230" s="87">
        <v>125.39205194805149</v>
      </c>
      <c r="Q230" s="87">
        <v>111.32717770034843</v>
      </c>
      <c r="R230" s="87">
        <v>116.40095238095232</v>
      </c>
      <c r="S230" s="87">
        <v>115.49761904761901</v>
      </c>
      <c r="T230" s="87">
        <v>135.5</v>
      </c>
      <c r="U230" s="87">
        <v>118.61538461538458</v>
      </c>
      <c r="V230" s="87">
        <v>110.84</v>
      </c>
      <c r="W230" s="87">
        <v>105.1875</v>
      </c>
      <c r="X230" s="87">
        <v>99.833333333333329</v>
      </c>
      <c r="Y230" s="87">
        <v>0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41.516036354057398</v>
      </c>
      <c r="P231" s="87">
        <v>46.08516369473169</v>
      </c>
      <c r="Q231" s="87">
        <v>35.502644624089633</v>
      </c>
      <c r="R231" s="87">
        <v>47.399699043901485</v>
      </c>
      <c r="S231" s="87">
        <v>55.612699309635445</v>
      </c>
      <c r="T231" s="87">
        <v>48.976781808910935</v>
      </c>
      <c r="U231" s="87">
        <v>46.65891472868217</v>
      </c>
      <c r="V231" s="87">
        <v>46.420408163265307</v>
      </c>
      <c r="W231" s="87">
        <v>38.283203125</v>
      </c>
      <c r="X231" s="87">
        <v>40.416158536585357</v>
      </c>
      <c r="Y231" s="87">
        <v>32.054093567251464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1482.6369750457693</v>
      </c>
      <c r="C233" s="116">
        <v>1472.7361673812975</v>
      </c>
      <c r="D233" s="116">
        <v>1478.3617703768632</v>
      </c>
      <c r="E233" s="116">
        <v>1473.6918620852502</v>
      </c>
      <c r="F233" s="116">
        <v>1473.1811298309256</v>
      </c>
      <c r="G233" s="116">
        <v>1468.1690919651585</v>
      </c>
      <c r="H233" s="116">
        <v>1460.6531780991361</v>
      </c>
      <c r="I233" s="116">
        <v>1455.2373058515052</v>
      </c>
      <c r="J233" s="116">
        <v>1436.9060455770489</v>
      </c>
      <c r="K233" s="116">
        <v>1416.2817757170019</v>
      </c>
      <c r="L233" s="116">
        <v>1403.0429115808893</v>
      </c>
      <c r="M233" s="116">
        <v>1392.5421249879334</v>
      </c>
      <c r="N233" s="116">
        <v>1293.824364150802</v>
      </c>
      <c r="O233" s="116">
        <v>1305.614985242797</v>
      </c>
      <c r="P233" s="116">
        <v>1180.4624730578416</v>
      </c>
      <c r="Q233" s="116">
        <v>1320.5562133942128</v>
      </c>
      <c r="R233" s="116">
        <v>1159.0956303241835</v>
      </c>
      <c r="S233" s="116">
        <v>1297.9685663317894</v>
      </c>
      <c r="T233" s="116">
        <v>1213.4167755290648</v>
      </c>
      <c r="U233" s="116">
        <v>1140.9004204991452</v>
      </c>
      <c r="V233" s="116">
        <v>1160.6508307306894</v>
      </c>
      <c r="W233" s="116">
        <v>1135.5810535866722</v>
      </c>
      <c r="X233" s="116">
        <v>1059.5874647149674</v>
      </c>
      <c r="Y233" s="116">
        <v>841.73978044439002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449.09383670071924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322.2595906282175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259.15523471554047</v>
      </c>
      <c r="DA234" s="175" t="s">
        <v>942</v>
      </c>
    </row>
    <row r="235" spans="1:105" ht="11.45" customHeight="1" x14ac:dyDescent="0.25">
      <c r="A235" s="111" t="s">
        <v>111</v>
      </c>
      <c r="B235" s="101">
        <v>1482.6369750457693</v>
      </c>
      <c r="C235" s="101">
        <v>1480.6103391557633</v>
      </c>
      <c r="D235" s="101">
        <v>1478.3617703768634</v>
      </c>
      <c r="E235" s="101">
        <v>1473.6918620852502</v>
      </c>
      <c r="F235" s="101">
        <v>1473.1811298309256</v>
      </c>
      <c r="G235" s="101">
        <v>1468.1690919651585</v>
      </c>
      <c r="H235" s="101">
        <v>1460.6531780991361</v>
      </c>
      <c r="I235" s="101">
        <v>1455.2373058515052</v>
      </c>
      <c r="J235" s="101">
        <v>1436.9060455770489</v>
      </c>
      <c r="K235" s="101">
        <v>1416.2817757170019</v>
      </c>
      <c r="L235" s="101">
        <v>1403.0429115808893</v>
      </c>
      <c r="M235" s="101">
        <v>1392.5421249879334</v>
      </c>
      <c r="N235" s="101">
        <v>1378.632264353377</v>
      </c>
      <c r="O235" s="101">
        <v>1361.0444925756715</v>
      </c>
      <c r="P235" s="101">
        <v>1347.1273105762477</v>
      </c>
      <c r="Q235" s="101">
        <v>1340.2449215971562</v>
      </c>
      <c r="R235" s="101">
        <v>1323.4081931719957</v>
      </c>
      <c r="S235" s="101">
        <v>1297.9685663317894</v>
      </c>
      <c r="T235" s="101">
        <v>1265.287354331226</v>
      </c>
      <c r="U235" s="101">
        <v>1226.6857861580538</v>
      </c>
      <c r="V235" s="101">
        <v>1183.4086901567814</v>
      </c>
      <c r="W235" s="101">
        <v>1136.6001400849138</v>
      </c>
      <c r="X235" s="101">
        <v>1087.2890977794111</v>
      </c>
      <c r="Y235" s="101">
        <v>1036.3830485356002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869.784863137927</v>
      </c>
      <c r="O237" s="101">
        <v>858.68866434430038</v>
      </c>
      <c r="P237" s="101">
        <v>849.90825599783511</v>
      </c>
      <c r="Q237" s="101">
        <v>845.56612799820584</v>
      </c>
      <c r="R237" s="101">
        <v>842.12853511492131</v>
      </c>
      <c r="S237" s="101">
        <v>0</v>
      </c>
      <c r="T237" s="101">
        <v>836.6623509231822</v>
      </c>
      <c r="U237" s="101">
        <v>834.28884642853939</v>
      </c>
      <c r="V237" s="101">
        <v>0</v>
      </c>
      <c r="W237" s="101">
        <v>829.85510411422479</v>
      </c>
      <c r="X237" s="101">
        <v>0</v>
      </c>
      <c r="Y237" s="101">
        <v>825.61719876066479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284.72974976058663</v>
      </c>
      <c r="C240" s="152">
        <v>284.2575492372406</v>
      </c>
      <c r="D240" s="152">
        <v>291.43747988210043</v>
      </c>
      <c r="E240" s="152">
        <v>296.93774697635473</v>
      </c>
      <c r="F240" s="152">
        <v>299.99264805124903</v>
      </c>
      <c r="G240" s="152">
        <v>303.56909918859304</v>
      </c>
      <c r="H240" s="152">
        <v>302.73265740097861</v>
      </c>
      <c r="I240" s="152">
        <v>301.66668408292855</v>
      </c>
      <c r="J240" s="152">
        <v>285.27881065610143</v>
      </c>
      <c r="K240" s="152">
        <v>278.35293372793819</v>
      </c>
      <c r="L240" s="152">
        <v>267.11251432196195</v>
      </c>
      <c r="M240" s="152">
        <v>258.84726928204117</v>
      </c>
      <c r="N240" s="152">
        <v>247.90826877611508</v>
      </c>
      <c r="O240" s="152">
        <v>245.26619334760517</v>
      </c>
      <c r="P240" s="152">
        <v>239.14258534187488</v>
      </c>
      <c r="Q240" s="152">
        <v>228.19997217282079</v>
      </c>
      <c r="R240" s="152">
        <v>219.54547001188351</v>
      </c>
      <c r="S240" s="152">
        <v>210.73265021678512</v>
      </c>
      <c r="T240" s="152">
        <v>214.42813716342104</v>
      </c>
      <c r="U240" s="152">
        <v>215.19195969601253</v>
      </c>
      <c r="V240" s="152">
        <v>225.43368157371793</v>
      </c>
      <c r="W240" s="152">
        <v>217.12371183279953</v>
      </c>
      <c r="X240" s="152">
        <v>207.19028138557073</v>
      </c>
      <c r="Y240" s="152">
        <v>207.01835872904419</v>
      </c>
      <c r="DA240" s="174" t="s">
        <v>947</v>
      </c>
    </row>
    <row r="241" spans="1:105" ht="11.45" customHeight="1" x14ac:dyDescent="0.25">
      <c r="A241" s="111" t="s">
        <v>110</v>
      </c>
      <c r="B241" s="87">
        <v>221.62638199038832</v>
      </c>
      <c r="C241" s="87">
        <v>220.41982795859886</v>
      </c>
      <c r="D241" s="87">
        <v>219.08691471324587</v>
      </c>
      <c r="E241" s="87">
        <v>216.34465971076506</v>
      </c>
      <c r="F241" s="87">
        <v>216.04505994460771</v>
      </c>
      <c r="G241" s="87">
        <v>213.13466221622235</v>
      </c>
      <c r="H241" s="87">
        <v>208.83632271400609</v>
      </c>
      <c r="I241" s="87">
        <v>205.77306796207108</v>
      </c>
      <c r="J241" s="87">
        <v>195.78233290286573</v>
      </c>
      <c r="K241" s="87">
        <v>185.00591274261521</v>
      </c>
      <c r="L241" s="87">
        <v>178.2771465659595</v>
      </c>
      <c r="M241" s="87">
        <v>173.05723386507754</v>
      </c>
      <c r="N241" s="87">
        <v>163.3359210341236</v>
      </c>
      <c r="O241" s="87">
        <v>160.43179836817148</v>
      </c>
      <c r="P241" s="87">
        <v>153.12944666687321</v>
      </c>
      <c r="Q241" s="87">
        <v>142.04309534014243</v>
      </c>
      <c r="R241" s="87">
        <v>137.45064537808636</v>
      </c>
      <c r="S241" s="87">
        <v>141.2793150929825</v>
      </c>
      <c r="T241" s="87">
        <v>158.49911150547041</v>
      </c>
      <c r="U241" s="87">
        <v>168.3934426229508</v>
      </c>
      <c r="V241" s="87">
        <v>158.48514851485149</v>
      </c>
      <c r="W241" s="87">
        <v>161.9368421052632</v>
      </c>
      <c r="X241" s="87">
        <v>161.2820512820513</v>
      </c>
      <c r="Y241" s="87">
        <v>212.75520833333329</v>
      </c>
      <c r="DA241" s="171" t="s">
        <v>948</v>
      </c>
    </row>
    <row r="242" spans="1:105" ht="11.45" customHeight="1" x14ac:dyDescent="0.25">
      <c r="A242" s="111" t="s">
        <v>111</v>
      </c>
      <c r="B242" s="87">
        <v>311.9869974813472</v>
      </c>
      <c r="C242" s="87">
        <v>311.83199802351555</v>
      </c>
      <c r="D242" s="87">
        <v>311.65986671757372</v>
      </c>
      <c r="E242" s="87">
        <v>312.36990835458374</v>
      </c>
      <c r="F242" s="87">
        <v>310.30971178659263</v>
      </c>
      <c r="G242" s="87">
        <v>311.23491755602993</v>
      </c>
      <c r="H242" s="87">
        <v>313.23056488429279</v>
      </c>
      <c r="I242" s="87">
        <v>310.34736550976749</v>
      </c>
      <c r="J242" s="87">
        <v>296.34555959206364</v>
      </c>
      <c r="K242" s="87">
        <v>284.69980092443831</v>
      </c>
      <c r="L242" s="87">
        <v>273.76408389382277</v>
      </c>
      <c r="M242" s="87">
        <v>264.31779951963523</v>
      </c>
      <c r="N242" s="87">
        <v>251.55546658944948</v>
      </c>
      <c r="O242" s="87">
        <v>247.08786297295129</v>
      </c>
      <c r="P242" s="87">
        <v>244.83565531386361</v>
      </c>
      <c r="Q242" s="87">
        <v>231.50870827829172</v>
      </c>
      <c r="R242" s="87">
        <v>222.48865662692555</v>
      </c>
      <c r="S242" s="87">
        <v>214.69821884189784</v>
      </c>
      <c r="T242" s="87">
        <v>219.22508136495961</v>
      </c>
      <c r="U242" s="87">
        <v>219.86168132942333</v>
      </c>
      <c r="V242" s="87">
        <v>227.77711082776821</v>
      </c>
      <c r="W242" s="87">
        <v>219.41748607984829</v>
      </c>
      <c r="X242" s="87">
        <v>210.74378762154649</v>
      </c>
      <c r="Y242" s="87">
        <v>209.10806895552659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266.7068560497728</v>
      </c>
      <c r="I243" s="87">
        <v>264.25189434822761</v>
      </c>
      <c r="J243" s="87">
        <v>252.32975757747732</v>
      </c>
      <c r="K243" s="87">
        <v>242.41372757030319</v>
      </c>
      <c r="L243" s="87">
        <v>233.1022776836588</v>
      </c>
      <c r="M243" s="87">
        <v>0</v>
      </c>
      <c r="N243" s="87">
        <v>229.95579024585857</v>
      </c>
      <c r="O243" s="87">
        <v>157.97621834023587</v>
      </c>
      <c r="P243" s="87">
        <v>157.97621834023587</v>
      </c>
      <c r="Q243" s="87">
        <v>190.93528547596856</v>
      </c>
      <c r="R243" s="87">
        <v>166.5517749931067</v>
      </c>
      <c r="S243" s="87">
        <v>151.03746736429218</v>
      </c>
      <c r="T243" s="87">
        <v>150.02058144540385</v>
      </c>
      <c r="U243" s="87">
        <v>162.08031673836348</v>
      </c>
      <c r="V243" s="87">
        <v>117.01741170239868</v>
      </c>
      <c r="W243" s="87">
        <v>181.5</v>
      </c>
      <c r="X243" s="87">
        <v>171.25</v>
      </c>
      <c r="Y243" s="87">
        <v>219.375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168.97825782997765</v>
      </c>
      <c r="Q244" s="87">
        <v>180.865958240119</v>
      </c>
      <c r="R244" s="87">
        <v>116.19686800894856</v>
      </c>
      <c r="S244" s="87">
        <v>117.92598806860556</v>
      </c>
      <c r="T244" s="87">
        <v>106.51379567486954</v>
      </c>
      <c r="U244" s="87">
        <v>132.5</v>
      </c>
      <c r="V244" s="87">
        <v>204.75</v>
      </c>
      <c r="W244" s="87">
        <v>225.25</v>
      </c>
      <c r="X244" s="87">
        <v>174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853.41686436672433</v>
      </c>
      <c r="C246" s="116">
        <v>852.55208487710013</v>
      </c>
      <c r="D246" s="116">
        <v>850.20850309803609</v>
      </c>
      <c r="E246" s="116">
        <v>840.80701536928257</v>
      </c>
      <c r="F246" s="116">
        <v>863.16276886762728</v>
      </c>
      <c r="G246" s="116">
        <v>832.86702120981749</v>
      </c>
      <c r="H246" s="116">
        <v>843.25266727202745</v>
      </c>
      <c r="I246" s="116">
        <v>806.77732572087791</v>
      </c>
      <c r="J246" s="116">
        <v>796.65867960916501</v>
      </c>
      <c r="K246" s="116">
        <v>764.55708560065659</v>
      </c>
      <c r="L246" s="116">
        <v>777.19439614516818</v>
      </c>
      <c r="M246" s="116">
        <v>778.89644754303754</v>
      </c>
      <c r="N246" s="116">
        <v>771.07628063230186</v>
      </c>
      <c r="O246" s="116">
        <v>740.53591248360817</v>
      </c>
      <c r="P246" s="116">
        <v>723.0830990994059</v>
      </c>
      <c r="Q246" s="116">
        <v>725.47245624126492</v>
      </c>
      <c r="R246" s="116">
        <v>713.58253130311869</v>
      </c>
      <c r="S246" s="116">
        <v>702.47484002188173</v>
      </c>
      <c r="T246" s="116">
        <v>675.56541000231823</v>
      </c>
      <c r="U246" s="116">
        <v>668.69055265196278</v>
      </c>
      <c r="V246" s="116">
        <v>647.07330314786702</v>
      </c>
      <c r="W246" s="116">
        <v>678.60368373754136</v>
      </c>
      <c r="X246" s="116">
        <v>666.86934911691594</v>
      </c>
      <c r="Y246" s="116">
        <v>653.51483999168113</v>
      </c>
      <c r="DA246" s="176" t="s">
        <v>953</v>
      </c>
    </row>
    <row r="247" spans="1:105" ht="11.45" customHeight="1" x14ac:dyDescent="0.25">
      <c r="A247" s="128" t="s">
        <v>27</v>
      </c>
      <c r="B247" s="101">
        <v>776.46551082309668</v>
      </c>
      <c r="C247" s="101">
        <v>772.89307797371873</v>
      </c>
      <c r="D247" s="101">
        <v>768.94298207995598</v>
      </c>
      <c r="E247" s="101">
        <v>764.02437743814585</v>
      </c>
      <c r="F247" s="101">
        <v>758.14976231532421</v>
      </c>
      <c r="G247" s="101">
        <v>751.33395885529444</v>
      </c>
      <c r="H247" s="101">
        <v>743.59402064815572</v>
      </c>
      <c r="I247" s="101">
        <v>734.94912768776021</v>
      </c>
      <c r="J247" s="101">
        <v>725.42046990304812</v>
      </c>
      <c r="K247" s="101">
        <v>715.03112054150472</v>
      </c>
      <c r="L247" s="101">
        <v>703.80590079933916</v>
      </c>
      <c r="M247" s="101">
        <v>691.77123711468062</v>
      </c>
      <c r="N247" s="101">
        <v>678.95501259497496</v>
      </c>
      <c r="O247" s="101">
        <v>665.38641406696058</v>
      </c>
      <c r="P247" s="101">
        <v>651.09577620261052</v>
      </c>
      <c r="Q247" s="101">
        <v>636.11442417465003</v>
      </c>
      <c r="R247" s="101">
        <v>626.25185403705461</v>
      </c>
      <c r="S247" s="101">
        <v>619.34805494073771</v>
      </c>
      <c r="T247" s="101">
        <v>612.09906588960507</v>
      </c>
      <c r="U247" s="101">
        <v>603.23919038266524</v>
      </c>
      <c r="V247" s="101">
        <v>604.12024422996774</v>
      </c>
      <c r="W247" s="101">
        <v>598.20304205851039</v>
      </c>
      <c r="X247" s="101">
        <v>594.90731767427951</v>
      </c>
      <c r="Y247" s="101">
        <v>588.95824449753673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705</v>
      </c>
      <c r="C4" s="28">
        <f t="shared" ref="C4:V4" si="1">SUM(C5,C6,C9)</f>
        <v>715</v>
      </c>
      <c r="D4" s="28">
        <f t="shared" si="1"/>
        <v>749</v>
      </c>
      <c r="E4" s="28">
        <f t="shared" si="1"/>
        <v>777</v>
      </c>
      <c r="F4" s="28">
        <f t="shared" si="1"/>
        <v>695</v>
      </c>
      <c r="G4" s="28">
        <f t="shared" si="1"/>
        <v>716</v>
      </c>
      <c r="H4" s="28">
        <f t="shared" si="1"/>
        <v>724</v>
      </c>
      <c r="I4" s="28">
        <f t="shared" si="1"/>
        <v>740</v>
      </c>
      <c r="J4" s="28">
        <f t="shared" si="1"/>
        <v>765</v>
      </c>
      <c r="K4" s="28">
        <f t="shared" si="1"/>
        <v>773</v>
      </c>
      <c r="L4" s="28">
        <f t="shared" si="1"/>
        <v>729</v>
      </c>
      <c r="M4" s="28">
        <f t="shared" si="1"/>
        <v>689</v>
      </c>
      <c r="N4" s="28">
        <f t="shared" si="1"/>
        <v>659</v>
      </c>
      <c r="O4" s="28">
        <f t="shared" si="1"/>
        <v>679</v>
      </c>
      <c r="P4" s="28">
        <f t="shared" si="1"/>
        <v>620</v>
      </c>
      <c r="Q4" s="28">
        <f t="shared" si="1"/>
        <v>628</v>
      </c>
      <c r="R4" s="28">
        <f t="shared" si="1"/>
        <v>611</v>
      </c>
      <c r="S4" s="28">
        <f t="shared" si="1"/>
        <v>570</v>
      </c>
      <c r="T4" s="28">
        <f t="shared" si="1"/>
        <v>568</v>
      </c>
      <c r="U4" s="28">
        <f t="shared" si="1"/>
        <v>572</v>
      </c>
      <c r="V4" s="28">
        <f t="shared" si="1"/>
        <v>338</v>
      </c>
      <c r="W4" s="28">
        <f t="shared" ref="W4:Y4" si="2">SUM(W5,W6,W9)</f>
        <v>504</v>
      </c>
      <c r="X4" s="28">
        <f t="shared" si="2"/>
        <v>645</v>
      </c>
      <c r="Y4" s="28">
        <f t="shared" si="2"/>
        <v>742</v>
      </c>
      <c r="DA4" s="173" t="s">
        <v>376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X5" s="108">
        <v>0</v>
      </c>
      <c r="Y5" s="108">
        <v>0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705</v>
      </c>
      <c r="C6" s="110">
        <f t="shared" ref="C6:V6" si="4">SUM(C7:C8)</f>
        <v>715</v>
      </c>
      <c r="D6" s="110">
        <f t="shared" si="4"/>
        <v>749</v>
      </c>
      <c r="E6" s="110">
        <f t="shared" si="4"/>
        <v>777</v>
      </c>
      <c r="F6" s="110">
        <f t="shared" si="4"/>
        <v>695</v>
      </c>
      <c r="G6" s="110">
        <f t="shared" si="4"/>
        <v>716</v>
      </c>
      <c r="H6" s="110">
        <f t="shared" si="4"/>
        <v>724</v>
      </c>
      <c r="I6" s="110">
        <f t="shared" si="4"/>
        <v>740</v>
      </c>
      <c r="J6" s="110">
        <f t="shared" si="4"/>
        <v>751</v>
      </c>
      <c r="K6" s="110">
        <f t="shared" si="4"/>
        <v>757</v>
      </c>
      <c r="L6" s="110">
        <f t="shared" si="4"/>
        <v>713.9</v>
      </c>
      <c r="M6" s="110">
        <f t="shared" si="4"/>
        <v>675.66</v>
      </c>
      <c r="N6" s="110">
        <f t="shared" si="4"/>
        <v>647.12</v>
      </c>
      <c r="O6" s="110">
        <f t="shared" si="4"/>
        <v>667.95</v>
      </c>
      <c r="P6" s="110">
        <f t="shared" si="4"/>
        <v>612.29999999999995</v>
      </c>
      <c r="Q6" s="110">
        <f t="shared" si="4"/>
        <v>622.4</v>
      </c>
      <c r="R6" s="110">
        <f t="shared" si="4"/>
        <v>607.1</v>
      </c>
      <c r="S6" s="110">
        <f t="shared" si="4"/>
        <v>568.46</v>
      </c>
      <c r="T6" s="110">
        <f t="shared" si="4"/>
        <v>566.21</v>
      </c>
      <c r="U6" s="110">
        <f t="shared" si="4"/>
        <v>570.26</v>
      </c>
      <c r="V6" s="110">
        <f t="shared" si="4"/>
        <v>337.6</v>
      </c>
      <c r="W6" s="110">
        <f t="shared" ref="W6:Y6" si="5">SUM(W7:W8)</f>
        <v>477</v>
      </c>
      <c r="X6" s="110">
        <f t="shared" si="5"/>
        <v>606.19100000000003</v>
      </c>
      <c r="Y6" s="110">
        <f t="shared" si="5"/>
        <v>647</v>
      </c>
      <c r="DA6" s="176" t="s">
        <v>378</v>
      </c>
    </row>
    <row r="7" spans="1:105" ht="11.45" customHeight="1" x14ac:dyDescent="0.25">
      <c r="A7" s="111" t="s">
        <v>90</v>
      </c>
      <c r="B7" s="84">
        <v>279.1574589592505</v>
      </c>
      <c r="C7" s="84">
        <v>259.43551735966923</v>
      </c>
      <c r="D7" s="84">
        <v>252.71882640586796</v>
      </c>
      <c r="E7" s="84">
        <v>257.53045712450489</v>
      </c>
      <c r="F7" s="84">
        <v>229.83538915913832</v>
      </c>
      <c r="G7" s="84">
        <v>233.71729556731873</v>
      </c>
      <c r="H7" s="84">
        <v>233.85318107667206</v>
      </c>
      <c r="I7" s="84">
        <v>242.34421099687083</v>
      </c>
      <c r="J7" s="84">
        <v>245.2041991345838</v>
      </c>
      <c r="K7" s="84">
        <v>243.69214824788293</v>
      </c>
      <c r="L7" s="84">
        <v>232.87975637388797</v>
      </c>
      <c r="M7" s="84">
        <v>218.096348170266</v>
      </c>
      <c r="N7" s="84">
        <v>210.65216349354284</v>
      </c>
      <c r="O7" s="84">
        <v>222.50862964069614</v>
      </c>
      <c r="P7" s="84">
        <v>227.28715196952751</v>
      </c>
      <c r="Q7" s="84">
        <v>225.85834807710211</v>
      </c>
      <c r="R7" s="84">
        <v>202.76088398662705</v>
      </c>
      <c r="S7" s="84">
        <v>193.70118729498358</v>
      </c>
      <c r="T7" s="84">
        <v>194.24571074971126</v>
      </c>
      <c r="U7" s="84">
        <v>182.9381511812212</v>
      </c>
      <c r="V7" s="84">
        <v>49.443271787573501</v>
      </c>
      <c r="W7" s="84">
        <v>70.89889043892795</v>
      </c>
      <c r="X7" s="84">
        <v>82.300271153519361</v>
      </c>
      <c r="Y7" s="84">
        <v>126.33332619915873</v>
      </c>
      <c r="DA7" s="171" t="s">
        <v>1031</v>
      </c>
    </row>
    <row r="8" spans="1:105" ht="11.45" customHeight="1" x14ac:dyDescent="0.25">
      <c r="A8" s="111" t="s">
        <v>93</v>
      </c>
      <c r="B8" s="84">
        <v>425.8425410407495</v>
      </c>
      <c r="C8" s="84">
        <v>455.56448264033077</v>
      </c>
      <c r="D8" s="84">
        <v>496.28117359413204</v>
      </c>
      <c r="E8" s="84">
        <v>519.46954287549511</v>
      </c>
      <c r="F8" s="84">
        <v>465.16461084086166</v>
      </c>
      <c r="G8" s="84">
        <v>482.28270443268127</v>
      </c>
      <c r="H8" s="84">
        <v>490.14681892332794</v>
      </c>
      <c r="I8" s="84">
        <v>497.65578900312914</v>
      </c>
      <c r="J8" s="84">
        <v>505.7958008654162</v>
      </c>
      <c r="K8" s="84">
        <v>513.30785175211713</v>
      </c>
      <c r="L8" s="84">
        <v>481.02024362611201</v>
      </c>
      <c r="M8" s="84">
        <v>457.563651829734</v>
      </c>
      <c r="N8" s="84">
        <v>436.46783650645716</v>
      </c>
      <c r="O8" s="84">
        <v>445.4413703593039</v>
      </c>
      <c r="P8" s="84">
        <v>385.01284803047247</v>
      </c>
      <c r="Q8" s="84">
        <v>396.54165192289787</v>
      </c>
      <c r="R8" s="84">
        <v>404.33911601337297</v>
      </c>
      <c r="S8" s="84">
        <v>374.75881270501645</v>
      </c>
      <c r="T8" s="84">
        <v>371.96428925028874</v>
      </c>
      <c r="U8" s="84">
        <v>387.32184881877879</v>
      </c>
      <c r="V8" s="84">
        <v>288.15672821242651</v>
      </c>
      <c r="W8" s="84">
        <v>406.10110956107206</v>
      </c>
      <c r="X8" s="84">
        <v>523.89072884648067</v>
      </c>
      <c r="Y8" s="84">
        <v>520.66667380084129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14</v>
      </c>
      <c r="K9" s="113">
        <v>16</v>
      </c>
      <c r="L9" s="113">
        <v>15.1</v>
      </c>
      <c r="M9" s="113">
        <v>13.34</v>
      </c>
      <c r="N9" s="113">
        <v>11.88</v>
      </c>
      <c r="O9" s="113">
        <v>11.05</v>
      </c>
      <c r="P9" s="113">
        <v>7.7</v>
      </c>
      <c r="Q9" s="113">
        <v>5.6</v>
      </c>
      <c r="R9" s="113">
        <v>3.9</v>
      </c>
      <c r="S9" s="113">
        <v>1.54</v>
      </c>
      <c r="T9" s="113">
        <v>1.79</v>
      </c>
      <c r="U9" s="113">
        <v>1.74</v>
      </c>
      <c r="V9" s="113">
        <v>0.4</v>
      </c>
      <c r="W9" s="113">
        <v>27</v>
      </c>
      <c r="X9" s="113">
        <v>38.808999999999997</v>
      </c>
      <c r="Y9" s="113">
        <v>95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2857</v>
      </c>
      <c r="C10" s="28">
        <f t="shared" ref="C10:V10" si="7">SUM(C11:C12)</f>
        <v>2837</v>
      </c>
      <c r="D10" s="28">
        <f t="shared" si="7"/>
        <v>3078</v>
      </c>
      <c r="E10" s="28">
        <f t="shared" si="7"/>
        <v>3018</v>
      </c>
      <c r="F10" s="28">
        <f t="shared" si="7"/>
        <v>3149</v>
      </c>
      <c r="G10" s="28">
        <f t="shared" si="7"/>
        <v>3245</v>
      </c>
      <c r="H10" s="28">
        <f t="shared" si="7"/>
        <v>3373</v>
      </c>
      <c r="I10" s="28">
        <f t="shared" si="7"/>
        <v>3603</v>
      </c>
      <c r="J10" s="28">
        <f t="shared" si="7"/>
        <v>3520</v>
      </c>
      <c r="K10" s="28">
        <f t="shared" si="7"/>
        <v>2817</v>
      </c>
      <c r="L10" s="28">
        <f t="shared" si="7"/>
        <v>3421</v>
      </c>
      <c r="M10" s="28">
        <f t="shared" si="7"/>
        <v>3752</v>
      </c>
      <c r="N10" s="28">
        <f t="shared" si="7"/>
        <v>3470</v>
      </c>
      <c r="O10" s="28">
        <f t="shared" si="7"/>
        <v>3799</v>
      </c>
      <c r="P10" s="28">
        <f t="shared" si="7"/>
        <v>4110</v>
      </c>
      <c r="Q10" s="28">
        <f t="shared" si="7"/>
        <v>4175</v>
      </c>
      <c r="R10" s="28">
        <f t="shared" si="7"/>
        <v>4360</v>
      </c>
      <c r="S10" s="28">
        <f t="shared" si="7"/>
        <v>5128</v>
      </c>
      <c r="T10" s="28">
        <f t="shared" si="7"/>
        <v>5151</v>
      </c>
      <c r="U10" s="28">
        <f t="shared" si="7"/>
        <v>5292</v>
      </c>
      <c r="V10" s="28">
        <f t="shared" si="7"/>
        <v>4726</v>
      </c>
      <c r="W10" s="28">
        <f t="shared" ref="W10:Y10" si="8">SUM(W11:W12)</f>
        <v>4937</v>
      </c>
      <c r="X10" s="28">
        <f t="shared" si="8"/>
        <v>4928</v>
      </c>
      <c r="Y10" s="28">
        <f t="shared" si="8"/>
        <v>4629</v>
      </c>
      <c r="DA10" s="173" t="s">
        <v>384</v>
      </c>
    </row>
    <row r="11" spans="1:105" ht="11.45" customHeight="1" x14ac:dyDescent="0.25">
      <c r="A11" s="83" t="s">
        <v>90</v>
      </c>
      <c r="B11" s="84">
        <v>745.26734532644321</v>
      </c>
      <c r="C11" s="84">
        <v>731.90028452149863</v>
      </c>
      <c r="D11" s="84">
        <v>773.83018214912909</v>
      </c>
      <c r="E11" s="84">
        <v>751.24469490182275</v>
      </c>
      <c r="F11" s="84">
        <v>739.66800381576684</v>
      </c>
      <c r="G11" s="84">
        <v>784.55420340245882</v>
      </c>
      <c r="H11" s="84">
        <v>800.28941588696068</v>
      </c>
      <c r="I11" s="84">
        <v>812.5649877562779</v>
      </c>
      <c r="J11" s="84">
        <v>764.1630981195309</v>
      </c>
      <c r="K11" s="84">
        <v>655.94519084658543</v>
      </c>
      <c r="L11" s="84">
        <v>744.4240608286616</v>
      </c>
      <c r="M11" s="84">
        <v>776.9459228953192</v>
      </c>
      <c r="N11" s="84">
        <v>686.47012896104263</v>
      </c>
      <c r="O11" s="84">
        <v>783.5903289088177</v>
      </c>
      <c r="P11" s="84">
        <v>1185.8614777987311</v>
      </c>
      <c r="Q11" s="84">
        <v>970.43808834178139</v>
      </c>
      <c r="R11" s="84">
        <v>764.75231995817558</v>
      </c>
      <c r="S11" s="84">
        <v>684.89960016140276</v>
      </c>
      <c r="T11" s="84">
        <v>606.46552121475952</v>
      </c>
      <c r="U11" s="84">
        <v>527.14020176344434</v>
      </c>
      <c r="V11" s="84">
        <v>536.84614764017738</v>
      </c>
      <c r="W11" s="84">
        <v>545.96108495754333</v>
      </c>
      <c r="X11" s="84">
        <v>601.46460537021972</v>
      </c>
      <c r="Y11" s="84">
        <v>543.87205106410283</v>
      </c>
      <c r="DA11" s="171" t="s">
        <v>1033</v>
      </c>
    </row>
    <row r="12" spans="1:105" ht="11.45" customHeight="1" x14ac:dyDescent="0.25">
      <c r="A12" s="85" t="s">
        <v>93</v>
      </c>
      <c r="B12" s="86">
        <v>2111.7326546735567</v>
      </c>
      <c r="C12" s="86">
        <v>2105.0997154785014</v>
      </c>
      <c r="D12" s="86">
        <v>2304.1698178508709</v>
      </c>
      <c r="E12" s="86">
        <v>2266.7553050981774</v>
      </c>
      <c r="F12" s="86">
        <v>2409.331996184233</v>
      </c>
      <c r="G12" s="86">
        <v>2460.4457965975412</v>
      </c>
      <c r="H12" s="86">
        <v>2572.7105841130392</v>
      </c>
      <c r="I12" s="86">
        <v>2790.4350122437222</v>
      </c>
      <c r="J12" s="86">
        <v>2755.8369018804692</v>
      </c>
      <c r="K12" s="86">
        <v>2161.0548091534147</v>
      </c>
      <c r="L12" s="86">
        <v>2676.5759391713382</v>
      </c>
      <c r="M12" s="86">
        <v>2975.0540771046808</v>
      </c>
      <c r="N12" s="86">
        <v>2783.5298710389575</v>
      </c>
      <c r="O12" s="86">
        <v>3015.4096710911822</v>
      </c>
      <c r="P12" s="86">
        <v>2924.1385222012686</v>
      </c>
      <c r="Q12" s="86">
        <v>3204.5619116582184</v>
      </c>
      <c r="R12" s="86">
        <v>3595.2476800418244</v>
      </c>
      <c r="S12" s="86">
        <v>4443.1003998385968</v>
      </c>
      <c r="T12" s="86">
        <v>4544.5344787852409</v>
      </c>
      <c r="U12" s="86">
        <v>4764.8597982365554</v>
      </c>
      <c r="V12" s="86">
        <v>4189.1538523598228</v>
      </c>
      <c r="W12" s="86">
        <v>4391.0389150424562</v>
      </c>
      <c r="X12" s="86">
        <v>4326.5353946297801</v>
      </c>
      <c r="Y12" s="86">
        <v>4085.1279489358972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10.033932806861991</v>
      </c>
      <c r="C14" s="62">
        <f t="shared" ref="C14:V14" si="10">C15+C21</f>
        <v>10.787725111789499</v>
      </c>
      <c r="D14" s="62">
        <f t="shared" si="10"/>
        <v>11.577817763737915</v>
      </c>
      <c r="E14" s="62">
        <f t="shared" si="10"/>
        <v>12.23627660279649</v>
      </c>
      <c r="F14" s="62">
        <f t="shared" si="10"/>
        <v>13.158168821180791</v>
      </c>
      <c r="G14" s="62">
        <f t="shared" si="10"/>
        <v>13.84131902797003</v>
      </c>
      <c r="H14" s="62">
        <f t="shared" si="10"/>
        <v>14.334603617328277</v>
      </c>
      <c r="I14" s="62">
        <f t="shared" si="10"/>
        <v>14.874843383379901</v>
      </c>
      <c r="J14" s="62">
        <f t="shared" si="10"/>
        <v>14.659379213691187</v>
      </c>
      <c r="K14" s="62">
        <f t="shared" si="10"/>
        <v>12.30515135813139</v>
      </c>
      <c r="L14" s="62">
        <f t="shared" si="10"/>
        <v>13.421933851885786</v>
      </c>
      <c r="M14" s="62">
        <f t="shared" si="10"/>
        <v>13.453151569905216</v>
      </c>
      <c r="N14" s="62">
        <f t="shared" si="10"/>
        <v>13.224009189050131</v>
      </c>
      <c r="O14" s="62">
        <f t="shared" si="10"/>
        <v>13.427808117442638</v>
      </c>
      <c r="P14" s="62">
        <f t="shared" si="10"/>
        <v>13.560772291089588</v>
      </c>
      <c r="Q14" s="62">
        <f t="shared" si="10"/>
        <v>14.789903566534941</v>
      </c>
      <c r="R14" s="62">
        <f t="shared" si="10"/>
        <v>15.386138129253069</v>
      </c>
      <c r="S14" s="62">
        <f t="shared" si="10"/>
        <v>20.335231646728559</v>
      </c>
      <c r="T14" s="62">
        <f t="shared" si="10"/>
        <v>19.786101328854265</v>
      </c>
      <c r="U14" s="62">
        <f t="shared" si="10"/>
        <v>19.287721706808419</v>
      </c>
      <c r="V14" s="62">
        <f t="shared" si="10"/>
        <v>16.482760479142328</v>
      </c>
      <c r="W14" s="62">
        <f t="shared" ref="W14:Y14" si="11">W15+W21</f>
        <v>19.024206447744163</v>
      </c>
      <c r="X14" s="62">
        <f t="shared" si="11"/>
        <v>19.895517710333543</v>
      </c>
      <c r="Y14" s="62">
        <f t="shared" si="11"/>
        <v>19.901337384820245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5.0065979939136511</v>
      </c>
      <c r="C15" s="29">
        <f t="shared" ref="C15:V15" si="13">SUM(C16,C17,C20)</f>
        <v>5.2218196068414811</v>
      </c>
      <c r="D15" s="29">
        <f t="shared" si="13"/>
        <v>5.5746667687112117</v>
      </c>
      <c r="E15" s="29">
        <f t="shared" si="13"/>
        <v>6.2578153821849458</v>
      </c>
      <c r="F15" s="29">
        <f t="shared" si="13"/>
        <v>6.8305814132068061</v>
      </c>
      <c r="G15" s="29">
        <f t="shared" si="13"/>
        <v>7.2716275551463196</v>
      </c>
      <c r="H15" s="29">
        <f t="shared" si="13"/>
        <v>7.4599718082661841</v>
      </c>
      <c r="I15" s="29">
        <f t="shared" si="13"/>
        <v>7.6873701965920898</v>
      </c>
      <c r="J15" s="29">
        <f t="shared" si="13"/>
        <v>7.7212933683264531</v>
      </c>
      <c r="K15" s="29">
        <f t="shared" si="13"/>
        <v>7.0069341861292926</v>
      </c>
      <c r="L15" s="29">
        <f t="shared" si="13"/>
        <v>6.9773366826824894</v>
      </c>
      <c r="M15" s="29">
        <f t="shared" si="13"/>
        <v>6.2831738962025918</v>
      </c>
      <c r="N15" s="29">
        <f t="shared" si="13"/>
        <v>6.6018944382567657</v>
      </c>
      <c r="O15" s="29">
        <f t="shared" si="13"/>
        <v>6.0863122462037547</v>
      </c>
      <c r="P15" s="29">
        <f t="shared" si="13"/>
        <v>5.6731914853244509</v>
      </c>
      <c r="Q15" s="29">
        <f t="shared" si="13"/>
        <v>6.8672670679974228</v>
      </c>
      <c r="R15" s="29">
        <f t="shared" si="13"/>
        <v>7.0703206170816832</v>
      </c>
      <c r="S15" s="29">
        <f t="shared" si="13"/>
        <v>11.010585725424779</v>
      </c>
      <c r="T15" s="29">
        <f t="shared" si="13"/>
        <v>7.9908557092956993</v>
      </c>
      <c r="U15" s="29">
        <f t="shared" si="13"/>
        <v>7.9398871265211897</v>
      </c>
      <c r="V15" s="29">
        <f t="shared" si="13"/>
        <v>6.0713549859220901</v>
      </c>
      <c r="W15" s="29">
        <f t="shared" ref="W15:Y15" si="14">SUM(W16,W17,W20)</f>
        <v>9.8984687268616796</v>
      </c>
      <c r="X15" s="29">
        <f t="shared" si="14"/>
        <v>8.1260396502797541</v>
      </c>
      <c r="Y15" s="29">
        <f t="shared" si="14"/>
        <v>9.9500553943394614</v>
      </c>
      <c r="DA15" s="173" t="s">
        <v>1036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X16" s="115">
        <v>0</v>
      </c>
      <c r="Y16" s="115">
        <v>0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5.0065979939136511</v>
      </c>
      <c r="C17" s="116">
        <f t="shared" ref="C17:V17" si="16">SUM(C18:C19)</f>
        <v>5.2218196068414811</v>
      </c>
      <c r="D17" s="116">
        <f t="shared" si="16"/>
        <v>5.5746667687112117</v>
      </c>
      <c r="E17" s="116">
        <f t="shared" si="16"/>
        <v>6.2578153821849458</v>
      </c>
      <c r="F17" s="116">
        <f t="shared" si="16"/>
        <v>6.8305814132068061</v>
      </c>
      <c r="G17" s="116">
        <f t="shared" si="16"/>
        <v>7.2716275551463196</v>
      </c>
      <c r="H17" s="116">
        <f t="shared" si="16"/>
        <v>7.4599718082661841</v>
      </c>
      <c r="I17" s="116">
        <f t="shared" si="16"/>
        <v>7.6873701965920898</v>
      </c>
      <c r="J17" s="116">
        <f t="shared" si="16"/>
        <v>7.6506267016597862</v>
      </c>
      <c r="K17" s="116">
        <f t="shared" si="16"/>
        <v>6.9318753625998806</v>
      </c>
      <c r="L17" s="116">
        <f t="shared" si="16"/>
        <v>6.905781127126934</v>
      </c>
      <c r="M17" s="116">
        <f t="shared" si="16"/>
        <v>6.2211738962025915</v>
      </c>
      <c r="N17" s="116">
        <f t="shared" si="16"/>
        <v>6.5439853473476752</v>
      </c>
      <c r="O17" s="116">
        <f t="shared" si="16"/>
        <v>6.0329372462037547</v>
      </c>
      <c r="P17" s="116">
        <f t="shared" si="16"/>
        <v>5.6352914853244513</v>
      </c>
      <c r="Q17" s="116">
        <f t="shared" si="16"/>
        <v>6.839074760305115</v>
      </c>
      <c r="R17" s="116">
        <f t="shared" si="16"/>
        <v>7.0508806170816829</v>
      </c>
      <c r="S17" s="116">
        <f t="shared" si="16"/>
        <v>11.003185725424778</v>
      </c>
      <c r="T17" s="116">
        <f t="shared" si="16"/>
        <v>7.9822799517199421</v>
      </c>
      <c r="U17" s="116">
        <f t="shared" si="16"/>
        <v>7.9317483422594002</v>
      </c>
      <c r="V17" s="116">
        <f t="shared" si="16"/>
        <v>6.066361143724194</v>
      </c>
      <c r="W17" s="116">
        <f t="shared" ref="W17:Y17" si="17">SUM(W18:W19)</f>
        <v>9.7197325235915137</v>
      </c>
      <c r="X17" s="116">
        <f t="shared" si="17"/>
        <v>7.9300373608899104</v>
      </c>
      <c r="Y17" s="116">
        <f t="shared" si="17"/>
        <v>9.5222057648945544</v>
      </c>
      <c r="DA17" s="176" t="s">
        <v>1038</v>
      </c>
    </row>
    <row r="18" spans="1:105" ht="11.45" customHeight="1" x14ac:dyDescent="0.25">
      <c r="A18" s="111" t="s">
        <v>92</v>
      </c>
      <c r="B18" s="87">
        <v>2.155593444062331</v>
      </c>
      <c r="C18" s="87">
        <v>2.1633411410810925</v>
      </c>
      <c r="D18" s="87">
        <v>2.2428119207375814</v>
      </c>
      <c r="E18" s="87">
        <v>2.4644510083179547</v>
      </c>
      <c r="F18" s="87">
        <v>2.3346417888826423</v>
      </c>
      <c r="G18" s="87">
        <v>2.2764746418451134</v>
      </c>
      <c r="H18" s="87">
        <v>2.3364205183601503</v>
      </c>
      <c r="I18" s="87">
        <v>2.4258639674044256</v>
      </c>
      <c r="J18" s="87">
        <v>2.2698508078979751</v>
      </c>
      <c r="K18" s="87">
        <v>2.1964676464709387</v>
      </c>
      <c r="L18" s="87">
        <v>2.0103507258201718</v>
      </c>
      <c r="M18" s="87">
        <v>2.1496093805646805</v>
      </c>
      <c r="N18" s="87">
        <v>1.9652239407928707</v>
      </c>
      <c r="O18" s="87">
        <v>2.2391411741896396</v>
      </c>
      <c r="P18" s="87">
        <v>2.492156263938929</v>
      </c>
      <c r="Q18" s="87">
        <v>2.8165029966980426</v>
      </c>
      <c r="R18" s="87">
        <v>2.5465451935457164</v>
      </c>
      <c r="S18" s="87">
        <v>2.5795634232306379</v>
      </c>
      <c r="T18" s="87">
        <v>2.4513712140507558</v>
      </c>
      <c r="U18" s="87">
        <v>2.2192993205623082</v>
      </c>
      <c r="V18" s="87">
        <v>0.75167284086532815</v>
      </c>
      <c r="W18" s="87">
        <v>1.0284103420084338</v>
      </c>
      <c r="X18" s="87">
        <v>0.87181979641249974</v>
      </c>
      <c r="Y18" s="87">
        <v>1.5041419444756257</v>
      </c>
      <c r="DA18" s="171" t="s">
        <v>1039</v>
      </c>
    </row>
    <row r="19" spans="1:105" ht="11.45" customHeight="1" x14ac:dyDescent="0.25">
      <c r="A19" s="111" t="s">
        <v>93</v>
      </c>
      <c r="B19" s="87">
        <v>2.8510045498513201</v>
      </c>
      <c r="C19" s="87">
        <v>3.0584784657603885</v>
      </c>
      <c r="D19" s="87">
        <v>3.3318548479736303</v>
      </c>
      <c r="E19" s="87">
        <v>3.7933643738669915</v>
      </c>
      <c r="F19" s="87">
        <v>4.4959396243241638</v>
      </c>
      <c r="G19" s="87">
        <v>4.9951529133012063</v>
      </c>
      <c r="H19" s="87">
        <v>5.1235512899060343</v>
      </c>
      <c r="I19" s="87">
        <v>5.2615062291876642</v>
      </c>
      <c r="J19" s="87">
        <v>5.3807758937618111</v>
      </c>
      <c r="K19" s="87">
        <v>4.7354077161289414</v>
      </c>
      <c r="L19" s="87">
        <v>4.8954304013067622</v>
      </c>
      <c r="M19" s="87">
        <v>4.0715645156379114</v>
      </c>
      <c r="N19" s="87">
        <v>4.5787614065548041</v>
      </c>
      <c r="O19" s="87">
        <v>3.7937960720141151</v>
      </c>
      <c r="P19" s="87">
        <v>3.1431352213855224</v>
      </c>
      <c r="Q19" s="87">
        <v>4.0225717636070719</v>
      </c>
      <c r="R19" s="87">
        <v>4.5043354235359665</v>
      </c>
      <c r="S19" s="87">
        <v>8.4236223021941399</v>
      </c>
      <c r="T19" s="87">
        <v>5.5309087376691863</v>
      </c>
      <c r="U19" s="87">
        <v>5.7124490216970916</v>
      </c>
      <c r="V19" s="87">
        <v>5.3146883028588654</v>
      </c>
      <c r="W19" s="87">
        <v>8.6913221815830806</v>
      </c>
      <c r="X19" s="87">
        <v>7.0582175644774106</v>
      </c>
      <c r="Y19" s="87">
        <v>8.018063820418929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7.0666666666666669E-2</v>
      </c>
      <c r="K20" s="117">
        <v>7.5058823529411775E-2</v>
      </c>
      <c r="L20" s="117">
        <v>7.1555555555555553E-2</v>
      </c>
      <c r="M20" s="117">
        <v>6.2E-2</v>
      </c>
      <c r="N20" s="117">
        <v>5.790909090909091E-2</v>
      </c>
      <c r="O20" s="117">
        <v>5.3374999999999999E-2</v>
      </c>
      <c r="P20" s="117">
        <v>3.7899999999999996E-2</v>
      </c>
      <c r="Q20" s="117">
        <v>2.819230769230769E-2</v>
      </c>
      <c r="R20" s="117">
        <v>1.9439999999999999E-2</v>
      </c>
      <c r="S20" s="117">
        <v>7.3999999999999995E-3</v>
      </c>
      <c r="T20" s="117">
        <v>8.5757575757575751E-3</v>
      </c>
      <c r="U20" s="117">
        <v>8.1387842617894335E-3</v>
      </c>
      <c r="V20" s="117">
        <v>4.9938421978958361E-3</v>
      </c>
      <c r="W20" s="117">
        <v>0.1787362032701654</v>
      </c>
      <c r="X20" s="117">
        <v>0.19600228938984343</v>
      </c>
      <c r="Y20" s="117">
        <v>0.42784962944490651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5.0273348129483386</v>
      </c>
      <c r="C21" s="29">
        <f t="shared" ref="C21:V21" si="19">SUM(C22:C23)</f>
        <v>5.5659055049480166</v>
      </c>
      <c r="D21" s="29">
        <f t="shared" si="19"/>
        <v>6.0031509950267026</v>
      </c>
      <c r="E21" s="29">
        <f t="shared" si="19"/>
        <v>5.9784612206115444</v>
      </c>
      <c r="F21" s="29">
        <f t="shared" si="19"/>
        <v>6.3275874079739838</v>
      </c>
      <c r="G21" s="29">
        <f t="shared" si="19"/>
        <v>6.5696914728237106</v>
      </c>
      <c r="H21" s="29">
        <f t="shared" si="19"/>
        <v>6.8746318090620919</v>
      </c>
      <c r="I21" s="29">
        <f t="shared" si="19"/>
        <v>7.1874731867878117</v>
      </c>
      <c r="J21" s="29">
        <f t="shared" si="19"/>
        <v>6.9380858453647338</v>
      </c>
      <c r="K21" s="29">
        <f t="shared" si="19"/>
        <v>5.2982171720020972</v>
      </c>
      <c r="L21" s="29">
        <f t="shared" si="19"/>
        <v>6.4445971692032975</v>
      </c>
      <c r="M21" s="29">
        <f t="shared" si="19"/>
        <v>7.1699776737026237</v>
      </c>
      <c r="N21" s="29">
        <f t="shared" si="19"/>
        <v>6.6221147507933651</v>
      </c>
      <c r="O21" s="29">
        <f t="shared" si="19"/>
        <v>7.3414958712388838</v>
      </c>
      <c r="P21" s="29">
        <f t="shared" si="19"/>
        <v>7.8875808057651371</v>
      </c>
      <c r="Q21" s="29">
        <f t="shared" si="19"/>
        <v>7.9226364985375177</v>
      </c>
      <c r="R21" s="29">
        <f t="shared" si="19"/>
        <v>8.3158175121713853</v>
      </c>
      <c r="S21" s="29">
        <f t="shared" si="19"/>
        <v>9.3246459213037802</v>
      </c>
      <c r="T21" s="29">
        <f t="shared" si="19"/>
        <v>11.795245619558568</v>
      </c>
      <c r="U21" s="29">
        <f t="shared" si="19"/>
        <v>11.34783458028723</v>
      </c>
      <c r="V21" s="29">
        <f t="shared" si="19"/>
        <v>10.411405493220236</v>
      </c>
      <c r="W21" s="29">
        <f t="shared" ref="W21:Y21" si="20">SUM(W22:W23)</f>
        <v>9.1257377208824817</v>
      </c>
      <c r="X21" s="29">
        <f t="shared" si="20"/>
        <v>11.769478060053787</v>
      </c>
      <c r="Y21" s="29">
        <f t="shared" si="20"/>
        <v>9.9512819904807834</v>
      </c>
      <c r="DA21" s="173" t="s">
        <v>1042</v>
      </c>
    </row>
    <row r="22" spans="1:105" ht="11.45" customHeight="1" x14ac:dyDescent="0.25">
      <c r="A22" s="83" t="s">
        <v>92</v>
      </c>
      <c r="B22" s="87">
        <v>1.0774869359665986</v>
      </c>
      <c r="C22" s="87">
        <v>1.1027996642170252</v>
      </c>
      <c r="D22" s="87">
        <v>1.2737379100771693</v>
      </c>
      <c r="E22" s="87">
        <v>1.199642250407404</v>
      </c>
      <c r="F22" s="87">
        <v>1.2934947411430571</v>
      </c>
      <c r="G22" s="87">
        <v>1.3410787717934882</v>
      </c>
      <c r="H22" s="87">
        <v>1.3275151989692597</v>
      </c>
      <c r="I22" s="87">
        <v>1.3243550297061673</v>
      </c>
      <c r="J22" s="87">
        <v>1.0280007256192003</v>
      </c>
      <c r="K22" s="87">
        <v>0.87964485382943525</v>
      </c>
      <c r="L22" s="87">
        <v>0.9904524343854223</v>
      </c>
      <c r="M22" s="87">
        <v>1.1902937168226104</v>
      </c>
      <c r="N22" s="87">
        <v>1.0775670198069278</v>
      </c>
      <c r="O22" s="87">
        <v>1.2168446667543218</v>
      </c>
      <c r="P22" s="87">
        <v>1.8310002972281849</v>
      </c>
      <c r="Q22" s="87">
        <v>1.5285712106378493</v>
      </c>
      <c r="R22" s="87">
        <v>1.2113708567500108</v>
      </c>
      <c r="S22" s="87">
        <v>1.0196800111785287</v>
      </c>
      <c r="T22" s="87">
        <v>0.88795862955144045</v>
      </c>
      <c r="U22" s="87">
        <v>0.76016252493466596</v>
      </c>
      <c r="V22" s="87">
        <v>0.93605165824615666</v>
      </c>
      <c r="W22" s="87">
        <v>1.0823021793503178</v>
      </c>
      <c r="X22" s="87">
        <v>1.1862235427384533</v>
      </c>
      <c r="Y22" s="87">
        <v>0.92790122723859003</v>
      </c>
      <c r="DA22" s="171" t="s">
        <v>1043</v>
      </c>
    </row>
    <row r="23" spans="1:105" ht="11.45" customHeight="1" x14ac:dyDescent="0.25">
      <c r="A23" s="85" t="s">
        <v>93</v>
      </c>
      <c r="B23" s="88">
        <v>3.9498478769817402</v>
      </c>
      <c r="C23" s="88">
        <v>4.4631058407309911</v>
      </c>
      <c r="D23" s="88">
        <v>4.7294130849495328</v>
      </c>
      <c r="E23" s="88">
        <v>4.7788189702041404</v>
      </c>
      <c r="F23" s="88">
        <v>5.0340926668309267</v>
      </c>
      <c r="G23" s="88">
        <v>5.2286127010302224</v>
      </c>
      <c r="H23" s="88">
        <v>5.5471166100928322</v>
      </c>
      <c r="I23" s="88">
        <v>5.8631181570816446</v>
      </c>
      <c r="J23" s="88">
        <v>5.9100851197455331</v>
      </c>
      <c r="K23" s="88">
        <v>4.4185723181726617</v>
      </c>
      <c r="L23" s="88">
        <v>5.4541447348178753</v>
      </c>
      <c r="M23" s="88">
        <v>5.9796839568800131</v>
      </c>
      <c r="N23" s="88">
        <v>5.5445477309864373</v>
      </c>
      <c r="O23" s="88">
        <v>6.1246512044845618</v>
      </c>
      <c r="P23" s="88">
        <v>6.0565805085369524</v>
      </c>
      <c r="Q23" s="88">
        <v>6.394065287899668</v>
      </c>
      <c r="R23" s="88">
        <v>7.1044466554213743</v>
      </c>
      <c r="S23" s="88">
        <v>8.3049659101252509</v>
      </c>
      <c r="T23" s="88">
        <v>10.907286990007128</v>
      </c>
      <c r="U23" s="88">
        <v>10.587672055352565</v>
      </c>
      <c r="V23" s="88">
        <v>9.4753538349740793</v>
      </c>
      <c r="W23" s="88">
        <v>8.0434355415321637</v>
      </c>
      <c r="X23" s="88">
        <v>10.583254517315334</v>
      </c>
      <c r="Y23" s="88">
        <v>9.0233807632421943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58.513994999999994</v>
      </c>
      <c r="C25" s="62">
        <f t="shared" ref="C25:V25" si="22">C26+C32</f>
        <v>62.641661000000006</v>
      </c>
      <c r="D25" s="62">
        <f t="shared" si="22"/>
        <v>67.180202000000008</v>
      </c>
      <c r="E25" s="62">
        <f t="shared" si="22"/>
        <v>71.611077000000009</v>
      </c>
      <c r="F25" s="62">
        <f t="shared" si="22"/>
        <v>77.175148000000007</v>
      </c>
      <c r="G25" s="62">
        <f t="shared" si="22"/>
        <v>81.325975999999997</v>
      </c>
      <c r="H25" s="62">
        <f t="shared" si="22"/>
        <v>84.106305999999989</v>
      </c>
      <c r="I25" s="62">
        <f t="shared" si="22"/>
        <v>87.186503000000016</v>
      </c>
      <c r="J25" s="62">
        <f t="shared" si="22"/>
        <v>86.79467600000001</v>
      </c>
      <c r="K25" s="62">
        <f t="shared" si="22"/>
        <v>81.900879000000003</v>
      </c>
      <c r="L25" s="62">
        <f t="shared" si="22"/>
        <v>78.481610999999987</v>
      </c>
      <c r="M25" s="62">
        <f t="shared" si="22"/>
        <v>81.082951000000008</v>
      </c>
      <c r="N25" s="62">
        <f t="shared" si="22"/>
        <v>77.129590000000007</v>
      </c>
      <c r="O25" s="62">
        <f t="shared" si="22"/>
        <v>80.42629500000001</v>
      </c>
      <c r="P25" s="62">
        <f t="shared" si="22"/>
        <v>82.942818000000003</v>
      </c>
      <c r="Q25" s="62">
        <f t="shared" si="22"/>
        <v>86.347217000000001</v>
      </c>
      <c r="R25" s="62">
        <f t="shared" si="22"/>
        <v>91.135075999999998</v>
      </c>
      <c r="S25" s="62">
        <f t="shared" si="22"/>
        <v>122.58497399999999</v>
      </c>
      <c r="T25" s="62">
        <f t="shared" si="22"/>
        <v>132.30255199999999</v>
      </c>
      <c r="U25" s="62">
        <f t="shared" si="22"/>
        <v>126.82800399999999</v>
      </c>
      <c r="V25" s="62">
        <f t="shared" si="22"/>
        <v>120.97660599999999</v>
      </c>
      <c r="W25" s="62">
        <f t="shared" ref="W25:Y25" si="23">W26+W32</f>
        <v>124.77065299999998</v>
      </c>
      <c r="X25" s="62">
        <f t="shared" si="23"/>
        <v>125.91865799999999</v>
      </c>
      <c r="Y25" s="62">
        <f t="shared" si="23"/>
        <v>121.452924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33.377319999999997</v>
      </c>
      <c r="C26" s="29">
        <f t="shared" ref="C26:V26" si="25">SUM(C27,C28,C31)</f>
        <v>34.812132000000005</v>
      </c>
      <c r="D26" s="29">
        <f t="shared" si="25"/>
        <v>37.164445999999998</v>
      </c>
      <c r="E26" s="29">
        <f t="shared" si="25"/>
        <v>41.718770000000006</v>
      </c>
      <c r="F26" s="29">
        <f t="shared" si="25"/>
        <v>45.537210000000002</v>
      </c>
      <c r="G26" s="29">
        <f t="shared" si="25"/>
        <v>48.477517999999989</v>
      </c>
      <c r="H26" s="29">
        <f t="shared" si="25"/>
        <v>49.733145999999991</v>
      </c>
      <c r="I26" s="29">
        <f t="shared" si="25"/>
        <v>51.249136000000007</v>
      </c>
      <c r="J26" s="29">
        <f t="shared" si="25"/>
        <v>51.161217000000001</v>
      </c>
      <c r="K26" s="29">
        <f t="shared" si="25"/>
        <v>48.781086999999999</v>
      </c>
      <c r="L26" s="29">
        <f t="shared" si="25"/>
        <v>46.205339999999993</v>
      </c>
      <c r="M26" s="29">
        <f t="shared" si="25"/>
        <v>45.233062000000004</v>
      </c>
      <c r="N26" s="29">
        <f t="shared" si="25"/>
        <v>43.793368000000001</v>
      </c>
      <c r="O26" s="29">
        <f t="shared" si="25"/>
        <v>43.718814000000002</v>
      </c>
      <c r="P26" s="29">
        <f t="shared" si="25"/>
        <v>43.504913000000002</v>
      </c>
      <c r="Q26" s="29">
        <f t="shared" si="25"/>
        <v>45.760631000000004</v>
      </c>
      <c r="R26" s="29">
        <f t="shared" si="25"/>
        <v>47.535325999999998</v>
      </c>
      <c r="S26" s="29">
        <f t="shared" si="25"/>
        <v>73.521371000000002</v>
      </c>
      <c r="T26" s="29">
        <f t="shared" si="25"/>
        <v>70.766086999999999</v>
      </c>
      <c r="U26" s="29">
        <f t="shared" si="25"/>
        <v>67.428355999999994</v>
      </c>
      <c r="V26" s="29">
        <f t="shared" si="25"/>
        <v>64.090624999999989</v>
      </c>
      <c r="W26" s="29">
        <f t="shared" ref="W26:Y26" si="26">SUM(W27,W28,W31)</f>
        <v>70.370628999999994</v>
      </c>
      <c r="X26" s="29">
        <f t="shared" si="26"/>
        <v>67.071267000000006</v>
      </c>
      <c r="Y26" s="29">
        <f t="shared" si="26"/>
        <v>65.119199999999992</v>
      </c>
      <c r="DA26" s="173" t="s">
        <v>1046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X27" s="115">
        <v>0</v>
      </c>
      <c r="Y27" s="115">
        <v>0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33.377319999999997</v>
      </c>
      <c r="C28" s="116">
        <f t="shared" ref="C28:V28" si="28">SUM(C29:C30)</f>
        <v>34.812132000000005</v>
      </c>
      <c r="D28" s="116">
        <f t="shared" si="28"/>
        <v>37.164445999999998</v>
      </c>
      <c r="E28" s="116">
        <f t="shared" si="28"/>
        <v>41.718770000000006</v>
      </c>
      <c r="F28" s="116">
        <f t="shared" si="28"/>
        <v>45.537210000000002</v>
      </c>
      <c r="G28" s="116">
        <f t="shared" si="28"/>
        <v>48.477517999999989</v>
      </c>
      <c r="H28" s="116">
        <f t="shared" si="28"/>
        <v>49.733145999999991</v>
      </c>
      <c r="I28" s="116">
        <f t="shared" si="28"/>
        <v>51.249136000000007</v>
      </c>
      <c r="J28" s="116">
        <f t="shared" si="28"/>
        <v>51.004179000000001</v>
      </c>
      <c r="K28" s="116">
        <f t="shared" si="28"/>
        <v>48.614288999999999</v>
      </c>
      <c r="L28" s="116">
        <f t="shared" si="28"/>
        <v>46.038541999999993</v>
      </c>
      <c r="M28" s="116">
        <f t="shared" si="28"/>
        <v>45.066264000000004</v>
      </c>
      <c r="N28" s="116">
        <f t="shared" si="28"/>
        <v>43.626570000000001</v>
      </c>
      <c r="O28" s="116">
        <f t="shared" si="28"/>
        <v>43.552016000000002</v>
      </c>
      <c r="P28" s="116">
        <f t="shared" si="28"/>
        <v>43.338115000000002</v>
      </c>
      <c r="Q28" s="116">
        <f t="shared" si="28"/>
        <v>45.593833000000004</v>
      </c>
      <c r="R28" s="116">
        <f t="shared" si="28"/>
        <v>47.368527999999998</v>
      </c>
      <c r="S28" s="116">
        <f t="shared" si="28"/>
        <v>73.354573000000002</v>
      </c>
      <c r="T28" s="116">
        <f t="shared" si="28"/>
        <v>70.599288999999999</v>
      </c>
      <c r="U28" s="116">
        <f t="shared" si="28"/>
        <v>67.261557999999994</v>
      </c>
      <c r="V28" s="116">
        <f t="shared" si="28"/>
        <v>63.923826999999996</v>
      </c>
      <c r="W28" s="116">
        <f t="shared" ref="W28:Y28" si="29">SUM(W29:W30)</f>
        <v>69.97343699999999</v>
      </c>
      <c r="X28" s="116">
        <f t="shared" si="29"/>
        <v>66.635705999999999</v>
      </c>
      <c r="Y28" s="116">
        <f t="shared" si="29"/>
        <v>64.16842299999999</v>
      </c>
      <c r="DA28" s="176" t="s">
        <v>1048</v>
      </c>
    </row>
    <row r="29" spans="1:105" ht="11.45" customHeight="1" x14ac:dyDescent="0.25">
      <c r="A29" s="111" t="s">
        <v>92</v>
      </c>
      <c r="B29" s="87">
        <v>14.370622999999998</v>
      </c>
      <c r="C29" s="87">
        <v>14.422274999999999</v>
      </c>
      <c r="D29" s="87">
        <v>14.952079999999999</v>
      </c>
      <c r="E29" s="87">
        <v>16.429674000000002</v>
      </c>
      <c r="F29" s="87">
        <v>15.564278999999999</v>
      </c>
      <c r="G29" s="87">
        <v>15.176497999999999</v>
      </c>
      <c r="H29" s="87">
        <v>15.576136999999999</v>
      </c>
      <c r="I29" s="87">
        <v>16.172427000000003</v>
      </c>
      <c r="J29" s="87">
        <v>15.132339</v>
      </c>
      <c r="K29" s="87">
        <v>14.643117999999999</v>
      </c>
      <c r="L29" s="87">
        <v>13.402339</v>
      </c>
      <c r="M29" s="87">
        <v>14.330729999999999</v>
      </c>
      <c r="N29" s="87">
        <v>13.101493</v>
      </c>
      <c r="O29" s="87">
        <v>14.927607999999999</v>
      </c>
      <c r="P29" s="87">
        <v>16.614376</v>
      </c>
      <c r="Q29" s="87">
        <v>18.776687000000003</v>
      </c>
      <c r="R29" s="87">
        <v>17.339625000000002</v>
      </c>
      <c r="S29" s="87">
        <v>17.197089999999999</v>
      </c>
      <c r="T29" s="87">
        <v>16.342475</v>
      </c>
      <c r="U29" s="87">
        <v>14.905412999999999</v>
      </c>
      <c r="V29" s="87">
        <v>13.468350999999998</v>
      </c>
      <c r="W29" s="87">
        <v>12.031288999999999</v>
      </c>
      <c r="X29" s="87">
        <v>10.594227</v>
      </c>
      <c r="Y29" s="87">
        <v>10.027612999999999</v>
      </c>
      <c r="DA29" s="171" t="s">
        <v>1049</v>
      </c>
    </row>
    <row r="30" spans="1:105" ht="11.45" customHeight="1" x14ac:dyDescent="0.25">
      <c r="A30" s="111" t="s">
        <v>93</v>
      </c>
      <c r="B30" s="87">
        <v>19.006697000000003</v>
      </c>
      <c r="C30" s="87">
        <v>20.389857000000003</v>
      </c>
      <c r="D30" s="87">
        <v>22.212365999999999</v>
      </c>
      <c r="E30" s="87">
        <v>25.289096000000001</v>
      </c>
      <c r="F30" s="87">
        <v>29.972931000000003</v>
      </c>
      <c r="G30" s="87">
        <v>33.301019999999994</v>
      </c>
      <c r="H30" s="87">
        <v>34.157008999999995</v>
      </c>
      <c r="I30" s="87">
        <v>35.076709000000001</v>
      </c>
      <c r="J30" s="87">
        <v>35.871839999999999</v>
      </c>
      <c r="K30" s="87">
        <v>33.971170999999998</v>
      </c>
      <c r="L30" s="87">
        <v>32.636202999999995</v>
      </c>
      <c r="M30" s="87">
        <v>30.735534000000001</v>
      </c>
      <c r="N30" s="87">
        <v>30.525077</v>
      </c>
      <c r="O30" s="87">
        <v>28.624408000000003</v>
      </c>
      <c r="P30" s="87">
        <v>26.723739000000002</v>
      </c>
      <c r="Q30" s="87">
        <v>26.817146000000001</v>
      </c>
      <c r="R30" s="87">
        <v>30.028903</v>
      </c>
      <c r="S30" s="87">
        <v>56.157482999999999</v>
      </c>
      <c r="T30" s="87">
        <v>54.256813999999999</v>
      </c>
      <c r="U30" s="87">
        <v>52.356144999999998</v>
      </c>
      <c r="V30" s="87">
        <v>50.455475999999997</v>
      </c>
      <c r="W30" s="87">
        <v>57.942147999999996</v>
      </c>
      <c r="X30" s="87">
        <v>56.041478999999995</v>
      </c>
      <c r="Y30" s="87">
        <v>54.140809999999995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0.15703800000000001</v>
      </c>
      <c r="K31" s="117">
        <v>0.166798</v>
      </c>
      <c r="L31" s="117">
        <v>0.166798</v>
      </c>
      <c r="M31" s="117">
        <v>0.166798</v>
      </c>
      <c r="N31" s="117">
        <v>0.166798</v>
      </c>
      <c r="O31" s="117">
        <v>0.166798</v>
      </c>
      <c r="P31" s="117">
        <v>0.166798</v>
      </c>
      <c r="Q31" s="117">
        <v>0.166798</v>
      </c>
      <c r="R31" s="117">
        <v>0.166798</v>
      </c>
      <c r="S31" s="117">
        <v>0.166798</v>
      </c>
      <c r="T31" s="117">
        <v>0.166798</v>
      </c>
      <c r="U31" s="117">
        <v>0.166798</v>
      </c>
      <c r="V31" s="117">
        <v>0.166798</v>
      </c>
      <c r="W31" s="117">
        <v>0.39719199999999999</v>
      </c>
      <c r="X31" s="117">
        <v>0.43556099999999998</v>
      </c>
      <c r="Y31" s="117">
        <v>0.95077699999999998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25.136675</v>
      </c>
      <c r="C32" s="29">
        <f t="shared" ref="C32:V32" si="31">SUM(C33:C34)</f>
        <v>27.829529000000001</v>
      </c>
      <c r="D32" s="29">
        <f t="shared" si="31"/>
        <v>30.015756000000003</v>
      </c>
      <c r="E32" s="29">
        <f t="shared" si="31"/>
        <v>29.892307000000002</v>
      </c>
      <c r="F32" s="29">
        <f t="shared" si="31"/>
        <v>31.637938000000002</v>
      </c>
      <c r="G32" s="29">
        <f t="shared" si="31"/>
        <v>32.848458000000001</v>
      </c>
      <c r="H32" s="29">
        <f t="shared" si="31"/>
        <v>34.373159999999999</v>
      </c>
      <c r="I32" s="29">
        <f t="shared" si="31"/>
        <v>35.937367000000002</v>
      </c>
      <c r="J32" s="29">
        <f t="shared" si="31"/>
        <v>35.633459000000002</v>
      </c>
      <c r="K32" s="29">
        <f t="shared" si="31"/>
        <v>33.119792000000004</v>
      </c>
      <c r="L32" s="29">
        <f t="shared" si="31"/>
        <v>32.276271000000001</v>
      </c>
      <c r="M32" s="29">
        <f t="shared" si="31"/>
        <v>35.849889000000005</v>
      </c>
      <c r="N32" s="29">
        <f t="shared" si="31"/>
        <v>33.336221999999999</v>
      </c>
      <c r="O32" s="29">
        <f t="shared" si="31"/>
        <v>36.707481000000001</v>
      </c>
      <c r="P32" s="29">
        <f t="shared" si="31"/>
        <v>39.437905000000001</v>
      </c>
      <c r="Q32" s="29">
        <f t="shared" si="31"/>
        <v>40.586585999999997</v>
      </c>
      <c r="R32" s="29">
        <f t="shared" si="31"/>
        <v>43.59975</v>
      </c>
      <c r="S32" s="29">
        <f t="shared" si="31"/>
        <v>49.063602999999993</v>
      </c>
      <c r="T32" s="29">
        <f t="shared" si="31"/>
        <v>61.536465</v>
      </c>
      <c r="U32" s="29">
        <f t="shared" si="31"/>
        <v>59.399647999999999</v>
      </c>
      <c r="V32" s="29">
        <f t="shared" si="31"/>
        <v>56.885981000000001</v>
      </c>
      <c r="W32" s="29">
        <f t="shared" ref="W32:Y32" si="32">SUM(W33:W34)</f>
        <v>54.400023999999995</v>
      </c>
      <c r="X32" s="29">
        <f t="shared" si="32"/>
        <v>58.847390999999995</v>
      </c>
      <c r="Y32" s="29">
        <f t="shared" si="32"/>
        <v>56.333724000000004</v>
      </c>
      <c r="DA32" s="173" t="s">
        <v>1052</v>
      </c>
    </row>
    <row r="33" spans="1:105" ht="11.45" customHeight="1" x14ac:dyDescent="0.25">
      <c r="A33" s="83" t="s">
        <v>92</v>
      </c>
      <c r="B33" s="87">
        <v>5.387435</v>
      </c>
      <c r="C33" s="87">
        <v>5.5139990000000001</v>
      </c>
      <c r="D33" s="87">
        <v>6.36869</v>
      </c>
      <c r="E33" s="87">
        <v>5.9982120000000005</v>
      </c>
      <c r="F33" s="87">
        <v>6.4674740000000002</v>
      </c>
      <c r="G33" s="87">
        <v>6.7053940000000001</v>
      </c>
      <c r="H33" s="87">
        <v>6.6375760000000001</v>
      </c>
      <c r="I33" s="87">
        <v>6.6217760000000006</v>
      </c>
      <c r="J33" s="87">
        <v>6.0830330000000004</v>
      </c>
      <c r="K33" s="87">
        <v>5.5442900000000002</v>
      </c>
      <c r="L33" s="87">
        <v>5.005547</v>
      </c>
      <c r="M33" s="87">
        <v>5.9514690000000003</v>
      </c>
      <c r="N33" s="87">
        <v>5.4127260000000001</v>
      </c>
      <c r="O33" s="87">
        <v>6.0842239999999999</v>
      </c>
      <c r="P33" s="87">
        <v>9.1550019999999996</v>
      </c>
      <c r="Q33" s="87">
        <v>8.6162589999999994</v>
      </c>
      <c r="R33" s="87">
        <v>8.0775159999999993</v>
      </c>
      <c r="S33" s="87">
        <v>7.5387729999999999</v>
      </c>
      <c r="T33" s="87">
        <v>7.0000299999999998</v>
      </c>
      <c r="U33" s="87">
        <v>6.4612870000000004</v>
      </c>
      <c r="V33" s="87">
        <v>5.9225440000000003</v>
      </c>
      <c r="W33" s="87">
        <v>5.411511</v>
      </c>
      <c r="X33" s="87">
        <v>5.9311180000000006</v>
      </c>
      <c r="Y33" s="87">
        <v>5.3923750000000004</v>
      </c>
      <c r="DA33" s="171" t="s">
        <v>1053</v>
      </c>
    </row>
    <row r="34" spans="1:105" ht="11.45" customHeight="1" x14ac:dyDescent="0.25">
      <c r="A34" s="85" t="s">
        <v>93</v>
      </c>
      <c r="B34" s="88">
        <v>19.74924</v>
      </c>
      <c r="C34" s="88">
        <v>22.315530000000003</v>
      </c>
      <c r="D34" s="88">
        <v>23.647066000000002</v>
      </c>
      <c r="E34" s="88">
        <v>23.894095</v>
      </c>
      <c r="F34" s="88">
        <v>25.170464000000003</v>
      </c>
      <c r="G34" s="88">
        <v>26.143064000000003</v>
      </c>
      <c r="H34" s="88">
        <v>27.735583999999999</v>
      </c>
      <c r="I34" s="88">
        <v>29.315591000000001</v>
      </c>
      <c r="J34" s="88">
        <v>29.550426000000002</v>
      </c>
      <c r="K34" s="88">
        <v>27.575502</v>
      </c>
      <c r="L34" s="88">
        <v>27.270724000000001</v>
      </c>
      <c r="M34" s="88">
        <v>29.898420000000002</v>
      </c>
      <c r="N34" s="88">
        <v>27.923496</v>
      </c>
      <c r="O34" s="88">
        <v>30.623257000000002</v>
      </c>
      <c r="P34" s="88">
        <v>30.282903000000001</v>
      </c>
      <c r="Q34" s="88">
        <v>31.970327000000001</v>
      </c>
      <c r="R34" s="88">
        <v>35.522233999999997</v>
      </c>
      <c r="S34" s="88">
        <v>41.524829999999994</v>
      </c>
      <c r="T34" s="88">
        <v>54.536434999999997</v>
      </c>
      <c r="U34" s="88">
        <v>52.938361</v>
      </c>
      <c r="V34" s="88">
        <v>50.963436999999999</v>
      </c>
      <c r="W34" s="88">
        <v>48.988512999999998</v>
      </c>
      <c r="X34" s="88">
        <v>52.916272999999997</v>
      </c>
      <c r="Y34" s="88">
        <v>50.941349000000002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6.1553880000000012</v>
      </c>
      <c r="D36" s="54">
        <f t="shared" ref="D36:V36" si="34">D37+D43</f>
        <v>6.566262999999994</v>
      </c>
      <c r="E36" s="54">
        <f t="shared" si="34"/>
        <v>6.6085150000000006</v>
      </c>
      <c r="F36" s="54">
        <f t="shared" si="34"/>
        <v>7.9764450000000018</v>
      </c>
      <c r="G36" s="54">
        <f t="shared" si="34"/>
        <v>6.1785499999999924</v>
      </c>
      <c r="H36" s="54">
        <f t="shared" si="34"/>
        <v>4.808052</v>
      </c>
      <c r="I36" s="54">
        <f t="shared" si="34"/>
        <v>5.1079190000000132</v>
      </c>
      <c r="J36" s="54">
        <f t="shared" si="34"/>
        <v>2.5134229999999995</v>
      </c>
      <c r="K36" s="54">
        <f t="shared" si="34"/>
        <v>9.7599999999999909E-3</v>
      </c>
      <c r="L36" s="54">
        <f t="shared" si="34"/>
        <v>0.43907300000000049</v>
      </c>
      <c r="M36" s="54">
        <f t="shared" si="34"/>
        <v>5.9471629999999998</v>
      </c>
      <c r="N36" s="54">
        <f t="shared" si="34"/>
        <v>0.37211099999999675</v>
      </c>
      <c r="O36" s="54">
        <f t="shared" si="34"/>
        <v>6.6425280000000013</v>
      </c>
      <c r="P36" s="54">
        <f t="shared" si="34"/>
        <v>5.8623459999999996</v>
      </c>
      <c r="Q36" s="54">
        <f t="shared" si="34"/>
        <v>5.7503040000000034</v>
      </c>
      <c r="R36" s="54">
        <f t="shared" si="34"/>
        <v>8.0900829999999928</v>
      </c>
      <c r="S36" s="54">
        <f t="shared" si="34"/>
        <v>33.795802999999992</v>
      </c>
      <c r="T36" s="54">
        <f t="shared" si="34"/>
        <v>13.755456000000002</v>
      </c>
      <c r="U36" s="54">
        <f t="shared" si="34"/>
        <v>0</v>
      </c>
      <c r="V36" s="54">
        <f t="shared" si="34"/>
        <v>0</v>
      </c>
      <c r="W36" s="54">
        <f t="shared" ref="W36:Y36" si="35">W37+W43</f>
        <v>8.2996340000000011</v>
      </c>
      <c r="X36" s="54">
        <f t="shared" si="35"/>
        <v>5.4501469999999994</v>
      </c>
      <c r="Y36" s="54">
        <f t="shared" si="35"/>
        <v>0.51521600000000001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2.4981229999999996</v>
      </c>
      <c r="D37" s="28">
        <f t="shared" ref="D37:V37" si="37">SUM(D38,D39,D42)</f>
        <v>3.415624999999995</v>
      </c>
      <c r="E37" s="28">
        <f t="shared" si="37"/>
        <v>5.6176350000000035</v>
      </c>
      <c r="F37" s="28">
        <f t="shared" si="37"/>
        <v>5.2664030000000004</v>
      </c>
      <c r="G37" s="28">
        <f t="shared" si="37"/>
        <v>4.0036189999999934</v>
      </c>
      <c r="H37" s="28">
        <f t="shared" si="37"/>
        <v>2.3189390000000039</v>
      </c>
      <c r="I37" s="28">
        <f t="shared" si="37"/>
        <v>2.5793010000000116</v>
      </c>
      <c r="J37" s="28">
        <f t="shared" si="37"/>
        <v>1.5347369999999998</v>
      </c>
      <c r="K37" s="28">
        <f t="shared" si="37"/>
        <v>9.7599999999999909E-3</v>
      </c>
      <c r="L37" s="28">
        <f t="shared" si="37"/>
        <v>0</v>
      </c>
      <c r="M37" s="28">
        <f t="shared" si="37"/>
        <v>1.4091339999999999</v>
      </c>
      <c r="N37" s="28">
        <f t="shared" si="37"/>
        <v>0.37211099999999675</v>
      </c>
      <c r="O37" s="28">
        <f t="shared" si="37"/>
        <v>2.3068580000000001</v>
      </c>
      <c r="P37" s="28">
        <f t="shared" si="37"/>
        <v>2.1675110000000011</v>
      </c>
      <c r="Q37" s="28">
        <f t="shared" si="37"/>
        <v>3.3190290000000005</v>
      </c>
      <c r="R37" s="28">
        <f t="shared" si="37"/>
        <v>3.7943249999999971</v>
      </c>
      <c r="S37" s="28">
        <f t="shared" si="37"/>
        <v>27.049356</v>
      </c>
      <c r="T37" s="28">
        <f t="shared" si="37"/>
        <v>0</v>
      </c>
      <c r="U37" s="28">
        <f t="shared" si="37"/>
        <v>0</v>
      </c>
      <c r="V37" s="28">
        <f t="shared" si="37"/>
        <v>0</v>
      </c>
      <c r="W37" s="28">
        <f t="shared" ref="W37:Y37" si="38">SUM(W38,W39,W42)</f>
        <v>8.2996340000000011</v>
      </c>
      <c r="X37" s="28">
        <f t="shared" si="38"/>
        <v>3.8368999999999986E-2</v>
      </c>
      <c r="Y37" s="28">
        <f t="shared" si="38"/>
        <v>0.51521600000000001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2.4981229999999996</v>
      </c>
      <c r="D39" s="110">
        <f t="shared" ref="D39:V39" si="40">SUM(D40:D41)</f>
        <v>3.415624999999995</v>
      </c>
      <c r="E39" s="110">
        <f t="shared" si="40"/>
        <v>5.6176350000000035</v>
      </c>
      <c r="F39" s="110">
        <f t="shared" si="40"/>
        <v>5.2664030000000004</v>
      </c>
      <c r="G39" s="110">
        <f t="shared" si="40"/>
        <v>4.0036189999999934</v>
      </c>
      <c r="H39" s="110">
        <f t="shared" si="40"/>
        <v>2.3189390000000039</v>
      </c>
      <c r="I39" s="110">
        <f t="shared" si="40"/>
        <v>2.5793010000000116</v>
      </c>
      <c r="J39" s="110">
        <f t="shared" si="40"/>
        <v>1.3776989999999998</v>
      </c>
      <c r="K39" s="110">
        <f t="shared" si="40"/>
        <v>0</v>
      </c>
      <c r="L39" s="110">
        <f t="shared" si="40"/>
        <v>0</v>
      </c>
      <c r="M39" s="110">
        <f t="shared" si="40"/>
        <v>1.4091339999999999</v>
      </c>
      <c r="N39" s="110">
        <f t="shared" si="40"/>
        <v>0.37211099999999675</v>
      </c>
      <c r="O39" s="110">
        <f t="shared" si="40"/>
        <v>2.3068580000000001</v>
      </c>
      <c r="P39" s="110">
        <f t="shared" si="40"/>
        <v>2.1675110000000011</v>
      </c>
      <c r="Q39" s="110">
        <f t="shared" si="40"/>
        <v>3.3190290000000005</v>
      </c>
      <c r="R39" s="110">
        <f t="shared" si="40"/>
        <v>3.7943249999999971</v>
      </c>
      <c r="S39" s="110">
        <f t="shared" si="40"/>
        <v>27.049356</v>
      </c>
      <c r="T39" s="110">
        <f t="shared" si="40"/>
        <v>0</v>
      </c>
      <c r="U39" s="110">
        <f t="shared" si="40"/>
        <v>0</v>
      </c>
      <c r="V39" s="110">
        <f t="shared" si="40"/>
        <v>0</v>
      </c>
      <c r="W39" s="110">
        <f t="shared" ref="W39:Y39" si="41">SUM(W40:W41)</f>
        <v>8.0692400000000006</v>
      </c>
      <c r="X39" s="110">
        <f t="shared" si="41"/>
        <v>0</v>
      </c>
      <c r="Y39" s="110">
        <f t="shared" si="41"/>
        <v>0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0.53239500000000106</v>
      </c>
      <c r="D40" s="84">
        <v>1.010548</v>
      </c>
      <c r="E40" s="84">
        <v>1.9583370000000038</v>
      </c>
      <c r="F40" s="84">
        <v>0</v>
      </c>
      <c r="G40" s="84">
        <v>9.2961999999999989E-2</v>
      </c>
      <c r="H40" s="84">
        <v>0.88038200000000089</v>
      </c>
      <c r="I40" s="84">
        <v>1.0770330000000037</v>
      </c>
      <c r="J40" s="84">
        <v>0</v>
      </c>
      <c r="K40" s="84">
        <v>0</v>
      </c>
      <c r="L40" s="84">
        <v>0</v>
      </c>
      <c r="M40" s="84">
        <v>1.4091339999999999</v>
      </c>
      <c r="N40" s="84">
        <v>0</v>
      </c>
      <c r="O40" s="84">
        <v>2.3068580000000001</v>
      </c>
      <c r="P40" s="84">
        <v>2.1675110000000011</v>
      </c>
      <c r="Q40" s="84">
        <v>2.6430540000000029</v>
      </c>
      <c r="R40" s="84">
        <v>0</v>
      </c>
      <c r="S40" s="84">
        <v>0.33820799999999807</v>
      </c>
      <c r="T40" s="84">
        <v>0</v>
      </c>
      <c r="U40" s="84">
        <v>0</v>
      </c>
      <c r="V40" s="84">
        <v>0</v>
      </c>
      <c r="W40" s="84">
        <v>0</v>
      </c>
      <c r="X40" s="84">
        <v>0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1.9657279999999986</v>
      </c>
      <c r="D41" s="84">
        <v>2.405076999999995</v>
      </c>
      <c r="E41" s="84">
        <v>3.6592979999999997</v>
      </c>
      <c r="F41" s="84">
        <v>5.2664030000000004</v>
      </c>
      <c r="G41" s="84">
        <v>3.9106569999999934</v>
      </c>
      <c r="H41" s="84">
        <v>1.438557000000003</v>
      </c>
      <c r="I41" s="84">
        <v>1.5022680000000079</v>
      </c>
      <c r="J41" s="84">
        <v>1.3776989999999998</v>
      </c>
      <c r="K41" s="84">
        <v>0</v>
      </c>
      <c r="L41" s="84">
        <v>0</v>
      </c>
      <c r="M41" s="84">
        <v>0</v>
      </c>
      <c r="N41" s="84">
        <v>0.37211099999999675</v>
      </c>
      <c r="O41" s="84">
        <v>0</v>
      </c>
      <c r="P41" s="84">
        <v>0</v>
      </c>
      <c r="Q41" s="84">
        <v>0.67597499999999755</v>
      </c>
      <c r="R41" s="84">
        <v>3.7943249999999971</v>
      </c>
      <c r="S41" s="84">
        <v>26.711148000000001</v>
      </c>
      <c r="T41" s="84">
        <v>0</v>
      </c>
      <c r="U41" s="84">
        <v>0</v>
      </c>
      <c r="V41" s="84">
        <v>0</v>
      </c>
      <c r="W41" s="84">
        <v>8.0692400000000006</v>
      </c>
      <c r="X41" s="84">
        <v>0</v>
      </c>
      <c r="Y41" s="84">
        <v>0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0.15703800000000001</v>
      </c>
      <c r="K42" s="113">
        <v>9.7599999999999909E-3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0.23039399999999999</v>
      </c>
      <c r="X42" s="113">
        <v>3.8368999999999986E-2</v>
      </c>
      <c r="Y42" s="113">
        <v>0.51521600000000001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3.6572650000000015</v>
      </c>
      <c r="D43" s="28">
        <f t="shared" ref="D43:V43" si="43">SUM(D44:D45)</f>
        <v>3.1506379999999989</v>
      </c>
      <c r="E43" s="28">
        <f t="shared" si="43"/>
        <v>0.9908799999999971</v>
      </c>
      <c r="F43" s="28">
        <f t="shared" si="43"/>
        <v>2.7100420000000014</v>
      </c>
      <c r="G43" s="28">
        <f t="shared" si="43"/>
        <v>2.1749309999999991</v>
      </c>
      <c r="H43" s="28">
        <f t="shared" si="43"/>
        <v>2.4891129999999961</v>
      </c>
      <c r="I43" s="28">
        <f t="shared" si="43"/>
        <v>2.5286180000000016</v>
      </c>
      <c r="J43" s="28">
        <f t="shared" si="43"/>
        <v>0.97868599999999972</v>
      </c>
      <c r="K43" s="28">
        <f t="shared" si="43"/>
        <v>0</v>
      </c>
      <c r="L43" s="28">
        <f t="shared" si="43"/>
        <v>0.43907300000000049</v>
      </c>
      <c r="M43" s="28">
        <f t="shared" si="43"/>
        <v>4.5380289999999999</v>
      </c>
      <c r="N43" s="28">
        <f t="shared" si="43"/>
        <v>0</v>
      </c>
      <c r="O43" s="28">
        <f t="shared" si="43"/>
        <v>4.3356700000000012</v>
      </c>
      <c r="P43" s="28">
        <f t="shared" si="43"/>
        <v>3.6948349999999985</v>
      </c>
      <c r="Q43" s="28">
        <f t="shared" si="43"/>
        <v>2.431275000000003</v>
      </c>
      <c r="R43" s="28">
        <f t="shared" si="43"/>
        <v>4.2957579999999957</v>
      </c>
      <c r="S43" s="28">
        <f t="shared" si="43"/>
        <v>6.7464469999999963</v>
      </c>
      <c r="T43" s="28">
        <f t="shared" si="43"/>
        <v>13.755456000000002</v>
      </c>
      <c r="U43" s="28">
        <f t="shared" si="43"/>
        <v>0</v>
      </c>
      <c r="V43" s="28">
        <f t="shared" si="43"/>
        <v>0</v>
      </c>
      <c r="W43" s="28">
        <f t="shared" ref="W43:Y43" si="44">SUM(W44:W45)</f>
        <v>0</v>
      </c>
      <c r="X43" s="28">
        <f t="shared" si="44"/>
        <v>5.4117779999999991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0.34712399999999999</v>
      </c>
      <c r="D44" s="84">
        <v>1.0752509999999997</v>
      </c>
      <c r="E44" s="84">
        <v>0</v>
      </c>
      <c r="F44" s="84">
        <v>0.68982199999999949</v>
      </c>
      <c r="G44" s="84">
        <v>0.45847999999999978</v>
      </c>
      <c r="H44" s="84">
        <v>0.15274199999999993</v>
      </c>
      <c r="I44" s="84">
        <v>0.20476000000000028</v>
      </c>
      <c r="J44" s="84">
        <v>0</v>
      </c>
      <c r="K44" s="84">
        <v>0</v>
      </c>
      <c r="L44" s="84">
        <v>0</v>
      </c>
      <c r="M44" s="84">
        <v>1.1664820000000002</v>
      </c>
      <c r="N44" s="84">
        <v>0</v>
      </c>
      <c r="O44" s="84">
        <v>0.89205799999999957</v>
      </c>
      <c r="P44" s="84">
        <v>3.2913380000000005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X44" s="84">
        <v>0.74016700000000046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3.3101410000000016</v>
      </c>
      <c r="D45" s="86">
        <v>2.0753869999999992</v>
      </c>
      <c r="E45" s="86">
        <v>0.9908799999999971</v>
      </c>
      <c r="F45" s="86">
        <v>2.0202200000000019</v>
      </c>
      <c r="G45" s="86">
        <v>1.7164509999999993</v>
      </c>
      <c r="H45" s="86">
        <v>2.3363709999999962</v>
      </c>
      <c r="I45" s="86">
        <v>2.3238580000000013</v>
      </c>
      <c r="J45" s="86">
        <v>0.97868599999999972</v>
      </c>
      <c r="K45" s="86">
        <v>0</v>
      </c>
      <c r="L45" s="86">
        <v>0.43907300000000049</v>
      </c>
      <c r="M45" s="86">
        <v>3.3715469999999996</v>
      </c>
      <c r="N45" s="86">
        <v>0</v>
      </c>
      <c r="O45" s="86">
        <v>3.4436120000000017</v>
      </c>
      <c r="P45" s="86">
        <v>0.403496999999998</v>
      </c>
      <c r="Q45" s="86">
        <v>2.431275000000003</v>
      </c>
      <c r="R45" s="86">
        <v>4.2957579999999957</v>
      </c>
      <c r="S45" s="86">
        <v>6.7464469999999963</v>
      </c>
      <c r="T45" s="86">
        <v>13.755456000000002</v>
      </c>
      <c r="U45" s="86">
        <v>0</v>
      </c>
      <c r="V45" s="86">
        <v>0</v>
      </c>
      <c r="W45" s="86">
        <v>0</v>
      </c>
      <c r="X45" s="86">
        <v>4.6716109999999986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140.81418177713573</v>
      </c>
      <c r="C50" s="29">
        <f t="shared" si="45"/>
        <v>136.92545009851108</v>
      </c>
      <c r="D50" s="29">
        <f t="shared" si="45"/>
        <v>134.357806677144</v>
      </c>
      <c r="E50" s="29">
        <f t="shared" si="45"/>
        <v>124.16473682045678</v>
      </c>
      <c r="F50" s="29">
        <f t="shared" si="45"/>
        <v>101.74829314767115</v>
      </c>
      <c r="G50" s="29">
        <f t="shared" si="45"/>
        <v>98.464888990810351</v>
      </c>
      <c r="H50" s="29">
        <f t="shared" si="45"/>
        <v>97.051305099806953</v>
      </c>
      <c r="I50" s="29">
        <f t="shared" si="45"/>
        <v>96.261787981545567</v>
      </c>
      <c r="J50" s="29">
        <f t="shared" si="45"/>
        <v>99.076665463600875</v>
      </c>
      <c r="K50" s="29">
        <f t="shared" ref="K50:V50" si="46">IF(K4=0,0,K4/K15)</f>
        <v>110.31928935913321</v>
      </c>
      <c r="L50" s="29">
        <f t="shared" si="46"/>
        <v>104.48112699066867</v>
      </c>
      <c r="M50" s="29">
        <f t="shared" si="46"/>
        <v>109.65795494159664</v>
      </c>
      <c r="N50" s="29">
        <f t="shared" si="46"/>
        <v>99.819832952980292</v>
      </c>
      <c r="O50" s="29">
        <f t="shared" si="46"/>
        <v>111.5618082893325</v>
      </c>
      <c r="P50" s="29">
        <f t="shared" si="46"/>
        <v>109.28592867063117</v>
      </c>
      <c r="Q50" s="29">
        <f t="shared" si="46"/>
        <v>91.448314705362449</v>
      </c>
      <c r="R50" s="29">
        <f t="shared" si="46"/>
        <v>86.417580346192821</v>
      </c>
      <c r="S50" s="29">
        <f t="shared" si="46"/>
        <v>51.768363120210836</v>
      </c>
      <c r="T50" s="29">
        <f t="shared" si="46"/>
        <v>71.081248449931351</v>
      </c>
      <c r="U50" s="29">
        <f t="shared" si="46"/>
        <v>72.041326392333502</v>
      </c>
      <c r="V50" s="29">
        <f t="shared" si="46"/>
        <v>55.671262969095864</v>
      </c>
      <c r="W50" s="29">
        <f t="shared" ref="W50:Y50" si="47">IF(W4=0,0,W4/W15)</f>
        <v>50.916966442727123</v>
      </c>
      <c r="X50" s="29">
        <f t="shared" si="47"/>
        <v>79.374458870354474</v>
      </c>
      <c r="Y50" s="29">
        <f t="shared" si="47"/>
        <v>74.572449156626831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:Y51" si="50">IF(W5=0,0,W5/W16)</f>
        <v>0</v>
      </c>
      <c r="X51" s="115">
        <f t="shared" si="50"/>
        <v>0</v>
      </c>
      <c r="Y51" s="115">
        <f t="shared" si="50"/>
        <v>0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140.81418177713573</v>
      </c>
      <c r="C52" s="116">
        <f t="shared" si="51"/>
        <v>136.92545009851108</v>
      </c>
      <c r="D52" s="116">
        <f t="shared" si="51"/>
        <v>134.357806677144</v>
      </c>
      <c r="E52" s="116">
        <f t="shared" si="51"/>
        <v>124.16473682045678</v>
      </c>
      <c r="F52" s="116">
        <f t="shared" si="51"/>
        <v>101.74829314767115</v>
      </c>
      <c r="G52" s="116">
        <f t="shared" si="51"/>
        <v>98.464888990810351</v>
      </c>
      <c r="H52" s="116">
        <f t="shared" si="51"/>
        <v>97.051305099806953</v>
      </c>
      <c r="I52" s="116">
        <f t="shared" si="51"/>
        <v>96.261787981545567</v>
      </c>
      <c r="J52" s="116">
        <f t="shared" si="51"/>
        <v>98.161893042967606</v>
      </c>
      <c r="K52" s="116">
        <f t="shared" ref="K52:V52" si="52">IF(K6=0,0,K6/K17)</f>
        <v>109.20565653622461</v>
      </c>
      <c r="L52" s="116">
        <f t="shared" si="52"/>
        <v>103.37715413477191</v>
      </c>
      <c r="M52" s="116">
        <f t="shared" si="52"/>
        <v>108.60651241599648</v>
      </c>
      <c r="N52" s="116">
        <f t="shared" si="52"/>
        <v>98.887751981639511</v>
      </c>
      <c r="O52" s="116">
        <f t="shared" si="52"/>
        <v>110.7172133143453</v>
      </c>
      <c r="P52" s="116">
        <f t="shared" si="52"/>
        <v>108.65453927175993</v>
      </c>
      <c r="Q52" s="116">
        <f t="shared" si="52"/>
        <v>91.006462396418158</v>
      </c>
      <c r="R52" s="116">
        <f t="shared" si="52"/>
        <v>86.102720067224041</v>
      </c>
      <c r="S52" s="116">
        <f t="shared" si="52"/>
        <v>51.663219560719959</v>
      </c>
      <c r="T52" s="116">
        <f t="shared" si="52"/>
        <v>70.933367837844216</v>
      </c>
      <c r="U52" s="116">
        <f t="shared" si="52"/>
        <v>71.895876595292791</v>
      </c>
      <c r="V52" s="116">
        <f t="shared" si="52"/>
        <v>55.651154291935924</v>
      </c>
      <c r="W52" s="116">
        <f t="shared" ref="W52:Y52" si="53">IF(W6=0,0,W6/W17)</f>
        <v>49.075424538919819</v>
      </c>
      <c r="X52" s="116">
        <f t="shared" si="53"/>
        <v>76.442388908489733</v>
      </c>
      <c r="Y52" s="116">
        <f t="shared" si="53"/>
        <v>67.946441819739931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129.50376135546384</v>
      </c>
      <c r="C53" s="87">
        <f t="shared" si="54"/>
        <v>119.92353514343132</v>
      </c>
      <c r="D53" s="87">
        <f t="shared" si="54"/>
        <v>112.67945567310775</v>
      </c>
      <c r="E53" s="87">
        <f t="shared" si="54"/>
        <v>104.49810373803106</v>
      </c>
      <c r="F53" s="87">
        <f t="shared" si="54"/>
        <v>98.445676014879069</v>
      </c>
      <c r="G53" s="87">
        <f t="shared" si="54"/>
        <v>102.6663294513519</v>
      </c>
      <c r="H53" s="87">
        <f t="shared" si="54"/>
        <v>100.0903644010134</v>
      </c>
      <c r="I53" s="87">
        <f t="shared" si="54"/>
        <v>99.900165158959481</v>
      </c>
      <c r="J53" s="87">
        <f t="shared" si="54"/>
        <v>108.02657085716498</v>
      </c>
      <c r="K53" s="87">
        <f t="shared" ref="K53:V53" si="55">IF(K7=0,0,K7/K18)</f>
        <v>110.94729696539019</v>
      </c>
      <c r="L53" s="87">
        <f t="shared" si="55"/>
        <v>115.84036227254772</v>
      </c>
      <c r="M53" s="87">
        <f t="shared" si="55"/>
        <v>101.4585952881236</v>
      </c>
      <c r="N53" s="87">
        <f t="shared" si="55"/>
        <v>107.18990295251294</v>
      </c>
      <c r="O53" s="87">
        <f t="shared" si="55"/>
        <v>99.372309439677707</v>
      </c>
      <c r="P53" s="87">
        <f t="shared" si="55"/>
        <v>91.201003427567272</v>
      </c>
      <c r="Q53" s="87">
        <f t="shared" si="55"/>
        <v>80.191055483303074</v>
      </c>
      <c r="R53" s="87">
        <f t="shared" si="55"/>
        <v>79.621946039100223</v>
      </c>
      <c r="S53" s="87">
        <f t="shared" si="55"/>
        <v>75.090686102376495</v>
      </c>
      <c r="T53" s="87">
        <f t="shared" si="55"/>
        <v>79.23961480673951</v>
      </c>
      <c r="U53" s="87">
        <f t="shared" si="55"/>
        <v>82.430589459591147</v>
      </c>
      <c r="V53" s="87">
        <f t="shared" si="55"/>
        <v>65.777648332556822</v>
      </c>
      <c r="W53" s="87">
        <f t="shared" ref="W53:Y53" si="56">IF(W7=0,0,W7/W18)</f>
        <v>68.940273685371508</v>
      </c>
      <c r="X53" s="87">
        <f t="shared" si="56"/>
        <v>94.400553293445924</v>
      </c>
      <c r="Y53" s="87">
        <f t="shared" si="56"/>
        <v>83.990295372822075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149.36578795111259</v>
      </c>
      <c r="C54" s="87">
        <f t="shared" si="57"/>
        <v>148.95134549429298</v>
      </c>
      <c r="D54" s="87">
        <f t="shared" si="57"/>
        <v>148.95041838210949</v>
      </c>
      <c r="E54" s="87">
        <f t="shared" si="57"/>
        <v>136.94164116007209</v>
      </c>
      <c r="F54" s="87">
        <f t="shared" si="57"/>
        <v>103.46326901816121</v>
      </c>
      <c r="G54" s="87">
        <f t="shared" si="57"/>
        <v>96.550138264726186</v>
      </c>
      <c r="H54" s="87">
        <f t="shared" si="57"/>
        <v>95.665445935707069</v>
      </c>
      <c r="I54" s="87">
        <f t="shared" si="57"/>
        <v>94.584282014613024</v>
      </c>
      <c r="J54" s="87">
        <f t="shared" si="57"/>
        <v>94.000532795244141</v>
      </c>
      <c r="K54" s="87">
        <f t="shared" ref="K54:V54" si="58">IF(K8=0,0,K8/K19)</f>
        <v>108.39781546238883</v>
      </c>
      <c r="L54" s="87">
        <f t="shared" si="58"/>
        <v>98.259030196346131</v>
      </c>
      <c r="M54" s="87">
        <f t="shared" si="58"/>
        <v>112.38030247889743</v>
      </c>
      <c r="N54" s="87">
        <f t="shared" si="58"/>
        <v>95.324433346018893</v>
      </c>
      <c r="O54" s="87">
        <f t="shared" si="58"/>
        <v>117.41310336768323</v>
      </c>
      <c r="P54" s="87">
        <f t="shared" si="58"/>
        <v>122.49324986430439</v>
      </c>
      <c r="Q54" s="87">
        <f t="shared" si="58"/>
        <v>98.579136737964831</v>
      </c>
      <c r="R54" s="87">
        <f t="shared" si="58"/>
        <v>89.766653233821799</v>
      </c>
      <c r="S54" s="87">
        <f t="shared" si="58"/>
        <v>44.489033252048976</v>
      </c>
      <c r="T54" s="87">
        <f t="shared" si="58"/>
        <v>67.251930359465746</v>
      </c>
      <c r="U54" s="87">
        <f t="shared" si="58"/>
        <v>67.803116902688913</v>
      </c>
      <c r="V54" s="87">
        <f t="shared" si="58"/>
        <v>54.218932850195912</v>
      </c>
      <c r="W54" s="87">
        <f t="shared" ref="W54:Y54" si="59">IF(W8=0,0,W8/W19)</f>
        <v>46.724894219385938</v>
      </c>
      <c r="X54" s="87">
        <f t="shared" si="59"/>
        <v>74.224225034251901</v>
      </c>
      <c r="Y54" s="87">
        <f t="shared" si="59"/>
        <v>64.93670859477362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198.11320754716979</v>
      </c>
      <c r="K55" s="117">
        <f t="shared" ref="K55:V55" si="61">IF(K9=0,0,K9/K20)</f>
        <v>213.16614420062692</v>
      </c>
      <c r="L55" s="117">
        <f t="shared" si="61"/>
        <v>211.0248447204969</v>
      </c>
      <c r="M55" s="117">
        <f t="shared" si="61"/>
        <v>215.16129032258064</v>
      </c>
      <c r="N55" s="117">
        <f t="shared" si="61"/>
        <v>205.14913657770802</v>
      </c>
      <c r="O55" s="117">
        <f t="shared" si="61"/>
        <v>207.0257611241218</v>
      </c>
      <c r="P55" s="117">
        <f t="shared" si="61"/>
        <v>203.16622691292878</v>
      </c>
      <c r="Q55" s="117">
        <f t="shared" si="61"/>
        <v>198.63574351978173</v>
      </c>
      <c r="R55" s="117">
        <f t="shared" si="61"/>
        <v>200.61728395061729</v>
      </c>
      <c r="S55" s="117">
        <f t="shared" si="61"/>
        <v>208.10810810810813</v>
      </c>
      <c r="T55" s="117">
        <f t="shared" si="61"/>
        <v>208.72791519434631</v>
      </c>
      <c r="U55" s="117">
        <f t="shared" si="61"/>
        <v>213.79114423379923</v>
      </c>
      <c r="V55" s="117">
        <f t="shared" si="61"/>
        <v>80.098646322573174</v>
      </c>
      <c r="W55" s="117">
        <f t="shared" ref="W55:Y55" si="62">IF(W9=0,0,W9/W20)</f>
        <v>151.0606105870373</v>
      </c>
      <c r="X55" s="117">
        <f t="shared" si="62"/>
        <v>198.00278925727196</v>
      </c>
      <c r="Y55" s="117">
        <f t="shared" si="62"/>
        <v>222.04062703817999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568.29316254042749</v>
      </c>
      <c r="C56" s="29">
        <f t="shared" si="63"/>
        <v>509.71041414158833</v>
      </c>
      <c r="D56" s="29">
        <f t="shared" si="63"/>
        <v>512.7307313359205</v>
      </c>
      <c r="E56" s="29">
        <f t="shared" si="63"/>
        <v>504.8121730044918</v>
      </c>
      <c r="F56" s="29">
        <f t="shared" si="63"/>
        <v>497.66203087635756</v>
      </c>
      <c r="G56" s="29">
        <f t="shared" si="63"/>
        <v>493.93491512094869</v>
      </c>
      <c r="H56" s="29">
        <f t="shared" si="63"/>
        <v>490.64445830447744</v>
      </c>
      <c r="I56" s="29">
        <f t="shared" si="63"/>
        <v>501.28882659668523</v>
      </c>
      <c r="J56" s="29">
        <f t="shared" si="63"/>
        <v>507.34454407935539</v>
      </c>
      <c r="K56" s="29">
        <f t="shared" ref="K56:V56" si="64">IF(K10=0,0,K10/K21)</f>
        <v>531.68828467171124</v>
      </c>
      <c r="L56" s="29">
        <f t="shared" si="64"/>
        <v>530.83224756822392</v>
      </c>
      <c r="M56" s="29">
        <f t="shared" si="64"/>
        <v>523.29312178491659</v>
      </c>
      <c r="N56" s="29">
        <f t="shared" si="64"/>
        <v>524.0017925669855</v>
      </c>
      <c r="O56" s="29">
        <f t="shared" si="64"/>
        <v>517.46947306515551</v>
      </c>
      <c r="P56" s="29">
        <f t="shared" si="64"/>
        <v>521.07231624124177</v>
      </c>
      <c r="Q56" s="29">
        <f t="shared" si="64"/>
        <v>526.97104060885363</v>
      </c>
      <c r="R56" s="29">
        <f t="shared" si="64"/>
        <v>524.30202967038633</v>
      </c>
      <c r="S56" s="29">
        <f t="shared" si="64"/>
        <v>549.94045278268311</v>
      </c>
      <c r="T56" s="29">
        <f t="shared" si="64"/>
        <v>436.70137665117772</v>
      </c>
      <c r="U56" s="29">
        <f t="shared" si="64"/>
        <v>466.34447854861588</v>
      </c>
      <c r="V56" s="29">
        <f t="shared" si="64"/>
        <v>453.92526523700434</v>
      </c>
      <c r="W56" s="29">
        <f t="shared" ref="W56:Y56" si="65">IF(W10=0,0,W10/W21)</f>
        <v>540.99735835083584</v>
      </c>
      <c r="X56" s="29">
        <f t="shared" si="65"/>
        <v>418.71015646189824</v>
      </c>
      <c r="Y56" s="29">
        <f t="shared" si="65"/>
        <v>465.16619712194046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691.6718156381861</v>
      </c>
      <c r="C57" s="87">
        <f t="shared" si="66"/>
        <v>663.67474371797096</v>
      </c>
      <c r="D57" s="87">
        <f t="shared" si="66"/>
        <v>607.52700852112241</v>
      </c>
      <c r="E57" s="87">
        <f t="shared" si="66"/>
        <v>626.2239385505942</v>
      </c>
      <c r="F57" s="87">
        <f t="shared" si="66"/>
        <v>571.83688521387</v>
      </c>
      <c r="G57" s="87">
        <f t="shared" si="66"/>
        <v>585.01724127154534</v>
      </c>
      <c r="H57" s="87">
        <f t="shared" si="66"/>
        <v>602.84764837972477</v>
      </c>
      <c r="I57" s="87">
        <f t="shared" si="66"/>
        <v>613.55525484473787</v>
      </c>
      <c r="J57" s="87">
        <f t="shared" si="66"/>
        <v>743.34879254024759</v>
      </c>
      <c r="K57" s="87">
        <f t="shared" ref="K57:V57" si="67">IF(K11=0,0,K11/K22)</f>
        <v>745.69320560565052</v>
      </c>
      <c r="L57" s="87">
        <f t="shared" si="67"/>
        <v>751.60001125200745</v>
      </c>
      <c r="M57" s="87">
        <f t="shared" si="67"/>
        <v>652.7346250044161</v>
      </c>
      <c r="N57" s="87">
        <f t="shared" si="67"/>
        <v>637.05562284565872</v>
      </c>
      <c r="O57" s="87">
        <f t="shared" si="67"/>
        <v>643.95263447953528</v>
      </c>
      <c r="P57" s="87">
        <f t="shared" si="67"/>
        <v>647.65771998722153</v>
      </c>
      <c r="Q57" s="87">
        <f t="shared" si="67"/>
        <v>634.8661296171033</v>
      </c>
      <c r="R57" s="87">
        <f t="shared" si="67"/>
        <v>631.31147302811223</v>
      </c>
      <c r="S57" s="87">
        <f t="shared" si="67"/>
        <v>671.68091229895492</v>
      </c>
      <c r="T57" s="87">
        <f t="shared" si="67"/>
        <v>682.98848733653335</v>
      </c>
      <c r="U57" s="87">
        <f t="shared" si="67"/>
        <v>693.4572337787248</v>
      </c>
      <c r="V57" s="87">
        <f t="shared" si="67"/>
        <v>573.52192361481946</v>
      </c>
      <c r="W57" s="87">
        <f t="shared" ref="W57:Y57" si="68">IF(W11=0,0,W11/W22)</f>
        <v>504.44422581249142</v>
      </c>
      <c r="X57" s="87">
        <f t="shared" si="68"/>
        <v>507.04153450007419</v>
      </c>
      <c r="Y57" s="87">
        <f t="shared" si="68"/>
        <v>586.13140612245115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534.63645194539197</v>
      </c>
      <c r="C58" s="88">
        <f t="shared" si="69"/>
        <v>471.66699392764502</v>
      </c>
      <c r="D58" s="88">
        <f t="shared" si="69"/>
        <v>487.199949859203</v>
      </c>
      <c r="E58" s="88">
        <f t="shared" si="69"/>
        <v>474.33378816635667</v>
      </c>
      <c r="F58" s="88">
        <f t="shared" si="69"/>
        <v>478.60302851774105</v>
      </c>
      <c r="G58" s="88">
        <f t="shared" si="69"/>
        <v>470.57335038656544</v>
      </c>
      <c r="H58" s="88">
        <f t="shared" si="69"/>
        <v>463.79241053488226</v>
      </c>
      <c r="I58" s="88">
        <f t="shared" si="69"/>
        <v>475.93020257887071</v>
      </c>
      <c r="J58" s="88">
        <f t="shared" si="69"/>
        <v>466.29394434155387</v>
      </c>
      <c r="K58" s="88">
        <f t="shared" ref="K58:V58" si="70">IF(K12=0,0,K12/K23)</f>
        <v>489.08440408804654</v>
      </c>
      <c r="L58" s="88">
        <f t="shared" si="70"/>
        <v>490.74164132182943</v>
      </c>
      <c r="M58" s="88">
        <f t="shared" si="70"/>
        <v>497.52697610075006</v>
      </c>
      <c r="N58" s="88">
        <f t="shared" si="70"/>
        <v>502.03010346233168</v>
      </c>
      <c r="O58" s="88">
        <f t="shared" si="70"/>
        <v>492.33981992039872</v>
      </c>
      <c r="P58" s="88">
        <f t="shared" si="70"/>
        <v>482.80354204482177</v>
      </c>
      <c r="Q58" s="88">
        <f t="shared" si="70"/>
        <v>501.17754001083364</v>
      </c>
      <c r="R58" s="88">
        <f t="shared" si="70"/>
        <v>506.05597514034474</v>
      </c>
      <c r="S58" s="88">
        <f t="shared" si="70"/>
        <v>534.99321344855332</v>
      </c>
      <c r="T58" s="88">
        <f t="shared" si="70"/>
        <v>416.65122435567923</v>
      </c>
      <c r="U58" s="88">
        <f t="shared" si="70"/>
        <v>450.03847619436755</v>
      </c>
      <c r="V58" s="88">
        <f t="shared" si="70"/>
        <v>442.11054545503237</v>
      </c>
      <c r="W58" s="88">
        <f t="shared" ref="W58:Y58" si="71">IF(W12=0,0,W12/W23)</f>
        <v>545.91584558232489</v>
      </c>
      <c r="X58" s="88">
        <f t="shared" si="71"/>
        <v>408.80953846013119</v>
      </c>
      <c r="Y58" s="88">
        <f t="shared" si="71"/>
        <v>452.72698294824789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</v>
      </c>
      <c r="C61" s="29">
        <f t="shared" ref="C61" si="73">IF(C26=0,0,(C62*C27+C64*C29+C65*C30+C66*C31)/(C27+C29+C30+C31))</f>
        <v>320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320</v>
      </c>
      <c r="G61" s="29">
        <f t="shared" ref="G61" si="77">IF(G26=0,0,(G62*G27+G64*G29+G65*G30+G66*G31)/(G27+G29+G30+G31))</f>
        <v>320</v>
      </c>
      <c r="H61" s="29">
        <f t="shared" ref="H61" si="78">IF(H26=0,0,(H62*H27+H64*H29+H65*H30+H66*H31)/(H27+H29+H30+H31))</f>
        <v>320</v>
      </c>
      <c r="I61" s="29">
        <f t="shared" ref="I61" si="79">IF(I26=0,0,(I62*I27+I64*I29+I65*I30+I66*I31)/(I27+I29+I30+I31))</f>
        <v>319.99999999999994</v>
      </c>
      <c r="J61" s="29">
        <f t="shared" ref="J61" si="80">IF(J26=0,0,(J62*J27+J64*J29+J65*J30+J66*J31)/(J27+J29+J30+J31))</f>
        <v>320.73667364089482</v>
      </c>
      <c r="K61" s="29">
        <f t="shared" ref="K61" si="81">IF(K26=0,0,(K62*K27+K64*K29+K65*K30+K66*K31)/(K27+K29+K30+K31))</f>
        <v>320.82063607971668</v>
      </c>
      <c r="L61" s="29">
        <f t="shared" ref="L61" si="82">IF(L26=0,0,(L62*L27+L64*L29+L65*L30+L66*L31)/(L27+L29+L30+L31))</f>
        <v>320.86638297651314</v>
      </c>
      <c r="M61" s="29">
        <f t="shared" ref="M61" si="83">IF(M26=0,0,(M62*M27+M64*M29+M65*M30+M66*M31)/(M27+M29+M30+M31))</f>
        <v>320.88500575088193</v>
      </c>
      <c r="N61" s="29">
        <f t="shared" ref="N61" si="84">IF(N26=0,0,(N62*N27+N64*N29+N65*N30+N66*N31)/(N27+N29+N30+N31))</f>
        <v>320.9141000527751</v>
      </c>
      <c r="O61" s="29">
        <f t="shared" ref="O61" si="85">IF(O26=0,0,(O62*O27+O64*O29+O65*O30+O66*O31)/(O27+O29+O30+O31))</f>
        <v>320.91565887400333</v>
      </c>
      <c r="P61" s="29">
        <f t="shared" ref="P61" si="86">IF(P26=0,0,(P62*P27+P64*P29+P65*P30+P66*P31)/(P27+P29+P30+P31))</f>
        <v>320.92016090228702</v>
      </c>
      <c r="Q61" s="29">
        <f t="shared" ref="Q61" si="87">IF(Q26=0,0,(Q62*Q27+Q64*Q29+Q65*Q30+Q66*Q31)/(Q27+Q29+Q30+Q31))</f>
        <v>320.87480262236772</v>
      </c>
      <c r="R61" s="29">
        <f t="shared" ref="R61" si="88">IF(R26=0,0,(R62*R27+R64*R29+R65*R30+R66*R31)/(R27+R29+R30+R31))</f>
        <v>320.84214253626874</v>
      </c>
      <c r="S61" s="29">
        <f t="shared" ref="S61" si="89">IF(S26=0,0,(S62*S27+S64*S29+S65*S30+S66*S31)/(S27+S29+S30+S31))</f>
        <v>320.54448821418197</v>
      </c>
      <c r="T61" s="29">
        <f t="shared" ref="T61" si="90">IF(T26=0,0,(T62*T27+T64*T29+T65*T30+T66*T31)/(T27+T29+T30+T31))</f>
        <v>320.56568791206439</v>
      </c>
      <c r="U61" s="29">
        <f t="shared" ref="U61" si="91">IF(U26=0,0,(U62*U27+U64*U29+U65*U30+U66*U31)/(U27+U29+U30+U31))</f>
        <v>320.5936896933984</v>
      </c>
      <c r="V61" s="29">
        <f t="shared" ref="V61" si="92">IF(V26=0,0,(V62*V27+V64*V29+V65*V30+V66*V31)/(V27+V29+V30+V31))</f>
        <v>320.62460804524841</v>
      </c>
      <c r="W61" s="29">
        <f t="shared" ref="W61:Y61" si="93">IF(W26=0,0,(W62*W27+W64*W29+W65*W30+W66*W31)/(W27+W29+W30+W31))</f>
        <v>321.35462878980383</v>
      </c>
      <c r="X61" s="29">
        <f t="shared" si="93"/>
        <v>321.55856068739536</v>
      </c>
      <c r="Y61" s="29">
        <f t="shared" si="93"/>
        <v>323.50413518593592</v>
      </c>
      <c r="DA61" s="173" t="s">
        <v>1074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X62" s="115">
        <v>0</v>
      </c>
      <c r="Y62" s="115">
        <v>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319.99999999999994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320.00000000000006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2100.0000000000005</v>
      </c>
      <c r="D67" s="29">
        <f t="shared" ref="D67" si="118">IF(D32=0,0,(D68*D33+D69*D34)/(D33+D34))</f>
        <v>2099.9999999999995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0.44004431805354915</v>
      </c>
      <c r="C72" s="30">
        <f t="shared" ref="C72:J72" si="138">IF(C50=0,0,C50/C61)</f>
        <v>0.42789203155784711</v>
      </c>
      <c r="D72" s="30">
        <f t="shared" si="138"/>
        <v>0.41986814586607502</v>
      </c>
      <c r="E72" s="30">
        <f t="shared" si="138"/>
        <v>0.38801480256392745</v>
      </c>
      <c r="F72" s="30">
        <f t="shared" si="138"/>
        <v>0.31796341608647233</v>
      </c>
      <c r="G72" s="30">
        <f t="shared" si="138"/>
        <v>0.30770277809628233</v>
      </c>
      <c r="H72" s="30">
        <f t="shared" si="138"/>
        <v>0.30328532843689671</v>
      </c>
      <c r="I72" s="30">
        <f t="shared" si="138"/>
        <v>0.30081808744232996</v>
      </c>
      <c r="J72" s="30">
        <f t="shared" si="138"/>
        <v>0.30890345135439579</v>
      </c>
      <c r="K72" s="30">
        <f t="shared" ref="K72:V72" si="139">IF(K50=0,0,K50/K61)</f>
        <v>0.3438659392587245</v>
      </c>
      <c r="L72" s="30">
        <f t="shared" si="139"/>
        <v>0.32562191782588989</v>
      </c>
      <c r="M72" s="30">
        <f t="shared" si="139"/>
        <v>0.34173598945514222</v>
      </c>
      <c r="N72" s="30">
        <f t="shared" si="139"/>
        <v>0.31104844859283115</v>
      </c>
      <c r="O72" s="30">
        <f t="shared" si="139"/>
        <v>0.3476359136876318</v>
      </c>
      <c r="P72" s="30">
        <f t="shared" si="139"/>
        <v>0.34053930536295063</v>
      </c>
      <c r="Q72" s="30">
        <f t="shared" si="139"/>
        <v>0.2849968709228517</v>
      </c>
      <c r="R72" s="30">
        <f t="shared" si="139"/>
        <v>0.26934610167809853</v>
      </c>
      <c r="S72" s="30">
        <f t="shared" si="139"/>
        <v>0.16150133608168663</v>
      </c>
      <c r="T72" s="30">
        <f t="shared" si="139"/>
        <v>0.22173692048236279</v>
      </c>
      <c r="U72" s="30">
        <f t="shared" si="139"/>
        <v>0.22471224078437299</v>
      </c>
      <c r="V72" s="30">
        <f t="shared" si="139"/>
        <v>0.17363378097678395</v>
      </c>
      <c r="W72" s="30">
        <f t="shared" ref="W72:Y72" si="140">IF(W50=0,0,W50/W61)</f>
        <v>0.1584447892799192</v>
      </c>
      <c r="X72" s="30">
        <f t="shared" si="140"/>
        <v>0.24684293492505932</v>
      </c>
      <c r="Y72" s="30">
        <f t="shared" si="140"/>
        <v>0.23051467058919006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:Y73" si="143">IF(W51=0,0,W51/W62)</f>
        <v>0</v>
      </c>
      <c r="X73" s="118">
        <f t="shared" si="143"/>
        <v>0</v>
      </c>
      <c r="Y73" s="118">
        <f t="shared" si="143"/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0.44004431805354915</v>
      </c>
      <c r="C74" s="119">
        <f t="shared" si="141"/>
        <v>0.42789203155784711</v>
      </c>
      <c r="D74" s="119">
        <f t="shared" si="141"/>
        <v>0.41986814586607502</v>
      </c>
      <c r="E74" s="119">
        <f t="shared" si="141"/>
        <v>0.38801480256392745</v>
      </c>
      <c r="F74" s="119">
        <f t="shared" si="141"/>
        <v>0.31796341608647233</v>
      </c>
      <c r="G74" s="119">
        <f t="shared" si="141"/>
        <v>0.30770277809628233</v>
      </c>
      <c r="H74" s="119">
        <f t="shared" si="141"/>
        <v>0.30328532843689671</v>
      </c>
      <c r="I74" s="119">
        <f t="shared" si="141"/>
        <v>0.30081808744232996</v>
      </c>
      <c r="J74" s="119">
        <f t="shared" si="141"/>
        <v>0.30675591575927375</v>
      </c>
      <c r="K74" s="119">
        <f t="shared" ref="K74:V74" si="144">IF(K52=0,0,K52/K63)</f>
        <v>0.3412676766757019</v>
      </c>
      <c r="L74" s="119">
        <f t="shared" si="144"/>
        <v>0.32305360667116223</v>
      </c>
      <c r="M74" s="119">
        <f t="shared" si="144"/>
        <v>0.33939535129998899</v>
      </c>
      <c r="N74" s="119">
        <f t="shared" si="144"/>
        <v>0.30902422494262349</v>
      </c>
      <c r="O74" s="119">
        <f t="shared" si="144"/>
        <v>0.34599129160732905</v>
      </c>
      <c r="P74" s="119">
        <f t="shared" si="144"/>
        <v>0.33954543522424979</v>
      </c>
      <c r="Q74" s="119">
        <f t="shared" si="144"/>
        <v>0.28439519498880672</v>
      </c>
      <c r="R74" s="119">
        <f t="shared" si="144"/>
        <v>0.26907100021007507</v>
      </c>
      <c r="S74" s="119">
        <f t="shared" si="144"/>
        <v>0.16144756112724987</v>
      </c>
      <c r="T74" s="119">
        <f t="shared" si="144"/>
        <v>0.22166677449326316</v>
      </c>
      <c r="U74" s="119">
        <f t="shared" si="144"/>
        <v>0.22467461436028996</v>
      </c>
      <c r="V74" s="119">
        <f t="shared" si="144"/>
        <v>0.17390985716229976</v>
      </c>
      <c r="W74" s="119">
        <f t="shared" ref="W74:Y74" si="145">IF(W52=0,0,W52/W63)</f>
        <v>0.15336070168412441</v>
      </c>
      <c r="X74" s="119">
        <f t="shared" si="145"/>
        <v>0.2388824653390304</v>
      </c>
      <c r="Y74" s="119">
        <f t="shared" si="145"/>
        <v>0.21233263068668728</v>
      </c>
      <c r="DA74" s="176"/>
    </row>
    <row r="75" spans="1:105" ht="11.45" customHeight="1" x14ac:dyDescent="0.25">
      <c r="A75" s="111" t="s">
        <v>92</v>
      </c>
      <c r="B75" s="120">
        <f t="shared" si="141"/>
        <v>0.40469925423582448</v>
      </c>
      <c r="C75" s="120">
        <f t="shared" si="141"/>
        <v>0.37476104732322291</v>
      </c>
      <c r="D75" s="120">
        <f t="shared" si="141"/>
        <v>0.35212329897846173</v>
      </c>
      <c r="E75" s="120">
        <f t="shared" si="141"/>
        <v>0.32655657418134709</v>
      </c>
      <c r="F75" s="120">
        <f t="shared" si="141"/>
        <v>0.30764273754649707</v>
      </c>
      <c r="G75" s="120">
        <f t="shared" si="141"/>
        <v>0.32083227953547466</v>
      </c>
      <c r="H75" s="120">
        <f t="shared" si="141"/>
        <v>0.31278238875316688</v>
      </c>
      <c r="I75" s="120">
        <f t="shared" si="141"/>
        <v>0.3121880161217484</v>
      </c>
      <c r="J75" s="120">
        <f t="shared" si="141"/>
        <v>0.33758303392864059</v>
      </c>
      <c r="K75" s="120">
        <f t="shared" ref="K75:V75" si="146">IF(K53=0,0,K53/K64)</f>
        <v>0.34671030301684436</v>
      </c>
      <c r="L75" s="120">
        <f t="shared" si="146"/>
        <v>0.36200113210171164</v>
      </c>
      <c r="M75" s="120">
        <f t="shared" si="146"/>
        <v>0.31705811027538627</v>
      </c>
      <c r="N75" s="120">
        <f t="shared" si="146"/>
        <v>0.33496844672660292</v>
      </c>
      <c r="O75" s="120">
        <f t="shared" si="146"/>
        <v>0.31053846699899285</v>
      </c>
      <c r="P75" s="120">
        <f t="shared" si="146"/>
        <v>0.28500313571114771</v>
      </c>
      <c r="Q75" s="120">
        <f t="shared" si="146"/>
        <v>0.2505970483853221</v>
      </c>
      <c r="R75" s="120">
        <f t="shared" si="146"/>
        <v>0.24881858137218821</v>
      </c>
      <c r="S75" s="120">
        <f t="shared" si="146"/>
        <v>0.23465839406992656</v>
      </c>
      <c r="T75" s="120">
        <f t="shared" si="146"/>
        <v>0.24762379627106096</v>
      </c>
      <c r="U75" s="120">
        <f t="shared" si="146"/>
        <v>0.25759559206122234</v>
      </c>
      <c r="V75" s="120">
        <f t="shared" si="146"/>
        <v>0.20555515103924007</v>
      </c>
      <c r="W75" s="120">
        <f t="shared" ref="W75:Y75" si="147">IF(W53=0,0,W53/W64)</f>
        <v>0.21543835526678595</v>
      </c>
      <c r="X75" s="120">
        <f t="shared" si="147"/>
        <v>0.29500172904201849</v>
      </c>
      <c r="Y75" s="120">
        <f t="shared" si="147"/>
        <v>0.26246967304006896</v>
      </c>
      <c r="DA75" s="171"/>
    </row>
    <row r="76" spans="1:105" ht="11.45" customHeight="1" x14ac:dyDescent="0.25">
      <c r="A76" s="111" t="s">
        <v>93</v>
      </c>
      <c r="B76" s="120">
        <f t="shared" si="141"/>
        <v>0.46676808734722686</v>
      </c>
      <c r="C76" s="120">
        <f t="shared" si="141"/>
        <v>0.46547295466966554</v>
      </c>
      <c r="D76" s="120">
        <f t="shared" si="141"/>
        <v>0.46547005744409214</v>
      </c>
      <c r="E76" s="120">
        <f t="shared" si="141"/>
        <v>0.42794262862522531</v>
      </c>
      <c r="F76" s="120">
        <f t="shared" si="141"/>
        <v>0.3233227156817538</v>
      </c>
      <c r="G76" s="120">
        <f t="shared" si="141"/>
        <v>0.30171918207726933</v>
      </c>
      <c r="H76" s="120">
        <f t="shared" si="141"/>
        <v>0.29895451854908461</v>
      </c>
      <c r="I76" s="120">
        <f t="shared" si="141"/>
        <v>0.2955758812956657</v>
      </c>
      <c r="J76" s="120">
        <f t="shared" si="141"/>
        <v>0.29375166498513794</v>
      </c>
      <c r="K76" s="120">
        <f t="shared" ref="K76:V76" si="148">IF(K54=0,0,K54/K65)</f>
        <v>0.33874317331996512</v>
      </c>
      <c r="L76" s="120">
        <f t="shared" si="148"/>
        <v>0.30705946936358164</v>
      </c>
      <c r="M76" s="120">
        <f t="shared" si="148"/>
        <v>0.35118844524655446</v>
      </c>
      <c r="N76" s="120">
        <f t="shared" si="148"/>
        <v>0.29788885420630906</v>
      </c>
      <c r="O76" s="120">
        <f t="shared" si="148"/>
        <v>0.36691594802401012</v>
      </c>
      <c r="P76" s="120">
        <f t="shared" si="148"/>
        <v>0.38279140582595123</v>
      </c>
      <c r="Q76" s="120">
        <f t="shared" si="148"/>
        <v>0.30805980230614011</v>
      </c>
      <c r="R76" s="120">
        <f t="shared" si="148"/>
        <v>0.28052079135569313</v>
      </c>
      <c r="S76" s="120">
        <f t="shared" si="148"/>
        <v>0.13902822891265304</v>
      </c>
      <c r="T76" s="120">
        <f t="shared" si="148"/>
        <v>0.21016228237333046</v>
      </c>
      <c r="U76" s="120">
        <f t="shared" si="148"/>
        <v>0.21188474032090285</v>
      </c>
      <c r="V76" s="120">
        <f t="shared" si="148"/>
        <v>0.16943416515686222</v>
      </c>
      <c r="W76" s="120">
        <f t="shared" ref="W76:Y76" si="149">IF(W54=0,0,W54/W65)</f>
        <v>0.14601529443558106</v>
      </c>
      <c r="X76" s="120">
        <f t="shared" si="149"/>
        <v>0.2319507032320372</v>
      </c>
      <c r="Y76" s="120">
        <f t="shared" si="149"/>
        <v>0.20292721435866756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0.35377358490566035</v>
      </c>
      <c r="K77" s="121">
        <f t="shared" ref="K77:V77" si="150">IF(K55=0,0,K55/K66)</f>
        <v>0.38065382892969091</v>
      </c>
      <c r="L77" s="121">
        <f t="shared" si="150"/>
        <v>0.37683007985803019</v>
      </c>
      <c r="M77" s="121">
        <f t="shared" si="150"/>
        <v>0.38421658986175117</v>
      </c>
      <c r="N77" s="121">
        <f t="shared" si="150"/>
        <v>0.36633774388876433</v>
      </c>
      <c r="O77" s="121">
        <f t="shared" si="150"/>
        <v>0.36968885915021749</v>
      </c>
      <c r="P77" s="121">
        <f t="shared" si="150"/>
        <v>0.36279683377308708</v>
      </c>
      <c r="Q77" s="121">
        <f t="shared" si="150"/>
        <v>0.35470668485675311</v>
      </c>
      <c r="R77" s="121">
        <f t="shared" si="150"/>
        <v>0.35824514991181661</v>
      </c>
      <c r="S77" s="121">
        <f t="shared" si="150"/>
        <v>0.37162162162162166</v>
      </c>
      <c r="T77" s="121">
        <f t="shared" si="150"/>
        <v>0.37272841998990414</v>
      </c>
      <c r="U77" s="121">
        <f t="shared" si="150"/>
        <v>0.38176990041749864</v>
      </c>
      <c r="V77" s="121">
        <f t="shared" si="150"/>
        <v>0.14303329700459497</v>
      </c>
      <c r="W77" s="121">
        <f t="shared" ref="W77:Y77" si="151">IF(W55=0,0,W55/W66)</f>
        <v>0.26975109033399519</v>
      </c>
      <c r="X77" s="121">
        <f t="shared" si="151"/>
        <v>0.35357640938798562</v>
      </c>
      <c r="Y77" s="121">
        <f t="shared" si="151"/>
        <v>0.39650111971103569</v>
      </c>
      <c r="DA77" s="204"/>
    </row>
    <row r="78" spans="1:105" ht="11.45" customHeight="1" x14ac:dyDescent="0.25">
      <c r="A78" s="27" t="s">
        <v>34</v>
      </c>
      <c r="B78" s="30">
        <f t="shared" si="141"/>
        <v>0.27061579168591787</v>
      </c>
      <c r="C78" s="30">
        <f t="shared" si="141"/>
        <v>0.24271924482932772</v>
      </c>
      <c r="D78" s="30">
        <f t="shared" si="141"/>
        <v>0.24415749111234314</v>
      </c>
      <c r="E78" s="30">
        <f t="shared" si="141"/>
        <v>0.24038674904975799</v>
      </c>
      <c r="F78" s="30">
        <f t="shared" si="141"/>
        <v>0.23698191946493216</v>
      </c>
      <c r="G78" s="30">
        <f t="shared" si="141"/>
        <v>0.23520710243854701</v>
      </c>
      <c r="H78" s="30">
        <f t="shared" si="141"/>
        <v>0.23364021824022735</v>
      </c>
      <c r="I78" s="30">
        <f t="shared" si="141"/>
        <v>0.23870896504604058</v>
      </c>
      <c r="J78" s="30">
        <f t="shared" si="141"/>
        <v>0.24159264003778827</v>
      </c>
      <c r="K78" s="30">
        <f t="shared" ref="K78:V78" si="152">IF(K56=0,0,K56/K67)</f>
        <v>0.25318489746271966</v>
      </c>
      <c r="L78" s="30">
        <f t="shared" si="152"/>
        <v>0.25277726074677331</v>
      </c>
      <c r="M78" s="30">
        <f t="shared" si="152"/>
        <v>0.24918720084996029</v>
      </c>
      <c r="N78" s="30">
        <f t="shared" si="152"/>
        <v>0.24952466312713595</v>
      </c>
      <c r="O78" s="30">
        <f t="shared" si="152"/>
        <v>0.2464140347929312</v>
      </c>
      <c r="P78" s="30">
        <f t="shared" si="152"/>
        <v>0.2481296744005913</v>
      </c>
      <c r="Q78" s="30">
        <f t="shared" si="152"/>
        <v>0.25093859076612079</v>
      </c>
      <c r="R78" s="30">
        <f t="shared" si="152"/>
        <v>0.24966763317637444</v>
      </c>
      <c r="S78" s="30">
        <f t="shared" si="152"/>
        <v>0.26187640608699198</v>
      </c>
      <c r="T78" s="30">
        <f t="shared" si="152"/>
        <v>0.20795303650056082</v>
      </c>
      <c r="U78" s="30">
        <f t="shared" si="152"/>
        <v>0.22206879930886469</v>
      </c>
      <c r="V78" s="30">
        <f t="shared" si="152"/>
        <v>0.21615488820809731</v>
      </c>
      <c r="W78" s="30">
        <f t="shared" ref="W78:Y78" si="153">IF(W56=0,0,W56/W67)</f>
        <v>0.25761778969087423</v>
      </c>
      <c r="X78" s="30">
        <f t="shared" si="153"/>
        <v>0.19938578879138011</v>
      </c>
      <c r="Y78" s="30">
        <f t="shared" si="153"/>
        <v>0.22150771291520974</v>
      </c>
      <c r="DA78" s="173"/>
    </row>
    <row r="79" spans="1:105" ht="11.45" customHeight="1" x14ac:dyDescent="0.25">
      <c r="A79" s="83" t="s">
        <v>92</v>
      </c>
      <c r="B79" s="120">
        <f t="shared" si="141"/>
        <v>0.3293675312562791</v>
      </c>
      <c r="C79" s="120">
        <f t="shared" si="141"/>
        <v>0.31603559224665284</v>
      </c>
      <c r="D79" s="120">
        <f t="shared" si="141"/>
        <v>0.28929857548624877</v>
      </c>
      <c r="E79" s="120">
        <f t="shared" si="141"/>
        <v>0.29820187550028293</v>
      </c>
      <c r="F79" s="120">
        <f t="shared" si="141"/>
        <v>0.27230327867327142</v>
      </c>
      <c r="G79" s="120">
        <f t="shared" si="141"/>
        <v>0.27857963870073588</v>
      </c>
      <c r="H79" s="120">
        <f t="shared" si="141"/>
        <v>0.28707030875224987</v>
      </c>
      <c r="I79" s="120">
        <f t="shared" si="141"/>
        <v>0.29216916897368472</v>
      </c>
      <c r="J79" s="120">
        <f t="shared" si="141"/>
        <v>0.353975615495356</v>
      </c>
      <c r="K79" s="120">
        <f t="shared" ref="K79:V79" si="154">IF(K57=0,0,K57/K68)</f>
        <v>0.35509200266935737</v>
      </c>
      <c r="L79" s="120">
        <f t="shared" si="154"/>
        <v>0.35790476726286069</v>
      </c>
      <c r="M79" s="120">
        <f t="shared" si="154"/>
        <v>0.31082601190686482</v>
      </c>
      <c r="N79" s="120">
        <f t="shared" si="154"/>
        <v>0.3033598204026946</v>
      </c>
      <c r="O79" s="120">
        <f t="shared" si="154"/>
        <v>0.30664411165692157</v>
      </c>
      <c r="P79" s="120">
        <f t="shared" si="154"/>
        <v>0.30840843808915308</v>
      </c>
      <c r="Q79" s="120">
        <f t="shared" si="154"/>
        <v>0.30231720457957301</v>
      </c>
      <c r="R79" s="120">
        <f t="shared" si="154"/>
        <v>0.30062451096576775</v>
      </c>
      <c r="S79" s="120">
        <f t="shared" si="154"/>
        <v>0.31984805347569284</v>
      </c>
      <c r="T79" s="120">
        <f t="shared" si="154"/>
        <v>0.32523261301739681</v>
      </c>
      <c r="U79" s="120">
        <f t="shared" si="154"/>
        <v>0.33021773037082131</v>
      </c>
      <c r="V79" s="120">
        <f t="shared" si="154"/>
        <v>0.27310567791181878</v>
      </c>
      <c r="W79" s="120">
        <f t="shared" ref="W79:Y79" si="155">IF(W57=0,0,W57/W68)</f>
        <v>0.2402115361011864</v>
      </c>
      <c r="X79" s="120">
        <f t="shared" si="155"/>
        <v>0.2414483497619401</v>
      </c>
      <c r="Y79" s="120">
        <f t="shared" si="155"/>
        <v>0.27911019339164339</v>
      </c>
      <c r="DA79" s="171"/>
    </row>
    <row r="80" spans="1:105" ht="11.45" customHeight="1" x14ac:dyDescent="0.25">
      <c r="A80" s="85" t="s">
        <v>93</v>
      </c>
      <c r="B80" s="122">
        <f t="shared" si="141"/>
        <v>0.25458878664066287</v>
      </c>
      <c r="C80" s="122">
        <f t="shared" si="141"/>
        <v>0.22460333044173572</v>
      </c>
      <c r="D80" s="122">
        <f t="shared" si="141"/>
        <v>0.23199997612343001</v>
      </c>
      <c r="E80" s="122">
        <f t="shared" si="141"/>
        <v>0.22587323246016985</v>
      </c>
      <c r="F80" s="122">
        <f t="shared" si="141"/>
        <v>0.22790620405606718</v>
      </c>
      <c r="G80" s="122">
        <f t="shared" si="141"/>
        <v>0.22408254780312639</v>
      </c>
      <c r="H80" s="122">
        <f t="shared" si="141"/>
        <v>0.2208535288261344</v>
      </c>
      <c r="I80" s="122">
        <f t="shared" si="141"/>
        <v>0.22663342979946224</v>
      </c>
      <c r="J80" s="122">
        <f t="shared" si="141"/>
        <v>0.22204473540073993</v>
      </c>
      <c r="K80" s="122">
        <f t="shared" ref="K80:V80" si="156">IF(K58=0,0,K58/K69)</f>
        <v>0.23289733528002216</v>
      </c>
      <c r="L80" s="122">
        <f t="shared" si="156"/>
        <v>0.23368649586753781</v>
      </c>
      <c r="M80" s="122">
        <f t="shared" si="156"/>
        <v>0.23691760766702383</v>
      </c>
      <c r="N80" s="122">
        <f t="shared" si="156"/>
        <v>0.23906195402968175</v>
      </c>
      <c r="O80" s="122">
        <f t="shared" si="156"/>
        <v>0.23444753329542797</v>
      </c>
      <c r="P80" s="122">
        <f t="shared" si="156"/>
        <v>0.22990644859277226</v>
      </c>
      <c r="Q80" s="122">
        <f t="shared" si="156"/>
        <v>0.2386559714337303</v>
      </c>
      <c r="R80" s="122">
        <f t="shared" si="156"/>
        <v>0.24097903578111654</v>
      </c>
      <c r="S80" s="122">
        <f t="shared" si="156"/>
        <v>0.25475867307073968</v>
      </c>
      <c r="T80" s="122">
        <f t="shared" si="156"/>
        <v>0.19840534493127582</v>
      </c>
      <c r="U80" s="122">
        <f t="shared" si="156"/>
        <v>0.21430403628303216</v>
      </c>
      <c r="V80" s="122">
        <f t="shared" si="156"/>
        <v>0.21052883116906304</v>
      </c>
      <c r="W80" s="122">
        <f t="shared" ref="W80:Y80" si="157">IF(W58=0,0,W58/W69)</f>
        <v>0.25995992646777377</v>
      </c>
      <c r="X80" s="122">
        <f t="shared" si="157"/>
        <v>0.19467120879053867</v>
      </c>
      <c r="Y80" s="122">
        <f t="shared" si="157"/>
        <v>0.21558427759440377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171479.19582079453</v>
      </c>
      <c r="C82" s="54">
        <f t="shared" si="158"/>
        <v>172213.26733002014</v>
      </c>
      <c r="D82" s="54">
        <f t="shared" si="158"/>
        <v>172339.72835833262</v>
      </c>
      <c r="E82" s="54">
        <f t="shared" si="158"/>
        <v>170871.28298316878</v>
      </c>
      <c r="F82" s="54">
        <f t="shared" si="158"/>
        <v>170497.48736705745</v>
      </c>
      <c r="G82" s="54">
        <f t="shared" si="158"/>
        <v>170195.54770507803</v>
      </c>
      <c r="H82" s="54">
        <f t="shared" si="158"/>
        <v>170434.3502772346</v>
      </c>
      <c r="I82" s="54">
        <f t="shared" si="158"/>
        <v>170609.47361749213</v>
      </c>
      <c r="J82" s="54">
        <f t="shared" si="158"/>
        <v>168897.21684877519</v>
      </c>
      <c r="K82" s="54">
        <f t="shared" ref="K82:V82" si="159">IF(K14=0,0,K14/K25*1000000)</f>
        <v>150244.43581529069</v>
      </c>
      <c r="L82" s="54">
        <f t="shared" si="159"/>
        <v>171020.11134666679</v>
      </c>
      <c r="M82" s="54">
        <f t="shared" si="159"/>
        <v>165918.37623059889</v>
      </c>
      <c r="N82" s="54">
        <f t="shared" si="159"/>
        <v>171451.82787890005</v>
      </c>
      <c r="O82" s="54">
        <f t="shared" si="159"/>
        <v>166957.93480779685</v>
      </c>
      <c r="P82" s="54">
        <f t="shared" si="159"/>
        <v>163495.43719493094</v>
      </c>
      <c r="Q82" s="54">
        <f t="shared" si="159"/>
        <v>171284.07932979404</v>
      </c>
      <c r="R82" s="54">
        <f t="shared" si="159"/>
        <v>168827.84109658361</v>
      </c>
      <c r="S82" s="54">
        <f t="shared" si="159"/>
        <v>165886.82106118946</v>
      </c>
      <c r="T82" s="54">
        <f t="shared" si="159"/>
        <v>149551.92496101107</v>
      </c>
      <c r="U82" s="54">
        <f t="shared" si="159"/>
        <v>152077.78328521532</v>
      </c>
      <c r="V82" s="54">
        <f t="shared" si="159"/>
        <v>136247.50291922002</v>
      </c>
      <c r="W82" s="54">
        <f t="shared" ref="W82:Y82" si="160">IF(W14=0,0,W14/W25*1000000)</f>
        <v>152473.40612815553</v>
      </c>
      <c r="X82" s="54">
        <f t="shared" si="160"/>
        <v>158002.93639036038</v>
      </c>
      <c r="Y82" s="54">
        <f t="shared" si="160"/>
        <v>163860.50437797813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149999.99981765015</v>
      </c>
      <c r="C83" s="28">
        <f t="shared" si="161"/>
        <v>149999.99445140219</v>
      </c>
      <c r="D83" s="28">
        <f t="shared" si="161"/>
        <v>149999.99646735517</v>
      </c>
      <c r="E83" s="28">
        <f t="shared" si="161"/>
        <v>149999.99717597006</v>
      </c>
      <c r="F83" s="28">
        <f t="shared" si="161"/>
        <v>149999.99809401599</v>
      </c>
      <c r="G83" s="28">
        <f t="shared" si="161"/>
        <v>149999.9970119411</v>
      </c>
      <c r="H83" s="28">
        <f t="shared" si="161"/>
        <v>149999.99815547935</v>
      </c>
      <c r="I83" s="28">
        <f t="shared" si="161"/>
        <v>149999.99603099824</v>
      </c>
      <c r="J83" s="28">
        <f t="shared" si="161"/>
        <v>150920.83068169496</v>
      </c>
      <c r="K83" s="28">
        <f t="shared" ref="K83:V83" si="162">IF(K15=0,0,K15/K26*1000000)</f>
        <v>143640.38640896403</v>
      </c>
      <c r="L83" s="28">
        <f t="shared" si="162"/>
        <v>151007.149448148</v>
      </c>
      <c r="M83" s="28">
        <f t="shared" si="162"/>
        <v>138906.66734439935</v>
      </c>
      <c r="N83" s="28">
        <f t="shared" si="162"/>
        <v>150751.00956511876</v>
      </c>
      <c r="O83" s="28">
        <f t="shared" si="162"/>
        <v>139214.94407885251</v>
      </c>
      <c r="P83" s="28">
        <f t="shared" si="162"/>
        <v>130403.46696761467</v>
      </c>
      <c r="Q83" s="28">
        <f t="shared" si="162"/>
        <v>150069.32636041279</v>
      </c>
      <c r="R83" s="28">
        <f t="shared" si="162"/>
        <v>148738.23768625641</v>
      </c>
      <c r="S83" s="28">
        <f t="shared" si="162"/>
        <v>149760.34281820967</v>
      </c>
      <c r="T83" s="28">
        <f t="shared" si="162"/>
        <v>112919.28165104988</v>
      </c>
      <c r="U83" s="28">
        <f t="shared" si="162"/>
        <v>117752.93952771428</v>
      </c>
      <c r="V83" s="28">
        <f t="shared" si="162"/>
        <v>94730.781388418211</v>
      </c>
      <c r="W83" s="28">
        <f t="shared" ref="W83:Y83" si="163">IF(W15=0,0,W15/W26*1000000)</f>
        <v>140661.93335946565</v>
      </c>
      <c r="X83" s="28">
        <f t="shared" si="163"/>
        <v>121155.30261683819</v>
      </c>
      <c r="Y83" s="28">
        <f t="shared" si="163"/>
        <v>152797.56806501711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:Y84" si="165">IF(W16=0,0,W16/W27*1000000)</f>
        <v>0</v>
      </c>
      <c r="X84" s="108">
        <f t="shared" si="165"/>
        <v>0</v>
      </c>
      <c r="Y84" s="108">
        <f t="shared" si="165"/>
        <v>0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149999.99981765015</v>
      </c>
      <c r="C85" s="110">
        <f t="shared" si="161"/>
        <v>149999.99445140219</v>
      </c>
      <c r="D85" s="110">
        <f t="shared" si="161"/>
        <v>149999.99646735517</v>
      </c>
      <c r="E85" s="110">
        <f t="shared" si="161"/>
        <v>149999.99717597006</v>
      </c>
      <c r="F85" s="110">
        <f t="shared" si="161"/>
        <v>149999.99809401599</v>
      </c>
      <c r="G85" s="110">
        <f t="shared" si="161"/>
        <v>149999.9970119411</v>
      </c>
      <c r="H85" s="110">
        <f t="shared" si="161"/>
        <v>149999.99815547935</v>
      </c>
      <c r="I85" s="110">
        <f t="shared" si="161"/>
        <v>149999.99603099824</v>
      </c>
      <c r="J85" s="110">
        <f t="shared" si="161"/>
        <v>149999.99709160667</v>
      </c>
      <c r="K85" s="110">
        <f t="shared" ref="K85:V85" si="166">IF(K17=0,0,K17/K28*1000000)</f>
        <v>142589.25729840214</v>
      </c>
      <c r="L85" s="110">
        <f t="shared" si="166"/>
        <v>149999.99624503608</v>
      </c>
      <c r="M85" s="110">
        <f t="shared" si="166"/>
        <v>138045.03289206733</v>
      </c>
      <c r="N85" s="110">
        <f t="shared" si="166"/>
        <v>149999.99650093223</v>
      </c>
      <c r="O85" s="110">
        <f t="shared" si="166"/>
        <v>138522.57140527674</v>
      </c>
      <c r="P85" s="110">
        <f t="shared" si="166"/>
        <v>130030.83971982749</v>
      </c>
      <c r="Q85" s="110">
        <f t="shared" si="166"/>
        <v>149999.99583946177</v>
      </c>
      <c r="R85" s="110">
        <f t="shared" si="166"/>
        <v>148851.58806458337</v>
      </c>
      <c r="S85" s="110">
        <f t="shared" si="166"/>
        <v>149999.99693849729</v>
      </c>
      <c r="T85" s="110">
        <f t="shared" si="166"/>
        <v>113064.59406014616</v>
      </c>
      <c r="U85" s="110">
        <f t="shared" si="166"/>
        <v>117923.94613070665</v>
      </c>
      <c r="V85" s="110">
        <f t="shared" si="166"/>
        <v>94899.842960343944</v>
      </c>
      <c r="W85" s="110">
        <f t="shared" ref="W85:Y85" si="167">IF(W17=0,0,W17/W28*1000000)</f>
        <v>138906.03263623474</v>
      </c>
      <c r="X85" s="110">
        <f t="shared" si="167"/>
        <v>119005.82790988828</v>
      </c>
      <c r="Y85" s="110">
        <f t="shared" si="167"/>
        <v>148393.95016602724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149999.99958681897</v>
      </c>
      <c r="C86" s="84">
        <f t="shared" si="161"/>
        <v>149999.99244786918</v>
      </c>
      <c r="D86" s="84">
        <f t="shared" si="161"/>
        <v>149999.99469890355</v>
      </c>
      <c r="E86" s="84">
        <f t="shared" si="161"/>
        <v>149999.99441972826</v>
      </c>
      <c r="F86" s="84">
        <f t="shared" si="161"/>
        <v>149999.99607322912</v>
      </c>
      <c r="G86" s="84">
        <f t="shared" si="161"/>
        <v>149999.99616809582</v>
      </c>
      <c r="H86" s="84">
        <f t="shared" si="161"/>
        <v>149999.99796869728</v>
      </c>
      <c r="I86" s="84">
        <f t="shared" si="161"/>
        <v>149999.9948928151</v>
      </c>
      <c r="J86" s="84">
        <f t="shared" si="161"/>
        <v>149999.99721774505</v>
      </c>
      <c r="K86" s="84">
        <f t="shared" ref="K86:V86" si="168">IF(K18=0,0,K18/K29*1000000)</f>
        <v>149999.99634442193</v>
      </c>
      <c r="L86" s="84">
        <f t="shared" si="168"/>
        <v>149999.99073446597</v>
      </c>
      <c r="M86" s="84">
        <f t="shared" si="168"/>
        <v>149999.9916657896</v>
      </c>
      <c r="N86" s="84">
        <f t="shared" si="168"/>
        <v>149999.99929724581</v>
      </c>
      <c r="O86" s="84">
        <f t="shared" si="168"/>
        <v>149999.99827096477</v>
      </c>
      <c r="P86" s="84">
        <f t="shared" si="168"/>
        <v>149999.9918106421</v>
      </c>
      <c r="Q86" s="84">
        <f t="shared" si="168"/>
        <v>149999.9971612693</v>
      </c>
      <c r="R86" s="84">
        <f t="shared" si="168"/>
        <v>146862.76050062882</v>
      </c>
      <c r="S86" s="84">
        <f t="shared" si="168"/>
        <v>149999.99553590972</v>
      </c>
      <c r="T86" s="84">
        <f t="shared" si="168"/>
        <v>149999.99780025706</v>
      </c>
      <c r="U86" s="84">
        <f t="shared" si="168"/>
        <v>148892.17229756119</v>
      </c>
      <c r="V86" s="84">
        <f t="shared" si="168"/>
        <v>55810.309730220739</v>
      </c>
      <c r="W86" s="84">
        <f t="shared" ref="W86:Y86" si="169">IF(W18=0,0,W18/W29*1000000)</f>
        <v>85477.98511102458</v>
      </c>
      <c r="X86" s="84">
        <f t="shared" si="169"/>
        <v>82291.968674307209</v>
      </c>
      <c r="Y86" s="84">
        <f t="shared" si="169"/>
        <v>149999.99944908381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149999.99999217747</v>
      </c>
      <c r="C87" s="84">
        <f t="shared" si="161"/>
        <v>149999.99586855309</v>
      </c>
      <c r="D87" s="84">
        <f t="shared" si="161"/>
        <v>149999.99765777451</v>
      </c>
      <c r="E87" s="84">
        <f t="shared" si="161"/>
        <v>149999.99896662938</v>
      </c>
      <c r="F87" s="84">
        <f t="shared" si="161"/>
        <v>149999.99914336583</v>
      </c>
      <c r="G87" s="84">
        <f t="shared" si="161"/>
        <v>149999.99739651239</v>
      </c>
      <c r="H87" s="84">
        <f t="shared" si="161"/>
        <v>149999.99824065494</v>
      </c>
      <c r="I87" s="84">
        <f t="shared" si="161"/>
        <v>149999.99655576766</v>
      </c>
      <c r="J87" s="84">
        <f t="shared" si="161"/>
        <v>149999.9970383959</v>
      </c>
      <c r="K87" s="84">
        <f t="shared" ref="K87:V87" si="170">IF(K19=0,0,K19/K30*1000000)</f>
        <v>139394.89210215749</v>
      </c>
      <c r="L87" s="84">
        <f t="shared" si="170"/>
        <v>149999.99850799932</v>
      </c>
      <c r="M87" s="84">
        <f t="shared" si="170"/>
        <v>132470.92162569589</v>
      </c>
      <c r="N87" s="84">
        <f t="shared" si="170"/>
        <v>149999.99530074254</v>
      </c>
      <c r="O87" s="84">
        <f t="shared" si="170"/>
        <v>132537.10162369523</v>
      </c>
      <c r="P87" s="84">
        <f t="shared" si="170"/>
        <v>117615.84789409605</v>
      </c>
      <c r="Q87" s="84">
        <f t="shared" si="170"/>
        <v>149999.99491396558</v>
      </c>
      <c r="R87" s="84">
        <f t="shared" si="170"/>
        <v>149999.99911871462</v>
      </c>
      <c r="S87" s="84">
        <f t="shared" si="170"/>
        <v>149999.9973680113</v>
      </c>
      <c r="T87" s="84">
        <f t="shared" si="170"/>
        <v>101939.43082741988</v>
      </c>
      <c r="U87" s="84">
        <f t="shared" si="170"/>
        <v>109107.51778415106</v>
      </c>
      <c r="V87" s="84">
        <f t="shared" si="170"/>
        <v>105334.22185649117</v>
      </c>
      <c r="W87" s="84">
        <f t="shared" ref="W87:Y87" si="171">IF(W19=0,0,W19/W30*1000000)</f>
        <v>149999.99968214988</v>
      </c>
      <c r="X87" s="84">
        <f t="shared" si="171"/>
        <v>125946.31138263521</v>
      </c>
      <c r="Y87" s="84">
        <f t="shared" si="171"/>
        <v>148096.48803589988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449997.24058295868</v>
      </c>
      <c r="K88" s="113">
        <f t="shared" ref="K88:V88" si="172">IF(K20=0,0,K20/K31*1000000)</f>
        <v>449998.34248259437</v>
      </c>
      <c r="L88" s="113">
        <f t="shared" si="172"/>
        <v>428995.2850487149</v>
      </c>
      <c r="M88" s="113">
        <f t="shared" si="172"/>
        <v>371707.09480929025</v>
      </c>
      <c r="N88" s="113">
        <f t="shared" si="172"/>
        <v>347180.96685266553</v>
      </c>
      <c r="O88" s="113">
        <f t="shared" si="172"/>
        <v>319997.84170073981</v>
      </c>
      <c r="P88" s="113">
        <f t="shared" si="172"/>
        <v>227220.94989148548</v>
      </c>
      <c r="Q88" s="113">
        <f t="shared" si="172"/>
        <v>169020.65787544029</v>
      </c>
      <c r="R88" s="113">
        <f t="shared" si="172"/>
        <v>116548.16004988068</v>
      </c>
      <c r="S88" s="113">
        <f t="shared" si="172"/>
        <v>44365.040348205614</v>
      </c>
      <c r="T88" s="113">
        <f t="shared" si="172"/>
        <v>51414.031197961456</v>
      </c>
      <c r="U88" s="113">
        <f t="shared" si="172"/>
        <v>48794.255697247172</v>
      </c>
      <c r="V88" s="113">
        <f t="shared" si="172"/>
        <v>29939.460892191968</v>
      </c>
      <c r="W88" s="113">
        <f t="shared" ref="W88:Y88" si="173">IF(W20=0,0,W20/W31*1000000)</f>
        <v>449999.50469839625</v>
      </c>
      <c r="X88" s="113">
        <f t="shared" si="173"/>
        <v>449999.63125680084</v>
      </c>
      <c r="Y88" s="113">
        <f t="shared" si="173"/>
        <v>449999.97838074178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199999.99255861557</v>
      </c>
      <c r="C89" s="28">
        <f t="shared" si="161"/>
        <v>199999.9893978808</v>
      </c>
      <c r="D89" s="28">
        <f t="shared" si="161"/>
        <v>199999.99317114326</v>
      </c>
      <c r="E89" s="28">
        <f t="shared" si="161"/>
        <v>199999.99399884205</v>
      </c>
      <c r="F89" s="28">
        <f t="shared" si="161"/>
        <v>199999.99393051415</v>
      </c>
      <c r="G89" s="28">
        <f t="shared" si="161"/>
        <v>199999.99612839392</v>
      </c>
      <c r="H89" s="28">
        <f t="shared" si="161"/>
        <v>199999.99444514536</v>
      </c>
      <c r="I89" s="28">
        <f t="shared" si="161"/>
        <v>199999.99406711714</v>
      </c>
      <c r="J89" s="28">
        <f t="shared" si="161"/>
        <v>194707.05455130621</v>
      </c>
      <c r="K89" s="28">
        <f t="shared" ref="K89:V89" si="174">IF(K21=0,0,K21/K32*1000000)</f>
        <v>159971.32989247327</v>
      </c>
      <c r="L89" s="28">
        <f t="shared" si="174"/>
        <v>199669.81840012738</v>
      </c>
      <c r="M89" s="28">
        <f t="shared" si="174"/>
        <v>199999.99647704969</v>
      </c>
      <c r="N89" s="28">
        <f t="shared" si="174"/>
        <v>198646.22784169621</v>
      </c>
      <c r="O89" s="28">
        <f t="shared" si="174"/>
        <v>199999.99104375709</v>
      </c>
      <c r="P89" s="28">
        <f t="shared" si="174"/>
        <v>199999.99507491934</v>
      </c>
      <c r="Q89" s="28">
        <f t="shared" si="174"/>
        <v>195203.32403759012</v>
      </c>
      <c r="R89" s="28">
        <f t="shared" si="174"/>
        <v>190730.85309368485</v>
      </c>
      <c r="S89" s="28">
        <f t="shared" si="174"/>
        <v>190052.20471280476</v>
      </c>
      <c r="T89" s="28">
        <f t="shared" si="174"/>
        <v>191678.96010208855</v>
      </c>
      <c r="U89" s="28">
        <f t="shared" si="174"/>
        <v>191042.11830156352</v>
      </c>
      <c r="V89" s="28">
        <f t="shared" si="174"/>
        <v>183022.34241544039</v>
      </c>
      <c r="W89" s="28">
        <f t="shared" ref="W89:Y89" si="175">IF(W21=0,0,W21/W32*1000000)</f>
        <v>167752.45762543197</v>
      </c>
      <c r="X89" s="28">
        <f t="shared" si="175"/>
        <v>199999.9976218791</v>
      </c>
      <c r="Y89" s="28">
        <f t="shared" si="175"/>
        <v>176648.75111897063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199999.98811430647</v>
      </c>
      <c r="C90" s="84">
        <f t="shared" si="161"/>
        <v>199999.97537486409</v>
      </c>
      <c r="D90" s="84">
        <f t="shared" si="161"/>
        <v>199999.98588048236</v>
      </c>
      <c r="E90" s="84">
        <f t="shared" si="161"/>
        <v>199999.97506046869</v>
      </c>
      <c r="F90" s="84">
        <f t="shared" si="161"/>
        <v>199999.99089954703</v>
      </c>
      <c r="G90" s="84">
        <f t="shared" si="161"/>
        <v>199999.99579345944</v>
      </c>
      <c r="H90" s="84">
        <f t="shared" si="161"/>
        <v>199999.99984471133</v>
      </c>
      <c r="I90" s="84">
        <f t="shared" si="161"/>
        <v>199999.97428275543</v>
      </c>
      <c r="J90" s="84">
        <f t="shared" si="161"/>
        <v>168994.76389807521</v>
      </c>
      <c r="K90" s="84">
        <f t="shared" ref="K90:V90" si="176">IF(K22=0,0,K22/K33*1000000)</f>
        <v>158657.79997608985</v>
      </c>
      <c r="L90" s="84">
        <f t="shared" si="176"/>
        <v>197870.96882427082</v>
      </c>
      <c r="M90" s="84">
        <f t="shared" si="176"/>
        <v>199999.98602405729</v>
      </c>
      <c r="N90" s="84">
        <f t="shared" si="176"/>
        <v>199080.2822472314</v>
      </c>
      <c r="O90" s="84">
        <f t="shared" si="176"/>
        <v>199999.97809980728</v>
      </c>
      <c r="P90" s="84">
        <f t="shared" si="176"/>
        <v>199999.98877424441</v>
      </c>
      <c r="Q90" s="84">
        <f t="shared" si="176"/>
        <v>177405.43902380945</v>
      </c>
      <c r="R90" s="84">
        <f t="shared" si="176"/>
        <v>149968.23983388097</v>
      </c>
      <c r="S90" s="84">
        <f t="shared" si="176"/>
        <v>135258.08658498255</v>
      </c>
      <c r="T90" s="84">
        <f t="shared" si="176"/>
        <v>126850.68914725228</v>
      </c>
      <c r="U90" s="84">
        <f t="shared" si="176"/>
        <v>117648.77878581556</v>
      </c>
      <c r="V90" s="84">
        <f t="shared" si="176"/>
        <v>158048.91584531186</v>
      </c>
      <c r="W90" s="84">
        <f t="shared" ref="W90:Y90" si="177">IF(W22=0,0,W22/W33*1000000)</f>
        <v>199999.99618411897</v>
      </c>
      <c r="X90" s="84">
        <f t="shared" si="177"/>
        <v>199999.99034557285</v>
      </c>
      <c r="Y90" s="84">
        <f t="shared" si="177"/>
        <v>172076.53904607709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199999.99377098764</v>
      </c>
      <c r="C91" s="86">
        <f t="shared" si="161"/>
        <v>199999.99286286236</v>
      </c>
      <c r="D91" s="86">
        <f t="shared" si="161"/>
        <v>199999.99513468321</v>
      </c>
      <c r="E91" s="86">
        <f t="shared" si="161"/>
        <v>199999.99875300322</v>
      </c>
      <c r="F91" s="86">
        <f t="shared" si="161"/>
        <v>199999.99470931193</v>
      </c>
      <c r="G91" s="86">
        <f t="shared" si="161"/>
        <v>199999.99621430074</v>
      </c>
      <c r="H91" s="86">
        <f t="shared" si="161"/>
        <v>199999.99315294146</v>
      </c>
      <c r="I91" s="86">
        <f t="shared" si="161"/>
        <v>199999.99853598874</v>
      </c>
      <c r="J91" s="86">
        <f t="shared" si="161"/>
        <v>199999.99728415193</v>
      </c>
      <c r="K91" s="86">
        <f t="shared" ref="K91:V91" si="178">IF(K23=0,0,K23/K34*1000000)</f>
        <v>160235.42629151998</v>
      </c>
      <c r="L91" s="86">
        <f t="shared" si="178"/>
        <v>199999.99760981317</v>
      </c>
      <c r="M91" s="86">
        <f t="shared" si="178"/>
        <v>199999.99855778375</v>
      </c>
      <c r="N91" s="86">
        <f t="shared" si="178"/>
        <v>198562.09018335087</v>
      </c>
      <c r="O91" s="86">
        <f t="shared" si="178"/>
        <v>199999.99361545904</v>
      </c>
      <c r="P91" s="86">
        <f t="shared" si="178"/>
        <v>199999.99697971335</v>
      </c>
      <c r="Q91" s="86">
        <f t="shared" si="178"/>
        <v>199999.99649361323</v>
      </c>
      <c r="R91" s="86">
        <f t="shared" si="178"/>
        <v>199999.99592991179</v>
      </c>
      <c r="S91" s="86">
        <f t="shared" si="178"/>
        <v>199999.99783563838</v>
      </c>
      <c r="T91" s="86">
        <f t="shared" si="178"/>
        <v>199999.99981676706</v>
      </c>
      <c r="U91" s="86">
        <f t="shared" si="178"/>
        <v>199999.99726762535</v>
      </c>
      <c r="V91" s="86">
        <f t="shared" si="178"/>
        <v>185924.54498259371</v>
      </c>
      <c r="W91" s="86">
        <f t="shared" ref="W91:Y91" si="179">IF(W23=0,0,W23/W34*1000000)</f>
        <v>164190.23662816963</v>
      </c>
      <c r="X91" s="86">
        <f t="shared" si="179"/>
        <v>199999.99843744352</v>
      </c>
      <c r="Y91" s="86">
        <f t="shared" si="179"/>
        <v>177132.74069837047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21122127.240892921</v>
      </c>
      <c r="C94" s="28">
        <f t="shared" si="180"/>
        <v>20538816.755032409</v>
      </c>
      <c r="D94" s="28">
        <f t="shared" si="180"/>
        <v>20153670.526933189</v>
      </c>
      <c r="E94" s="28">
        <f t="shared" si="180"/>
        <v>18624710.172423583</v>
      </c>
      <c r="F94" s="28">
        <f t="shared" si="180"/>
        <v>15262243.778220054</v>
      </c>
      <c r="G94" s="28">
        <f t="shared" si="180"/>
        <v>14769733.054402664</v>
      </c>
      <c r="H94" s="28">
        <f t="shared" si="180"/>
        <v>14557695.585957907</v>
      </c>
      <c r="I94" s="28">
        <f t="shared" si="180"/>
        <v>14439267.815168628</v>
      </c>
      <c r="J94" s="28">
        <f t="shared" si="180"/>
        <v>14952732.65293904</v>
      </c>
      <c r="K94" s="28">
        <f t="shared" ref="K94:V94" si="181">IF(K4=0,0,K4/K26*1000000)</f>
        <v>15846305.351908211</v>
      </c>
      <c r="L94" s="28">
        <f t="shared" si="181"/>
        <v>15777397.157990832</v>
      </c>
      <c r="M94" s="28">
        <f t="shared" si="181"/>
        <v>15232221.068739496</v>
      </c>
      <c r="N94" s="28">
        <f t="shared" si="181"/>
        <v>15047940.592283288</v>
      </c>
      <c r="O94" s="28">
        <f t="shared" si="181"/>
        <v>15531070.902335091</v>
      </c>
      <c r="P94" s="28">
        <f t="shared" si="181"/>
        <v>14251263.989425745</v>
      </c>
      <c r="Q94" s="28">
        <f t="shared" si="181"/>
        <v>13723586.984628772</v>
      </c>
      <c r="R94" s="28">
        <f t="shared" si="181"/>
        <v>12853598.605803188</v>
      </c>
      <c r="S94" s="28">
        <f t="shared" si="181"/>
        <v>7752847.8080203366</v>
      </c>
      <c r="T94" s="28">
        <f t="shared" si="181"/>
        <v>8026443.5138260508</v>
      </c>
      <c r="U94" s="28">
        <f t="shared" si="181"/>
        <v>8483077.9501727745</v>
      </c>
      <c r="V94" s="28">
        <f t="shared" si="181"/>
        <v>5273782.2419425622</v>
      </c>
      <c r="W94" s="28">
        <f t="shared" ref="W94:Y94" si="182">IF(W4=0,0,W4/W26*1000000)</f>
        <v>7162078.9406330315</v>
      </c>
      <c r="X94" s="28">
        <f t="shared" si="182"/>
        <v>9616636.5844855718</v>
      </c>
      <c r="Y94" s="28">
        <f t="shared" si="182"/>
        <v>11394488.875784718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:Y95" si="184">IF(W5=0,0,W5/W27*1000000)</f>
        <v>0</v>
      </c>
      <c r="X95" s="108">
        <f t="shared" si="184"/>
        <v>0</v>
      </c>
      <c r="Y95" s="108">
        <f t="shared" si="184"/>
        <v>0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21122127.240892921</v>
      </c>
      <c r="C96" s="110">
        <f t="shared" si="180"/>
        <v>20538816.755032409</v>
      </c>
      <c r="D96" s="110">
        <f t="shared" si="180"/>
        <v>20153670.526933189</v>
      </c>
      <c r="E96" s="110">
        <f t="shared" si="180"/>
        <v>18624710.172423583</v>
      </c>
      <c r="F96" s="110">
        <f t="shared" si="180"/>
        <v>15262243.778220054</v>
      </c>
      <c r="G96" s="110">
        <f t="shared" si="180"/>
        <v>14769733.054402664</v>
      </c>
      <c r="H96" s="110">
        <f t="shared" si="180"/>
        <v>14557695.585957907</v>
      </c>
      <c r="I96" s="110">
        <f t="shared" si="180"/>
        <v>14439267.815168628</v>
      </c>
      <c r="J96" s="110">
        <f t="shared" si="180"/>
        <v>14724283.670951746</v>
      </c>
      <c r="K96" s="110">
        <f t="shared" ref="K96:V96" si="185">IF(K6=0,0,K6/K28*1000000)</f>
        <v>15571553.458284661</v>
      </c>
      <c r="L96" s="110">
        <f t="shared" si="185"/>
        <v>15506572.732038302</v>
      </c>
      <c r="M96" s="110">
        <f t="shared" si="185"/>
        <v>14992589.578758957</v>
      </c>
      <c r="N96" s="110">
        <f t="shared" si="185"/>
        <v>14833162.45123098</v>
      </c>
      <c r="O96" s="110">
        <f t="shared" si="185"/>
        <v>15336833.087129653</v>
      </c>
      <c r="P96" s="110">
        <f t="shared" si="185"/>
        <v>14128440.980877915</v>
      </c>
      <c r="Q96" s="110">
        <f t="shared" si="185"/>
        <v>13650968.980826857</v>
      </c>
      <c r="R96" s="110">
        <f t="shared" si="185"/>
        <v>12816526.618686568</v>
      </c>
      <c r="S96" s="110">
        <f t="shared" si="185"/>
        <v>7749482.7759409081</v>
      </c>
      <c r="T96" s="110">
        <f t="shared" si="185"/>
        <v>8020052.4399048835</v>
      </c>
      <c r="U96" s="110">
        <f t="shared" si="185"/>
        <v>8478245.4786432404</v>
      </c>
      <c r="V96" s="110">
        <f t="shared" si="185"/>
        <v>5281285.8028665902</v>
      </c>
      <c r="W96" s="110">
        <f t="shared" ref="W96:Y96" si="186">IF(W6=0,0,W6/W28*1000000)</f>
        <v>6816872.5226402711</v>
      </c>
      <c r="X96" s="110">
        <f t="shared" si="186"/>
        <v>9097089.7794644814</v>
      </c>
      <c r="Y96" s="110">
        <f t="shared" si="186"/>
        <v>10082840.901357356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19425564.149811082</v>
      </c>
      <c r="C97" s="84">
        <f t="shared" si="180"/>
        <v>17988529.365836475</v>
      </c>
      <c r="D97" s="84">
        <f t="shared" si="180"/>
        <v>16901917.753641497</v>
      </c>
      <c r="E97" s="84">
        <f t="shared" si="180"/>
        <v>15674714.977576844</v>
      </c>
      <c r="F97" s="84">
        <f t="shared" si="180"/>
        <v>14766851.015658246</v>
      </c>
      <c r="G97" s="84">
        <f t="shared" si="180"/>
        <v>15399949.024295246</v>
      </c>
      <c r="H97" s="84">
        <f t="shared" si="180"/>
        <v>15013554.456838179</v>
      </c>
      <c r="I97" s="84">
        <f t="shared" si="180"/>
        <v>14985024.263635308</v>
      </c>
      <c r="J97" s="84">
        <f t="shared" si="180"/>
        <v>16203985.328017289</v>
      </c>
      <c r="K97" s="84">
        <f t="shared" ref="K97:V97" si="187">IF(K7=0,0,K7/K29*1000000)</f>
        <v>16642094.139232021</v>
      </c>
      <c r="L97" s="84">
        <f t="shared" si="187"/>
        <v>17376053.267559338</v>
      </c>
      <c r="M97" s="84">
        <f t="shared" si="187"/>
        <v>15218788.447641259</v>
      </c>
      <c r="N97" s="84">
        <f t="shared" si="187"/>
        <v>16078485.367548786</v>
      </c>
      <c r="O97" s="84">
        <f t="shared" si="187"/>
        <v>14905846.24413343</v>
      </c>
      <c r="P97" s="84">
        <f t="shared" si="187"/>
        <v>13680149.767257435</v>
      </c>
      <c r="Q97" s="84">
        <f t="shared" si="187"/>
        <v>12028658.094854651</v>
      </c>
      <c r="R97" s="84">
        <f t="shared" si="187"/>
        <v>11693498.791734368</v>
      </c>
      <c r="S97" s="84">
        <f t="shared" si="187"/>
        <v>11263602.580144873</v>
      </c>
      <c r="T97" s="84">
        <f t="shared" si="187"/>
        <v>11885942.046704141</v>
      </c>
      <c r="U97" s="84">
        <f t="shared" si="187"/>
        <v>12273269.528406976</v>
      </c>
      <c r="V97" s="84">
        <f t="shared" si="187"/>
        <v>3671070.9267655341</v>
      </c>
      <c r="W97" s="84">
        <f t="shared" ref="W97:Y97" si="188">IF(W7=0,0,W7/W29*1000000)</f>
        <v>5892875.6876281463</v>
      </c>
      <c r="X97" s="84">
        <f t="shared" si="188"/>
        <v>7768407.3744615214</v>
      </c>
      <c r="Y97" s="84">
        <f t="shared" si="188"/>
        <v>12598544.259651698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22404868.191498473</v>
      </c>
      <c r="C98" s="84">
        <f t="shared" si="180"/>
        <v>22342701.208759367</v>
      </c>
      <c r="D98" s="84">
        <f t="shared" si="180"/>
        <v>22342562.408440959</v>
      </c>
      <c r="E98" s="84">
        <f t="shared" si="180"/>
        <v>20541246.032499347</v>
      </c>
      <c r="F98" s="84">
        <f t="shared" si="180"/>
        <v>15519490.264094012</v>
      </c>
      <c r="G98" s="84">
        <f t="shared" si="180"/>
        <v>14482520.488341838</v>
      </c>
      <c r="H98" s="84">
        <f t="shared" si="180"/>
        <v>14349816.722047532</v>
      </c>
      <c r="I98" s="84">
        <f t="shared" si="180"/>
        <v>14187641.976421708</v>
      </c>
      <c r="J98" s="84">
        <f t="shared" si="180"/>
        <v>14100079.640894257</v>
      </c>
      <c r="K98" s="84">
        <f t="shared" ref="K98:V98" si="189">IF(K8=0,0,K8/K30*1000000)</f>
        <v>15110101.790489269</v>
      </c>
      <c r="L98" s="84">
        <f t="shared" si="189"/>
        <v>14738854.38284938</v>
      </c>
      <c r="M98" s="84">
        <f t="shared" si="189"/>
        <v>14887122.241954019</v>
      </c>
      <c r="N98" s="84">
        <f t="shared" si="189"/>
        <v>14298664.553948781</v>
      </c>
      <c r="O98" s="84">
        <f t="shared" si="189"/>
        <v>15561592.412996065</v>
      </c>
      <c r="P98" s="84">
        <f t="shared" si="189"/>
        <v>14407147.444093525</v>
      </c>
      <c r="Q98" s="84">
        <f t="shared" si="189"/>
        <v>14786870.00931784</v>
      </c>
      <c r="R98" s="84">
        <f t="shared" si="189"/>
        <v>13464997.905963231</v>
      </c>
      <c r="S98" s="84">
        <f t="shared" si="189"/>
        <v>6673354.8707127143</v>
      </c>
      <c r="T98" s="84">
        <f t="shared" si="189"/>
        <v>6855623.5028892178</v>
      </c>
      <c r="U98" s="84">
        <f t="shared" si="189"/>
        <v>7397829.7832810031</v>
      </c>
      <c r="V98" s="84">
        <f t="shared" si="189"/>
        <v>5711109.1016647341</v>
      </c>
      <c r="W98" s="84">
        <f t="shared" ref="W98:Y98" si="190">IF(W8=0,0,W8/W30*1000000)</f>
        <v>7008734.1180563774</v>
      </c>
      <c r="X98" s="84">
        <f t="shared" si="190"/>
        <v>9348267.3582986761</v>
      </c>
      <c r="Y98" s="84">
        <f t="shared" si="190"/>
        <v>9616898.4874966107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89150396.719265386</v>
      </c>
      <c r="K99" s="113">
        <f t="shared" ref="K99:V99" si="191">IF(K9=0,0,K9/K31*1000000)</f>
        <v>95924411.563687816</v>
      </c>
      <c r="L99" s="113">
        <f t="shared" si="191"/>
        <v>90528663.413230374</v>
      </c>
      <c r="M99" s="113">
        <f t="shared" si="191"/>
        <v>79976978.141224727</v>
      </c>
      <c r="N99" s="113">
        <f t="shared" si="191"/>
        <v>71223875.586038202</v>
      </c>
      <c r="O99" s="113">
        <f t="shared" si="191"/>
        <v>66247796.736171909</v>
      </c>
      <c r="P99" s="113">
        <f t="shared" si="191"/>
        <v>46163623.065024756</v>
      </c>
      <c r="Q99" s="113">
        <f t="shared" si="191"/>
        <v>33573544.047290735</v>
      </c>
      <c r="R99" s="113">
        <f t="shared" si="191"/>
        <v>23381575.318648901</v>
      </c>
      <c r="S99" s="113">
        <f t="shared" si="191"/>
        <v>9232724.6130049527</v>
      </c>
      <c r="T99" s="113">
        <f t="shared" si="191"/>
        <v>10731543.543687573</v>
      </c>
      <c r="U99" s="113">
        <f t="shared" si="191"/>
        <v>10431779.75755105</v>
      </c>
      <c r="V99" s="113">
        <f t="shared" si="191"/>
        <v>2398110.2890921957</v>
      </c>
      <c r="W99" s="113">
        <f t="shared" ref="W99:Y99" si="192">IF(W9=0,0,W9/W31*1000000)</f>
        <v>67977199.943604112</v>
      </c>
      <c r="X99" s="113">
        <f t="shared" si="192"/>
        <v>89101182.153590426</v>
      </c>
      <c r="Y99" s="113">
        <f t="shared" si="192"/>
        <v>99918277.366827339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113658628.27919763</v>
      </c>
      <c r="C100" s="28">
        <f t="shared" si="180"/>
        <v>101942077.42430711</v>
      </c>
      <c r="D100" s="28">
        <f t="shared" si="180"/>
        <v>102546142.76581939</v>
      </c>
      <c r="E100" s="28">
        <f t="shared" si="180"/>
        <v>100962431.57144076</v>
      </c>
      <c r="F100" s="28">
        <f t="shared" si="180"/>
        <v>99532403.154718861</v>
      </c>
      <c r="G100" s="28">
        <f t="shared" si="180"/>
        <v>98786981.111868322</v>
      </c>
      <c r="H100" s="28">
        <f t="shared" si="180"/>
        <v>98128888.93543683</v>
      </c>
      <c r="I100" s="28">
        <f t="shared" si="180"/>
        <v>100257762.34524916</v>
      </c>
      <c r="J100" s="28">
        <f t="shared" si="180"/>
        <v>98783561.820366636</v>
      </c>
      <c r="K100" s="28">
        <f t="shared" ref="K100:V100" si="193">IF(K10=0,0,K10/K32*1000000)</f>
        <v>85054881.987181544</v>
      </c>
      <c r="L100" s="28">
        <f t="shared" si="193"/>
        <v>105991178.47287872</v>
      </c>
      <c r="M100" s="28">
        <f t="shared" si="193"/>
        <v>104658622.51344766</v>
      </c>
      <c r="N100" s="28">
        <f t="shared" si="193"/>
        <v>104090979.47571865</v>
      </c>
      <c r="O100" s="28">
        <f t="shared" si="193"/>
        <v>103493889.97844881</v>
      </c>
      <c r="P100" s="28">
        <f t="shared" si="193"/>
        <v>104214460.68192516</v>
      </c>
      <c r="Q100" s="28">
        <f t="shared" si="193"/>
        <v>102866498.79839611</v>
      </c>
      <c r="R100" s="28">
        <f t="shared" si="193"/>
        <v>100000573.39778323</v>
      </c>
      <c r="S100" s="28">
        <f t="shared" si="193"/>
        <v>104517395.51210703</v>
      </c>
      <c r="T100" s="28">
        <f t="shared" si="193"/>
        <v>83706465.751648217</v>
      </c>
      <c r="U100" s="28">
        <f t="shared" si="193"/>
        <v>89091437.040165633</v>
      </c>
      <c r="V100" s="28">
        <f t="shared" si="193"/>
        <v>83078465.32522662</v>
      </c>
      <c r="W100" s="28">
        <f t="shared" ref="W100:Y100" si="194">IF(W10=0,0,W10/W32*1000000)</f>
        <v>90753636.432219222</v>
      </c>
      <c r="X100" s="28">
        <f t="shared" si="194"/>
        <v>83742030.296636268</v>
      </c>
      <c r="Y100" s="28">
        <f t="shared" si="194"/>
        <v>82171027.784351692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138334354.906638</v>
      </c>
      <c r="C101" s="84">
        <f t="shared" si="180"/>
        <v>132734932.40051343</v>
      </c>
      <c r="D101" s="84">
        <f t="shared" si="180"/>
        <v>121505393.12623619</v>
      </c>
      <c r="E101" s="84">
        <f t="shared" si="180"/>
        <v>125244772.0923873</v>
      </c>
      <c r="F101" s="84">
        <f t="shared" si="180"/>
        <v>114367371.83879933</v>
      </c>
      <c r="G101" s="84">
        <f t="shared" si="180"/>
        <v>117003445.79341032</v>
      </c>
      <c r="H101" s="84">
        <f t="shared" si="180"/>
        <v>120569529.58232956</v>
      </c>
      <c r="I101" s="84">
        <f t="shared" si="180"/>
        <v>122711035.18999703</v>
      </c>
      <c r="J101" s="84">
        <f t="shared" si="180"/>
        <v>125622053.68925844</v>
      </c>
      <c r="K101" s="84">
        <f t="shared" ref="K101:V101" si="195">IF(K11=0,0,K11/K33*1000000)</f>
        <v>118310043.45851055</v>
      </c>
      <c r="L101" s="84">
        <f t="shared" si="195"/>
        <v>148719822.39476755</v>
      </c>
      <c r="M101" s="84">
        <f t="shared" si="195"/>
        <v>130546915.87830149</v>
      </c>
      <c r="N101" s="84">
        <f t="shared" si="195"/>
        <v>126825213.20329952</v>
      </c>
      <c r="O101" s="84">
        <f t="shared" si="195"/>
        <v>128790512.79322025</v>
      </c>
      <c r="P101" s="84">
        <f t="shared" si="195"/>
        <v>129531536.72699702</v>
      </c>
      <c r="Q101" s="84">
        <f t="shared" si="195"/>
        <v>112628704.44606894</v>
      </c>
      <c r="R101" s="84">
        <f t="shared" si="195"/>
        <v>94676670.396960601</v>
      </c>
      <c r="S101" s="84">
        <f t="shared" si="195"/>
        <v>90850274.993212119</v>
      </c>
      <c r="T101" s="84">
        <f t="shared" si="195"/>
        <v>86637560.29827866</v>
      </c>
      <c r="U101" s="84">
        <f t="shared" si="195"/>
        <v>81584396.694256783</v>
      </c>
      <c r="V101" s="84">
        <f t="shared" si="195"/>
        <v>90644518.240839973</v>
      </c>
      <c r="W101" s="84">
        <f t="shared" ref="W101:Y101" si="196">IF(W11=0,0,W11/W33*1000000)</f>
        <v>100888843.23759913</v>
      </c>
      <c r="X101" s="84">
        <f t="shared" si="196"/>
        <v>101408302.00481927</v>
      </c>
      <c r="Y101" s="84">
        <f t="shared" si="196"/>
        <v>100859463.79176204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106927287.05882134</v>
      </c>
      <c r="C102" s="86">
        <f t="shared" si="180"/>
        <v>94333395.419176742</v>
      </c>
      <c r="D102" s="86">
        <f t="shared" si="180"/>
        <v>97439987.601458505</v>
      </c>
      <c r="E102" s="86">
        <f t="shared" si="180"/>
        <v>94866757.041778624</v>
      </c>
      <c r="F102" s="86">
        <f t="shared" si="180"/>
        <v>95720603.171408862</v>
      </c>
      <c r="G102" s="86">
        <f t="shared" si="180"/>
        <v>94114668.295863912</v>
      </c>
      <c r="H102" s="86">
        <f t="shared" si="180"/>
        <v>92758478.931362659</v>
      </c>
      <c r="I102" s="86">
        <f t="shared" si="180"/>
        <v>95186039.819006965</v>
      </c>
      <c r="J102" s="86">
        <f t="shared" si="180"/>
        <v>93258787.601927266</v>
      </c>
      <c r="K102" s="86">
        <f t="shared" ref="K102:V102" si="197">IF(K12=0,0,K12/K34*1000000)</f>
        <v>78368647.98158215</v>
      </c>
      <c r="L102" s="86">
        <f t="shared" si="197"/>
        <v>98148327.091401681</v>
      </c>
      <c r="M102" s="86">
        <f t="shared" si="197"/>
        <v>99505394.502608523</v>
      </c>
      <c r="N102" s="86">
        <f t="shared" si="197"/>
        <v>99684146.678444475</v>
      </c>
      <c r="O102" s="86">
        <f t="shared" si="197"/>
        <v>98467960.840715989</v>
      </c>
      <c r="P102" s="86">
        <f t="shared" si="197"/>
        <v>96560706.950759262</v>
      </c>
      <c r="Q102" s="86">
        <f t="shared" si="197"/>
        <v>100235506.24484444</v>
      </c>
      <c r="R102" s="86">
        <f t="shared" si="197"/>
        <v>101211192.9683765</v>
      </c>
      <c r="S102" s="86">
        <f t="shared" si="197"/>
        <v>106998641.53179188</v>
      </c>
      <c r="T102" s="86">
        <f t="shared" si="197"/>
        <v>83330244.794791609</v>
      </c>
      <c r="U102" s="86">
        <f t="shared" si="197"/>
        <v>90007694.009199783</v>
      </c>
      <c r="V102" s="86">
        <f t="shared" si="197"/>
        <v>82199201.995733187</v>
      </c>
      <c r="W102" s="86">
        <f t="shared" ref="W102:Y102" si="198">IF(W12=0,0,W12/W34*1000000)</f>
        <v>89634051.865229219</v>
      </c>
      <c r="X102" s="86">
        <f t="shared" si="198"/>
        <v>81761907.053238243</v>
      </c>
      <c r="Y102" s="86">
        <f t="shared" si="198"/>
        <v>80192771.277727589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:Y106" si="203">IF(W5=0,0,W5/W$4)</f>
        <v>0</v>
      </c>
      <c r="X106" s="123">
        <f t="shared" si="203"/>
        <v>0</v>
      </c>
      <c r="Y106" s="123">
        <f t="shared" si="203"/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1</v>
      </c>
      <c r="G107" s="124">
        <f t="shared" si="199"/>
        <v>1</v>
      </c>
      <c r="H107" s="124">
        <f t="shared" si="199"/>
        <v>1</v>
      </c>
      <c r="I107" s="124">
        <f t="shared" si="199"/>
        <v>1</v>
      </c>
      <c r="J107" s="124">
        <f t="shared" si="199"/>
        <v>0.98169934640522871</v>
      </c>
      <c r="K107" s="124">
        <f t="shared" ref="K107:V107" si="204">IF(K6=0,0,K6/K$4)</f>
        <v>0.97930142302716683</v>
      </c>
      <c r="L107" s="124">
        <f t="shared" si="204"/>
        <v>0.97928669410150893</v>
      </c>
      <c r="M107" s="124">
        <f t="shared" si="204"/>
        <v>0.98063860667634251</v>
      </c>
      <c r="N107" s="124">
        <f t="shared" si="204"/>
        <v>0.9819726858877087</v>
      </c>
      <c r="O107" s="124">
        <f t="shared" si="204"/>
        <v>0.98372606774668636</v>
      </c>
      <c r="P107" s="124">
        <f t="shared" si="204"/>
        <v>0.98758064516129029</v>
      </c>
      <c r="Q107" s="124">
        <f t="shared" si="204"/>
        <v>0.9910828025477707</v>
      </c>
      <c r="R107" s="124">
        <f t="shared" si="204"/>
        <v>0.99361702127659579</v>
      </c>
      <c r="S107" s="124">
        <f t="shared" si="204"/>
        <v>0.99729824561403513</v>
      </c>
      <c r="T107" s="124">
        <f t="shared" si="204"/>
        <v>0.99684859154929584</v>
      </c>
      <c r="U107" s="124">
        <f t="shared" si="204"/>
        <v>0.99695804195804194</v>
      </c>
      <c r="V107" s="124">
        <f t="shared" si="204"/>
        <v>0.99881656804733732</v>
      </c>
      <c r="W107" s="124">
        <f t="shared" ref="W107:Y107" si="205">IF(W6=0,0,W6/W$4)</f>
        <v>0.9464285714285714</v>
      </c>
      <c r="X107" s="124">
        <f t="shared" si="205"/>
        <v>0.93983100775193806</v>
      </c>
      <c r="Y107" s="124">
        <f t="shared" si="205"/>
        <v>0.87196765498652296</v>
      </c>
      <c r="DA107" s="176"/>
    </row>
    <row r="108" spans="1:105" ht="11.45" customHeight="1" x14ac:dyDescent="0.25">
      <c r="A108" s="111" t="s">
        <v>92</v>
      </c>
      <c r="B108" s="125">
        <f t="shared" si="199"/>
        <v>0.39596802689255389</v>
      </c>
      <c r="C108" s="125">
        <f t="shared" si="199"/>
        <v>0.36284687742611083</v>
      </c>
      <c r="D108" s="125">
        <f t="shared" si="199"/>
        <v>0.33740831295843521</v>
      </c>
      <c r="E108" s="125">
        <f t="shared" si="199"/>
        <v>0.33144202976126758</v>
      </c>
      <c r="F108" s="125">
        <f t="shared" si="199"/>
        <v>0.33069840166782494</v>
      </c>
      <c r="G108" s="125">
        <f t="shared" si="199"/>
        <v>0.3264208038649703</v>
      </c>
      <c r="H108" s="125">
        <f t="shared" si="199"/>
        <v>0.32300163132137022</v>
      </c>
      <c r="I108" s="125">
        <f t="shared" si="199"/>
        <v>0.32749217702279843</v>
      </c>
      <c r="J108" s="125">
        <f t="shared" si="199"/>
        <v>0.32052836488180891</v>
      </c>
      <c r="K108" s="125">
        <f t="shared" ref="K108:V108" si="206">IF(K7=0,0,K7/K$4)</f>
        <v>0.31525504301149149</v>
      </c>
      <c r="L108" s="125">
        <f t="shared" si="206"/>
        <v>0.31945096896280928</v>
      </c>
      <c r="M108" s="125">
        <f t="shared" si="206"/>
        <v>0.31654041824421769</v>
      </c>
      <c r="N108" s="125">
        <f t="shared" si="206"/>
        <v>0.31965426933769781</v>
      </c>
      <c r="O108" s="125">
        <f t="shared" si="206"/>
        <v>0.32770048547967029</v>
      </c>
      <c r="P108" s="125">
        <f t="shared" si="206"/>
        <v>0.36659218059601212</v>
      </c>
      <c r="Q108" s="125">
        <f t="shared" si="206"/>
        <v>0.35964705107818806</v>
      </c>
      <c r="R108" s="125">
        <f t="shared" si="206"/>
        <v>0.33185087395519974</v>
      </c>
      <c r="S108" s="125">
        <f t="shared" si="206"/>
        <v>0.3398266443771642</v>
      </c>
      <c r="T108" s="125">
        <f t="shared" si="206"/>
        <v>0.34198188512273109</v>
      </c>
      <c r="U108" s="125">
        <f t="shared" si="206"/>
        <v>0.31982194262451258</v>
      </c>
      <c r="V108" s="125">
        <f t="shared" si="206"/>
        <v>0.14628186919400443</v>
      </c>
      <c r="W108" s="125">
        <f t="shared" ref="W108:Y108" si="207">IF(W7=0,0,W7/W$4)</f>
        <v>0.14067240166453959</v>
      </c>
      <c r="X108" s="125">
        <f t="shared" si="207"/>
        <v>0.12759731961785947</v>
      </c>
      <c r="Y108" s="125">
        <f t="shared" si="207"/>
        <v>0.17026054743821931</v>
      </c>
      <c r="DA108" s="171"/>
    </row>
    <row r="109" spans="1:105" ht="11.45" customHeight="1" x14ac:dyDescent="0.25">
      <c r="A109" s="111" t="s">
        <v>93</v>
      </c>
      <c r="B109" s="125">
        <f t="shared" si="199"/>
        <v>0.60403197310744605</v>
      </c>
      <c r="C109" s="125">
        <f t="shared" si="199"/>
        <v>0.63715312257388923</v>
      </c>
      <c r="D109" s="125">
        <f t="shared" si="199"/>
        <v>0.66259168704156479</v>
      </c>
      <c r="E109" s="125">
        <f t="shared" si="199"/>
        <v>0.66855797023873242</v>
      </c>
      <c r="F109" s="125">
        <f t="shared" si="199"/>
        <v>0.66930159833217506</v>
      </c>
      <c r="G109" s="125">
        <f t="shared" si="199"/>
        <v>0.6735791961350297</v>
      </c>
      <c r="H109" s="125">
        <f t="shared" si="199"/>
        <v>0.67699836867862973</v>
      </c>
      <c r="I109" s="125">
        <f t="shared" si="199"/>
        <v>0.67250782297720157</v>
      </c>
      <c r="J109" s="125">
        <f t="shared" si="199"/>
        <v>0.66117098152341991</v>
      </c>
      <c r="K109" s="125">
        <f t="shared" ref="K109:V109" si="208">IF(K8=0,0,K8/K$4)</f>
        <v>0.66404638001567551</v>
      </c>
      <c r="L109" s="125">
        <f t="shared" si="208"/>
        <v>0.65983572513869959</v>
      </c>
      <c r="M109" s="125">
        <f t="shared" si="208"/>
        <v>0.66409818843212487</v>
      </c>
      <c r="N109" s="125">
        <f t="shared" si="208"/>
        <v>0.66231841655001089</v>
      </c>
      <c r="O109" s="125">
        <f t="shared" si="208"/>
        <v>0.65602558226701602</v>
      </c>
      <c r="P109" s="125">
        <f t="shared" si="208"/>
        <v>0.62098846456527823</v>
      </c>
      <c r="Q109" s="125">
        <f t="shared" si="208"/>
        <v>0.63143575146958264</v>
      </c>
      <c r="R109" s="125">
        <f t="shared" si="208"/>
        <v>0.66176614732139605</v>
      </c>
      <c r="S109" s="125">
        <f t="shared" si="208"/>
        <v>0.65747160123687098</v>
      </c>
      <c r="T109" s="125">
        <f t="shared" si="208"/>
        <v>0.65486670642656464</v>
      </c>
      <c r="U109" s="125">
        <f t="shared" si="208"/>
        <v>0.67713609933352936</v>
      </c>
      <c r="V109" s="125">
        <f t="shared" si="208"/>
        <v>0.85253469885333288</v>
      </c>
      <c r="W109" s="125">
        <f t="shared" ref="W109:Y109" si="209">IF(W8=0,0,W8/W$4)</f>
        <v>0.80575616976403186</v>
      </c>
      <c r="X109" s="125">
        <f t="shared" si="209"/>
        <v>0.81223368813407859</v>
      </c>
      <c r="Y109" s="125">
        <f t="shared" si="209"/>
        <v>0.70170710754830368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1.8300653594771243E-2</v>
      </c>
      <c r="K110" s="126">
        <f t="shared" ref="K110:V110" si="210">IF(K9=0,0,K9/K$4)</f>
        <v>2.0698576972833119E-2</v>
      </c>
      <c r="L110" s="126">
        <f t="shared" si="210"/>
        <v>2.0713305898491085E-2</v>
      </c>
      <c r="M110" s="126">
        <f t="shared" si="210"/>
        <v>1.9361393323657473E-2</v>
      </c>
      <c r="N110" s="126">
        <f t="shared" si="210"/>
        <v>1.8027314112291352E-2</v>
      </c>
      <c r="O110" s="126">
        <f t="shared" si="210"/>
        <v>1.6273932253313698E-2</v>
      </c>
      <c r="P110" s="126">
        <f t="shared" si="210"/>
        <v>1.2419354838709677E-2</v>
      </c>
      <c r="Q110" s="126">
        <f t="shared" si="210"/>
        <v>8.9171974522292991E-3</v>
      </c>
      <c r="R110" s="126">
        <f t="shared" si="210"/>
        <v>6.382978723404255E-3</v>
      </c>
      <c r="S110" s="126">
        <f t="shared" si="210"/>
        <v>2.7017543859649122E-3</v>
      </c>
      <c r="T110" s="126">
        <f t="shared" si="210"/>
        <v>3.1514084507042253E-3</v>
      </c>
      <c r="U110" s="126">
        <f t="shared" si="210"/>
        <v>3.0419580419580421E-3</v>
      </c>
      <c r="V110" s="126">
        <f t="shared" si="210"/>
        <v>1.1834319526627219E-3</v>
      </c>
      <c r="W110" s="126">
        <f t="shared" ref="W110:Y110" si="211">IF(W9=0,0,W9/W$4)</f>
        <v>5.3571428571428568E-2</v>
      </c>
      <c r="X110" s="126">
        <f t="shared" si="211"/>
        <v>6.0168992248062013E-2</v>
      </c>
      <c r="Y110" s="126">
        <f t="shared" si="211"/>
        <v>0.1280323450134771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0.26085661369493984</v>
      </c>
      <c r="C112" s="125">
        <f t="shared" si="212"/>
        <v>0.25798388597867417</v>
      </c>
      <c r="D112" s="125">
        <f t="shared" si="212"/>
        <v>0.25140681681258253</v>
      </c>
      <c r="E112" s="125">
        <f t="shared" si="212"/>
        <v>0.24892137008012682</v>
      </c>
      <c r="F112" s="125">
        <f t="shared" si="212"/>
        <v>0.23488980749944963</v>
      </c>
      <c r="G112" s="125">
        <f t="shared" si="212"/>
        <v>0.24177325220414755</v>
      </c>
      <c r="H112" s="125">
        <f t="shared" si="212"/>
        <v>0.23726339042008915</v>
      </c>
      <c r="I112" s="125">
        <f t="shared" si="212"/>
        <v>0.22552455946607769</v>
      </c>
      <c r="J112" s="125">
        <f t="shared" si="212"/>
        <v>0.21709178923850309</v>
      </c>
      <c r="K112" s="125">
        <f t="shared" ref="K112:V112" si="215">IF(K11=0,0,K11/K$10)</f>
        <v>0.23285239291678575</v>
      </c>
      <c r="L112" s="125">
        <f t="shared" si="215"/>
        <v>0.21760422707648688</v>
      </c>
      <c r="M112" s="125">
        <f t="shared" si="215"/>
        <v>0.20707513936442409</v>
      </c>
      <c r="N112" s="125">
        <f t="shared" si="215"/>
        <v>0.1978300083461218</v>
      </c>
      <c r="O112" s="125">
        <f t="shared" si="215"/>
        <v>0.20626226083411889</v>
      </c>
      <c r="P112" s="125">
        <f t="shared" si="215"/>
        <v>0.28853077318703918</v>
      </c>
      <c r="Q112" s="125">
        <f t="shared" si="215"/>
        <v>0.2324402606806662</v>
      </c>
      <c r="R112" s="125">
        <f t="shared" si="215"/>
        <v>0.17540190824728796</v>
      </c>
      <c r="S112" s="125">
        <f t="shared" si="215"/>
        <v>0.13356076446205201</v>
      </c>
      <c r="T112" s="125">
        <f t="shared" si="215"/>
        <v>0.11773743374388652</v>
      </c>
      <c r="U112" s="125">
        <f t="shared" si="215"/>
        <v>9.9610771308285023E-2</v>
      </c>
      <c r="V112" s="125">
        <f t="shared" si="215"/>
        <v>0.11359419120613148</v>
      </c>
      <c r="W112" s="125">
        <f t="shared" ref="W112:Y112" si="216">IF(W11=0,0,W11/W$10)</f>
        <v>0.11058559549474242</v>
      </c>
      <c r="X112" s="125">
        <f t="shared" si="216"/>
        <v>0.12205044751830757</v>
      </c>
      <c r="Y112" s="125">
        <f t="shared" si="216"/>
        <v>0.11749234198835663</v>
      </c>
      <c r="DA112" s="171"/>
    </row>
    <row r="113" spans="1:105" ht="11.45" customHeight="1" x14ac:dyDescent="0.25">
      <c r="A113" s="85" t="s">
        <v>93</v>
      </c>
      <c r="B113" s="127">
        <f t="shared" si="212"/>
        <v>0.73914338630506005</v>
      </c>
      <c r="C113" s="127">
        <f t="shared" si="212"/>
        <v>0.74201611402132583</v>
      </c>
      <c r="D113" s="127">
        <f t="shared" si="212"/>
        <v>0.74859318318741741</v>
      </c>
      <c r="E113" s="127">
        <f t="shared" si="212"/>
        <v>0.75107862991987318</v>
      </c>
      <c r="F113" s="127">
        <f t="shared" si="212"/>
        <v>0.76511019250055035</v>
      </c>
      <c r="G113" s="127">
        <f t="shared" si="212"/>
        <v>0.75822674779585242</v>
      </c>
      <c r="H113" s="127">
        <f t="shared" si="212"/>
        <v>0.76273660957991085</v>
      </c>
      <c r="I113" s="127">
        <f t="shared" si="212"/>
        <v>0.77447544053392237</v>
      </c>
      <c r="J113" s="127">
        <f t="shared" si="212"/>
        <v>0.78290821076149697</v>
      </c>
      <c r="K113" s="127">
        <f t="shared" ref="K113:V113" si="217">IF(K12=0,0,K12/K$10)</f>
        <v>0.76714760708321428</v>
      </c>
      <c r="L113" s="127">
        <f t="shared" si="217"/>
        <v>0.78239577292351303</v>
      </c>
      <c r="M113" s="127">
        <f t="shared" si="217"/>
        <v>0.79292486063557588</v>
      </c>
      <c r="N113" s="127">
        <f t="shared" si="217"/>
        <v>0.80216999165387826</v>
      </c>
      <c r="O113" s="127">
        <f t="shared" si="217"/>
        <v>0.79373773916588108</v>
      </c>
      <c r="P113" s="127">
        <f t="shared" si="217"/>
        <v>0.71146922681296076</v>
      </c>
      <c r="Q113" s="127">
        <f t="shared" si="217"/>
        <v>0.76755973931933374</v>
      </c>
      <c r="R113" s="127">
        <f t="shared" si="217"/>
        <v>0.82459809175271204</v>
      </c>
      <c r="S113" s="127">
        <f t="shared" si="217"/>
        <v>0.86643923553794788</v>
      </c>
      <c r="T113" s="127">
        <f t="shared" si="217"/>
        <v>0.88226256625611355</v>
      </c>
      <c r="U113" s="127">
        <f t="shared" si="217"/>
        <v>0.90038922869171489</v>
      </c>
      <c r="V113" s="127">
        <f t="shared" si="217"/>
        <v>0.88640580879386854</v>
      </c>
      <c r="W113" s="127">
        <f t="shared" ref="W113:Y113" si="218">IF(W12=0,0,W12/W$10)</f>
        <v>0.88941440450525744</v>
      </c>
      <c r="X113" s="127">
        <f t="shared" si="218"/>
        <v>0.87794955248169237</v>
      </c>
      <c r="Y113" s="127">
        <f t="shared" si="218"/>
        <v>0.88250765801164333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:Y117" si="223">IF(W16=0,0,W16/W$15)</f>
        <v>0</v>
      </c>
      <c r="X117" s="123">
        <f t="shared" si="223"/>
        <v>0</v>
      </c>
      <c r="Y117" s="123">
        <f t="shared" si="223"/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1</v>
      </c>
      <c r="G118" s="124">
        <f t="shared" si="219"/>
        <v>1</v>
      </c>
      <c r="H118" s="124">
        <f t="shared" si="219"/>
        <v>1</v>
      </c>
      <c r="I118" s="124">
        <f t="shared" si="219"/>
        <v>1</v>
      </c>
      <c r="J118" s="124">
        <f t="shared" si="219"/>
        <v>0.99084782000946259</v>
      </c>
      <c r="K118" s="124">
        <f t="shared" ref="K118:V118" si="224">IF(K17=0,0,K17/K$15)</f>
        <v>0.98928792228732554</v>
      </c>
      <c r="L118" s="124">
        <f t="shared" si="224"/>
        <v>0.98974457464075749</v>
      </c>
      <c r="M118" s="124">
        <f t="shared" si="224"/>
        <v>0.99013237560757761</v>
      </c>
      <c r="N118" s="124">
        <f t="shared" si="224"/>
        <v>0.99122841307890086</v>
      </c>
      <c r="O118" s="124">
        <f t="shared" si="224"/>
        <v>0.99123032177107051</v>
      </c>
      <c r="P118" s="124">
        <f t="shared" si="224"/>
        <v>0.99331945694094048</v>
      </c>
      <c r="Q118" s="124">
        <f t="shared" si="224"/>
        <v>0.99589468307943219</v>
      </c>
      <c r="R118" s="124">
        <f t="shared" si="224"/>
        <v>0.99725047829471358</v>
      </c>
      <c r="S118" s="124">
        <f t="shared" si="224"/>
        <v>0.99932791949633404</v>
      </c>
      <c r="T118" s="124">
        <f t="shared" si="224"/>
        <v>0.99892680360054797</v>
      </c>
      <c r="U118" s="124">
        <f t="shared" si="224"/>
        <v>0.99897494962685252</v>
      </c>
      <c r="V118" s="124">
        <f t="shared" si="224"/>
        <v>0.99917747484548747</v>
      </c>
      <c r="W118" s="124">
        <f t="shared" ref="W118:Y118" si="225">IF(W17=0,0,W17/W$15)</f>
        <v>0.9819430451110962</v>
      </c>
      <c r="X118" s="124">
        <f t="shared" si="225"/>
        <v>0.97587972766252795</v>
      </c>
      <c r="Y118" s="124">
        <f t="shared" si="225"/>
        <v>0.95700027663280063</v>
      </c>
      <c r="DA118" s="176"/>
    </row>
    <row r="119" spans="1:105" ht="11.45" customHeight="1" x14ac:dyDescent="0.25">
      <c r="A119" s="111" t="s">
        <v>92</v>
      </c>
      <c r="B119" s="125">
        <f t="shared" si="219"/>
        <v>0.43055053485077327</v>
      </c>
      <c r="C119" s="125">
        <f t="shared" si="219"/>
        <v>0.41428875448832891</v>
      </c>
      <c r="D119" s="125">
        <f t="shared" si="219"/>
        <v>0.40232215014640049</v>
      </c>
      <c r="E119" s="125">
        <f t="shared" si="219"/>
        <v>0.39381970508971453</v>
      </c>
      <c r="F119" s="125">
        <f t="shared" si="219"/>
        <v>0.34179254263314313</v>
      </c>
      <c r="G119" s="125">
        <f t="shared" si="219"/>
        <v>0.31306260181518691</v>
      </c>
      <c r="H119" s="125">
        <f t="shared" si="219"/>
        <v>0.31319428255361886</v>
      </c>
      <c r="I119" s="125">
        <f t="shared" si="219"/>
        <v>0.31556486878696727</v>
      </c>
      <c r="J119" s="125">
        <f t="shared" si="219"/>
        <v>0.29397287470116584</v>
      </c>
      <c r="K119" s="125">
        <f t="shared" ref="K119:V119" si="226">IF(K18=0,0,K18/K$15)</f>
        <v>0.31347056902846288</v>
      </c>
      <c r="L119" s="125">
        <f t="shared" si="226"/>
        <v>0.28812580175610464</v>
      </c>
      <c r="M119" s="125">
        <f t="shared" si="226"/>
        <v>0.34212157996515996</v>
      </c>
      <c r="N119" s="125">
        <f t="shared" si="226"/>
        <v>0.29767575946152047</v>
      </c>
      <c r="O119" s="125">
        <f t="shared" si="226"/>
        <v>0.36789784743401394</v>
      </c>
      <c r="P119" s="125">
        <f t="shared" si="226"/>
        <v>0.43928647047886521</v>
      </c>
      <c r="Q119" s="125">
        <f t="shared" si="226"/>
        <v>0.41013447836089018</v>
      </c>
      <c r="R119" s="125">
        <f t="shared" si="226"/>
        <v>0.36017393431824568</v>
      </c>
      <c r="S119" s="125">
        <f t="shared" si="226"/>
        <v>0.23428030874634698</v>
      </c>
      <c r="T119" s="125">
        <f t="shared" si="226"/>
        <v>0.3067720533608303</v>
      </c>
      <c r="U119" s="125">
        <f t="shared" si="226"/>
        <v>0.27951270404705109</v>
      </c>
      <c r="V119" s="125">
        <f t="shared" si="226"/>
        <v>0.12380643902526932</v>
      </c>
      <c r="W119" s="125">
        <f t="shared" ref="W119:Y119" si="227">IF(W18=0,0,W18/W$15)</f>
        <v>0.10389590252658125</v>
      </c>
      <c r="X119" s="125">
        <f t="shared" si="227"/>
        <v>0.10728716988016243</v>
      </c>
      <c r="Y119" s="125">
        <f t="shared" si="227"/>
        <v>0.15116920307110299</v>
      </c>
      <c r="DA119" s="171"/>
    </row>
    <row r="120" spans="1:105" ht="11.45" customHeight="1" x14ac:dyDescent="0.25">
      <c r="A120" s="111" t="s">
        <v>93</v>
      </c>
      <c r="B120" s="125">
        <f t="shared" si="219"/>
        <v>0.56944946514922667</v>
      </c>
      <c r="C120" s="125">
        <f t="shared" si="219"/>
        <v>0.58571124551167109</v>
      </c>
      <c r="D120" s="125">
        <f t="shared" si="219"/>
        <v>0.59767784985359951</v>
      </c>
      <c r="E120" s="125">
        <f t="shared" si="219"/>
        <v>0.60618029491028547</v>
      </c>
      <c r="F120" s="125">
        <f t="shared" si="219"/>
        <v>0.65820745736685693</v>
      </c>
      <c r="G120" s="125">
        <f t="shared" si="219"/>
        <v>0.68693739818481303</v>
      </c>
      <c r="H120" s="125">
        <f t="shared" si="219"/>
        <v>0.68680571744638119</v>
      </c>
      <c r="I120" s="125">
        <f t="shared" si="219"/>
        <v>0.68443513121303279</v>
      </c>
      <c r="J120" s="125">
        <f t="shared" si="219"/>
        <v>0.69687494530829674</v>
      </c>
      <c r="K120" s="125">
        <f t="shared" ref="K120:V120" si="228">IF(K19=0,0,K19/K$15)</f>
        <v>0.67581735325886261</v>
      </c>
      <c r="L120" s="125">
        <f t="shared" si="228"/>
        <v>0.7016187728846528</v>
      </c>
      <c r="M120" s="125">
        <f t="shared" si="228"/>
        <v>0.6480107956424177</v>
      </c>
      <c r="N120" s="125">
        <f t="shared" si="228"/>
        <v>0.69355265361738028</v>
      </c>
      <c r="O120" s="125">
        <f t="shared" si="228"/>
        <v>0.62333247433705663</v>
      </c>
      <c r="P120" s="125">
        <f t="shared" si="228"/>
        <v>0.55403298646207533</v>
      </c>
      <c r="Q120" s="125">
        <f t="shared" si="228"/>
        <v>0.58576020471854195</v>
      </c>
      <c r="R120" s="125">
        <f t="shared" si="228"/>
        <v>0.63707654397646785</v>
      </c>
      <c r="S120" s="125">
        <f t="shared" si="228"/>
        <v>0.76504761074998706</v>
      </c>
      <c r="T120" s="125">
        <f t="shared" si="228"/>
        <v>0.69215475023971762</v>
      </c>
      <c r="U120" s="125">
        <f t="shared" si="228"/>
        <v>0.71946224557980132</v>
      </c>
      <c r="V120" s="125">
        <f t="shared" si="228"/>
        <v>0.87537103582021802</v>
      </c>
      <c r="W120" s="125">
        <f t="shared" ref="W120:Y120" si="229">IF(W19=0,0,W19/W$15)</f>
        <v>0.87804714258451511</v>
      </c>
      <c r="X120" s="125">
        <f t="shared" si="229"/>
        <v>0.86859255778236555</v>
      </c>
      <c r="Y120" s="125">
        <f t="shared" si="229"/>
        <v>0.80583107356169759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9.1521799905374228E-3</v>
      </c>
      <c r="K121" s="126">
        <f t="shared" ref="K121:V121" si="230">IF(K20=0,0,K20/K$15)</f>
        <v>1.0712077712674378E-2</v>
      </c>
      <c r="L121" s="126">
        <f t="shared" si="230"/>
        <v>1.0255425359242587E-2</v>
      </c>
      <c r="M121" s="126">
        <f t="shared" si="230"/>
        <v>9.8676243924223396E-3</v>
      </c>
      <c r="N121" s="126">
        <f t="shared" si="230"/>
        <v>8.7715869210992468E-3</v>
      </c>
      <c r="O121" s="126">
        <f t="shared" si="230"/>
        <v>8.7696782289294877E-3</v>
      </c>
      <c r="P121" s="126">
        <f t="shared" si="230"/>
        <v>6.6805430590595495E-3</v>
      </c>
      <c r="Q121" s="126">
        <f t="shared" si="230"/>
        <v>4.1053169205677777E-3</v>
      </c>
      <c r="R121" s="126">
        <f t="shared" si="230"/>
        <v>2.749521705286397E-3</v>
      </c>
      <c r="S121" s="126">
        <f t="shared" si="230"/>
        <v>6.7208050366589504E-4</v>
      </c>
      <c r="T121" s="126">
        <f t="shared" si="230"/>
        <v>1.0731963994521218E-3</v>
      </c>
      <c r="U121" s="126">
        <f t="shared" si="230"/>
        <v>1.0250503731474819E-3</v>
      </c>
      <c r="V121" s="126">
        <f t="shared" si="230"/>
        <v>8.2252515451250517E-4</v>
      </c>
      <c r="W121" s="126">
        <f t="shared" ref="W121:Y121" si="231">IF(W20=0,0,W20/W$15)</f>
        <v>1.8056954888903701E-2</v>
      </c>
      <c r="X121" s="126">
        <f t="shared" si="231"/>
        <v>2.4120272337472003E-2</v>
      </c>
      <c r="Y121" s="126">
        <f t="shared" si="231"/>
        <v>4.2999723367199351E-2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0.21432567673659553</v>
      </c>
      <c r="C123" s="125">
        <f t="shared" si="232"/>
        <v>0.1981348162013622</v>
      </c>
      <c r="D123" s="125">
        <f t="shared" si="232"/>
        <v>0.21217822292532618</v>
      </c>
      <c r="E123" s="125">
        <f t="shared" si="232"/>
        <v>0.20066070618163032</v>
      </c>
      <c r="F123" s="125">
        <f t="shared" si="232"/>
        <v>0.20442147342176634</v>
      </c>
      <c r="G123" s="125">
        <f t="shared" si="232"/>
        <v>0.20413116465834291</v>
      </c>
      <c r="H123" s="125">
        <f t="shared" si="232"/>
        <v>0.19310346151474445</v>
      </c>
      <c r="I123" s="125">
        <f t="shared" si="232"/>
        <v>0.18425877847316757</v>
      </c>
      <c r="J123" s="125">
        <f t="shared" si="232"/>
        <v>0.14816777257173855</v>
      </c>
      <c r="K123" s="125">
        <f t="shared" ref="K123:V123" si="235">IF(K22=0,0,K22/K$21)</f>
        <v>0.16602657559562323</v>
      </c>
      <c r="L123" s="125">
        <f t="shared" si="235"/>
        <v>0.15368725280743425</v>
      </c>
      <c r="M123" s="125">
        <f t="shared" si="235"/>
        <v>0.16601079821883669</v>
      </c>
      <c r="N123" s="125">
        <f t="shared" si="235"/>
        <v>0.16272249279247683</v>
      </c>
      <c r="O123" s="125">
        <f t="shared" si="235"/>
        <v>0.16574887299486804</v>
      </c>
      <c r="P123" s="125">
        <f t="shared" si="235"/>
        <v>0.23213712066060643</v>
      </c>
      <c r="Q123" s="125">
        <f t="shared" si="235"/>
        <v>0.19293718838672158</v>
      </c>
      <c r="R123" s="125">
        <f t="shared" si="235"/>
        <v>0.14567068781595996</v>
      </c>
      <c r="S123" s="125">
        <f t="shared" si="235"/>
        <v>0.10935321510159349</v>
      </c>
      <c r="T123" s="125">
        <f t="shared" si="235"/>
        <v>7.5281063081810748E-2</v>
      </c>
      <c r="U123" s="125">
        <f t="shared" si="235"/>
        <v>6.6987452060252459E-2</v>
      </c>
      <c r="V123" s="125">
        <f t="shared" si="235"/>
        <v>8.9906368439467713E-2</v>
      </c>
      <c r="W123" s="125">
        <f t="shared" ref="W123:Y123" si="236">IF(W22=0,0,W22/W$21)</f>
        <v>0.11859886975205074</v>
      </c>
      <c r="X123" s="125">
        <f t="shared" si="236"/>
        <v>0.10078811793401077</v>
      </c>
      <c r="Y123" s="125">
        <f t="shared" si="236"/>
        <v>9.3244390835894669E-2</v>
      </c>
      <c r="DA123" s="171"/>
    </row>
    <row r="124" spans="1:105" ht="11.45" customHeight="1" x14ac:dyDescent="0.25">
      <c r="A124" s="85" t="s">
        <v>93</v>
      </c>
      <c r="B124" s="127">
        <f t="shared" si="232"/>
        <v>0.78567432326340447</v>
      </c>
      <c r="C124" s="127">
        <f t="shared" si="232"/>
        <v>0.8018651837986378</v>
      </c>
      <c r="D124" s="127">
        <f t="shared" si="232"/>
        <v>0.78782177707467371</v>
      </c>
      <c r="E124" s="127">
        <f t="shared" si="232"/>
        <v>0.79933929381836966</v>
      </c>
      <c r="F124" s="127">
        <f t="shared" si="232"/>
        <v>0.79557852657823369</v>
      </c>
      <c r="G124" s="127">
        <f t="shared" si="232"/>
        <v>0.79586883534165709</v>
      </c>
      <c r="H124" s="127">
        <f t="shared" si="232"/>
        <v>0.80689653848525555</v>
      </c>
      <c r="I124" s="127">
        <f t="shared" si="232"/>
        <v>0.81574122152683248</v>
      </c>
      <c r="J124" s="127">
        <f t="shared" si="232"/>
        <v>0.85183222742826137</v>
      </c>
      <c r="K124" s="127">
        <f t="shared" ref="K124:V124" si="237">IF(K23=0,0,K23/K$21)</f>
        <v>0.83397342440437672</v>
      </c>
      <c r="L124" s="127">
        <f t="shared" si="237"/>
        <v>0.84631274719256577</v>
      </c>
      <c r="M124" s="127">
        <f t="shared" si="237"/>
        <v>0.83398920178116331</v>
      </c>
      <c r="N124" s="127">
        <f t="shared" si="237"/>
        <v>0.83727750720752314</v>
      </c>
      <c r="O124" s="127">
        <f t="shared" si="237"/>
        <v>0.83425112700513193</v>
      </c>
      <c r="P124" s="127">
        <f t="shared" si="237"/>
        <v>0.76786287933939357</v>
      </c>
      <c r="Q124" s="127">
        <f t="shared" si="237"/>
        <v>0.80706281161327842</v>
      </c>
      <c r="R124" s="127">
        <f t="shared" si="237"/>
        <v>0.85432931218403996</v>
      </c>
      <c r="S124" s="127">
        <f t="shared" si="237"/>
        <v>0.89064678489840643</v>
      </c>
      <c r="T124" s="127">
        <f t="shared" si="237"/>
        <v>0.92471893691818929</v>
      </c>
      <c r="U124" s="127">
        <f t="shared" si="237"/>
        <v>0.93301254793974753</v>
      </c>
      <c r="V124" s="127">
        <f t="shared" si="237"/>
        <v>0.91009363156053225</v>
      </c>
      <c r="W124" s="127">
        <f t="shared" ref="W124:Y124" si="238">IF(W23=0,0,W23/W$21)</f>
        <v>0.88140113024794919</v>
      </c>
      <c r="X124" s="127">
        <f t="shared" si="238"/>
        <v>0.89921188206598923</v>
      </c>
      <c r="Y124" s="127">
        <f t="shared" si="238"/>
        <v>0.90675560916410547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23.937145313843502</v>
      </c>
      <c r="C4" s="146">
        <f t="shared" ref="C4:V4" si="0">SUM(C5,C8)</f>
        <v>25.14092863284608</v>
      </c>
      <c r="D4" s="146">
        <f t="shared" si="0"/>
        <v>26.59785038693035</v>
      </c>
      <c r="E4" s="146">
        <f t="shared" si="0"/>
        <v>26.941788478073939</v>
      </c>
      <c r="F4" s="146">
        <f t="shared" si="0"/>
        <v>27.801633705932929</v>
      </c>
      <c r="G4" s="146">
        <f t="shared" si="0"/>
        <v>28.403525365434213</v>
      </c>
      <c r="H4" s="146">
        <f t="shared" si="0"/>
        <v>28.37489251934651</v>
      </c>
      <c r="I4" s="146">
        <f t="shared" si="0"/>
        <v>28.37489251934651</v>
      </c>
      <c r="J4" s="146">
        <f t="shared" si="0"/>
        <v>26.339896818572651</v>
      </c>
      <c r="K4" s="146">
        <f t="shared" si="0"/>
        <v>21.797076526225275</v>
      </c>
      <c r="L4" s="146">
        <f t="shared" si="0"/>
        <v>23.258813413585553</v>
      </c>
      <c r="M4" s="146">
        <f t="shared" si="0"/>
        <v>23.674376612209798</v>
      </c>
      <c r="N4" s="146">
        <f t="shared" si="0"/>
        <v>22.226999140154774</v>
      </c>
      <c r="O4" s="146">
        <f t="shared" si="0"/>
        <v>22.72880481513328</v>
      </c>
      <c r="P4" s="146">
        <f t="shared" si="0"/>
        <v>24.490627687016342</v>
      </c>
      <c r="Q4" s="146">
        <f t="shared" si="0"/>
        <v>24.67730008598452</v>
      </c>
      <c r="R4" s="146">
        <f t="shared" si="0"/>
        <v>23.93215821152193</v>
      </c>
      <c r="S4" s="146">
        <f t="shared" si="0"/>
        <v>28.718572656921744</v>
      </c>
      <c r="T4" s="146">
        <f t="shared" si="0"/>
        <v>27.895442820292345</v>
      </c>
      <c r="U4" s="146">
        <f t="shared" si="0"/>
        <v>26.620378331900259</v>
      </c>
      <c r="V4" s="146">
        <f t="shared" si="0"/>
        <v>22.788392089423905</v>
      </c>
      <c r="W4" s="146">
        <f t="shared" ref="W4:Y4" si="1">SUM(W5,W8)</f>
        <v>26.089767841788472</v>
      </c>
      <c r="X4" s="146">
        <f t="shared" si="1"/>
        <v>27.626139294926915</v>
      </c>
      <c r="Y4" s="146">
        <f t="shared" si="1"/>
        <v>27.229062768701635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11.297420464316421</v>
      </c>
      <c r="C5" s="101">
        <f t="shared" ref="C5:V5" si="2">SUM(C6:C7)</f>
        <v>11.297420464316421</v>
      </c>
      <c r="D5" s="101">
        <f t="shared" si="2"/>
        <v>12.32441960447119</v>
      </c>
      <c r="E5" s="101">
        <f t="shared" si="2"/>
        <v>12.32441960447119</v>
      </c>
      <c r="F5" s="101">
        <f t="shared" si="2"/>
        <v>12.32441960447119</v>
      </c>
      <c r="G5" s="101">
        <f t="shared" si="2"/>
        <v>12.32441960447119</v>
      </c>
      <c r="H5" s="101">
        <f t="shared" si="2"/>
        <v>12.209802235597589</v>
      </c>
      <c r="I5" s="101">
        <f t="shared" si="2"/>
        <v>12.209802235597589</v>
      </c>
      <c r="J5" s="101">
        <f t="shared" si="2"/>
        <v>10.17480653482373</v>
      </c>
      <c r="K5" s="101">
        <f t="shared" si="2"/>
        <v>9.1573516766981928</v>
      </c>
      <c r="L5" s="101">
        <f t="shared" si="2"/>
        <v>9.1573516766981928</v>
      </c>
      <c r="M5" s="101">
        <f t="shared" si="2"/>
        <v>10.17480653482373</v>
      </c>
      <c r="N5" s="101">
        <f t="shared" si="2"/>
        <v>9.1573516766981928</v>
      </c>
      <c r="O5" s="101">
        <f t="shared" si="2"/>
        <v>10.17506448839209</v>
      </c>
      <c r="P5" s="101">
        <f t="shared" si="2"/>
        <v>13.226655202063631</v>
      </c>
      <c r="Q5" s="101">
        <f t="shared" si="2"/>
        <v>12.209544282029229</v>
      </c>
      <c r="R5" s="101">
        <f t="shared" si="2"/>
        <v>10.17463456577816</v>
      </c>
      <c r="S5" s="101">
        <f t="shared" si="2"/>
        <v>9.3604471195184846</v>
      </c>
      <c r="T5" s="101">
        <f t="shared" si="2"/>
        <v>8.5180567497850372</v>
      </c>
      <c r="U5" s="101">
        <f t="shared" si="2"/>
        <v>7.5061049011177987</v>
      </c>
      <c r="V5" s="101">
        <f t="shared" si="2"/>
        <v>5.5137575236457437</v>
      </c>
      <c r="W5" s="101">
        <f t="shared" ref="W5:Y5" si="3">SUM(W6:W7)</f>
        <v>6.6675838349097152</v>
      </c>
      <c r="X5" s="101">
        <f t="shared" si="3"/>
        <v>6.824247635425623</v>
      </c>
      <c r="Y5" s="101">
        <f t="shared" si="3"/>
        <v>6.8741186586414438</v>
      </c>
      <c r="DA5" s="175"/>
    </row>
    <row r="6" spans="1:105" ht="11.45" customHeight="1" x14ac:dyDescent="0.25">
      <c r="A6" s="164" t="s">
        <v>175</v>
      </c>
      <c r="B6" s="165">
        <v>11.297420464316421</v>
      </c>
      <c r="C6" s="165">
        <v>11.297420464316421</v>
      </c>
      <c r="D6" s="165">
        <v>12.32441960447119</v>
      </c>
      <c r="E6" s="165">
        <v>12.32441960447119</v>
      </c>
      <c r="F6" s="165">
        <v>12.32441960447119</v>
      </c>
      <c r="G6" s="165">
        <v>12.32441960447119</v>
      </c>
      <c r="H6" s="165">
        <v>12.209802235597589</v>
      </c>
      <c r="I6" s="165">
        <v>12.209802235597589</v>
      </c>
      <c r="J6" s="165">
        <v>10.17480653482373</v>
      </c>
      <c r="K6" s="165">
        <v>9.1573516766981928</v>
      </c>
      <c r="L6" s="165">
        <v>9.1573516766981928</v>
      </c>
      <c r="M6" s="165">
        <v>10.17480653482373</v>
      </c>
      <c r="N6" s="165">
        <v>9.1573516766981928</v>
      </c>
      <c r="O6" s="165">
        <v>10.17506448839209</v>
      </c>
      <c r="P6" s="165">
        <v>13.226655202063631</v>
      </c>
      <c r="Q6" s="165">
        <v>12.209544282029229</v>
      </c>
      <c r="R6" s="165">
        <v>10.17463456577816</v>
      </c>
      <c r="S6" s="165">
        <v>9.3604471195184846</v>
      </c>
      <c r="T6" s="165">
        <v>8.5180567497850372</v>
      </c>
      <c r="U6" s="165">
        <v>7.5061049011177987</v>
      </c>
      <c r="V6" s="165">
        <v>5.5137575236457437</v>
      </c>
      <c r="W6" s="165">
        <v>6.6675838349097152</v>
      </c>
      <c r="X6" s="165">
        <v>6.824247635425623</v>
      </c>
      <c r="Y6" s="165">
        <v>6.8741186586414438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12.639724849527081</v>
      </c>
      <c r="C8" s="88">
        <v>13.843508168529659</v>
      </c>
      <c r="D8" s="88">
        <v>14.27343078245916</v>
      </c>
      <c r="E8" s="88">
        <v>14.61736887360275</v>
      </c>
      <c r="F8" s="88">
        <v>15.47721410146174</v>
      </c>
      <c r="G8" s="88">
        <v>16.079105760963021</v>
      </c>
      <c r="H8" s="88">
        <v>16.165090283748921</v>
      </c>
      <c r="I8" s="88">
        <v>16.165090283748921</v>
      </c>
      <c r="J8" s="88">
        <v>16.165090283748921</v>
      </c>
      <c r="K8" s="88">
        <v>12.639724849527081</v>
      </c>
      <c r="L8" s="88">
        <v>14.10146173688736</v>
      </c>
      <c r="M8" s="88">
        <v>13.499570077386069</v>
      </c>
      <c r="N8" s="88">
        <v>13.06964746345658</v>
      </c>
      <c r="O8" s="88">
        <v>12.55374032674119</v>
      </c>
      <c r="P8" s="88">
        <v>11.26397248495271</v>
      </c>
      <c r="Q8" s="88">
        <v>12.46775580395529</v>
      </c>
      <c r="R8" s="88">
        <v>13.75752364574377</v>
      </c>
      <c r="S8" s="88">
        <v>19.358125537403261</v>
      </c>
      <c r="T8" s="88">
        <v>19.37738607050731</v>
      </c>
      <c r="U8" s="88">
        <v>19.114273430782461</v>
      </c>
      <c r="V8" s="88">
        <v>17.274634565778161</v>
      </c>
      <c r="W8" s="88">
        <v>19.422184006878759</v>
      </c>
      <c r="X8" s="88">
        <v>20.80189165950129</v>
      </c>
      <c r="Y8" s="88">
        <v>20.354944110060192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23.937145313843502</v>
      </c>
      <c r="C10" s="62">
        <f t="shared" ref="C10:V10" si="5">SUM(C11,C17)</f>
        <v>25.14092863284608</v>
      </c>
      <c r="D10" s="62">
        <f t="shared" si="5"/>
        <v>26.597850386930347</v>
      </c>
      <c r="E10" s="62">
        <f t="shared" si="5"/>
        <v>26.941788478073939</v>
      </c>
      <c r="F10" s="62">
        <f t="shared" si="5"/>
        <v>27.801633705932929</v>
      </c>
      <c r="G10" s="62">
        <f t="shared" si="5"/>
        <v>28.403525365434213</v>
      </c>
      <c r="H10" s="62">
        <f t="shared" si="5"/>
        <v>28.37489251934651</v>
      </c>
      <c r="I10" s="62">
        <f t="shared" si="5"/>
        <v>28.37489251934651</v>
      </c>
      <c r="J10" s="62">
        <f t="shared" si="5"/>
        <v>26.339896818572655</v>
      </c>
      <c r="K10" s="62">
        <f t="shared" si="5"/>
        <v>21.797076526225275</v>
      </c>
      <c r="L10" s="62">
        <f t="shared" si="5"/>
        <v>23.25881341358555</v>
      </c>
      <c r="M10" s="62">
        <f t="shared" si="5"/>
        <v>23.674376612209798</v>
      </c>
      <c r="N10" s="62">
        <f t="shared" si="5"/>
        <v>22.226999140154774</v>
      </c>
      <c r="O10" s="62">
        <f t="shared" si="5"/>
        <v>22.72880481513328</v>
      </c>
      <c r="P10" s="62">
        <f t="shared" si="5"/>
        <v>24.490627687016342</v>
      </c>
      <c r="Q10" s="62">
        <f t="shared" si="5"/>
        <v>24.67730008598452</v>
      </c>
      <c r="R10" s="62">
        <f t="shared" si="5"/>
        <v>23.93215821152193</v>
      </c>
      <c r="S10" s="62">
        <f t="shared" si="5"/>
        <v>28.718572656921744</v>
      </c>
      <c r="T10" s="62">
        <f t="shared" si="5"/>
        <v>27.895442820292345</v>
      </c>
      <c r="U10" s="62">
        <f t="shared" si="5"/>
        <v>26.620378331900255</v>
      </c>
      <c r="V10" s="62">
        <f t="shared" si="5"/>
        <v>22.788392089423901</v>
      </c>
      <c r="W10" s="62">
        <f t="shared" ref="W10:Y10" si="6">SUM(W11,W17)</f>
        <v>26.089767841788472</v>
      </c>
      <c r="X10" s="62">
        <f t="shared" si="6"/>
        <v>27.626139294926915</v>
      </c>
      <c r="Y10" s="62">
        <f t="shared" si="6"/>
        <v>27.229062768701635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10.051627045338581</v>
      </c>
      <c r="C11" s="29">
        <f t="shared" ref="C11:V11" si="8">SUM(C12,C13,C16)</f>
        <v>10.185715447296154</v>
      </c>
      <c r="D11" s="29">
        <f t="shared" si="8"/>
        <v>10.667740205291002</v>
      </c>
      <c r="E11" s="29">
        <f t="shared" si="8"/>
        <v>11.649298923777243</v>
      </c>
      <c r="F11" s="29">
        <f t="shared" si="8"/>
        <v>12.049685230210645</v>
      </c>
      <c r="G11" s="29">
        <f t="shared" si="8"/>
        <v>12.374959222250588</v>
      </c>
      <c r="H11" s="29">
        <f t="shared" si="8"/>
        <v>12.409900564473379</v>
      </c>
      <c r="I11" s="29">
        <f t="shared" si="8"/>
        <v>12.534541524171637</v>
      </c>
      <c r="J11" s="29">
        <f t="shared" si="8"/>
        <v>12.212136629553601</v>
      </c>
      <c r="K11" s="29">
        <f t="shared" si="8"/>
        <v>11.027853555571847</v>
      </c>
      <c r="L11" s="29">
        <f t="shared" si="8"/>
        <v>10.654275736947113</v>
      </c>
      <c r="M11" s="29">
        <f t="shared" si="8"/>
        <v>9.7181175221685301</v>
      </c>
      <c r="N11" s="29">
        <f t="shared" si="8"/>
        <v>9.7186416663566373</v>
      </c>
      <c r="O11" s="29">
        <f t="shared" si="8"/>
        <v>9.1175518782223861</v>
      </c>
      <c r="P11" s="29">
        <f t="shared" si="8"/>
        <v>8.5941169827497088</v>
      </c>
      <c r="Q11" s="29">
        <f t="shared" si="8"/>
        <v>9.89091092379158</v>
      </c>
      <c r="R11" s="29">
        <f t="shared" si="8"/>
        <v>9.7472827162942774</v>
      </c>
      <c r="S11" s="29">
        <f t="shared" si="8"/>
        <v>13.955746237033406</v>
      </c>
      <c r="T11" s="29">
        <f t="shared" si="8"/>
        <v>10.556378890776511</v>
      </c>
      <c r="U11" s="29">
        <f t="shared" si="8"/>
        <v>10.280449815779969</v>
      </c>
      <c r="V11" s="29">
        <f t="shared" si="8"/>
        <v>7.0730904524032088</v>
      </c>
      <c r="W11" s="29">
        <f t="shared" ref="W11:Y11" si="9">SUM(W12,W13,W16)</f>
        <v>11.508757721971699</v>
      </c>
      <c r="X11" s="29">
        <f t="shared" si="9"/>
        <v>9.5021985270851133</v>
      </c>
      <c r="Y11" s="29">
        <f t="shared" si="9"/>
        <v>12.154116330969742</v>
      </c>
      <c r="DA11" s="173" t="s">
        <v>395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10.051627045338581</v>
      </c>
      <c r="C13" s="116">
        <f t="shared" ref="C13:V13" si="11">SUM(C14:C15)</f>
        <v>10.185715447296154</v>
      </c>
      <c r="D13" s="116">
        <f t="shared" si="11"/>
        <v>10.667740205291002</v>
      </c>
      <c r="E13" s="116">
        <f t="shared" si="11"/>
        <v>11.649298923777243</v>
      </c>
      <c r="F13" s="116">
        <f t="shared" si="11"/>
        <v>12.049685230210645</v>
      </c>
      <c r="G13" s="116">
        <f t="shared" si="11"/>
        <v>12.374959222250588</v>
      </c>
      <c r="H13" s="116">
        <f t="shared" si="11"/>
        <v>12.409900564473379</v>
      </c>
      <c r="I13" s="116">
        <f t="shared" si="11"/>
        <v>12.534541524171637</v>
      </c>
      <c r="J13" s="116">
        <f t="shared" si="11"/>
        <v>12.056528709440865</v>
      </c>
      <c r="K13" s="116">
        <f t="shared" si="11"/>
        <v>10.861625294380953</v>
      </c>
      <c r="L13" s="116">
        <f t="shared" si="11"/>
        <v>10.497490397584766</v>
      </c>
      <c r="M13" s="116">
        <f t="shared" si="11"/>
        <v>9.5843031308162203</v>
      </c>
      <c r="N13" s="116">
        <f t="shared" si="11"/>
        <v>9.5955438872300363</v>
      </c>
      <c r="O13" s="116">
        <f t="shared" si="11"/>
        <v>9.0059707658074863</v>
      </c>
      <c r="P13" s="116">
        <f t="shared" si="11"/>
        <v>8.5157750758600486</v>
      </c>
      <c r="Q13" s="116">
        <f t="shared" si="11"/>
        <v>9.8331447456188528</v>
      </c>
      <c r="R13" s="116">
        <f t="shared" si="11"/>
        <v>9.7077114152105182</v>
      </c>
      <c r="S13" s="116">
        <f t="shared" si="11"/>
        <v>13.940757274154683</v>
      </c>
      <c r="T13" s="116">
        <f t="shared" si="11"/>
        <v>10.539072591630958</v>
      </c>
      <c r="U13" s="116">
        <f t="shared" si="11"/>
        <v>10.264070900664739</v>
      </c>
      <c r="V13" s="116">
        <f t="shared" si="11"/>
        <v>7.0630614941392356</v>
      </c>
      <c r="W13" s="116">
        <f t="shared" ref="W13:Y13" si="12">SUM(W14:W15)</f>
        <v>11.150368370167785</v>
      </c>
      <c r="X13" s="116">
        <f t="shared" si="12"/>
        <v>9.1096486156978589</v>
      </c>
      <c r="Y13" s="116">
        <f t="shared" si="12"/>
        <v>11.297979309660532</v>
      </c>
      <c r="DA13" s="176" t="s">
        <v>397</v>
      </c>
    </row>
    <row r="14" spans="1:105" ht="11.45" customHeight="1" x14ac:dyDescent="0.25">
      <c r="A14" s="111" t="s">
        <v>95</v>
      </c>
      <c r="B14" s="87">
        <v>5.6581357691942165</v>
      </c>
      <c r="C14" s="87">
        <v>5.5629799348110414</v>
      </c>
      <c r="D14" s="87">
        <v>5.717167003541503</v>
      </c>
      <c r="E14" s="87">
        <v>6.1436322908609293</v>
      </c>
      <c r="F14" s="87">
        <v>5.7061890915319022</v>
      </c>
      <c r="G14" s="87">
        <v>5.5034840701258529</v>
      </c>
      <c r="H14" s="87">
        <v>5.5211835533986262</v>
      </c>
      <c r="I14" s="87">
        <v>5.6452166753898565</v>
      </c>
      <c r="J14" s="87">
        <v>5.1747210509430159</v>
      </c>
      <c r="K14" s="87">
        <v>4.9405988126222207</v>
      </c>
      <c r="L14" s="87">
        <v>4.423369218941013</v>
      </c>
      <c r="M14" s="87">
        <v>4.6192480068375348</v>
      </c>
      <c r="N14" s="87">
        <v>4.1698959450777009</v>
      </c>
      <c r="O14" s="87">
        <v>4.6064546052105015</v>
      </c>
      <c r="P14" s="87">
        <v>4.9799230545499427</v>
      </c>
      <c r="Q14" s="87">
        <v>5.4253491888267904</v>
      </c>
      <c r="R14" s="87">
        <v>4.8199532571707717</v>
      </c>
      <c r="S14" s="87">
        <v>4.8667551038135795</v>
      </c>
      <c r="T14" s="87">
        <v>4.6137467028439261</v>
      </c>
      <c r="U14" s="87">
        <v>4.1694050053154825</v>
      </c>
      <c r="V14" s="87">
        <v>1.4102535934714004</v>
      </c>
      <c r="W14" s="87">
        <v>1.9274912108752353</v>
      </c>
      <c r="X14" s="87">
        <v>1.6327545714757969</v>
      </c>
      <c r="Y14" s="87">
        <v>2.8153614687977573</v>
      </c>
      <c r="DA14" s="171" t="s">
        <v>1108</v>
      </c>
    </row>
    <row r="15" spans="1:105" ht="11.45" customHeight="1" x14ac:dyDescent="0.25">
      <c r="A15" s="111" t="s">
        <v>93</v>
      </c>
      <c r="B15" s="87">
        <v>4.3934912761443643</v>
      </c>
      <c r="C15" s="87">
        <v>4.6227355124851126</v>
      </c>
      <c r="D15" s="87">
        <v>4.9505732017494992</v>
      </c>
      <c r="E15" s="87">
        <v>5.5056666329163138</v>
      </c>
      <c r="F15" s="87">
        <v>6.3434961386787432</v>
      </c>
      <c r="G15" s="87">
        <v>6.8714751521247353</v>
      </c>
      <c r="H15" s="87">
        <v>6.8887170110747524</v>
      </c>
      <c r="I15" s="87">
        <v>6.8893248487817802</v>
      </c>
      <c r="J15" s="87">
        <v>6.8818076584978494</v>
      </c>
      <c r="K15" s="87">
        <v>5.9210264817587328</v>
      </c>
      <c r="L15" s="87">
        <v>6.0741211786437521</v>
      </c>
      <c r="M15" s="87">
        <v>4.9650551239786864</v>
      </c>
      <c r="N15" s="87">
        <v>5.4256479421523345</v>
      </c>
      <c r="O15" s="87">
        <v>4.3995161605969839</v>
      </c>
      <c r="P15" s="87">
        <v>3.5358520213101055</v>
      </c>
      <c r="Q15" s="87">
        <v>4.4077955567920624</v>
      </c>
      <c r="R15" s="87">
        <v>4.8877581580397456</v>
      </c>
      <c r="S15" s="87">
        <v>9.0740021703411031</v>
      </c>
      <c r="T15" s="87">
        <v>5.9253258887870324</v>
      </c>
      <c r="U15" s="87">
        <v>6.094665895349257</v>
      </c>
      <c r="V15" s="87">
        <v>5.6528079006678356</v>
      </c>
      <c r="W15" s="87">
        <v>9.2228771592925494</v>
      </c>
      <c r="X15" s="87">
        <v>7.4768940442220613</v>
      </c>
      <c r="Y15" s="87">
        <v>8.4826178408627744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0.15560792011273678</v>
      </c>
      <c r="K16" s="117">
        <v>0.16622826119089251</v>
      </c>
      <c r="L16" s="117">
        <v>0.15678533936234818</v>
      </c>
      <c r="M16" s="117">
        <v>0.13381439135230969</v>
      </c>
      <c r="N16" s="117">
        <v>0.12309777912660166</v>
      </c>
      <c r="O16" s="117">
        <v>0.1115811124148996</v>
      </c>
      <c r="P16" s="117">
        <v>7.8341906889659529E-2</v>
      </c>
      <c r="Q16" s="117">
        <v>5.7766178172727667E-2</v>
      </c>
      <c r="R16" s="117">
        <v>3.9571301083758628E-2</v>
      </c>
      <c r="S16" s="117">
        <v>1.4988962878723118E-2</v>
      </c>
      <c r="T16" s="117">
        <v>1.7306299145552411E-2</v>
      </c>
      <c r="U16" s="117">
        <v>1.6378915115229511E-2</v>
      </c>
      <c r="V16" s="117">
        <v>1.002895826397327E-2</v>
      </c>
      <c r="W16" s="117">
        <v>0.35838935180391512</v>
      </c>
      <c r="X16" s="117">
        <v>0.39254991138725348</v>
      </c>
      <c r="Y16" s="117">
        <v>0.85613702130921066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13.885518268504921</v>
      </c>
      <c r="C17" s="29">
        <f t="shared" si="13"/>
        <v>14.955213185549926</v>
      </c>
      <c r="D17" s="29">
        <f t="shared" si="13"/>
        <v>15.930110181639346</v>
      </c>
      <c r="E17" s="29">
        <f t="shared" si="13"/>
        <v>15.292489554296697</v>
      </c>
      <c r="F17" s="29">
        <f t="shared" si="13"/>
        <v>15.751948475722285</v>
      </c>
      <c r="G17" s="29">
        <f t="shared" si="13"/>
        <v>16.028566143183625</v>
      </c>
      <c r="H17" s="29">
        <f t="shared" si="13"/>
        <v>15.964991954873131</v>
      </c>
      <c r="I17" s="29">
        <f t="shared" si="13"/>
        <v>15.840350995174873</v>
      </c>
      <c r="J17" s="29">
        <f t="shared" si="13"/>
        <v>14.127760189019051</v>
      </c>
      <c r="K17" s="29">
        <f t="shared" si="13"/>
        <v>10.769222970653429</v>
      </c>
      <c r="L17" s="29">
        <f t="shared" si="13"/>
        <v>12.604537676638438</v>
      </c>
      <c r="M17" s="29">
        <f t="shared" si="13"/>
        <v>13.956259090041268</v>
      </c>
      <c r="N17" s="29">
        <f t="shared" si="13"/>
        <v>12.508357473798135</v>
      </c>
      <c r="O17" s="29">
        <f t="shared" si="13"/>
        <v>13.611252936910894</v>
      </c>
      <c r="P17" s="29">
        <f t="shared" si="13"/>
        <v>15.896510704266632</v>
      </c>
      <c r="Q17" s="29">
        <f t="shared" si="13"/>
        <v>14.78638916219294</v>
      </c>
      <c r="R17" s="29">
        <f t="shared" si="13"/>
        <v>14.184875495227654</v>
      </c>
      <c r="S17" s="29">
        <f t="shared" si="13"/>
        <v>14.76282641988834</v>
      </c>
      <c r="T17" s="29">
        <f t="shared" si="13"/>
        <v>17.339063929515834</v>
      </c>
      <c r="U17" s="29">
        <f t="shared" si="13"/>
        <v>16.339928516120288</v>
      </c>
      <c r="V17" s="29">
        <f t="shared" si="13"/>
        <v>15.715301637020692</v>
      </c>
      <c r="W17" s="29">
        <f t="shared" si="13"/>
        <v>14.581010119816773</v>
      </c>
      <c r="X17" s="29">
        <f t="shared" ref="X17:Y17" si="14">SUM(X18:X19)</f>
        <v>18.123940767841802</v>
      </c>
      <c r="Y17" s="29">
        <f t="shared" si="14"/>
        <v>15.074946437731892</v>
      </c>
      <c r="DA17" s="173" t="s">
        <v>402</v>
      </c>
    </row>
    <row r="18" spans="1:105" ht="11.45" customHeight="1" x14ac:dyDescent="0.25">
      <c r="A18" s="83" t="s">
        <v>95</v>
      </c>
      <c r="B18" s="87">
        <v>5.6392846951222042</v>
      </c>
      <c r="C18" s="87">
        <v>5.7344405295053784</v>
      </c>
      <c r="D18" s="87">
        <v>6.6072526009296864</v>
      </c>
      <c r="E18" s="87">
        <v>6.1807873136102609</v>
      </c>
      <c r="F18" s="87">
        <v>6.618230512939288</v>
      </c>
      <c r="G18" s="87">
        <v>6.8209355343453373</v>
      </c>
      <c r="H18" s="87">
        <v>6.6886186821989631</v>
      </c>
      <c r="I18" s="87">
        <v>6.5645855602077336</v>
      </c>
      <c r="J18" s="87">
        <v>5.0000854838807154</v>
      </c>
      <c r="K18" s="87">
        <v>4.2167528640759731</v>
      </c>
      <c r="L18" s="87">
        <v>4.7339824577571799</v>
      </c>
      <c r="M18" s="87">
        <v>5.5555585279861948</v>
      </c>
      <c r="N18" s="87">
        <v>4.9874557316204919</v>
      </c>
      <c r="O18" s="87">
        <v>5.5686098831815887</v>
      </c>
      <c r="P18" s="87">
        <v>8.2467321475136863</v>
      </c>
      <c r="Q18" s="87">
        <v>6.7841950932024382</v>
      </c>
      <c r="R18" s="87">
        <v>5.3546813086073888</v>
      </c>
      <c r="S18" s="87">
        <v>4.4936920157049052</v>
      </c>
      <c r="T18" s="87">
        <v>3.9043100469411116</v>
      </c>
      <c r="U18" s="87">
        <v>3.3366998958023162</v>
      </c>
      <c r="V18" s="87">
        <v>4.1035039301743428</v>
      </c>
      <c r="W18" s="87">
        <v>4.7400926240344798</v>
      </c>
      <c r="X18" s="87">
        <v>5.1914930639498262</v>
      </c>
      <c r="Y18" s="87">
        <v>4.0587571898436865</v>
      </c>
      <c r="DA18" s="171" t="s">
        <v>1110</v>
      </c>
    </row>
    <row r="19" spans="1:105" ht="11.45" customHeight="1" x14ac:dyDescent="0.25">
      <c r="A19" s="85" t="s">
        <v>93</v>
      </c>
      <c r="B19" s="88">
        <v>8.2462335733827175</v>
      </c>
      <c r="C19" s="88">
        <v>9.2207726560445469</v>
      </c>
      <c r="D19" s="88">
        <v>9.3228575807096608</v>
      </c>
      <c r="E19" s="88">
        <v>9.1117022406864354</v>
      </c>
      <c r="F19" s="88">
        <v>9.1337179627829972</v>
      </c>
      <c r="G19" s="88">
        <v>9.2076306088382864</v>
      </c>
      <c r="H19" s="88">
        <v>9.2763732726741672</v>
      </c>
      <c r="I19" s="88">
        <v>9.2757654349671395</v>
      </c>
      <c r="J19" s="88">
        <v>9.127674705138336</v>
      </c>
      <c r="K19" s="88">
        <v>6.5524701065774558</v>
      </c>
      <c r="L19" s="88">
        <v>7.8705552188812584</v>
      </c>
      <c r="M19" s="88">
        <v>8.4007005620550732</v>
      </c>
      <c r="N19" s="88">
        <v>7.5209017421776441</v>
      </c>
      <c r="O19" s="88">
        <v>8.0426430537293054</v>
      </c>
      <c r="P19" s="88">
        <v>7.6497785567529446</v>
      </c>
      <c r="Q19" s="88">
        <v>8.0021940689905016</v>
      </c>
      <c r="R19" s="88">
        <v>8.8301941866202664</v>
      </c>
      <c r="S19" s="88">
        <v>10.269134404183434</v>
      </c>
      <c r="T19" s="88">
        <v>13.434753882574723</v>
      </c>
      <c r="U19" s="88">
        <v>13.003228620317973</v>
      </c>
      <c r="V19" s="88">
        <v>11.61179770684635</v>
      </c>
      <c r="W19" s="88">
        <v>9.8409174957822927</v>
      </c>
      <c r="X19" s="88">
        <v>12.932447703891976</v>
      </c>
      <c r="Y19" s="88">
        <v>11.016189247888207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238.56194549632028</v>
      </c>
      <c r="C23" s="62">
        <f>IF(C10=0,0,C10/TrRail_act!C14*100)</f>
        <v>233.05125383080539</v>
      </c>
      <c r="D23" s="62">
        <f>IF(D10=0,0,D10/TrRail_act!D14*100)</f>
        <v>229.73111971269438</v>
      </c>
      <c r="E23" s="62">
        <f>IF(E10=0,0,E10/TrRail_act!E14*100)</f>
        <v>220.17962941371101</v>
      </c>
      <c r="F23" s="62">
        <f>IF(F10=0,0,F10/TrRail_act!F14*100)</f>
        <v>211.2880149491657</v>
      </c>
      <c r="G23" s="62">
        <f>IF(G10=0,0,G10/TrRail_act!G14*100)</f>
        <v>205.20822696187705</v>
      </c>
      <c r="H23" s="62">
        <f>IF(H10=0,0,H10/TrRail_act!H14*100)</f>
        <v>197.94682348276262</v>
      </c>
      <c r="I23" s="62">
        <f>IF(I10=0,0,I10/TrRail_act!I14*100)</f>
        <v>190.75758841972487</v>
      </c>
      <c r="J23" s="62">
        <f>IF(J10=0,0,J10/TrRail_act!J14*100)</f>
        <v>179.67948324832474</v>
      </c>
      <c r="K23" s="62">
        <f>IF(K10=0,0,K10/TrRail_act!K14*100)</f>
        <v>177.13781725912301</v>
      </c>
      <c r="L23" s="62">
        <f>IF(L10=0,0,L10/TrRail_act!L14*100)</f>
        <v>173.28958457292413</v>
      </c>
      <c r="M23" s="62">
        <f>IF(M10=0,0,M10/TrRail_act!M14*100)</f>
        <v>175.97643562694651</v>
      </c>
      <c r="N23" s="62">
        <f>IF(N10=0,0,N10/TrRail_act!N14*100)</f>
        <v>168.08063895296885</v>
      </c>
      <c r="O23" s="62">
        <f>IF(O10=0,0,O10/TrRail_act!O14*100)</f>
        <v>169.26667864436271</v>
      </c>
      <c r="P23" s="62">
        <f>IF(P10=0,0,P10/TrRail_act!P14*100)</f>
        <v>180.59906295387367</v>
      </c>
      <c r="Q23" s="62">
        <f>IF(Q10=0,0,Q10/TrRail_act!Q14*100)</f>
        <v>166.85233933385308</v>
      </c>
      <c r="R23" s="62">
        <f>IF(R10=0,0,R10/TrRail_act!R14*100)</f>
        <v>155.54363291475099</v>
      </c>
      <c r="S23" s="62">
        <f>IF(S10=0,0,S10/TrRail_act!S14*100)</f>
        <v>141.22569713407646</v>
      </c>
      <c r="T23" s="62">
        <f>IF(T10=0,0,T10/TrRail_act!T14*100)</f>
        <v>140.98503973398817</v>
      </c>
      <c r="U23" s="62">
        <f>IF(U10=0,0,U10/TrRail_act!U14*100)</f>
        <v>138.01722534447117</v>
      </c>
      <c r="V23" s="62">
        <f>IF(V10=0,0,V10/TrRail_act!V14*100)</f>
        <v>138.25591968202698</v>
      </c>
      <c r="W23" s="62">
        <f>IF(W10=0,0,W10/TrRail_act!W14*100)</f>
        <v>137.13984818999967</v>
      </c>
      <c r="X23" s="62">
        <f>IF(X10=0,0,X10/TrRail_act!X14*100)</f>
        <v>138.85609662008525</v>
      </c>
      <c r="Y23" s="62">
        <f>IF(Y10=0,0,Y10/TrRail_act!Y14*100)</f>
        <v>136.82026610669197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200.76760821535896</v>
      </c>
      <c r="C24" s="29">
        <f>IF(C11=0,0,C11/TrRail_act!C15*100)</f>
        <v>195.0606534540396</v>
      </c>
      <c r="D24" s="29">
        <f>IF(D11=0,0,D11/TrRail_act!D15*100)</f>
        <v>191.36103820887649</v>
      </c>
      <c r="E24" s="29">
        <f>IF(E11=0,0,E11/TrRail_act!E15*100)</f>
        <v>186.15600193225634</v>
      </c>
      <c r="F24" s="29">
        <f>IF(F11=0,0,F11/TrRail_act!F15*100)</f>
        <v>176.40790002023542</v>
      </c>
      <c r="G24" s="29">
        <f>IF(G11=0,0,G11/TrRail_act!G15*100)</f>
        <v>170.18142263752918</v>
      </c>
      <c r="H24" s="29">
        <f>IF(H11=0,0,H11/TrRail_act!H15*100)</f>
        <v>166.35318314101829</v>
      </c>
      <c r="I24" s="29">
        <f>IF(I11=0,0,I11/TrRail_act!I15*100)</f>
        <v>163.05369981698502</v>
      </c>
      <c r="J24" s="29">
        <f>IF(J11=0,0,J11/TrRail_act!J15*100)</f>
        <v>158.16180071138152</v>
      </c>
      <c r="K24" s="29">
        <f>IF(K11=0,0,K11/TrRail_act!K15*100)</f>
        <v>157.38485994919489</v>
      </c>
      <c r="L24" s="29">
        <f>IF(L11=0,0,L11/TrRail_act!L15*100)</f>
        <v>152.69831773190279</v>
      </c>
      <c r="M24" s="29">
        <f>IF(M11=0,0,M11/TrRail_act!M15*100)</f>
        <v>154.6689250164147</v>
      </c>
      <c r="N24" s="29">
        <f>IF(N11=0,0,N11/TrRail_act!N15*100)</f>
        <v>147.20989190676684</v>
      </c>
      <c r="O24" s="29">
        <f>IF(O11=0,0,O11/TrRail_act!O15*100)</f>
        <v>149.80420835144173</v>
      </c>
      <c r="P24" s="29">
        <f>IF(P11=0,0,P11/TrRail_act!P15*100)</f>
        <v>151.48646057481363</v>
      </c>
      <c r="Q24" s="29">
        <f>IF(Q11=0,0,Q11/TrRail_act!Q15*100)</f>
        <v>144.02979854802541</v>
      </c>
      <c r="R24" s="29">
        <f>IF(R11=0,0,R11/TrRail_act!R15*100)</f>
        <v>137.86196191365258</v>
      </c>
      <c r="S24" s="29">
        <f>IF(S11=0,0,S11/TrRail_act!S15*100)</f>
        <v>126.74844540565988</v>
      </c>
      <c r="T24" s="29">
        <f>IF(T11=0,0,T11/TrRail_act!T15*100)</f>
        <v>132.1057377934676</v>
      </c>
      <c r="U24" s="29">
        <f>IF(U11=0,0,U11/TrRail_act!U15*100)</f>
        <v>129.4785385731835</v>
      </c>
      <c r="V24" s="29">
        <f>IF(V11=0,0,V11/TrRail_act!V15*100)</f>
        <v>116.49937236092907</v>
      </c>
      <c r="W24" s="29">
        <f>IF(W11=0,0,W11/TrRail_act!W15*100)</f>
        <v>116.2680616522043</v>
      </c>
      <c r="X24" s="29">
        <f>IF(X11=0,0,X11/TrRail_act!X15*100)</f>
        <v>116.93517304900158</v>
      </c>
      <c r="Y24" s="29">
        <f>IF(Y11=0,0,Y11/TrRail_act!Y15*100)</f>
        <v>122.15124287533274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X25" s="115">
        <f>IF(X12=0,0,X12/TrRail_act!X16*100)</f>
        <v>0</v>
      </c>
      <c r="Y25" s="115">
        <f>IF(Y12=0,0,Y12/TrRail_act!Y16*100)</f>
        <v>0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200.76760821535896</v>
      </c>
      <c r="C26" s="116">
        <f>IF(C13=0,0,C13/TrRail_act!C17*100)</f>
        <v>195.0606534540396</v>
      </c>
      <c r="D26" s="116">
        <f>IF(D13=0,0,D13/TrRail_act!D17*100)</f>
        <v>191.36103820887649</v>
      </c>
      <c r="E26" s="116">
        <f>IF(E13=0,0,E13/TrRail_act!E17*100)</f>
        <v>186.15600193225634</v>
      </c>
      <c r="F26" s="116">
        <f>IF(F13=0,0,F13/TrRail_act!F17*100)</f>
        <v>176.40790002023542</v>
      </c>
      <c r="G26" s="116">
        <f>IF(G13=0,0,G13/TrRail_act!G17*100)</f>
        <v>170.18142263752918</v>
      </c>
      <c r="H26" s="116">
        <f>IF(H13=0,0,H13/TrRail_act!H17*100)</f>
        <v>166.35318314101829</v>
      </c>
      <c r="I26" s="116">
        <f>IF(I13=0,0,I13/TrRail_act!I17*100)</f>
        <v>163.05369981698502</v>
      </c>
      <c r="J26" s="116">
        <f>IF(J13=0,0,J13/TrRail_act!J17*100)</f>
        <v>157.58877252271674</v>
      </c>
      <c r="K26" s="116">
        <f>IF(K13=0,0,K13/TrRail_act!K17*100)</f>
        <v>156.691006779833</v>
      </c>
      <c r="L26" s="116">
        <f>IF(L13=0,0,L13/TrRail_act!L17*100)</f>
        <v>152.01018109811017</v>
      </c>
      <c r="M26" s="116">
        <f>IF(M13=0,0,M13/TrRail_act!M17*100)</f>
        <v>154.05939925046115</v>
      </c>
      <c r="N26" s="116">
        <f>IF(N13=0,0,N13/TrRail_act!N17*100)</f>
        <v>146.6315001930617</v>
      </c>
      <c r="O26" s="116">
        <f>IF(O13=0,0,O13/TrRail_act!O17*100)</f>
        <v>149.28003389185793</v>
      </c>
      <c r="P26" s="116">
        <f>IF(P13=0,0,P13/TrRail_act!P17*100)</f>
        <v>151.11507715327619</v>
      </c>
      <c r="Q26" s="116">
        <f>IF(Q13=0,0,Q13/TrRail_act!Q17*100)</f>
        <v>143.77887492459814</v>
      </c>
      <c r="R26" s="116">
        <f>IF(R13=0,0,R13/TrRail_act!R17*100)</f>
        <v>137.68083651412724</v>
      </c>
      <c r="S26" s="116">
        <f>IF(S13=0,0,S13/TrRail_act!S17*100)</f>
        <v>126.69746400755677</v>
      </c>
      <c r="T26" s="116">
        <f>IF(T13=0,0,T13/TrRail_act!T17*100)</f>
        <v>132.03085653942898</v>
      </c>
      <c r="U26" s="116">
        <f>IF(U13=0,0,U13/TrRail_act!U17*100)</f>
        <v>129.4048986145842</v>
      </c>
      <c r="V26" s="116">
        <f>IF(V13=0,0,V13/TrRail_act!V17*100)</f>
        <v>116.42995408287146</v>
      </c>
      <c r="W26" s="116">
        <f>IF(W13=0,0,W13/TrRail_act!W17*100)</f>
        <v>114.71888082417767</v>
      </c>
      <c r="X26" s="116">
        <f>IF(X13=0,0,X13/TrRail_act!X17*100)</f>
        <v>114.87522947402068</v>
      </c>
      <c r="Y26" s="116">
        <f>IF(Y13=0,0,Y13/TrRail_act!Y17*100)</f>
        <v>118.64876257256181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262.48622089567857</v>
      </c>
      <c r="C27" s="87">
        <f>IF(C14=0,0,C14/TrRail_act!C18*100)</f>
        <v>257.14760511747295</v>
      </c>
      <c r="D27" s="87">
        <f>IF(D14=0,0,D14/TrRail_act!D18*100)</f>
        <v>254.91067488446956</v>
      </c>
      <c r="E27" s="87">
        <f>IF(E14=0,0,E14/TrRail_act!E18*100)</f>
        <v>249.29009625775041</v>
      </c>
      <c r="F27" s="87">
        <f>IF(F14=0,0,F14/TrRail_act!F18*100)</f>
        <v>244.41390189725337</v>
      </c>
      <c r="G27" s="87">
        <f>IF(G14=0,0,G14/TrRail_act!G18*100)</f>
        <v>241.75468370977347</v>
      </c>
      <c r="H27" s="87">
        <f>IF(H14=0,0,H14/TrRail_act!H18*100)</f>
        <v>236.30949608650701</v>
      </c>
      <c r="I27" s="87">
        <f>IF(I14=0,0,I14/TrRail_act!I18*100)</f>
        <v>232.70953158309226</v>
      </c>
      <c r="J27" s="87">
        <f>IF(J14=0,0,J14/TrRail_act!J18*100)</f>
        <v>227.97626315075456</v>
      </c>
      <c r="K27" s="87">
        <f>IF(K14=0,0,K14/TrRail_act!K18*100)</f>
        <v>224.9338304873406</v>
      </c>
      <c r="L27" s="87">
        <f>IF(L14=0,0,L14/TrRail_act!L18*100)</f>
        <v>220.02972725748594</v>
      </c>
      <c r="M27" s="87">
        <f>IF(M14=0,0,M14/TrRail_act!M18*100)</f>
        <v>214.88778606018667</v>
      </c>
      <c r="N27" s="87">
        <f>IF(N14=0,0,N14/TrRail_act!N18*100)</f>
        <v>212.18426350919347</v>
      </c>
      <c r="O27" s="87">
        <f>IF(O14=0,0,O14/TrRail_act!O18*100)</f>
        <v>205.7241704234039</v>
      </c>
      <c r="P27" s="87">
        <f>IF(P14=0,0,P14/TrRail_act!P18*100)</f>
        <v>199.82386845514344</v>
      </c>
      <c r="Q27" s="87">
        <f>IF(Q14=0,0,Q14/TrRail_act!Q18*100)</f>
        <v>192.62714064878529</v>
      </c>
      <c r="R27" s="87">
        <f>IF(R14=0,0,R14/TrRail_act!R18*100)</f>
        <v>189.27420842116078</v>
      </c>
      <c r="S27" s="87">
        <f>IF(S14=0,0,S14/TrRail_act!S18*100)</f>
        <v>188.66584399458063</v>
      </c>
      <c r="T27" s="87">
        <f>IF(T14=0,0,T14/TrRail_act!T18*100)</f>
        <v>188.21085425164816</v>
      </c>
      <c r="U27" s="87">
        <f>IF(U14=0,0,U14/TrRail_act!U18*100)</f>
        <v>187.87033216677921</v>
      </c>
      <c r="V27" s="87">
        <f>IF(V14=0,0,V14/TrRail_act!V18*100)</f>
        <v>187.61534497480474</v>
      </c>
      <c r="W27" s="87">
        <f>IF(W14=0,0,W14/TrRail_act!W18*100)</f>
        <v>187.42433172258279</v>
      </c>
      <c r="X27" s="87">
        <f>IF(X14=0,0,X14/TrRail_act!X18*100)</f>
        <v>187.28119941695641</v>
      </c>
      <c r="Y27" s="87">
        <f>IF(Y14=0,0,Y14/TrRail_act!Y18*100)</f>
        <v>187.17392192525085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154.10327129690074</v>
      </c>
      <c r="C28" s="87">
        <f>IF(C15=0,0,C15/TrRail_act!C19*100)</f>
        <v>151.14494230502368</v>
      </c>
      <c r="D28" s="87">
        <f>IF(D15=0,0,D15/TrRail_act!D19*100)</f>
        <v>148.58309943364856</v>
      </c>
      <c r="E28" s="87">
        <f>IF(E15=0,0,E15/TrRail_act!E19*100)</f>
        <v>145.13940898600745</v>
      </c>
      <c r="F28" s="87">
        <f>IF(F15=0,0,F15/TrRail_act!F19*100)</f>
        <v>141.09389068213537</v>
      </c>
      <c r="G28" s="87">
        <f>IF(G15=0,0,G15/TrRail_act!G19*100)</f>
        <v>137.56285886318346</v>
      </c>
      <c r="H28" s="87">
        <f>IF(H15=0,0,H15/TrRail_act!H19*100)</f>
        <v>134.45199669702325</v>
      </c>
      <c r="I28" s="87">
        <f>IF(I15=0,0,I15/TrRail_act!I19*100)</f>
        <v>130.93826270819483</v>
      </c>
      <c r="J28" s="87">
        <f>IF(J15=0,0,J15/TrRail_act!J19*100)</f>
        <v>127.89619553708333</v>
      </c>
      <c r="K28" s="87">
        <f>IF(K15=0,0,K15/TrRail_act!K19*100)</f>
        <v>125.03731118212986</v>
      </c>
      <c r="L28" s="87">
        <f>IF(L15=0,0,L15/TrRail_act!L19*100)</f>
        <v>124.07736768195818</v>
      </c>
      <c r="M28" s="87">
        <f>IF(M15=0,0,M15/TrRail_act!M19*100)</f>
        <v>121.94465063513276</v>
      </c>
      <c r="N28" s="87">
        <f>IF(N15=0,0,N15/TrRail_act!N19*100)</f>
        <v>118.49597435640904</v>
      </c>
      <c r="O28" s="87">
        <f>IF(O15=0,0,O15/TrRail_act!O19*100)</f>
        <v>115.96606873656479</v>
      </c>
      <c r="P28" s="87">
        <f>IF(P15=0,0,P15/TrRail_act!P19*100)</f>
        <v>112.49442904182372</v>
      </c>
      <c r="Q28" s="87">
        <f>IF(Q15=0,0,Q15/TrRail_act!Q19*100)</f>
        <v>109.57655489630238</v>
      </c>
      <c r="R28" s="87">
        <f>IF(R15=0,0,R15/TrRail_act!R19*100)</f>
        <v>108.51230422362255</v>
      </c>
      <c r="S28" s="87">
        <f>IF(S15=0,0,S15/TrRail_act!S19*100)</f>
        <v>107.72090491257612</v>
      </c>
      <c r="T28" s="87">
        <f>IF(T15=0,0,T15/TrRail_act!T19*100)</f>
        <v>107.13114552824929</v>
      </c>
      <c r="U28" s="87">
        <f>IF(U15=0,0,U15/TrRail_act!U19*100)</f>
        <v>106.69094590079359</v>
      </c>
      <c r="V28" s="87">
        <f>IF(V15=0,0,V15/TrRail_act!V19*100)</f>
        <v>106.36198359228499</v>
      </c>
      <c r="W28" s="87">
        <f>IF(W15=0,0,W15/TrRail_act!W19*100)</f>
        <v>106.11592766444483</v>
      </c>
      <c r="X28" s="87">
        <f>IF(X15=0,0,X15/TrRail_act!X19*100)</f>
        <v>105.93175934178858</v>
      </c>
      <c r="Y28" s="87">
        <f>IF(Y15=0,0,Y15/TrRail_act!Y19*100)</f>
        <v>105.7938428883642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220.19988695198597</v>
      </c>
      <c r="K29" s="117">
        <f>IF(K16=0,0,K16/TrRail_act!K20*100)</f>
        <v>221.46398434523294</v>
      </c>
      <c r="L29" s="117">
        <f>IF(L16=0,0,L16/TrRail_act!L20*100)</f>
        <v>219.10994631384062</v>
      </c>
      <c r="M29" s="117">
        <f>IF(M16=0,0,M16/TrRail_act!M20*100)</f>
        <v>215.82966347146723</v>
      </c>
      <c r="N29" s="117">
        <f>IF(N16=0,0,N16/TrRail_act!N20*100)</f>
        <v>212.57073318565438</v>
      </c>
      <c r="O29" s="117">
        <f>IF(O16=0,0,O16/TrRail_act!O20*100)</f>
        <v>209.05126447756365</v>
      </c>
      <c r="P29" s="117">
        <f>IF(P16=0,0,P16/TrRail_act!P20*100)</f>
        <v>206.70687833683257</v>
      </c>
      <c r="Q29" s="117">
        <f>IF(Q16=0,0,Q16/TrRail_act!Q20*100)</f>
        <v>204.90049556492761</v>
      </c>
      <c r="R29" s="117">
        <f>IF(R16=0,0,R16/TrRail_act!R20*100)</f>
        <v>203.55607553373781</v>
      </c>
      <c r="S29" s="117">
        <f>IF(S16=0,0,S16/TrRail_act!S20*100)</f>
        <v>202.55355241517728</v>
      </c>
      <c r="T29" s="117">
        <f>IF(T16=0,0,T16/TrRail_act!T20*100)</f>
        <v>201.80490169725428</v>
      </c>
      <c r="U29" s="117">
        <f>IF(U16=0,0,U16/TrRail_act!U20*100)</f>
        <v>201.24523010305671</v>
      </c>
      <c r="V29" s="117">
        <f>IF(V16=0,0,V16/TrRail_act!V20*100)</f>
        <v>200.8264952424606</v>
      </c>
      <c r="W29" s="117">
        <f>IF(W16=0,0,W16/TrRail_act!W20*100)</f>
        <v>200.51301596811828</v>
      </c>
      <c r="X29" s="117">
        <f>IF(X16=0,0,X16/TrRail_act!X20*100)</f>
        <v>200.27822767237274</v>
      </c>
      <c r="Y29" s="117">
        <f>IF(Y16=0,0,Y16/TrRail_act!Y20*100)</f>
        <v>200.1023168864177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276.20038818066303</v>
      </c>
      <c r="C30" s="29">
        <f>IF(C17=0,0,C17/TrRail_act!C21*100)</f>
        <v>268.69326423624938</v>
      </c>
      <c r="D30" s="29">
        <f>IF(D17=0,0,D17/TrRail_act!D21*100)</f>
        <v>265.36247705307778</v>
      </c>
      <c r="E30" s="29">
        <f>IF(E17=0,0,E17/TrRail_act!E21*100)</f>
        <v>255.79307099247873</v>
      </c>
      <c r="F30" s="29">
        <f>IF(F17=0,0,F17/TrRail_act!F21*100)</f>
        <v>248.94082784019363</v>
      </c>
      <c r="G30" s="29">
        <f>IF(G17=0,0,G17/TrRail_act!G21*100)</f>
        <v>243.97745631568307</v>
      </c>
      <c r="H30" s="29">
        <f>IF(H17=0,0,H17/TrRail_act!H21*100)</f>
        <v>232.23050191325433</v>
      </c>
      <c r="I30" s="29">
        <f>IF(I17=0,0,I17/TrRail_act!I21*100)</f>
        <v>220.38831427285172</v>
      </c>
      <c r="J30" s="29">
        <f>IF(J17=0,0,J17/TrRail_act!J21*100)</f>
        <v>203.62619465796413</v>
      </c>
      <c r="K30" s="29">
        <f>IF(K17=0,0,K17/TrRail_act!K21*100)</f>
        <v>203.26125979815095</v>
      </c>
      <c r="L30" s="29">
        <f>IF(L17=0,0,L17/TrRail_act!L21*100)</f>
        <v>195.58301854569837</v>
      </c>
      <c r="M30" s="29">
        <f>IF(M17=0,0,M17/TrRail_act!M21*100)</f>
        <v>194.64857109986181</v>
      </c>
      <c r="N30" s="29">
        <f>IF(N17=0,0,N17/TrRail_act!N21*100)</f>
        <v>188.8876581653854</v>
      </c>
      <c r="O30" s="29">
        <f>IF(O17=0,0,O17/TrRail_act!O21*100)</f>
        <v>185.40162898183289</v>
      </c>
      <c r="P30" s="29">
        <f>IF(P17=0,0,P17/TrRail_act!P21*100)</f>
        <v>201.5384830371267</v>
      </c>
      <c r="Q30" s="29">
        <f>IF(Q17=0,0,Q17/TrRail_act!Q21*100)</f>
        <v>186.634703799959</v>
      </c>
      <c r="R30" s="29">
        <f>IF(R17=0,0,R17/TrRail_act!R21*100)</f>
        <v>170.57704157728409</v>
      </c>
      <c r="S30" s="29">
        <f>IF(S17=0,0,S17/TrRail_act!S21*100)</f>
        <v>158.32050401141868</v>
      </c>
      <c r="T30" s="29">
        <f>IF(T17=0,0,T17/TrRail_act!T21*100)</f>
        <v>147.00044822097345</v>
      </c>
      <c r="U30" s="29">
        <f>IF(U17=0,0,U17/TrRail_act!U21*100)</f>
        <v>143.99159945902824</v>
      </c>
      <c r="V30" s="29">
        <f>IF(V17=0,0,V17/TrRail_act!V21*100)</f>
        <v>150.94313296369333</v>
      </c>
      <c r="W30" s="29">
        <f>IF(W17=0,0,W17/TrRail_act!W21*100)</f>
        <v>159.77897421324042</v>
      </c>
      <c r="X30" s="29">
        <f>IF(X17=0,0,X17/TrRail_act!X21*100)</f>
        <v>153.99103235814158</v>
      </c>
      <c r="Y30" s="29">
        <f>IF(Y17=0,0,Y17/TrRail_act!Y21*100)</f>
        <v>151.48748123259207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523.37383469649956</v>
      </c>
      <c r="C31" s="87">
        <f>IF(C18=0,0,C18/TrRail_act!C22*100)</f>
        <v>519.98932494931103</v>
      </c>
      <c r="D31" s="87">
        <f>IF(D18=0,0,D18/TrRail_act!D22*100)</f>
        <v>518.72936721569249</v>
      </c>
      <c r="E31" s="87">
        <f>IF(E18=0,0,E18/TrRail_act!E22*100)</f>
        <v>515.21920901929207</v>
      </c>
      <c r="F31" s="87">
        <f>IF(F18=0,0,F18/TrRail_act!F22*100)</f>
        <v>511.65499962456585</v>
      </c>
      <c r="G31" s="87">
        <f>IF(G18=0,0,G18/TrRail_act!G22*100)</f>
        <v>508.61557708674911</v>
      </c>
      <c r="H31" s="87">
        <f>IF(H18=0,0,H18/TrRail_act!H22*100)</f>
        <v>503.84497950699892</v>
      </c>
      <c r="I31" s="87">
        <f>IF(I18=0,0,I18/TrRail_act!I22*100)</f>
        <v>495.68170263710999</v>
      </c>
      <c r="J31" s="87">
        <f>IF(J18=0,0,J18/TrRail_act!J22*100)</f>
        <v>486.38929518935805</v>
      </c>
      <c r="K31" s="87">
        <f>IF(K18=0,0,K18/TrRail_act!K22*100)</f>
        <v>479.36992363666002</v>
      </c>
      <c r="L31" s="87">
        <f>IF(L18=0,0,L18/TrRail_act!L22*100)</f>
        <v>477.96161566250532</v>
      </c>
      <c r="M31" s="87">
        <f>IF(M18=0,0,M18/TrRail_act!M22*100)</f>
        <v>466.73845702691716</v>
      </c>
      <c r="N31" s="87">
        <f>IF(N18=0,0,N18/TrRail_act!N22*100)</f>
        <v>462.84413312075151</v>
      </c>
      <c r="O31" s="87">
        <f>IF(O18=0,0,O18/TrRail_act!O22*100)</f>
        <v>457.62701150958645</v>
      </c>
      <c r="P31" s="87">
        <f>IF(P18=0,0,P18/TrRail_act!P22*100)</f>
        <v>450.39491036663406</v>
      </c>
      <c r="Q31" s="87">
        <f>IF(Q18=0,0,Q18/TrRail_act!Q22*100)</f>
        <v>443.82591049660664</v>
      </c>
      <c r="R31" s="87">
        <f>IF(R18=0,0,R18/TrRail_act!R22*100)</f>
        <v>442.03484661777929</v>
      </c>
      <c r="S31" s="87">
        <f>IF(S18=0,0,S18/TrRail_act!S22*100)</f>
        <v>440.69629358637445</v>
      </c>
      <c r="T31" s="87">
        <f>IF(T18=0,0,T18/TrRail_act!T22*100)</f>
        <v>439.69503949901423</v>
      </c>
      <c r="U31" s="87">
        <f>IF(U18=0,0,U18/TrRail_act!U22*100)</f>
        <v>438.94559207441819</v>
      </c>
      <c r="V31" s="87">
        <f>IF(V18=0,0,V18/TrRail_act!V22*100)</f>
        <v>438.38434492631711</v>
      </c>
      <c r="W31" s="87">
        <f>IF(W18=0,0,W18/TrRail_act!W22*100)</f>
        <v>437.9638805568934</v>
      </c>
      <c r="X31" s="87">
        <f>IF(X18=0,0,X18/TrRail_act!X22*100)</f>
        <v>437.64879695145976</v>
      </c>
      <c r="Y31" s="87">
        <f>IF(Y18=0,0,Y18/TrRail_act!Y22*100)</f>
        <v>437.41263301509389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208.77344723675895</v>
      </c>
      <c r="C32" s="88">
        <f>IF(C19=0,0,C19/TrRail_act!C23*100)</f>
        <v>206.59991013196137</v>
      </c>
      <c r="D32" s="88">
        <f>IF(D19=0,0,D19/TrRail_act!D23*100)</f>
        <v>197.12504307094468</v>
      </c>
      <c r="E32" s="88">
        <f>IF(E19=0,0,E19/TrRail_act!E23*100)</f>
        <v>190.66849565756209</v>
      </c>
      <c r="F32" s="88">
        <f>IF(F19=0,0,F19/TrRail_act!F23*100)</f>
        <v>181.43722349340214</v>
      </c>
      <c r="G32" s="88">
        <f>IF(G19=0,0,G19/TrRail_act!G23*100)</f>
        <v>176.10083468266939</v>
      </c>
      <c r="H32" s="88">
        <f>IF(H19=0,0,H19/TrRail_act!H23*100)</f>
        <v>167.22874106875724</v>
      </c>
      <c r="I32" s="88">
        <f>IF(I19=0,0,I19/TrRail_act!I23*100)</f>
        <v>158.20533010687495</v>
      </c>
      <c r="J32" s="88">
        <f>IF(J19=0,0,J19/TrRail_act!J23*100)</f>
        <v>154.44235607779774</v>
      </c>
      <c r="K32" s="88">
        <f>IF(K19=0,0,K19/TrRail_act!K23*100)</f>
        <v>148.29382965236351</v>
      </c>
      <c r="L32" s="88">
        <f>IF(L19=0,0,L19/TrRail_act!L23*100)</f>
        <v>144.30411368876281</v>
      </c>
      <c r="M32" s="88">
        <f>IF(M19=0,0,M19/TrRail_act!M23*100)</f>
        <v>140.48736726946117</v>
      </c>
      <c r="N32" s="88">
        <f>IF(N19=0,0,N19/TrRail_act!N23*100)</f>
        <v>135.64499950367622</v>
      </c>
      <c r="O32" s="88">
        <f>IF(O19=0,0,O19/TrRail_act!O23*100)</f>
        <v>131.31593596448988</v>
      </c>
      <c r="P32" s="88">
        <f>IF(P19=0,0,P19/TrRail_act!P23*100)</f>
        <v>126.30524015936592</v>
      </c>
      <c r="Q32" s="88">
        <f>IF(Q19=0,0,Q19/TrRail_act!Q23*100)</f>
        <v>125.15033407829144</v>
      </c>
      <c r="R32" s="88">
        <f>IF(R19=0,0,R19/TrRail_act!R23*100)</f>
        <v>124.29109000180867</v>
      </c>
      <c r="S32" s="88">
        <f>IF(S19=0,0,S19/TrRail_act!S23*100)</f>
        <v>123.65053048157017</v>
      </c>
      <c r="T32" s="88">
        <f>IF(T19=0,0,T19/TrRail_act!T23*100)</f>
        <v>123.17227826574265</v>
      </c>
      <c r="U32" s="88">
        <f>IF(U19=0,0,U19/TrRail_act!U23*100)</f>
        <v>122.81480340850028</v>
      </c>
      <c r="V32" s="88">
        <f>IF(V19=0,0,V19/TrRail_act!V23*100)</f>
        <v>122.54737827295202</v>
      </c>
      <c r="W32" s="88">
        <f>IF(W19=0,0,W19/TrRail_act!W23*100)</f>
        <v>122.34719163184509</v>
      </c>
      <c r="X32" s="88">
        <f>IF(X19=0,0,X19/TrRail_act!X23*100)</f>
        <v>122.19726628262706</v>
      </c>
      <c r="Y32" s="88">
        <f>IF(Y19=0,0,Y19/TrRail_act!Y23*100)</f>
        <v>122.08494284940244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14.257627014664653</v>
      </c>
      <c r="C35" s="29">
        <f>IF(C11=0,0,C11/TrRail_act!C4*1000)</f>
        <v>14.24575587034427</v>
      </c>
      <c r="D35" s="29">
        <f>IF(D11=0,0,D11/TrRail_act!D4*1000)</f>
        <v>14.242643798786386</v>
      </c>
      <c r="E35" s="29">
        <f>IF(E11=0,0,E11/TrRail_act!E4*1000)</f>
        <v>14.992662707564019</v>
      </c>
      <c r="F35" s="29">
        <f>IF(F11=0,0,F11/TrRail_act!F4*1000)</f>
        <v>17.337676590231144</v>
      </c>
      <c r="G35" s="29">
        <f>IF(G11=0,0,G11/TrRail_act!G4*1000)</f>
        <v>17.283462600908642</v>
      </c>
      <c r="H35" s="29">
        <f>IF(H11=0,0,H11/TrRail_act!H4*1000)</f>
        <v>17.140746636012953</v>
      </c>
      <c r="I35" s="29">
        <f>IF(I11=0,0,I11/TrRail_act!I4*1000)</f>
        <v>16.938569627258968</v>
      </c>
      <c r="J35" s="29">
        <f>IF(J11=0,0,J11/TrRail_act!J4*1000)</f>
        <v>15.96357729353412</v>
      </c>
      <c r="K35" s="29">
        <f>IF(K11=0,0,K11/TrRail_act!K4*1000)</f>
        <v>14.266304729070953</v>
      </c>
      <c r="L35" s="29">
        <f>IF(L11=0,0,L11/TrRail_act!L4*1000)</f>
        <v>14.61491870637464</v>
      </c>
      <c r="M35" s="29">
        <f>IF(M11=0,0,M11/TrRail_act!M4*1000)</f>
        <v>14.104669843495691</v>
      </c>
      <c r="N35" s="29">
        <f>IF(N11=0,0,N11/TrRail_act!N4*1000)</f>
        <v>14.747559433014624</v>
      </c>
      <c r="O35" s="29">
        <f>IF(O11=0,0,O11/TrRail_act!O4*1000)</f>
        <v>13.427911455408521</v>
      </c>
      <c r="P35" s="29">
        <f>IF(P11=0,0,P11/TrRail_act!P4*1000)</f>
        <v>13.861479004435015</v>
      </c>
      <c r="Q35" s="29">
        <f>IF(Q11=0,0,Q11/TrRail_act!Q4*1000)</f>
        <v>15.749858158903791</v>
      </c>
      <c r="R35" s="29">
        <f>IF(R11=0,0,R11/TrRail_act!R4*1000)</f>
        <v>15.952999535669848</v>
      </c>
      <c r="S35" s="29">
        <f>IF(S11=0,0,S11/TrRail_act!S4*1000)</f>
        <v>24.483765328128783</v>
      </c>
      <c r="T35" s="29">
        <f>IF(T11=0,0,T11/TrRail_act!T4*1000)</f>
        <v>18.585174103479773</v>
      </c>
      <c r="U35" s="29">
        <f>IF(U11=0,0,U11/TrRail_act!U4*1000)</f>
        <v>17.972814363251693</v>
      </c>
      <c r="V35" s="29">
        <f>IF(V11=0,0,V11/TrRail_act!V4*1000)</f>
        <v>20.92630311361896</v>
      </c>
      <c r="W35" s="29">
        <f>IF(W11=0,0,W11/TrRail_act!W4*1000)</f>
        <v>22.834836749943847</v>
      </c>
      <c r="X35" s="29">
        <f>IF(X11=0,0,X11/TrRail_act!X4*1000)</f>
        <v>14.732090739666841</v>
      </c>
      <c r="Y35" s="29">
        <f>IF(Y11=0,0,Y11/TrRail_act!Y4*1000)</f>
        <v>16.380210688638467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X36" s="115">
        <f>IF(X12=0,0,X12/TrRail_act!X5*1000)</f>
        <v>0</v>
      </c>
      <c r="Y36" s="115">
        <f>IF(Y12=0,0,Y12/TrRail_act!Y5*1000)</f>
        <v>0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14.257627014664653</v>
      </c>
      <c r="C37" s="116">
        <f>IF(C13=0,0,C13/TrRail_act!C6*1000)</f>
        <v>14.24575587034427</v>
      </c>
      <c r="D37" s="116">
        <f>IF(D13=0,0,D13/TrRail_act!D6*1000)</f>
        <v>14.242643798786386</v>
      </c>
      <c r="E37" s="116">
        <f>IF(E13=0,0,E13/TrRail_act!E6*1000)</f>
        <v>14.992662707564019</v>
      </c>
      <c r="F37" s="116">
        <f>IF(F13=0,0,F13/TrRail_act!F6*1000)</f>
        <v>17.337676590231144</v>
      </c>
      <c r="G37" s="116">
        <f>IF(G13=0,0,G13/TrRail_act!G6*1000)</f>
        <v>17.283462600908642</v>
      </c>
      <c r="H37" s="116">
        <f>IF(H13=0,0,H13/TrRail_act!H6*1000)</f>
        <v>17.140746636012953</v>
      </c>
      <c r="I37" s="116">
        <f>IF(I13=0,0,I13/TrRail_act!I6*1000)</f>
        <v>16.938569627258968</v>
      </c>
      <c r="J37" s="116">
        <f>IF(J13=0,0,J13/TrRail_act!J6*1000)</f>
        <v>16.05396632415561</v>
      </c>
      <c r="K37" s="116">
        <f>IF(K13=0,0,K13/TrRail_act!K6*1000)</f>
        <v>14.348250058627416</v>
      </c>
      <c r="L37" s="116">
        <f>IF(L13=0,0,L13/TrRail_act!L6*1000)</f>
        <v>14.704426947170145</v>
      </c>
      <c r="M37" s="116">
        <f>IF(M13=0,0,M13/TrRail_act!M6*1000)</f>
        <v>14.185097727875293</v>
      </c>
      <c r="N37" s="116">
        <f>IF(N13=0,0,N13/TrRail_act!N6*1000)</f>
        <v>14.828074989538317</v>
      </c>
      <c r="O37" s="116">
        <f>IF(O13=0,0,O13/TrRail_act!O6*1000)</f>
        <v>13.483001371071916</v>
      </c>
      <c r="P37" s="116">
        <f>IF(P13=0,0,P13/TrRail_act!P6*1000)</f>
        <v>13.907847584288829</v>
      </c>
      <c r="Q37" s="116">
        <f>IF(Q13=0,0,Q13/TrRail_act!Q6*1000)</f>
        <v>15.798754411341344</v>
      </c>
      <c r="R37" s="116">
        <f>IF(R13=0,0,R13/TrRail_act!R6*1000)</f>
        <v>15.990300469791663</v>
      </c>
      <c r="S37" s="116">
        <f>IF(S13=0,0,S13/TrRail_act!S6*1000)</f>
        <v>24.523725986269362</v>
      </c>
      <c r="T37" s="116">
        <f>IF(T13=0,0,T13/TrRail_act!T6*1000)</f>
        <v>18.613363578232384</v>
      </c>
      <c r="U37" s="116">
        <f>IF(U13=0,0,U13/TrRail_act!U6*1000)</f>
        <v>17.998931891882194</v>
      </c>
      <c r="V37" s="116">
        <f>IF(V13=0,0,V13/TrRail_act!V6*1000)</f>
        <v>20.921390681692049</v>
      </c>
      <c r="W37" s="116">
        <f>IF(W13=0,0,W13/TrRail_act!W6*1000)</f>
        <v>23.376034319010031</v>
      </c>
      <c r="X37" s="116">
        <f>IF(X13=0,0,X13/TrRail_act!X6*1000)</f>
        <v>15.02768700904147</v>
      </c>
      <c r="Y37" s="116">
        <f>IF(Y13=0,0,Y13/TrRail_act!Y6*1000)</f>
        <v>17.462100942288302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20.268617540397344</v>
      </c>
      <c r="C38" s="87">
        <f>IF(C14=0,0,C14/TrRail_act!C7*1000)</f>
        <v>21.442630490330231</v>
      </c>
      <c r="D38" s="87">
        <f>IF(D14=0,0,D14/TrRail_act!D7*1000)</f>
        <v>22.622639891337965</v>
      </c>
      <c r="E38" s="87">
        <f>IF(E14=0,0,E14/TrRail_act!E7*1000)</f>
        <v>23.855944494715619</v>
      </c>
      <c r="F38" s="87">
        <f>IF(F14=0,0,F14/TrRail_act!F7*1000)</f>
        <v>24.827286661154385</v>
      </c>
      <c r="G38" s="87">
        <f>IF(G14=0,0,G14/TrRail_act!G7*1000)</f>
        <v>23.547611471230027</v>
      </c>
      <c r="H38" s="87">
        <f>IF(H14=0,0,H14/TrRail_act!H7*1000)</f>
        <v>23.60961492154528</v>
      </c>
      <c r="I38" s="87">
        <f>IF(I14=0,0,I14/TrRail_act!I7*1000)</f>
        <v>23.294208894730925</v>
      </c>
      <c r="J38" s="87">
        <f>IF(J14=0,0,J14/TrRail_act!J7*1000)</f>
        <v>21.103721180985147</v>
      </c>
      <c r="K38" s="87">
        <f>IF(K14=0,0,K14/TrRail_act!K7*1000)</f>
        <v>20.273935160178645</v>
      </c>
      <c r="L38" s="87">
        <f>IF(L14=0,0,L14/TrRail_act!L7*1000)</f>
        <v>18.994219539801058</v>
      </c>
      <c r="M38" s="87">
        <f>IF(M14=0,0,M14/TrRail_act!M7*1000)</f>
        <v>21.179850307403253</v>
      </c>
      <c r="N38" s="87">
        <f>IF(N14=0,0,N14/TrRail_act!N7*1000)</f>
        <v>19.795172648229276</v>
      </c>
      <c r="O38" s="87">
        <f>IF(O14=0,0,O14/TrRail_act!O7*1000)</f>
        <v>20.702363825838759</v>
      </c>
      <c r="P38" s="87">
        <f>IF(P14=0,0,P14/TrRail_act!P7*1000)</f>
        <v>21.910270824360559</v>
      </c>
      <c r="Q38" s="87">
        <f>IF(Q14=0,0,Q14/TrRail_act!Q7*1000)</f>
        <v>24.021025722612293</v>
      </c>
      <c r="R38" s="87">
        <f>IF(R14=0,0,R14/TrRail_act!R7*1000)</f>
        <v>23.77161295809239</v>
      </c>
      <c r="S38" s="87">
        <f>IF(S14=0,0,S14/TrRail_act!S7*1000)</f>
        <v>25.125065941914428</v>
      </c>
      <c r="T38" s="87">
        <f>IF(T14=0,0,T14/TrRail_act!T7*1000)</f>
        <v>23.752116250272383</v>
      </c>
      <c r="U38" s="87">
        <f>IF(U14=0,0,U14/TrRail_act!U7*1000)</f>
        <v>22.791336735360407</v>
      </c>
      <c r="V38" s="87">
        <f>IF(V14=0,0,V14/TrRail_act!V7*1000)</f>
        <v>28.52265925140167</v>
      </c>
      <c r="W38" s="87">
        <f>IF(W14=0,0,W14/TrRail_act!W7*1000)</f>
        <v>27.186479209227816</v>
      </c>
      <c r="X38" s="87">
        <f>IF(X14=0,0,X14/TrRail_act!X7*1000)</f>
        <v>19.838993828223568</v>
      </c>
      <c r="Y38" s="87">
        <f>IF(Y14=0,0,Y14/TrRail_act!Y7*1000)</f>
        <v>22.285184388792771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10.317173257060631</v>
      </c>
      <c r="C39" s="87">
        <f>IF(C15=0,0,C15/TrRail_act!C8*1000)</f>
        <v>10.147269351844475</v>
      </c>
      <c r="D39" s="87">
        <f>IF(D15=0,0,D15/TrRail_act!D8*1000)</f>
        <v>9.9753395154944364</v>
      </c>
      <c r="E39" s="87">
        <f>IF(E15=0,0,E15/TrRail_act!E8*1000)</f>
        <v>10.598632217088221</v>
      </c>
      <c r="F39" s="87">
        <f>IF(F15=0,0,F15/TrRail_act!F8*1000)</f>
        <v>13.637099622028057</v>
      </c>
      <c r="G39" s="87">
        <f>IF(G15=0,0,G15/TrRail_act!G8*1000)</f>
        <v>14.247815832848055</v>
      </c>
      <c r="H39" s="87">
        <f>IF(H15=0,0,H15/TrRail_act!H8*1000)</f>
        <v>14.054395020265003</v>
      </c>
      <c r="I39" s="87">
        <f>IF(I15=0,0,I15/TrRail_act!I8*1000)</f>
        <v>13.84355412117684</v>
      </c>
      <c r="J39" s="87">
        <f>IF(J15=0,0,J15/TrRail_act!J8*1000)</f>
        <v>13.605901129908714</v>
      </c>
      <c r="K39" s="87">
        <f>IF(K15=0,0,K15/TrRail_act!K8*1000)</f>
        <v>11.535039765216901</v>
      </c>
      <c r="L39" s="87">
        <f>IF(L15=0,0,L15/TrRail_act!L8*1000)</f>
        <v>12.627579107387948</v>
      </c>
      <c r="M39" s="87">
        <f>IF(M15=0,0,M15/TrRail_act!M8*1000)</f>
        <v>10.851069800068505</v>
      </c>
      <c r="N39" s="87">
        <f>IF(N15=0,0,N15/TrRail_act!N8*1000)</f>
        <v>12.430808156632789</v>
      </c>
      <c r="O39" s="87">
        <f>IF(O15=0,0,O15/TrRail_act!O8*1000)</f>
        <v>9.8767569726364357</v>
      </c>
      <c r="P39" s="87">
        <f>IF(P15=0,0,P15/TrRail_act!P8*1000)</f>
        <v>9.1837247494407119</v>
      </c>
      <c r="Q39" s="87">
        <f>IF(Q15=0,0,Q15/TrRail_act!Q8*1000)</f>
        <v>11.115592865006519</v>
      </c>
      <c r="R39" s="87">
        <f>IF(R15=0,0,R15/TrRail_act!R8*1000)</f>
        <v>12.088264440579351</v>
      </c>
      <c r="S39" s="87">
        <f>IF(S15=0,0,S15/TrRail_act!S8*1000)</f>
        <v>24.212912045602817</v>
      </c>
      <c r="T39" s="87">
        <f>IF(T15=0,0,T15/TrRail_act!T8*1000)</f>
        <v>15.92982460958766</v>
      </c>
      <c r="U39" s="87">
        <f>IF(U15=0,0,U15/TrRail_act!U8*1000)</f>
        <v>15.735404325720973</v>
      </c>
      <c r="V39" s="87">
        <f>IF(V15=0,0,V15/TrRail_act!V8*1000)</f>
        <v>19.617129663204107</v>
      </c>
      <c r="W39" s="87">
        <f>IF(W15=0,0,W15/TrRail_act!W8*1000)</f>
        <v>22.710790347903629</v>
      </c>
      <c r="X39" s="87">
        <f>IF(X15=0,0,X15/TrRail_act!X8*1000)</f>
        <v>14.271857913357096</v>
      </c>
      <c r="Y39" s="87">
        <f>IF(Y15=0,0,Y15/TrRail_act!Y8*1000)</f>
        <v>16.29183941991155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11.114851436624054</v>
      </c>
      <c r="K40" s="117">
        <f>IF(K16=0,0,K16/TrRail_act!K9*1000)</f>
        <v>10.389266324430782</v>
      </c>
      <c r="L40" s="117">
        <f>IF(L16=0,0,L16/TrRail_act!L9*1000)</f>
        <v>10.383135057109151</v>
      </c>
      <c r="M40" s="117">
        <f>IF(M16=0,0,M16/TrRail_act!M9*1000)</f>
        <v>10.031063819513468</v>
      </c>
      <c r="N40" s="117">
        <f>IF(N16=0,0,N16/TrRail_act!N9*1000)</f>
        <v>10.361765919747613</v>
      </c>
      <c r="O40" s="117">
        <f>IF(O16=0,0,O16/TrRail_act!O9*1000)</f>
        <v>10.097838227592725</v>
      </c>
      <c r="P40" s="117">
        <f>IF(P16=0,0,P16/TrRail_act!P9*1000)</f>
        <v>10.174273622033706</v>
      </c>
      <c r="Q40" s="117">
        <f>IF(Q16=0,0,Q16/TrRail_act!Q9*1000)</f>
        <v>10.315388959415657</v>
      </c>
      <c r="R40" s="117">
        <f>IF(R16=0,0,R16/TrRail_act!R9*1000)</f>
        <v>10.146487457374008</v>
      </c>
      <c r="S40" s="117">
        <f>IF(S16=0,0,S16/TrRail_act!S9*1000)</f>
        <v>9.7330927783916348</v>
      </c>
      <c r="T40" s="117">
        <f>IF(T16=0,0,T16/TrRail_act!T9*1000)</f>
        <v>9.6683235450013481</v>
      </c>
      <c r="U40" s="117">
        <f>IF(U16=0,0,U16/TrRail_act!U9*1000)</f>
        <v>9.4131696064537422</v>
      </c>
      <c r="V40" s="117">
        <f>IF(V16=0,0,V16/TrRail_act!V9*1000)</f>
        <v>25.072395659933171</v>
      </c>
      <c r="W40" s="117">
        <f>IF(W16=0,0,W16/TrRail_act!W9*1000)</f>
        <v>13.273679696441301</v>
      </c>
      <c r="X40" s="117">
        <f>IF(X16=0,0,X16/TrRail_act!X9*1000)</f>
        <v>10.114919513186464</v>
      </c>
      <c r="Y40" s="117">
        <f>IF(Y16=0,0,Y16/TrRail_act!Y9*1000)</f>
        <v>9.0119686453601133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4.860174402696857</v>
      </c>
      <c r="C41" s="29">
        <f>IF(C17=0,0,C17/TrRail_act!C10*1000)</f>
        <v>5.2714886096404392</v>
      </c>
      <c r="D41" s="29">
        <f>IF(D17=0,0,D17/TrRail_act!D10*1000)</f>
        <v>5.1754743929952394</v>
      </c>
      <c r="E41" s="29">
        <f>IF(E17=0,0,E17/TrRail_act!E10*1000)</f>
        <v>5.0670939543726634</v>
      </c>
      <c r="F41" s="29">
        <f>IF(F17=0,0,F17/TrRail_act!F10*1000)</f>
        <v>5.0022065658057429</v>
      </c>
      <c r="G41" s="29">
        <f>IF(G17=0,0,G17/TrRail_act!G10*1000)</f>
        <v>4.9394656835696837</v>
      </c>
      <c r="H41" s="29">
        <f>IF(H17=0,0,H17/TrRail_act!H10*1000)</f>
        <v>4.7331728297874687</v>
      </c>
      <c r="I41" s="29">
        <f>IF(I17=0,0,I17/TrRail_act!I10*1000)</f>
        <v>4.3964338038231681</v>
      </c>
      <c r="J41" s="29">
        <f>IF(J17=0,0,J17/TrRail_act!J10*1000)</f>
        <v>4.0135682355167761</v>
      </c>
      <c r="K41" s="29">
        <f>IF(K17=0,0,K17/TrRail_act!K10*1000)</f>
        <v>3.8229403516696587</v>
      </c>
      <c r="L41" s="29">
        <f>IF(L17=0,0,L17/TrRail_act!L10*1000)</f>
        <v>3.6844600048636185</v>
      </c>
      <c r="M41" s="29">
        <f>IF(M17=0,0,M17/TrRail_act!M10*1000)</f>
        <v>3.7196852585397835</v>
      </c>
      <c r="N41" s="29">
        <f>IF(N17=0,0,N17/TrRail_act!N10*1000)</f>
        <v>3.6047139693942754</v>
      </c>
      <c r="O41" s="29">
        <f>IF(O17=0,0,O17/TrRail_act!O10*1000)</f>
        <v>3.582851523272149</v>
      </c>
      <c r="P41" s="29">
        <f>IF(P17=0,0,P17/TrRail_act!P10*1000)</f>
        <v>3.8677641616220515</v>
      </c>
      <c r="Q41" s="29">
        <f>IF(Q17=0,0,Q17/TrRail_act!Q10*1000)</f>
        <v>3.541650098728848</v>
      </c>
      <c r="R41" s="29">
        <f>IF(R17=0,0,R17/TrRail_act!R10*1000)</f>
        <v>3.2534118108320307</v>
      </c>
      <c r="S41" s="29">
        <f>IF(S17=0,0,S17/TrRail_act!S10*1000)</f>
        <v>2.8788663065304876</v>
      </c>
      <c r="T41" s="29">
        <f>IF(T17=0,0,T17/TrRail_act!T10*1000)</f>
        <v>3.3661549076909019</v>
      </c>
      <c r="U41" s="29">
        <f>IF(U17=0,0,U17/TrRail_act!U10*1000)</f>
        <v>3.087666008337167</v>
      </c>
      <c r="V41" s="29">
        <f>IF(V17=0,0,V17/TrRail_act!V10*1000)</f>
        <v>3.3252860002159736</v>
      </c>
      <c r="W41" s="29">
        <f>IF(W17=0,0,W17/TrRail_act!W10*1000)</f>
        <v>2.9534150536392088</v>
      </c>
      <c r="X41" s="29">
        <f>IF(X17=0,0,X17/TrRail_act!X10*1000)</f>
        <v>3.677747720747119</v>
      </c>
      <c r="Y41" s="29">
        <f>IF(Y17=0,0,Y17/TrRail_act!Y10*1000)</f>
        <v>3.2566313324112968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7.5667942926602745</v>
      </c>
      <c r="C42" s="87">
        <f>IF(C18=0,0,C18/TrRail_act!C11*1000)</f>
        <v>7.8350024597332109</v>
      </c>
      <c r="D42" s="87">
        <f>IF(D18=0,0,D18/TrRail_act!D11*1000)</f>
        <v>8.5383754127806384</v>
      </c>
      <c r="E42" s="87">
        <f>IF(E18=0,0,E18/TrRail_act!E11*1000)</f>
        <v>8.2273956216329811</v>
      </c>
      <c r="F42" s="87">
        <f>IF(F18=0,0,F18/TrRail_act!F11*1000)</f>
        <v>8.9475690158252768</v>
      </c>
      <c r="G42" s="87">
        <f>IF(G18=0,0,G18/TrRail_act!G11*1000)</f>
        <v>8.6940271363842907</v>
      </c>
      <c r="H42" s="87">
        <f>IF(H18=0,0,H18/TrRail_act!H11*1000)</f>
        <v>8.3577497707950652</v>
      </c>
      <c r="I42" s="87">
        <f>IF(I18=0,0,I18/TrRail_act!I11*1000)</f>
        <v>8.0788437344985962</v>
      </c>
      <c r="J42" s="87">
        <f>IF(J18=0,0,J18/TrRail_act!J11*1000)</f>
        <v>6.5432176667324473</v>
      </c>
      <c r="K42" s="87">
        <f>IF(K18=0,0,K18/TrRail_act!K11*1000)</f>
        <v>6.4285140327558263</v>
      </c>
      <c r="L42" s="87">
        <f>IF(L18=0,0,L18/TrRail_act!L11*1000)</f>
        <v>6.3592550360173874</v>
      </c>
      <c r="M42" s="87">
        <f>IF(M18=0,0,M18/TrRail_act!M11*1000)</f>
        <v>7.1505086316473481</v>
      </c>
      <c r="N42" s="87">
        <f>IF(N18=0,0,N18/TrRail_act!N11*1000)</f>
        <v>7.265364538394258</v>
      </c>
      <c r="O42" s="87">
        <f>IF(O18=0,0,O18/TrRail_act!O11*1000)</f>
        <v>7.1065321734331652</v>
      </c>
      <c r="P42" s="87">
        <f>IF(P18=0,0,P18/TrRail_act!P11*1000)</f>
        <v>6.9542120238375364</v>
      </c>
      <c r="Q42" s="87">
        <f>IF(Q18=0,0,Q18/TrRail_act!Q11*1000)</f>
        <v>6.9908582265096468</v>
      </c>
      <c r="R42" s="87">
        <f>IF(R18=0,0,R18/TrRail_act!R11*1000)</f>
        <v>7.0018503623503054</v>
      </c>
      <c r="S42" s="87">
        <f>IF(S18=0,0,S18/TrRail_act!S11*1000)</f>
        <v>6.5610959834783467</v>
      </c>
      <c r="T42" s="87">
        <f>IF(T18=0,0,T18/TrRail_act!T11*1000)</f>
        <v>6.4378104119105082</v>
      </c>
      <c r="U42" s="87">
        <f>IF(U18=0,0,U18/TrRail_act!U11*1000)</f>
        <v>6.3298148853759209</v>
      </c>
      <c r="V42" s="87">
        <f>IF(V18=0,0,V18/TrRail_act!V11*1000)</f>
        <v>7.6437242741000864</v>
      </c>
      <c r="W42" s="87">
        <f>IF(W18=0,0,W18/TrRail_act!W11*1000)</f>
        <v>8.6821071219812183</v>
      </c>
      <c r="X42" s="87">
        <f>IF(X18=0,0,X18/TrRail_act!X11*1000)</f>
        <v>8.6314190687152816</v>
      </c>
      <c r="Y42" s="87">
        <f>IF(Y18=0,0,Y18/TrRail_act!Y11*1000)</f>
        <v>7.4627059469274073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3.9049609594910892</v>
      </c>
      <c r="C43" s="88">
        <f>IF(C19=0,0,C19/TrRail_act!C12*1000)</f>
        <v>4.3802070696440198</v>
      </c>
      <c r="D43" s="88">
        <f>IF(D19=0,0,D19/TrRail_act!D12*1000)</f>
        <v>4.0460809392101194</v>
      </c>
      <c r="E43" s="88">
        <f>IF(E19=0,0,E19/TrRail_act!E12*1000)</f>
        <v>4.0197114440156962</v>
      </c>
      <c r="F43" s="88">
        <f>IF(F19=0,0,F19/TrRail_act!F12*1000)</f>
        <v>3.7909752484292225</v>
      </c>
      <c r="G43" s="88">
        <f>IF(G19=0,0,G19/TrRail_act!G12*1000)</f>
        <v>3.7422611063292575</v>
      </c>
      <c r="H43" s="88">
        <f>IF(H19=0,0,H19/TrRail_act!H12*1000)</f>
        <v>3.6056808449257676</v>
      </c>
      <c r="I43" s="88">
        <f>IF(I19=0,0,I19/TrRail_act!I12*1000)</f>
        <v>3.3241288165706888</v>
      </c>
      <c r="J43" s="88">
        <f>IF(J19=0,0,J19/TrRail_act!J12*1000)</f>
        <v>3.312124421771836</v>
      </c>
      <c r="K43" s="88">
        <f>IF(K19=0,0,K19/TrRail_act!K12*1000)</f>
        <v>3.0320703014211667</v>
      </c>
      <c r="L43" s="88">
        <f>IF(L19=0,0,L19/TrRail_act!L12*1000)</f>
        <v>2.9405312599940521</v>
      </c>
      <c r="M43" s="88">
        <f>IF(M19=0,0,M19/TrRail_act!M12*1000)</f>
        <v>2.8237135676641634</v>
      </c>
      <c r="N43" s="88">
        <f>IF(N19=0,0,N19/TrRail_act!N12*1000)</f>
        <v>2.7019295968145847</v>
      </c>
      <c r="O43" s="88">
        <f>IF(O19=0,0,O19/TrRail_act!O12*1000)</f>
        <v>2.6671808911519888</v>
      </c>
      <c r="P43" s="88">
        <f>IF(P19=0,0,P19/TrRail_act!P12*1000)</f>
        <v>2.616079402077796</v>
      </c>
      <c r="Q43" s="88">
        <f>IF(Q19=0,0,Q19/TrRail_act!Q12*1000)</f>
        <v>2.4971257505990021</v>
      </c>
      <c r="R43" s="88">
        <f>IF(R19=0,0,R19/TrRail_act!R12*1000)</f>
        <v>2.4560739544146073</v>
      </c>
      <c r="S43" s="88">
        <f>IF(S19=0,0,S19/TrRail_act!S12*1000)</f>
        <v>2.3112541874040207</v>
      </c>
      <c r="T43" s="88">
        <f>IF(T19=0,0,T19/TrRail_act!T12*1000)</f>
        <v>2.9562442413608552</v>
      </c>
      <c r="U43" s="88">
        <f>IF(U19=0,0,U19/TrRail_act!U12*1000)</f>
        <v>2.7289845181027963</v>
      </c>
      <c r="V43" s="88">
        <f>IF(V19=0,0,V19/TrRail_act!V12*1000)</f>
        <v>2.7718718662732389</v>
      </c>
      <c r="W43" s="88">
        <f>IF(W19=0,0,W19/TrRail_act!W12*1000)</f>
        <v>2.2411364795857525</v>
      </c>
      <c r="X43" s="88">
        <f>IF(X19=0,0,X19/TrRail_act!X12*1000)</f>
        <v>2.9891001746903774</v>
      </c>
      <c r="Y43" s="88">
        <f>IF(Y19=0,0,Y19/TrRail_act!Y12*1000)</f>
        <v>2.6966570902039253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409084.1056715321</v>
      </c>
      <c r="C45" s="54">
        <f>IF(C10=0,0,1000000*C10/TrRail_act!C25)</f>
        <v>401345.17877560871</v>
      </c>
      <c r="D45" s="54">
        <f>IF(D10=0,0,1000000*D10/TrRail_act!D25)</f>
        <v>395917.98766741343</v>
      </c>
      <c r="E45" s="54">
        <f>IF(E10=0,0,1000000*E10/TrRail_act!E25)</f>
        <v>376223.75764679443</v>
      </c>
      <c r="F45" s="54">
        <f>IF(F10=0,0,1000000*F10/TrRail_act!F25)</f>
        <v>360240.7565960603</v>
      </c>
      <c r="G45" s="54">
        <f>IF(G10=0,0,1000000*G10/TrRail_act!G25)</f>
        <v>349255.26581364626</v>
      </c>
      <c r="H45" s="54">
        <f>IF(H10=0,0,1000000*H10/TrRail_act!H25)</f>
        <v>337369.38249727094</v>
      </c>
      <c r="I45" s="54">
        <f>IF(I10=0,0,1000000*I10/TrRail_act!I25)</f>
        <v>325450.51748831471</v>
      </c>
      <c r="J45" s="54">
        <f>IF(J10=0,0,1000000*J10/TrRail_act!J25)</f>
        <v>303473.64645468176</v>
      </c>
      <c r="K45" s="54">
        <f>IF(K10=0,0,1000000*K10/TrRail_act!K25)</f>
        <v>266139.71415648999</v>
      </c>
      <c r="L45" s="54">
        <f>IF(L10=0,0,1000000*L10/TrRail_act!L25)</f>
        <v>296360.04048879113</v>
      </c>
      <c r="M45" s="54">
        <f>IF(M10=0,0,1000000*M10/TrRail_act!M25)</f>
        <v>291977.24454071478</v>
      </c>
      <c r="N45" s="54">
        <f>IF(N10=0,0,1000000*N10/TrRail_act!N25)</f>
        <v>288177.32779539959</v>
      </c>
      <c r="O45" s="54">
        <f>IF(O10=0,0,1000000*O10/TrRail_act!O25)</f>
        <v>282604.15098237805</v>
      </c>
      <c r="P45" s="54">
        <f>IF(P10=0,0,1000000*P10/TrRail_act!P25)</f>
        <v>295271.22754638433</v>
      </c>
      <c r="Q45" s="54">
        <f>IF(Q10=0,0,1000000*Q10/TrRail_act!Q25)</f>
        <v>285791.49326821411</v>
      </c>
      <c r="R45" s="54">
        <f>IF(R10=0,0,1000000*R10/TrRail_act!R25)</f>
        <v>262600.95741316915</v>
      </c>
      <c r="S45" s="54">
        <f>IF(S10=0,0,1000000*S10/TrRail_act!S25)</f>
        <v>234274.81949722278</v>
      </c>
      <c r="T45" s="54">
        <f>IF(T10=0,0,1000000*T10/TrRail_act!T25)</f>
        <v>210845.84082922564</v>
      </c>
      <c r="U45" s="54">
        <f>IF(U10=0,0,1000000*U10/TrRail_act!U25)</f>
        <v>209893.53685563209</v>
      </c>
      <c r="V45" s="54">
        <f>IF(V10=0,0,1000000*V10/TrRail_act!V25)</f>
        <v>188370.23820476417</v>
      </c>
      <c r="W45" s="54">
        <f>IF(W10=0,0,1000000*W10/TrRail_act!W25)</f>
        <v>209101.79769427411</v>
      </c>
      <c r="X45" s="54">
        <f>IF(X10=0,0,1000000*X10/TrRail_act!X25)</f>
        <v>219396.71001677064</v>
      </c>
      <c r="Y45" s="54">
        <f>IF(Y10=0,0,1000000*Y10/TrRail_act!Y25)</f>
        <v>224194.37813371737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301151.41195693903</v>
      </c>
      <c r="C46" s="28">
        <f>IF(C11=0,0,1000000*C11/TrRail_act!C26)</f>
        <v>292590.9693579282</v>
      </c>
      <c r="D46" s="28">
        <f>IF(D11=0,0,1000000*D11/TrRail_act!D26)</f>
        <v>287041.55055320892</v>
      </c>
      <c r="E46" s="28">
        <f>IF(E11=0,0,1000000*E11/TrRail_act!E26)</f>
        <v>279233.99764128332</v>
      </c>
      <c r="F46" s="28">
        <f>IF(F11=0,0,1000000*F11/TrRail_act!F26)</f>
        <v>264611.84666804672</v>
      </c>
      <c r="G46" s="28">
        <f>IF(G11=0,0,1000000*G11/TrRail_act!G26)</f>
        <v>255272.12887117264</v>
      </c>
      <c r="H46" s="28">
        <f>IF(H11=0,0,1000000*H11/TrRail_act!H26)</f>
        <v>249529.77164310863</v>
      </c>
      <c r="I46" s="28">
        <f>IF(I11=0,0,1000000*I11/TrRail_act!I26)</f>
        <v>244580.5432538733</v>
      </c>
      <c r="J46" s="28">
        <f>IF(J11=0,0,1000000*J11/TrRail_act!J26)</f>
        <v>238699.10345474386</v>
      </c>
      <c r="K46" s="28">
        <f>IF(K11=0,0,1000000*K11/TrRail_act!K26)</f>
        <v>226068.22098023046</v>
      </c>
      <c r="L46" s="28">
        <f>IF(L11=0,0,1000000*L11/TrRail_act!L26)</f>
        <v>230585.37686222233</v>
      </c>
      <c r="M46" s="28">
        <f>IF(M11=0,0,1000000*M11/TrRail_act!M26)</f>
        <v>214845.44915770966</v>
      </c>
      <c r="N46" s="28">
        <f>IF(N11=0,0,1000000*N11/TrRail_act!N26)</f>
        <v>221920.39822917109</v>
      </c>
      <c r="O46" s="28">
        <f>IF(O11=0,0,1000000*O11/TrRail_act!O26)</f>
        <v>208549.84488422729</v>
      </c>
      <c r="P46" s="28">
        <f>IF(P11=0,0,1000000*P11/TrRail_act!P26)</f>
        <v>197543.59657608572</v>
      </c>
      <c r="Q46" s="28">
        <f>IF(Q11=0,0,1000000*Q11/TrRail_act!Q26)</f>
        <v>216144.54843928132</v>
      </c>
      <c r="R46" s="28">
        <f>IF(R11=0,0,1000000*R11/TrRail_act!R26)</f>
        <v>205053.45259006487</v>
      </c>
      <c r="S46" s="28">
        <f>IF(S11=0,0,1000000*S11/TrRail_act!S26)</f>
        <v>189818.90635626757</v>
      </c>
      <c r="T46" s="28">
        <f>IF(T11=0,0,1000000*T11/TrRail_act!T26)</f>
        <v>149172.85013620311</v>
      </c>
      <c r="U46" s="28">
        <f>IF(U11=0,0,1000000*U11/TrRail_act!U26)</f>
        <v>152464.78522744897</v>
      </c>
      <c r="V46" s="28">
        <f>IF(V11=0,0,1000000*V11/TrRail_act!V26)</f>
        <v>110360.76575011104</v>
      </c>
      <c r="W46" s="28">
        <f>IF(W11=0,0,1000000*W11/TrRail_act!W26)</f>
        <v>163544.90339956604</v>
      </c>
      <c r="X46" s="28">
        <f>IF(X11=0,0,1000000*X11/TrRail_act!X26)</f>
        <v>141673.16277304126</v>
      </c>
      <c r="Y46" s="28">
        <f>IF(Y11=0,0,1000000*Y11/TrRail_act!Y26)</f>
        <v>186644.1284747009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X47" s="108">
        <f>IF(X12=0,0,1000000*X12/TrRail_act!X27)</f>
        <v>0</v>
      </c>
      <c r="Y47" s="108">
        <f>IF(Y12=0,0,1000000*Y12/TrRail_act!Y27)</f>
        <v>0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301151.41195693903</v>
      </c>
      <c r="C48" s="110">
        <f>IF(C13=0,0,1000000*C13/TrRail_act!C28)</f>
        <v>292590.9693579282</v>
      </c>
      <c r="D48" s="110">
        <f>IF(D13=0,0,1000000*D13/TrRail_act!D28)</f>
        <v>287041.55055320892</v>
      </c>
      <c r="E48" s="110">
        <f>IF(E13=0,0,1000000*E13/TrRail_act!E28)</f>
        <v>279233.99764128332</v>
      </c>
      <c r="F48" s="110">
        <f>IF(F13=0,0,1000000*F13/TrRail_act!F28)</f>
        <v>264611.84666804672</v>
      </c>
      <c r="G48" s="110">
        <f>IF(G13=0,0,1000000*G13/TrRail_act!G28)</f>
        <v>255272.12887117264</v>
      </c>
      <c r="H48" s="110">
        <f>IF(H13=0,0,1000000*H13/TrRail_act!H28)</f>
        <v>249529.77164310863</v>
      </c>
      <c r="I48" s="110">
        <f>IF(I13=0,0,1000000*I13/TrRail_act!I28)</f>
        <v>244580.5432538733</v>
      </c>
      <c r="J48" s="110">
        <f>IF(J13=0,0,1000000*J13/TrRail_act!J28)</f>
        <v>236383.15420077372</v>
      </c>
      <c r="K48" s="110">
        <f>IF(K13=0,0,1000000*K13/TrRail_act!K28)</f>
        <v>223424.54282075283</v>
      </c>
      <c r="L48" s="110">
        <f>IF(L13=0,0,1000000*L13/TrRail_act!L28)</f>
        <v>228015.26593923778</v>
      </c>
      <c r="M48" s="110">
        <f>IF(M13=0,0,1000000*M13/TrRail_act!M28)</f>
        <v>212671.3483686205</v>
      </c>
      <c r="N48" s="110">
        <f>IF(N13=0,0,1000000*N13/TrRail_act!N28)</f>
        <v>219947.24515885703</v>
      </c>
      <c r="O48" s="110">
        <f>IF(O13=0,0,1000000*O13/TrRail_act!O28)</f>
        <v>206786.54154167025</v>
      </c>
      <c r="P48" s="110">
        <f>IF(P13=0,0,1000000*P13/TrRail_act!P28)</f>
        <v>196496.20376567019</v>
      </c>
      <c r="Q48" s="110">
        <f>IF(Q13=0,0,1000000*Q13/TrRail_act!Q28)</f>
        <v>215668.30640492216</v>
      </c>
      <c r="R48" s="110">
        <f>IF(R13=0,0,1000000*R13/TrRail_act!R28)</f>
        <v>204940.11161188121</v>
      </c>
      <c r="S48" s="110">
        <f>IF(S13=0,0,1000000*S13/TrRail_act!S28)</f>
        <v>190046.19213248888</v>
      </c>
      <c r="T48" s="110">
        <f>IF(T13=0,0,1000000*T13/TrRail_act!T28)</f>
        <v>149280.15198043932</v>
      </c>
      <c r="U48" s="110">
        <f>IF(U13=0,0,1000000*U13/TrRail_act!U28)</f>
        <v>152599.36293275782</v>
      </c>
      <c r="V48" s="110">
        <f>IF(V13=0,0,1000000*V13/TrRail_act!V28)</f>
        <v>110491.84358344559</v>
      </c>
      <c r="W48" s="110">
        <f>IF(W13=0,0,1000000*W13/TrRail_act!W28)</f>
        <v>159351.44603755546</v>
      </c>
      <c r="X48" s="110">
        <f>IF(X13=0,0,1000000*X13/TrRail_act!X28)</f>
        <v>136708.21789894233</v>
      </c>
      <c r="Y48" s="110">
        <f>IF(Y13=0,0,1000000*Y13/TrRail_act!Y28)</f>
        <v>176067.58560453533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393729.33025897463</v>
      </c>
      <c r="C49" s="84">
        <f>IF(C14=0,0,1000000*C14/TrRail_act!C29)</f>
        <v>385721.38825608598</v>
      </c>
      <c r="D49" s="84">
        <f>IF(D14=0,0,1000000*D14/TrRail_act!D29)</f>
        <v>382365.99881364359</v>
      </c>
      <c r="E49" s="84">
        <f>IF(E14=0,0,1000000*E14/TrRail_act!E29)</f>
        <v>373935.13047556079</v>
      </c>
      <c r="F49" s="84">
        <f>IF(F14=0,0,1000000*F14/TrRail_act!F29)</f>
        <v>366620.84324830613</v>
      </c>
      <c r="G49" s="84">
        <f>IF(G14=0,0,1000000*G14/TrRail_act!G29)</f>
        <v>362632.01630085235</v>
      </c>
      <c r="H49" s="84">
        <f>IF(H14=0,0,1000000*H14/TrRail_act!H29)</f>
        <v>354464.23932959925</v>
      </c>
      <c r="I49" s="84">
        <f>IF(I14=0,0,1000000*I14/TrRail_act!I29)</f>
        <v>349064.28548973234</v>
      </c>
      <c r="J49" s="84">
        <f>IF(J14=0,0,1000000*J14/TrRail_act!J29)</f>
        <v>341964.38838325097</v>
      </c>
      <c r="K49" s="84">
        <f>IF(K14=0,0,1000000*K14/TrRail_act!K29)</f>
        <v>337400.73750837904</v>
      </c>
      <c r="L49" s="84">
        <f>IF(L14=0,0,1000000*L14/TrRail_act!L29)</f>
        <v>330044.57049929968</v>
      </c>
      <c r="M49" s="84">
        <f>IF(M14=0,0,1000000*M14/TrRail_act!M29)</f>
        <v>322331.66118107975</v>
      </c>
      <c r="N49" s="84">
        <f>IF(N14=0,0,1000000*N14/TrRail_act!N29)</f>
        <v>318276.39377265639</v>
      </c>
      <c r="O49" s="84">
        <f>IF(O14=0,0,1000000*O14/TrRail_act!O29)</f>
        <v>308586.25207806245</v>
      </c>
      <c r="P49" s="84">
        <f>IF(P14=0,0,1000000*P14/TrRail_act!P29)</f>
        <v>299735.78631842346</v>
      </c>
      <c r="Q49" s="84">
        <f>IF(Q14=0,0,1000000*Q14/TrRail_act!Q29)</f>
        <v>288940.70550501213</v>
      </c>
      <c r="R49" s="84">
        <f>IF(R14=0,0,1000000*R14/TrRail_act!R29)</f>
        <v>277973.32740303042</v>
      </c>
      <c r="S49" s="84">
        <f>IF(S14=0,0,1000000*S14/TrRail_act!S29)</f>
        <v>282998.75756965741</v>
      </c>
      <c r="T49" s="84">
        <f>IF(T14=0,0,1000000*T14/TrRail_act!T29)</f>
        <v>282316.27723731723</v>
      </c>
      <c r="U49" s="84">
        <f>IF(U14=0,0,1000000*U14/TrRail_act!U29)</f>
        <v>279724.21866576141</v>
      </c>
      <c r="V49" s="84">
        <f>IF(V14=0,0,1000000*V14/TrRail_act!V29)</f>
        <v>104708.70513186065</v>
      </c>
      <c r="W49" s="84">
        <f>IF(W14=0,0,1000000*W14/TrRail_act!W29)</f>
        <v>160206.54236426664</v>
      </c>
      <c r="X49" s="84">
        <f>IF(X14=0,0,1000000*X14/TrRail_act!X29)</f>
        <v>154117.38595706859</v>
      </c>
      <c r="Y49" s="84">
        <f>IF(Y14=0,0,1000000*Y14/TrRail_act!Y29)</f>
        <v>280760.88185670483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231154.90693329636</v>
      </c>
      <c r="C50" s="84">
        <f>IF(C15=0,0,1000000*C15/TrRail_act!C30)</f>
        <v>226717.40721306248</v>
      </c>
      <c r="D50" s="84">
        <f>IF(D15=0,0,1000000*D15/TrRail_act!D30)</f>
        <v>222874.64567032162</v>
      </c>
      <c r="E50" s="84">
        <f>IF(E15=0,0,1000000*E15/TrRail_act!E30)</f>
        <v>217709.11197918319</v>
      </c>
      <c r="F50" s="84">
        <f>IF(F15=0,0,1000000*F15/TrRail_act!F30)</f>
        <v>211640.83481454459</v>
      </c>
      <c r="G50" s="84">
        <f>IF(G15=0,0,1000000*G15/TrRail_act!G30)</f>
        <v>206344.28471334322</v>
      </c>
      <c r="H50" s="84">
        <f>IF(H15=0,0,1000000*H15/TrRail_act!H30)</f>
        <v>201677.9926800603</v>
      </c>
      <c r="I50" s="84">
        <f>IF(I15=0,0,1000000*I15/TrRail_act!I30)</f>
        <v>196407.38955247425</v>
      </c>
      <c r="J50" s="84">
        <f>IF(J15=0,0,1000000*J15/TrRail_act!J30)</f>
        <v>191844.28951784602</v>
      </c>
      <c r="K50" s="84">
        <f>IF(K15=0,0,1000000*K15/TrRail_act!K30)</f>
        <v>174295.62500976879</v>
      </c>
      <c r="L50" s="84">
        <f>IF(L15=0,0,1000000*L15/TrRail_act!L30)</f>
        <v>186116.04967170209</v>
      </c>
      <c r="M50" s="84">
        <f>IF(M15=0,0,1000000*M15/TrRail_act!M30)</f>
        <v>161541.20256959539</v>
      </c>
      <c r="N50" s="84">
        <f>IF(N15=0,0,1000000*N15/TrRail_act!N30)</f>
        <v>177743.95596618264</v>
      </c>
      <c r="O50" s="84">
        <f>IF(O15=0,0,1000000*O15/TrRail_act!O30)</f>
        <v>153698.06637038515</v>
      </c>
      <c r="P50" s="84">
        <f>IF(P15=0,0,1000000*P15/TrRail_act!P30)</f>
        <v>132311.2765511632</v>
      </c>
      <c r="Q50" s="84">
        <f>IF(Q15=0,0,1000000*Q15/TrRail_act!Q30)</f>
        <v>164364.82677135227</v>
      </c>
      <c r="R50" s="84">
        <f>IF(R15=0,0,1000000*R15/TrRail_act!R30)</f>
        <v>162768.45537913076</v>
      </c>
      <c r="S50" s="84">
        <f>IF(S15=0,0,1000000*S15/TrRail_act!S30)</f>
        <v>161581.35453366212</v>
      </c>
      <c r="T50" s="84">
        <f>IF(T15=0,0,1000000*T15/TrRail_act!T30)</f>
        <v>109208.87999039222</v>
      </c>
      <c r="U50" s="84">
        <f>IF(U15=0,0,1000000*U15/TrRail_act!U30)</f>
        <v>116407.84277278736</v>
      </c>
      <c r="V50" s="84">
        <f>IF(V15=0,0,1000000*V15/TrRail_act!V30)</f>
        <v>112035.5677680622</v>
      </c>
      <c r="W50" s="84">
        <f>IF(W15=0,0,1000000*W15/TrRail_act!W30)</f>
        <v>159173.89115937761</v>
      </c>
      <c r="X50" s="84">
        <f>IF(X15=0,0,1000000*X15/TrRail_act!X30)</f>
        <v>133417.14347371279</v>
      </c>
      <c r="Y50" s="84">
        <f>IF(Y15=0,0,1000000*Y15/TrRail_act!Y30)</f>
        <v>156676.96587588504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990893.41505073151</v>
      </c>
      <c r="K51" s="113">
        <f>IF(K16=0,0,1000000*K16/TrRail_act!K31)</f>
        <v>996584.25874946057</v>
      </c>
      <c r="L51" s="113">
        <f>IF(L16=0,0,1000000*L16/TrRail_act!L31)</f>
        <v>939971.33875914675</v>
      </c>
      <c r="M51" s="113">
        <f>IF(M16=0,0,1000000*M16/TrRail_act!M31)</f>
        <v>802254.17182645889</v>
      </c>
      <c r="N51" s="113">
        <f>IF(N16=0,0,1000000*N16/TrRail_act!N31)</f>
        <v>738005.12671975477</v>
      </c>
      <c r="O51" s="113">
        <f>IF(O16=0,0,1000000*O16/TrRail_act!O31)</f>
        <v>668959.53437630902</v>
      </c>
      <c r="P51" s="113">
        <f>IF(P16=0,0,1000000*P16/TrRail_act!P31)</f>
        <v>469681.33244798816</v>
      </c>
      <c r="Q51" s="113">
        <f>IF(Q16=0,0,1000000*Q16/TrRail_act!Q31)</f>
        <v>346324.16559387802</v>
      </c>
      <c r="R51" s="113">
        <f>IF(R16=0,0,1000000*R16/TrRail_act!R31)</f>
        <v>237240.86070431676</v>
      </c>
      <c r="S51" s="113">
        <f>IF(S16=0,0,1000000*S16/TrRail_act!S31)</f>
        <v>89862.965255717194</v>
      </c>
      <c r="T51" s="113">
        <f>IF(T16=0,0,1000000*T16/TrRail_act!T31)</f>
        <v>103756.03511764176</v>
      </c>
      <c r="U51" s="113">
        <f>IF(U16=0,0,1000000*U16/TrRail_act!U31)</f>
        <v>98196.112154998918</v>
      </c>
      <c r="V51" s="113">
        <f>IF(V16=0,0,1000000*V16/TrRail_act!V31)</f>
        <v>60126.370004276243</v>
      </c>
      <c r="W51" s="113">
        <f>IF(W16=0,0,1000000*W16/TrRail_act!W31)</f>
        <v>902307.57871234848</v>
      </c>
      <c r="X51" s="113">
        <f>IF(X16=0,0,1000000*X16/TrRail_act!X31)</f>
        <v>901251.28601333336</v>
      </c>
      <c r="Y51" s="113">
        <f>IF(Y16=0,0,1000000*Y16/TrRail_act!Y31)</f>
        <v>900460.38272824301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552400.75580819347</v>
      </c>
      <c r="C52" s="28">
        <f>IF(C17=0,0,1000000*C17/TrRail_act!C32)</f>
        <v>537386.49998531863</v>
      </c>
      <c r="D52" s="28">
        <f>IF(D17=0,0,1000000*D17/TrRail_act!D32)</f>
        <v>530724.93598493212</v>
      </c>
      <c r="E52" s="28">
        <f>IF(E17=0,0,1000000*E17/TrRail_act!E32)</f>
        <v>511586.12663441116</v>
      </c>
      <c r="F52" s="28">
        <f>IF(F17=0,0,1000000*F17/TrRail_act!F32)</f>
        <v>497881.64057095896</v>
      </c>
      <c r="G52" s="28">
        <f>IF(G17=0,0,1000000*G17/TrRail_act!G32)</f>
        <v>487954.90318552015</v>
      </c>
      <c r="H52" s="28">
        <f>IF(H17=0,0,1000000*H17/TrRail_act!H32)</f>
        <v>464460.99092644179</v>
      </c>
      <c r="I52" s="28">
        <f>IF(I17=0,0,1000000*I17/TrRail_act!I32)</f>
        <v>440776.61547032295</v>
      </c>
      <c r="J52" s="28">
        <f>IF(J17=0,0,1000000*J17/TrRail_act!J32)</f>
        <v>396474.56591343129</v>
      </c>
      <c r="K52" s="28">
        <f>IF(K17=0,0,1000000*K17/TrRail_act!K32)</f>
        <v>325159.74045529717</v>
      </c>
      <c r="L52" s="28">
        <f>IF(L17=0,0,1000000*L17/TrRail_act!L32)</f>
        <v>390520.25795168336</v>
      </c>
      <c r="M52" s="28">
        <f>IF(M17=0,0,1000000*M17/TrRail_act!M32)</f>
        <v>389297.13534235116</v>
      </c>
      <c r="N52" s="28">
        <f>IF(N17=0,0,1000000*N17/TrRail_act!N32)</f>
        <v>375218.20780405577</v>
      </c>
      <c r="O52" s="28">
        <f>IF(O17=0,0,1000000*O17/TrRail_act!O32)</f>
        <v>370803.24135864549</v>
      </c>
      <c r="P52" s="28">
        <f>IF(P17=0,0,1000000*P17/TrRail_act!P32)</f>
        <v>403076.95614832058</v>
      </c>
      <c r="Q52" s="28">
        <f>IF(Q17=0,0,1000000*Q17/TrRail_act!Q32)</f>
        <v>364317.14562523045</v>
      </c>
      <c r="R52" s="28">
        <f>IF(R17=0,0,1000000*R17/TrRail_act!R32)</f>
        <v>325343.04658232338</v>
      </c>
      <c r="S52" s="28">
        <f>IF(S17=0,0,1000000*S17/TrRail_act!S32)</f>
        <v>300891.60838612571</v>
      </c>
      <c r="T52" s="28">
        <f>IF(T17=0,0,1000000*T17/TrRail_act!T32)</f>
        <v>281768.93049537105</v>
      </c>
      <c r="U52" s="28">
        <f>IF(U17=0,0,1000000*U17/TrRail_act!U32)</f>
        <v>275084.60178283026</v>
      </c>
      <c r="V52" s="28">
        <f>IF(V17=0,0,1000000*V17/TrRail_act!V32)</f>
        <v>276259.65766540426</v>
      </c>
      <c r="W52" s="28">
        <f>IF(W17=0,0,1000000*W17/TrRail_act!W32)</f>
        <v>268033.15601141599</v>
      </c>
      <c r="X52" s="28">
        <f>IF(X17=0,0,1000000*X17/TrRail_act!X32)</f>
        <v>307982.06105419021</v>
      </c>
      <c r="Y52" s="28">
        <f>IF(Y17=0,0,1000000*Y17/TrRail_act!Y32)</f>
        <v>267600.74369895895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1046747.607186389</v>
      </c>
      <c r="C53" s="84">
        <f>IF(C18=0,0,1000000*C18/TrRail_act!C33)</f>
        <v>1039978.5218505441</v>
      </c>
      <c r="D53" s="84">
        <f>IF(D18=0,0,1000000*D18/TrRail_act!D33)</f>
        <v>1037458.6611893006</v>
      </c>
      <c r="E53" s="84">
        <f>IF(E18=0,0,1000000*E18/TrRail_act!E33)</f>
        <v>1030438.289545328</v>
      </c>
      <c r="F53" s="84">
        <f>IF(F18=0,0,1000000*F18/TrRail_act!F33)</f>
        <v>1023309.9526862092</v>
      </c>
      <c r="G53" s="84">
        <f>IF(G18=0,0,1000000*G18/TrRail_act!G33)</f>
        <v>1017231.1327783777</v>
      </c>
      <c r="H53" s="84">
        <f>IF(H18=0,0,1000000*H18/TrRail_act!H33)</f>
        <v>1007689.9582315838</v>
      </c>
      <c r="I53" s="84">
        <f>IF(I18=0,0,1000000*I18/TrRail_act!I33)</f>
        <v>991363.27779854427</v>
      </c>
      <c r="J53" s="84">
        <f>IF(J18=0,0,1000000*J18/TrRail_act!J33)</f>
        <v>821972.44103076786</v>
      </c>
      <c r="K53" s="84">
        <f>IF(K18=0,0,1000000*K18/TrRail_act!K33)</f>
        <v>760557.77458898665</v>
      </c>
      <c r="L53" s="84">
        <f>IF(L18=0,0,1000000*L18/TrRail_act!L33)</f>
        <v>945747.279519537</v>
      </c>
      <c r="M53" s="84">
        <f>IF(M18=0,0,1000000*M18/TrRail_act!M33)</f>
        <v>933476.84882273513</v>
      </c>
      <c r="N53" s="84">
        <f>IF(N18=0,0,1000000*N18/TrRail_act!N33)</f>
        <v>921431.4065815435</v>
      </c>
      <c r="O53" s="84">
        <f>IF(O18=0,0,1000000*O18/TrRail_act!O33)</f>
        <v>915253.92279797536</v>
      </c>
      <c r="P53" s="84">
        <f>IF(P18=0,0,1000000*P18/TrRail_act!P33)</f>
        <v>900789.77017303626</v>
      </c>
      <c r="Q53" s="84">
        <f>IF(Q18=0,0,1000000*Q18/TrRail_act!Q33)</f>
        <v>787371.30501792463</v>
      </c>
      <c r="R53" s="84">
        <f>IF(R18=0,0,1000000*R18/TrRail_act!R33)</f>
        <v>662911.87892507913</v>
      </c>
      <c r="S53" s="84">
        <f>IF(S18=0,0,1000000*S18/TrRail_act!S33)</f>
        <v>596077.37435586739</v>
      </c>
      <c r="T53" s="84">
        <f>IF(T18=0,0,1000000*T18/TrRail_act!T33)</f>
        <v>557756.18775078282</v>
      </c>
      <c r="U53" s="84">
        <f>IF(U18=0,0,1000000*U18/TrRail_act!U33)</f>
        <v>516414.12860972062</v>
      </c>
      <c r="V53" s="84">
        <f>IF(V18=0,0,1000000*V18/TrRail_act!V33)</f>
        <v>692861.70439161663</v>
      </c>
      <c r="W53" s="84">
        <f>IF(W18=0,0,1000000*W18/TrRail_act!W33)</f>
        <v>875927.74440160615</v>
      </c>
      <c r="X53" s="84">
        <f>IF(X18=0,0,1000000*X18/TrRail_act!X33)</f>
        <v>875297.5516504352</v>
      </c>
      <c r="Y53" s="84">
        <f>IF(Y18=0,0,1000000*Y18/TrRail_act!Y33)</f>
        <v>752684.52024269197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417546.88146899414</v>
      </c>
      <c r="C54" s="86">
        <f>IF(C19=0,0,1000000*C19/TrRail_act!C34)</f>
        <v>413199.80551860278</v>
      </c>
      <c r="D54" s="86">
        <f>IF(D19=0,0,1000000*D19/TrRail_act!D34)</f>
        <v>394250.0765511315</v>
      </c>
      <c r="E54" s="86">
        <f>IF(E19=0,0,1000000*E19/TrRail_act!E34)</f>
        <v>381336.98893749417</v>
      </c>
      <c r="F54" s="86">
        <f>IF(F19=0,0,1000000*F19/TrRail_act!F34)</f>
        <v>362874.43738752679</v>
      </c>
      <c r="G54" s="86">
        <f>IF(G19=0,0,1000000*G19/TrRail_act!G34)</f>
        <v>352201.66269869078</v>
      </c>
      <c r="H54" s="86">
        <f>IF(H19=0,0,1000000*H19/TrRail_act!H34)</f>
        <v>334457.47068726469</v>
      </c>
      <c r="I54" s="86">
        <f>IF(I19=0,0,1000000*I19/TrRail_act!I34)</f>
        <v>316410.65789760608</v>
      </c>
      <c r="J54" s="86">
        <f>IF(J19=0,0,1000000*J19/TrRail_act!J34)</f>
        <v>308884.70796117582</v>
      </c>
      <c r="K54" s="86">
        <f>IF(K19=0,0,1000000*K19/TrRail_act!K34)</f>
        <v>237619.2501074851</v>
      </c>
      <c r="L54" s="86">
        <f>IF(L19=0,0,1000000*L19/TrRail_act!L34)</f>
        <v>288608.22392838774</v>
      </c>
      <c r="M54" s="86">
        <f>IF(M19=0,0,1000000*M19/TrRail_act!M34)</f>
        <v>280974.73251279077</v>
      </c>
      <c r="N54" s="86">
        <f>IF(N19=0,0,1000000*N19/TrRail_act!N34)</f>
        <v>269339.54624369543</v>
      </c>
      <c r="O54" s="86">
        <f>IF(O19=0,0,1000000*O19/TrRail_act!O34)</f>
        <v>262631.86354506004</v>
      </c>
      <c r="P54" s="86">
        <f>IF(P19=0,0,1000000*P19/TrRail_act!P34)</f>
        <v>252610.47650395156</v>
      </c>
      <c r="Q54" s="86">
        <f>IF(Q19=0,0,1000000*Q19/TrRail_act!Q34)</f>
        <v>250300.66376832809</v>
      </c>
      <c r="R54" s="86">
        <f>IF(R19=0,0,1000000*R19/TrRail_act!R34)</f>
        <v>248582.1749448604</v>
      </c>
      <c r="S54" s="86">
        <f>IF(S19=0,0,1000000*S19/TrRail_act!S34)</f>
        <v>247301.05828689571</v>
      </c>
      <c r="T54" s="86">
        <f>IF(T19=0,0,1000000*T19/TrRail_act!T34)</f>
        <v>246344.55630579308</v>
      </c>
      <c r="U54" s="86">
        <f>IF(U19=0,0,1000000*U19/TrRail_act!U34)</f>
        <v>245629.60346124001</v>
      </c>
      <c r="V54" s="86">
        <f>IF(V19=0,0,1000000*V19/TrRail_act!V34)</f>
        <v>227845.65544208389</v>
      </c>
      <c r="W54" s="86">
        <f>IF(W19=0,0,1000000*W19/TrRail_act!W34)</f>
        <v>200882.14344824661</v>
      </c>
      <c r="X54" s="86">
        <f>IF(X19=0,0,1000000*X19/TrRail_act!X34)</f>
        <v>244394.53065585281</v>
      </c>
      <c r="Y54" s="86">
        <f>IF(Y19=0,0,1000000*Y19/TrRail_act!Y34)</f>
        <v>216252.40524918583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0.41991753459112152</v>
      </c>
      <c r="C57" s="31">
        <f t="shared" ref="C57:V57" si="18">IF(C11=0,0,C11/C$10)</f>
        <v>0.40514475801775823</v>
      </c>
      <c r="D57" s="31">
        <f t="shared" si="18"/>
        <v>0.4010752767649568</v>
      </c>
      <c r="E57" s="31">
        <f t="shared" si="18"/>
        <v>0.43238773599821717</v>
      </c>
      <c r="F57" s="31">
        <f t="shared" si="18"/>
        <v>0.43341644443143701</v>
      </c>
      <c r="G57" s="31">
        <f t="shared" si="18"/>
        <v>0.43568391821215074</v>
      </c>
      <c r="H57" s="31">
        <f t="shared" si="18"/>
        <v>0.43735498049947102</v>
      </c>
      <c r="I57" s="31">
        <f t="shared" si="18"/>
        <v>0.44174763007913992</v>
      </c>
      <c r="J57" s="31">
        <f t="shared" si="18"/>
        <v>0.46363646424547272</v>
      </c>
      <c r="K57" s="31">
        <f t="shared" si="18"/>
        <v>0.5059326897487203</v>
      </c>
      <c r="L57" s="31">
        <f t="shared" si="18"/>
        <v>0.45807477567724569</v>
      </c>
      <c r="M57" s="31">
        <f t="shared" si="18"/>
        <v>0.41049095743270886</v>
      </c>
      <c r="N57" s="31">
        <f t="shared" si="18"/>
        <v>0.43724488425426566</v>
      </c>
      <c r="O57" s="31">
        <f t="shared" si="18"/>
        <v>0.4011452406926273</v>
      </c>
      <c r="P57" s="31">
        <f t="shared" si="18"/>
        <v>0.35091452504117987</v>
      </c>
      <c r="Q57" s="31">
        <f t="shared" si="18"/>
        <v>0.40081009224380776</v>
      </c>
      <c r="R57" s="31">
        <f t="shared" si="18"/>
        <v>0.40728807783000248</v>
      </c>
      <c r="S57" s="31">
        <f t="shared" si="18"/>
        <v>0.48594846282061988</v>
      </c>
      <c r="T57" s="31">
        <f t="shared" si="18"/>
        <v>0.37842664691801725</v>
      </c>
      <c r="U57" s="31">
        <f t="shared" si="18"/>
        <v>0.38618721671060918</v>
      </c>
      <c r="V57" s="31">
        <f t="shared" si="18"/>
        <v>0.31038128643072771</v>
      </c>
      <c r="W57" s="31">
        <f t="shared" ref="W57:Y57" si="19">IF(W11=0,0,W11/W$10)</f>
        <v>0.44112150754894436</v>
      </c>
      <c r="X57" s="31">
        <f t="shared" si="19"/>
        <v>0.34395680213014906</v>
      </c>
      <c r="Y57" s="31">
        <f t="shared" si="19"/>
        <v>0.44636557762613316</v>
      </c>
      <c r="DA57" s="173"/>
    </row>
    <row r="58" spans="1:105" ht="11.45" customHeight="1" x14ac:dyDescent="0.25">
      <c r="A58" s="107" t="s">
        <v>23</v>
      </c>
      <c r="B58" s="123">
        <f t="shared" si="15"/>
        <v>0</v>
      </c>
      <c r="C58" s="123">
        <f t="shared" ref="C58:V58" si="20">IF(C12=0,0,C12/C$10)</f>
        <v>0</v>
      </c>
      <c r="D58" s="123">
        <f t="shared" si="20"/>
        <v>0</v>
      </c>
      <c r="E58" s="123">
        <f t="shared" si="20"/>
        <v>0</v>
      </c>
      <c r="F58" s="123">
        <f t="shared" si="20"/>
        <v>0</v>
      </c>
      <c r="G58" s="123">
        <f t="shared" si="20"/>
        <v>0</v>
      </c>
      <c r="H58" s="123">
        <f t="shared" si="20"/>
        <v>0</v>
      </c>
      <c r="I58" s="123">
        <f t="shared" si="20"/>
        <v>0</v>
      </c>
      <c r="J58" s="123">
        <f t="shared" si="20"/>
        <v>0</v>
      </c>
      <c r="K58" s="123">
        <f t="shared" si="20"/>
        <v>0</v>
      </c>
      <c r="L58" s="123">
        <f t="shared" si="20"/>
        <v>0</v>
      </c>
      <c r="M58" s="123">
        <f t="shared" si="20"/>
        <v>0</v>
      </c>
      <c r="N58" s="123">
        <f t="shared" si="20"/>
        <v>0</v>
      </c>
      <c r="O58" s="123">
        <f t="shared" si="20"/>
        <v>0</v>
      </c>
      <c r="P58" s="123">
        <f t="shared" si="20"/>
        <v>0</v>
      </c>
      <c r="Q58" s="123">
        <f t="shared" si="20"/>
        <v>0</v>
      </c>
      <c r="R58" s="123">
        <f t="shared" si="20"/>
        <v>0</v>
      </c>
      <c r="S58" s="123">
        <f t="shared" si="20"/>
        <v>0</v>
      </c>
      <c r="T58" s="123">
        <f t="shared" si="20"/>
        <v>0</v>
      </c>
      <c r="U58" s="123">
        <f t="shared" si="20"/>
        <v>0</v>
      </c>
      <c r="V58" s="123">
        <f t="shared" si="20"/>
        <v>0</v>
      </c>
      <c r="W58" s="123">
        <f t="shared" ref="W58:Y58" si="21">IF(W12=0,0,W12/W$10)</f>
        <v>0</v>
      </c>
      <c r="X58" s="123">
        <f t="shared" si="21"/>
        <v>0</v>
      </c>
      <c r="Y58" s="123">
        <f t="shared" si="21"/>
        <v>0</v>
      </c>
      <c r="DA58" s="203"/>
    </row>
    <row r="59" spans="1:105" ht="11.45" customHeight="1" x14ac:dyDescent="0.25">
      <c r="A59" s="109" t="s">
        <v>24</v>
      </c>
      <c r="B59" s="124">
        <f t="shared" si="15"/>
        <v>0.41991753459112152</v>
      </c>
      <c r="C59" s="124">
        <f t="shared" ref="C59:V59" si="22">IF(C13=0,0,C13/C$10)</f>
        <v>0.40514475801775823</v>
      </c>
      <c r="D59" s="124">
        <f t="shared" si="22"/>
        <v>0.4010752767649568</v>
      </c>
      <c r="E59" s="124">
        <f t="shared" si="22"/>
        <v>0.43238773599821717</v>
      </c>
      <c r="F59" s="124">
        <f t="shared" si="22"/>
        <v>0.43341644443143701</v>
      </c>
      <c r="G59" s="124">
        <f t="shared" si="22"/>
        <v>0.43568391821215074</v>
      </c>
      <c r="H59" s="124">
        <f t="shared" si="22"/>
        <v>0.43735498049947102</v>
      </c>
      <c r="I59" s="124">
        <f t="shared" si="22"/>
        <v>0.44174763007913992</v>
      </c>
      <c r="J59" s="124">
        <f t="shared" si="22"/>
        <v>0.45772877519169425</v>
      </c>
      <c r="K59" s="124">
        <f t="shared" si="22"/>
        <v>0.49830651745029786</v>
      </c>
      <c r="L59" s="124">
        <f t="shared" si="22"/>
        <v>0.45133387550429149</v>
      </c>
      <c r="M59" s="124">
        <f t="shared" si="22"/>
        <v>0.40483866957971859</v>
      </c>
      <c r="N59" s="124">
        <f t="shared" si="22"/>
        <v>0.43170667469433388</v>
      </c>
      <c r="O59" s="124">
        <f t="shared" si="22"/>
        <v>0.39623600268726561</v>
      </c>
      <c r="P59" s="124">
        <f t="shared" si="22"/>
        <v>0.34771567248865043</v>
      </c>
      <c r="Q59" s="124">
        <f t="shared" si="22"/>
        <v>0.39846922926562739</v>
      </c>
      <c r="R59" s="124">
        <f t="shared" si="22"/>
        <v>0.40563459966334436</v>
      </c>
      <c r="S59" s="124">
        <f t="shared" si="22"/>
        <v>0.48542653705997063</v>
      </c>
      <c r="T59" s="124">
        <f t="shared" si="22"/>
        <v>0.37780624812180374</v>
      </c>
      <c r="U59" s="124">
        <f t="shared" si="22"/>
        <v>0.38557193938768691</v>
      </c>
      <c r="V59" s="124">
        <f t="shared" si="22"/>
        <v>0.30994119578174206</v>
      </c>
      <c r="W59" s="124">
        <f t="shared" ref="W59:Y59" si="23">IF(W13=0,0,W13/W$10)</f>
        <v>0.4273847294381834</v>
      </c>
      <c r="X59" s="124">
        <f t="shared" si="23"/>
        <v>0.32974743660149053</v>
      </c>
      <c r="Y59" s="124">
        <f t="shared" si="23"/>
        <v>0.41492354715370372</v>
      </c>
      <c r="DA59" s="176"/>
    </row>
    <row r="60" spans="1:105" ht="11.45" customHeight="1" x14ac:dyDescent="0.25">
      <c r="A60" s="111" t="s">
        <v>92</v>
      </c>
      <c r="B60" s="125">
        <f t="shared" si="15"/>
        <v>0.23637470947389716</v>
      </c>
      <c r="C60" s="125">
        <f t="shared" ref="C60:V60" si="24">IF(C14=0,0,C14/C$10)</f>
        <v>0.22127185578750375</v>
      </c>
      <c r="D60" s="125">
        <f t="shared" si="24"/>
        <v>0.21494846088580169</v>
      </c>
      <c r="E60" s="125">
        <f t="shared" si="24"/>
        <v>0.22803357304437333</v>
      </c>
      <c r="F60" s="125">
        <f t="shared" si="24"/>
        <v>0.20524653881452259</v>
      </c>
      <c r="G60" s="125">
        <f t="shared" si="24"/>
        <v>0.19376059835246157</v>
      </c>
      <c r="H60" s="125">
        <f t="shared" si="24"/>
        <v>0.19457989310916982</v>
      </c>
      <c r="I60" s="125">
        <f t="shared" si="24"/>
        <v>0.19895112101449711</v>
      </c>
      <c r="J60" s="125">
        <f t="shared" si="24"/>
        <v>0.19645942755911797</v>
      </c>
      <c r="K60" s="125">
        <f t="shared" si="24"/>
        <v>0.22666336958894057</v>
      </c>
      <c r="L60" s="125">
        <f t="shared" si="24"/>
        <v>0.19018034756482066</v>
      </c>
      <c r="M60" s="125">
        <f t="shared" si="24"/>
        <v>0.19511592987226573</v>
      </c>
      <c r="N60" s="125">
        <f t="shared" si="24"/>
        <v>0.18760498971471434</v>
      </c>
      <c r="O60" s="125">
        <f t="shared" si="24"/>
        <v>0.20267034024347089</v>
      </c>
      <c r="P60" s="125">
        <f t="shared" si="24"/>
        <v>0.2033399518457438</v>
      </c>
      <c r="Q60" s="125">
        <f t="shared" si="24"/>
        <v>0.21985181401218681</v>
      </c>
      <c r="R60" s="125">
        <f t="shared" si="24"/>
        <v>0.20140069335034927</v>
      </c>
      <c r="S60" s="125">
        <f t="shared" si="24"/>
        <v>0.16946368337844936</v>
      </c>
      <c r="T60" s="125">
        <f t="shared" si="24"/>
        <v>0.1653942807994318</v>
      </c>
      <c r="U60" s="125">
        <f t="shared" si="24"/>
        <v>0.15662455857432797</v>
      </c>
      <c r="V60" s="125">
        <f t="shared" si="24"/>
        <v>6.1884734470840509E-2</v>
      </c>
      <c r="W60" s="125">
        <f t="shared" ref="W60:Y60" si="25">IF(W14=0,0,W14/W$10)</f>
        <v>7.3879201323820767E-2</v>
      </c>
      <c r="X60" s="125">
        <f t="shared" si="25"/>
        <v>5.910180043780585E-2</v>
      </c>
      <c r="Y60" s="125">
        <f t="shared" si="25"/>
        <v>0.10339545994340525</v>
      </c>
      <c r="DA60" s="171"/>
    </row>
    <row r="61" spans="1:105" ht="11.45" customHeight="1" x14ac:dyDescent="0.25">
      <c r="A61" s="111" t="s">
        <v>93</v>
      </c>
      <c r="B61" s="125">
        <f t="shared" si="15"/>
        <v>0.18354282511722436</v>
      </c>
      <c r="C61" s="125">
        <f t="shared" ref="C61:V61" si="26">IF(C15=0,0,C15/C$10)</f>
        <v>0.18387290223025449</v>
      </c>
      <c r="D61" s="125">
        <f t="shared" si="26"/>
        <v>0.18612681587915511</v>
      </c>
      <c r="E61" s="125">
        <f t="shared" si="26"/>
        <v>0.20435416295384382</v>
      </c>
      <c r="F61" s="125">
        <f t="shared" si="26"/>
        <v>0.22816990561691441</v>
      </c>
      <c r="G61" s="125">
        <f t="shared" si="26"/>
        <v>0.24192331985968915</v>
      </c>
      <c r="H61" s="125">
        <f t="shared" si="26"/>
        <v>0.24277508739030118</v>
      </c>
      <c r="I61" s="125">
        <f t="shared" si="26"/>
        <v>0.24279650906464281</v>
      </c>
      <c r="J61" s="125">
        <f t="shared" si="26"/>
        <v>0.26126934763257631</v>
      </c>
      <c r="K61" s="125">
        <f t="shared" si="26"/>
        <v>0.27164314786135729</v>
      </c>
      <c r="L61" s="125">
        <f t="shared" si="26"/>
        <v>0.26115352793947078</v>
      </c>
      <c r="M61" s="125">
        <f t="shared" si="26"/>
        <v>0.20972273970745292</v>
      </c>
      <c r="N61" s="125">
        <f t="shared" si="26"/>
        <v>0.24410168497961951</v>
      </c>
      <c r="O61" s="125">
        <f t="shared" si="26"/>
        <v>0.19356566244379469</v>
      </c>
      <c r="P61" s="125">
        <f t="shared" si="26"/>
        <v>0.1443757206429066</v>
      </c>
      <c r="Q61" s="125">
        <f t="shared" si="26"/>
        <v>0.1786174152534406</v>
      </c>
      <c r="R61" s="125">
        <f t="shared" si="26"/>
        <v>0.20423390631299507</v>
      </c>
      <c r="S61" s="125">
        <f t="shared" si="26"/>
        <v>0.31596285368152127</v>
      </c>
      <c r="T61" s="125">
        <f t="shared" si="26"/>
        <v>0.21241196732237194</v>
      </c>
      <c r="U61" s="125">
        <f t="shared" si="26"/>
        <v>0.22894738081335894</v>
      </c>
      <c r="V61" s="125">
        <f t="shared" si="26"/>
        <v>0.24805646131090159</v>
      </c>
      <c r="W61" s="125">
        <f t="shared" ref="W61:Y61" si="27">IF(W15=0,0,W15/W$10)</f>
        <v>0.35350552811436264</v>
      </c>
      <c r="X61" s="125">
        <f t="shared" si="27"/>
        <v>0.27064563616368464</v>
      </c>
      <c r="Y61" s="125">
        <f t="shared" si="27"/>
        <v>0.31152808721029851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5.9076890537784988E-3</v>
      </c>
      <c r="K62" s="126">
        <f t="shared" si="28"/>
        <v>7.6261722984224071E-3</v>
      </c>
      <c r="L62" s="126">
        <f t="shared" si="28"/>
        <v>6.7409001729541946E-3</v>
      </c>
      <c r="M62" s="126">
        <f t="shared" si="28"/>
        <v>5.6522878529902407E-3</v>
      </c>
      <c r="N62" s="126">
        <f t="shared" si="28"/>
        <v>5.5382095599318271E-3</v>
      </c>
      <c r="O62" s="126">
        <f t="shared" si="28"/>
        <v>4.9092380053616684E-3</v>
      </c>
      <c r="P62" s="126">
        <f t="shared" si="28"/>
        <v>3.1988525525294045E-3</v>
      </c>
      <c r="Q62" s="126">
        <f t="shared" si="28"/>
        <v>2.3408629781803392E-3</v>
      </c>
      <c r="R62" s="126">
        <f t="shared" si="28"/>
        <v>1.6534781666580898E-3</v>
      </c>
      <c r="S62" s="126">
        <f t="shared" si="28"/>
        <v>5.2192576064919729E-4</v>
      </c>
      <c r="T62" s="126">
        <f t="shared" si="28"/>
        <v>6.203987962135186E-4</v>
      </c>
      <c r="U62" s="126">
        <f t="shared" si="28"/>
        <v>6.1527732292226695E-4</v>
      </c>
      <c r="V62" s="126">
        <f t="shared" si="28"/>
        <v>4.4009064898561717E-4</v>
      </c>
      <c r="W62" s="126">
        <f t="shared" ref="W62:Y62" si="29">IF(W16=0,0,W16/W$10)</f>
        <v>1.3736778110760961E-2</v>
      </c>
      <c r="X62" s="126">
        <f t="shared" si="29"/>
        <v>1.4209365528658533E-2</v>
      </c>
      <c r="Y62" s="126">
        <f t="shared" si="29"/>
        <v>3.1442030472429439E-2</v>
      </c>
      <c r="DA62" s="204"/>
    </row>
    <row r="63" spans="1:105" ht="11.45" customHeight="1" x14ac:dyDescent="0.25">
      <c r="A63" s="27" t="s">
        <v>34</v>
      </c>
      <c r="B63" s="31">
        <f t="shared" si="15"/>
        <v>0.58008246540887853</v>
      </c>
      <c r="C63" s="31">
        <f t="shared" ref="C63:V63" si="30">IF(C17=0,0,C17/C$10)</f>
        <v>0.59485524198224182</v>
      </c>
      <c r="D63" s="31">
        <f t="shared" si="30"/>
        <v>0.59892472323504331</v>
      </c>
      <c r="E63" s="31">
        <f t="shared" si="30"/>
        <v>0.56761226400178288</v>
      </c>
      <c r="F63" s="31">
        <f t="shared" si="30"/>
        <v>0.5665835555685631</v>
      </c>
      <c r="G63" s="31">
        <f t="shared" si="30"/>
        <v>0.56431608178784931</v>
      </c>
      <c r="H63" s="31">
        <f t="shared" si="30"/>
        <v>0.56264501950052903</v>
      </c>
      <c r="I63" s="31">
        <f t="shared" si="30"/>
        <v>0.55825236992086003</v>
      </c>
      <c r="J63" s="31">
        <f t="shared" si="30"/>
        <v>0.53636353575452722</v>
      </c>
      <c r="K63" s="31">
        <f t="shared" si="30"/>
        <v>0.4940673102512797</v>
      </c>
      <c r="L63" s="31">
        <f t="shared" si="30"/>
        <v>0.54192522432275436</v>
      </c>
      <c r="M63" s="31">
        <f t="shared" si="30"/>
        <v>0.5895090425672912</v>
      </c>
      <c r="N63" s="31">
        <f t="shared" si="30"/>
        <v>0.56275511574573422</v>
      </c>
      <c r="O63" s="31">
        <f t="shared" si="30"/>
        <v>0.59885475930737264</v>
      </c>
      <c r="P63" s="31">
        <f t="shared" si="30"/>
        <v>0.64908547495882007</v>
      </c>
      <c r="Q63" s="31">
        <f t="shared" si="30"/>
        <v>0.5991899077561923</v>
      </c>
      <c r="R63" s="31">
        <f t="shared" si="30"/>
        <v>0.59271192216999757</v>
      </c>
      <c r="S63" s="31">
        <f t="shared" si="30"/>
        <v>0.51405153717938024</v>
      </c>
      <c r="T63" s="31">
        <f t="shared" si="30"/>
        <v>0.62157335308198269</v>
      </c>
      <c r="U63" s="31">
        <f t="shared" si="30"/>
        <v>0.61381278328939093</v>
      </c>
      <c r="V63" s="31">
        <f t="shared" si="30"/>
        <v>0.68961871356927229</v>
      </c>
      <c r="W63" s="31">
        <f t="shared" ref="W63:Y63" si="31">IF(W17=0,0,W17/W$10)</f>
        <v>0.55887849245105559</v>
      </c>
      <c r="X63" s="31">
        <f t="shared" si="31"/>
        <v>0.65604319786985088</v>
      </c>
      <c r="Y63" s="31">
        <f t="shared" si="31"/>
        <v>0.55363442237386684</v>
      </c>
      <c r="DA63" s="173"/>
    </row>
    <row r="64" spans="1:105" ht="11.45" customHeight="1" x14ac:dyDescent="0.25">
      <c r="A64" s="83" t="s">
        <v>92</v>
      </c>
      <c r="B64" s="125">
        <f t="shared" si="15"/>
        <v>0.23558718557224334</v>
      </c>
      <c r="C64" s="125">
        <f t="shared" ref="C64:V64" si="32">IF(C18=0,0,C18/C$10)</f>
        <v>0.22809183436499858</v>
      </c>
      <c r="D64" s="125">
        <f t="shared" si="32"/>
        <v>0.24841302980545971</v>
      </c>
      <c r="E64" s="125">
        <f t="shared" si="32"/>
        <v>0.22941265828140464</v>
      </c>
      <c r="F64" s="125">
        <f t="shared" si="32"/>
        <v>0.23805185633846199</v>
      </c>
      <c r="G64" s="125">
        <f t="shared" si="32"/>
        <v>0.24014397672783613</v>
      </c>
      <c r="H64" s="125">
        <f t="shared" si="32"/>
        <v>0.23572313719386048</v>
      </c>
      <c r="I64" s="125">
        <f t="shared" si="32"/>
        <v>0.23135190928853322</v>
      </c>
      <c r="J64" s="125">
        <f t="shared" si="32"/>
        <v>0.18982934968655915</v>
      </c>
      <c r="K64" s="125">
        <f t="shared" si="32"/>
        <v>0.19345497360632574</v>
      </c>
      <c r="L64" s="125">
        <f t="shared" si="32"/>
        <v>0.20353499439451392</v>
      </c>
      <c r="M64" s="125">
        <f t="shared" si="32"/>
        <v>0.23466546211489162</v>
      </c>
      <c r="N64" s="125">
        <f t="shared" si="32"/>
        <v>0.2243872733413784</v>
      </c>
      <c r="O64" s="125">
        <f t="shared" si="32"/>
        <v>0.24500231879653875</v>
      </c>
      <c r="P64" s="125">
        <f t="shared" si="32"/>
        <v>0.33673012602636049</v>
      </c>
      <c r="Q64" s="125">
        <f t="shared" si="32"/>
        <v>0.2749164239833321</v>
      </c>
      <c r="R64" s="125">
        <f t="shared" si="32"/>
        <v>0.22374418810374669</v>
      </c>
      <c r="S64" s="125">
        <f t="shared" si="32"/>
        <v>0.15647337593645472</v>
      </c>
      <c r="T64" s="125">
        <f t="shared" si="32"/>
        <v>0.13996228961459428</v>
      </c>
      <c r="U64" s="125">
        <f t="shared" si="32"/>
        <v>0.12534381946795312</v>
      </c>
      <c r="V64" s="125">
        <f t="shared" si="32"/>
        <v>0.18006991954815366</v>
      </c>
      <c r="W64" s="125">
        <f t="shared" ref="W64:Y64" si="33">IF(W18=0,0,W18/W$10)</f>
        <v>0.18168397100269265</v>
      </c>
      <c r="X64" s="125">
        <f t="shared" si="33"/>
        <v>0.18791960065528079</v>
      </c>
      <c r="Y64" s="125">
        <f t="shared" si="33"/>
        <v>0.14905974635708039</v>
      </c>
      <c r="DA64" s="171"/>
    </row>
    <row r="65" spans="1:105" ht="11.45" customHeight="1" x14ac:dyDescent="0.25">
      <c r="A65" s="85" t="s">
        <v>93</v>
      </c>
      <c r="B65" s="127">
        <f t="shared" si="15"/>
        <v>0.34449527983663519</v>
      </c>
      <c r="C65" s="127">
        <f t="shared" ref="C65:V65" si="34">IF(C19=0,0,C19/C$10)</f>
        <v>0.36676340761724319</v>
      </c>
      <c r="D65" s="127">
        <f t="shared" si="34"/>
        <v>0.3505116934295836</v>
      </c>
      <c r="E65" s="127">
        <f t="shared" si="34"/>
        <v>0.33819960572037822</v>
      </c>
      <c r="F65" s="127">
        <f t="shared" si="34"/>
        <v>0.32853169923010106</v>
      </c>
      <c r="G65" s="127">
        <f t="shared" si="34"/>
        <v>0.32417210506001309</v>
      </c>
      <c r="H65" s="127">
        <f t="shared" si="34"/>
        <v>0.32692188230666847</v>
      </c>
      <c r="I65" s="127">
        <f t="shared" si="34"/>
        <v>0.32690046063232686</v>
      </c>
      <c r="J65" s="127">
        <f t="shared" si="34"/>
        <v>0.34653418606796804</v>
      </c>
      <c r="K65" s="127">
        <f t="shared" si="34"/>
        <v>0.30061233664495396</v>
      </c>
      <c r="L65" s="127">
        <f t="shared" si="34"/>
        <v>0.33839022992824047</v>
      </c>
      <c r="M65" s="127">
        <f t="shared" si="34"/>
        <v>0.3548435804523995</v>
      </c>
      <c r="N65" s="127">
        <f t="shared" si="34"/>
        <v>0.33836784240435586</v>
      </c>
      <c r="O65" s="127">
        <f t="shared" si="34"/>
        <v>0.35385244051083398</v>
      </c>
      <c r="P65" s="127">
        <f t="shared" si="34"/>
        <v>0.31235534893245953</v>
      </c>
      <c r="Q65" s="127">
        <f t="shared" si="34"/>
        <v>0.32427348377286014</v>
      </c>
      <c r="R65" s="127">
        <f t="shared" si="34"/>
        <v>0.36896773406625089</v>
      </c>
      <c r="S65" s="127">
        <f t="shared" si="34"/>
        <v>0.35757816124292552</v>
      </c>
      <c r="T65" s="127">
        <f t="shared" si="34"/>
        <v>0.48161106346738847</v>
      </c>
      <c r="U65" s="127">
        <f t="shared" si="34"/>
        <v>0.48846896382143784</v>
      </c>
      <c r="V65" s="127">
        <f t="shared" si="34"/>
        <v>0.50954879402111863</v>
      </c>
      <c r="W65" s="127">
        <f t="shared" ref="W65:Y65" si="35">IF(W19=0,0,W19/W$10)</f>
        <v>0.37719452144836296</v>
      </c>
      <c r="X65" s="127">
        <f t="shared" si="35"/>
        <v>0.46812359721457014</v>
      </c>
      <c r="Y65" s="127">
        <f t="shared" si="35"/>
        <v>0.40457467601678648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35.049329639999996</v>
      </c>
      <c r="C4" s="26">
        <f t="shared" ref="C4:W4" si="0">SUM(C5:C6)</f>
        <v>35.049329639999996</v>
      </c>
      <c r="D4" s="26">
        <f t="shared" si="0"/>
        <v>38.235511079999988</v>
      </c>
      <c r="E4" s="26">
        <f t="shared" si="0"/>
        <v>38.235511079999988</v>
      </c>
      <c r="F4" s="26">
        <f t="shared" si="0"/>
        <v>38.235511079999988</v>
      </c>
      <c r="G4" s="26">
        <f t="shared" si="0"/>
        <v>38.235511079999988</v>
      </c>
      <c r="H4" s="26">
        <f t="shared" si="0"/>
        <v>37.879919999999991</v>
      </c>
      <c r="I4" s="26">
        <f t="shared" si="0"/>
        <v>37.879919999999991</v>
      </c>
      <c r="J4" s="26">
        <f t="shared" si="0"/>
        <v>31.566511079999998</v>
      </c>
      <c r="K4" s="26">
        <f t="shared" si="0"/>
        <v>28.409939999999995</v>
      </c>
      <c r="L4" s="26">
        <f t="shared" si="0"/>
        <v>28.409939999999995</v>
      </c>
      <c r="M4" s="26">
        <f t="shared" si="0"/>
        <v>31.566511079999998</v>
      </c>
      <c r="N4" s="26">
        <f t="shared" si="0"/>
        <v>28.409939999999995</v>
      </c>
      <c r="O4" s="26">
        <f t="shared" si="0"/>
        <v>31.567311360000005</v>
      </c>
      <c r="P4" s="26">
        <f t="shared" si="0"/>
        <v>41.034623760000009</v>
      </c>
      <c r="Q4" s="26">
        <f t="shared" si="0"/>
        <v>37.879119719999984</v>
      </c>
      <c r="R4" s="26">
        <f t="shared" si="0"/>
        <v>31.56597756</v>
      </c>
      <c r="S4" s="26">
        <f t="shared" si="0"/>
        <v>29.226814079999993</v>
      </c>
      <c r="T4" s="26">
        <f t="shared" si="0"/>
        <v>26.587269959999997</v>
      </c>
      <c r="U4" s="26">
        <f t="shared" si="0"/>
        <v>23.379841799999998</v>
      </c>
      <c r="V4" s="26">
        <f t="shared" si="0"/>
        <v>17.105985</v>
      </c>
      <c r="W4" s="26">
        <f t="shared" si="0"/>
        <v>20.685637439999997</v>
      </c>
      <c r="X4" s="26">
        <f t="shared" ref="X4:Y4" si="1">SUM(X5:X6)</f>
        <v>21.171674159999998</v>
      </c>
      <c r="Y4" s="26">
        <f t="shared" si="1"/>
        <v>21.326394959999998</v>
      </c>
      <c r="DA4" s="202" t="s">
        <v>1137</v>
      </c>
    </row>
    <row r="5" spans="1:105" ht="11.45" customHeight="1" x14ac:dyDescent="0.25">
      <c r="A5" s="107" t="s">
        <v>92</v>
      </c>
      <c r="B5" s="129">
        <v>35.049329639999996</v>
      </c>
      <c r="C5" s="129">
        <v>35.049329639999996</v>
      </c>
      <c r="D5" s="129">
        <v>38.235511079999988</v>
      </c>
      <c r="E5" s="129">
        <v>38.235511079999988</v>
      </c>
      <c r="F5" s="129">
        <v>38.235511079999988</v>
      </c>
      <c r="G5" s="129">
        <v>38.235511079999988</v>
      </c>
      <c r="H5" s="129">
        <v>37.879919999999991</v>
      </c>
      <c r="I5" s="129">
        <v>37.879919999999991</v>
      </c>
      <c r="J5" s="129">
        <v>31.566511079999998</v>
      </c>
      <c r="K5" s="129">
        <v>28.409939999999995</v>
      </c>
      <c r="L5" s="129">
        <v>28.409939999999995</v>
      </c>
      <c r="M5" s="129">
        <v>31.566511079999998</v>
      </c>
      <c r="N5" s="129">
        <v>28.409939999999995</v>
      </c>
      <c r="O5" s="129">
        <v>31.567311360000005</v>
      </c>
      <c r="P5" s="129">
        <v>41.034623760000009</v>
      </c>
      <c r="Q5" s="129">
        <v>37.879119719999984</v>
      </c>
      <c r="R5" s="129">
        <v>31.56597756</v>
      </c>
      <c r="S5" s="129">
        <v>29.226814079999993</v>
      </c>
      <c r="T5" s="129">
        <v>26.587269959999997</v>
      </c>
      <c r="U5" s="129">
        <v>23.379841799999998</v>
      </c>
      <c r="V5" s="129">
        <v>17.105985</v>
      </c>
      <c r="W5" s="129">
        <v>20.685637439999997</v>
      </c>
      <c r="X5" s="129">
        <v>21.171674159999998</v>
      </c>
      <c r="Y5" s="129">
        <v>21.326394959999998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35.049329639999996</v>
      </c>
      <c r="C8" s="79">
        <f t="shared" si="2"/>
        <v>35.049329639999996</v>
      </c>
      <c r="D8" s="79">
        <f t="shared" si="2"/>
        <v>38.235511079999981</v>
      </c>
      <c r="E8" s="79">
        <f t="shared" si="2"/>
        <v>38.235511079999988</v>
      </c>
      <c r="F8" s="79">
        <f t="shared" si="2"/>
        <v>38.235511079999981</v>
      </c>
      <c r="G8" s="79">
        <f t="shared" si="2"/>
        <v>38.235511079999988</v>
      </c>
      <c r="H8" s="79">
        <f t="shared" si="2"/>
        <v>37.879919999999991</v>
      </c>
      <c r="I8" s="79">
        <f t="shared" si="2"/>
        <v>37.879919999999998</v>
      </c>
      <c r="J8" s="79">
        <f t="shared" si="2"/>
        <v>31.566511079999998</v>
      </c>
      <c r="K8" s="79">
        <f t="shared" si="2"/>
        <v>28.409939999999999</v>
      </c>
      <c r="L8" s="79">
        <f t="shared" si="2"/>
        <v>28.409939999999999</v>
      </c>
      <c r="M8" s="79">
        <f t="shared" si="2"/>
        <v>31.566511079999998</v>
      </c>
      <c r="N8" s="79">
        <f t="shared" si="2"/>
        <v>28.409939999999999</v>
      </c>
      <c r="O8" s="79">
        <f t="shared" si="2"/>
        <v>31.567311360000005</v>
      </c>
      <c r="P8" s="79">
        <f t="shared" si="2"/>
        <v>41.034623760000002</v>
      </c>
      <c r="Q8" s="79">
        <f t="shared" si="2"/>
        <v>37.879119719999984</v>
      </c>
      <c r="R8" s="79">
        <f t="shared" si="2"/>
        <v>31.565977560000004</v>
      </c>
      <c r="S8" s="79">
        <f t="shared" si="2"/>
        <v>29.226814079999997</v>
      </c>
      <c r="T8" s="79">
        <f t="shared" si="2"/>
        <v>26.587269960000008</v>
      </c>
      <c r="U8" s="79">
        <f t="shared" si="2"/>
        <v>23.379841800000001</v>
      </c>
      <c r="V8" s="79">
        <f t="shared" si="2"/>
        <v>17.105984999999997</v>
      </c>
      <c r="W8" s="79">
        <f t="shared" si="2"/>
        <v>20.685637439999997</v>
      </c>
      <c r="X8" s="79">
        <f t="shared" ref="X8:Y8" si="3">SUM(X9,X15)</f>
        <v>21.171674160000002</v>
      </c>
      <c r="Y8" s="79">
        <f t="shared" si="3"/>
        <v>21.326394959999998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17.553906783300597</v>
      </c>
      <c r="C9" s="32">
        <f t="shared" si="4"/>
        <v>17.258693533780551</v>
      </c>
      <c r="D9" s="32">
        <f t="shared" si="4"/>
        <v>17.737046394526825</v>
      </c>
      <c r="E9" s="32">
        <f t="shared" si="4"/>
        <v>19.060120319454018</v>
      </c>
      <c r="F9" s="32">
        <f t="shared" si="4"/>
        <v>17.702988313923495</v>
      </c>
      <c r="G9" s="32">
        <f t="shared" si="4"/>
        <v>17.074112444658965</v>
      </c>
      <c r="H9" s="32">
        <f t="shared" si="4"/>
        <v>17.129023654314704</v>
      </c>
      <c r="I9" s="32">
        <f t="shared" si="4"/>
        <v>17.51382634380299</v>
      </c>
      <c r="J9" s="32">
        <f t="shared" si="4"/>
        <v>16.05415187320137</v>
      </c>
      <c r="K9" s="32">
        <f t="shared" si="4"/>
        <v>15.327806639536856</v>
      </c>
      <c r="L9" s="32">
        <f t="shared" si="4"/>
        <v>13.723143824183916</v>
      </c>
      <c r="M9" s="32">
        <f t="shared" si="4"/>
        <v>14.330841858275297</v>
      </c>
      <c r="N9" s="32">
        <f t="shared" si="4"/>
        <v>12.936763574052828</v>
      </c>
      <c r="O9" s="32">
        <f t="shared" si="4"/>
        <v>14.291151368551638</v>
      </c>
      <c r="P9" s="32">
        <f t="shared" si="4"/>
        <v>15.449806906989169</v>
      </c>
      <c r="Q9" s="32">
        <f t="shared" si="4"/>
        <v>16.831705319980987</v>
      </c>
      <c r="R9" s="32">
        <f t="shared" si="4"/>
        <v>14.953513600167838</v>
      </c>
      <c r="S9" s="32">
        <f t="shared" si="4"/>
        <v>15.19582823083857</v>
      </c>
      <c r="T9" s="32">
        <f t="shared" si="4"/>
        <v>14.400811443134259</v>
      </c>
      <c r="U9" s="32">
        <f t="shared" si="4"/>
        <v>12.986766200121659</v>
      </c>
      <c r="V9" s="32">
        <f t="shared" si="4"/>
        <v>4.3751972611532306</v>
      </c>
      <c r="W9" s="32">
        <f t="shared" si="4"/>
        <v>5.979884969454095</v>
      </c>
      <c r="X9" s="32">
        <f t="shared" ref="X9:Y9" si="5">SUM(X10,X11,X14)</f>
        <v>5.0654884783324565</v>
      </c>
      <c r="Y9" s="32">
        <f t="shared" si="5"/>
        <v>8.7344303495937758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17.553906783300597</v>
      </c>
      <c r="C11" s="130">
        <f t="shared" si="6"/>
        <v>17.258693533780551</v>
      </c>
      <c r="D11" s="130">
        <f t="shared" si="6"/>
        <v>17.737046394526825</v>
      </c>
      <c r="E11" s="130">
        <f t="shared" si="6"/>
        <v>19.060120319454018</v>
      </c>
      <c r="F11" s="130">
        <f t="shared" si="6"/>
        <v>17.702988313923495</v>
      </c>
      <c r="G11" s="130">
        <f t="shared" si="6"/>
        <v>17.074112444658965</v>
      </c>
      <c r="H11" s="130">
        <f t="shared" si="6"/>
        <v>17.129023654314704</v>
      </c>
      <c r="I11" s="130">
        <f t="shared" si="6"/>
        <v>17.51382634380299</v>
      </c>
      <c r="J11" s="130">
        <f t="shared" si="6"/>
        <v>16.05415187320137</v>
      </c>
      <c r="K11" s="130">
        <f t="shared" si="6"/>
        <v>15.327806639536856</v>
      </c>
      <c r="L11" s="130">
        <f t="shared" si="6"/>
        <v>13.723143824183916</v>
      </c>
      <c r="M11" s="130">
        <f t="shared" si="6"/>
        <v>14.330841858275297</v>
      </c>
      <c r="N11" s="130">
        <f t="shared" si="6"/>
        <v>12.936763574052828</v>
      </c>
      <c r="O11" s="130">
        <f t="shared" si="6"/>
        <v>14.291151368551638</v>
      </c>
      <c r="P11" s="130">
        <f t="shared" si="6"/>
        <v>15.449806906989169</v>
      </c>
      <c r="Q11" s="130">
        <f t="shared" si="6"/>
        <v>16.831705319980987</v>
      </c>
      <c r="R11" s="130">
        <f t="shared" si="6"/>
        <v>14.953513600167838</v>
      </c>
      <c r="S11" s="130">
        <f t="shared" si="6"/>
        <v>15.19582823083857</v>
      </c>
      <c r="T11" s="130">
        <f t="shared" si="6"/>
        <v>14.400811443134259</v>
      </c>
      <c r="U11" s="130">
        <f t="shared" si="6"/>
        <v>12.986766200121659</v>
      </c>
      <c r="V11" s="130">
        <f t="shared" si="6"/>
        <v>4.3751972611532306</v>
      </c>
      <c r="W11" s="130">
        <f t="shared" si="6"/>
        <v>5.979884969454095</v>
      </c>
      <c r="X11" s="130">
        <f t="shared" ref="X11:Y11" si="7">SUM(X12:X13)</f>
        <v>5.0654884783324565</v>
      </c>
      <c r="Y11" s="130">
        <f t="shared" si="7"/>
        <v>8.7344303495937758</v>
      </c>
      <c r="DA11" s="176" t="s">
        <v>409</v>
      </c>
    </row>
    <row r="12" spans="1:105" ht="11.45" customHeight="1" x14ac:dyDescent="0.25">
      <c r="A12" s="111" t="s">
        <v>92</v>
      </c>
      <c r="B12" s="96">
        <v>17.553906783300597</v>
      </c>
      <c r="C12" s="96">
        <v>17.258693533780551</v>
      </c>
      <c r="D12" s="96">
        <v>17.737046394526825</v>
      </c>
      <c r="E12" s="96">
        <v>19.060120319454018</v>
      </c>
      <c r="F12" s="96">
        <v>17.702988313923495</v>
      </c>
      <c r="G12" s="96">
        <v>17.074112444658965</v>
      </c>
      <c r="H12" s="96">
        <v>17.129023654314704</v>
      </c>
      <c r="I12" s="96">
        <v>17.51382634380299</v>
      </c>
      <c r="J12" s="96">
        <v>16.05415187320137</v>
      </c>
      <c r="K12" s="96">
        <v>15.327806639536856</v>
      </c>
      <c r="L12" s="96">
        <v>13.723143824183916</v>
      </c>
      <c r="M12" s="96">
        <v>14.330841858275297</v>
      </c>
      <c r="N12" s="96">
        <v>12.936763574052828</v>
      </c>
      <c r="O12" s="96">
        <v>14.291151368551638</v>
      </c>
      <c r="P12" s="96">
        <v>15.449806906989169</v>
      </c>
      <c r="Q12" s="96">
        <v>16.831705319980987</v>
      </c>
      <c r="R12" s="96">
        <v>14.953513600167838</v>
      </c>
      <c r="S12" s="96">
        <v>15.19582823083857</v>
      </c>
      <c r="T12" s="96">
        <v>14.400811443134259</v>
      </c>
      <c r="U12" s="96">
        <v>12.986766200121659</v>
      </c>
      <c r="V12" s="96">
        <v>4.3751972611532306</v>
      </c>
      <c r="W12" s="96">
        <v>5.979884969454095</v>
      </c>
      <c r="X12" s="96">
        <v>5.0654884783324565</v>
      </c>
      <c r="Y12" s="96">
        <v>8.7344303495937758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17.495422856699395</v>
      </c>
      <c r="C15" s="32">
        <f t="shared" si="8"/>
        <v>17.790636106219441</v>
      </c>
      <c r="D15" s="32">
        <f t="shared" si="8"/>
        <v>20.498464685473159</v>
      </c>
      <c r="E15" s="32">
        <f t="shared" si="8"/>
        <v>19.175390760545969</v>
      </c>
      <c r="F15" s="32">
        <f t="shared" si="8"/>
        <v>20.53252276607649</v>
      </c>
      <c r="G15" s="32">
        <f t="shared" si="8"/>
        <v>21.161398635341023</v>
      </c>
      <c r="H15" s="32">
        <f t="shared" si="8"/>
        <v>20.750896345685288</v>
      </c>
      <c r="I15" s="32">
        <f t="shared" si="8"/>
        <v>20.366093656197005</v>
      </c>
      <c r="J15" s="32">
        <f t="shared" si="8"/>
        <v>15.51235920679863</v>
      </c>
      <c r="K15" s="32">
        <f t="shared" si="8"/>
        <v>13.082133360463144</v>
      </c>
      <c r="L15" s="32">
        <f t="shared" si="8"/>
        <v>14.686796175816081</v>
      </c>
      <c r="M15" s="32">
        <f t="shared" si="8"/>
        <v>17.235669221724699</v>
      </c>
      <c r="N15" s="32">
        <f t="shared" si="8"/>
        <v>15.47317642594717</v>
      </c>
      <c r="O15" s="32">
        <f t="shared" si="8"/>
        <v>17.276159991448367</v>
      </c>
      <c r="P15" s="32">
        <f t="shared" si="8"/>
        <v>25.584816853010835</v>
      </c>
      <c r="Q15" s="32">
        <f t="shared" si="8"/>
        <v>21.047414400018997</v>
      </c>
      <c r="R15" s="32">
        <f t="shared" si="8"/>
        <v>16.612463959832166</v>
      </c>
      <c r="S15" s="32">
        <f t="shared" si="8"/>
        <v>14.030985849161427</v>
      </c>
      <c r="T15" s="32">
        <f t="shared" si="8"/>
        <v>12.186458516865747</v>
      </c>
      <c r="U15" s="32">
        <f t="shared" si="8"/>
        <v>10.393075599878342</v>
      </c>
      <c r="V15" s="32">
        <f t="shared" si="8"/>
        <v>12.730787738846768</v>
      </c>
      <c r="W15" s="32">
        <f t="shared" si="8"/>
        <v>14.705752470545903</v>
      </c>
      <c r="X15" s="32">
        <f t="shared" ref="X15:Y15" si="9">SUM(X16:X17)</f>
        <v>16.106185681667544</v>
      </c>
      <c r="Y15" s="32">
        <f t="shared" si="9"/>
        <v>12.591964610406222</v>
      </c>
      <c r="DA15" s="173" t="s">
        <v>414</v>
      </c>
    </row>
    <row r="16" spans="1:105" ht="11.45" customHeight="1" x14ac:dyDescent="0.25">
      <c r="A16" s="83" t="s">
        <v>92</v>
      </c>
      <c r="B16" s="96">
        <v>17.495422856699395</v>
      </c>
      <c r="C16" s="96">
        <v>17.790636106219441</v>
      </c>
      <c r="D16" s="96">
        <v>20.498464685473159</v>
      </c>
      <c r="E16" s="96">
        <v>19.175390760545969</v>
      </c>
      <c r="F16" s="96">
        <v>20.53252276607649</v>
      </c>
      <c r="G16" s="96">
        <v>21.161398635341023</v>
      </c>
      <c r="H16" s="96">
        <v>20.750896345685288</v>
      </c>
      <c r="I16" s="96">
        <v>20.366093656197005</v>
      </c>
      <c r="J16" s="96">
        <v>15.51235920679863</v>
      </c>
      <c r="K16" s="96">
        <v>13.082133360463144</v>
      </c>
      <c r="L16" s="96">
        <v>14.686796175816081</v>
      </c>
      <c r="M16" s="96">
        <v>17.235669221724699</v>
      </c>
      <c r="N16" s="96">
        <v>15.47317642594717</v>
      </c>
      <c r="O16" s="96">
        <v>17.276159991448367</v>
      </c>
      <c r="P16" s="96">
        <v>25.584816853010835</v>
      </c>
      <c r="Q16" s="96">
        <v>21.047414400018997</v>
      </c>
      <c r="R16" s="96">
        <v>16.612463959832166</v>
      </c>
      <c r="S16" s="96">
        <v>14.030985849161427</v>
      </c>
      <c r="T16" s="96">
        <v>12.186458516865747</v>
      </c>
      <c r="U16" s="96">
        <v>10.393075599878342</v>
      </c>
      <c r="V16" s="96">
        <v>12.730787738846768</v>
      </c>
      <c r="W16" s="96">
        <v>14.705752470545903</v>
      </c>
      <c r="X16" s="96">
        <v>16.106185681667544</v>
      </c>
      <c r="Y16" s="96">
        <v>12.591964610406222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1.4642234560747733</v>
      </c>
      <c r="C22" s="134">
        <f>IF(C4=0,0,C4/TrRail_ene!C4)</f>
        <v>1.3941143603664983</v>
      </c>
      <c r="D22" s="134">
        <f>IF(D4=0,0,D4/TrRail_ene!D4)</f>
        <v>1.4375413999165945</v>
      </c>
      <c r="E22" s="134">
        <f>IF(E4=0,0,E4/TrRail_ene!E4)</f>
        <v>1.4191897880542426</v>
      </c>
      <c r="F22" s="134">
        <f>IF(F4=0,0,F4/TrRail_ene!F4)</f>
        <v>1.3752972751324484</v>
      </c>
      <c r="G22" s="134">
        <f>IF(G4=0,0,G4/TrRail_ene!G4)</f>
        <v>1.3461537111351274</v>
      </c>
      <c r="H22" s="134">
        <f>IF(H4=0,0,H4/TrRail_ene!H4)</f>
        <v>1.3349802109090909</v>
      </c>
      <c r="I22" s="134">
        <f>IF(I4=0,0,I4/TrRail_ene!I4)</f>
        <v>1.3349802109090909</v>
      </c>
      <c r="J22" s="134">
        <f>IF(J4=0,0,J4/TrRail_ene!J4)</f>
        <v>1.198429564756001</v>
      </c>
      <c r="K22" s="134">
        <f>IF(K4=0,0,K4/TrRail_ene!K4)</f>
        <v>1.3033830461538463</v>
      </c>
      <c r="L22" s="134">
        <f>IF(L4=0,0,L4/TrRail_ene!L4)</f>
        <v>1.2214698787430682</v>
      </c>
      <c r="M22" s="134">
        <f>IF(M4=0,0,M4/TrRail_ene!M4)</f>
        <v>1.3333618703911265</v>
      </c>
      <c r="N22" s="134">
        <f>IF(N4=0,0,N4/TrRail_ene!N4)</f>
        <v>1.2781725423597676</v>
      </c>
      <c r="O22" s="134">
        <f>IF(O4=0,0,O4/TrRail_ene!O4)</f>
        <v>1.3888680736517161</v>
      </c>
      <c r="P22" s="134">
        <f>IF(P4=0,0,P4/TrRail_ene!P4)</f>
        <v>1.6755235629078806</v>
      </c>
      <c r="Q22" s="134">
        <f>IF(Q4=0,0,Q4/TrRail_ene!Q4)</f>
        <v>1.5349782832001724</v>
      </c>
      <c r="R22" s="134">
        <f>IF(R4=0,0,R4/TrRail_ene!R4)</f>
        <v>1.3189774729469586</v>
      </c>
      <c r="S22" s="134">
        <f>IF(S4=0,0,S4/TrRail_ene!S4)</f>
        <v>1.0176973079111491</v>
      </c>
      <c r="T22" s="134">
        <f>IF(T4=0,0,T4/TrRail_ene!T4)</f>
        <v>0.95310442394767336</v>
      </c>
      <c r="U22" s="134">
        <f>IF(U4=0,0,U4/TrRail_ene!U4)</f>
        <v>0.87826857712172346</v>
      </c>
      <c r="V22" s="134">
        <f>IF(V4=0,0,V4/TrRail_ene!V4)</f>
        <v>0.75064466737602298</v>
      </c>
      <c r="W22" s="134">
        <f>IF(W4=0,0,W4/TrRail_ene!W4)</f>
        <v>0.79286399041341493</v>
      </c>
      <c r="X22" s="134">
        <f>IF(X4=0,0,X4/TrRail_ene!X4)</f>
        <v>0.76636383875353253</v>
      </c>
      <c r="Y22" s="134">
        <f>IF(Y4=0,0,Y4/TrRail_ene!Y4)</f>
        <v>0.78322177818450511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1.5611868592823943</v>
      </c>
      <c r="T23" s="129">
        <f>IF(T5=0,0,T5/SUM(TrRail_ene!T5:T7))</f>
        <v>1.5606417485226871</v>
      </c>
      <c r="U23" s="129">
        <f>IF(U5=0,0,U5/SUM(TrRail_ene!U5:U7))</f>
        <v>1.5573884263540139</v>
      </c>
      <c r="V23" s="129">
        <f>IF(V5=0,0,V5/SUM(TrRail_ene!V5:V7))</f>
        <v>1.5512094000000001</v>
      </c>
      <c r="W23" s="129">
        <f>IF(W5=0,0,W5/SUM(TrRail_ene!W5:W7))</f>
        <v>1.5512094000000001</v>
      </c>
      <c r="X23" s="129">
        <f>IF(X5=0,0,X5/SUM(TrRail_ene!X5:X7))</f>
        <v>1.5512094000000001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3493.079963225438</v>
      </c>
      <c r="C26" s="54">
        <f>IF(C8=0,0,C8/TrRail_act!C14*1000)</f>
        <v>3249.0009966694374</v>
      </c>
      <c r="D26" s="54">
        <f>IF(D8=0,0,D8/TrRail_act!D14*1000)</f>
        <v>3302.4799543619342</v>
      </c>
      <c r="E26" s="54">
        <f>IF(E8=0,0,E8/TrRail_act!E14*1000)</f>
        <v>3124.766816015062</v>
      </c>
      <c r="F26" s="54">
        <f>IF(F8=0,0,F8/TrRail_act!F14*1000)</f>
        <v>2905.8383122773153</v>
      </c>
      <c r="G26" s="54">
        <f>IF(G8=0,0,G8/TrRail_act!G14*1000)</f>
        <v>2762.4181628019023</v>
      </c>
      <c r="H26" s="54">
        <f>IF(H8=0,0,H8/TrRail_act!H14*1000)</f>
        <v>2642.5509216180303</v>
      </c>
      <c r="I26" s="54">
        <f>IF(I8=0,0,I8/TrRail_act!I14*1000)</f>
        <v>2546.5760562107394</v>
      </c>
      <c r="J26" s="54">
        <f>IF(J8=0,0,J8/TrRail_act!J14*1000)</f>
        <v>2153.3320490487299</v>
      </c>
      <c r="K26" s="54">
        <f>IF(K8=0,0,K8/TrRail_act!K14*1000)</f>
        <v>2308.7842784823915</v>
      </c>
      <c r="L26" s="54">
        <f>IF(L8=0,0,L8/TrRail_act!L14*1000)</f>
        <v>2116.6800785572636</v>
      </c>
      <c r="M26" s="54">
        <f>IF(M8=0,0,M8/TrRail_act!M14*1000)</f>
        <v>2346.4026935230909</v>
      </c>
      <c r="N26" s="54">
        <f>IF(N8=0,0,N8/TrRail_act!N14*1000)</f>
        <v>2148.3605761197041</v>
      </c>
      <c r="O26" s="54">
        <f>IF(O8=0,0,O8/TrRail_act!O14*1000)</f>
        <v>2350.8908590222009</v>
      </c>
      <c r="P26" s="54">
        <f>IF(P8=0,0,P8/TrRail_act!P14*1000)</f>
        <v>3025.97985418299</v>
      </c>
      <c r="Q26" s="54">
        <f>IF(Q8=0,0,Q8/TrRail_act!Q14*1000)</f>
        <v>2561.1471737861043</v>
      </c>
      <c r="R26" s="54">
        <f>IF(R8=0,0,R8/TrRail_act!R14*1000)</f>
        <v>2051.5854787488765</v>
      </c>
      <c r="S26" s="54">
        <f>IF(S8=0,0,S8/TrRail_act!S14*1000)</f>
        <v>1437.2501178122491</v>
      </c>
      <c r="T26" s="54">
        <f>IF(T8=0,0,T8/TrRail_act!T14*1000)</f>
        <v>1343.7346508090268</v>
      </c>
      <c r="U26" s="54">
        <f>IF(U8=0,0,U8/TrRail_act!U14*1000)</f>
        <v>1212.16192121577</v>
      </c>
      <c r="V26" s="54">
        <f>IF(V8=0,0,V8/TrRail_act!V14*1000)</f>
        <v>1037.8106884248127</v>
      </c>
      <c r="W26" s="54">
        <f>IF(W8=0,0,W8/TrRail_act!W14*1000)</f>
        <v>1087.3324728061307</v>
      </c>
      <c r="X26" s="54">
        <f>IF(X8=0,0,X8/TrRail_act!X14*1000)</f>
        <v>1064.1429124009996</v>
      </c>
      <c r="Y26" s="54">
        <f>IF(Y8=0,0,Y8/TrRail_act!Y14*1000)</f>
        <v>1071.6061211176047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3506.1546392660803</v>
      </c>
      <c r="C27" s="28">
        <f>IF(C9=0,0,C9/TrRail_act!C15*1000)</f>
        <v>3305.111021293937</v>
      </c>
      <c r="D27" s="28">
        <f>IF(D9=0,0,D9/TrRail_act!D15*1000)</f>
        <v>3181.7231648856728</v>
      </c>
      <c r="E27" s="28">
        <f>IF(E9=0,0,E9/TrRail_act!E15*1000)</f>
        <v>3045.8105833092009</v>
      </c>
      <c r="F27" s="28">
        <f>IF(F9=0,0,F9/TrRail_act!F15*1000)</f>
        <v>2591.7249561940785</v>
      </c>
      <c r="G27" s="28">
        <f>IF(G9=0,0,G9/TrRail_act!G15*1000)</f>
        <v>2348.0455118435175</v>
      </c>
      <c r="H27" s="28">
        <f>IF(H9=0,0,H9/TrRail_act!H15*1000)</f>
        <v>2296.1244485313628</v>
      </c>
      <c r="I27" s="28">
        <f>IF(I9=0,0,I9/TrRail_act!I15*1000)</f>
        <v>2278.2597814226633</v>
      </c>
      <c r="J27" s="28">
        <f>IF(J9=0,0,J9/TrRail_act!J15*1000)</f>
        <v>2079.2050123438084</v>
      </c>
      <c r="K27" s="28">
        <f>IF(K9=0,0,K9/TrRail_act!K15*1000)</f>
        <v>2187.5197101007889</v>
      </c>
      <c r="L27" s="28">
        <f>IF(L9=0,0,L9/TrRail_act!L15*1000)</f>
        <v>1966.8169171546917</v>
      </c>
      <c r="M27" s="28">
        <f>IF(M9=0,0,M9/TrRail_act!M15*1000)</f>
        <v>2280.8284626558775</v>
      </c>
      <c r="N27" s="28">
        <f>IF(N9=0,0,N9/TrRail_act!N15*1000)</f>
        <v>1959.5532305222362</v>
      </c>
      <c r="O27" s="28">
        <f>IF(O9=0,0,O9/TrRail_act!O15*1000)</f>
        <v>2348.0805437587478</v>
      </c>
      <c r="P27" s="28">
        <f>IF(P9=0,0,P9/TrRail_act!P15*1000)</f>
        <v>2723.300799374585</v>
      </c>
      <c r="Q27" s="28">
        <f>IF(Q9=0,0,Q9/TrRail_act!Q15*1000)</f>
        <v>2451.0049126266631</v>
      </c>
      <c r="R27" s="28">
        <f>IF(R9=0,0,R9/TrRail_act!R15*1000)</f>
        <v>2114.9696612117696</v>
      </c>
      <c r="S27" s="28">
        <f>IF(S9=0,0,S9/TrRail_act!S15*1000)</f>
        <v>1380.1107960814072</v>
      </c>
      <c r="T27" s="28">
        <f>IF(T9=0,0,T9/TrRail_act!T15*1000)</f>
        <v>1802.1613663204942</v>
      </c>
      <c r="U27" s="28">
        <f>IF(U9=0,0,U9/TrRail_act!U15*1000)</f>
        <v>1635.6361234333726</v>
      </c>
      <c r="V27" s="28">
        <f>IF(V9=0,0,V9/TrRail_act!V15*1000)</f>
        <v>720.62945937079735</v>
      </c>
      <c r="W27" s="28">
        <f>IF(W9=0,0,W9/TrRail_act!W15*1000)</f>
        <v>604.12222682750485</v>
      </c>
      <c r="X27" s="28">
        <f>IF(X9=0,0,X9/TrRail_act!X15*1000)</f>
        <v>623.36497190954117</v>
      </c>
      <c r="Y27" s="28">
        <f>IF(Y9=0,0,Y9/TrRail_act!Y15*1000)</f>
        <v>877.82730883716999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3506.1546392660803</v>
      </c>
      <c r="C29" s="110">
        <f>IF(C11=0,0,C11/TrRail_act!C17*1000)</f>
        <v>3305.111021293937</v>
      </c>
      <c r="D29" s="110">
        <f>IF(D11=0,0,D11/TrRail_act!D17*1000)</f>
        <v>3181.7231648856728</v>
      </c>
      <c r="E29" s="110">
        <f>IF(E11=0,0,E11/TrRail_act!E17*1000)</f>
        <v>3045.8105833092009</v>
      </c>
      <c r="F29" s="110">
        <f>IF(F11=0,0,F11/TrRail_act!F17*1000)</f>
        <v>2591.7249561940785</v>
      </c>
      <c r="G29" s="110">
        <f>IF(G11=0,0,G11/TrRail_act!G17*1000)</f>
        <v>2348.0455118435175</v>
      </c>
      <c r="H29" s="110">
        <f>IF(H11=0,0,H11/TrRail_act!H17*1000)</f>
        <v>2296.1244485313628</v>
      </c>
      <c r="I29" s="110">
        <f>IF(I11=0,0,I11/TrRail_act!I17*1000)</f>
        <v>2278.2597814226633</v>
      </c>
      <c r="J29" s="110">
        <f>IF(J11=0,0,J11/TrRail_act!J17*1000)</f>
        <v>2098.410038712052</v>
      </c>
      <c r="K29" s="110">
        <f>IF(K11=0,0,K11/TrRail_act!K17*1000)</f>
        <v>2211.2063240831239</v>
      </c>
      <c r="L29" s="110">
        <f>IF(L11=0,0,L11/TrRail_act!L17*1000)</f>
        <v>1987.1964621463846</v>
      </c>
      <c r="M29" s="110">
        <f>IF(M11=0,0,M11/TrRail_act!M17*1000)</f>
        <v>2303.5591188059948</v>
      </c>
      <c r="N29" s="110">
        <f>IF(N11=0,0,N11/TrRail_act!N17*1000)</f>
        <v>1976.8937256707325</v>
      </c>
      <c r="O29" s="110">
        <f>IF(O11=0,0,O11/TrRail_act!O17*1000)</f>
        <v>2368.8546366936589</v>
      </c>
      <c r="P29" s="110">
        <f>IF(P11=0,0,P11/TrRail_act!P17*1000)</f>
        <v>2741.6162850180676</v>
      </c>
      <c r="Q29" s="110">
        <f>IF(Q11=0,0,Q11/TrRail_act!Q17*1000)</f>
        <v>2461.1085431723027</v>
      </c>
      <c r="R29" s="110">
        <f>IF(R11=0,0,R11/TrRail_act!R17*1000)</f>
        <v>2120.8008491791775</v>
      </c>
      <c r="S29" s="110">
        <f>IF(S11=0,0,S11/TrRail_act!S17*1000)</f>
        <v>1381.0389654448859</v>
      </c>
      <c r="T29" s="110">
        <f>IF(T11=0,0,T11/TrRail_act!T17*1000)</f>
        <v>1804.0975172802998</v>
      </c>
      <c r="U29" s="110">
        <f>IF(U11=0,0,U11/TrRail_act!U17*1000)</f>
        <v>1637.3144532246101</v>
      </c>
      <c r="V29" s="110">
        <f>IF(V11=0,0,V11/TrRail_act!V17*1000)</f>
        <v>721.22268316970951</v>
      </c>
      <c r="W29" s="110">
        <f>IF(W11=0,0,W11/TrRail_act!W17*1000)</f>
        <v>615.23143306051418</v>
      </c>
      <c r="X29" s="110">
        <f>IF(X11=0,0,X11/TrRail_act!X17*1000)</f>
        <v>638.77233458128455</v>
      </c>
      <c r="Y29" s="110">
        <f>IF(Y11=0,0,Y11/TrRail_act!Y17*1000)</f>
        <v>917.26965004210842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8143.4218644770608</v>
      </c>
      <c r="C30" s="84">
        <f>IF(C12=0,0,C12/TrRail_act!C18*1000)</f>
        <v>7977.7956449142439</v>
      </c>
      <c r="D30" s="84">
        <f>IF(D12=0,0,D12/TrRail_act!D18*1000)</f>
        <v>7908.3967008226609</v>
      </c>
      <c r="E30" s="84">
        <f>IF(E12=0,0,E12/TrRail_act!E18*1000)</f>
        <v>7734.0228128385452</v>
      </c>
      <c r="F30" s="84">
        <f>IF(F12=0,0,F12/TrRail_act!F18*1000)</f>
        <v>7582.7428422739449</v>
      </c>
      <c r="G30" s="84">
        <f>IF(G12=0,0,G12/TrRail_act!G18*1000)</f>
        <v>7500.2427572925508</v>
      </c>
      <c r="H30" s="84">
        <f>IF(H12=0,0,H12/TrRail_act!H18*1000)</f>
        <v>7331.3102327730585</v>
      </c>
      <c r="I30" s="84">
        <f>IF(I12=0,0,I12/TrRail_act!I18*1000)</f>
        <v>7219.6242572257925</v>
      </c>
      <c r="J30" s="84">
        <f>IF(J12=0,0,J12/TrRail_act!J18*1000)</f>
        <v>7072.7784475264816</v>
      </c>
      <c r="K30" s="84">
        <f>IF(K12=0,0,K12/TrRail_act!K18*1000)</f>
        <v>6978.3894445993865</v>
      </c>
      <c r="L30" s="84">
        <f>IF(L12=0,0,L12/TrRail_act!L18*1000)</f>
        <v>6826.2436240249681</v>
      </c>
      <c r="M30" s="84">
        <f>IF(M12=0,0,M12/TrRail_act!M18*1000)</f>
        <v>6666.7190736350112</v>
      </c>
      <c r="N30" s="84">
        <f>IF(N12=0,0,N12/TrRail_act!N18*1000)</f>
        <v>6582.844481750758</v>
      </c>
      <c r="O30" s="84">
        <f>IF(O12=0,0,O12/TrRail_act!O18*1000)</f>
        <v>6382.4253393597219</v>
      </c>
      <c r="P30" s="84">
        <f>IF(P12=0,0,P12/TrRail_act!P18*1000)</f>
        <v>6199.3732618396398</v>
      </c>
      <c r="Q30" s="84">
        <f>IF(Q12=0,0,Q12/TrRail_act!Q18*1000)</f>
        <v>5976.100625390357</v>
      </c>
      <c r="R30" s="84">
        <f>IF(R12=0,0,R12/TrRail_act!R18*1000)</f>
        <v>5872.0786256092761</v>
      </c>
      <c r="S30" s="84">
        <f>IF(S12=0,0,S12/TrRail_act!S18*1000)</f>
        <v>5890.8527287952311</v>
      </c>
      <c r="T30" s="84">
        <f>IF(T12=0,0,T12/TrRail_act!T18*1000)</f>
        <v>5874.5943334048188</v>
      </c>
      <c r="U30" s="84">
        <f>IF(U12=0,0,U12/TrRail_act!U18*1000)</f>
        <v>5851.7416194365242</v>
      </c>
      <c r="V30" s="84">
        <f>IF(V12=0,0,V12/TrRail_act!V18*1000)</f>
        <v>5820.6137341831982</v>
      </c>
      <c r="W30" s="84">
        <f>IF(W12=0,0,W12/TrRail_act!W18*1000)</f>
        <v>5814.6877031357726</v>
      </c>
      <c r="X30" s="84">
        <f>IF(X12=0,0,X12/TrRail_act!X18*1000)</f>
        <v>5810.2471395771454</v>
      </c>
      <c r="Y30" s="84">
        <f>IF(Y12=0,0,Y12/TrRail_act!Y18*1000)</f>
        <v>5806.9189425063041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3480.0592177864123</v>
      </c>
      <c r="C33" s="28">
        <f>IF(C15=0,0,C15/TrRail_act!C21*1000)</f>
        <v>3196.3597100963716</v>
      </c>
      <c r="D33" s="28">
        <f>IF(D15=0,0,D15/TrRail_act!D21*1000)</f>
        <v>3414.6175404308615</v>
      </c>
      <c r="E33" s="28">
        <f>IF(E15=0,0,E15/TrRail_act!E21*1000)</f>
        <v>3207.4124181714592</v>
      </c>
      <c r="F33" s="28">
        <f>IF(F15=0,0,F15/TrRail_act!F21*1000)</f>
        <v>3244.921238101198</v>
      </c>
      <c r="G33" s="28">
        <f>IF(G15=0,0,G15/TrRail_act!G21*1000)</f>
        <v>3221.0642954661721</v>
      </c>
      <c r="H33" s="28">
        <f>IF(H15=0,0,H15/TrRail_act!H21*1000)</f>
        <v>3018.4738502404739</v>
      </c>
      <c r="I33" s="28">
        <f>IF(I15=0,0,I15/TrRail_act!I21*1000)</f>
        <v>2833.554035879321</v>
      </c>
      <c r="J33" s="28">
        <f>IF(J15=0,0,J15/TrRail_act!J21*1000)</f>
        <v>2235.8269344796709</v>
      </c>
      <c r="K33" s="28">
        <f>IF(K15=0,0,K15/TrRail_act!K21*1000)</f>
        <v>2469.1576309092011</v>
      </c>
      <c r="L33" s="28">
        <f>IF(L15=0,0,L15/TrRail_act!L21*1000)</f>
        <v>2278.931605841814</v>
      </c>
      <c r="M33" s="28">
        <f>IF(M15=0,0,M15/TrRail_act!M21*1000)</f>
        <v>2403.8665120171963</v>
      </c>
      <c r="N33" s="28">
        <f>IF(N15=0,0,N15/TrRail_act!N21*1000)</f>
        <v>2336.5914074644206</v>
      </c>
      <c r="O33" s="28">
        <f>IF(O15=0,0,O15/TrRail_act!O21*1000)</f>
        <v>2353.2206915936058</v>
      </c>
      <c r="P33" s="28">
        <f>IF(P15=0,0,P15/TrRail_act!P21*1000)</f>
        <v>3243.6836443324364</v>
      </c>
      <c r="Q33" s="28">
        <f>IF(Q15=0,0,Q15/TrRail_act!Q21*1000)</f>
        <v>2656.6174535338396</v>
      </c>
      <c r="R33" s="28">
        <f>IF(R15=0,0,R15/TrRail_act!R21*1000)</f>
        <v>1997.6946265977404</v>
      </c>
      <c r="S33" s="28">
        <f>IF(S15=0,0,S15/TrRail_act!S21*1000)</f>
        <v>1504.7204974405722</v>
      </c>
      <c r="T33" s="28">
        <f>IF(T15=0,0,T15/TrRail_act!T21*1000)</f>
        <v>1033.1669987997946</v>
      </c>
      <c r="U33" s="28">
        <f>IF(U15=0,0,U15/TrRail_act!U21*1000)</f>
        <v>915.86421412350887</v>
      </c>
      <c r="V33" s="28">
        <f>IF(V15=0,0,V15/TrRail_act!V21*1000)</f>
        <v>1222.7732122369916</v>
      </c>
      <c r="W33" s="28">
        <f>IF(W15=0,0,W15/TrRail_act!W21*1000)</f>
        <v>1611.459031623782</v>
      </c>
      <c r="X33" s="28">
        <f>IF(X15=0,0,X15/TrRail_act!X21*1000)</f>
        <v>1368.4706831930607</v>
      </c>
      <c r="Y33" s="28">
        <f>IF(Y15=0,0,Y15/TrRail_act!Y21*1000)</f>
        <v>1265.3610481997664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16237.248241905128</v>
      </c>
      <c r="C34" s="84">
        <f>IF(C16=0,0,C16/TrRail_act!C22*1000)</f>
        <v>16132.246575220517</v>
      </c>
      <c r="D34" s="84">
        <f>IF(D16=0,0,D16/TrRail_act!D22*1000)</f>
        <v>16093.157409620684</v>
      </c>
      <c r="E34" s="84">
        <f>IF(E16=0,0,E16/TrRail_act!E22*1000)</f>
        <v>15984.25760182581</v>
      </c>
      <c r="F34" s="84">
        <f>IF(F16=0,0,F16/TrRail_act!F22*1000)</f>
        <v>15873.680899492461</v>
      </c>
      <c r="G34" s="84">
        <f>IF(G16=0,0,G16/TrRail_act!G22*1000)</f>
        <v>15779.385283267799</v>
      </c>
      <c r="H34" s="84">
        <f>IF(H16=0,0,H16/TrRail_act!H22*1000)</f>
        <v>15631.381367081281</v>
      </c>
      <c r="I34" s="84">
        <f>IF(I16=0,0,I16/TrRail_act!I22*1000)</f>
        <v>15378.122330773796</v>
      </c>
      <c r="J34" s="84">
        <f>IF(J16=0,0,J16/TrRail_act!J22*1000)</f>
        <v>15089.832935142143</v>
      </c>
      <c r="K34" s="84">
        <f>IF(K16=0,0,K16/TrRail_act!K22*1000)</f>
        <v>14872.062632449384</v>
      </c>
      <c r="L34" s="84">
        <f>IF(L16=0,0,L16/TrRail_act!L22*1000)</f>
        <v>14828.371021097309</v>
      </c>
      <c r="M34" s="84">
        <f>IF(M16=0,0,M16/TrRail_act!M22*1000)</f>
        <v>14480.181637633001</v>
      </c>
      <c r="N34" s="84">
        <f>IF(N16=0,0,N16/TrRail_act!N22*1000)</f>
        <v>14359.363400635222</v>
      </c>
      <c r="O34" s="84">
        <f>IF(O16=0,0,O16/TrRail_act!O22*1000)</f>
        <v>14197.506438951574</v>
      </c>
      <c r="P34" s="84">
        <f>IF(P16=0,0,P16/TrRail_act!P22*1000)</f>
        <v>13973.136373457604</v>
      </c>
      <c r="Q34" s="84">
        <f>IF(Q16=0,0,Q16/TrRail_act!Q22*1000)</f>
        <v>13769.3384865179</v>
      </c>
      <c r="R34" s="84">
        <f>IF(R16=0,0,R16/TrRail_act!R22*1000)</f>
        <v>13713.772184021149</v>
      </c>
      <c r="S34" s="84">
        <f>IF(S16=0,0,S16/TrRail_act!S22*1000)</f>
        <v>13760.185249630082</v>
      </c>
      <c r="T34" s="84">
        <f>IF(T16=0,0,T16/TrRail_act!T22*1000)</f>
        <v>13724.128705209876</v>
      </c>
      <c r="U34" s="84">
        <f>IF(U16=0,0,U16/TrRail_act!U22*1000)</f>
        <v>13672.17569791618</v>
      </c>
      <c r="V34" s="84">
        <f>IF(V16=0,0,V16/TrRail_act!V22*1000)</f>
        <v>13600.51833325091</v>
      </c>
      <c r="W34" s="84">
        <f>IF(W16=0,0,W16/TrRail_act!W22*1000)</f>
        <v>13587.473767606605</v>
      </c>
      <c r="X34" s="84">
        <f>IF(X16=0,0,X16/TrRail_act!X22*1000)</f>
        <v>13577.698554595916</v>
      </c>
      <c r="Y34" s="84">
        <f>IF(Y16=0,0,Y16/TrRail_act!Y22*1000)</f>
        <v>13570.371760235281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24.899158557873186</v>
      </c>
      <c r="C38" s="29">
        <f>IF(C9=0,0,C9/TrRail_act!C4*1000)</f>
        <v>24.138032914378392</v>
      </c>
      <c r="D38" s="29">
        <f>IF(D9=0,0,D9/TrRail_act!D4*1000)</f>
        <v>23.680969819127938</v>
      </c>
      <c r="E38" s="29">
        <f>IF(E9=0,0,E9/TrRail_act!E4*1000)</f>
        <v>24.530399381536704</v>
      </c>
      <c r="F38" s="29">
        <f>IF(F9=0,0,F9/TrRail_act!F4*1000)</f>
        <v>25.471925631544597</v>
      </c>
      <c r="G38" s="29">
        <f>IF(G9=0,0,G9/TrRail_act!G4*1000)</f>
        <v>23.846525760696878</v>
      </c>
      <c r="H38" s="29">
        <f>IF(H9=0,0,H9/TrRail_act!H4*1000)</f>
        <v>23.658872450710916</v>
      </c>
      <c r="I38" s="29">
        <f>IF(I9=0,0,I9/TrRail_act!I4*1000)</f>
        <v>23.667332897031066</v>
      </c>
      <c r="J38" s="29">
        <f>IF(J9=0,0,J9/TrRail_act!J4*1000)</f>
        <v>20.985819442093295</v>
      </c>
      <c r="K38" s="29">
        <f>IF(K9=0,0,K9/TrRail_act!K4*1000)</f>
        <v>19.828986597072259</v>
      </c>
      <c r="L38" s="29">
        <f>IF(L9=0,0,L9/TrRail_act!L4*1000)</f>
        <v>18.824614299292065</v>
      </c>
      <c r="M38" s="29">
        <f>IF(M9=0,0,M9/TrRail_act!M4*1000)</f>
        <v>20.799480200689835</v>
      </c>
      <c r="N38" s="29">
        <f>IF(N9=0,0,N9/TrRail_act!N4*1000)</f>
        <v>19.630900719351786</v>
      </c>
      <c r="O38" s="29">
        <f>IF(O9=0,0,O9/TrRail_act!O4*1000)</f>
        <v>21.047351058249834</v>
      </c>
      <c r="P38" s="29">
        <f>IF(P9=0,0,P9/TrRail_act!P4*1000)</f>
        <v>24.919043398369627</v>
      </c>
      <c r="Q38" s="29">
        <f>IF(Q9=0,0,Q9/TrRail_act!Q4*1000)</f>
        <v>26.80207853500157</v>
      </c>
      <c r="R38" s="29">
        <f>IF(R9=0,0,R9/TrRail_act!R4*1000)</f>
        <v>24.473835679489095</v>
      </c>
      <c r="S38" s="29">
        <f>IF(S9=0,0,S9/TrRail_act!S4*1000)</f>
        <v>26.659347773400999</v>
      </c>
      <c r="T38" s="29">
        <f>IF(T9=0,0,T9/TrRail_act!T4*1000)</f>
        <v>25.353541273123692</v>
      </c>
      <c r="U38" s="29">
        <f>IF(U9=0,0,U9/TrRail_act!U4*1000)</f>
        <v>22.704136713499405</v>
      </c>
      <c r="V38" s="29">
        <f>IF(V9=0,0,V9/TrRail_act!V4*1000)</f>
        <v>12.944370595127902</v>
      </c>
      <c r="W38" s="29">
        <f>IF(W9=0,0,W9/TrRail_act!W4*1000)</f>
        <v>11.864851129869237</v>
      </c>
      <c r="X38" s="29">
        <f>IF(X9=0,0,X9/TrRail_act!X4*1000)</f>
        <v>7.8534705090425678</v>
      </c>
      <c r="Y38" s="29">
        <f>IF(Y9=0,0,Y9/TrRail_act!Y4*1000)</f>
        <v>11.771469473846059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24.899158557873186</v>
      </c>
      <c r="C40" s="116">
        <f>IF(C11=0,0,C11/TrRail_act!C6*1000)</f>
        <v>24.138032914378392</v>
      </c>
      <c r="D40" s="116">
        <f>IF(D11=0,0,D11/TrRail_act!D6*1000)</f>
        <v>23.680969819127938</v>
      </c>
      <c r="E40" s="116">
        <f>IF(E11=0,0,E11/TrRail_act!E6*1000)</f>
        <v>24.530399381536704</v>
      </c>
      <c r="F40" s="116">
        <f>IF(F11=0,0,F11/TrRail_act!F6*1000)</f>
        <v>25.471925631544597</v>
      </c>
      <c r="G40" s="116">
        <f>IF(G11=0,0,G11/TrRail_act!G6*1000)</f>
        <v>23.846525760696878</v>
      </c>
      <c r="H40" s="116">
        <f>IF(H11=0,0,H11/TrRail_act!H6*1000)</f>
        <v>23.658872450710916</v>
      </c>
      <c r="I40" s="116">
        <f>IF(I11=0,0,I11/TrRail_act!I6*1000)</f>
        <v>23.667332897031066</v>
      </c>
      <c r="J40" s="116">
        <f>IF(J11=0,0,J11/TrRail_act!J6*1000)</f>
        <v>21.377033120108351</v>
      </c>
      <c r="K40" s="116">
        <f>IF(K11=0,0,K11/TrRail_act!K6*1000)</f>
        <v>20.248093315108132</v>
      </c>
      <c r="L40" s="116">
        <f>IF(L11=0,0,L11/TrRail_act!L6*1000)</f>
        <v>19.222781655951696</v>
      </c>
      <c r="M40" s="116">
        <f>IF(M11=0,0,M11/TrRail_act!M6*1000)</f>
        <v>21.210138025449631</v>
      </c>
      <c r="N40" s="116">
        <f>IF(N11=0,0,N11/TrRail_act!N6*1000)</f>
        <v>19.991289983392303</v>
      </c>
      <c r="O40" s="116">
        <f>IF(O11=0,0,O11/TrRail_act!O6*1000)</f>
        <v>21.395540637101035</v>
      </c>
      <c r="P40" s="116">
        <f>IF(P11=0,0,P11/TrRail_act!P6*1000)</f>
        <v>25.232413697516201</v>
      </c>
      <c r="Q40" s="116">
        <f>IF(Q11=0,0,Q11/TrRail_act!Q6*1000)</f>
        <v>27.043228341871767</v>
      </c>
      <c r="R40" s="116">
        <f>IF(R11=0,0,R11/TrRail_act!R6*1000)</f>
        <v>24.631055180642132</v>
      </c>
      <c r="S40" s="116">
        <f>IF(S11=0,0,S11/TrRail_act!S6*1000)</f>
        <v>26.731569909648119</v>
      </c>
      <c r="T40" s="116">
        <f>IF(T11=0,0,T11/TrRail_act!T6*1000)</f>
        <v>25.433693228897862</v>
      </c>
      <c r="U40" s="116">
        <f>IF(U11=0,0,U11/TrRail_act!U6*1000)</f>
        <v>22.773412478731913</v>
      </c>
      <c r="V40" s="116">
        <f>IF(V11=0,0,V11/TrRail_act!V6*1000)</f>
        <v>12.95970752711265</v>
      </c>
      <c r="W40" s="116">
        <f>IF(W11=0,0,W11/TrRail_act!W6*1000)</f>
        <v>12.536446476842967</v>
      </c>
      <c r="X40" s="116">
        <f>IF(X11=0,0,X11/TrRail_act!X6*1000)</f>
        <v>8.3562581403096647</v>
      </c>
      <c r="Y40" s="116">
        <f>IF(Y11=0,0,Y11/TrRail_act!Y6*1000)</f>
        <v>13.499892348676623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62.88174010733848</v>
      </c>
      <c r="C41" s="87">
        <f>IF(C12=0,0,C12/TrRail_act!C7*1000)</f>
        <v>66.524019954653738</v>
      </c>
      <c r="D41" s="87">
        <f>IF(D12=0,0,D12/TrRail_act!D7*1000)</f>
        <v>70.184903304516865</v>
      </c>
      <c r="E41" s="87">
        <f>IF(E12=0,0,E12/TrRail_act!E7*1000)</f>
        <v>74.011130692162254</v>
      </c>
      <c r="F41" s="87">
        <f>IF(F12=0,0,F12/TrRail_act!F7*1000)</f>
        <v>77.024640890554593</v>
      </c>
      <c r="G41" s="87">
        <f>IF(G12=0,0,G12/TrRail_act!G7*1000)</f>
        <v>73.054552523439696</v>
      </c>
      <c r="H41" s="87">
        <f>IF(H12=0,0,H12/TrRail_act!H7*1000)</f>
        <v>73.246913193362602</v>
      </c>
      <c r="I41" s="87">
        <f>IF(I12=0,0,I12/TrRail_act!I7*1000)</f>
        <v>72.26839160614044</v>
      </c>
      <c r="J41" s="87">
        <f>IF(J12=0,0,J12/TrRail_act!J7*1000)</f>
        <v>65.472581341846521</v>
      </c>
      <c r="K41" s="87">
        <f>IF(K12=0,0,K12/TrRail_act!K7*1000)</f>
        <v>62.898237590919251</v>
      </c>
      <c r="L41" s="87">
        <f>IF(L12=0,0,L12/TrRail_act!L7*1000)</f>
        <v>58.928023791606158</v>
      </c>
      <c r="M41" s="87">
        <f>IF(M12=0,0,M12/TrRail_act!M7*1000)</f>
        <v>65.708765774873626</v>
      </c>
      <c r="N41" s="87">
        <f>IF(N12=0,0,N12/TrRail_act!N7*1000)</f>
        <v>61.412915773112296</v>
      </c>
      <c r="O41" s="87">
        <f>IF(O12=0,0,O12/TrRail_act!O7*1000)</f>
        <v>64.227402737722088</v>
      </c>
      <c r="P41" s="87">
        <f>IF(P12=0,0,P12/TrRail_act!P7*1000)</f>
        <v>67.974836118587689</v>
      </c>
      <c r="Q41" s="87">
        <f>IF(Q12=0,0,Q12/TrRail_act!Q7*1000)</f>
        <v>74.52328179711597</v>
      </c>
      <c r="R41" s="87">
        <f>IF(R12=0,0,R12/TrRail_act!R7*1000)</f>
        <v>73.749498947509451</v>
      </c>
      <c r="S41" s="87">
        <f>IF(S12=0,0,S12/TrRail_act!S7*1000)</f>
        <v>78.449845574240868</v>
      </c>
      <c r="T41" s="87">
        <f>IF(T12=0,0,T12/TrRail_act!T7*1000)</f>
        <v>74.137088471878471</v>
      </c>
      <c r="U41" s="87">
        <f>IF(U12=0,0,U12/TrRail_act!U7*1000)</f>
        <v>70.989928105574748</v>
      </c>
      <c r="V41" s="87">
        <f>IF(V12=0,0,V12/TrRail_act!V7*1000)</f>
        <v>88.489234287542473</v>
      </c>
      <c r="W41" s="87">
        <f>IF(W12=0,0,W12/TrRail_act!W7*1000)</f>
        <v>84.343844204517509</v>
      </c>
      <c r="X41" s="87">
        <f>IF(X12=0,0,X12/TrRail_act!X7*1000)</f>
        <v>61.548867425764776</v>
      </c>
      <c r="Y41" s="87">
        <f>IF(Y12=0,0,Y12/TrRail_act!Y7*1000)</f>
        <v>69.137975009257204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6.1237041850540415</v>
      </c>
      <c r="C44" s="29">
        <f>IF(C15=0,0,C15/TrRail_act!C10*1000)</f>
        <v>6.2709327128020584</v>
      </c>
      <c r="D44" s="29">
        <f>IF(D15=0,0,D15/TrRail_act!D10*1000)</f>
        <v>6.6596701382303962</v>
      </c>
      <c r="E44" s="29">
        <f>IF(E15=0,0,E15/TrRail_act!E10*1000)</f>
        <v>6.3536748709562527</v>
      </c>
      <c r="F44" s="29">
        <f>IF(F15=0,0,F15/TrRail_act!F10*1000)</f>
        <v>6.5203311419741157</v>
      </c>
      <c r="G44" s="29">
        <f>IF(G15=0,0,G15/TrRail_act!G10*1000)</f>
        <v>6.5212322450973881</v>
      </c>
      <c r="H44" s="29">
        <f>IF(H15=0,0,H15/TrRail_act!H10*1000)</f>
        <v>6.1520593968826827</v>
      </c>
      <c r="I44" s="29">
        <f>IF(I15=0,0,I15/TrRail_act!I10*1000)</f>
        <v>5.6525377896744393</v>
      </c>
      <c r="J44" s="29">
        <f>IF(J15=0,0,J15/TrRail_act!J10*1000)</f>
        <v>4.4069202292041565</v>
      </c>
      <c r="K44" s="29">
        <f>IF(K15=0,0,K15/TrRail_act!K10*1000)</f>
        <v>4.6439948031463061</v>
      </c>
      <c r="L44" s="29">
        <f>IF(L15=0,0,L15/TrRail_act!L10*1000)</f>
        <v>4.2931295456930965</v>
      </c>
      <c r="M44" s="29">
        <f>IF(M15=0,0,M15/TrRail_act!M10*1000)</f>
        <v>4.5937284706089283</v>
      </c>
      <c r="N44" s="29">
        <f>IF(N15=0,0,N15/TrRail_act!N10*1000)</f>
        <v>4.4591286530107119</v>
      </c>
      <c r="O44" s="29">
        <f>IF(O15=0,0,O15/TrRail_act!O10*1000)</f>
        <v>4.5475546173857246</v>
      </c>
      <c r="P44" s="29">
        <f>IF(P15=0,0,P15/TrRail_act!P10*1000)</f>
        <v>6.2250162659393764</v>
      </c>
      <c r="Q44" s="29">
        <f>IF(Q15=0,0,Q15/TrRail_act!Q10*1000)</f>
        <v>5.0412968622799985</v>
      </c>
      <c r="R44" s="29">
        <f>IF(R15=0,0,R15/TrRail_act!R10*1000)</f>
        <v>3.8101981559248084</v>
      </c>
      <c r="S44" s="29">
        <f>IF(S15=0,0,S15/TrRail_act!S10*1000)</f>
        <v>2.7361516866539444</v>
      </c>
      <c r="T44" s="29">
        <f>IF(T15=0,0,T15/TrRail_act!T10*1000)</f>
        <v>2.3658432375976988</v>
      </c>
      <c r="U44" s="29">
        <f>IF(U15=0,0,U15/TrRail_act!U10*1000)</f>
        <v>1.9639220710276533</v>
      </c>
      <c r="V44" s="29">
        <f>IF(V15=0,0,V15/TrRail_act!V10*1000)</f>
        <v>2.6937764999675764</v>
      </c>
      <c r="W44" s="29">
        <f>IF(W15=0,0,W15/TrRail_act!W10*1000)</f>
        <v>2.9786818858711572</v>
      </c>
      <c r="X44" s="29">
        <f>IF(X15=0,0,X15/TrRail_act!X10*1000)</f>
        <v>3.2683006659227969</v>
      </c>
      <c r="Y44" s="29">
        <f>IF(Y15=0,0,Y15/TrRail_act!Y10*1000)</f>
        <v>2.7202343077135929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23.475364869281936</v>
      </c>
      <c r="C45" s="87">
        <f>IF(C16=0,0,C16/TrRail_act!C11*1000)</f>
        <v>24.307458929122557</v>
      </c>
      <c r="D45" s="87">
        <f>IF(D16=0,0,D16/TrRail_act!D11*1000)</f>
        <v>26.489616402068414</v>
      </c>
      <c r="E45" s="87">
        <f>IF(E16=0,0,E16/TrRail_act!E11*1000)</f>
        <v>25.524826851591847</v>
      </c>
      <c r="F45" s="87">
        <f>IF(F16=0,0,F16/TrRail_act!F11*1000)</f>
        <v>27.759106328993834</v>
      </c>
      <c r="G45" s="87">
        <f>IF(G16=0,0,G16/TrRail_act!G11*1000)</f>
        <v>26.972513235628792</v>
      </c>
      <c r="H45" s="87">
        <f>IF(H16=0,0,H16/TrRail_act!H11*1000)</f>
        <v>25.929240014610301</v>
      </c>
      <c r="I45" s="87">
        <f>IF(I16=0,0,I16/TrRail_act!I11*1000)</f>
        <v>25.063956684170652</v>
      </c>
      <c r="J45" s="87">
        <f>IF(J16=0,0,J16/TrRail_act!J11*1000)</f>
        <v>20.299801501762879</v>
      </c>
      <c r="K45" s="87">
        <f>IF(K16=0,0,K16/TrRail_act!K11*1000)</f>
        <v>19.94394279128549</v>
      </c>
      <c r="L45" s="87">
        <f>IF(L16=0,0,L16/TrRail_act!L11*1000)</f>
        <v>19.729072377735022</v>
      </c>
      <c r="M45" s="87">
        <f>IF(M16=0,0,M16/TrRail_act!M11*1000)</f>
        <v>22.18387240838501</v>
      </c>
      <c r="N45" s="87">
        <f>IF(N16=0,0,N16/TrRail_act!N11*1000)</f>
        <v>22.54020353276767</v>
      </c>
      <c r="O45" s="87">
        <f>IF(O16=0,0,O16/TrRail_act!O11*1000)</f>
        <v>22.047439017663915</v>
      </c>
      <c r="P45" s="87">
        <f>IF(P16=0,0,P16/TrRail_act!P11*1000)</f>
        <v>21.574878121939623</v>
      </c>
      <c r="Q45" s="87">
        <f>IF(Q16=0,0,Q16/TrRail_act!Q11*1000)</f>
        <v>21.688569990058191</v>
      </c>
      <c r="R45" s="87">
        <f>IF(R16=0,0,R16/TrRail_act!R11*1000)</f>
        <v>21.722672198942401</v>
      </c>
      <c r="S45" s="87">
        <f>IF(S16=0,0,S16/TrRail_act!S11*1000)</f>
        <v>20.486193663793788</v>
      </c>
      <c r="T45" s="87">
        <f>IF(T16=0,0,T16/TrRail_act!T11*1000)</f>
        <v>20.09423139580316</v>
      </c>
      <c r="U45" s="87">
        <f>IF(U16=0,0,U16/TrRail_act!U11*1000)</f>
        <v>19.715960886895633</v>
      </c>
      <c r="V45" s="87">
        <f>IF(V16=0,0,V16/TrRail_act!V11*1000)</f>
        <v>23.71403388998446</v>
      </c>
      <c r="W45" s="87">
        <f>IF(W16=0,0,W16/TrRail_act!W11*1000)</f>
        <v>26.935532358848423</v>
      </c>
      <c r="X45" s="87">
        <f>IF(X16=0,0,X16/TrRail_act!X11*1000)</f>
        <v>26.778276789460783</v>
      </c>
      <c r="Y45" s="87">
        <f>IF(Y16=0,0,Y16/TrRail_act!Y11*1000)</f>
        <v>23.152439228619389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598.99054303162848</v>
      </c>
      <c r="C48" s="62">
        <f>IF(C8=0,0,1000000*C8/TrRail_act!C25/1000)</f>
        <v>559.52107719493563</v>
      </c>
      <c r="D48" s="62">
        <f>IF(D8=0,0,1000000*D8/TrRail_act!D25/1000)</f>
        <v>569.14849824357452</v>
      </c>
      <c r="E48" s="62">
        <f>IF(E8=0,0,1000000*E8/TrRail_act!E25/1000)</f>
        <v>533.93291487572492</v>
      </c>
      <c r="F48" s="62">
        <f>IF(F8=0,0,1000000*F8/TrRail_act!F25/1000)</f>
        <v>495.43813093821313</v>
      </c>
      <c r="G48" s="62">
        <f>IF(G8=0,0,1000000*G8/TrRail_act!G25/1000)</f>
        <v>470.15127220852526</v>
      </c>
      <c r="H48" s="62">
        <f>IF(H8=0,0,1000000*H8/TrRail_act!H25/1000)</f>
        <v>450.38144940047653</v>
      </c>
      <c r="I48" s="62">
        <f>IF(I8=0,0,1000000*I8/TrRail_act!I25/1000)</f>
        <v>434.47000047702329</v>
      </c>
      <c r="J48" s="62">
        <f>IF(J8=0,0,1000000*J8/TrRail_act!J25/1000)</f>
        <v>363.69179003560072</v>
      </c>
      <c r="K48" s="62">
        <f>IF(K8=0,0,1000000*K8/TrRail_act!K25/1000)</f>
        <v>346.88199133979987</v>
      </c>
      <c r="L48" s="62">
        <f>IF(L8=0,0,1000000*L8/TrRail_act!L25/1000)</f>
        <v>361.99486272013462</v>
      </c>
      <c r="M48" s="62">
        <f>IF(M8=0,0,1000000*M8/TrRail_act!M25/1000)</f>
        <v>389.31132489245482</v>
      </c>
      <c r="N48" s="62">
        <f>IF(N8=0,0,1000000*N8/TrRail_act!N25/1000)</f>
        <v>368.34034771869005</v>
      </c>
      <c r="O48" s="62">
        <f>IF(O8=0,0,1000000*O8/TrRail_act!O25/1000)</f>
        <v>392.49988278087415</v>
      </c>
      <c r="P48" s="62">
        <f>IF(P8=0,0,1000000*P8/TrRail_act!P25/1000)</f>
        <v>494.73389920270137</v>
      </c>
      <c r="Q48" s="62">
        <f>IF(Q8=0,0,1000000*Q8/TrRail_act!Q25/1000)</f>
        <v>438.68373569005689</v>
      </c>
      <c r="R48" s="62">
        <f>IF(R8=0,0,1000000*R8/TrRail_act!R25/1000)</f>
        <v>346.36474720227375</v>
      </c>
      <c r="S48" s="62">
        <f>IF(S8=0,0,1000000*S8/TrRail_act!S25/1000)</f>
        <v>238.42085311369402</v>
      </c>
      <c r="T48" s="62">
        <f>IF(T8=0,0,1000000*T8/TrRail_act!T25/1000)</f>
        <v>200.95810366530202</v>
      </c>
      <c r="U48" s="62">
        <f>IF(U8=0,0,1000000*U8/TrRail_act!U25/1000)</f>
        <v>184.34289796124207</v>
      </c>
      <c r="V48" s="62">
        <f>IF(V8=0,0,1000000*V8/TrRail_act!V25/1000)</f>
        <v>141.39911480075742</v>
      </c>
      <c r="W48" s="62">
        <f>IF(W8=0,0,1000000*W8/TrRail_act!W25/1000)</f>
        <v>165.78928572250078</v>
      </c>
      <c r="X48" s="62">
        <f>IF(X8=0,0,1000000*X8/TrRail_act!X25/1000)</f>
        <v>168.13770489834798</v>
      </c>
      <c r="Y48" s="62">
        <f>IF(Y8=0,0,1000000*Y8/TrRail_act!Y25/1000)</f>
        <v>175.59391950085941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525.9231952505653</v>
      </c>
      <c r="C49" s="29">
        <f>IF(C9=0,0,1000000*C9/TrRail_act!C26/1000)</f>
        <v>495.76663485535875</v>
      </c>
      <c r="D49" s="29">
        <f>IF(D9=0,0,1000000*D9/TrRail_act!D26/1000)</f>
        <v>477.25846349295307</v>
      </c>
      <c r="E49" s="29">
        <f>IF(E9=0,0,1000000*E9/TrRail_act!E26/1000)</f>
        <v>456.87157889491982</v>
      </c>
      <c r="F49" s="29">
        <f>IF(F9=0,0,1000000*F9/TrRail_act!F26/1000)</f>
        <v>388.75873848932537</v>
      </c>
      <c r="G49" s="29">
        <f>IF(G9=0,0,1000000*G9/TrRail_act!G26/1000)</f>
        <v>352.20681976042931</v>
      </c>
      <c r="H49" s="29">
        <f>IF(H9=0,0,1000000*H9/TrRail_act!H26/1000)</f>
        <v>344.41866304445546</v>
      </c>
      <c r="I49" s="29">
        <f>IF(I9=0,0,1000000*I9/TrRail_act!I26/1000)</f>
        <v>341.73895817098236</v>
      </c>
      <c r="J49" s="29">
        <f>IF(J9=0,0,1000000*J9/TrRail_act!J26/1000)</f>
        <v>313.79534762047138</v>
      </c>
      <c r="K49" s="29">
        <f>IF(K9=0,0,1000000*K9/TrRail_act!K26/1000)</f>
        <v>314.21617643610233</v>
      </c>
      <c r="L49" s="29">
        <f>IF(L9=0,0,1000000*L9/TrRail_act!L26/1000)</f>
        <v>297.00341614592423</v>
      </c>
      <c r="M49" s="29">
        <f>IF(M9=0,0,1000000*M9/TrRail_act!M26/1000)</f>
        <v>316.82228053177778</v>
      </c>
      <c r="N49" s="29">
        <f>IF(N9=0,0,1000000*N9/TrRail_act!N26/1000)</f>
        <v>295.40462779781694</v>
      </c>
      <c r="O49" s="29">
        <f>IF(O9=0,0,1000000*O9/TrRail_act!O26/1000)</f>
        <v>326.88790159201568</v>
      </c>
      <c r="P49" s="29">
        <f>IF(P9=0,0,1000000*P9/TrRail_act!P26/1000)</f>
        <v>355.12786583412242</v>
      </c>
      <c r="Q49" s="29">
        <f>IF(Q9=0,0,1000000*Q9/TrRail_act!Q26/1000)</f>
        <v>367.82065614394577</v>
      </c>
      <c r="R49" s="29">
        <f>IF(R9=0,0,1000000*R9/TrRail_act!R26/1000)</f>
        <v>314.57686016853734</v>
      </c>
      <c r="S49" s="29">
        <f>IF(S9=0,0,1000000*S9/TrRail_act!S26/1000)</f>
        <v>206.68586594826382</v>
      </c>
      <c r="T49" s="29">
        <f>IF(T9=0,0,1000000*T9/TrRail_act!T26/1000)</f>
        <v>203.49876690418478</v>
      </c>
      <c r="U49" s="29">
        <f>IF(U9=0,0,1000000*U9/TrRail_act!U26/1000)</f>
        <v>192.60096153199495</v>
      </c>
      <c r="V49" s="29">
        <f>IF(V9=0,0,1000000*V9/TrRail_act!V26/1000)</f>
        <v>68.265791777708998</v>
      </c>
      <c r="W49" s="29">
        <f>IF(W9=0,0,1000000*W9/TrRail_act!W26/1000)</f>
        <v>84.977000410982484</v>
      </c>
      <c r="X49" s="29">
        <f>IF(X9=0,0,1000000*X9/TrRail_act!X26/1000)</f>
        <v>75.523971812437281</v>
      </c>
      <c r="Y49" s="29">
        <f>IF(Y9=0,0,1000000*Y9/TrRail_act!Y26/1000)</f>
        <v>134.12987797137828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525.9231952505653</v>
      </c>
      <c r="C51" s="116">
        <f>IF(C11=0,0,1000000*C11/TrRail_act!C28/1000)</f>
        <v>495.76663485535875</v>
      </c>
      <c r="D51" s="116">
        <f>IF(D11=0,0,1000000*D11/TrRail_act!D28/1000)</f>
        <v>477.25846349295307</v>
      </c>
      <c r="E51" s="116">
        <f>IF(E11=0,0,1000000*E11/TrRail_act!E28/1000)</f>
        <v>456.87157889491982</v>
      </c>
      <c r="F51" s="116">
        <f>IF(F11=0,0,1000000*F11/TrRail_act!F28/1000)</f>
        <v>388.75873848932537</v>
      </c>
      <c r="G51" s="116">
        <f>IF(G11=0,0,1000000*G11/TrRail_act!G28/1000)</f>
        <v>352.20681976042931</v>
      </c>
      <c r="H51" s="116">
        <f>IF(H11=0,0,1000000*H11/TrRail_act!H28/1000)</f>
        <v>344.41866304445546</v>
      </c>
      <c r="I51" s="116">
        <f>IF(I11=0,0,1000000*I11/TrRail_act!I28/1000)</f>
        <v>341.73895817098236</v>
      </c>
      <c r="J51" s="116">
        <f>IF(J11=0,0,1000000*J11/TrRail_act!J28/1000)</f>
        <v>314.76149970380601</v>
      </c>
      <c r="K51" s="116">
        <f>IF(K11=0,0,1000000*K11/TrRail_act!K28/1000)</f>
        <v>315.29426748454256</v>
      </c>
      <c r="L51" s="116">
        <f>IF(L11=0,0,1000000*L11/TrRail_act!L28/1000)</f>
        <v>298.07946186010668</v>
      </c>
      <c r="M51" s="116">
        <f>IF(M11=0,0,1000000*M11/TrRail_act!M28/1000)</f>
        <v>317.9948943243952</v>
      </c>
      <c r="N51" s="116">
        <f>IF(N11=0,0,1000000*N11/TrRail_act!N28/1000)</f>
        <v>296.53405193332475</v>
      </c>
      <c r="O51" s="116">
        <f>IF(O11=0,0,1000000*O11/TrRail_act!O28/1000)</f>
        <v>328.13983556011817</v>
      </c>
      <c r="P51" s="116">
        <f>IF(P11=0,0,1000000*P11/TrRail_act!P28/1000)</f>
        <v>356.49466773045316</v>
      </c>
      <c r="Q51" s="116">
        <f>IF(Q11=0,0,1000000*Q11/TrRail_act!Q28/1000)</f>
        <v>369.16627123630917</v>
      </c>
      <c r="R51" s="116">
        <f>IF(R11=0,0,1000000*R11/TrRail_act!R28/1000)</f>
        <v>315.68457436903759</v>
      </c>
      <c r="S51" s="116">
        <f>IF(S11=0,0,1000000*S11/TrRail_act!S28/1000)</f>
        <v>207.15584058867836</v>
      </c>
      <c r="T51" s="116">
        <f>IF(T11=0,0,1000000*T11/TrRail_act!T28/1000)</f>
        <v>203.97955343621462</v>
      </c>
      <c r="U51" s="116">
        <f>IF(U11=0,0,1000000*U11/TrRail_act!U28/1000)</f>
        <v>193.07858138108637</v>
      </c>
      <c r="V51" s="116">
        <f>IF(V11=0,0,1000000*V11/TrRail_act!V28/1000)</f>
        <v>68.443919372243329</v>
      </c>
      <c r="W51" s="116">
        <f>IF(W11=0,0,1000000*W11/TrRail_act!W28/1000)</f>
        <v>85.459357519541243</v>
      </c>
      <c r="X51" s="116">
        <f>IF(X11=0,0,1000000*X11/TrRail_act!X28/1000)</f>
        <v>76.017630522777921</v>
      </c>
      <c r="Y51" s="116">
        <f>IF(Y11=0,0,1000000*Y11/TrRail_act!Y28/1000)</f>
        <v>136.11726673715788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1221.5132763068518</v>
      </c>
      <c r="C52" s="87">
        <f>IF(C12=0,0,1000000*C12/TrRail_act!C29/1000)</f>
        <v>1196.6692864877805</v>
      </c>
      <c r="D52" s="87">
        <f>IF(D12=0,0,1000000*D12/TrRail_act!D29/1000)</f>
        <v>1186.2594632002256</v>
      </c>
      <c r="E52" s="87">
        <f>IF(E12=0,0,1000000*E12/TrRail_act!E29/1000)</f>
        <v>1160.103378767833</v>
      </c>
      <c r="F52" s="87">
        <f>IF(F12=0,0,1000000*F12/TrRail_act!F29/1000)</f>
        <v>1137.411396565398</v>
      </c>
      <c r="G52" s="87">
        <f>IF(G12=0,0,1000000*G12/TrRail_act!G29/1000)</f>
        <v>1125.0363848536708</v>
      </c>
      <c r="H52" s="87">
        <f>IF(H12=0,0,1000000*H12/TrRail_act!H29/1000)</f>
        <v>1099.6965200238485</v>
      </c>
      <c r="I52" s="87">
        <f>IF(I12=0,0,1000000*I12/TrRail_act!I29/1000)</f>
        <v>1082.9436017119128</v>
      </c>
      <c r="J52" s="87">
        <f>IF(J12=0,0,1000000*J12/TrRail_act!J29/1000)</f>
        <v>1060.9167474506996</v>
      </c>
      <c r="K52" s="87">
        <f>IF(K12=0,0,1000000*K12/TrRail_act!K29/1000)</f>
        <v>1046.7583911798604</v>
      </c>
      <c r="L52" s="87">
        <f>IF(L12=0,0,1000000*L12/TrRail_act!L29/1000)</f>
        <v>1023.9364803549528</v>
      </c>
      <c r="M52" s="87">
        <f>IF(M12=0,0,1000000*M12/TrRail_act!M29/1000)</f>
        <v>1000.0078054834121</v>
      </c>
      <c r="N52" s="87">
        <f>IF(N12=0,0,1000000*N12/TrRail_act!N29/1000)</f>
        <v>987.42666763649208</v>
      </c>
      <c r="O52" s="87">
        <f>IF(O12=0,0,1000000*O12/TrRail_act!O29/1000)</f>
        <v>957.36378986852003</v>
      </c>
      <c r="P52" s="87">
        <f>IF(P12=0,0,1000000*P12/TrRail_act!P29/1000)</f>
        <v>929.90593850705966</v>
      </c>
      <c r="Q52" s="87">
        <f>IF(Q12=0,0,1000000*Q12/TrRail_act!Q29/1000)</f>
        <v>896.41507684401313</v>
      </c>
      <c r="R52" s="87">
        <f>IF(R12=0,0,1000000*R12/TrRail_act!R29/1000)</f>
        <v>862.38967683371675</v>
      </c>
      <c r="S52" s="87">
        <f>IF(S12=0,0,1000000*S12/TrRail_act!S29/1000)</f>
        <v>883.62788302198635</v>
      </c>
      <c r="T52" s="87">
        <f>IF(T12=0,0,1000000*T12/TrRail_act!T29/1000)</f>
        <v>881.18913708812522</v>
      </c>
      <c r="U52" s="87">
        <f>IF(U12=0,0,1000000*U12/TrRail_act!U29/1000)</f>
        <v>871.27852144195265</v>
      </c>
      <c r="V52" s="87">
        <f>IF(V12=0,0,1000000*V12/TrRail_act!V29/1000)</f>
        <v>324.850255324741</v>
      </c>
      <c r="W52" s="87">
        <f>IF(W12=0,0,1000000*W12/TrRail_act!W29/1000)</f>
        <v>497.02778891389738</v>
      </c>
      <c r="X52" s="87">
        <f>IF(X12=0,0,1000000*X12/TrRail_act!X29/1000)</f>
        <v>478.13667560006564</v>
      </c>
      <c r="Y52" s="87">
        <f>IF(Y12=0,0,1000000*Y12/TrRail_act!Y29/1000)</f>
        <v>871.03783817681995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696.01181766082402</v>
      </c>
      <c r="C55" s="29">
        <f>IF(C15=0,0,1000000*C15/TrRail_act!C32/1000)</f>
        <v>639.27190813108768</v>
      </c>
      <c r="D55" s="29">
        <f>IF(D15=0,0,1000000*D15/TrRail_act!D32/1000)</f>
        <v>682.92348476823827</v>
      </c>
      <c r="E55" s="29">
        <f>IF(E15=0,0,1000000*E15/TrRail_act!E32/1000)</f>
        <v>641.48246438610329</v>
      </c>
      <c r="F55" s="29">
        <f>IF(F15=0,0,1000000*F15/TrRail_act!F32/1000)</f>
        <v>648.98422792523615</v>
      </c>
      <c r="G55" s="29">
        <f>IF(G15=0,0,1000000*G15/TrRail_act!G32/1000)</f>
        <v>644.2128466225422</v>
      </c>
      <c r="H55" s="29">
        <f>IF(H15=0,0,1000000*H15/TrRail_act!H32/1000)</f>
        <v>603.6947532809113</v>
      </c>
      <c r="I55" s="29">
        <f>IF(I15=0,0,1000000*I15/TrRail_act!I32/1000)</f>
        <v>566.71079036471997</v>
      </c>
      <c r="J55" s="29">
        <f>IF(J15=0,0,1000000*J15/TrRail_act!J32/1000)</f>
        <v>435.33127689901306</v>
      </c>
      <c r="K55" s="29">
        <f>IF(K15=0,0,1000000*K15/TrRail_act!K32/1000)</f>
        <v>394.99442993069346</v>
      </c>
      <c r="L55" s="29">
        <f>IF(L15=0,0,1000000*L15/TrRail_act!L32/1000)</f>
        <v>455.03385988474565</v>
      </c>
      <c r="M55" s="29">
        <f>IF(M15=0,0,1000000*M15/TrRail_act!M32/1000)</f>
        <v>480.77329393473713</v>
      </c>
      <c r="N55" s="29">
        <f>IF(N15=0,0,1000000*N15/TrRail_act!N32/1000)</f>
        <v>464.15506910012687</v>
      </c>
      <c r="O55" s="29">
        <f>IF(O15=0,0,1000000*O15/TrRail_act!O32/1000)</f>
        <v>470.64411724270497</v>
      </c>
      <c r="P55" s="29">
        <f>IF(P15=0,0,1000000*P15/TrRail_act!P32/1000)</f>
        <v>648.73671289108381</v>
      </c>
      <c r="Q55" s="29">
        <f>IF(Q15=0,0,1000000*Q15/TrRail_act!Q32/1000)</f>
        <v>518.58055762608365</v>
      </c>
      <c r="R55" s="29">
        <f>IF(R15=0,0,1000000*R15/TrRail_act!R32/1000)</f>
        <v>381.02200035165714</v>
      </c>
      <c r="S55" s="29">
        <f>IF(S15=0,0,1000000*S15/TrRail_act!S32/1000)</f>
        <v>285.97544801512902</v>
      </c>
      <c r="T55" s="29">
        <f>IF(T15=0,0,1000000*T15/TrRail_act!T32/1000)</f>
        <v>198.03637594174035</v>
      </c>
      <c r="U55" s="29">
        <f>IF(U15=0,0,1000000*U15/TrRail_act!U32/1000)</f>
        <v>174.96863954275187</v>
      </c>
      <c r="V55" s="29">
        <f>IF(V15=0,0,1000000*V15/TrRail_act!V32/1000)</f>
        <v>223.79481754646662</v>
      </c>
      <c r="W55" s="29">
        <f>IF(W15=0,0,1000000*W15/TrRail_act!W32/1000)</f>
        <v>270.32621291758812</v>
      </c>
      <c r="X55" s="29">
        <f>IF(X15=0,0,1000000*X15/TrRail_act!X32/1000)</f>
        <v>273.69413338422339</v>
      </c>
      <c r="Y55" s="29">
        <f>IF(Y15=0,0,1000000*Y15/TrRail_act!Y32/1000)</f>
        <v>223.52444887908032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3247.4494553900686</v>
      </c>
      <c r="C56" s="87">
        <f>IF(C16=0,0,1000000*C16/TrRail_act!C33/1000)</f>
        <v>3226.4489177853384</v>
      </c>
      <c r="D56" s="87">
        <f>IF(D16=0,0,1000000*D16/TrRail_act!D33/1000)</f>
        <v>3218.6312546965169</v>
      </c>
      <c r="E56" s="87">
        <f>IF(E16=0,0,1000000*E16/TrRail_act!E33/1000)</f>
        <v>3196.8511217252685</v>
      </c>
      <c r="F56" s="87">
        <f>IF(F16=0,0,1000000*F16/TrRail_act!F33/1000)</f>
        <v>3174.7360354408056</v>
      </c>
      <c r="G56" s="87">
        <f>IF(G16=0,0,1000000*G16/TrRail_act!G33/1000)</f>
        <v>3155.8769902769354</v>
      </c>
      <c r="H56" s="87">
        <f>IF(H16=0,0,1000000*H16/TrRail_act!H33/1000)</f>
        <v>3126.2762709888802</v>
      </c>
      <c r="I56" s="87">
        <f>IF(I16=0,0,1000000*I16/TrRail_act!I33/1000)</f>
        <v>3075.6240706718263</v>
      </c>
      <c r="J56" s="87">
        <f>IF(J16=0,0,1000000*J16/TrRail_act!J33/1000)</f>
        <v>2550.1027541357462</v>
      </c>
      <c r="K56" s="87">
        <f>IF(K16=0,0,1000000*K16/TrRail_act!K33/1000)</f>
        <v>2359.5687383710347</v>
      </c>
      <c r="L56" s="87">
        <f>IF(L16=0,0,1000000*L16/TrRail_act!L33/1000)</f>
        <v>2934.1041400302665</v>
      </c>
      <c r="M56" s="87">
        <f>IF(M16=0,0,1000000*M16/TrRail_act!M33/1000)</f>
        <v>2896.0361251524118</v>
      </c>
      <c r="N56" s="87">
        <f>IF(N16=0,0,1000000*N16/TrRail_act!N33/1000)</f>
        <v>2858.6661186890242</v>
      </c>
      <c r="O56" s="87">
        <f>IF(O16=0,0,1000000*O16/TrRail_act!O33/1000)</f>
        <v>2839.5009768621876</v>
      </c>
      <c r="P56" s="87">
        <f>IF(P16=0,0,1000000*P16/TrRail_act!P33/1000)</f>
        <v>2794.6271178325069</v>
      </c>
      <c r="Q56" s="87">
        <f>IF(Q16=0,0,1000000*Q16/TrRail_act!Q33/1000)</f>
        <v>2442.7555392681438</v>
      </c>
      <c r="R56" s="87">
        <f>IF(R16=0,0,1000000*R16/TrRail_act!R33/1000)</f>
        <v>2056.6302759204891</v>
      </c>
      <c r="S56" s="87">
        <f>IF(S16=0,0,1000000*S16/TrRail_act!S33/1000)</f>
        <v>1861.1763279198656</v>
      </c>
      <c r="T56" s="87">
        <f>IF(T16=0,0,1000000*T16/TrRail_act!T33/1000)</f>
        <v>1740.9151842014601</v>
      </c>
      <c r="U56" s="87">
        <f>IF(U16=0,0,1000000*U16/TrRail_act!U33/1000)</f>
        <v>1608.5147742049442</v>
      </c>
      <c r="V56" s="87">
        <f>IF(V16=0,0,1000000*V16/TrRail_act!V33/1000)</f>
        <v>2149.5471775045939</v>
      </c>
      <c r="W56" s="87">
        <f>IF(W16=0,0,1000000*W16/TrRail_act!W33/1000)</f>
        <v>2717.4947016731376</v>
      </c>
      <c r="X56" s="87">
        <f>IF(X16=0,0,1000000*X16/TrRail_act!X33/1000)</f>
        <v>2715.5395798342811</v>
      </c>
      <c r="Y56" s="87">
        <f>IF(Y16=0,0,1000000*Y16/TrRail_act!Y33/1000)</f>
        <v>2335.1426060699082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0.50083430877568702</v>
      </c>
      <c r="C60" s="31">
        <f t="shared" ref="C60:V60" si="13">IF(C9=0,0,C9/C$8)</f>
        <v>0.49241151574220388</v>
      </c>
      <c r="D60" s="31">
        <f t="shared" si="13"/>
        <v>0.4638893503323569</v>
      </c>
      <c r="E60" s="31">
        <f t="shared" si="13"/>
        <v>0.49849262586224136</v>
      </c>
      <c r="F60" s="31">
        <f t="shared" si="13"/>
        <v>0.4629986055864041</v>
      </c>
      <c r="G60" s="31">
        <f t="shared" si="13"/>
        <v>0.44655117618108664</v>
      </c>
      <c r="H60" s="31">
        <f t="shared" si="13"/>
        <v>0.4521927093382116</v>
      </c>
      <c r="I60" s="31">
        <f t="shared" si="13"/>
        <v>0.46235119672383124</v>
      </c>
      <c r="J60" s="31">
        <f t="shared" si="13"/>
        <v>0.5085817635187756</v>
      </c>
      <c r="K60" s="31">
        <f t="shared" si="13"/>
        <v>0.53952266845818253</v>
      </c>
      <c r="L60" s="31">
        <f t="shared" si="13"/>
        <v>0.48304022550501396</v>
      </c>
      <c r="M60" s="31">
        <f t="shared" si="13"/>
        <v>0.45398878013335703</v>
      </c>
      <c r="N60" s="31">
        <f t="shared" si="13"/>
        <v>0.45536046799299218</v>
      </c>
      <c r="O60" s="31">
        <f t="shared" si="13"/>
        <v>0.45271994201762883</v>
      </c>
      <c r="P60" s="31">
        <f t="shared" si="13"/>
        <v>0.3765066056740462</v>
      </c>
      <c r="Q60" s="31">
        <f t="shared" si="13"/>
        <v>0.44435312764393337</v>
      </c>
      <c r="R60" s="31">
        <f t="shared" si="13"/>
        <v>0.47372249352152923</v>
      </c>
      <c r="S60" s="31">
        <f t="shared" si="13"/>
        <v>0.51992763183987012</v>
      </c>
      <c r="T60" s="31">
        <f t="shared" si="13"/>
        <v>0.54164310456846376</v>
      </c>
      <c r="U60" s="31">
        <f t="shared" si="13"/>
        <v>0.5554685233208746</v>
      </c>
      <c r="V60" s="31">
        <f t="shared" si="13"/>
        <v>0.25576996946701586</v>
      </c>
      <c r="W60" s="31">
        <f t="shared" ref="W60:Y60" si="14">IF(W9=0,0,W9/W$8)</f>
        <v>0.28908391084389495</v>
      </c>
      <c r="X60" s="31">
        <f t="shared" si="14"/>
        <v>0.23925781400427787</v>
      </c>
      <c r="Y60" s="31">
        <f t="shared" si="14"/>
        <v>0.40955962627420911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0.50083430877568702</v>
      </c>
      <c r="C62" s="124">
        <f t="shared" ref="C62:V62" si="17">IF(C11=0,0,C11/C$8)</f>
        <v>0.49241151574220388</v>
      </c>
      <c r="D62" s="124">
        <f t="shared" si="17"/>
        <v>0.4638893503323569</v>
      </c>
      <c r="E62" s="124">
        <f t="shared" si="17"/>
        <v>0.49849262586224136</v>
      </c>
      <c r="F62" s="124">
        <f t="shared" si="17"/>
        <v>0.4629986055864041</v>
      </c>
      <c r="G62" s="124">
        <f t="shared" si="17"/>
        <v>0.44655117618108664</v>
      </c>
      <c r="H62" s="124">
        <f t="shared" si="17"/>
        <v>0.4521927093382116</v>
      </c>
      <c r="I62" s="124">
        <f t="shared" si="17"/>
        <v>0.46235119672383124</v>
      </c>
      <c r="J62" s="124">
        <f t="shared" si="17"/>
        <v>0.5085817635187756</v>
      </c>
      <c r="K62" s="124">
        <f t="shared" si="17"/>
        <v>0.53952266845818253</v>
      </c>
      <c r="L62" s="124">
        <f t="shared" si="17"/>
        <v>0.48304022550501396</v>
      </c>
      <c r="M62" s="124">
        <f t="shared" si="17"/>
        <v>0.45398878013335703</v>
      </c>
      <c r="N62" s="124">
        <f t="shared" si="17"/>
        <v>0.45536046799299218</v>
      </c>
      <c r="O62" s="124">
        <f t="shared" si="17"/>
        <v>0.45271994201762883</v>
      </c>
      <c r="P62" s="124">
        <f t="shared" si="17"/>
        <v>0.3765066056740462</v>
      </c>
      <c r="Q62" s="124">
        <f t="shared" si="17"/>
        <v>0.44435312764393337</v>
      </c>
      <c r="R62" s="124">
        <f t="shared" si="17"/>
        <v>0.47372249352152923</v>
      </c>
      <c r="S62" s="124">
        <f t="shared" si="17"/>
        <v>0.51992763183987012</v>
      </c>
      <c r="T62" s="124">
        <f t="shared" si="17"/>
        <v>0.54164310456846376</v>
      </c>
      <c r="U62" s="124">
        <f t="shared" si="17"/>
        <v>0.5554685233208746</v>
      </c>
      <c r="V62" s="124">
        <f t="shared" si="17"/>
        <v>0.25576996946701586</v>
      </c>
      <c r="W62" s="124">
        <f t="shared" ref="W62:Y62" si="18">IF(W11=0,0,W11/W$8)</f>
        <v>0.28908391084389495</v>
      </c>
      <c r="X62" s="124">
        <f t="shared" si="18"/>
        <v>0.23925781400427787</v>
      </c>
      <c r="Y62" s="124">
        <f t="shared" si="18"/>
        <v>0.40955962627420911</v>
      </c>
      <c r="DA62" s="176"/>
    </row>
    <row r="63" spans="1:105" ht="11.45" customHeight="1" x14ac:dyDescent="0.25">
      <c r="A63" s="111" t="s">
        <v>92</v>
      </c>
      <c r="B63" s="125">
        <f t="shared" si="10"/>
        <v>0.50083430877568702</v>
      </c>
      <c r="C63" s="125">
        <f t="shared" ref="C63:V63" si="19">IF(C12=0,0,C12/C$8)</f>
        <v>0.49241151574220388</v>
      </c>
      <c r="D63" s="125">
        <f t="shared" si="19"/>
        <v>0.4638893503323569</v>
      </c>
      <c r="E63" s="125">
        <f t="shared" si="19"/>
        <v>0.49849262586224136</v>
      </c>
      <c r="F63" s="125">
        <f t="shared" si="19"/>
        <v>0.4629986055864041</v>
      </c>
      <c r="G63" s="125">
        <f t="shared" si="19"/>
        <v>0.44655117618108664</v>
      </c>
      <c r="H63" s="125">
        <f t="shared" si="19"/>
        <v>0.4521927093382116</v>
      </c>
      <c r="I63" s="125">
        <f t="shared" si="19"/>
        <v>0.46235119672383124</v>
      </c>
      <c r="J63" s="125">
        <f t="shared" si="19"/>
        <v>0.5085817635187756</v>
      </c>
      <c r="K63" s="125">
        <f t="shared" si="19"/>
        <v>0.53952266845818253</v>
      </c>
      <c r="L63" s="125">
        <f t="shared" si="19"/>
        <v>0.48304022550501396</v>
      </c>
      <c r="M63" s="125">
        <f t="shared" si="19"/>
        <v>0.45398878013335703</v>
      </c>
      <c r="N63" s="125">
        <f t="shared" si="19"/>
        <v>0.45536046799299218</v>
      </c>
      <c r="O63" s="125">
        <f t="shared" si="19"/>
        <v>0.45271994201762883</v>
      </c>
      <c r="P63" s="125">
        <f t="shared" si="19"/>
        <v>0.3765066056740462</v>
      </c>
      <c r="Q63" s="125">
        <f t="shared" si="19"/>
        <v>0.44435312764393337</v>
      </c>
      <c r="R63" s="125">
        <f t="shared" si="19"/>
        <v>0.47372249352152923</v>
      </c>
      <c r="S63" s="125">
        <f t="shared" si="19"/>
        <v>0.51992763183987012</v>
      </c>
      <c r="T63" s="125">
        <f t="shared" si="19"/>
        <v>0.54164310456846376</v>
      </c>
      <c r="U63" s="125">
        <f t="shared" si="19"/>
        <v>0.5554685233208746</v>
      </c>
      <c r="V63" s="125">
        <f t="shared" si="19"/>
        <v>0.25576996946701586</v>
      </c>
      <c r="W63" s="125">
        <f t="shared" ref="W63:Y63" si="20">IF(W12=0,0,W12/W$8)</f>
        <v>0.28908391084389495</v>
      </c>
      <c r="X63" s="125">
        <f t="shared" si="20"/>
        <v>0.23925781400427787</v>
      </c>
      <c r="Y63" s="125">
        <f t="shared" si="20"/>
        <v>0.40955962627420911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0.49916569122431287</v>
      </c>
      <c r="C66" s="31">
        <f t="shared" ref="C66:V66" si="25">IF(C15=0,0,C15/C$8)</f>
        <v>0.50758848425779601</v>
      </c>
      <c r="D66" s="31">
        <f t="shared" si="25"/>
        <v>0.53611064966764321</v>
      </c>
      <c r="E66" s="31">
        <f t="shared" si="25"/>
        <v>0.50150737413775859</v>
      </c>
      <c r="F66" s="31">
        <f t="shared" si="25"/>
        <v>0.53700139441359596</v>
      </c>
      <c r="G66" s="31">
        <f t="shared" si="25"/>
        <v>0.55344882381891336</v>
      </c>
      <c r="H66" s="31">
        <f t="shared" si="25"/>
        <v>0.54780729066178846</v>
      </c>
      <c r="I66" s="31">
        <f t="shared" si="25"/>
        <v>0.5376488032761686</v>
      </c>
      <c r="J66" s="31">
        <f t="shared" si="25"/>
        <v>0.4914182364812244</v>
      </c>
      <c r="K66" s="31">
        <f t="shared" si="25"/>
        <v>0.46047733154181758</v>
      </c>
      <c r="L66" s="31">
        <f t="shared" si="25"/>
        <v>0.51695977449498598</v>
      </c>
      <c r="M66" s="31">
        <f t="shared" si="25"/>
        <v>0.54601121986664292</v>
      </c>
      <c r="N66" s="31">
        <f t="shared" si="25"/>
        <v>0.54463953200700777</v>
      </c>
      <c r="O66" s="31">
        <f t="shared" si="25"/>
        <v>0.54728005798237112</v>
      </c>
      <c r="P66" s="31">
        <f t="shared" si="25"/>
        <v>0.62349339432595385</v>
      </c>
      <c r="Q66" s="31">
        <f t="shared" si="25"/>
        <v>0.55564687235606658</v>
      </c>
      <c r="R66" s="31">
        <f t="shared" si="25"/>
        <v>0.52627750647847082</v>
      </c>
      <c r="S66" s="31">
        <f t="shared" si="25"/>
        <v>0.48007236816012988</v>
      </c>
      <c r="T66" s="31">
        <f t="shared" si="25"/>
        <v>0.45835689543153618</v>
      </c>
      <c r="U66" s="31">
        <f t="shared" si="25"/>
        <v>0.4445314766791254</v>
      </c>
      <c r="V66" s="31">
        <f t="shared" si="25"/>
        <v>0.7442300305329842</v>
      </c>
      <c r="W66" s="31">
        <f t="shared" ref="W66:Y66" si="26">IF(W15=0,0,W15/W$8)</f>
        <v>0.71091608915610505</v>
      </c>
      <c r="X66" s="31">
        <f t="shared" si="26"/>
        <v>0.76074218599572208</v>
      </c>
      <c r="Y66" s="31">
        <f t="shared" si="26"/>
        <v>0.59044037372579095</v>
      </c>
      <c r="DA66" s="173"/>
    </row>
    <row r="67" spans="1:105" ht="11.45" customHeight="1" x14ac:dyDescent="0.25">
      <c r="A67" s="83" t="s">
        <v>92</v>
      </c>
      <c r="B67" s="125">
        <f t="shared" si="10"/>
        <v>0.49916569122431287</v>
      </c>
      <c r="C67" s="125">
        <f t="shared" ref="C67:V67" si="27">IF(C16=0,0,C16/C$8)</f>
        <v>0.50758848425779601</v>
      </c>
      <c r="D67" s="125">
        <f t="shared" si="27"/>
        <v>0.53611064966764321</v>
      </c>
      <c r="E67" s="125">
        <f t="shared" si="27"/>
        <v>0.50150737413775859</v>
      </c>
      <c r="F67" s="125">
        <f t="shared" si="27"/>
        <v>0.53700139441359596</v>
      </c>
      <c r="G67" s="125">
        <f t="shared" si="27"/>
        <v>0.55344882381891336</v>
      </c>
      <c r="H67" s="125">
        <f t="shared" si="27"/>
        <v>0.54780729066178846</v>
      </c>
      <c r="I67" s="125">
        <f t="shared" si="27"/>
        <v>0.5376488032761686</v>
      </c>
      <c r="J67" s="125">
        <f t="shared" si="27"/>
        <v>0.4914182364812244</v>
      </c>
      <c r="K67" s="125">
        <f t="shared" si="27"/>
        <v>0.46047733154181758</v>
      </c>
      <c r="L67" s="125">
        <f t="shared" si="27"/>
        <v>0.51695977449498598</v>
      </c>
      <c r="M67" s="125">
        <f t="shared" si="27"/>
        <v>0.54601121986664292</v>
      </c>
      <c r="N67" s="125">
        <f t="shared" si="27"/>
        <v>0.54463953200700777</v>
      </c>
      <c r="O67" s="125">
        <f t="shared" si="27"/>
        <v>0.54728005798237112</v>
      </c>
      <c r="P67" s="125">
        <f t="shared" si="27"/>
        <v>0.62349339432595385</v>
      </c>
      <c r="Q67" s="125">
        <f t="shared" si="27"/>
        <v>0.55564687235606658</v>
      </c>
      <c r="R67" s="125">
        <f t="shared" si="27"/>
        <v>0.52627750647847082</v>
      </c>
      <c r="S67" s="125">
        <f t="shared" si="27"/>
        <v>0.48007236816012988</v>
      </c>
      <c r="T67" s="125">
        <f t="shared" si="27"/>
        <v>0.45835689543153618</v>
      </c>
      <c r="U67" s="125">
        <f t="shared" si="27"/>
        <v>0.4445314766791254</v>
      </c>
      <c r="V67" s="125">
        <f t="shared" si="27"/>
        <v>0.7442300305329842</v>
      </c>
      <c r="W67" s="125">
        <f t="shared" ref="W67:Y67" si="28">IF(W16=0,0,W16/W$8)</f>
        <v>0.71091608915610505</v>
      </c>
      <c r="X67" s="125">
        <f t="shared" si="28"/>
        <v>0.76074218599572208</v>
      </c>
      <c r="Y67" s="125">
        <f t="shared" si="28"/>
        <v>0.59044037372579095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685.94590787799757</v>
      </c>
      <c r="C4" s="11">
        <f t="shared" si="0"/>
        <v>747.63501864711543</v>
      </c>
      <c r="D4" s="11">
        <f t="shared" ref="D4:V4" si="1">SUM(D5:D7)</f>
        <v>805.72768112389804</v>
      </c>
      <c r="E4" s="11">
        <f t="shared" si="1"/>
        <v>714.86169001313738</v>
      </c>
      <c r="F4" s="11">
        <f t="shared" si="1"/>
        <v>543.37879245457952</v>
      </c>
      <c r="G4" s="11">
        <f t="shared" si="1"/>
        <v>645.0063069458156</v>
      </c>
      <c r="H4" s="11">
        <f t="shared" si="1"/>
        <v>680.06095542158141</v>
      </c>
      <c r="I4" s="11">
        <f t="shared" si="1"/>
        <v>779.66706247803472</v>
      </c>
      <c r="J4" s="11">
        <f t="shared" si="1"/>
        <v>826.40401001845896</v>
      </c>
      <c r="K4" s="11">
        <f t="shared" si="1"/>
        <v>726.01514279955347</v>
      </c>
      <c r="L4" s="11">
        <f t="shared" si="1"/>
        <v>703.34565261467594</v>
      </c>
      <c r="M4" s="11">
        <f t="shared" si="1"/>
        <v>690.71606114769406</v>
      </c>
      <c r="N4" s="11">
        <f t="shared" si="1"/>
        <v>631.98038714191807</v>
      </c>
      <c r="O4" s="11">
        <f t="shared" si="1"/>
        <v>690.06939130582668</v>
      </c>
      <c r="P4" s="11">
        <f t="shared" si="1"/>
        <v>666.56991384917046</v>
      </c>
      <c r="Q4" s="11">
        <f t="shared" si="1"/>
        <v>705.81971027896986</v>
      </c>
      <c r="R4" s="11">
        <f t="shared" si="1"/>
        <v>671.97228282346748</v>
      </c>
      <c r="S4" s="11">
        <f t="shared" si="1"/>
        <v>814.25215315656851</v>
      </c>
      <c r="T4" s="11">
        <f t="shared" si="1"/>
        <v>888.53171617375574</v>
      </c>
      <c r="U4" s="11">
        <f t="shared" si="1"/>
        <v>882.6731209809393</v>
      </c>
      <c r="V4" s="11">
        <f t="shared" si="1"/>
        <v>161.44437664573428</v>
      </c>
      <c r="W4" s="11">
        <f t="shared" ref="W4:Y4" si="2">SUM(W5:W7)</f>
        <v>241.92649157649305</v>
      </c>
      <c r="X4" s="11">
        <f t="shared" si="2"/>
        <v>576.21694395295731</v>
      </c>
      <c r="Y4" s="11">
        <f t="shared" si="2"/>
        <v>735.78990292448475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377.82888613720093</v>
      </c>
      <c r="C6" s="84">
        <v>414.15834981038182</v>
      </c>
      <c r="D6" s="84">
        <v>447.35130827031423</v>
      </c>
      <c r="E6" s="84">
        <v>395.32808671874386</v>
      </c>
      <c r="F6" s="84">
        <v>300.17139789719914</v>
      </c>
      <c r="G6" s="84">
        <v>391.08969247488909</v>
      </c>
      <c r="H6" s="84">
        <v>419.46706391151389</v>
      </c>
      <c r="I6" s="84">
        <v>460.49113100162515</v>
      </c>
      <c r="J6" s="84">
        <v>476.54988509278854</v>
      </c>
      <c r="K6" s="84">
        <v>388.7045653122741</v>
      </c>
      <c r="L6" s="84">
        <v>367.2718698591612</v>
      </c>
      <c r="M6" s="84">
        <v>378.64275568718375</v>
      </c>
      <c r="N6" s="84">
        <v>303.04552222996506</v>
      </c>
      <c r="O6" s="84">
        <v>342.85884471600247</v>
      </c>
      <c r="P6" s="84">
        <v>350.65429193699816</v>
      </c>
      <c r="Q6" s="84">
        <v>393.08448351618881</v>
      </c>
      <c r="R6" s="84">
        <v>411.59114151393709</v>
      </c>
      <c r="S6" s="84">
        <v>489.2945155260046</v>
      </c>
      <c r="T6" s="84">
        <v>529.18539785113376</v>
      </c>
      <c r="U6" s="84">
        <v>497.07410687727656</v>
      </c>
      <c r="V6" s="84">
        <v>91.55863208406447</v>
      </c>
      <c r="W6" s="84">
        <v>132.00929708495048</v>
      </c>
      <c r="X6" s="84">
        <v>290.80962211601098</v>
      </c>
      <c r="Y6" s="84">
        <v>363.15241131698633</v>
      </c>
      <c r="DA6" s="171" t="s">
        <v>192</v>
      </c>
    </row>
    <row r="7" spans="1:105" ht="11.45" customHeight="1" x14ac:dyDescent="0.25">
      <c r="A7" s="83" t="s">
        <v>182</v>
      </c>
      <c r="B7" s="84">
        <v>308.1170217407967</v>
      </c>
      <c r="C7" s="84">
        <v>333.47666883673361</v>
      </c>
      <c r="D7" s="84">
        <v>358.3763728535838</v>
      </c>
      <c r="E7" s="84">
        <v>319.53360329439352</v>
      </c>
      <c r="F7" s="84">
        <v>243.20739455738038</v>
      </c>
      <c r="G7" s="84">
        <v>253.91661447092653</v>
      </c>
      <c r="H7" s="84">
        <v>260.59389151006752</v>
      </c>
      <c r="I7" s="84">
        <v>319.17593147640952</v>
      </c>
      <c r="J7" s="84">
        <v>349.85412492567042</v>
      </c>
      <c r="K7" s="84">
        <v>337.31057748727937</v>
      </c>
      <c r="L7" s="84">
        <v>336.07378275551474</v>
      </c>
      <c r="M7" s="84">
        <v>312.07330546051031</v>
      </c>
      <c r="N7" s="84">
        <v>328.93486491195307</v>
      </c>
      <c r="O7" s="84">
        <v>347.21054658982428</v>
      </c>
      <c r="P7" s="84">
        <v>315.91562191217236</v>
      </c>
      <c r="Q7" s="84">
        <v>312.73522676278105</v>
      </c>
      <c r="R7" s="84">
        <v>260.38114130953039</v>
      </c>
      <c r="S7" s="84">
        <v>324.95763763056385</v>
      </c>
      <c r="T7" s="84">
        <v>359.34631832262204</v>
      </c>
      <c r="U7" s="84">
        <v>385.5990141036628</v>
      </c>
      <c r="V7" s="84">
        <v>69.885744561669824</v>
      </c>
      <c r="W7" s="84">
        <v>109.91719449154256</v>
      </c>
      <c r="X7" s="84">
        <v>285.40732183694632</v>
      </c>
      <c r="Y7" s="84">
        <v>372.63749160749848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5.4055824251295936</v>
      </c>
      <c r="C8" s="13">
        <f t="shared" si="3"/>
        <v>5.7091479721178464</v>
      </c>
      <c r="D8" s="13">
        <f t="shared" ref="D8:V8" si="4">SUM(D9:D11)</f>
        <v>5.7038611993677586</v>
      </c>
      <c r="E8" s="13">
        <f t="shared" si="4"/>
        <v>6.1217195002709275</v>
      </c>
      <c r="F8" s="13">
        <f t="shared" si="4"/>
        <v>6.4500064666120744</v>
      </c>
      <c r="G8" s="13">
        <f t="shared" si="4"/>
        <v>5.849008605125924</v>
      </c>
      <c r="H8" s="13">
        <f t="shared" si="4"/>
        <v>5.2620891453520535</v>
      </c>
      <c r="I8" s="13">
        <f t="shared" si="4"/>
        <v>10.398195018973901</v>
      </c>
      <c r="J8" s="13">
        <f t="shared" si="4"/>
        <v>4.5993179606337522</v>
      </c>
      <c r="K8" s="13">
        <f t="shared" si="4"/>
        <v>2.4445285195543831</v>
      </c>
      <c r="L8" s="13">
        <f t="shared" si="4"/>
        <v>2.6428199641777264</v>
      </c>
      <c r="M8" s="13">
        <f t="shared" si="4"/>
        <v>2.6540174543961617</v>
      </c>
      <c r="N8" s="13">
        <f t="shared" si="4"/>
        <v>2.8295709050597448</v>
      </c>
      <c r="O8" s="13">
        <f t="shared" si="4"/>
        <v>2.8351183739079993</v>
      </c>
      <c r="P8" s="13">
        <f t="shared" si="4"/>
        <v>2.5615687865239849</v>
      </c>
      <c r="Q8" s="13">
        <f t="shared" si="4"/>
        <v>2.6394974747369311</v>
      </c>
      <c r="R8" s="13">
        <f t="shared" si="4"/>
        <v>2.5895592287902591</v>
      </c>
      <c r="S8" s="13">
        <f t="shared" si="4"/>
        <v>4.0403835678389717</v>
      </c>
      <c r="T8" s="13">
        <f t="shared" si="4"/>
        <v>4.0087854281805084</v>
      </c>
      <c r="U8" s="13">
        <f t="shared" si="4"/>
        <v>3.5788394152939387</v>
      </c>
      <c r="V8" s="13">
        <f t="shared" si="4"/>
        <v>2.5873366611656587</v>
      </c>
      <c r="W8" s="13">
        <f t="shared" ref="W8:Y8" si="5">SUM(W9:W11)</f>
        <v>3.0470993912330582</v>
      </c>
      <c r="X8" s="13">
        <f t="shared" si="5"/>
        <v>3.7901074423373835</v>
      </c>
      <c r="Y8" s="13">
        <f t="shared" si="5"/>
        <v>3.6633446867831965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1.2609623731471966</v>
      </c>
      <c r="C10" s="102">
        <v>1.1373241637445552</v>
      </c>
      <c r="D10" s="102">
        <v>0.95558032073967514</v>
      </c>
      <c r="E10" s="102">
        <v>0.82675380568508061</v>
      </c>
      <c r="F10" s="102">
        <v>0.73981143726789722</v>
      </c>
      <c r="G10" s="102">
        <v>0.93036029996719494</v>
      </c>
      <c r="H10" s="102">
        <v>1.7778935620069927</v>
      </c>
      <c r="I10" s="102">
        <v>7.739513649804266</v>
      </c>
      <c r="J10" s="102">
        <v>2.6456661312751448</v>
      </c>
      <c r="K10" s="102">
        <v>1.3128545377378682</v>
      </c>
      <c r="L10" s="102">
        <v>1.9730343493341658</v>
      </c>
      <c r="M10" s="102">
        <v>1.9718931013120349</v>
      </c>
      <c r="N10" s="102">
        <v>2.0374844555390994</v>
      </c>
      <c r="O10" s="102">
        <v>2.0147095332404037</v>
      </c>
      <c r="P10" s="102">
        <v>1.8840725504873495</v>
      </c>
      <c r="Q10" s="102">
        <v>2.2802294943657788</v>
      </c>
      <c r="R10" s="102">
        <v>2.2749142379570366</v>
      </c>
      <c r="S10" s="102">
        <v>3.2713611755608532</v>
      </c>
      <c r="T10" s="102">
        <v>3.0643408991967132</v>
      </c>
      <c r="U10" s="102">
        <v>2.5957366069487016</v>
      </c>
      <c r="V10" s="102">
        <v>1.9088504167088478</v>
      </c>
      <c r="W10" s="102">
        <v>2.3755531847568228</v>
      </c>
      <c r="X10" s="102">
        <v>2.7657222685700549</v>
      </c>
      <c r="Y10" s="102">
        <v>2.7812311739504318</v>
      </c>
      <c r="DA10" s="175" t="s">
        <v>196</v>
      </c>
    </row>
    <row r="11" spans="1:105" ht="11.45" customHeight="1" x14ac:dyDescent="0.25">
      <c r="A11" s="85" t="s">
        <v>182</v>
      </c>
      <c r="B11" s="86">
        <v>4.1446200519823968</v>
      </c>
      <c r="C11" s="86">
        <v>4.5718238083732912</v>
      </c>
      <c r="D11" s="86">
        <v>4.7482808786280835</v>
      </c>
      <c r="E11" s="86">
        <v>5.294965694585847</v>
      </c>
      <c r="F11" s="86">
        <v>5.7101950293441774</v>
      </c>
      <c r="G11" s="86">
        <v>4.9186483051587286</v>
      </c>
      <c r="H11" s="86">
        <v>3.4841955833450609</v>
      </c>
      <c r="I11" s="86">
        <v>2.6586813691696354</v>
      </c>
      <c r="J11" s="86">
        <v>1.9536518293586072</v>
      </c>
      <c r="K11" s="86">
        <v>1.1316739818165149</v>
      </c>
      <c r="L11" s="86">
        <v>0.66978561484356081</v>
      </c>
      <c r="M11" s="86">
        <v>0.68212435308412678</v>
      </c>
      <c r="N11" s="86">
        <v>0.79208644952064544</v>
      </c>
      <c r="O11" s="86">
        <v>0.82040884066759534</v>
      </c>
      <c r="P11" s="86">
        <v>0.67749623603663545</v>
      </c>
      <c r="Q11" s="86">
        <v>0.3592679803711521</v>
      </c>
      <c r="R11" s="86">
        <v>0.31464499083322262</v>
      </c>
      <c r="S11" s="86">
        <v>0.76902239227811886</v>
      </c>
      <c r="T11" s="86">
        <v>0.94444452898379505</v>
      </c>
      <c r="U11" s="86">
        <v>0.98310280834523711</v>
      </c>
      <c r="V11" s="86">
        <v>0.67848624445681083</v>
      </c>
      <c r="W11" s="86">
        <v>0.67154620647623553</v>
      </c>
      <c r="X11" s="86">
        <v>1.0243851737673288</v>
      </c>
      <c r="Y11" s="86">
        <v>0.88211351283276473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12.121006915284505</v>
      </c>
      <c r="C13" s="54">
        <f t="shared" si="6"/>
        <v>13.129377890151702</v>
      </c>
      <c r="D13" s="54">
        <f t="shared" ref="D13:V13" si="7">SUM(D14,D18)</f>
        <v>14.146407440479273</v>
      </c>
      <c r="E13" s="54">
        <f t="shared" si="7"/>
        <v>12.663567767338991</v>
      </c>
      <c r="F13" s="54">
        <f t="shared" si="7"/>
        <v>9.6711658697415785</v>
      </c>
      <c r="G13" s="54">
        <f t="shared" si="7"/>
        <v>11.316706036022824</v>
      </c>
      <c r="H13" s="54">
        <f t="shared" si="7"/>
        <v>11.594302370113287</v>
      </c>
      <c r="I13" s="54">
        <f t="shared" si="7"/>
        <v>13.719893981894746</v>
      </c>
      <c r="J13" s="54">
        <f t="shared" si="7"/>
        <v>14.766945269364365</v>
      </c>
      <c r="K13" s="54">
        <f t="shared" si="7"/>
        <v>13.783534722073323</v>
      </c>
      <c r="L13" s="54">
        <f t="shared" si="7"/>
        <v>12.327125146786848</v>
      </c>
      <c r="M13" s="54">
        <f t="shared" si="7"/>
        <v>11.601542406714247</v>
      </c>
      <c r="N13" s="54">
        <f t="shared" si="7"/>
        <v>10.440444739649079</v>
      </c>
      <c r="O13" s="54">
        <f t="shared" si="7"/>
        <v>10.360252241721511</v>
      </c>
      <c r="P13" s="54">
        <f t="shared" si="7"/>
        <v>9.593645814298954</v>
      </c>
      <c r="Q13" s="54">
        <f t="shared" si="7"/>
        <v>9.8344882860686091</v>
      </c>
      <c r="R13" s="54">
        <f t="shared" si="7"/>
        <v>9.0630778142409287</v>
      </c>
      <c r="S13" s="54">
        <f t="shared" si="7"/>
        <v>10.486617382062919</v>
      </c>
      <c r="T13" s="54">
        <f t="shared" si="7"/>
        <v>11.147146454409949</v>
      </c>
      <c r="U13" s="54">
        <f t="shared" si="7"/>
        <v>9.8144894633695348</v>
      </c>
      <c r="V13" s="54">
        <f t="shared" si="7"/>
        <v>2.0232142637901771</v>
      </c>
      <c r="W13" s="54">
        <f t="shared" ref="W13:Y13" si="8">SUM(W14,W18)</f>
        <v>2.9702535165659305</v>
      </c>
      <c r="X13" s="54">
        <f t="shared" si="8"/>
        <v>5.6807872275759799</v>
      </c>
      <c r="Y13" s="54">
        <f t="shared" si="8"/>
        <v>6.9350150093513365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12.008150393500447</v>
      </c>
      <c r="C14" s="11">
        <f t="shared" si="9"/>
        <v>13.021295408147267</v>
      </c>
      <c r="D14" s="11">
        <f t="shared" ref="D14:V14" si="10">SUM(D15:D17)</f>
        <v>14.037145231574748</v>
      </c>
      <c r="E14" s="11">
        <f t="shared" si="10"/>
        <v>12.545527083202202</v>
      </c>
      <c r="F14" s="11">
        <f t="shared" si="10"/>
        <v>9.5444293096872652</v>
      </c>
      <c r="G14" s="11">
        <f t="shared" si="10"/>
        <v>11.189470578066224</v>
      </c>
      <c r="H14" s="11">
        <f t="shared" si="10"/>
        <v>11.437339027013318</v>
      </c>
      <c r="I14" s="11">
        <f t="shared" si="10"/>
        <v>13.243998724568343</v>
      </c>
      <c r="J14" s="11">
        <f t="shared" si="10"/>
        <v>14.579791790697483</v>
      </c>
      <c r="K14" s="11">
        <f t="shared" si="10"/>
        <v>13.691010147285265</v>
      </c>
      <c r="L14" s="11">
        <f t="shared" si="10"/>
        <v>12.205739590567426</v>
      </c>
      <c r="M14" s="11">
        <f t="shared" si="10"/>
        <v>11.487916156832686</v>
      </c>
      <c r="N14" s="11">
        <f t="shared" si="10"/>
        <v>10.334215670670158</v>
      </c>
      <c r="O14" s="11">
        <f t="shared" si="10"/>
        <v>10.254223636673906</v>
      </c>
      <c r="P14" s="11">
        <f t="shared" si="10"/>
        <v>9.506952661683064</v>
      </c>
      <c r="Q14" s="11">
        <f t="shared" si="10"/>
        <v>9.7358069149403992</v>
      </c>
      <c r="R14" s="11">
        <f t="shared" si="10"/>
        <v>8.9743000529851891</v>
      </c>
      <c r="S14" s="11">
        <f t="shared" si="10"/>
        <v>10.345229340169901</v>
      </c>
      <c r="T14" s="11">
        <f t="shared" si="10"/>
        <v>11.01203601402559</v>
      </c>
      <c r="U14" s="11">
        <f t="shared" si="10"/>
        <v>9.7066101281768375</v>
      </c>
      <c r="V14" s="11">
        <f t="shared" si="10"/>
        <v>1.9280338071542906</v>
      </c>
      <c r="W14" s="11">
        <f t="shared" ref="W14:Y14" si="11">SUM(W15:W17)</f>
        <v>2.8500946346957683</v>
      </c>
      <c r="X14" s="11">
        <f t="shared" si="11"/>
        <v>5.5397468818566917</v>
      </c>
      <c r="Y14" s="11">
        <f t="shared" si="11"/>
        <v>6.7968681037466165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7.5947111756058199</v>
      </c>
      <c r="C16" s="84">
        <v>8.2347756177899427</v>
      </c>
      <c r="D16" s="84">
        <v>8.8775448687547289</v>
      </c>
      <c r="E16" s="84">
        <v>7.9345746210626187</v>
      </c>
      <c r="F16" s="84">
        <v>6.0365478899683493</v>
      </c>
      <c r="G16" s="84">
        <v>7.3618889815145003</v>
      </c>
      <c r="H16" s="84">
        <v>7.7477404509531898</v>
      </c>
      <c r="I16" s="84">
        <v>8.9152769793227336</v>
      </c>
      <c r="J16" s="84">
        <v>9.7209265134429543</v>
      </c>
      <c r="K16" s="84">
        <v>8.5393765290584049</v>
      </c>
      <c r="L16" s="84">
        <v>7.1465597642315482</v>
      </c>
      <c r="M16" s="84">
        <v>6.7548794385326625</v>
      </c>
      <c r="N16" s="84">
        <v>5.5206610142780397</v>
      </c>
      <c r="O16" s="84">
        <v>5.2871106635674421</v>
      </c>
      <c r="P16" s="84">
        <v>4.9314452023309601</v>
      </c>
      <c r="Q16" s="84">
        <v>5.3229778800601473</v>
      </c>
      <c r="R16" s="84">
        <v>5.5209978936263528</v>
      </c>
      <c r="S16" s="84">
        <v>6.1942178482222578</v>
      </c>
      <c r="T16" s="84">
        <v>6.7587295169185504</v>
      </c>
      <c r="U16" s="84">
        <v>5.6330592451463799</v>
      </c>
      <c r="V16" s="84">
        <v>1.1070026623821727</v>
      </c>
      <c r="W16" s="84">
        <v>1.5934525265876607</v>
      </c>
      <c r="X16" s="84">
        <v>2.9415049151900243</v>
      </c>
      <c r="Y16" s="84">
        <v>3.5761992522614681</v>
      </c>
      <c r="DA16" s="171" t="s">
        <v>201</v>
      </c>
    </row>
    <row r="17" spans="1:105" ht="11.45" customHeight="1" x14ac:dyDescent="0.25">
      <c r="A17" s="83" t="s">
        <v>182</v>
      </c>
      <c r="B17" s="84">
        <v>4.4134392178946262</v>
      </c>
      <c r="C17" s="84">
        <v>4.7865197903573238</v>
      </c>
      <c r="D17" s="84">
        <v>5.1596003628200195</v>
      </c>
      <c r="E17" s="84">
        <v>4.6109524621395828</v>
      </c>
      <c r="F17" s="84">
        <v>3.5078814197189163</v>
      </c>
      <c r="G17" s="84">
        <v>3.8275815965517244</v>
      </c>
      <c r="H17" s="84">
        <v>3.6895985760601278</v>
      </c>
      <c r="I17" s="84">
        <v>4.3287217452456099</v>
      </c>
      <c r="J17" s="84">
        <v>4.8588652772545284</v>
      </c>
      <c r="K17" s="84">
        <v>5.1516336182268612</v>
      </c>
      <c r="L17" s="84">
        <v>5.0591798263358783</v>
      </c>
      <c r="M17" s="84">
        <v>4.7330367183000224</v>
      </c>
      <c r="N17" s="84">
        <v>4.8135546563921174</v>
      </c>
      <c r="O17" s="84">
        <v>4.9671129731064632</v>
      </c>
      <c r="P17" s="84">
        <v>4.5755074593521039</v>
      </c>
      <c r="Q17" s="84">
        <v>4.4128290348802519</v>
      </c>
      <c r="R17" s="84">
        <v>3.4533021593588367</v>
      </c>
      <c r="S17" s="84">
        <v>4.151011491947644</v>
      </c>
      <c r="T17" s="84">
        <v>4.2533064971070393</v>
      </c>
      <c r="U17" s="84">
        <v>4.0735508830304576</v>
      </c>
      <c r="V17" s="84">
        <v>0.8210311447721178</v>
      </c>
      <c r="W17" s="84">
        <v>1.2566421081081078</v>
      </c>
      <c r="X17" s="84">
        <v>2.598241966666667</v>
      </c>
      <c r="Y17" s="84">
        <v>3.2206688514851485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0.112856521784059</v>
      </c>
      <c r="C18" s="13">
        <f t="shared" si="12"/>
        <v>0.1080824820044347</v>
      </c>
      <c r="D18" s="13">
        <f t="shared" ref="D18:V18" si="13">SUM(D19:D21)</f>
        <v>0.10926220890452473</v>
      </c>
      <c r="E18" s="13">
        <f t="shared" si="13"/>
        <v>0.11804068413678945</v>
      </c>
      <c r="F18" s="13">
        <f t="shared" si="13"/>
        <v>0.12673656005431255</v>
      </c>
      <c r="G18" s="13">
        <f t="shared" si="13"/>
        <v>0.12723545795660038</v>
      </c>
      <c r="H18" s="13">
        <f t="shared" si="13"/>
        <v>0.15696334309996857</v>
      </c>
      <c r="I18" s="13">
        <f t="shared" si="13"/>
        <v>0.47589525732640392</v>
      </c>
      <c r="J18" s="13">
        <f t="shared" si="13"/>
        <v>0.18715347866688253</v>
      </c>
      <c r="K18" s="13">
        <f t="shared" si="13"/>
        <v>9.2524574788057729E-2</v>
      </c>
      <c r="L18" s="13">
        <f t="shared" si="13"/>
        <v>0.12138555621942296</v>
      </c>
      <c r="M18" s="13">
        <f t="shared" si="13"/>
        <v>0.11362624988156</v>
      </c>
      <c r="N18" s="13">
        <f t="shared" si="13"/>
        <v>0.10622906897892094</v>
      </c>
      <c r="O18" s="13">
        <f t="shared" si="13"/>
        <v>0.10602860504760545</v>
      </c>
      <c r="P18" s="13">
        <f t="shared" si="13"/>
        <v>8.6693152615890653E-2</v>
      </c>
      <c r="Q18" s="13">
        <f t="shared" si="13"/>
        <v>9.8681371128210418E-2</v>
      </c>
      <c r="R18" s="13">
        <f t="shared" si="13"/>
        <v>8.8777761255739704E-2</v>
      </c>
      <c r="S18" s="13">
        <f t="shared" si="13"/>
        <v>0.14138804189301779</v>
      </c>
      <c r="T18" s="13">
        <f t="shared" si="13"/>
        <v>0.13511044038435874</v>
      </c>
      <c r="U18" s="13">
        <f t="shared" si="13"/>
        <v>0.10787933519269777</v>
      </c>
      <c r="V18" s="13">
        <f t="shared" si="13"/>
        <v>9.5180456635886312E-2</v>
      </c>
      <c r="W18" s="13">
        <f t="shared" ref="W18:Y18" si="14">SUM(W19:W21)</f>
        <v>0.12015888187016219</v>
      </c>
      <c r="X18" s="13">
        <f t="shared" si="14"/>
        <v>0.14104034571928792</v>
      </c>
      <c r="Y18" s="13">
        <f t="shared" si="14"/>
        <v>0.13814690560471976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5.5457499599206067E-2</v>
      </c>
      <c r="C20" s="102">
        <v>4.766245865195793E-2</v>
      </c>
      <c r="D20" s="102">
        <v>4.2800183216800292E-2</v>
      </c>
      <c r="E20" s="102">
        <v>3.6473652610945824E-2</v>
      </c>
      <c r="F20" s="102">
        <v>3.6106525025597407E-2</v>
      </c>
      <c r="G20" s="102">
        <v>4.4222993670886078E-2</v>
      </c>
      <c r="H20" s="102">
        <v>9.6135216253153119E-2</v>
      </c>
      <c r="I20" s="102">
        <v>0.42869175415218769</v>
      </c>
      <c r="J20" s="102">
        <v>0.15175417978172556</v>
      </c>
      <c r="K20" s="102">
        <v>7.4342803208213848E-2</v>
      </c>
      <c r="L20" s="102">
        <v>0.11080017190569746</v>
      </c>
      <c r="M20" s="102">
        <v>0.10344248037277622</v>
      </c>
      <c r="N20" s="102">
        <v>9.5496820916905437E-2</v>
      </c>
      <c r="O20" s="102">
        <v>9.4759543212486433E-2</v>
      </c>
      <c r="P20" s="102">
        <v>7.8400814061826363E-2</v>
      </c>
      <c r="Q20" s="102">
        <v>9.4312811393743951E-2</v>
      </c>
      <c r="R20" s="102">
        <v>8.5510674407818038E-2</v>
      </c>
      <c r="S20" s="102">
        <v>0.13322327031372744</v>
      </c>
      <c r="T20" s="102">
        <v>0.12519812542372882</v>
      </c>
      <c r="U20" s="102">
        <v>9.8133955882352936E-2</v>
      </c>
      <c r="V20" s="102">
        <v>8.614919047619049E-2</v>
      </c>
      <c r="W20" s="102">
        <v>0.11050091910420475</v>
      </c>
      <c r="X20" s="102">
        <v>0.12773837527593818</v>
      </c>
      <c r="Y20" s="102">
        <v>0.12701899999999999</v>
      </c>
      <c r="DA20" s="175" t="s">
        <v>205</v>
      </c>
    </row>
    <row r="21" spans="1:105" ht="11.45" customHeight="1" x14ac:dyDescent="0.25">
      <c r="A21" s="85" t="s">
        <v>182</v>
      </c>
      <c r="B21" s="86">
        <v>5.7399022184852926E-2</v>
      </c>
      <c r="C21" s="86">
        <v>6.0420023352476766E-2</v>
      </c>
      <c r="D21" s="86">
        <v>6.6462025687724441E-2</v>
      </c>
      <c r="E21" s="86">
        <v>8.1567031525843631E-2</v>
      </c>
      <c r="F21" s="86">
        <v>9.0630035028715153E-2</v>
      </c>
      <c r="G21" s="86">
        <v>8.3012464285714294E-2</v>
      </c>
      <c r="H21" s="86">
        <v>6.0828126846815447E-2</v>
      </c>
      <c r="I21" s="86">
        <v>4.7203503174216205E-2</v>
      </c>
      <c r="J21" s="86">
        <v>3.5399298885156985E-2</v>
      </c>
      <c r="K21" s="86">
        <v>1.8181771579843888E-2</v>
      </c>
      <c r="L21" s="86">
        <v>1.058538431372549E-2</v>
      </c>
      <c r="M21" s="86">
        <v>1.0183769508783793E-2</v>
      </c>
      <c r="N21" s="86">
        <v>1.0732248062015504E-2</v>
      </c>
      <c r="O21" s="86">
        <v>1.1269061835119019E-2</v>
      </c>
      <c r="P21" s="86">
        <v>8.2923385540642908E-3</v>
      </c>
      <c r="Q21" s="86">
        <v>4.3685597344664635E-3</v>
      </c>
      <c r="R21" s="86">
        <v>3.2670868479216636E-3</v>
      </c>
      <c r="S21" s="86">
        <v>8.1647715792903582E-3</v>
      </c>
      <c r="T21" s="86">
        <v>9.9123149606299213E-3</v>
      </c>
      <c r="U21" s="86">
        <v>9.7453793103448282E-3</v>
      </c>
      <c r="V21" s="86">
        <v>9.0312661596958169E-3</v>
      </c>
      <c r="W21" s="86">
        <v>9.6579627659574459E-3</v>
      </c>
      <c r="X21" s="86">
        <v>1.3301970443349756E-2</v>
      </c>
      <c r="Y21" s="86">
        <v>1.1127905604719763E-2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14467</v>
      </c>
      <c r="C23" s="54">
        <f t="shared" si="15"/>
        <v>15659</v>
      </c>
      <c r="D23" s="54">
        <f t="shared" ref="D23:V23" si="16">SUM(D24,D28)</f>
        <v>16862</v>
      </c>
      <c r="E23" s="54">
        <f t="shared" si="16"/>
        <v>15073</v>
      </c>
      <c r="F23" s="54">
        <f t="shared" si="16"/>
        <v>11494</v>
      </c>
      <c r="G23" s="54">
        <f t="shared" si="16"/>
        <v>12963</v>
      </c>
      <c r="H23" s="54">
        <f t="shared" si="16"/>
        <v>13464</v>
      </c>
      <c r="I23" s="54">
        <f t="shared" si="16"/>
        <v>15404</v>
      </c>
      <c r="J23" s="54">
        <f t="shared" si="16"/>
        <v>16512</v>
      </c>
      <c r="K23" s="54">
        <f t="shared" si="16"/>
        <v>15058</v>
      </c>
      <c r="L23" s="54">
        <f t="shared" si="16"/>
        <v>13408</v>
      </c>
      <c r="M23" s="54">
        <f t="shared" si="16"/>
        <v>12841</v>
      </c>
      <c r="N23" s="54">
        <f t="shared" si="16"/>
        <v>11299</v>
      </c>
      <c r="O23" s="54">
        <f t="shared" si="16"/>
        <v>10698</v>
      </c>
      <c r="P23" s="54">
        <f t="shared" si="16"/>
        <v>10226</v>
      </c>
      <c r="Q23" s="54">
        <f t="shared" si="16"/>
        <v>10766</v>
      </c>
      <c r="R23" s="54">
        <f t="shared" si="16"/>
        <v>10583</v>
      </c>
      <c r="S23" s="54">
        <f t="shared" si="16"/>
        <v>12071</v>
      </c>
      <c r="T23" s="54">
        <f t="shared" si="16"/>
        <v>12505</v>
      </c>
      <c r="U23" s="54">
        <f t="shared" si="16"/>
        <v>10658</v>
      </c>
      <c r="V23" s="54">
        <f t="shared" si="16"/>
        <v>2164</v>
      </c>
      <c r="W23" s="54">
        <f t="shared" ref="W23:Y23" si="17">SUM(W24,W28)</f>
        <v>2841</v>
      </c>
      <c r="X23" s="54">
        <f t="shared" si="17"/>
        <v>5302</v>
      </c>
      <c r="Y23" s="54">
        <f t="shared" si="17"/>
        <v>6588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14329</v>
      </c>
      <c r="C24" s="11">
        <f t="shared" si="18"/>
        <v>15538</v>
      </c>
      <c r="D24" s="11">
        <f t="shared" ref="D24:V24" si="19">SUM(D25:D27)</f>
        <v>16750</v>
      </c>
      <c r="E24" s="11">
        <f t="shared" si="19"/>
        <v>14970</v>
      </c>
      <c r="F24" s="11">
        <f t="shared" si="19"/>
        <v>11389</v>
      </c>
      <c r="G24" s="11">
        <f t="shared" si="19"/>
        <v>12843</v>
      </c>
      <c r="H24" s="11">
        <f t="shared" si="19"/>
        <v>13238</v>
      </c>
      <c r="I24" s="11">
        <f t="shared" si="19"/>
        <v>14602</v>
      </c>
      <c r="J24" s="11">
        <f t="shared" si="19"/>
        <v>16230</v>
      </c>
      <c r="K24" s="11">
        <f t="shared" si="19"/>
        <v>14924</v>
      </c>
      <c r="L24" s="11">
        <f t="shared" si="19"/>
        <v>13220</v>
      </c>
      <c r="M24" s="11">
        <f t="shared" si="19"/>
        <v>12644</v>
      </c>
      <c r="N24" s="11">
        <f t="shared" si="19"/>
        <v>11090</v>
      </c>
      <c r="O24" s="11">
        <f t="shared" si="19"/>
        <v>10507</v>
      </c>
      <c r="P24" s="11">
        <f t="shared" si="19"/>
        <v>10071</v>
      </c>
      <c r="Q24" s="11">
        <f t="shared" si="19"/>
        <v>10595</v>
      </c>
      <c r="R24" s="11">
        <f t="shared" si="19"/>
        <v>10425</v>
      </c>
      <c r="S24" s="11">
        <f t="shared" si="19"/>
        <v>11825</v>
      </c>
      <c r="T24" s="11">
        <f t="shared" si="19"/>
        <v>12280</v>
      </c>
      <c r="U24" s="11">
        <f t="shared" si="19"/>
        <v>10465</v>
      </c>
      <c r="V24" s="11">
        <f t="shared" si="19"/>
        <v>1974</v>
      </c>
      <c r="W24" s="11">
        <f t="shared" ref="W24:Y24" si="20">SUM(W25:W27)</f>
        <v>2615</v>
      </c>
      <c r="X24" s="11">
        <f t="shared" si="20"/>
        <v>5060</v>
      </c>
      <c r="Y24" s="11">
        <f t="shared" si="20"/>
        <v>6366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10508</v>
      </c>
      <c r="C26" s="84">
        <v>11394</v>
      </c>
      <c r="D26" s="84">
        <v>12283</v>
      </c>
      <c r="E26" s="84">
        <v>10978</v>
      </c>
      <c r="F26" s="84">
        <v>8352</v>
      </c>
      <c r="G26" s="84">
        <v>9676</v>
      </c>
      <c r="H26" s="84">
        <v>10050</v>
      </c>
      <c r="I26" s="84">
        <v>10883</v>
      </c>
      <c r="J26" s="84">
        <v>11966</v>
      </c>
      <c r="K26" s="84">
        <v>10478</v>
      </c>
      <c r="L26" s="84">
        <v>8763</v>
      </c>
      <c r="M26" s="84">
        <v>8582</v>
      </c>
      <c r="N26" s="84">
        <v>7441</v>
      </c>
      <c r="O26" s="84">
        <v>6784</v>
      </c>
      <c r="P26" s="84">
        <v>6314</v>
      </c>
      <c r="Q26" s="84">
        <v>6736</v>
      </c>
      <c r="R26" s="84">
        <v>6900</v>
      </c>
      <c r="S26" s="84">
        <v>7604</v>
      </c>
      <c r="T26" s="84">
        <v>8250</v>
      </c>
      <c r="U26" s="84">
        <v>6684</v>
      </c>
      <c r="V26" s="84">
        <v>1295</v>
      </c>
      <c r="W26" s="84">
        <v>1745</v>
      </c>
      <c r="X26" s="84">
        <v>3258</v>
      </c>
      <c r="Y26" s="84">
        <v>4004</v>
      </c>
      <c r="DA26" s="171" t="s">
        <v>210</v>
      </c>
    </row>
    <row r="27" spans="1:105" ht="11.45" customHeight="1" x14ac:dyDescent="0.25">
      <c r="A27" s="83" t="s">
        <v>182</v>
      </c>
      <c r="B27" s="84">
        <v>3821</v>
      </c>
      <c r="C27" s="84">
        <v>4144</v>
      </c>
      <c r="D27" s="84">
        <v>4467</v>
      </c>
      <c r="E27" s="84">
        <v>3992</v>
      </c>
      <c r="F27" s="84">
        <v>3037</v>
      </c>
      <c r="G27" s="84">
        <v>3167</v>
      </c>
      <c r="H27" s="84">
        <v>3188</v>
      </c>
      <c r="I27" s="84">
        <v>3719</v>
      </c>
      <c r="J27" s="84">
        <v>4264</v>
      </c>
      <c r="K27" s="84">
        <v>4446</v>
      </c>
      <c r="L27" s="84">
        <v>4457</v>
      </c>
      <c r="M27" s="84">
        <v>4062</v>
      </c>
      <c r="N27" s="84">
        <v>3649</v>
      </c>
      <c r="O27" s="84">
        <v>3723</v>
      </c>
      <c r="P27" s="84">
        <v>3757</v>
      </c>
      <c r="Q27" s="84">
        <v>3859</v>
      </c>
      <c r="R27" s="84">
        <v>3525</v>
      </c>
      <c r="S27" s="84">
        <v>4221</v>
      </c>
      <c r="T27" s="84">
        <v>4030</v>
      </c>
      <c r="U27" s="84">
        <v>3781</v>
      </c>
      <c r="V27" s="84">
        <v>679</v>
      </c>
      <c r="W27" s="84">
        <v>870</v>
      </c>
      <c r="X27" s="84">
        <v>1802</v>
      </c>
      <c r="Y27" s="84">
        <v>2362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138</v>
      </c>
      <c r="C28" s="13">
        <f t="shared" si="21"/>
        <v>121</v>
      </c>
      <c r="D28" s="13">
        <f t="shared" ref="D28:V28" si="22">SUM(D29:D31)</f>
        <v>112</v>
      </c>
      <c r="E28" s="13">
        <f t="shared" si="22"/>
        <v>103</v>
      </c>
      <c r="F28" s="13">
        <f t="shared" si="22"/>
        <v>105</v>
      </c>
      <c r="G28" s="13">
        <f t="shared" si="22"/>
        <v>120</v>
      </c>
      <c r="H28" s="13">
        <f t="shared" si="22"/>
        <v>226</v>
      </c>
      <c r="I28" s="13">
        <f t="shared" si="22"/>
        <v>802</v>
      </c>
      <c r="J28" s="13">
        <f t="shared" si="22"/>
        <v>282</v>
      </c>
      <c r="K28" s="13">
        <f t="shared" si="22"/>
        <v>134</v>
      </c>
      <c r="L28" s="13">
        <f t="shared" si="22"/>
        <v>188</v>
      </c>
      <c r="M28" s="13">
        <f t="shared" si="22"/>
        <v>197</v>
      </c>
      <c r="N28" s="13">
        <f t="shared" si="22"/>
        <v>209</v>
      </c>
      <c r="O28" s="13">
        <f t="shared" si="22"/>
        <v>191</v>
      </c>
      <c r="P28" s="13">
        <f t="shared" si="22"/>
        <v>155</v>
      </c>
      <c r="Q28" s="13">
        <f t="shared" si="22"/>
        <v>171</v>
      </c>
      <c r="R28" s="13">
        <f t="shared" si="22"/>
        <v>158</v>
      </c>
      <c r="S28" s="13">
        <f t="shared" si="22"/>
        <v>246</v>
      </c>
      <c r="T28" s="13">
        <f t="shared" si="22"/>
        <v>225</v>
      </c>
      <c r="U28" s="13">
        <f t="shared" si="22"/>
        <v>193</v>
      </c>
      <c r="V28" s="13">
        <f t="shared" si="22"/>
        <v>190</v>
      </c>
      <c r="W28" s="13">
        <f t="shared" ref="W28:Y28" si="23">SUM(W29:W31)</f>
        <v>226</v>
      </c>
      <c r="X28" s="13">
        <f t="shared" si="23"/>
        <v>242</v>
      </c>
      <c r="Y28" s="13">
        <f t="shared" si="23"/>
        <v>222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119</v>
      </c>
      <c r="C30" s="102">
        <v>101</v>
      </c>
      <c r="D30" s="102">
        <v>90</v>
      </c>
      <c r="E30" s="102">
        <v>76</v>
      </c>
      <c r="F30" s="102">
        <v>75</v>
      </c>
      <c r="G30" s="102">
        <v>93</v>
      </c>
      <c r="H30" s="102">
        <v>202</v>
      </c>
      <c r="I30" s="102">
        <v>779</v>
      </c>
      <c r="J30" s="102">
        <v>259</v>
      </c>
      <c r="K30" s="102">
        <v>117</v>
      </c>
      <c r="L30" s="102">
        <v>169</v>
      </c>
      <c r="M30" s="102">
        <v>176</v>
      </c>
      <c r="N30" s="102">
        <v>189</v>
      </c>
      <c r="O30" s="102">
        <v>172</v>
      </c>
      <c r="P30" s="102">
        <v>139</v>
      </c>
      <c r="Q30" s="102">
        <v>162</v>
      </c>
      <c r="R30" s="102">
        <v>149</v>
      </c>
      <c r="S30" s="102">
        <v>226</v>
      </c>
      <c r="T30" s="102">
        <v>206</v>
      </c>
      <c r="U30" s="102">
        <v>175</v>
      </c>
      <c r="V30" s="102">
        <v>173</v>
      </c>
      <c r="W30" s="102">
        <v>207</v>
      </c>
      <c r="X30" s="102">
        <v>218</v>
      </c>
      <c r="Y30" s="102">
        <v>202</v>
      </c>
      <c r="DA30" s="175" t="s">
        <v>214</v>
      </c>
    </row>
    <row r="31" spans="1:105" ht="11.45" customHeight="1" x14ac:dyDescent="0.25">
      <c r="A31" s="85" t="s">
        <v>182</v>
      </c>
      <c r="B31" s="86">
        <v>19</v>
      </c>
      <c r="C31" s="86">
        <v>20</v>
      </c>
      <c r="D31" s="86">
        <v>22</v>
      </c>
      <c r="E31" s="86">
        <v>27</v>
      </c>
      <c r="F31" s="86">
        <v>30</v>
      </c>
      <c r="G31" s="86">
        <v>27</v>
      </c>
      <c r="H31" s="86">
        <v>24</v>
      </c>
      <c r="I31" s="86">
        <v>23</v>
      </c>
      <c r="J31" s="86">
        <v>23</v>
      </c>
      <c r="K31" s="86">
        <v>17</v>
      </c>
      <c r="L31" s="86">
        <v>19</v>
      </c>
      <c r="M31" s="86">
        <v>21</v>
      </c>
      <c r="N31" s="86">
        <v>20</v>
      </c>
      <c r="O31" s="86">
        <v>19</v>
      </c>
      <c r="P31" s="86">
        <v>16</v>
      </c>
      <c r="Q31" s="86">
        <v>9</v>
      </c>
      <c r="R31" s="86">
        <v>9</v>
      </c>
      <c r="S31" s="86">
        <v>20</v>
      </c>
      <c r="T31" s="86">
        <v>19</v>
      </c>
      <c r="U31" s="86">
        <v>18</v>
      </c>
      <c r="V31" s="86">
        <v>17</v>
      </c>
      <c r="W31" s="86">
        <v>19</v>
      </c>
      <c r="X31" s="86">
        <v>24</v>
      </c>
      <c r="Y31" s="86">
        <v>20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636493</v>
      </c>
      <c r="C34" s="11">
        <f t="shared" si="24"/>
        <v>694908</v>
      </c>
      <c r="D34" s="11">
        <f t="shared" ref="D34:V34" si="25">SUM(D35:D37)</f>
        <v>755317</v>
      </c>
      <c r="E34" s="11">
        <f t="shared" si="25"/>
        <v>679470</v>
      </c>
      <c r="F34" s="11">
        <f t="shared" si="25"/>
        <v>523341</v>
      </c>
      <c r="G34" s="11">
        <f t="shared" si="25"/>
        <v>607910</v>
      </c>
      <c r="H34" s="11">
        <f t="shared" si="25"/>
        <v>664801</v>
      </c>
      <c r="I34" s="11">
        <f t="shared" si="25"/>
        <v>752292</v>
      </c>
      <c r="J34" s="11">
        <f t="shared" si="25"/>
        <v>822526</v>
      </c>
      <c r="K34" s="11">
        <f t="shared" si="25"/>
        <v>705888</v>
      </c>
      <c r="L34" s="11">
        <f t="shared" si="25"/>
        <v>689102</v>
      </c>
      <c r="M34" s="11">
        <f t="shared" si="25"/>
        <v>678578</v>
      </c>
      <c r="N34" s="11">
        <f t="shared" si="25"/>
        <v>582636</v>
      </c>
      <c r="O34" s="11">
        <f t="shared" si="25"/>
        <v>631360</v>
      </c>
      <c r="P34" s="11">
        <f t="shared" si="25"/>
        <v>654522</v>
      </c>
      <c r="Q34" s="11">
        <f t="shared" si="25"/>
        <v>719560</v>
      </c>
      <c r="R34" s="11">
        <f t="shared" si="25"/>
        <v>703902</v>
      </c>
      <c r="S34" s="11">
        <f t="shared" si="25"/>
        <v>842057</v>
      </c>
      <c r="T34" s="11">
        <f t="shared" si="25"/>
        <v>906041</v>
      </c>
      <c r="U34" s="11">
        <f t="shared" si="25"/>
        <v>858068</v>
      </c>
      <c r="V34" s="11">
        <f t="shared" si="25"/>
        <v>144323</v>
      </c>
      <c r="W34" s="11">
        <f t="shared" ref="W34:Y34" si="26">SUM(W35:W37)</f>
        <v>206447</v>
      </c>
      <c r="X34" s="11">
        <f t="shared" si="26"/>
        <v>484567</v>
      </c>
      <c r="Y34" s="11">
        <f t="shared" si="26"/>
        <v>631347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395998</v>
      </c>
      <c r="C36" s="84">
        <v>434619</v>
      </c>
      <c r="D36" s="84">
        <v>475593</v>
      </c>
      <c r="E36" s="84">
        <v>430064</v>
      </c>
      <c r="F36" s="84">
        <v>333510</v>
      </c>
      <c r="G36" s="84">
        <v>418499</v>
      </c>
      <c r="H36" s="84">
        <v>461802</v>
      </c>
      <c r="I36" s="84">
        <v>505070</v>
      </c>
      <c r="J36" s="84">
        <v>545730</v>
      </c>
      <c r="K36" s="84">
        <v>443439</v>
      </c>
      <c r="L36" s="84">
        <v>422178</v>
      </c>
      <c r="M36" s="84">
        <v>440711</v>
      </c>
      <c r="N36" s="84">
        <v>363480</v>
      </c>
      <c r="O36" s="84">
        <v>397350</v>
      </c>
      <c r="P36" s="84">
        <v>415755</v>
      </c>
      <c r="Q36" s="84">
        <v>470012</v>
      </c>
      <c r="R36" s="84">
        <v>478502</v>
      </c>
      <c r="S36" s="84">
        <v>557001</v>
      </c>
      <c r="T36" s="84">
        <v>610431</v>
      </c>
      <c r="U36" s="84">
        <v>552015</v>
      </c>
      <c r="V36" s="84">
        <v>100858</v>
      </c>
      <c r="W36" s="84">
        <v>142357</v>
      </c>
      <c r="X36" s="84">
        <v>316590</v>
      </c>
      <c r="Y36" s="84">
        <v>397653</v>
      </c>
      <c r="DA36" s="171" t="s">
        <v>218</v>
      </c>
    </row>
    <row r="37" spans="1:105" ht="11.45" customHeight="1" x14ac:dyDescent="0.25">
      <c r="A37" s="83" t="s">
        <v>182</v>
      </c>
      <c r="B37" s="84">
        <v>240495</v>
      </c>
      <c r="C37" s="84">
        <v>260289</v>
      </c>
      <c r="D37" s="84">
        <v>279724</v>
      </c>
      <c r="E37" s="84">
        <v>249406</v>
      </c>
      <c r="F37" s="84">
        <v>189831</v>
      </c>
      <c r="G37" s="84">
        <v>189411</v>
      </c>
      <c r="H37" s="84">
        <v>202999</v>
      </c>
      <c r="I37" s="84">
        <v>247222</v>
      </c>
      <c r="J37" s="84">
        <v>276796</v>
      </c>
      <c r="K37" s="84">
        <v>262449</v>
      </c>
      <c r="L37" s="84">
        <v>266924</v>
      </c>
      <c r="M37" s="84">
        <v>237867</v>
      </c>
      <c r="N37" s="84">
        <v>219156</v>
      </c>
      <c r="O37" s="84">
        <v>234010</v>
      </c>
      <c r="P37" s="84">
        <v>238767</v>
      </c>
      <c r="Q37" s="84">
        <v>249548</v>
      </c>
      <c r="R37" s="84">
        <v>225400</v>
      </c>
      <c r="S37" s="84">
        <v>285056</v>
      </c>
      <c r="T37" s="84">
        <v>295610</v>
      </c>
      <c r="U37" s="84">
        <v>306053</v>
      </c>
      <c r="V37" s="84">
        <v>43465</v>
      </c>
      <c r="W37" s="84">
        <v>64090</v>
      </c>
      <c r="X37" s="84">
        <v>167977</v>
      </c>
      <c r="Y37" s="84">
        <v>233694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2914.5972564519984</v>
      </c>
      <c r="C38" s="13">
        <f t="shared" si="27"/>
        <v>2728.4483502057083</v>
      </c>
      <c r="D38" s="13">
        <f t="shared" ref="D38:V38" si="28">SUM(D39:D41)</f>
        <v>2636.7330997409417</v>
      </c>
      <c r="E38" s="13">
        <f t="shared" si="28"/>
        <v>2624.4672829673136</v>
      </c>
      <c r="F38" s="13">
        <f t="shared" si="28"/>
        <v>2646.7352140186758</v>
      </c>
      <c r="G38" s="13">
        <f t="shared" si="28"/>
        <v>2607.6498732617238</v>
      </c>
      <c r="H38" s="13">
        <f t="shared" si="28"/>
        <v>3915.5444488886556</v>
      </c>
      <c r="I38" s="13">
        <f t="shared" si="28"/>
        <v>11779.225200051107</v>
      </c>
      <c r="J38" s="13">
        <f t="shared" si="28"/>
        <v>4582.868579115343</v>
      </c>
      <c r="K38" s="13">
        <f t="shared" si="28"/>
        <v>2451.0694965247776</v>
      </c>
      <c r="L38" s="13">
        <f t="shared" si="28"/>
        <v>3449.3374671497008</v>
      </c>
      <c r="M38" s="13">
        <f t="shared" si="28"/>
        <v>3900.9370962546727</v>
      </c>
      <c r="N38" s="13">
        <f t="shared" si="28"/>
        <v>4331.9446125459235</v>
      </c>
      <c r="O38" s="13">
        <f t="shared" si="28"/>
        <v>4015.8342632133508</v>
      </c>
      <c r="P38" s="13">
        <f t="shared" si="28"/>
        <v>3627.857289407465</v>
      </c>
      <c r="Q38" s="13">
        <f t="shared" si="28"/>
        <v>3589.7521250755008</v>
      </c>
      <c r="R38" s="13">
        <f t="shared" si="28"/>
        <v>3767.320842291198</v>
      </c>
      <c r="S38" s="13">
        <f t="shared" si="28"/>
        <v>5845.8393102249684</v>
      </c>
      <c r="T38" s="13">
        <f t="shared" si="28"/>
        <v>5358.7070817834156</v>
      </c>
      <c r="U38" s="13">
        <f t="shared" si="28"/>
        <v>4805.1821743547043</v>
      </c>
      <c r="V38" s="13">
        <f t="shared" si="28"/>
        <v>3910.7875570626857</v>
      </c>
      <c r="W38" s="13">
        <f t="shared" ref="W38:Y38" si="29">SUM(W39:W41)</f>
        <v>4696.2111501950922</v>
      </c>
      <c r="X38" s="13">
        <f t="shared" si="29"/>
        <v>5352.1635378466553</v>
      </c>
      <c r="Y38" s="13">
        <f t="shared" si="29"/>
        <v>4891.2963395114666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1923.9691240863576</v>
      </c>
      <c r="C40" s="102">
        <v>1651.1007098047701</v>
      </c>
      <c r="D40" s="102">
        <v>1472.8629541568714</v>
      </c>
      <c r="E40" s="102">
        <v>1308.848947475461</v>
      </c>
      <c r="F40" s="102">
        <v>1204.94604197392</v>
      </c>
      <c r="G40" s="102">
        <v>1413.83025814603</v>
      </c>
      <c r="H40" s="102">
        <v>2831.6052641377655</v>
      </c>
      <c r="I40" s="102">
        <v>10739.951290836862</v>
      </c>
      <c r="J40" s="102">
        <v>3549.8668245536783</v>
      </c>
      <c r="K40" s="102">
        <v>1602.7706277534996</v>
      </c>
      <c r="L40" s="102">
        <v>2451.306880119364</v>
      </c>
      <c r="M40" s="102">
        <v>2744.5424119462841</v>
      </c>
      <c r="N40" s="102">
        <v>3150.3034920481991</v>
      </c>
      <c r="O40" s="102">
        <v>2882.2051326287578</v>
      </c>
      <c r="P40" s="102">
        <v>2564.4683623343672</v>
      </c>
      <c r="Q40" s="102">
        <v>2993.3722624759621</v>
      </c>
      <c r="R40" s="102">
        <v>3106.3399910504349</v>
      </c>
      <c r="S40" s="102">
        <v>4379.3206918273963</v>
      </c>
      <c r="T40" s="102">
        <v>3960.4450064395255</v>
      </c>
      <c r="U40" s="102">
        <v>3447.9547580855919</v>
      </c>
      <c r="V40" s="102">
        <v>3051.8075578065514</v>
      </c>
      <c r="W40" s="102">
        <v>3678.057921382248</v>
      </c>
      <c r="X40" s="102">
        <v>3900.1233603707437</v>
      </c>
      <c r="Y40" s="102">
        <v>3629.9475231552256</v>
      </c>
      <c r="DA40" s="175" t="s">
        <v>222</v>
      </c>
    </row>
    <row r="41" spans="1:105" ht="11.45" customHeight="1" x14ac:dyDescent="0.25">
      <c r="A41" s="85" t="s">
        <v>182</v>
      </c>
      <c r="B41" s="86">
        <v>990.62813236564079</v>
      </c>
      <c r="C41" s="86">
        <v>1077.347640400938</v>
      </c>
      <c r="D41" s="86">
        <v>1163.8701455840701</v>
      </c>
      <c r="E41" s="86">
        <v>1315.6183354918523</v>
      </c>
      <c r="F41" s="86">
        <v>1441.789172044756</v>
      </c>
      <c r="G41" s="86">
        <v>1193.8196151156938</v>
      </c>
      <c r="H41" s="86">
        <v>1083.93918475089</v>
      </c>
      <c r="I41" s="86">
        <v>1039.2739092142449</v>
      </c>
      <c r="J41" s="86">
        <v>1033.0017545616649</v>
      </c>
      <c r="K41" s="86">
        <v>848.29886877127819</v>
      </c>
      <c r="L41" s="86">
        <v>998.03058703033673</v>
      </c>
      <c r="M41" s="86">
        <v>1156.3946843083888</v>
      </c>
      <c r="N41" s="86">
        <v>1181.6411204977246</v>
      </c>
      <c r="O41" s="86">
        <v>1133.6291305845928</v>
      </c>
      <c r="P41" s="86">
        <v>1063.3889270730981</v>
      </c>
      <c r="Q41" s="86">
        <v>596.37986259953846</v>
      </c>
      <c r="R41" s="86">
        <v>660.98085124076317</v>
      </c>
      <c r="S41" s="86">
        <v>1466.5186183975725</v>
      </c>
      <c r="T41" s="86">
        <v>1398.26207534389</v>
      </c>
      <c r="U41" s="86">
        <v>1357.2274162691122</v>
      </c>
      <c r="V41" s="86">
        <v>858.97999925613431</v>
      </c>
      <c r="W41" s="86">
        <v>1018.153228812844</v>
      </c>
      <c r="X41" s="86">
        <v>1452.0401774759116</v>
      </c>
      <c r="Y41" s="86">
        <v>1261.3488163562411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10.370108265167834</v>
      </c>
      <c r="C43" s="54">
        <f t="shared" si="30"/>
        <v>11.227878763453518</v>
      </c>
      <c r="D43" s="54">
        <f t="shared" ref="D43:V43" si="31">SUM(D44,D48)</f>
        <v>12.090475873197031</v>
      </c>
      <c r="E43" s="54">
        <f t="shared" si="31"/>
        <v>11.067167439918244</v>
      </c>
      <c r="F43" s="54">
        <f t="shared" si="31"/>
        <v>10.04120890476335</v>
      </c>
      <c r="G43" s="54">
        <f t="shared" si="31"/>
        <v>9.5221894648172416</v>
      </c>
      <c r="H43" s="54">
        <f t="shared" si="31"/>
        <v>9.7048196319563065</v>
      </c>
      <c r="I43" s="54">
        <f t="shared" si="31"/>
        <v>11.38877201029714</v>
      </c>
      <c r="J43" s="54">
        <f t="shared" si="31"/>
        <v>12.528160599923341</v>
      </c>
      <c r="K43" s="54">
        <f t="shared" si="31"/>
        <v>12.132438895727756</v>
      </c>
      <c r="L43" s="54">
        <f t="shared" si="31"/>
        <v>11.426526400427305</v>
      </c>
      <c r="M43" s="54">
        <f t="shared" si="31"/>
        <v>10.462637104244582</v>
      </c>
      <c r="N43" s="54">
        <f t="shared" si="31"/>
        <v>9.7339302796552882</v>
      </c>
      <c r="O43" s="54">
        <f t="shared" si="31"/>
        <v>9.2985663075436911</v>
      </c>
      <c r="P43" s="54">
        <f t="shared" si="31"/>
        <v>8.5469934618681105</v>
      </c>
      <c r="Q43" s="54">
        <f t="shared" si="31"/>
        <v>8.6164288251498071</v>
      </c>
      <c r="R43" s="54">
        <f t="shared" si="31"/>
        <v>8.4441602549261106</v>
      </c>
      <c r="S43" s="54">
        <f t="shared" si="31"/>
        <v>9.2540810544428123</v>
      </c>
      <c r="T43" s="54">
        <f t="shared" si="31"/>
        <v>9.6408223336557448</v>
      </c>
      <c r="U43" s="54">
        <f t="shared" si="31"/>
        <v>8.7951386724906619</v>
      </c>
      <c r="V43" s="54">
        <f t="shared" si="31"/>
        <v>8.277554561038615</v>
      </c>
      <c r="W43" s="54">
        <f t="shared" ref="W43:Y43" si="32">SUM(W44,W48)</f>
        <v>7.7624138567667389</v>
      </c>
      <c r="X43" s="54">
        <f t="shared" si="32"/>
        <v>7.2504388639922555</v>
      </c>
      <c r="Y43" s="54">
        <f t="shared" si="32"/>
        <v>6.7319334507338642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10.244158398041497</v>
      </c>
      <c r="C44" s="11">
        <f t="shared" si="33"/>
        <v>11.108618760756983</v>
      </c>
      <c r="D44" s="11">
        <f t="shared" ref="D44:V44" si="34">SUM(D45:D47)</f>
        <v>11.975116081057052</v>
      </c>
      <c r="E44" s="11">
        <f t="shared" si="34"/>
        <v>10.950700241252903</v>
      </c>
      <c r="F44" s="11">
        <f t="shared" si="34"/>
        <v>9.9262844014487541</v>
      </c>
      <c r="G44" s="11">
        <f t="shared" si="34"/>
        <v>9.3960351618904934</v>
      </c>
      <c r="H44" s="11">
        <f t="shared" si="34"/>
        <v>9.5001082647889579</v>
      </c>
      <c r="I44" s="11">
        <f t="shared" si="34"/>
        <v>10.734175305473478</v>
      </c>
      <c r="J44" s="11">
        <f t="shared" si="34"/>
        <v>11.886158881812314</v>
      </c>
      <c r="K44" s="11">
        <f t="shared" si="34"/>
        <v>11.503032164329362</v>
      </c>
      <c r="L44" s="11">
        <f t="shared" si="34"/>
        <v>10.809714655741544</v>
      </c>
      <c r="M44" s="11">
        <f t="shared" si="34"/>
        <v>9.8558153042546479</v>
      </c>
      <c r="N44" s="11">
        <f t="shared" si="34"/>
        <v>9.1381407513182289</v>
      </c>
      <c r="O44" s="11">
        <f t="shared" si="34"/>
        <v>8.7143215917114478</v>
      </c>
      <c r="P44" s="11">
        <f t="shared" si="34"/>
        <v>7.9743075391990317</v>
      </c>
      <c r="Q44" s="11">
        <f t="shared" si="34"/>
        <v>8.0552941206632713</v>
      </c>
      <c r="R44" s="11">
        <f t="shared" si="34"/>
        <v>7.8956205371522081</v>
      </c>
      <c r="S44" s="11">
        <f t="shared" si="34"/>
        <v>8.7099340059966526</v>
      </c>
      <c r="T44" s="11">
        <f t="shared" si="34"/>
        <v>9.1041019749285077</v>
      </c>
      <c r="U44" s="11">
        <f t="shared" si="34"/>
        <v>8.2672902814378606</v>
      </c>
      <c r="V44" s="11">
        <f t="shared" si="34"/>
        <v>7.7550823615357842</v>
      </c>
      <c r="W44" s="11">
        <f t="shared" ref="W44:Y44" si="35">SUM(W45:W47)</f>
        <v>7.2428744416337105</v>
      </c>
      <c r="X44" s="11">
        <f t="shared" si="35"/>
        <v>6.730666521731635</v>
      </c>
      <c r="Y44" s="11">
        <f t="shared" si="35"/>
        <v>6.2184586018295605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6.5416390181965358</v>
      </c>
      <c r="C46" s="84">
        <v>7.0931148847879895</v>
      </c>
      <c r="D46" s="84">
        <v>7.6466277089640302</v>
      </c>
      <c r="E46" s="84">
        <v>6.9924638071443761</v>
      </c>
      <c r="F46" s="84">
        <v>6.3382999053247229</v>
      </c>
      <c r="G46" s="84">
        <v>6.1783026037509581</v>
      </c>
      <c r="H46" s="84">
        <v>6.4079647148374548</v>
      </c>
      <c r="I46" s="84">
        <v>7.1164710253178356</v>
      </c>
      <c r="J46" s="84">
        <v>7.7861588818123133</v>
      </c>
      <c r="K46" s="84">
        <v>7.1865273099604297</v>
      </c>
      <c r="L46" s="84">
        <v>6.5323634081407755</v>
      </c>
      <c r="M46" s="84">
        <v>5.9006059566402378</v>
      </c>
      <c r="N46" s="84">
        <v>5.3251835935334846</v>
      </c>
      <c r="O46" s="84">
        <v>4.7994950932887352</v>
      </c>
      <c r="P46" s="84">
        <v>4.2248065411950391</v>
      </c>
      <c r="Q46" s="84">
        <v>4.3375677237461225</v>
      </c>
      <c r="R46" s="84">
        <v>4.5481460782195562</v>
      </c>
      <c r="S46" s="84">
        <v>4.9545959277048377</v>
      </c>
      <c r="T46" s="84">
        <v>5.3863897978067357</v>
      </c>
      <c r="U46" s="84">
        <v>4.7402380426318906</v>
      </c>
      <c r="V46" s="84">
        <v>4.4131560917220627</v>
      </c>
      <c r="W46" s="84">
        <v>4.0860741408122365</v>
      </c>
      <c r="X46" s="84">
        <v>3.758992189902409</v>
      </c>
      <c r="Y46" s="84">
        <v>3.4319102389925824</v>
      </c>
      <c r="DA46" s="171" t="s">
        <v>227</v>
      </c>
    </row>
    <row r="47" spans="1:105" ht="11.45" customHeight="1" x14ac:dyDescent="0.25">
      <c r="A47" s="83" t="s">
        <v>182</v>
      </c>
      <c r="B47" s="84">
        <v>3.7025193798449614</v>
      </c>
      <c r="C47" s="84">
        <v>4.0155038759689923</v>
      </c>
      <c r="D47" s="84">
        <v>4.3284883720930232</v>
      </c>
      <c r="E47" s="84">
        <v>3.9582364341085272</v>
      </c>
      <c r="F47" s="84">
        <v>3.5879844961240313</v>
      </c>
      <c r="G47" s="84">
        <v>3.2177325581395353</v>
      </c>
      <c r="H47" s="84">
        <v>3.0921435499515035</v>
      </c>
      <c r="I47" s="84">
        <v>3.617704280155642</v>
      </c>
      <c r="J47" s="84">
        <v>4.0999999999999996</v>
      </c>
      <c r="K47" s="84">
        <v>4.3165048543689322</v>
      </c>
      <c r="L47" s="84">
        <v>4.2773512476007678</v>
      </c>
      <c r="M47" s="84">
        <v>3.955209347614411</v>
      </c>
      <c r="N47" s="84">
        <v>3.8129571577847439</v>
      </c>
      <c r="O47" s="84">
        <v>3.914826498422713</v>
      </c>
      <c r="P47" s="84">
        <v>3.7495009980039922</v>
      </c>
      <c r="Q47" s="84">
        <v>3.7177263969171483</v>
      </c>
      <c r="R47" s="84">
        <v>3.3474744589326519</v>
      </c>
      <c r="S47" s="84">
        <v>3.7553380782918149</v>
      </c>
      <c r="T47" s="84">
        <v>3.7177121771217712</v>
      </c>
      <c r="U47" s="84">
        <v>3.52705223880597</v>
      </c>
      <c r="V47" s="84">
        <v>3.341926269813722</v>
      </c>
      <c r="W47" s="84">
        <v>3.156800300821474</v>
      </c>
      <c r="X47" s="84">
        <v>2.971674331829226</v>
      </c>
      <c r="Y47" s="84">
        <v>2.786548362836978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0.12594986712633771</v>
      </c>
      <c r="C48" s="13">
        <f t="shared" si="36"/>
        <v>0.11926000269653521</v>
      </c>
      <c r="D48" s="13">
        <f t="shared" ref="D48:V48" si="37">SUM(D49:D51)</f>
        <v>0.11535979213997791</v>
      </c>
      <c r="E48" s="13">
        <f t="shared" si="37"/>
        <v>0.11646719866534108</v>
      </c>
      <c r="F48" s="13">
        <f t="shared" si="37"/>
        <v>0.11492450331459619</v>
      </c>
      <c r="G48" s="13">
        <f t="shared" si="37"/>
        <v>0.12615430292674876</v>
      </c>
      <c r="H48" s="13">
        <f t="shared" si="37"/>
        <v>0.20471136716734917</v>
      </c>
      <c r="I48" s="13">
        <f t="shared" si="37"/>
        <v>0.65459670482366172</v>
      </c>
      <c r="J48" s="13">
        <f t="shared" si="37"/>
        <v>0.64200171811102791</v>
      </c>
      <c r="K48" s="13">
        <f t="shared" si="37"/>
        <v>0.6294067313983942</v>
      </c>
      <c r="L48" s="13">
        <f t="shared" si="37"/>
        <v>0.61681174468576039</v>
      </c>
      <c r="M48" s="13">
        <f t="shared" si="37"/>
        <v>0.60682179998993335</v>
      </c>
      <c r="N48" s="13">
        <f t="shared" si="37"/>
        <v>0.59578952833705934</v>
      </c>
      <c r="O48" s="13">
        <f t="shared" si="37"/>
        <v>0.58424471583224236</v>
      </c>
      <c r="P48" s="13">
        <f t="shared" si="37"/>
        <v>0.57268592266907892</v>
      </c>
      <c r="Q48" s="13">
        <f t="shared" si="37"/>
        <v>0.5611347044865358</v>
      </c>
      <c r="R48" s="13">
        <f t="shared" si="37"/>
        <v>0.54853971777390198</v>
      </c>
      <c r="S48" s="13">
        <f t="shared" si="37"/>
        <v>0.54414704844616046</v>
      </c>
      <c r="T48" s="13">
        <f t="shared" si="37"/>
        <v>0.53672035872723733</v>
      </c>
      <c r="U48" s="13">
        <f t="shared" si="37"/>
        <v>0.52784839105280201</v>
      </c>
      <c r="V48" s="13">
        <f t="shared" si="37"/>
        <v>0.52247219950283041</v>
      </c>
      <c r="W48" s="13">
        <f t="shared" ref="W48:Y48" si="38">SUM(W49:W51)</f>
        <v>0.51953941513302837</v>
      </c>
      <c r="X48" s="13">
        <f t="shared" si="38"/>
        <v>0.5197723422606203</v>
      </c>
      <c r="Y48" s="13">
        <f t="shared" si="38"/>
        <v>0.51347484890430339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8.891283008930069E-2</v>
      </c>
      <c r="C50" s="102">
        <v>8.027364792070675E-2</v>
      </c>
      <c r="D50" s="102">
        <v>7.2474801886566603E-2</v>
      </c>
      <c r="E50" s="102">
        <v>6.3835619717972664E-2</v>
      </c>
      <c r="F50" s="102">
        <v>5.6444971150853507E-2</v>
      </c>
      <c r="G50" s="102">
        <v>7.1378474466709765E-2</v>
      </c>
      <c r="H50" s="102">
        <v>0.1536392424110139</v>
      </c>
      <c r="I50" s="102">
        <v>0.60722828377103011</v>
      </c>
      <c r="J50" s="102">
        <v>0.59833700076210006</v>
      </c>
      <c r="K50" s="102">
        <v>0.58944571775317001</v>
      </c>
      <c r="L50" s="102">
        <v>0.58055443474423996</v>
      </c>
      <c r="M50" s="102">
        <v>0.57426819375211657</v>
      </c>
      <c r="N50" s="102">
        <v>0.56693962580294621</v>
      </c>
      <c r="O50" s="102">
        <v>0.559098517001833</v>
      </c>
      <c r="P50" s="102">
        <v>0.55124342754237321</v>
      </c>
      <c r="Q50" s="102">
        <v>0.54339591306353385</v>
      </c>
      <c r="R50" s="102">
        <v>0.53450463005460369</v>
      </c>
      <c r="S50" s="102">
        <v>0.52819808512877608</v>
      </c>
      <c r="T50" s="102">
        <v>0.52061866381198307</v>
      </c>
      <c r="U50" s="102">
        <v>0.51243743214869242</v>
      </c>
      <c r="V50" s="102">
        <v>0.50799179064422739</v>
      </c>
      <c r="W50" s="102">
        <v>0.50354614913976237</v>
      </c>
      <c r="X50" s="102">
        <v>0.49910050763529729</v>
      </c>
      <c r="Y50" s="102">
        <v>0.49465486613083226</v>
      </c>
      <c r="DA50" s="175" t="s">
        <v>231</v>
      </c>
    </row>
    <row r="51" spans="1:105" ht="11.45" customHeight="1" x14ac:dyDescent="0.25">
      <c r="A51" s="85" t="s">
        <v>182</v>
      </c>
      <c r="B51" s="86">
        <v>3.7037037037037035E-2</v>
      </c>
      <c r="C51" s="86">
        <v>3.8986354775828458E-2</v>
      </c>
      <c r="D51" s="86">
        <v>4.2884990253411304E-2</v>
      </c>
      <c r="E51" s="86">
        <v>5.2631578947368418E-2</v>
      </c>
      <c r="F51" s="86">
        <v>5.8479532163742687E-2</v>
      </c>
      <c r="G51" s="86">
        <v>5.4775828460038985E-2</v>
      </c>
      <c r="H51" s="86">
        <v>5.1072124756335283E-2</v>
      </c>
      <c r="I51" s="86">
        <v>4.736842105263158E-2</v>
      </c>
      <c r="J51" s="86">
        <v>4.3664717348927878E-2</v>
      </c>
      <c r="K51" s="86">
        <v>3.9961013645224176E-2</v>
      </c>
      <c r="L51" s="86">
        <v>3.6257309941520474E-2</v>
      </c>
      <c r="M51" s="86">
        <v>3.2553606237816772E-2</v>
      </c>
      <c r="N51" s="86">
        <v>2.884990253411307E-2</v>
      </c>
      <c r="O51" s="86">
        <v>2.5146198830409368E-2</v>
      </c>
      <c r="P51" s="86">
        <v>2.1442495126705666E-2</v>
      </c>
      <c r="Q51" s="86">
        <v>1.7738791423001964E-2</v>
      </c>
      <c r="R51" s="86">
        <v>1.403508771929826E-2</v>
      </c>
      <c r="S51" s="86">
        <v>1.5948963317384369E-2</v>
      </c>
      <c r="T51" s="86">
        <v>1.6101694915254237E-2</v>
      </c>
      <c r="U51" s="86">
        <v>1.5410958904109588E-2</v>
      </c>
      <c r="V51" s="86">
        <v>1.4480408858603067E-2</v>
      </c>
      <c r="W51" s="86">
        <v>1.5993265993265993E-2</v>
      </c>
      <c r="X51" s="86">
        <v>2.0671834625322998E-2</v>
      </c>
      <c r="Y51" s="86">
        <v>1.8819982773471147E-2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2.1133556999409091</v>
      </c>
      <c r="C53" s="54">
        <f t="shared" si="39"/>
        <v>1.2380805512512767</v>
      </c>
      <c r="D53" s="54">
        <f t="shared" ref="D53:V53" si="40">SUM(D54,D58)</f>
        <v>1.2429071627091075</v>
      </c>
      <c r="E53" s="54">
        <f t="shared" si="40"/>
        <v>1.1130167465957115E-2</v>
      </c>
      <c r="F53" s="54">
        <f t="shared" si="40"/>
        <v>7.231531988374269E-3</v>
      </c>
      <c r="G53" s="54">
        <f t="shared" si="40"/>
        <v>0.11885415824435873</v>
      </c>
      <c r="H53" s="54">
        <f t="shared" si="40"/>
        <v>0.55946501835810558</v>
      </c>
      <c r="I53" s="54">
        <f t="shared" si="40"/>
        <v>2.1026724754616759</v>
      </c>
      <c r="J53" s="54">
        <f t="shared" si="40"/>
        <v>1.5503246710842085</v>
      </c>
      <c r="K53" s="54">
        <f t="shared" si="40"/>
        <v>0.35035498356793227</v>
      </c>
      <c r="L53" s="54">
        <f t="shared" si="40"/>
        <v>9.4696522430835373E-2</v>
      </c>
      <c r="M53" s="54">
        <f t="shared" si="40"/>
        <v>2.4369747894705867E-3</v>
      </c>
      <c r="N53" s="54">
        <f t="shared" si="40"/>
        <v>4.0444041624191053E-2</v>
      </c>
      <c r="O53" s="54">
        <f t="shared" si="40"/>
        <v>0.29872286153195649</v>
      </c>
      <c r="P53" s="54">
        <f t="shared" si="40"/>
        <v>1.9373965495507087E-2</v>
      </c>
      <c r="Q53" s="54">
        <f t="shared" si="40"/>
        <v>0.45160497233581942</v>
      </c>
      <c r="R53" s="54">
        <f t="shared" si="40"/>
        <v>0.47093978580185242</v>
      </c>
      <c r="S53" s="54">
        <f t="shared" si="40"/>
        <v>1.2065170976458413</v>
      </c>
      <c r="T53" s="54">
        <f t="shared" si="40"/>
        <v>0.76633866249501459</v>
      </c>
      <c r="U53" s="54">
        <f t="shared" si="40"/>
        <v>6.0880914785535131E-4</v>
      </c>
      <c r="V53" s="54">
        <f t="shared" si="40"/>
        <v>3.6899511349347894E-4</v>
      </c>
      <c r="W53" s="54">
        <f t="shared" ref="W53:Y53" si="41">SUM(W54,W58)</f>
        <v>2.8124022936629259E-3</v>
      </c>
      <c r="X53" s="54">
        <f t="shared" si="41"/>
        <v>5.9781137910570048E-3</v>
      </c>
      <c r="Y53" s="54">
        <f t="shared" si="41"/>
        <v>0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2.0861252705083952</v>
      </c>
      <c r="C54" s="11">
        <f t="shared" si="42"/>
        <v>1.2347476547404852</v>
      </c>
      <c r="D54" s="11">
        <f t="shared" ref="D54:V54" si="43">SUM(D55:D57)</f>
        <v>1.236784612325071</v>
      </c>
      <c r="E54" s="11">
        <f t="shared" si="43"/>
        <v>0</v>
      </c>
      <c r="F54" s="11">
        <f t="shared" si="43"/>
        <v>0</v>
      </c>
      <c r="G54" s="11">
        <f t="shared" si="43"/>
        <v>0.10036412975465503</v>
      </c>
      <c r="H54" s="11">
        <f t="shared" si="43"/>
        <v>0.47436039492346532</v>
      </c>
      <c r="I54" s="11">
        <f t="shared" si="43"/>
        <v>1.6462395786113235</v>
      </c>
      <c r="J54" s="11">
        <f t="shared" si="43"/>
        <v>1.5503246710842085</v>
      </c>
      <c r="K54" s="11">
        <f t="shared" si="43"/>
        <v>0.35035498356793227</v>
      </c>
      <c r="L54" s="11">
        <f t="shared" si="43"/>
        <v>9.4696522430835373E-2</v>
      </c>
      <c r="M54" s="11">
        <f t="shared" si="43"/>
        <v>0</v>
      </c>
      <c r="N54" s="11">
        <f t="shared" si="43"/>
        <v>3.9519671876737272E-2</v>
      </c>
      <c r="O54" s="11">
        <f t="shared" si="43"/>
        <v>0.2983853570076509</v>
      </c>
      <c r="P54" s="11">
        <f t="shared" si="43"/>
        <v>1.9050441629548109E-2</v>
      </c>
      <c r="Q54" s="11">
        <f t="shared" si="43"/>
        <v>0.45127387348924008</v>
      </c>
      <c r="R54" s="11">
        <f t="shared" si="43"/>
        <v>0.47093978580185242</v>
      </c>
      <c r="S54" s="11">
        <f t="shared" si="43"/>
        <v>1.2015996757164999</v>
      </c>
      <c r="T54" s="11">
        <f t="shared" si="43"/>
        <v>0.76445526095685523</v>
      </c>
      <c r="U54" s="11">
        <f t="shared" si="43"/>
        <v>0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</v>
      </c>
      <c r="Y54" s="11">
        <f t="shared" si="44"/>
        <v>0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1.3321201025497047</v>
      </c>
      <c r="C56" s="84">
        <v>0.78791302941745456</v>
      </c>
      <c r="D56" s="84">
        <v>0.78994998700204033</v>
      </c>
      <c r="E56" s="84">
        <v>0</v>
      </c>
      <c r="F56" s="84">
        <v>0</v>
      </c>
      <c r="G56" s="84">
        <v>0.10036412975465503</v>
      </c>
      <c r="H56" s="84">
        <v>0.46609927391249689</v>
      </c>
      <c r="I56" s="84">
        <v>0.98682871920818482</v>
      </c>
      <c r="J56" s="84">
        <v>0.93417882204085123</v>
      </c>
      <c r="K56" s="84">
        <v>0</v>
      </c>
      <c r="L56" s="84">
        <v>0</v>
      </c>
      <c r="M56" s="84">
        <v>0</v>
      </c>
      <c r="N56" s="84">
        <v>3.9519671876737272E-2</v>
      </c>
      <c r="O56" s="84">
        <v>6.2665887170681556E-2</v>
      </c>
      <c r="P56" s="84">
        <v>1.9050441629548109E-2</v>
      </c>
      <c r="Q56" s="84">
        <v>0.34919834537708372</v>
      </c>
      <c r="R56" s="84">
        <v>0.47093978580185242</v>
      </c>
      <c r="S56" s="84">
        <v>0.65988592715833694</v>
      </c>
      <c r="T56" s="84">
        <v>0.66823103292789876</v>
      </c>
      <c r="U56" s="84">
        <v>0</v>
      </c>
      <c r="V56" s="84">
        <v>0</v>
      </c>
      <c r="W56" s="84">
        <v>0</v>
      </c>
      <c r="X56" s="84">
        <v>0</v>
      </c>
      <c r="Y56" s="84">
        <v>0</v>
      </c>
      <c r="DA56" s="171" t="s">
        <v>236</v>
      </c>
    </row>
    <row r="57" spans="1:105" ht="11.45" customHeight="1" x14ac:dyDescent="0.25">
      <c r="A57" s="83" t="s">
        <v>182</v>
      </c>
      <c r="B57" s="84">
        <v>0.75400516795869033</v>
      </c>
      <c r="C57" s="84">
        <v>0.44683462532303064</v>
      </c>
      <c r="D57" s="84">
        <v>0.44683462532303064</v>
      </c>
      <c r="E57" s="84">
        <v>0</v>
      </c>
      <c r="F57" s="84">
        <v>0</v>
      </c>
      <c r="G57" s="84">
        <v>0</v>
      </c>
      <c r="H57" s="84">
        <v>8.2611210109684308E-3</v>
      </c>
      <c r="I57" s="84">
        <v>0.6594108594031387</v>
      </c>
      <c r="J57" s="84">
        <v>0.61614584904335734</v>
      </c>
      <c r="K57" s="84">
        <v>0.35035498356793227</v>
      </c>
      <c r="L57" s="84">
        <v>9.4696522430835373E-2</v>
      </c>
      <c r="M57" s="84">
        <v>0</v>
      </c>
      <c r="N57" s="84">
        <v>0</v>
      </c>
      <c r="O57" s="84">
        <v>0.23571946983696934</v>
      </c>
      <c r="P57" s="84">
        <v>0</v>
      </c>
      <c r="Q57" s="84">
        <v>0.10207552811215637</v>
      </c>
      <c r="R57" s="84">
        <v>0</v>
      </c>
      <c r="S57" s="84">
        <v>0.54171374855816312</v>
      </c>
      <c r="T57" s="84">
        <v>9.6224228028956471E-2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2.7230429432513959E-2</v>
      </c>
      <c r="C58" s="13">
        <f t="shared" si="45"/>
        <v>3.3328965107914227E-3</v>
      </c>
      <c r="D58" s="13">
        <f t="shared" ref="D58:V58" si="46">SUM(D59:D61)</f>
        <v>6.1225503840366272E-3</v>
      </c>
      <c r="E58" s="13">
        <f t="shared" si="46"/>
        <v>1.1130167465957115E-2</v>
      </c>
      <c r="F58" s="13">
        <f t="shared" si="46"/>
        <v>7.231531988374269E-3</v>
      </c>
      <c r="G58" s="13">
        <f t="shared" si="46"/>
        <v>1.84900284897037E-2</v>
      </c>
      <c r="H58" s="13">
        <f t="shared" si="46"/>
        <v>8.5104623434640259E-2</v>
      </c>
      <c r="I58" s="13">
        <f t="shared" si="46"/>
        <v>0.45643289685035243</v>
      </c>
      <c r="J58" s="13">
        <f t="shared" si="46"/>
        <v>0</v>
      </c>
      <c r="K58" s="13">
        <f t="shared" si="46"/>
        <v>0</v>
      </c>
      <c r="L58" s="13">
        <f t="shared" si="46"/>
        <v>0</v>
      </c>
      <c r="M58" s="13">
        <f t="shared" si="46"/>
        <v>2.4369747894705867E-3</v>
      </c>
      <c r="N58" s="13">
        <f t="shared" si="46"/>
        <v>9.2436974745378157E-4</v>
      </c>
      <c r="O58" s="13">
        <f t="shared" si="46"/>
        <v>3.3750452430558828E-4</v>
      </c>
      <c r="P58" s="13">
        <f t="shared" si="46"/>
        <v>3.2352386595897731E-4</v>
      </c>
      <c r="Q58" s="13">
        <f t="shared" si="46"/>
        <v>3.3109884657931679E-4</v>
      </c>
      <c r="R58" s="13">
        <f t="shared" si="46"/>
        <v>0</v>
      </c>
      <c r="S58" s="13">
        <f t="shared" si="46"/>
        <v>4.9174219293412307E-3</v>
      </c>
      <c r="T58" s="13">
        <f t="shared" si="46"/>
        <v>1.8834015381593398E-3</v>
      </c>
      <c r="U58" s="13">
        <f t="shared" si="46"/>
        <v>6.0880914785535131E-4</v>
      </c>
      <c r="V58" s="13">
        <f t="shared" si="46"/>
        <v>3.6899511349347894E-4</v>
      </c>
      <c r="W58" s="13">
        <f t="shared" ref="W58:Y58" si="47">SUM(W59:W61)</f>
        <v>2.8124022936629259E-3</v>
      </c>
      <c r="X58" s="13">
        <f t="shared" si="47"/>
        <v>5.9781137910570048E-3</v>
      </c>
      <c r="Y58" s="13">
        <f t="shared" si="47"/>
        <v>0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2.2032248795931113E-2</v>
      </c>
      <c r="C60" s="102">
        <v>8.4033613000000004E-5</v>
      </c>
      <c r="D60" s="102">
        <v>9.2436974745378157E-4</v>
      </c>
      <c r="E60" s="102">
        <v>8.4033613000000004E-5</v>
      </c>
      <c r="F60" s="102">
        <v>8.4033613000000004E-5</v>
      </c>
      <c r="G60" s="102">
        <v>1.84900284897037E-2</v>
      </c>
      <c r="H60" s="102">
        <v>8.5104623434640259E-2</v>
      </c>
      <c r="I60" s="102">
        <v>0.45643289685035243</v>
      </c>
      <c r="J60" s="102">
        <v>0</v>
      </c>
      <c r="K60" s="102">
        <v>0</v>
      </c>
      <c r="L60" s="102">
        <v>0</v>
      </c>
      <c r="M60" s="102">
        <v>2.4369747894705867E-3</v>
      </c>
      <c r="N60" s="102">
        <v>9.2436974745378157E-4</v>
      </c>
      <c r="O60" s="102">
        <v>3.3750452430558828E-4</v>
      </c>
      <c r="P60" s="102">
        <v>3.2352386595897731E-4</v>
      </c>
      <c r="Q60" s="102">
        <v>3.3109884657931679E-4</v>
      </c>
      <c r="R60" s="102">
        <v>0</v>
      </c>
      <c r="S60" s="102">
        <v>1.7040011722551218E-3</v>
      </c>
      <c r="T60" s="102">
        <v>4.311247812894721E-4</v>
      </c>
      <c r="U60" s="102">
        <v>0</v>
      </c>
      <c r="V60" s="102">
        <v>0</v>
      </c>
      <c r="W60" s="102">
        <v>0</v>
      </c>
      <c r="X60" s="102">
        <v>0</v>
      </c>
      <c r="Y60" s="102">
        <v>0</v>
      </c>
      <c r="DA60" s="175" t="s">
        <v>240</v>
      </c>
    </row>
    <row r="61" spans="1:105" ht="11.45" customHeight="1" x14ac:dyDescent="0.25">
      <c r="A61" s="85" t="s">
        <v>182</v>
      </c>
      <c r="B61" s="86">
        <v>5.1981806365828456E-3</v>
      </c>
      <c r="C61" s="86">
        <v>3.2488628977914227E-3</v>
      </c>
      <c r="D61" s="86">
        <v>5.1981806365828456E-3</v>
      </c>
      <c r="E61" s="86">
        <v>1.1046133852957114E-2</v>
      </c>
      <c r="F61" s="86">
        <v>7.1474983753742685E-3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3.2134207570861089E-3</v>
      </c>
      <c r="T61" s="86">
        <v>1.4522767568698677E-3</v>
      </c>
      <c r="U61" s="86">
        <v>6.0880914785535131E-4</v>
      </c>
      <c r="V61" s="86">
        <v>3.6899511349347894E-4</v>
      </c>
      <c r="W61" s="86">
        <v>2.8124022936629259E-3</v>
      </c>
      <c r="X61" s="86">
        <v>5.9781137910570048E-3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44.419917649521949</v>
      </c>
      <c r="C66" s="14">
        <f t="shared" si="48"/>
        <v>44.723130390011583</v>
      </c>
      <c r="D66" s="14">
        <f t="shared" ref="D66:V66" si="49">IF(D34=0,0,D34/D24)</f>
        <v>45.09355223880597</v>
      </c>
      <c r="E66" s="14">
        <f t="shared" si="49"/>
        <v>45.388777555110224</v>
      </c>
      <c r="F66" s="14">
        <f t="shared" si="49"/>
        <v>45.95144437615243</v>
      </c>
      <c r="G66" s="14">
        <f t="shared" si="49"/>
        <v>47.333956240753714</v>
      </c>
      <c r="H66" s="14">
        <f t="shared" si="49"/>
        <v>50.219141864329963</v>
      </c>
      <c r="I66" s="14">
        <f t="shared" si="49"/>
        <v>51.519791809341186</v>
      </c>
      <c r="J66" s="14">
        <f t="shared" si="49"/>
        <v>50.679359211337029</v>
      </c>
      <c r="K66" s="14">
        <f t="shared" si="49"/>
        <v>47.298847493969447</v>
      </c>
      <c r="L66" s="14">
        <f t="shared" si="49"/>
        <v>52.125718608169443</v>
      </c>
      <c r="M66" s="14">
        <f t="shared" si="49"/>
        <v>53.667984814931984</v>
      </c>
      <c r="N66" s="14">
        <f t="shared" si="49"/>
        <v>52.537060414788094</v>
      </c>
      <c r="O66" s="14">
        <f t="shared" si="49"/>
        <v>60.089464166745977</v>
      </c>
      <c r="P66" s="14">
        <f t="shared" si="49"/>
        <v>64.990765564492108</v>
      </c>
      <c r="Q66" s="14">
        <f t="shared" si="49"/>
        <v>67.915054270882493</v>
      </c>
      <c r="R66" s="14">
        <f t="shared" si="49"/>
        <v>67.520575539568341</v>
      </c>
      <c r="S66" s="14">
        <f t="shared" si="49"/>
        <v>71.20989429175475</v>
      </c>
      <c r="T66" s="14">
        <f t="shared" si="49"/>
        <v>73.781840390879481</v>
      </c>
      <c r="U66" s="14">
        <f t="shared" si="49"/>
        <v>81.994075489727663</v>
      </c>
      <c r="V66" s="14">
        <f t="shared" si="49"/>
        <v>73.11195542046606</v>
      </c>
      <c r="W66" s="14">
        <f t="shared" ref="W66:Y66" si="50">IF(W34=0,0,W34/W24)</f>
        <v>78.947227533460804</v>
      </c>
      <c r="X66" s="14">
        <f t="shared" si="50"/>
        <v>95.764229249011862</v>
      </c>
      <c r="Y66" s="14">
        <f t="shared" si="50"/>
        <v>99.174835061262954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37.685382565664256</v>
      </c>
      <c r="C68" s="87">
        <f t="shared" si="48"/>
        <v>38.144549763033176</v>
      </c>
      <c r="D68" s="87">
        <f t="shared" ref="D68:V68" si="53">IF(D36=0,0,D36/D26)</f>
        <v>38.719612472522996</v>
      </c>
      <c r="E68" s="87">
        <f t="shared" si="53"/>
        <v>39.175077427582437</v>
      </c>
      <c r="F68" s="87">
        <f t="shared" si="53"/>
        <v>39.931752873563219</v>
      </c>
      <c r="G68" s="87">
        <f t="shared" si="53"/>
        <v>43.251240181893344</v>
      </c>
      <c r="H68" s="87">
        <f t="shared" si="53"/>
        <v>45.950447761194027</v>
      </c>
      <c r="I68" s="87">
        <f t="shared" si="53"/>
        <v>46.4090783791234</v>
      </c>
      <c r="J68" s="87">
        <f t="shared" si="53"/>
        <v>45.606719037272271</v>
      </c>
      <c r="K68" s="87">
        <f t="shared" si="53"/>
        <v>42.320958198129411</v>
      </c>
      <c r="L68" s="87">
        <f t="shared" si="53"/>
        <v>48.177336528586103</v>
      </c>
      <c r="M68" s="87">
        <f t="shared" si="53"/>
        <v>51.352948030762057</v>
      </c>
      <c r="N68" s="87">
        <f t="shared" si="53"/>
        <v>48.848273081575059</v>
      </c>
      <c r="O68" s="87">
        <f t="shared" si="53"/>
        <v>58.571639150943398</v>
      </c>
      <c r="P68" s="87">
        <f t="shared" si="53"/>
        <v>65.84653151726323</v>
      </c>
      <c r="Q68" s="87">
        <f t="shared" si="53"/>
        <v>69.776128266033254</v>
      </c>
      <c r="R68" s="87">
        <f t="shared" si="53"/>
        <v>69.348115942028983</v>
      </c>
      <c r="S68" s="87">
        <f t="shared" si="53"/>
        <v>73.251052077853757</v>
      </c>
      <c r="T68" s="87">
        <f t="shared" si="53"/>
        <v>73.99163636363636</v>
      </c>
      <c r="U68" s="87">
        <f t="shared" si="53"/>
        <v>82.5875224416517</v>
      </c>
      <c r="V68" s="87">
        <f t="shared" si="53"/>
        <v>77.882625482625485</v>
      </c>
      <c r="W68" s="87">
        <f t="shared" ref="W68:Y68" si="54">IF(W36=0,0,W36/W26)</f>
        <v>81.579942693409748</v>
      </c>
      <c r="X68" s="87">
        <f t="shared" si="54"/>
        <v>97.173112338858189</v>
      </c>
      <c r="Y68" s="87">
        <f t="shared" si="54"/>
        <v>99.313936063936069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62.940329756608214</v>
      </c>
      <c r="C69" s="87">
        <f t="shared" si="48"/>
        <v>62.811052123552123</v>
      </c>
      <c r="D69" s="87">
        <f t="shared" ref="D69:V69" si="55">IF(D37=0,0,D37/D27)</f>
        <v>62.620102977389749</v>
      </c>
      <c r="E69" s="87">
        <f t="shared" si="55"/>
        <v>62.476452905811627</v>
      </c>
      <c r="F69" s="87">
        <f t="shared" si="55"/>
        <v>62.506091537701678</v>
      </c>
      <c r="G69" s="87">
        <f t="shared" si="55"/>
        <v>59.80770445216293</v>
      </c>
      <c r="H69" s="87">
        <f t="shared" si="55"/>
        <v>63.675972396486827</v>
      </c>
      <c r="I69" s="87">
        <f t="shared" si="55"/>
        <v>66.475396611992466</v>
      </c>
      <c r="J69" s="87">
        <f t="shared" si="55"/>
        <v>64.91463414634147</v>
      </c>
      <c r="K69" s="87">
        <f t="shared" si="55"/>
        <v>59.030364372469634</v>
      </c>
      <c r="L69" s="87">
        <f t="shared" si="55"/>
        <v>59.88871438187121</v>
      </c>
      <c r="M69" s="87">
        <f t="shared" si="55"/>
        <v>58.559084194977842</v>
      </c>
      <c r="N69" s="87">
        <f t="shared" si="55"/>
        <v>60.059194299808169</v>
      </c>
      <c r="O69" s="87">
        <f t="shared" si="55"/>
        <v>62.85522428149342</v>
      </c>
      <c r="P69" s="87">
        <f t="shared" si="55"/>
        <v>63.552568538727705</v>
      </c>
      <c r="Q69" s="87">
        <f t="shared" si="55"/>
        <v>64.666493910339469</v>
      </c>
      <c r="R69" s="87">
        <f t="shared" si="55"/>
        <v>63.943262411347519</v>
      </c>
      <c r="S69" s="87">
        <f t="shared" si="55"/>
        <v>67.53281212982705</v>
      </c>
      <c r="T69" s="87">
        <f t="shared" si="55"/>
        <v>73.352357320099259</v>
      </c>
      <c r="U69" s="87">
        <f t="shared" si="55"/>
        <v>80.944988098386673</v>
      </c>
      <c r="V69" s="87">
        <f t="shared" si="55"/>
        <v>64.013254786450659</v>
      </c>
      <c r="W69" s="87">
        <f t="shared" ref="W69:Y69" si="56">IF(W37=0,0,W37/W27)</f>
        <v>73.666666666666671</v>
      </c>
      <c r="X69" s="87">
        <f t="shared" si="56"/>
        <v>93.216981132075475</v>
      </c>
      <c r="Y69" s="87">
        <f t="shared" si="56"/>
        <v>98.939034716342078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21.120269974289844</v>
      </c>
      <c r="C70" s="15">
        <f t="shared" si="48"/>
        <v>22.549159919055441</v>
      </c>
      <c r="D70" s="15">
        <f t="shared" ref="D70:V70" si="57">IF(D38=0,0,D38/D28)</f>
        <v>23.54225981911555</v>
      </c>
      <c r="E70" s="15">
        <f t="shared" si="57"/>
        <v>25.480264883177803</v>
      </c>
      <c r="F70" s="15">
        <f t="shared" si="57"/>
        <v>25.207002038273103</v>
      </c>
      <c r="G70" s="15">
        <f t="shared" si="57"/>
        <v>21.730415610514363</v>
      </c>
      <c r="H70" s="15">
        <f t="shared" si="57"/>
        <v>17.325417915436528</v>
      </c>
      <c r="I70" s="15">
        <f t="shared" si="57"/>
        <v>14.68731321702133</v>
      </c>
      <c r="J70" s="15">
        <f t="shared" si="57"/>
        <v>16.251307018139514</v>
      </c>
      <c r="K70" s="15">
        <f t="shared" si="57"/>
        <v>18.291563406901325</v>
      </c>
      <c r="L70" s="15">
        <f t="shared" si="57"/>
        <v>18.347539718881386</v>
      </c>
      <c r="M70" s="15">
        <f t="shared" si="57"/>
        <v>19.801711148500878</v>
      </c>
      <c r="N70" s="15">
        <f t="shared" si="57"/>
        <v>20.727007715530736</v>
      </c>
      <c r="O70" s="15">
        <f t="shared" si="57"/>
        <v>21.025310278603932</v>
      </c>
      <c r="P70" s="15">
        <f t="shared" si="57"/>
        <v>23.405530899403001</v>
      </c>
      <c r="Q70" s="15">
        <f t="shared" si="57"/>
        <v>20.992702485821642</v>
      </c>
      <c r="R70" s="15">
        <f t="shared" si="57"/>
        <v>23.84380279931138</v>
      </c>
      <c r="S70" s="15">
        <f t="shared" si="57"/>
        <v>23.763574431808813</v>
      </c>
      <c r="T70" s="15">
        <f t="shared" si="57"/>
        <v>23.816475919037401</v>
      </c>
      <c r="U70" s="15">
        <f t="shared" si="57"/>
        <v>24.897316965568415</v>
      </c>
      <c r="V70" s="15">
        <f t="shared" si="57"/>
        <v>20.583092405593082</v>
      </c>
      <c r="W70" s="15">
        <f t="shared" ref="W70:Y70" si="58">IF(W38=0,0,W38/W28)</f>
        <v>20.77969535484554</v>
      </c>
      <c r="X70" s="15">
        <f t="shared" si="58"/>
        <v>22.11637825556469</v>
      </c>
      <c r="Y70" s="15">
        <f t="shared" si="58"/>
        <v>22.032866394195796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14.017847842266166</v>
      </c>
      <c r="I72" s="41">
        <f t="shared" si="61"/>
        <v>13.786843762306626</v>
      </c>
      <c r="J72" s="41">
        <f t="shared" si="61"/>
        <v>13.706049515651268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15.593990976967524</v>
      </c>
      <c r="N72" s="41">
        <f t="shared" si="61"/>
        <v>16.668272444699465</v>
      </c>
      <c r="O72" s="41">
        <f t="shared" si="61"/>
        <v>16.757006585050917</v>
      </c>
      <c r="P72" s="41">
        <f t="shared" si="61"/>
        <v>18.449412678664512</v>
      </c>
      <c r="Q72" s="41">
        <f t="shared" si="61"/>
        <v>18.477606558493594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19.702598617631953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53.867382020046897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45.164132697953754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59.082056024886228</v>
      </c>
      <c r="O73" s="40">
        <f t="shared" si="63"/>
        <v>59.664691083399617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837.83831584188192</v>
      </c>
      <c r="C75" s="62">
        <f t="shared" si="65"/>
        <v>838.45570535485672</v>
      </c>
      <c r="D75" s="62">
        <f t="shared" ref="D75:V75" si="66">IF(D13=0,0,D13*1000000/D23)</f>
        <v>838.95192981136711</v>
      </c>
      <c r="E75" s="62">
        <f t="shared" si="66"/>
        <v>840.14912541225976</v>
      </c>
      <c r="F75" s="62">
        <f t="shared" si="66"/>
        <v>841.40994168623433</v>
      </c>
      <c r="G75" s="62">
        <f t="shared" si="66"/>
        <v>873.00054277735273</v>
      </c>
      <c r="H75" s="62">
        <f t="shared" si="66"/>
        <v>861.13356878440936</v>
      </c>
      <c r="I75" s="62">
        <f t="shared" si="66"/>
        <v>890.67086353510433</v>
      </c>
      <c r="J75" s="62">
        <f t="shared" si="66"/>
        <v>894.31596834813251</v>
      </c>
      <c r="K75" s="62">
        <f t="shared" si="66"/>
        <v>915.36291154690684</v>
      </c>
      <c r="L75" s="62">
        <f t="shared" si="66"/>
        <v>919.38582538684727</v>
      </c>
      <c r="M75" s="62">
        <f t="shared" si="66"/>
        <v>903.47655219330625</v>
      </c>
      <c r="N75" s="62">
        <f t="shared" si="66"/>
        <v>924.01493403390384</v>
      </c>
      <c r="O75" s="62">
        <f t="shared" si="66"/>
        <v>968.42888780346891</v>
      </c>
      <c r="P75" s="62">
        <f t="shared" si="66"/>
        <v>938.16211757275119</v>
      </c>
      <c r="Q75" s="62">
        <f t="shared" si="66"/>
        <v>913.47652666437011</v>
      </c>
      <c r="R75" s="62">
        <f t="shared" si="66"/>
        <v>856.38078184266544</v>
      </c>
      <c r="S75" s="62">
        <f t="shared" si="66"/>
        <v>868.74470897712865</v>
      </c>
      <c r="T75" s="62">
        <f t="shared" si="66"/>
        <v>891.41515029267885</v>
      </c>
      <c r="U75" s="62">
        <f t="shared" si="66"/>
        <v>920.85658316471529</v>
      </c>
      <c r="V75" s="62">
        <f t="shared" si="66"/>
        <v>934.94189639102456</v>
      </c>
      <c r="W75" s="62">
        <f t="shared" ref="W75:Y75" si="67">IF(W13=0,0,W13*1000000/W23)</f>
        <v>1045.4957819661847</v>
      </c>
      <c r="X75" s="62">
        <f t="shared" si="67"/>
        <v>1071.4423288525047</v>
      </c>
      <c r="Y75" s="62">
        <f t="shared" si="67"/>
        <v>1052.6738022694803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838.0312927280653</v>
      </c>
      <c r="C76" s="14">
        <f t="shared" si="65"/>
        <v>838.02905188230579</v>
      </c>
      <c r="D76" s="14">
        <f t="shared" ref="D76:V76" si="68">IF(D14=0,0,D14*1000000/D24)</f>
        <v>838.03852128804465</v>
      </c>
      <c r="E76" s="14">
        <f t="shared" si="68"/>
        <v>838.04456133615247</v>
      </c>
      <c r="F76" s="14">
        <f t="shared" si="68"/>
        <v>838.03927558936391</v>
      </c>
      <c r="G76" s="14">
        <f t="shared" si="68"/>
        <v>871.25053165663974</v>
      </c>
      <c r="H76" s="14">
        <f t="shared" si="68"/>
        <v>863.97786878783177</v>
      </c>
      <c r="I76" s="14">
        <f t="shared" si="68"/>
        <v>906.99895388086168</v>
      </c>
      <c r="J76" s="14">
        <f t="shared" si="68"/>
        <v>898.3235853787728</v>
      </c>
      <c r="K76" s="14">
        <f t="shared" si="68"/>
        <v>917.38207901938256</v>
      </c>
      <c r="L76" s="14">
        <f t="shared" si="68"/>
        <v>923.27833514125757</v>
      </c>
      <c r="M76" s="14">
        <f t="shared" si="68"/>
        <v>908.56660525408779</v>
      </c>
      <c r="N76" s="14">
        <f t="shared" si="68"/>
        <v>931.8499252182288</v>
      </c>
      <c r="O76" s="14">
        <f t="shared" si="68"/>
        <v>975.94209923611947</v>
      </c>
      <c r="P76" s="14">
        <f t="shared" si="68"/>
        <v>943.99291646143024</v>
      </c>
      <c r="Q76" s="14">
        <f t="shared" si="68"/>
        <v>918.90579659654554</v>
      </c>
      <c r="R76" s="14">
        <f t="shared" si="68"/>
        <v>860.84412978275202</v>
      </c>
      <c r="S76" s="14">
        <f t="shared" si="68"/>
        <v>874.86083214967448</v>
      </c>
      <c r="T76" s="14">
        <f t="shared" si="68"/>
        <v>896.74560374801217</v>
      </c>
      <c r="U76" s="14">
        <f t="shared" si="68"/>
        <v>927.53082925722299</v>
      </c>
      <c r="V76" s="14">
        <f t="shared" si="68"/>
        <v>976.71418802142387</v>
      </c>
      <c r="W76" s="14">
        <f t="shared" ref="W76:Y76" si="69">IF(W14=0,0,W14*1000000/W24)</f>
        <v>1089.902345963965</v>
      </c>
      <c r="X76" s="14">
        <f t="shared" si="69"/>
        <v>1094.8116367305715</v>
      </c>
      <c r="Y76" s="14">
        <f t="shared" si="69"/>
        <v>1067.6827055838228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722.75515565338981</v>
      </c>
      <c r="C78" s="39">
        <f t="shared" si="65"/>
        <v>722.72912215112717</v>
      </c>
      <c r="D78" s="39">
        <f t="shared" ref="D78:V78" si="72">IF(D16=0,0,D16*1000000/D26)</f>
        <v>722.75053885489945</v>
      </c>
      <c r="E78" s="39">
        <f t="shared" si="72"/>
        <v>722.77050656427571</v>
      </c>
      <c r="F78" s="39">
        <f t="shared" si="72"/>
        <v>722.7667492778196</v>
      </c>
      <c r="G78" s="39">
        <f t="shared" si="72"/>
        <v>760.84011797380117</v>
      </c>
      <c r="H78" s="39">
        <f t="shared" si="72"/>
        <v>770.9194478560388</v>
      </c>
      <c r="I78" s="39">
        <f t="shared" si="72"/>
        <v>819.19295959962631</v>
      </c>
      <c r="J78" s="39">
        <f t="shared" si="72"/>
        <v>812.37894981137845</v>
      </c>
      <c r="K78" s="39">
        <f t="shared" si="72"/>
        <v>814.9815355085326</v>
      </c>
      <c r="L78" s="39">
        <f t="shared" si="72"/>
        <v>815.53803083778928</v>
      </c>
      <c r="M78" s="39">
        <f t="shared" si="72"/>
        <v>787.09851299611546</v>
      </c>
      <c r="N78" s="39">
        <f t="shared" si="72"/>
        <v>741.9246088265071</v>
      </c>
      <c r="O78" s="39">
        <f t="shared" si="72"/>
        <v>779.3500388513329</v>
      </c>
      <c r="P78" s="39">
        <f t="shared" si="72"/>
        <v>781.03344984652517</v>
      </c>
      <c r="Q78" s="39">
        <f t="shared" si="72"/>
        <v>790.22830760987938</v>
      </c>
      <c r="R78" s="39">
        <f t="shared" si="72"/>
        <v>800.14462226468879</v>
      </c>
      <c r="S78" s="39">
        <f t="shared" si="72"/>
        <v>814.59992743585713</v>
      </c>
      <c r="T78" s="39">
        <f t="shared" si="72"/>
        <v>819.23994144467281</v>
      </c>
      <c r="U78" s="39">
        <f t="shared" si="72"/>
        <v>842.76769077593951</v>
      </c>
      <c r="V78" s="39">
        <f t="shared" si="72"/>
        <v>854.82831071982446</v>
      </c>
      <c r="W78" s="39">
        <f t="shared" ref="W78:Y78" si="73">IF(W16=0,0,W16*1000000/W26)</f>
        <v>913.15331036542159</v>
      </c>
      <c r="X78" s="39">
        <f t="shared" si="73"/>
        <v>902.85602062308908</v>
      </c>
      <c r="Y78" s="39">
        <f t="shared" si="73"/>
        <v>893.15665640895804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1155.0482119588135</v>
      </c>
      <c r="C79" s="39">
        <f t="shared" si="65"/>
        <v>1155.0482119588135</v>
      </c>
      <c r="D79" s="39">
        <f t="shared" ref="D79:V79" si="74">IF(D17=0,0,D17*1000000/D27)</f>
        <v>1155.0482119588135</v>
      </c>
      <c r="E79" s="39">
        <f t="shared" si="74"/>
        <v>1155.0482119588135</v>
      </c>
      <c r="F79" s="39">
        <f t="shared" si="74"/>
        <v>1155.0482119588135</v>
      </c>
      <c r="G79" s="39">
        <f t="shared" si="74"/>
        <v>1208.5827586206897</v>
      </c>
      <c r="H79" s="39">
        <f t="shared" si="74"/>
        <v>1157.3395784379322</v>
      </c>
      <c r="I79" s="39">
        <f t="shared" si="74"/>
        <v>1163.9477669388573</v>
      </c>
      <c r="J79" s="39">
        <f t="shared" si="74"/>
        <v>1139.5087423204805</v>
      </c>
      <c r="K79" s="39">
        <f t="shared" si="74"/>
        <v>1158.7120148958304</v>
      </c>
      <c r="L79" s="39">
        <f t="shared" si="74"/>
        <v>1135.1087786259543</v>
      </c>
      <c r="M79" s="39">
        <f t="shared" si="74"/>
        <v>1165.1986012555446</v>
      </c>
      <c r="N79" s="39">
        <f t="shared" si="74"/>
        <v>1319.1435068216269</v>
      </c>
      <c r="O79" s="39">
        <f t="shared" si="74"/>
        <v>1334.1694797492514</v>
      </c>
      <c r="P79" s="39">
        <f t="shared" si="74"/>
        <v>1217.8619801309833</v>
      </c>
      <c r="Q79" s="39">
        <f t="shared" si="74"/>
        <v>1143.5162049443513</v>
      </c>
      <c r="R79" s="39">
        <f t="shared" si="74"/>
        <v>979.66018705215231</v>
      </c>
      <c r="S79" s="39">
        <f t="shared" si="74"/>
        <v>983.41897463815303</v>
      </c>
      <c r="T79" s="39">
        <f t="shared" si="74"/>
        <v>1055.4110414657666</v>
      </c>
      <c r="U79" s="39">
        <f t="shared" si="74"/>
        <v>1077.3739442027129</v>
      </c>
      <c r="V79" s="39">
        <f t="shared" si="74"/>
        <v>1209.1769436997317</v>
      </c>
      <c r="W79" s="39">
        <f t="shared" ref="W79:Y79" si="75">IF(W17=0,0,W17*1000000/W27)</f>
        <v>1444.4162162162161</v>
      </c>
      <c r="X79" s="39">
        <f t="shared" si="75"/>
        <v>1441.8656862745099</v>
      </c>
      <c r="Y79" s="39">
        <f t="shared" si="75"/>
        <v>1363.5346534653465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817.80088249318123</v>
      </c>
      <c r="C80" s="15">
        <f t="shared" si="65"/>
        <v>893.24365292921243</v>
      </c>
      <c r="D80" s="15">
        <f t="shared" ref="D80:V80" si="76">IF(D18=0,0,D18*1000000/D28)</f>
        <v>975.55543664754225</v>
      </c>
      <c r="E80" s="15">
        <f t="shared" si="76"/>
        <v>1146.02605958048</v>
      </c>
      <c r="F80" s="15">
        <f t="shared" si="76"/>
        <v>1207.0148576601196</v>
      </c>
      <c r="G80" s="15">
        <f t="shared" si="76"/>
        <v>1060.2954829716698</v>
      </c>
      <c r="H80" s="15">
        <f t="shared" si="76"/>
        <v>694.52806681402024</v>
      </c>
      <c r="I80" s="15">
        <f t="shared" si="76"/>
        <v>593.38560763890769</v>
      </c>
      <c r="J80" s="15">
        <f t="shared" si="76"/>
        <v>663.66481796766857</v>
      </c>
      <c r="K80" s="15">
        <f t="shared" si="76"/>
        <v>690.48190140341592</v>
      </c>
      <c r="L80" s="15">
        <f t="shared" si="76"/>
        <v>645.66785223097315</v>
      </c>
      <c r="M80" s="15">
        <f t="shared" si="76"/>
        <v>576.78299432263952</v>
      </c>
      <c r="N80" s="15">
        <f t="shared" si="76"/>
        <v>508.27305731541122</v>
      </c>
      <c r="O80" s="15">
        <f t="shared" si="76"/>
        <v>555.12358663667771</v>
      </c>
      <c r="P80" s="15">
        <f t="shared" si="76"/>
        <v>559.31066203800424</v>
      </c>
      <c r="Q80" s="15">
        <f t="shared" si="76"/>
        <v>577.08404168544109</v>
      </c>
      <c r="R80" s="15">
        <f t="shared" si="76"/>
        <v>561.884564909745</v>
      </c>
      <c r="S80" s="15">
        <f t="shared" si="76"/>
        <v>574.74813777649513</v>
      </c>
      <c r="T80" s="15">
        <f t="shared" si="76"/>
        <v>600.49084615270556</v>
      </c>
      <c r="U80" s="15">
        <f t="shared" si="76"/>
        <v>558.96028597252723</v>
      </c>
      <c r="V80" s="15">
        <f t="shared" si="76"/>
        <v>500.94977176782265</v>
      </c>
      <c r="W80" s="15">
        <f t="shared" ref="W80:Y80" si="77">IF(W18=0,0,W18*1000000/W28)</f>
        <v>531.67646845204513</v>
      </c>
      <c r="X80" s="15">
        <f t="shared" si="77"/>
        <v>582.81134594747073</v>
      </c>
      <c r="Y80" s="15">
        <f t="shared" si="77"/>
        <v>622.28335857981881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466.02940839668963</v>
      </c>
      <c r="C82" s="41">
        <f t="shared" si="65"/>
        <v>471.90553120750428</v>
      </c>
      <c r="D82" s="41">
        <f t="shared" ref="D82:V82" si="80">IF(D20=0,0,D20*1000000/D30)</f>
        <v>475.55759129778107</v>
      </c>
      <c r="E82" s="41">
        <f t="shared" si="80"/>
        <v>479.91648172297135</v>
      </c>
      <c r="F82" s="41">
        <f t="shared" si="80"/>
        <v>481.4203336746321</v>
      </c>
      <c r="G82" s="41">
        <f t="shared" si="80"/>
        <v>475.51606097726966</v>
      </c>
      <c r="H82" s="41">
        <f t="shared" si="80"/>
        <v>475.9169121443224</v>
      </c>
      <c r="I82" s="41">
        <f t="shared" si="80"/>
        <v>550.31033909138341</v>
      </c>
      <c r="J82" s="41">
        <f t="shared" si="80"/>
        <v>585.92347406071644</v>
      </c>
      <c r="K82" s="41">
        <f t="shared" si="80"/>
        <v>635.4085744291782</v>
      </c>
      <c r="L82" s="41">
        <f t="shared" si="80"/>
        <v>655.62231896862409</v>
      </c>
      <c r="M82" s="41">
        <f t="shared" si="80"/>
        <v>587.74136575441037</v>
      </c>
      <c r="N82" s="41">
        <f t="shared" si="80"/>
        <v>505.27418474553139</v>
      </c>
      <c r="O82" s="41">
        <f t="shared" si="80"/>
        <v>550.92757681678154</v>
      </c>
      <c r="P82" s="41">
        <f t="shared" si="80"/>
        <v>564.0346335383191</v>
      </c>
      <c r="Q82" s="41">
        <f t="shared" si="80"/>
        <v>582.1778481095306</v>
      </c>
      <c r="R82" s="41">
        <f t="shared" si="80"/>
        <v>573.89714367663112</v>
      </c>
      <c r="S82" s="41">
        <f t="shared" si="80"/>
        <v>589.48349696339574</v>
      </c>
      <c r="T82" s="41">
        <f t="shared" si="80"/>
        <v>607.75789040645054</v>
      </c>
      <c r="U82" s="41">
        <f t="shared" si="80"/>
        <v>560.76546218487397</v>
      </c>
      <c r="V82" s="41">
        <f t="shared" si="80"/>
        <v>497.9721992843381</v>
      </c>
      <c r="W82" s="41">
        <f t="shared" ref="W82:Y82" si="81">IF(W20=0,0,W20*1000000/W30)</f>
        <v>533.82086523770408</v>
      </c>
      <c r="X82" s="41">
        <f t="shared" si="81"/>
        <v>585.95584988962469</v>
      </c>
      <c r="Y82" s="41">
        <f t="shared" si="81"/>
        <v>628.80693069306926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3021.0011676238382</v>
      </c>
      <c r="C83" s="40">
        <f t="shared" si="65"/>
        <v>3021.0011676238382</v>
      </c>
      <c r="D83" s="40">
        <f t="shared" ref="D83:V83" si="82">IF(D21=0,0,D21*1000000/D31)</f>
        <v>3021.0011676238382</v>
      </c>
      <c r="E83" s="40">
        <f t="shared" si="82"/>
        <v>3021.0011676238382</v>
      </c>
      <c r="F83" s="40">
        <f t="shared" si="82"/>
        <v>3021.0011676238382</v>
      </c>
      <c r="G83" s="40">
        <f t="shared" si="82"/>
        <v>3074.5357142857142</v>
      </c>
      <c r="H83" s="40">
        <f t="shared" si="82"/>
        <v>2534.5052852839767</v>
      </c>
      <c r="I83" s="40">
        <f t="shared" si="82"/>
        <v>2052.3262249659219</v>
      </c>
      <c r="J83" s="40">
        <f t="shared" si="82"/>
        <v>1539.0999515285644</v>
      </c>
      <c r="K83" s="40">
        <f t="shared" si="82"/>
        <v>1069.5159752849345</v>
      </c>
      <c r="L83" s="40">
        <f t="shared" si="82"/>
        <v>557.12549019607843</v>
      </c>
      <c r="M83" s="40">
        <f t="shared" si="82"/>
        <v>484.9414051801806</v>
      </c>
      <c r="N83" s="40">
        <f t="shared" si="82"/>
        <v>536.61240310077517</v>
      </c>
      <c r="O83" s="40">
        <f t="shared" si="82"/>
        <v>593.10851763784308</v>
      </c>
      <c r="P83" s="40">
        <f t="shared" si="82"/>
        <v>518.27115962901814</v>
      </c>
      <c r="Q83" s="40">
        <f t="shared" si="82"/>
        <v>485.39552605182934</v>
      </c>
      <c r="R83" s="40">
        <f t="shared" si="82"/>
        <v>363.00964976907375</v>
      </c>
      <c r="S83" s="40">
        <f t="shared" si="82"/>
        <v>408.2385789645179</v>
      </c>
      <c r="T83" s="40">
        <f t="shared" si="82"/>
        <v>521.70078740157476</v>
      </c>
      <c r="U83" s="40">
        <f t="shared" si="82"/>
        <v>541.40996168582376</v>
      </c>
      <c r="V83" s="40">
        <f t="shared" si="82"/>
        <v>531.25095057034218</v>
      </c>
      <c r="W83" s="40">
        <f t="shared" ref="W83:Y83" si="83">IF(W21=0,0,W21*1000000/W31)</f>
        <v>508.31382978723394</v>
      </c>
      <c r="X83" s="40">
        <f t="shared" si="83"/>
        <v>554.24876847290648</v>
      </c>
      <c r="Y83" s="40">
        <f t="shared" si="83"/>
        <v>556.39528023598814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47871.163924767781</v>
      </c>
      <c r="C86" s="11">
        <f t="shared" si="84"/>
        <v>48116.554167017341</v>
      </c>
      <c r="D86" s="11">
        <f t="shared" ref="D86:V86" si="85">IF(D4=0,0,D4*1000000/D24)</f>
        <v>48103.145141725254</v>
      </c>
      <c r="E86" s="11">
        <f t="shared" si="85"/>
        <v>47752.951904685193</v>
      </c>
      <c r="F86" s="11">
        <f t="shared" si="85"/>
        <v>47710.843134127623</v>
      </c>
      <c r="G86" s="11">
        <f t="shared" si="85"/>
        <v>50222.401848930589</v>
      </c>
      <c r="H86" s="11">
        <f t="shared" si="85"/>
        <v>51371.880602929552</v>
      </c>
      <c r="I86" s="11">
        <f t="shared" si="85"/>
        <v>53394.539273937458</v>
      </c>
      <c r="J86" s="11">
        <f t="shared" si="85"/>
        <v>50918.30006275163</v>
      </c>
      <c r="K86" s="11">
        <f t="shared" si="85"/>
        <v>48647.490136662658</v>
      </c>
      <c r="L86" s="11">
        <f t="shared" si="85"/>
        <v>53203.150727282598</v>
      </c>
      <c r="M86" s="11">
        <f t="shared" si="85"/>
        <v>54627.970669700575</v>
      </c>
      <c r="N86" s="11">
        <f t="shared" si="85"/>
        <v>56986.509210272139</v>
      </c>
      <c r="O86" s="11">
        <f t="shared" si="85"/>
        <v>65677.109670298538</v>
      </c>
      <c r="P86" s="11">
        <f t="shared" si="85"/>
        <v>66187.063235941852</v>
      </c>
      <c r="Q86" s="11">
        <f t="shared" si="85"/>
        <v>66618.188794617265</v>
      </c>
      <c r="R86" s="11">
        <f t="shared" si="85"/>
        <v>64457.772932706714</v>
      </c>
      <c r="S86" s="11">
        <f t="shared" si="85"/>
        <v>68858.533036496287</v>
      </c>
      <c r="T86" s="11">
        <f t="shared" si="85"/>
        <v>72356.002945745582</v>
      </c>
      <c r="U86" s="11">
        <f t="shared" si="85"/>
        <v>84345.257618818854</v>
      </c>
      <c r="V86" s="11">
        <f t="shared" si="85"/>
        <v>81785.398503411488</v>
      </c>
      <c r="W86" s="11">
        <f t="shared" ref="W86:Y86" si="86">IF(W4=0,0,W4*1000000/W24)</f>
        <v>92514.910736708625</v>
      </c>
      <c r="X86" s="11">
        <f t="shared" si="86"/>
        <v>113876.86639386507</v>
      </c>
      <c r="Y86" s="11">
        <f t="shared" si="86"/>
        <v>115581.19744336864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35956.30815923115</v>
      </c>
      <c r="C88" s="36">
        <f t="shared" si="84"/>
        <v>36348.810760960318</v>
      </c>
      <c r="D88" s="36">
        <f t="shared" ref="D88:V88" si="89">IF(D6=0,0,D6*1000000/D26)</f>
        <v>36420.362148523505</v>
      </c>
      <c r="E88" s="36">
        <f t="shared" si="89"/>
        <v>36010.938852135529</v>
      </c>
      <c r="F88" s="36">
        <f t="shared" si="89"/>
        <v>35940.062008764267</v>
      </c>
      <c r="G88" s="36">
        <f t="shared" si="89"/>
        <v>40418.529606747528</v>
      </c>
      <c r="H88" s="36">
        <f t="shared" si="89"/>
        <v>41738.016309603372</v>
      </c>
      <c r="I88" s="36">
        <f t="shared" si="89"/>
        <v>42312.885325886717</v>
      </c>
      <c r="J88" s="36">
        <f t="shared" si="89"/>
        <v>39825.328856158158</v>
      </c>
      <c r="K88" s="36">
        <f t="shared" si="89"/>
        <v>37097.209898098314</v>
      </c>
      <c r="L88" s="36">
        <f t="shared" si="89"/>
        <v>41911.659233043618</v>
      </c>
      <c r="M88" s="36">
        <f t="shared" si="89"/>
        <v>44120.572790396611</v>
      </c>
      <c r="N88" s="36">
        <f t="shared" si="89"/>
        <v>40726.451045553695</v>
      </c>
      <c r="O88" s="36">
        <f t="shared" si="89"/>
        <v>50539.334421580555</v>
      </c>
      <c r="P88" s="36">
        <f t="shared" si="89"/>
        <v>55535.998089483401</v>
      </c>
      <c r="Q88" s="36">
        <f t="shared" si="89"/>
        <v>58355.772493495962</v>
      </c>
      <c r="R88" s="36">
        <f t="shared" si="89"/>
        <v>59650.890074483643</v>
      </c>
      <c r="S88" s="36">
        <f t="shared" si="89"/>
        <v>64346.990468964308</v>
      </c>
      <c r="T88" s="36">
        <f t="shared" si="89"/>
        <v>64143.684588016215</v>
      </c>
      <c r="U88" s="36">
        <f t="shared" si="89"/>
        <v>74367.759855965967</v>
      </c>
      <c r="V88" s="36">
        <f t="shared" si="89"/>
        <v>70701.646396960976</v>
      </c>
      <c r="W88" s="36">
        <f t="shared" ref="W88:Y88" si="90">IF(W6=0,0,W6*1000000/W26)</f>
        <v>75650.026982779644</v>
      </c>
      <c r="X88" s="36">
        <f t="shared" si="90"/>
        <v>89260.166395337932</v>
      </c>
      <c r="Y88" s="36">
        <f t="shared" si="90"/>
        <v>90697.405423822755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80637.796843966687</v>
      </c>
      <c r="C89" s="36">
        <f t="shared" si="84"/>
        <v>80472.169120833394</v>
      </c>
      <c r="D89" s="36">
        <f t="shared" ref="D89:V89" si="91">IF(D7=0,0,D7*1000000/D27)</f>
        <v>80227.529181460442</v>
      </c>
      <c r="E89" s="36">
        <f t="shared" si="91"/>
        <v>80043.487799196781</v>
      </c>
      <c r="F89" s="36">
        <f t="shared" si="91"/>
        <v>80081.460176944471</v>
      </c>
      <c r="G89" s="36">
        <f t="shared" si="91"/>
        <v>80175.75449034624</v>
      </c>
      <c r="H89" s="36">
        <f t="shared" si="91"/>
        <v>81742.124062129078</v>
      </c>
      <c r="I89" s="36">
        <f t="shared" si="91"/>
        <v>85823.052292661872</v>
      </c>
      <c r="J89" s="36">
        <f t="shared" si="91"/>
        <v>82048.340742418019</v>
      </c>
      <c r="K89" s="36">
        <f t="shared" si="91"/>
        <v>75868.326020530672</v>
      </c>
      <c r="L89" s="36">
        <f t="shared" si="91"/>
        <v>75403.585989570274</v>
      </c>
      <c r="M89" s="36">
        <f t="shared" si="91"/>
        <v>76827.500113370334</v>
      </c>
      <c r="N89" s="36">
        <f t="shared" si="91"/>
        <v>90143.838013689528</v>
      </c>
      <c r="O89" s="36">
        <f t="shared" si="91"/>
        <v>93260.957988134367</v>
      </c>
      <c r="P89" s="36">
        <f t="shared" si="91"/>
        <v>84087.203064192814</v>
      </c>
      <c r="Q89" s="36">
        <f t="shared" si="91"/>
        <v>81040.483742622702</v>
      </c>
      <c r="R89" s="36">
        <f t="shared" si="91"/>
        <v>73866.990442419963</v>
      </c>
      <c r="S89" s="36">
        <f t="shared" si="91"/>
        <v>76985.936420413142</v>
      </c>
      <c r="T89" s="36">
        <f t="shared" si="91"/>
        <v>89167.820923727559</v>
      </c>
      <c r="U89" s="36">
        <f t="shared" si="91"/>
        <v>101983.34147147919</v>
      </c>
      <c r="V89" s="36">
        <f t="shared" si="91"/>
        <v>102924.51334561093</v>
      </c>
      <c r="W89" s="36">
        <f t="shared" ref="W89:Y89" si="92">IF(W7=0,0,W7*1000000/W27)</f>
        <v>126341.60286384202</v>
      </c>
      <c r="X89" s="36">
        <f t="shared" si="92"/>
        <v>158383.64141894912</v>
      </c>
      <c r="Y89" s="36">
        <f t="shared" si="92"/>
        <v>157763.54428767928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39170.887138620245</v>
      </c>
      <c r="C90" s="13">
        <f t="shared" si="84"/>
        <v>47183.041091883031</v>
      </c>
      <c r="D90" s="13">
        <f t="shared" ref="D90:V90" si="93">IF(D8=0,0,D8*1000000/D28)</f>
        <v>50927.332137212135</v>
      </c>
      <c r="E90" s="13">
        <f t="shared" si="93"/>
        <v>59434.169905542985</v>
      </c>
      <c r="F90" s="13">
        <f t="shared" si="93"/>
        <v>61428.633015353087</v>
      </c>
      <c r="G90" s="13">
        <f t="shared" si="93"/>
        <v>48741.738376049361</v>
      </c>
      <c r="H90" s="13">
        <f t="shared" si="93"/>
        <v>23283.580289168378</v>
      </c>
      <c r="I90" s="13">
        <f t="shared" si="93"/>
        <v>12965.33044759838</v>
      </c>
      <c r="J90" s="13">
        <f t="shared" si="93"/>
        <v>16309.638158275717</v>
      </c>
      <c r="K90" s="13">
        <f t="shared" si="93"/>
        <v>18242.750145928232</v>
      </c>
      <c r="L90" s="13">
        <f t="shared" si="93"/>
        <v>14057.553000945352</v>
      </c>
      <c r="M90" s="13">
        <f t="shared" si="93"/>
        <v>13472.169819269857</v>
      </c>
      <c r="N90" s="13">
        <f t="shared" si="93"/>
        <v>13538.616770620791</v>
      </c>
      <c r="O90" s="13">
        <f t="shared" si="93"/>
        <v>14843.551695853399</v>
      </c>
      <c r="P90" s="13">
        <f t="shared" si="93"/>
        <v>16526.25023563861</v>
      </c>
      <c r="Q90" s="13">
        <f t="shared" si="93"/>
        <v>15435.657746999597</v>
      </c>
      <c r="R90" s="13">
        <f t="shared" si="93"/>
        <v>16389.615372090248</v>
      </c>
      <c r="S90" s="13">
        <f t="shared" si="93"/>
        <v>16424.323446499886</v>
      </c>
      <c r="T90" s="13">
        <f t="shared" si="93"/>
        <v>17816.824125246705</v>
      </c>
      <c r="U90" s="13">
        <f t="shared" si="93"/>
        <v>18543.209405668076</v>
      </c>
      <c r="V90" s="13">
        <f t="shared" si="93"/>
        <v>13617.561374556099</v>
      </c>
      <c r="W90" s="13">
        <f t="shared" ref="W90:Y90" si="94">IF(W8=0,0,W8*1000000/W28)</f>
        <v>13482.740669172825</v>
      </c>
      <c r="X90" s="13">
        <f t="shared" si="94"/>
        <v>15661.601001394147</v>
      </c>
      <c r="Y90" s="13">
        <f t="shared" si="94"/>
        <v>16501.55264316755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10596.32246342182</v>
      </c>
      <c r="C92" s="34">
        <f t="shared" si="84"/>
        <v>11260.635284599557</v>
      </c>
      <c r="D92" s="34">
        <f t="shared" ref="D92:V92" si="97">IF(D10=0,0,D10*1000000/D30)</f>
        <v>10617.559119329722</v>
      </c>
      <c r="E92" s="34">
        <f t="shared" si="97"/>
        <v>10878.339548487902</v>
      </c>
      <c r="F92" s="34">
        <f t="shared" si="97"/>
        <v>9864.1524969052953</v>
      </c>
      <c r="G92" s="34">
        <f t="shared" si="97"/>
        <v>10003.874193195645</v>
      </c>
      <c r="H92" s="34">
        <f t="shared" si="97"/>
        <v>8801.4532772623406</v>
      </c>
      <c r="I92" s="34">
        <f t="shared" si="97"/>
        <v>9935.1908213148472</v>
      </c>
      <c r="J92" s="34">
        <f t="shared" si="97"/>
        <v>10214.927147780481</v>
      </c>
      <c r="K92" s="34">
        <f t="shared" si="97"/>
        <v>11220.978955024515</v>
      </c>
      <c r="L92" s="34">
        <f t="shared" si="97"/>
        <v>11674.759463515773</v>
      </c>
      <c r="M92" s="34">
        <f t="shared" si="97"/>
        <v>11203.938075636561</v>
      </c>
      <c r="N92" s="34">
        <f t="shared" si="97"/>
        <v>10780.34103459841</v>
      </c>
      <c r="O92" s="34">
        <f t="shared" si="97"/>
        <v>11713.427518839557</v>
      </c>
      <c r="P92" s="34">
        <f t="shared" si="97"/>
        <v>13554.478780484529</v>
      </c>
      <c r="Q92" s="34">
        <f t="shared" si="97"/>
        <v>14075.490705961598</v>
      </c>
      <c r="R92" s="34">
        <f t="shared" si="97"/>
        <v>15267.880791657964</v>
      </c>
      <c r="S92" s="34">
        <f t="shared" si="97"/>
        <v>14475.049449384305</v>
      </c>
      <c r="T92" s="34">
        <f t="shared" si="97"/>
        <v>14875.441258236471</v>
      </c>
      <c r="U92" s="34">
        <f t="shared" si="97"/>
        <v>14832.780611135438</v>
      </c>
      <c r="V92" s="34">
        <f t="shared" si="97"/>
        <v>11033.817437623396</v>
      </c>
      <c r="W92" s="34">
        <f t="shared" ref="W92:Y92" si="98">IF(W10=0,0,W10*1000000/W30)</f>
        <v>11476.1023418204</v>
      </c>
      <c r="X92" s="34">
        <f t="shared" si="98"/>
        <v>12686.799397110342</v>
      </c>
      <c r="Y92" s="34">
        <f t="shared" si="98"/>
        <v>13768.471158170454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218137.89747275773</v>
      </c>
      <c r="C93" s="35">
        <f t="shared" si="84"/>
        <v>228591.19041866454</v>
      </c>
      <c r="D93" s="35">
        <f t="shared" ref="D93:V93" si="99">IF(D11=0,0,D11*1000000/D31)</f>
        <v>215830.94902854925</v>
      </c>
      <c r="E93" s="35">
        <f t="shared" si="99"/>
        <v>196109.84054021654</v>
      </c>
      <c r="F93" s="35">
        <f t="shared" si="99"/>
        <v>190339.8343114726</v>
      </c>
      <c r="G93" s="35">
        <f t="shared" si="99"/>
        <v>182172.15945032329</v>
      </c>
      <c r="H93" s="35">
        <f t="shared" si="99"/>
        <v>145174.81597271087</v>
      </c>
      <c r="I93" s="35">
        <f t="shared" si="99"/>
        <v>115594.84213781022</v>
      </c>
      <c r="J93" s="35">
        <f t="shared" si="99"/>
        <v>84941.383885156829</v>
      </c>
      <c r="K93" s="35">
        <f t="shared" si="99"/>
        <v>66569.057753912639</v>
      </c>
      <c r="L93" s="35">
        <f t="shared" si="99"/>
        <v>35251.874465450572</v>
      </c>
      <c r="M93" s="35">
        <f t="shared" si="99"/>
        <v>32482.112051625081</v>
      </c>
      <c r="N93" s="35">
        <f t="shared" si="99"/>
        <v>39604.32247603227</v>
      </c>
      <c r="O93" s="35">
        <f t="shared" si="99"/>
        <v>43179.412666715543</v>
      </c>
      <c r="P93" s="35">
        <f t="shared" si="99"/>
        <v>42343.514752289717</v>
      </c>
      <c r="Q93" s="35">
        <f t="shared" si="99"/>
        <v>39918.66448568357</v>
      </c>
      <c r="R93" s="35">
        <f t="shared" si="99"/>
        <v>34960.554537024735</v>
      </c>
      <c r="S93" s="35">
        <f t="shared" si="99"/>
        <v>38451.119613905947</v>
      </c>
      <c r="T93" s="35">
        <f t="shared" si="99"/>
        <v>49707.606788620797</v>
      </c>
      <c r="U93" s="35">
        <f t="shared" si="99"/>
        <v>54616.822685846506</v>
      </c>
      <c r="V93" s="35">
        <f t="shared" si="99"/>
        <v>39910.955556282992</v>
      </c>
      <c r="W93" s="35">
        <f t="shared" ref="W93:Y93" si="100">IF(W11=0,0,W11*1000000/W31)</f>
        <v>35344.537182959764</v>
      </c>
      <c r="X93" s="35">
        <f t="shared" si="100"/>
        <v>42682.715573638699</v>
      </c>
      <c r="Y93" s="35">
        <f t="shared" si="100"/>
        <v>44105.675641638241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1395.0674023908909</v>
      </c>
      <c r="C95" s="62">
        <f t="shared" si="101"/>
        <v>1394.6534630361059</v>
      </c>
      <c r="D95" s="62">
        <f t="shared" ref="D95:V95" si="102">IF(D23=0,0,D23/D43)</f>
        <v>1394.6514741723938</v>
      </c>
      <c r="E95" s="62">
        <f t="shared" si="102"/>
        <v>1361.9564429497191</v>
      </c>
      <c r="F95" s="62">
        <f t="shared" si="102"/>
        <v>1144.6828871917478</v>
      </c>
      <c r="G95" s="62">
        <f t="shared" si="102"/>
        <v>1361.3465734845886</v>
      </c>
      <c r="H95" s="62">
        <f t="shared" si="102"/>
        <v>1387.3519045800044</v>
      </c>
      <c r="I95" s="62">
        <f t="shared" si="102"/>
        <v>1352.5602221268894</v>
      </c>
      <c r="J95" s="62">
        <f t="shared" si="102"/>
        <v>1317.9907671443034</v>
      </c>
      <c r="K95" s="62">
        <f t="shared" si="102"/>
        <v>1241.1354493038027</v>
      </c>
      <c r="L95" s="62">
        <f t="shared" si="102"/>
        <v>1173.4099699361475</v>
      </c>
      <c r="M95" s="62">
        <f t="shared" si="102"/>
        <v>1227.3196395955033</v>
      </c>
      <c r="N95" s="62">
        <f t="shared" si="102"/>
        <v>1160.784973323246</v>
      </c>
      <c r="O95" s="62">
        <f t="shared" si="102"/>
        <v>1150.4999422675498</v>
      </c>
      <c r="P95" s="62">
        <f t="shared" si="102"/>
        <v>1196.4441116777116</v>
      </c>
      <c r="Q95" s="62">
        <f t="shared" si="102"/>
        <v>1249.4735601570783</v>
      </c>
      <c r="R95" s="62">
        <f t="shared" si="102"/>
        <v>1253.2921783224263</v>
      </c>
      <c r="S95" s="62">
        <f t="shared" si="102"/>
        <v>1304.3974792294268</v>
      </c>
      <c r="T95" s="62">
        <f t="shared" si="102"/>
        <v>1297.0885228685856</v>
      </c>
      <c r="U95" s="62">
        <f t="shared" si="102"/>
        <v>1211.8057937319368</v>
      </c>
      <c r="V95" s="62">
        <f t="shared" si="102"/>
        <v>261.42986845241342</v>
      </c>
      <c r="W95" s="62">
        <f t="shared" ref="W95:Y95" si="103">IF(W23=0,0,W23/W43)</f>
        <v>365.99439973474381</v>
      </c>
      <c r="X95" s="62">
        <f t="shared" si="103"/>
        <v>731.26607912401585</v>
      </c>
      <c r="Y95" s="62">
        <f t="shared" si="103"/>
        <v>978.61929982118681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1398.748383541146</v>
      </c>
      <c r="C96" s="11">
        <f t="shared" si="104"/>
        <v>1398.7337521106165</v>
      </c>
      <c r="D96" s="11">
        <f t="shared" ref="D96:V96" si="105">IF(D24=0,0,D24/D44)</f>
        <v>1398.7338316073731</v>
      </c>
      <c r="E96" s="11">
        <f t="shared" si="105"/>
        <v>1367.0358671316562</v>
      </c>
      <c r="F96" s="11">
        <f t="shared" si="105"/>
        <v>1147.3578168219481</v>
      </c>
      <c r="G96" s="11">
        <f t="shared" si="105"/>
        <v>1366.8531224840556</v>
      </c>
      <c r="H96" s="11">
        <f t="shared" si="105"/>
        <v>1393.4578039563087</v>
      </c>
      <c r="I96" s="11">
        <f t="shared" si="105"/>
        <v>1360.3280722045106</v>
      </c>
      <c r="J96" s="11">
        <f t="shared" si="105"/>
        <v>1365.4537316369247</v>
      </c>
      <c r="K96" s="11">
        <f t="shared" si="105"/>
        <v>1297.3970503428636</v>
      </c>
      <c r="L96" s="11">
        <f t="shared" si="105"/>
        <v>1222.9740026466138</v>
      </c>
      <c r="M96" s="11">
        <f t="shared" si="105"/>
        <v>1282.8974173797396</v>
      </c>
      <c r="N96" s="11">
        <f t="shared" si="105"/>
        <v>1213.5947893339467</v>
      </c>
      <c r="O96" s="11">
        <f t="shared" si="105"/>
        <v>1205.7163474427709</v>
      </c>
      <c r="P96" s="11">
        <f t="shared" si="105"/>
        <v>1262.9309755730299</v>
      </c>
      <c r="Q96" s="11">
        <f t="shared" si="105"/>
        <v>1315.2840655218199</v>
      </c>
      <c r="R96" s="11">
        <f t="shared" si="105"/>
        <v>1320.3522067639904</v>
      </c>
      <c r="S96" s="11">
        <f t="shared" si="105"/>
        <v>1357.6451890288347</v>
      </c>
      <c r="T96" s="11">
        <f t="shared" si="105"/>
        <v>1348.8425364541715</v>
      </c>
      <c r="U96" s="11">
        <f t="shared" si="105"/>
        <v>1265.8319284489803</v>
      </c>
      <c r="V96" s="11">
        <f t="shared" si="105"/>
        <v>254.542751188664</v>
      </c>
      <c r="W96" s="11">
        <f t="shared" ref="W96:Y96" si="106">IF(W24=0,0,W24/W44)</f>
        <v>361.0445025759908</v>
      </c>
      <c r="X96" s="11">
        <f t="shared" si="106"/>
        <v>751.78290049915984</v>
      </c>
      <c r="Y96" s="11">
        <f t="shared" si="106"/>
        <v>1023.7263617268483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1606.3252604997685</v>
      </c>
      <c r="C98" s="36">
        <f t="shared" si="104"/>
        <v>1606.3464620368352</v>
      </c>
      <c r="D98" s="36">
        <f t="shared" ref="D98:V98" si="109">IF(D26=0,0,D26/D46)</f>
        <v>1606.32902077877</v>
      </c>
      <c r="E98" s="36">
        <f t="shared" si="109"/>
        <v>1569.9759487898245</v>
      </c>
      <c r="F98" s="36">
        <f t="shared" si="109"/>
        <v>1317.7035048441924</v>
      </c>
      <c r="G98" s="36">
        <f t="shared" si="109"/>
        <v>1566.1259443856841</v>
      </c>
      <c r="H98" s="36">
        <f t="shared" si="109"/>
        <v>1568.3606959834717</v>
      </c>
      <c r="I98" s="36">
        <f t="shared" si="109"/>
        <v>1529.269206785528</v>
      </c>
      <c r="J98" s="36">
        <f t="shared" si="109"/>
        <v>1536.8296719389296</v>
      </c>
      <c r="K98" s="36">
        <f t="shared" si="109"/>
        <v>1458.0060087544139</v>
      </c>
      <c r="L98" s="36">
        <f t="shared" si="109"/>
        <v>1341.4746627659074</v>
      </c>
      <c r="M98" s="36">
        <f t="shared" si="109"/>
        <v>1454.4268949771606</v>
      </c>
      <c r="N98" s="36">
        <f t="shared" si="109"/>
        <v>1397.322715602859</v>
      </c>
      <c r="O98" s="36">
        <f t="shared" si="109"/>
        <v>1413.4820159491885</v>
      </c>
      <c r="P98" s="36">
        <f t="shared" si="109"/>
        <v>1494.5063018705719</v>
      </c>
      <c r="Q98" s="36">
        <f t="shared" si="109"/>
        <v>1552.9440527518684</v>
      </c>
      <c r="R98" s="36">
        <f t="shared" si="109"/>
        <v>1517.1016676538047</v>
      </c>
      <c r="S98" s="36">
        <f t="shared" si="109"/>
        <v>1534.7366588424234</v>
      </c>
      <c r="T98" s="36">
        <f t="shared" si="109"/>
        <v>1531.6381304894212</v>
      </c>
      <c r="U98" s="36">
        <f t="shared" si="109"/>
        <v>1410.0557693277547</v>
      </c>
      <c r="V98" s="36">
        <f t="shared" si="109"/>
        <v>293.44078774577775</v>
      </c>
      <c r="W98" s="36">
        <f t="shared" ref="W98:Y98" si="110">IF(W26=0,0,W26/W46)</f>
        <v>427.06028815549735</v>
      </c>
      <c r="X98" s="36">
        <f t="shared" si="110"/>
        <v>866.72167309945496</v>
      </c>
      <c r="Y98" s="36">
        <f t="shared" si="110"/>
        <v>1166.6971806277052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1032</v>
      </c>
      <c r="C99" s="36">
        <f t="shared" si="104"/>
        <v>1032</v>
      </c>
      <c r="D99" s="36">
        <f t="shared" ref="D99:V99" si="111">IF(D27=0,0,D27/D47)</f>
        <v>1032</v>
      </c>
      <c r="E99" s="36">
        <f t="shared" si="111"/>
        <v>1008.5299517736053</v>
      </c>
      <c r="F99" s="36">
        <f t="shared" si="111"/>
        <v>846.4362104353462</v>
      </c>
      <c r="G99" s="36">
        <f t="shared" si="111"/>
        <v>984.23344475562374</v>
      </c>
      <c r="H99" s="36">
        <f t="shared" si="111"/>
        <v>1031</v>
      </c>
      <c r="I99" s="36">
        <f t="shared" si="111"/>
        <v>1028</v>
      </c>
      <c r="J99" s="36">
        <f t="shared" si="111"/>
        <v>1040</v>
      </c>
      <c r="K99" s="36">
        <f t="shared" si="111"/>
        <v>1030</v>
      </c>
      <c r="L99" s="36">
        <f t="shared" si="111"/>
        <v>1042</v>
      </c>
      <c r="M99" s="36">
        <f t="shared" si="111"/>
        <v>1027</v>
      </c>
      <c r="N99" s="36">
        <f t="shared" si="111"/>
        <v>957</v>
      </c>
      <c r="O99" s="36">
        <f t="shared" si="111"/>
        <v>951</v>
      </c>
      <c r="P99" s="36">
        <f t="shared" si="111"/>
        <v>1002</v>
      </c>
      <c r="Q99" s="36">
        <f t="shared" si="111"/>
        <v>1038</v>
      </c>
      <c r="R99" s="36">
        <f t="shared" si="111"/>
        <v>1053.0326797844941</v>
      </c>
      <c r="S99" s="36">
        <f t="shared" si="111"/>
        <v>1124</v>
      </c>
      <c r="T99" s="36">
        <f t="shared" si="111"/>
        <v>1084</v>
      </c>
      <c r="U99" s="36">
        <f t="shared" si="111"/>
        <v>1072</v>
      </c>
      <c r="V99" s="36">
        <f t="shared" si="111"/>
        <v>203.17623585329645</v>
      </c>
      <c r="W99" s="36">
        <f t="shared" ref="W99:Y99" si="112">IF(W27=0,0,W27/W47)</f>
        <v>275.59551352475654</v>
      </c>
      <c r="X99" s="36">
        <f t="shared" si="112"/>
        <v>606.39215431482751</v>
      </c>
      <c r="Y99" s="36">
        <f t="shared" si="112"/>
        <v>847.64364096492966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1095.674041970803</v>
      </c>
      <c r="C100" s="13">
        <f t="shared" si="104"/>
        <v>1014.5899485504149</v>
      </c>
      <c r="D100" s="13">
        <f t="shared" ref="D100:V100" si="113">IF(D28=0,0,D28/D48)</f>
        <v>970.8755357681199</v>
      </c>
      <c r="E100" s="13">
        <f t="shared" si="113"/>
        <v>884.36917158076437</v>
      </c>
      <c r="F100" s="13">
        <f t="shared" si="113"/>
        <v>913.64327860152946</v>
      </c>
      <c r="G100" s="13">
        <f t="shared" si="113"/>
        <v>951.21606806925774</v>
      </c>
      <c r="H100" s="13">
        <f t="shared" si="113"/>
        <v>1103.9934085108603</v>
      </c>
      <c r="I100" s="13">
        <f t="shared" si="113"/>
        <v>1225.1818472200321</v>
      </c>
      <c r="J100" s="13">
        <f t="shared" si="113"/>
        <v>439.25116093105356</v>
      </c>
      <c r="K100" s="13">
        <f t="shared" si="113"/>
        <v>212.89889878089389</v>
      </c>
      <c r="L100" s="13">
        <f t="shared" si="113"/>
        <v>304.79315872264738</v>
      </c>
      <c r="M100" s="13">
        <f t="shared" si="113"/>
        <v>324.6422590672716</v>
      </c>
      <c r="N100" s="13">
        <f t="shared" si="113"/>
        <v>350.79502082447016</v>
      </c>
      <c r="O100" s="13">
        <f t="shared" si="113"/>
        <v>326.91780485840621</v>
      </c>
      <c r="P100" s="13">
        <f t="shared" si="113"/>
        <v>270.65446148493032</v>
      </c>
      <c r="Q100" s="13">
        <f t="shared" si="113"/>
        <v>304.73966167619756</v>
      </c>
      <c r="R100" s="13">
        <f t="shared" si="113"/>
        <v>288.03748366882104</v>
      </c>
      <c r="S100" s="13">
        <f t="shared" si="113"/>
        <v>452.08367977454901</v>
      </c>
      <c r="T100" s="13">
        <f t="shared" si="113"/>
        <v>419.21271727712787</v>
      </c>
      <c r="U100" s="13">
        <f t="shared" si="113"/>
        <v>365.63529087406789</v>
      </c>
      <c r="V100" s="13">
        <f t="shared" si="113"/>
        <v>363.65571255427284</v>
      </c>
      <c r="W100" s="13">
        <f t="shared" ref="W100:Y100" si="114">IF(W28=0,0,W28/W48)</f>
        <v>435.00068217563927</v>
      </c>
      <c r="X100" s="13">
        <f t="shared" si="114"/>
        <v>465.58845156608623</v>
      </c>
      <c r="Y100" s="13">
        <f t="shared" si="114"/>
        <v>432.34834281313408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1338.3895201680218</v>
      </c>
      <c r="C102" s="34">
        <f t="shared" si="104"/>
        <v>1258.1962152731176</v>
      </c>
      <c r="D102" s="34">
        <f t="shared" ref="D102:V102" si="117">IF(D30=0,0,D30/D50)</f>
        <v>1241.8109143763211</v>
      </c>
      <c r="E102" s="34">
        <f t="shared" si="117"/>
        <v>1190.5578787481013</v>
      </c>
      <c r="F102" s="34">
        <f t="shared" si="117"/>
        <v>1328.7277585731554</v>
      </c>
      <c r="G102" s="34">
        <f t="shared" si="117"/>
        <v>1302.9138083271071</v>
      </c>
      <c r="H102" s="34">
        <f t="shared" si="117"/>
        <v>1314.7682638242381</v>
      </c>
      <c r="I102" s="34">
        <f t="shared" si="117"/>
        <v>1282.8783191096225</v>
      </c>
      <c r="J102" s="34">
        <f t="shared" si="117"/>
        <v>432.86642756525583</v>
      </c>
      <c r="K102" s="34">
        <f t="shared" si="117"/>
        <v>198.49155991153313</v>
      </c>
      <c r="L102" s="34">
        <f t="shared" si="117"/>
        <v>291.10104046393513</v>
      </c>
      <c r="M102" s="34">
        <f t="shared" si="117"/>
        <v>306.47701181230764</v>
      </c>
      <c r="N102" s="34">
        <f t="shared" si="117"/>
        <v>333.36883046818741</v>
      </c>
      <c r="O102" s="34">
        <f t="shared" si="117"/>
        <v>307.6380901926737</v>
      </c>
      <c r="P102" s="34">
        <f t="shared" si="117"/>
        <v>252.15720143768115</v>
      </c>
      <c r="Q102" s="34">
        <f t="shared" si="117"/>
        <v>298.12517191504708</v>
      </c>
      <c r="R102" s="34">
        <f t="shared" si="117"/>
        <v>278.7627863668431</v>
      </c>
      <c r="S102" s="34">
        <f t="shared" si="117"/>
        <v>427.86978287681717</v>
      </c>
      <c r="T102" s="34">
        <f t="shared" si="117"/>
        <v>395.68308690983679</v>
      </c>
      <c r="U102" s="34">
        <f t="shared" si="117"/>
        <v>341.50510681120733</v>
      </c>
      <c r="V102" s="34">
        <f t="shared" si="117"/>
        <v>340.55668454918151</v>
      </c>
      <c r="W102" s="34">
        <f t="shared" ref="W102:Y102" si="118">IF(W30=0,0,W30/W50)</f>
        <v>411.08446634659072</v>
      </c>
      <c r="X102" s="34">
        <f t="shared" si="118"/>
        <v>436.78577093192814</v>
      </c>
      <c r="Y102" s="34">
        <f t="shared" si="118"/>
        <v>408.36553692483562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513</v>
      </c>
      <c r="C103" s="35">
        <f t="shared" si="104"/>
        <v>513</v>
      </c>
      <c r="D103" s="35">
        <f t="shared" ref="D103:V103" si="119">IF(D31=0,0,D31/D51)</f>
        <v>513</v>
      </c>
      <c r="E103" s="35">
        <f t="shared" si="119"/>
        <v>513</v>
      </c>
      <c r="F103" s="35">
        <f t="shared" si="119"/>
        <v>513</v>
      </c>
      <c r="G103" s="35">
        <f t="shared" si="119"/>
        <v>492.91814946619218</v>
      </c>
      <c r="H103" s="35">
        <f t="shared" si="119"/>
        <v>469.92366412213738</v>
      </c>
      <c r="I103" s="35">
        <f t="shared" si="119"/>
        <v>485.55555555555554</v>
      </c>
      <c r="J103" s="35">
        <f t="shared" si="119"/>
        <v>526.74107142857144</v>
      </c>
      <c r="K103" s="35">
        <f t="shared" si="119"/>
        <v>425.41463414634143</v>
      </c>
      <c r="L103" s="35">
        <f t="shared" si="119"/>
        <v>524.03225806451599</v>
      </c>
      <c r="M103" s="35">
        <f t="shared" si="119"/>
        <v>645.08982035928125</v>
      </c>
      <c r="N103" s="35">
        <f t="shared" si="119"/>
        <v>693.243243243243</v>
      </c>
      <c r="O103" s="35">
        <f t="shared" si="119"/>
        <v>755.58139534883685</v>
      </c>
      <c r="P103" s="35">
        <f t="shared" si="119"/>
        <v>746.18181818181779</v>
      </c>
      <c r="Q103" s="35">
        <f t="shared" si="119"/>
        <v>507.36263736263697</v>
      </c>
      <c r="R103" s="35">
        <f t="shared" si="119"/>
        <v>641.24999999999932</v>
      </c>
      <c r="S103" s="35">
        <f t="shared" si="119"/>
        <v>1254</v>
      </c>
      <c r="T103" s="35">
        <f t="shared" si="119"/>
        <v>1180</v>
      </c>
      <c r="U103" s="35">
        <f t="shared" si="119"/>
        <v>1168</v>
      </c>
      <c r="V103" s="35">
        <f t="shared" si="119"/>
        <v>1174</v>
      </c>
      <c r="W103" s="35">
        <f t="shared" ref="W103:Y103" si="120">IF(W31=0,0,W31/W51)</f>
        <v>1188</v>
      </c>
      <c r="X103" s="35">
        <f t="shared" si="120"/>
        <v>1161</v>
      </c>
      <c r="Y103" s="35">
        <f t="shared" si="120"/>
        <v>1062.7002288329518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0.55081440358180778</v>
      </c>
      <c r="C108" s="43">
        <f t="shared" si="127"/>
        <v>0.55395793332396726</v>
      </c>
      <c r="D108" s="43">
        <f t="shared" ref="D108:V108" si="128">IF(D6=0,0,D6/D$4)</f>
        <v>0.55521402423001065</v>
      </c>
      <c r="E108" s="43">
        <f t="shared" si="128"/>
        <v>0.55301339020066764</v>
      </c>
      <c r="F108" s="43">
        <f t="shared" si="128"/>
        <v>0.55241647643488068</v>
      </c>
      <c r="G108" s="43">
        <f t="shared" si="128"/>
        <v>0.60633467962002885</v>
      </c>
      <c r="H108" s="43">
        <f t="shared" si="128"/>
        <v>0.61680803840808518</v>
      </c>
      <c r="I108" s="43">
        <f t="shared" si="128"/>
        <v>0.59062534915613218</v>
      </c>
      <c r="J108" s="43">
        <f t="shared" si="128"/>
        <v>0.57665485563428487</v>
      </c>
      <c r="K108" s="43">
        <f t="shared" si="128"/>
        <v>0.53539457016476044</v>
      </c>
      <c r="L108" s="43">
        <f t="shared" si="128"/>
        <v>0.52217834644151706</v>
      </c>
      <c r="M108" s="43">
        <f t="shared" si="128"/>
        <v>0.54818872324762624</v>
      </c>
      <c r="N108" s="43">
        <f t="shared" si="128"/>
        <v>0.4795172894533401</v>
      </c>
      <c r="O108" s="43">
        <f t="shared" si="128"/>
        <v>0.49684690994221103</v>
      </c>
      <c r="P108" s="43">
        <f t="shared" si="128"/>
        <v>0.52605778426468741</v>
      </c>
      <c r="Q108" s="43">
        <f t="shared" si="128"/>
        <v>0.55691910808331657</v>
      </c>
      <c r="R108" s="43">
        <f t="shared" si="128"/>
        <v>0.61251208127890211</v>
      </c>
      <c r="S108" s="43">
        <f t="shared" si="128"/>
        <v>0.60091276839635277</v>
      </c>
      <c r="T108" s="43">
        <f t="shared" si="128"/>
        <v>0.59557288526507657</v>
      </c>
      <c r="U108" s="43">
        <f t="shared" si="128"/>
        <v>0.56314630531046894</v>
      </c>
      <c r="V108" s="43">
        <f t="shared" si="128"/>
        <v>0.56712184088626572</v>
      </c>
      <c r="W108" s="43">
        <f t="shared" ref="W108:Y108" si="129">IF(W6=0,0,W6/W$4)</f>
        <v>0.54565870907614666</v>
      </c>
      <c r="X108" s="43">
        <f t="shared" si="129"/>
        <v>0.50468773118853805</v>
      </c>
      <c r="Y108" s="43">
        <f t="shared" si="129"/>
        <v>0.49355449140249646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0.44918559641819228</v>
      </c>
      <c r="C109" s="43">
        <f t="shared" si="130"/>
        <v>0.44604206667603269</v>
      </c>
      <c r="D109" s="43">
        <f t="shared" ref="D109:V109" si="131">IF(D7=0,0,D7/D$4)</f>
        <v>0.44478597576998935</v>
      </c>
      <c r="E109" s="43">
        <f t="shared" si="131"/>
        <v>0.44698660979933236</v>
      </c>
      <c r="F109" s="43">
        <f t="shared" si="131"/>
        <v>0.44758352356511932</v>
      </c>
      <c r="G109" s="43">
        <f t="shared" si="131"/>
        <v>0.39366532037997121</v>
      </c>
      <c r="H109" s="43">
        <f t="shared" si="131"/>
        <v>0.38319196159191482</v>
      </c>
      <c r="I109" s="43">
        <f t="shared" si="131"/>
        <v>0.40937465084386782</v>
      </c>
      <c r="J109" s="43">
        <f t="shared" si="131"/>
        <v>0.42334514436571513</v>
      </c>
      <c r="K109" s="43">
        <f t="shared" si="131"/>
        <v>0.46460542983523956</v>
      </c>
      <c r="L109" s="43">
        <f t="shared" si="131"/>
        <v>0.47782165355848288</v>
      </c>
      <c r="M109" s="43">
        <f t="shared" si="131"/>
        <v>0.45181127675237376</v>
      </c>
      <c r="N109" s="43">
        <f t="shared" si="131"/>
        <v>0.52048271054665995</v>
      </c>
      <c r="O109" s="43">
        <f t="shared" si="131"/>
        <v>0.50315309005778908</v>
      </c>
      <c r="P109" s="43">
        <f t="shared" si="131"/>
        <v>0.4739422157353127</v>
      </c>
      <c r="Q109" s="43">
        <f t="shared" si="131"/>
        <v>0.44308089191668343</v>
      </c>
      <c r="R109" s="43">
        <f t="shared" si="131"/>
        <v>0.38748791872109795</v>
      </c>
      <c r="S109" s="43">
        <f t="shared" si="131"/>
        <v>0.39908723160364717</v>
      </c>
      <c r="T109" s="43">
        <f t="shared" si="131"/>
        <v>0.40442711473492354</v>
      </c>
      <c r="U109" s="43">
        <f t="shared" si="131"/>
        <v>0.43685369468953111</v>
      </c>
      <c r="V109" s="43">
        <f t="shared" si="131"/>
        <v>0.43287815911373434</v>
      </c>
      <c r="W109" s="43">
        <f t="shared" ref="W109:Y109" si="132">IF(W7=0,0,W7/W$4)</f>
        <v>0.45434129092385322</v>
      </c>
      <c r="X109" s="43">
        <f t="shared" si="132"/>
        <v>0.49531226881146201</v>
      </c>
      <c r="Y109" s="43">
        <f t="shared" si="132"/>
        <v>0.50644550859750359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0.233270399741794</v>
      </c>
      <c r="C112" s="44">
        <f t="shared" si="139"/>
        <v>0.19921084009365014</v>
      </c>
      <c r="D112" s="44">
        <f t="shared" ref="D112:V112" si="140">IF(D10=0,0,D10/D$8)</f>
        <v>0.16753218343489773</v>
      </c>
      <c r="E112" s="44">
        <f t="shared" si="140"/>
        <v>0.13505254620838003</v>
      </c>
      <c r="F112" s="44">
        <f t="shared" si="140"/>
        <v>0.11469933264369113</v>
      </c>
      <c r="G112" s="44">
        <f t="shared" si="140"/>
        <v>0.15906290497706749</v>
      </c>
      <c r="H112" s="44">
        <f t="shared" si="140"/>
        <v>0.33786838514079276</v>
      </c>
      <c r="I112" s="44">
        <f t="shared" si="140"/>
        <v>0.74431318470962904</v>
      </c>
      <c r="J112" s="44">
        <f t="shared" si="140"/>
        <v>0.57523010018437415</v>
      </c>
      <c r="K112" s="44">
        <f t="shared" si="140"/>
        <v>0.53705838456619459</v>
      </c>
      <c r="L112" s="44">
        <f t="shared" si="140"/>
        <v>0.74656403995648102</v>
      </c>
      <c r="M112" s="44">
        <f t="shared" si="140"/>
        <v>0.74298422493256633</v>
      </c>
      <c r="N112" s="44">
        <f t="shared" si="140"/>
        <v>0.72006835096294541</v>
      </c>
      <c r="O112" s="44">
        <f t="shared" si="140"/>
        <v>0.71062624819551246</v>
      </c>
      <c r="P112" s="44">
        <f t="shared" si="140"/>
        <v>0.73551511105193124</v>
      </c>
      <c r="Q112" s="44">
        <f t="shared" si="140"/>
        <v>0.86388773476399738</v>
      </c>
      <c r="R112" s="44">
        <f t="shared" si="140"/>
        <v>0.87849476955960093</v>
      </c>
      <c r="S112" s="44">
        <f t="shared" si="140"/>
        <v>0.80966599349639579</v>
      </c>
      <c r="T112" s="44">
        <f t="shared" si="140"/>
        <v>0.76440631560256489</v>
      </c>
      <c r="U112" s="44">
        <f t="shared" si="140"/>
        <v>0.72530122359108629</v>
      </c>
      <c r="V112" s="44">
        <f t="shared" si="140"/>
        <v>0.73776654014899778</v>
      </c>
      <c r="W112" s="44">
        <f t="shared" ref="W112:Y112" si="141">IF(W10=0,0,W10/W$8)</f>
        <v>0.77961132203026584</v>
      </c>
      <c r="X112" s="44">
        <f t="shared" si="141"/>
        <v>0.72972133657098026</v>
      </c>
      <c r="Y112" s="44">
        <f t="shared" si="141"/>
        <v>0.75920542884886066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0.76672960025820591</v>
      </c>
      <c r="C113" s="45">
        <f t="shared" si="142"/>
        <v>0.80078915990634991</v>
      </c>
      <c r="D113" s="45">
        <f t="shared" ref="D113:V113" si="143">IF(D11=0,0,D11/D$8)</f>
        <v>0.83246781656510227</v>
      </c>
      <c r="E113" s="45">
        <f t="shared" si="143"/>
        <v>0.86494745379161997</v>
      </c>
      <c r="F113" s="45">
        <f t="shared" si="143"/>
        <v>0.88530066735630886</v>
      </c>
      <c r="G113" s="45">
        <f t="shared" si="143"/>
        <v>0.84093709502293246</v>
      </c>
      <c r="H113" s="45">
        <f t="shared" si="143"/>
        <v>0.66213161485920724</v>
      </c>
      <c r="I113" s="45">
        <f t="shared" si="143"/>
        <v>0.25568681529037096</v>
      </c>
      <c r="J113" s="45">
        <f t="shared" si="143"/>
        <v>0.4247698998156258</v>
      </c>
      <c r="K113" s="45">
        <f t="shared" si="143"/>
        <v>0.46294161543380541</v>
      </c>
      <c r="L113" s="45">
        <f t="shared" si="143"/>
        <v>0.25343596004351909</v>
      </c>
      <c r="M113" s="45">
        <f t="shared" si="143"/>
        <v>0.25701577506743367</v>
      </c>
      <c r="N113" s="45">
        <f t="shared" si="143"/>
        <v>0.27993164903705459</v>
      </c>
      <c r="O113" s="45">
        <f t="shared" si="143"/>
        <v>0.28937375180448743</v>
      </c>
      <c r="P113" s="45">
        <f t="shared" si="143"/>
        <v>0.26448488894806876</v>
      </c>
      <c r="Q113" s="45">
        <f t="shared" si="143"/>
        <v>0.13611226523600256</v>
      </c>
      <c r="R113" s="45">
        <f t="shared" si="143"/>
        <v>0.1215052304403991</v>
      </c>
      <c r="S113" s="45">
        <f t="shared" si="143"/>
        <v>0.19033400650360432</v>
      </c>
      <c r="T113" s="45">
        <f t="shared" si="143"/>
        <v>0.235593684397435</v>
      </c>
      <c r="U113" s="45">
        <f t="shared" si="143"/>
        <v>0.27469877640891371</v>
      </c>
      <c r="V113" s="45">
        <f t="shared" si="143"/>
        <v>0.26223345985100222</v>
      </c>
      <c r="W113" s="45">
        <f t="shared" ref="W113:Y113" si="144">IF(W11=0,0,W11/W$8)</f>
        <v>0.22038867796973419</v>
      </c>
      <c r="X113" s="45">
        <f t="shared" si="144"/>
        <v>0.27027866342901985</v>
      </c>
      <c r="Y113" s="45">
        <f t="shared" si="144"/>
        <v>0.24079457115113936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0.63246302942013011</v>
      </c>
      <c r="C118" s="43">
        <f t="shared" si="151"/>
        <v>0.63240832495341004</v>
      </c>
      <c r="D118" s="43">
        <f t="shared" ref="D118:V118" si="152">IF(D16=0,0,D16/D$14)</f>
        <v>0.63243235873814552</v>
      </c>
      <c r="E118" s="43">
        <f t="shared" si="152"/>
        <v>0.63246243608900221</v>
      </c>
      <c r="F118" s="43">
        <f t="shared" si="152"/>
        <v>0.63246818579728625</v>
      </c>
      <c r="G118" s="43">
        <f t="shared" si="152"/>
        <v>0.65793005398712878</v>
      </c>
      <c r="H118" s="43">
        <f t="shared" si="152"/>
        <v>0.67740760614459039</v>
      </c>
      <c r="I118" s="43">
        <f t="shared" si="152"/>
        <v>0.67315598292715073</v>
      </c>
      <c r="J118" s="43">
        <f t="shared" si="152"/>
        <v>0.6667397349011055</v>
      </c>
      <c r="K118" s="43">
        <f t="shared" si="152"/>
        <v>0.62372143743912445</v>
      </c>
      <c r="L118" s="43">
        <f t="shared" si="152"/>
        <v>0.58550813010580671</v>
      </c>
      <c r="M118" s="43">
        <f t="shared" si="152"/>
        <v>0.58799867150101481</v>
      </c>
      <c r="N118" s="43">
        <f t="shared" si="152"/>
        <v>0.53421190250038908</v>
      </c>
      <c r="O118" s="43">
        <f t="shared" si="152"/>
        <v>0.51560321394378983</v>
      </c>
      <c r="P118" s="43">
        <f t="shared" si="152"/>
        <v>0.51871986511584478</v>
      </c>
      <c r="Q118" s="43">
        <f t="shared" si="152"/>
        <v>0.54674234262920707</v>
      </c>
      <c r="R118" s="43">
        <f t="shared" si="152"/>
        <v>0.61520094726383279</v>
      </c>
      <c r="S118" s="43">
        <f t="shared" si="152"/>
        <v>0.59875113876600916</v>
      </c>
      <c r="T118" s="43">
        <f t="shared" si="152"/>
        <v>0.61375839202761662</v>
      </c>
      <c r="U118" s="43">
        <f t="shared" si="152"/>
        <v>0.580332286015532</v>
      </c>
      <c r="V118" s="43">
        <f t="shared" si="152"/>
        <v>0.57416143756113347</v>
      </c>
      <c r="W118" s="43">
        <f t="shared" ref="W118:Y118" si="153">IF(W16=0,0,W16/W$14)</f>
        <v>0.55908758508917122</v>
      </c>
      <c r="X118" s="43">
        <f t="shared" si="153"/>
        <v>0.53098182605125721</v>
      </c>
      <c r="Y118" s="43">
        <f t="shared" si="153"/>
        <v>0.5261539870532681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0.36753697057986984</v>
      </c>
      <c r="C119" s="43">
        <f t="shared" si="154"/>
        <v>0.36759167504658991</v>
      </c>
      <c r="D119" s="43">
        <f t="shared" ref="D119:V119" si="155">IF(D17=0,0,D17/D$14)</f>
        <v>0.36756764126185459</v>
      </c>
      <c r="E119" s="43">
        <f t="shared" si="155"/>
        <v>0.36753756391099773</v>
      </c>
      <c r="F119" s="43">
        <f t="shared" si="155"/>
        <v>0.36753181420271386</v>
      </c>
      <c r="G119" s="43">
        <f t="shared" si="155"/>
        <v>0.34206994601287122</v>
      </c>
      <c r="H119" s="43">
        <f t="shared" si="155"/>
        <v>0.32259239385540961</v>
      </c>
      <c r="I119" s="43">
        <f t="shared" si="155"/>
        <v>0.32684401707284932</v>
      </c>
      <c r="J119" s="43">
        <f t="shared" si="155"/>
        <v>0.33326026509889445</v>
      </c>
      <c r="K119" s="43">
        <f t="shared" si="155"/>
        <v>0.37627856256087561</v>
      </c>
      <c r="L119" s="43">
        <f t="shared" si="155"/>
        <v>0.41449186989419334</v>
      </c>
      <c r="M119" s="43">
        <f t="shared" si="155"/>
        <v>0.41200132849898513</v>
      </c>
      <c r="N119" s="43">
        <f t="shared" si="155"/>
        <v>0.46578809749961081</v>
      </c>
      <c r="O119" s="43">
        <f t="shared" si="155"/>
        <v>0.48439678605621012</v>
      </c>
      <c r="P119" s="43">
        <f t="shared" si="155"/>
        <v>0.48128013488415528</v>
      </c>
      <c r="Q119" s="43">
        <f t="shared" si="155"/>
        <v>0.45325765737079293</v>
      </c>
      <c r="R119" s="43">
        <f t="shared" si="155"/>
        <v>0.38479905273616727</v>
      </c>
      <c r="S119" s="43">
        <f t="shared" si="155"/>
        <v>0.40124886123399089</v>
      </c>
      <c r="T119" s="43">
        <f t="shared" si="155"/>
        <v>0.38624160797238338</v>
      </c>
      <c r="U119" s="43">
        <f t="shared" si="155"/>
        <v>0.419667713984468</v>
      </c>
      <c r="V119" s="43">
        <f t="shared" si="155"/>
        <v>0.42583856243886647</v>
      </c>
      <c r="W119" s="43">
        <f t="shared" ref="W119:Y119" si="156">IF(W17=0,0,W17/W$14)</f>
        <v>0.44091241491082889</v>
      </c>
      <c r="X119" s="43">
        <f t="shared" si="156"/>
        <v>0.46901817394874273</v>
      </c>
      <c r="Y119" s="43">
        <f t="shared" si="156"/>
        <v>0.4738460129467319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0.4913982703216665</v>
      </c>
      <c r="C122" s="44">
        <f t="shared" si="163"/>
        <v>0.44098227361213177</v>
      </c>
      <c r="D122" s="44">
        <f t="shared" ref="D122:V122" si="164">IF(D20=0,0,D20/D$18)</f>
        <v>0.3917199152929432</v>
      </c>
      <c r="E122" s="44">
        <f t="shared" si="164"/>
        <v>0.30899221635041485</v>
      </c>
      <c r="F122" s="44">
        <f t="shared" si="164"/>
        <v>0.28489431155559269</v>
      </c>
      <c r="G122" s="44">
        <f t="shared" si="164"/>
        <v>0.3475681573447113</v>
      </c>
      <c r="H122" s="44">
        <f t="shared" si="164"/>
        <v>0.61246921959304501</v>
      </c>
      <c r="I122" s="44">
        <f t="shared" si="164"/>
        <v>0.900811150253089</v>
      </c>
      <c r="J122" s="44">
        <f t="shared" si="164"/>
        <v>0.8108541762765481</v>
      </c>
      <c r="K122" s="44">
        <f t="shared" si="164"/>
        <v>0.80349251405378386</v>
      </c>
      <c r="L122" s="44">
        <f t="shared" si="164"/>
        <v>0.91279535520197486</v>
      </c>
      <c r="M122" s="44">
        <f t="shared" si="164"/>
        <v>0.91037485159108045</v>
      </c>
      <c r="N122" s="44">
        <f t="shared" si="164"/>
        <v>0.89897070392149336</v>
      </c>
      <c r="O122" s="44">
        <f t="shared" si="164"/>
        <v>0.89371677737286692</v>
      </c>
      <c r="P122" s="44">
        <f t="shared" si="164"/>
        <v>0.90434840233801439</v>
      </c>
      <c r="Q122" s="44">
        <f t="shared" si="164"/>
        <v>0.95573065428133663</v>
      </c>
      <c r="R122" s="44">
        <f t="shared" si="164"/>
        <v>0.96319926520212362</v>
      </c>
      <c r="S122" s="44">
        <f t="shared" si="164"/>
        <v>0.94225274308934637</v>
      </c>
      <c r="T122" s="44">
        <f t="shared" si="164"/>
        <v>0.92663546257097817</v>
      </c>
      <c r="U122" s="44">
        <f t="shared" si="164"/>
        <v>0.90966407706408925</v>
      </c>
      <c r="V122" s="44">
        <f t="shared" si="164"/>
        <v>0.90511427998034288</v>
      </c>
      <c r="W122" s="44">
        <f t="shared" ref="W122:Y122" si="165">IF(W20=0,0,W20/W$18)</f>
        <v>0.91962339682560157</v>
      </c>
      <c r="X122" s="44">
        <f t="shared" si="165"/>
        <v>0.90568677086324922</v>
      </c>
      <c r="Y122" s="44">
        <f t="shared" si="165"/>
        <v>0.91944875235526391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0.5086017296783335</v>
      </c>
      <c r="C123" s="45">
        <f t="shared" si="166"/>
        <v>0.55901772638786817</v>
      </c>
      <c r="D123" s="45">
        <f t="shared" ref="D123:V123" si="167">IF(D21=0,0,D21/D$18)</f>
        <v>0.60828008470705686</v>
      </c>
      <c r="E123" s="45">
        <f t="shared" si="167"/>
        <v>0.69100778364958526</v>
      </c>
      <c r="F123" s="45">
        <f t="shared" si="167"/>
        <v>0.71510568844440736</v>
      </c>
      <c r="G123" s="45">
        <f t="shared" si="167"/>
        <v>0.65243184265528864</v>
      </c>
      <c r="H123" s="45">
        <f t="shared" si="167"/>
        <v>0.38753078040695493</v>
      </c>
      <c r="I123" s="45">
        <f t="shared" si="167"/>
        <v>9.9188849746910959E-2</v>
      </c>
      <c r="J123" s="45">
        <f t="shared" si="167"/>
        <v>0.18914582372345193</v>
      </c>
      <c r="K123" s="45">
        <f t="shared" si="167"/>
        <v>0.19650748594621625</v>
      </c>
      <c r="L123" s="45">
        <f t="shared" si="167"/>
        <v>8.720464479802513E-2</v>
      </c>
      <c r="M123" s="45">
        <f t="shared" si="167"/>
        <v>8.9625148408919553E-2</v>
      </c>
      <c r="N123" s="45">
        <f t="shared" si="167"/>
        <v>0.10102929607850659</v>
      </c>
      <c r="O123" s="45">
        <f t="shared" si="167"/>
        <v>0.10628322262713312</v>
      </c>
      <c r="P123" s="45">
        <f t="shared" si="167"/>
        <v>9.5651597661985638E-2</v>
      </c>
      <c r="Q123" s="45">
        <f t="shared" si="167"/>
        <v>4.4269345718663276E-2</v>
      </c>
      <c r="R123" s="45">
        <f t="shared" si="167"/>
        <v>3.6800734797876405E-2</v>
      </c>
      <c r="S123" s="45">
        <f t="shared" si="167"/>
        <v>5.774725691065364E-2</v>
      </c>
      <c r="T123" s="45">
        <f t="shared" si="167"/>
        <v>7.3364537429021923E-2</v>
      </c>
      <c r="U123" s="45">
        <f t="shared" si="167"/>
        <v>9.0335922935910737E-2</v>
      </c>
      <c r="V123" s="45">
        <f t="shared" si="167"/>
        <v>9.4885720019657047E-2</v>
      </c>
      <c r="W123" s="45">
        <f t="shared" ref="W123:Y123" si="168">IF(W21=0,0,W21/W$18)</f>
        <v>8.0376603174398445E-2</v>
      </c>
      <c r="X123" s="45">
        <f t="shared" si="168"/>
        <v>9.4313229136750831E-2</v>
      </c>
      <c r="Y123" s="45">
        <f t="shared" si="168"/>
        <v>8.055124764473609E-2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25.279449699054165</v>
      </c>
      <c r="C3" s="79">
        <f t="shared" si="0"/>
        <v>27.386070507308684</v>
      </c>
      <c r="D3" s="79">
        <f t="shared" ref="D3" si="1">SUM(D4:D5)</f>
        <v>29.492691315563199</v>
      </c>
      <c r="E3" s="79">
        <f t="shared" ref="E3" si="2">SUM(E4:E5)</f>
        <v>26.332760103181418</v>
      </c>
      <c r="F3" s="79">
        <f t="shared" ref="F3" si="3">SUM(F4:F5)</f>
        <v>20.012897678417882</v>
      </c>
      <c r="G3" s="79">
        <f t="shared" ref="G3" si="4">SUM(G4:G5)</f>
        <v>23.172828890799646</v>
      </c>
      <c r="H3" s="79">
        <f t="shared" ref="H3" si="5">SUM(H4:H5)</f>
        <v>25.279449699054169</v>
      </c>
      <c r="I3" s="79">
        <f t="shared" ref="I3" si="6">SUM(I4:I5)</f>
        <v>32.238005159071356</v>
      </c>
      <c r="J3" s="79">
        <f t="shared" ref="J3" si="7">SUM(J4:J5)</f>
        <v>35.357781599312119</v>
      </c>
      <c r="K3" s="79">
        <f t="shared" ref="K3" si="8">SUM(K4:K5)</f>
        <v>28.078245915735167</v>
      </c>
      <c r="L3" s="79">
        <f t="shared" ref="L3" si="9">SUM(L4:L5)</f>
        <v>28.07824591573517</v>
      </c>
      <c r="M3" s="79">
        <f t="shared" ref="M3" si="10">SUM(M4:M5)</f>
        <v>23.918486672398974</v>
      </c>
      <c r="N3" s="79">
        <f t="shared" ref="N3" si="11">SUM(N4:N5)</f>
        <v>23.91848667239897</v>
      </c>
      <c r="O3" s="79">
        <f t="shared" ref="O3" si="12">SUM(O4:O5)</f>
        <v>25.998366294067065</v>
      </c>
      <c r="P3" s="79">
        <f t="shared" ref="P3" si="13">SUM(P4:P5)</f>
        <v>25.998366294067061</v>
      </c>
      <c r="Q3" s="79">
        <f t="shared" ref="Q3" si="14">SUM(Q4:Q5)</f>
        <v>25.998366294067058</v>
      </c>
      <c r="R3" s="79">
        <f t="shared" ref="R3" si="15">SUM(R4:R5)</f>
        <v>21.838607050730868</v>
      </c>
      <c r="S3" s="79">
        <f t="shared" ref="S3" si="16">SUM(S4:S5)</f>
        <v>26.363370593293194</v>
      </c>
      <c r="T3" s="79">
        <f t="shared" ref="T3" si="17">SUM(T4:T5)</f>
        <v>35.548065348237323</v>
      </c>
      <c r="U3" s="79">
        <f t="shared" ref="U3" si="18">SUM(U4:U5)</f>
        <v>27.5</v>
      </c>
      <c r="V3" s="79">
        <f t="shared" ref="V3:W3" si="19">SUM(V4:V5)</f>
        <v>9.9469475494411004</v>
      </c>
      <c r="W3" s="79">
        <f t="shared" si="19"/>
        <v>10.69260533104041</v>
      </c>
      <c r="X3" s="79">
        <f t="shared" ref="X3:Y3" si="20">SUM(X4:X5)</f>
        <v>22.207824591573512</v>
      </c>
      <c r="Y3" s="79">
        <f t="shared" si="20"/>
        <v>19.719260533104045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25.279449699054165</v>
      </c>
      <c r="C5" s="96">
        <f t="shared" si="24"/>
        <v>27.386070507308684</v>
      </c>
      <c r="D5" s="96">
        <f t="shared" ref="D5:V5" si="25">SUM(D8:D9,D12:D13)</f>
        <v>29.492691315563199</v>
      </c>
      <c r="E5" s="96">
        <f t="shared" si="25"/>
        <v>26.332760103181418</v>
      </c>
      <c r="F5" s="96">
        <f t="shared" si="25"/>
        <v>20.012897678417882</v>
      </c>
      <c r="G5" s="96">
        <f t="shared" si="25"/>
        <v>23.172828890799646</v>
      </c>
      <c r="H5" s="96">
        <f t="shared" si="25"/>
        <v>25.279449699054169</v>
      </c>
      <c r="I5" s="96">
        <f t="shared" si="25"/>
        <v>32.238005159071356</v>
      </c>
      <c r="J5" s="96">
        <f t="shared" si="25"/>
        <v>35.357781599312119</v>
      </c>
      <c r="K5" s="96">
        <f t="shared" si="25"/>
        <v>28.078245915735167</v>
      </c>
      <c r="L5" s="96">
        <f t="shared" si="25"/>
        <v>28.07824591573517</v>
      </c>
      <c r="M5" s="96">
        <f t="shared" si="25"/>
        <v>23.918486672398974</v>
      </c>
      <c r="N5" s="96">
        <f t="shared" si="25"/>
        <v>23.91848667239897</v>
      </c>
      <c r="O5" s="96">
        <f t="shared" si="25"/>
        <v>25.998366294067065</v>
      </c>
      <c r="P5" s="96">
        <f t="shared" si="25"/>
        <v>25.998366294067061</v>
      </c>
      <c r="Q5" s="96">
        <f t="shared" si="25"/>
        <v>25.998366294067058</v>
      </c>
      <c r="R5" s="96">
        <f t="shared" si="25"/>
        <v>21.838607050730868</v>
      </c>
      <c r="S5" s="96">
        <f t="shared" si="25"/>
        <v>26.363370593293194</v>
      </c>
      <c r="T5" s="96">
        <f t="shared" si="25"/>
        <v>35.548065348237323</v>
      </c>
      <c r="U5" s="96">
        <f t="shared" si="25"/>
        <v>27.5</v>
      </c>
      <c r="V5" s="96">
        <f t="shared" si="25"/>
        <v>9.9469475494411004</v>
      </c>
      <c r="W5" s="96">
        <f t="shared" ref="W5:Y5" si="26">SUM(W8:W9,W12:W13)</f>
        <v>10.69260533104041</v>
      </c>
      <c r="X5" s="96">
        <f t="shared" si="26"/>
        <v>22.207824591573512</v>
      </c>
      <c r="Y5" s="96">
        <f t="shared" si="26"/>
        <v>19.719260533104045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24.966318355097094</v>
      </c>
      <c r="C6" s="21">
        <f t="shared" si="27"/>
        <v>27.086237197046039</v>
      </c>
      <c r="D6" s="21">
        <f t="shared" ref="D6:V6" si="28">SUM(D7:D9)</f>
        <v>29.189692179647885</v>
      </c>
      <c r="E6" s="21">
        <f t="shared" si="28"/>
        <v>26.006474996880687</v>
      </c>
      <c r="F6" s="21">
        <f t="shared" si="28"/>
        <v>19.664727526946884</v>
      </c>
      <c r="G6" s="21">
        <f t="shared" si="28"/>
        <v>22.814781390656705</v>
      </c>
      <c r="H6" s="21">
        <f t="shared" si="28"/>
        <v>24.875429786977762</v>
      </c>
      <c r="I6" s="21">
        <f t="shared" si="28"/>
        <v>31.071309821562938</v>
      </c>
      <c r="J6" s="21">
        <f t="shared" si="28"/>
        <v>34.907439642413294</v>
      </c>
      <c r="K6" s="21">
        <f t="shared" si="28"/>
        <v>27.879961464737704</v>
      </c>
      <c r="L6" s="21">
        <f t="shared" si="28"/>
        <v>27.769663558291704</v>
      </c>
      <c r="M6" s="21">
        <f t="shared" si="28"/>
        <v>23.642596437511379</v>
      </c>
      <c r="N6" s="21">
        <f t="shared" si="28"/>
        <v>23.588525118629445</v>
      </c>
      <c r="O6" s="21">
        <f t="shared" si="28"/>
        <v>25.639466187162391</v>
      </c>
      <c r="P6" s="21">
        <f t="shared" si="28"/>
        <v>25.67733443931354</v>
      </c>
      <c r="Q6" s="21">
        <f t="shared" si="28"/>
        <v>25.658894075290259</v>
      </c>
      <c r="R6" s="21">
        <f t="shared" si="28"/>
        <v>21.581414879456602</v>
      </c>
      <c r="S6" s="21">
        <f t="shared" si="28"/>
        <v>25.925184050938675</v>
      </c>
      <c r="T6" s="21">
        <f t="shared" si="28"/>
        <v>35.049588615528243</v>
      </c>
      <c r="U6" s="21">
        <f t="shared" si="28"/>
        <v>27.116307545320264</v>
      </c>
      <c r="V6" s="21">
        <f t="shared" si="28"/>
        <v>9.3205258708237757</v>
      </c>
      <c r="W6" s="21">
        <f t="shared" ref="W6:Y6" si="29">SUM(W7:W9)</f>
        <v>10.098407611603577</v>
      </c>
      <c r="X6" s="21">
        <f t="shared" si="29"/>
        <v>21.355352038114003</v>
      </c>
      <c r="Y6" s="21">
        <f t="shared" si="29"/>
        <v>19.156022770291131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15.301851067624698</v>
      </c>
      <c r="C8" s="96">
        <v>16.599524140643709</v>
      </c>
      <c r="D8" s="96">
        <v>17.889427062275839</v>
      </c>
      <c r="E8" s="96">
        <v>15.939415908189771</v>
      </c>
      <c r="F8" s="96">
        <v>12.052647860525624</v>
      </c>
      <c r="G8" s="96">
        <v>14.159379775903332</v>
      </c>
      <c r="H8" s="96">
        <v>15.839073271302935</v>
      </c>
      <c r="I8" s="96">
        <v>20.039995197450388</v>
      </c>
      <c r="J8" s="96">
        <v>22.214293815214724</v>
      </c>
      <c r="K8" s="96">
        <v>17.305172236760995</v>
      </c>
      <c r="L8" s="96">
        <v>16.981918290777795</v>
      </c>
      <c r="M8" s="96">
        <v>14.446397145128318</v>
      </c>
      <c r="N8" s="96">
        <v>14.241760258800893</v>
      </c>
      <c r="O8" s="96">
        <v>15.589347912165584</v>
      </c>
      <c r="P8" s="96">
        <v>15.64486290002322</v>
      </c>
      <c r="Q8" s="96">
        <v>16.022717365071973</v>
      </c>
      <c r="R8" s="96">
        <v>13.686770707363893</v>
      </c>
      <c r="S8" s="96">
        <v>16.951153481517085</v>
      </c>
      <c r="T8" s="96">
        <v>22.813461621764166</v>
      </c>
      <c r="U8" s="96">
        <v>17.096141372121092</v>
      </c>
      <c r="V8" s="96">
        <v>4.9846200991661496</v>
      </c>
      <c r="W8" s="96">
        <v>5.8145753781025222</v>
      </c>
      <c r="X8" s="96">
        <v>13.620751164251184</v>
      </c>
      <c r="Y8" s="96">
        <v>12.122677518772432</v>
      </c>
      <c r="DA8" s="171" t="s">
        <v>282</v>
      </c>
    </row>
    <row r="9" spans="1:105" ht="11.45" customHeight="1" x14ac:dyDescent="0.25">
      <c r="A9" s="83" t="s">
        <v>182</v>
      </c>
      <c r="B9" s="96">
        <v>9.6644672874723945</v>
      </c>
      <c r="C9" s="96">
        <v>10.486713056402328</v>
      </c>
      <c r="D9" s="96">
        <v>11.300265117372044</v>
      </c>
      <c r="E9" s="96">
        <v>10.067059088690916</v>
      </c>
      <c r="F9" s="96">
        <v>7.6120796664212573</v>
      </c>
      <c r="G9" s="96">
        <v>8.6554016147533748</v>
      </c>
      <c r="H9" s="96">
        <v>9.0363565156748269</v>
      </c>
      <c r="I9" s="96">
        <v>11.03131462411255</v>
      </c>
      <c r="J9" s="96">
        <v>12.693145827198569</v>
      </c>
      <c r="K9" s="96">
        <v>10.574789227976709</v>
      </c>
      <c r="L9" s="96">
        <v>10.787745267513907</v>
      </c>
      <c r="M9" s="96">
        <v>9.1961992923830618</v>
      </c>
      <c r="N9" s="96">
        <v>9.3467648598285518</v>
      </c>
      <c r="O9" s="96">
        <v>10.050118274996807</v>
      </c>
      <c r="P9" s="96">
        <v>10.03247153929032</v>
      </c>
      <c r="Q9" s="96">
        <v>9.6361767102182867</v>
      </c>
      <c r="R9" s="96">
        <v>7.8946441720927094</v>
      </c>
      <c r="S9" s="96">
        <v>8.9740305694215898</v>
      </c>
      <c r="T9" s="96">
        <v>12.236126993764078</v>
      </c>
      <c r="U9" s="96">
        <v>10.020166173199172</v>
      </c>
      <c r="V9" s="96">
        <v>4.3359057716576253</v>
      </c>
      <c r="W9" s="96">
        <v>4.2838322335010544</v>
      </c>
      <c r="X9" s="96">
        <v>7.734600873862818</v>
      </c>
      <c r="Y9" s="96">
        <v>7.0333452515186972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0.31313134395707143</v>
      </c>
      <c r="C10" s="22">
        <f t="shared" si="30"/>
        <v>0.29983331026264393</v>
      </c>
      <c r="D10" s="22">
        <f t="shared" ref="D10:V10" si="31">SUM(D11:D13)</f>
        <v>0.30299913591531358</v>
      </c>
      <c r="E10" s="22">
        <f t="shared" si="31"/>
        <v>0.32628510630073176</v>
      </c>
      <c r="F10" s="22">
        <f t="shared" si="31"/>
        <v>0.34817015147099889</v>
      </c>
      <c r="G10" s="22">
        <f t="shared" si="31"/>
        <v>0.35804750014294084</v>
      </c>
      <c r="H10" s="22">
        <f t="shared" si="31"/>
        <v>0.40401991207640908</v>
      </c>
      <c r="I10" s="22">
        <f t="shared" si="31"/>
        <v>1.1666953375084228</v>
      </c>
      <c r="J10" s="22">
        <f t="shared" si="31"/>
        <v>0.4503419568988265</v>
      </c>
      <c r="K10" s="22">
        <f t="shared" si="31"/>
        <v>0.19828445099746322</v>
      </c>
      <c r="L10" s="22">
        <f t="shared" si="31"/>
        <v>0.30858235744346563</v>
      </c>
      <c r="M10" s="22">
        <f t="shared" si="31"/>
        <v>0.27589023488759279</v>
      </c>
      <c r="N10" s="22">
        <f t="shared" si="31"/>
        <v>0.32996155376952369</v>
      </c>
      <c r="O10" s="22">
        <f t="shared" si="31"/>
        <v>0.358900106904675</v>
      </c>
      <c r="P10" s="22">
        <f t="shared" si="31"/>
        <v>0.32103185475352131</v>
      </c>
      <c r="Q10" s="22">
        <f t="shared" si="31"/>
        <v>0.33947221877679873</v>
      </c>
      <c r="R10" s="22">
        <f t="shared" si="31"/>
        <v>0.25719217127426541</v>
      </c>
      <c r="S10" s="22">
        <f t="shared" si="31"/>
        <v>0.4381865423545197</v>
      </c>
      <c r="T10" s="22">
        <f t="shared" si="31"/>
        <v>0.49847673270907877</v>
      </c>
      <c r="U10" s="22">
        <f t="shared" si="31"/>
        <v>0.38369245467973417</v>
      </c>
      <c r="V10" s="22">
        <f t="shared" si="31"/>
        <v>0.62642167861732467</v>
      </c>
      <c r="W10" s="22">
        <f t="shared" ref="W10:Y10" si="32">SUM(W11:W13)</f>
        <v>0.59419771943683208</v>
      </c>
      <c r="X10" s="22">
        <f t="shared" si="32"/>
        <v>0.85247255345950923</v>
      </c>
      <c r="Y10" s="22">
        <f t="shared" si="32"/>
        <v>0.56323776281291216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0.15386874258591346</v>
      </c>
      <c r="C12" s="97">
        <v>0.13210400228276223</v>
      </c>
      <c r="D12" s="97">
        <v>0.11855931897731074</v>
      </c>
      <c r="E12" s="97">
        <v>0.10063519312657958</v>
      </c>
      <c r="F12" s="97">
        <v>9.897527481416564E-2</v>
      </c>
      <c r="G12" s="97">
        <v>0.1135005525220278</v>
      </c>
      <c r="H12" s="97">
        <v>0.2446590208680782</v>
      </c>
      <c r="I12" s="97">
        <v>1.0537944542357331</v>
      </c>
      <c r="J12" s="97">
        <v>0.37035051616922021</v>
      </c>
      <c r="K12" s="97">
        <v>0.16495589256729651</v>
      </c>
      <c r="L12" s="97">
        <v>0.28185855403959792</v>
      </c>
      <c r="M12" s="97">
        <v>0.25153273711038426</v>
      </c>
      <c r="N12" s="97">
        <v>0.30680096485945402</v>
      </c>
      <c r="O12" s="97">
        <v>0.33481236852112028</v>
      </c>
      <c r="P12" s="97">
        <v>0.30018513725806911</v>
      </c>
      <c r="Q12" s="97">
        <v>0.32807848978936038</v>
      </c>
      <c r="R12" s="97">
        <v>0.24657255444855375</v>
      </c>
      <c r="S12" s="97">
        <v>0.41490278975425138</v>
      </c>
      <c r="T12" s="97">
        <v>0.46563992155034073</v>
      </c>
      <c r="U12" s="97">
        <v>0.35656686249802255</v>
      </c>
      <c r="V12" s="97">
        <v>0.57984184561875063</v>
      </c>
      <c r="W12" s="97">
        <v>0.5616551414329285</v>
      </c>
      <c r="X12" s="97">
        <v>0.81819284831335182</v>
      </c>
      <c r="Y12" s="97">
        <v>0.54151104533466787</v>
      </c>
      <c r="DA12" s="175" t="s">
        <v>286</v>
      </c>
    </row>
    <row r="13" spans="1:105" ht="11.45" customHeight="1" x14ac:dyDescent="0.25">
      <c r="A13" s="85" t="s">
        <v>182</v>
      </c>
      <c r="B13" s="98">
        <v>0.159262601371158</v>
      </c>
      <c r="C13" s="98">
        <v>0.1677293079798817</v>
      </c>
      <c r="D13" s="98">
        <v>0.18443981693800282</v>
      </c>
      <c r="E13" s="98">
        <v>0.2256499131741522</v>
      </c>
      <c r="F13" s="98">
        <v>0.24919487665683326</v>
      </c>
      <c r="G13" s="98">
        <v>0.24454694762091303</v>
      </c>
      <c r="H13" s="98">
        <v>0.15936089120833088</v>
      </c>
      <c r="I13" s="98">
        <v>0.11290088327268963</v>
      </c>
      <c r="J13" s="98">
        <v>7.9991440729606317E-2</v>
      </c>
      <c r="K13" s="98">
        <v>3.332855843016673E-2</v>
      </c>
      <c r="L13" s="98">
        <v>2.6723803403867725E-2</v>
      </c>
      <c r="M13" s="98">
        <v>2.4357497777208515E-2</v>
      </c>
      <c r="N13" s="98">
        <v>2.3160588910069654E-2</v>
      </c>
      <c r="O13" s="98">
        <v>2.4087738383554741E-2</v>
      </c>
      <c r="P13" s="98">
        <v>2.0846717495452204E-2</v>
      </c>
      <c r="Q13" s="98">
        <v>1.1393728987438363E-2</v>
      </c>
      <c r="R13" s="98">
        <v>1.0619616825711664E-2</v>
      </c>
      <c r="S13" s="98">
        <v>2.3283752600268333E-2</v>
      </c>
      <c r="T13" s="98">
        <v>3.283681115873803E-2</v>
      </c>
      <c r="U13" s="98">
        <v>2.7125592181711636E-2</v>
      </c>
      <c r="V13" s="98">
        <v>4.6579832998574058E-2</v>
      </c>
      <c r="W13" s="98">
        <v>3.2542578003903547E-2</v>
      </c>
      <c r="X13" s="98">
        <v>3.4279705146157358E-2</v>
      </c>
      <c r="Y13" s="98">
        <v>2.1726717478244274E-2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208.55899081434362</v>
      </c>
      <c r="C17" s="62">
        <f>IF(C3=0,0,C3/TrAvia_act!C13*100)</f>
        <v>208.5862006291317</v>
      </c>
      <c r="D17" s="62">
        <f>IF(D3=0,0,D3/TrAvia_act!D13*100)</f>
        <v>208.48184558272558</v>
      </c>
      <c r="E17" s="62">
        <f>IF(E3=0,0,E3/TrAvia_act!E13*100)</f>
        <v>207.94108411609778</v>
      </c>
      <c r="F17" s="62">
        <f>IF(F3=0,0,F3/TrAvia_act!F13*100)</f>
        <v>206.93366185593754</v>
      </c>
      <c r="G17" s="62">
        <f>IF(G3=0,0,G3/TrAvia_act!G13*100)</f>
        <v>204.76655324470698</v>
      </c>
      <c r="H17" s="62">
        <f>IF(H3=0,0,H3/TrAvia_act!H13*100)</f>
        <v>218.03338305387982</v>
      </c>
      <c r="I17" s="62">
        <f>IF(I3=0,0,I3/TrAvia_act!I13*100)</f>
        <v>234.97269878042616</v>
      </c>
      <c r="J17" s="62">
        <f>IF(J3=0,0,J3/TrAvia_act!J13*100)</f>
        <v>239.43869875827119</v>
      </c>
      <c r="K17" s="62">
        <f>IF(K3=0,0,K3/TrAvia_act!K13*100)</f>
        <v>203.70860219744583</v>
      </c>
      <c r="L17" s="62">
        <f>IF(L3=0,0,L3/TrAvia_act!L13*100)</f>
        <v>227.77610822791038</v>
      </c>
      <c r="M17" s="62">
        <f>IF(M3=0,0,M3/TrAvia_act!M13*100)</f>
        <v>206.16643747779992</v>
      </c>
      <c r="N17" s="62">
        <f>IF(N3=0,0,N3/TrAvia_act!N13*100)</f>
        <v>229.0945191402154</v>
      </c>
      <c r="O17" s="62">
        <f>IF(O3=0,0,O3/TrAvia_act!O13*100)</f>
        <v>250.9433717199442</v>
      </c>
      <c r="P17" s="62">
        <f>IF(P3=0,0,P3/TrAvia_act!P13*100)</f>
        <v>270.99568607502181</v>
      </c>
      <c r="Q17" s="62">
        <f>IF(Q3=0,0,Q3/TrAvia_act!Q13*100)</f>
        <v>264.35911597857063</v>
      </c>
      <c r="R17" s="62">
        <f>IF(R3=0,0,R3/TrAvia_act!R13*100)</f>
        <v>240.96236949897514</v>
      </c>
      <c r="S17" s="62">
        <f>IF(S3=0,0,S3/TrAvia_act!S13*100)</f>
        <v>251.40013822175908</v>
      </c>
      <c r="T17" s="62">
        <f>IF(T3=0,0,T3/TrAvia_act!T13*100)</f>
        <v>318.8983431196786</v>
      </c>
      <c r="U17" s="62">
        <f>IF(U3=0,0,U3/TrAvia_act!U13*100)</f>
        <v>280.19796753196198</v>
      </c>
      <c r="V17" s="62">
        <f>IF(V3=0,0,V3/TrAvia_act!V13*100)</f>
        <v>491.64083742702775</v>
      </c>
      <c r="W17" s="62">
        <f>IF(W3=0,0,W3/TrAvia_act!W13*100)</f>
        <v>359.98965311899383</v>
      </c>
      <c r="X17" s="62">
        <f>IF(X3=0,0,X3/TrAvia_act!X13*100)</f>
        <v>390.92864601179053</v>
      </c>
      <c r="Y17" s="62">
        <f>IF(Y3=0,0,Y3/TrAvia_act!Y13*100)</f>
        <v>284.34344419607072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207.91143962196216</v>
      </c>
      <c r="C18" s="14">
        <f>IF(C6=0,0,C6/TrAvia_act!C14*100)</f>
        <v>208.01491977594262</v>
      </c>
      <c r="D18" s="14">
        <f>IF(D6=0,0,D6/TrAvia_act!D14*100)</f>
        <v>207.94607235372501</v>
      </c>
      <c r="E18" s="14">
        <f>IF(E6=0,0,E6/TrAvia_act!E14*100)</f>
        <v>207.29679051669328</v>
      </c>
      <c r="F18" s="14">
        <f>IF(F6=0,0,F6/TrAvia_act!F14*100)</f>
        <v>206.03356040353157</v>
      </c>
      <c r="G18" s="14">
        <f>IF(G6=0,0,G6/TrAvia_act!G14*100)</f>
        <v>203.89509254690387</v>
      </c>
      <c r="H18" s="14">
        <f>IF(H6=0,0,H6/TrAvia_act!H14*100)</f>
        <v>217.49315752751269</v>
      </c>
      <c r="I18" s="14">
        <f>IF(I6=0,0,I6/TrAvia_act!I14*100)</f>
        <v>234.60671106773785</v>
      </c>
      <c r="J18" s="14">
        <f>IF(J6=0,0,J6/TrAvia_act!J14*100)</f>
        <v>239.42344406238848</v>
      </c>
      <c r="K18" s="14">
        <f>IF(K6=0,0,K6/TrAvia_act!K14*100)</f>
        <v>203.6369936535757</v>
      </c>
      <c r="L18" s="14">
        <f>IF(L6=0,0,L6/TrAvia_act!L14*100)</f>
        <v>227.51315766028674</v>
      </c>
      <c r="M18" s="14">
        <f>IF(M6=0,0,M6/TrAvia_act!M14*100)</f>
        <v>205.80404761615046</v>
      </c>
      <c r="N18" s="14">
        <f>IF(N6=0,0,N6/TrAvia_act!N14*100)</f>
        <v>228.25655928177241</v>
      </c>
      <c r="O18" s="14">
        <f>IF(O6=0,0,O6/TrAvia_act!O14*100)</f>
        <v>250.03810230414376</v>
      </c>
      <c r="P18" s="14">
        <f>IF(P6=0,0,P6/TrAvia_act!P14*100)</f>
        <v>270.09006306304417</v>
      </c>
      <c r="Q18" s="14">
        <f>IF(Q6=0,0,Q6/TrAvia_act!Q14*100)</f>
        <v>263.55179698474268</v>
      </c>
      <c r="R18" s="14">
        <f>IF(R6=0,0,R6/TrAvia_act!R14*100)</f>
        <v>240.48020182117506</v>
      </c>
      <c r="S18" s="14">
        <f>IF(S6=0,0,S6/TrAvia_act!S14*100)</f>
        <v>250.60038012180888</v>
      </c>
      <c r="T18" s="14">
        <f>IF(T6=0,0,T6/TrAvia_act!T14*100)</f>
        <v>318.28436240933996</v>
      </c>
      <c r="U18" s="14">
        <f>IF(U6=0,0,U6/TrAvia_act!U14*100)</f>
        <v>279.35919118257033</v>
      </c>
      <c r="V18" s="14">
        <f>IF(V6=0,0,V6/TrAvia_act!V14*100)</f>
        <v>483.42128837359655</v>
      </c>
      <c r="W18" s="14">
        <f>IF(W6=0,0,W6/TrAvia_act!W14*100)</f>
        <v>354.31832643976486</v>
      </c>
      <c r="X18" s="14">
        <f>IF(X6=0,0,X6/TrAvia_act!X14*100)</f>
        <v>385.4932814359305</v>
      </c>
      <c r="Y18" s="14">
        <f>IF(Y6=0,0,Y6/TrAvia_act!Y14*100)</f>
        <v>281.83602326683103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201.48035539223898</v>
      </c>
      <c r="C20" s="87">
        <f>IF(C8=0,0,C8/TrAvia_act!C16*100)</f>
        <v>201.5783417921314</v>
      </c>
      <c r="D20" s="87">
        <f>IF(D8=0,0,D8/TrAvia_act!D16*100)</f>
        <v>201.51322608618059</v>
      </c>
      <c r="E20" s="87">
        <f>IF(E8=0,0,E8/TrAvia_act!E16*100)</f>
        <v>200.88557571666169</v>
      </c>
      <c r="F20" s="87">
        <f>IF(F8=0,0,F8/TrAvia_act!F16*100)</f>
        <v>199.66126468664228</v>
      </c>
      <c r="G20" s="87">
        <f>IF(G8=0,0,G8/TrAvia_act!G16*100)</f>
        <v>192.33351401328034</v>
      </c>
      <c r="H20" s="87">
        <f>IF(H8=0,0,H8/TrAvia_act!H16*100)</f>
        <v>204.43474289790237</v>
      </c>
      <c r="I20" s="87">
        <f>IF(I8=0,0,I8/TrAvia_act!I16*100)</f>
        <v>224.78264269219332</v>
      </c>
      <c r="J20" s="87">
        <f>IF(J8=0,0,J8/TrAvia_act!J16*100)</f>
        <v>228.52033481062571</v>
      </c>
      <c r="K20" s="87">
        <f>IF(K8=0,0,K8/TrAvia_act!K16*100)</f>
        <v>202.65147201172954</v>
      </c>
      <c r="L20" s="87">
        <f>IF(L8=0,0,L8/TrAvia_act!L16*100)</f>
        <v>237.62367979866488</v>
      </c>
      <c r="M20" s="87">
        <f>IF(M8=0,0,M8/TrAvia_act!M16*100)</f>
        <v>213.86609896721492</v>
      </c>
      <c r="N20" s="87">
        <f>IF(N8=0,0,N8/TrAvia_act!N16*100)</f>
        <v>257.97201135819694</v>
      </c>
      <c r="O20" s="87">
        <f>IF(O8=0,0,O8/TrAvia_act!O16*100)</f>
        <v>294.85571428623695</v>
      </c>
      <c r="P20" s="87">
        <f>IF(P8=0,0,P8/TrAvia_act!P16*100)</f>
        <v>317.2470190407534</v>
      </c>
      <c r="Q20" s="87">
        <f>IF(Q8=0,0,Q8/TrAvia_act!Q16*100)</f>
        <v>301.01040669533876</v>
      </c>
      <c r="R20" s="87">
        <f>IF(R8=0,0,R8/TrAvia_act!R16*100)</f>
        <v>247.90392916404505</v>
      </c>
      <c r="S20" s="87">
        <f>IF(S8=0,0,S8/TrAvia_act!S16*100)</f>
        <v>273.66091889038211</v>
      </c>
      <c r="T20" s="87">
        <f>IF(T8=0,0,T8/TrAvia_act!T16*100)</f>
        <v>337.54068075452903</v>
      </c>
      <c r="U20" s="87">
        <f>IF(U8=0,0,U8/TrAvia_act!U16*100)</f>
        <v>303.49656604182996</v>
      </c>
      <c r="V20" s="87">
        <f>IF(V8=0,0,V8/TrAvia_act!V16*100)</f>
        <v>450.28076883208968</v>
      </c>
      <c r="W20" s="87">
        <f>IF(W8=0,0,W8/TrAvia_act!W16*100)</f>
        <v>364.90421152077192</v>
      </c>
      <c r="X20" s="87">
        <f>IF(X8=0,0,X8/TrAvia_act!X16*100)</f>
        <v>463.05382982408742</v>
      </c>
      <c r="Y20" s="87">
        <f>IF(Y8=0,0,Y8/TrAvia_act!Y16*100)</f>
        <v>338.98216132969827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218.97814403531544</v>
      </c>
      <c r="C21" s="87">
        <f>IF(C9=0,0,C9/TrAvia_act!C17*100)</f>
        <v>219.08847170188915</v>
      </c>
      <c r="D21" s="87">
        <f>IF(D9=0,0,D9/TrAvia_act!D17*100)</f>
        <v>219.01434845228587</v>
      </c>
      <c r="E21" s="87">
        <f>IF(E9=0,0,E9/TrAvia_act!E17*100)</f>
        <v>218.32927516280617</v>
      </c>
      <c r="F21" s="87">
        <f>IF(F9=0,0,F9/TrAvia_act!F17*100)</f>
        <v>216.9993439239804</v>
      </c>
      <c r="G21" s="87">
        <f>IF(G9=0,0,G9/TrAvia_act!G17*100)</f>
        <v>226.1323866368007</v>
      </c>
      <c r="H21" s="87">
        <f>IF(H9=0,0,H9/TrAvia_act!H17*100)</f>
        <v>244.91435394373281</v>
      </c>
      <c r="I21" s="87">
        <f>IF(I9=0,0,I9/TrAvia_act!I17*100)</f>
        <v>254.84000296920536</v>
      </c>
      <c r="J21" s="87">
        <f>IF(J9=0,0,J9/TrAvia_act!J17*100)</f>
        <v>261.236834176451</v>
      </c>
      <c r="K21" s="87">
        <f>IF(K9=0,0,K9/TrAvia_act!K17*100)</f>
        <v>205.27059980667727</v>
      </c>
      <c r="L21" s="87">
        <f>IF(L9=0,0,L9/TrAvia_act!L17*100)</f>
        <v>213.23110934617549</v>
      </c>
      <c r="M21" s="87">
        <f>IF(M9=0,0,M9/TrAvia_act!M17*100)</f>
        <v>194.29807626098631</v>
      </c>
      <c r="N21" s="87">
        <f>IF(N9=0,0,N9/TrAvia_act!N17*100)</f>
        <v>194.17593705758796</v>
      </c>
      <c r="O21" s="87">
        <f>IF(O9=0,0,O9/TrAvia_act!O17*100)</f>
        <v>202.33319293141426</v>
      </c>
      <c r="P21" s="87">
        <f>IF(P9=0,0,P9/TrAvia_act!P17*100)</f>
        <v>219.2646745397488</v>
      </c>
      <c r="Q21" s="87">
        <f>IF(Q9=0,0,Q9/TrAvia_act!Q17*100)</f>
        <v>218.36732477173291</v>
      </c>
      <c r="R21" s="87">
        <f>IF(R9=0,0,R9/TrAvia_act!R17*100)</f>
        <v>228.6114509469534</v>
      </c>
      <c r="S21" s="87">
        <f>IF(S9=0,0,S9/TrAvia_act!S17*100)</f>
        <v>216.18900807260829</v>
      </c>
      <c r="T21" s="87">
        <f>IF(T9=0,0,T9/TrAvia_act!T17*100)</f>
        <v>287.68505166713692</v>
      </c>
      <c r="U21" s="87">
        <f>IF(U9=0,0,U9/TrAvia_act!U17*100)</f>
        <v>245.98112214434445</v>
      </c>
      <c r="V21" s="87">
        <f>IF(V9=0,0,V9/TrAvia_act!V17*100)</f>
        <v>528.10490798873195</v>
      </c>
      <c r="W21" s="87">
        <f>IF(W9=0,0,W9/TrAvia_act!W17*100)</f>
        <v>340.89516862923074</v>
      </c>
      <c r="X21" s="87">
        <f>IF(X9=0,0,X9/TrAvia_act!X17*100)</f>
        <v>297.68593430063339</v>
      </c>
      <c r="Y21" s="87">
        <f>IF(Y9=0,0,Y9/TrAvia_act!Y17*100)</f>
        <v>218.38150942700639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277.4596797836997</v>
      </c>
      <c r="C22" s="15">
        <f>IF(C10=0,0,C10/TrAvia_act!C18*100)</f>
        <v>277.41157003624465</v>
      </c>
      <c r="D22" s="15">
        <f>IF(D10=0,0,D10/TrAvia_act!D18*100)</f>
        <v>277.3137564700707</v>
      </c>
      <c r="E22" s="15">
        <f>IF(E10=0,0,E10/TrAvia_act!E18*100)</f>
        <v>276.41749849790921</v>
      </c>
      <c r="F22" s="15">
        <f>IF(F10=0,0,F10/TrAvia_act!F18*100)</f>
        <v>274.7195847210873</v>
      </c>
      <c r="G22" s="15">
        <f>IF(G10=0,0,G10/TrAvia_act!G18*100)</f>
        <v>281.40543987751414</v>
      </c>
      <c r="H22" s="15">
        <f>IF(H10=0,0,H10/TrAvia_act!H18*100)</f>
        <v>257.39762169762935</v>
      </c>
      <c r="I22" s="15">
        <f>IF(I10=0,0,I10/TrAvia_act!I18*100)</f>
        <v>245.1580089414964</v>
      </c>
      <c r="J22" s="15">
        <f>IF(J10=0,0,J10/TrAvia_act!J18*100)</f>
        <v>240.62708324027327</v>
      </c>
      <c r="K22" s="15">
        <f>IF(K10=0,0,K10/TrAvia_act!K18*100)</f>
        <v>214.30463360860111</v>
      </c>
      <c r="L22" s="15">
        <f>IF(L10=0,0,L10/TrAvia_act!L18*100)</f>
        <v>254.21670176775879</v>
      </c>
      <c r="M22" s="15">
        <f>IF(M10=0,0,M10/TrAvia_act!M18*100)</f>
        <v>242.80501660062797</v>
      </c>
      <c r="N22" s="15">
        <f>IF(N10=0,0,N10/TrAvia_act!N18*100)</f>
        <v>310.61324074580568</v>
      </c>
      <c r="O22" s="15">
        <f>IF(O10=0,0,O10/TrAvia_act!O18*100)</f>
        <v>338.49366097340766</v>
      </c>
      <c r="P22" s="15">
        <f>IF(P10=0,0,P10/TrAvia_act!P18*100)</f>
        <v>370.30820205133119</v>
      </c>
      <c r="Q22" s="15">
        <f>IF(Q10=0,0,Q10/TrAvia_act!Q18*100)</f>
        <v>344.00841303242953</v>
      </c>
      <c r="R22" s="15">
        <f>IF(R10=0,0,R10/TrAvia_act!R18*100)</f>
        <v>289.70337575125245</v>
      </c>
      <c r="S22" s="15">
        <f>IF(S10=0,0,S10/TrAvia_act!S18*100)</f>
        <v>309.91768220828499</v>
      </c>
      <c r="T22" s="15">
        <f>IF(T10=0,0,T10/TrAvia_act!T18*100)</f>
        <v>368.94020276377228</v>
      </c>
      <c r="U22" s="15">
        <f>IF(U10=0,0,U10/TrAvia_act!U18*100)</f>
        <v>355.66816758220614</v>
      </c>
      <c r="V22" s="15">
        <f>IF(V10=0,0,V10/TrAvia_act!V18*100)</f>
        <v>658.14107302900049</v>
      </c>
      <c r="W22" s="15">
        <f>IF(W10=0,0,W10/TrAvia_act!W18*100)</f>
        <v>494.510027214545</v>
      </c>
      <c r="X22" s="15">
        <f>IF(X10=0,0,X10/TrAvia_act!X18*100)</f>
        <v>604.41751550735864</v>
      </c>
      <c r="Y22" s="15">
        <f>IF(Y10=0,0,Y10/TrAvia_act!Y18*100)</f>
        <v>407.70928624670495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277.45344398490744</v>
      </c>
      <c r="C24" s="101">
        <f>IF(C12=0,0,C12/TrAvia_act!C20*100)</f>
        <v>277.16573172906493</v>
      </c>
      <c r="D24" s="101">
        <f>IF(D12=0,0,D12/TrAvia_act!D20*100)</f>
        <v>277.00656881948305</v>
      </c>
      <c r="E24" s="101">
        <f>IF(E12=0,0,E12/TrAvia_act!E20*100)</f>
        <v>275.91202394788053</v>
      </c>
      <c r="F24" s="101">
        <f>IF(F12=0,0,F12/TrAvia_act!F20*100)</f>
        <v>274.12018947821196</v>
      </c>
      <c r="G24" s="101">
        <f>IF(G12=0,0,G12/TrAvia_act!G20*100)</f>
        <v>256.65506357781965</v>
      </c>
      <c r="H24" s="101">
        <f>IF(H12=0,0,H12/TrAvia_act!H20*100)</f>
        <v>254.49469029519523</v>
      </c>
      <c r="I24" s="101">
        <f>IF(I12=0,0,I12/TrAvia_act!I20*100)</f>
        <v>245.81635733110718</v>
      </c>
      <c r="J24" s="101">
        <f>IF(J12=0,0,J12/TrAvia_act!J20*100)</f>
        <v>244.0463364514315</v>
      </c>
      <c r="K24" s="101">
        <f>IF(K12=0,0,K12/TrAvia_act!K20*100)</f>
        <v>221.88548917815245</v>
      </c>
      <c r="L24" s="101">
        <f>IF(L12=0,0,L12/TrAvia_act!L20*100)</f>
        <v>254.38458189350919</v>
      </c>
      <c r="M24" s="101">
        <f>IF(M12=0,0,M12/TrAvia_act!M20*100)</f>
        <v>243.16193521649362</v>
      </c>
      <c r="N24" s="101">
        <f>IF(N12=0,0,N12/TrAvia_act!N20*100)</f>
        <v>321.26824947022106</v>
      </c>
      <c r="O24" s="101">
        <f>IF(O12=0,0,O12/TrAvia_act!O20*100)</f>
        <v>353.32839012356294</v>
      </c>
      <c r="P24" s="101">
        <f>IF(P12=0,0,P12/TrAvia_act!P20*100)</f>
        <v>382.88523001986323</v>
      </c>
      <c r="Q24" s="101">
        <f>IF(Q12=0,0,Q12/TrAvia_act!Q20*100)</f>
        <v>347.86206130540904</v>
      </c>
      <c r="R24" s="101">
        <f>IF(R12=0,0,R12/TrAvia_act!R20*100)</f>
        <v>288.35295260635928</v>
      </c>
      <c r="S24" s="101">
        <f>IF(S12=0,0,S12/TrAvia_act!S20*100)</f>
        <v>311.43417270661269</v>
      </c>
      <c r="T24" s="101">
        <f>IF(T12=0,0,T12/TrAvia_act!T20*100)</f>
        <v>371.9224389138401</v>
      </c>
      <c r="U24" s="101">
        <f>IF(U12=0,0,U12/TrAvia_act!U20*100)</f>
        <v>363.34707929790346</v>
      </c>
      <c r="V24" s="101">
        <f>IF(V12=0,0,V12/TrAvia_act!V20*100)</f>
        <v>673.06708561469839</v>
      </c>
      <c r="W24" s="101">
        <f>IF(W12=0,0,W12/TrAvia_act!W20*100)</f>
        <v>508.28096814586274</v>
      </c>
      <c r="X24" s="101">
        <f>IF(X12=0,0,X12/TrAvia_act!X20*100)</f>
        <v>640.52235402705423</v>
      </c>
      <c r="Y24" s="101">
        <f>IF(Y12=0,0,Y12/TrAvia_act!Y20*100)</f>
        <v>426.32286928307411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277.46570465652621</v>
      </c>
      <c r="C25" s="88">
        <f>IF(C13=0,0,C13/TrAvia_act!C21*100)</f>
        <v>277.60550008626581</v>
      </c>
      <c r="D25" s="88">
        <f>IF(D13=0,0,D13/TrAvia_act!D21*100)</f>
        <v>277.51157902499642</v>
      </c>
      <c r="E25" s="88">
        <f>IF(E13=0,0,E13/TrAvia_act!E21*100)</f>
        <v>276.64352735781176</v>
      </c>
      <c r="F25" s="88">
        <f>IF(F13=0,0,F13/TrAvia_act!F21*100)</f>
        <v>274.95838060514768</v>
      </c>
      <c r="G25" s="88">
        <f>IF(G13=0,0,G13/TrAvia_act!G21*100)</f>
        <v>294.59063735203125</v>
      </c>
      <c r="H25" s="88">
        <f>IF(H13=0,0,H13/TrAvia_act!H21*100)</f>
        <v>261.98553115017376</v>
      </c>
      <c r="I25" s="88">
        <f>IF(I13=0,0,I13/TrAvia_act!I21*100)</f>
        <v>239.17903477629827</v>
      </c>
      <c r="J25" s="88">
        <f>IF(J13=0,0,J13/TrAvia_act!J21*100)</f>
        <v>225.9689972649343</v>
      </c>
      <c r="K25" s="88">
        <f>IF(K13=0,0,K13/TrAvia_act!K21*100)</f>
        <v>183.30754120304977</v>
      </c>
      <c r="L25" s="88">
        <f>IF(L13=0,0,L13/TrAvia_act!L21*100)</f>
        <v>252.45945363756354</v>
      </c>
      <c r="M25" s="88">
        <f>IF(M13=0,0,M13/TrAvia_act!M21*100)</f>
        <v>239.1795862641969</v>
      </c>
      <c r="N25" s="88">
        <f>IF(N13=0,0,N13/TrAvia_act!N21*100)</f>
        <v>215.80370465011524</v>
      </c>
      <c r="O25" s="88">
        <f>IF(O13=0,0,O13/TrAvia_act!O21*100)</f>
        <v>213.75105342387482</v>
      </c>
      <c r="P25" s="88">
        <f>IF(P13=0,0,P13/TrAvia_act!P21*100)</f>
        <v>251.39732729839744</v>
      </c>
      <c r="Q25" s="88">
        <f>IF(Q13=0,0,Q13/TrAvia_act!Q21*100)</f>
        <v>260.81202226778959</v>
      </c>
      <c r="R25" s="88">
        <f>IF(R13=0,0,R13/TrAvia_act!R21*100)</f>
        <v>325.04850100533031</v>
      </c>
      <c r="S25" s="88">
        <f>IF(S13=0,0,S13/TrAvia_act!S21*100)</f>
        <v>285.17334960510976</v>
      </c>
      <c r="T25" s="88">
        <f>IF(T13=0,0,T13/TrAvia_act!T21*100)</f>
        <v>331.27287913227559</v>
      </c>
      <c r="U25" s="88">
        <f>IF(U13=0,0,U13/TrAvia_act!U21*100)</f>
        <v>278.34311336571085</v>
      </c>
      <c r="V25" s="88">
        <f>IF(V13=0,0,V13/TrAvia_act!V21*100)</f>
        <v>515.7619338742079</v>
      </c>
      <c r="W25" s="88">
        <f>IF(W13=0,0,W13/TrAvia_act!W21*100)</f>
        <v>336.95075030326467</v>
      </c>
      <c r="X25" s="88">
        <f>IF(X13=0,0,X13/TrAvia_act!X21*100)</f>
        <v>257.70396417694121</v>
      </c>
      <c r="Y25" s="88">
        <f>IF(Y13=0,0,Y13/TrAvia_act!Y21*100)</f>
        <v>195.24534310417906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36.396920031685077</v>
      </c>
      <c r="C28" s="14">
        <f>IF(C6=0,0,C6/TrAvia_act!C4*1000)</f>
        <v>36.229224850997475</v>
      </c>
      <c r="D28" s="14">
        <f>IF(D6=0,0,D6/TrAvia_act!D4*1000)</f>
        <v>36.227739053139643</v>
      </c>
      <c r="E28" s="14">
        <f>IF(E6=0,0,E6/TrAvia_act!E4*1000)</f>
        <v>36.379729617910776</v>
      </c>
      <c r="F28" s="14">
        <f>IF(F6=0,0,F6/TrAvia_act!F4*1000)</f>
        <v>36.189722160698125</v>
      </c>
      <c r="G28" s="14">
        <f>IF(G6=0,0,G6/TrAvia_act!G4*1000)</f>
        <v>35.371408224963737</v>
      </c>
      <c r="H28" s="14">
        <f>IF(H6=0,0,H6/TrAvia_act!H4*1000)</f>
        <v>36.578235507664246</v>
      </c>
      <c r="I28" s="14">
        <f>IF(I6=0,0,I6/TrAvia_act!I4*1000)</f>
        <v>39.852023147942454</v>
      </c>
      <c r="J28" s="14">
        <f>IF(J6=0,0,J6/TrAvia_act!J4*1000)</f>
        <v>42.24016246198223</v>
      </c>
      <c r="K28" s="14">
        <f>IF(K6=0,0,K6/TrAvia_act!K4*1000)</f>
        <v>38.401349808257535</v>
      </c>
      <c r="L28" s="14">
        <f>IF(L6=0,0,L6/TrAvia_act!L4*1000)</f>
        <v>39.482242415316612</v>
      </c>
      <c r="M28" s="14">
        <f>IF(M6=0,0,M6/TrAvia_act!M4*1000)</f>
        <v>34.22911058159967</v>
      </c>
      <c r="N28" s="14">
        <f>IF(N6=0,0,N6/TrAvia_act!N4*1000)</f>
        <v>37.324773993868234</v>
      </c>
      <c r="O28" s="14">
        <f>IF(O6=0,0,O6/TrAvia_act!O4*1000)</f>
        <v>37.154910086135708</v>
      </c>
      <c r="P28" s="14">
        <f>IF(P6=0,0,P6/TrAvia_act!P4*1000)</f>
        <v>38.52159226784984</v>
      </c>
      <c r="Q28" s="14">
        <f>IF(Q6=0,0,Q6/TrAvia_act!Q4*1000)</f>
        <v>36.353326071255189</v>
      </c>
      <c r="R28" s="14">
        <f>IF(R6=0,0,R6/TrAvia_act!R4*1000)</f>
        <v>32.116525385208803</v>
      </c>
      <c r="S28" s="14">
        <f>IF(S6=0,0,S6/TrAvia_act!S4*1000)</f>
        <v>31.839257594144367</v>
      </c>
      <c r="T28" s="14">
        <f>IF(T6=0,0,T6/TrAvia_act!T4*1000)</f>
        <v>39.446637612960757</v>
      </c>
      <c r="U28" s="14">
        <f>IF(U6=0,0,U6/TrAvia_act!U4*1000)</f>
        <v>30.720667595706498</v>
      </c>
      <c r="V28" s="14">
        <f>IF(V6=0,0,V6/TrAvia_act!V4*1000)</f>
        <v>57.732118420428392</v>
      </c>
      <c r="W28" s="14">
        <f>IF(W6=0,0,W6/TrAvia_act!W4*1000)</f>
        <v>41.741636254046334</v>
      </c>
      <c r="X28" s="14">
        <f>IF(X6=0,0,X6/TrAvia_act!X4*1000)</f>
        <v>37.061305229263553</v>
      </c>
      <c r="Y28" s="14">
        <f>IF(Y6=0,0,Y6/TrAvia_act!Y4*1000)</f>
        <v>26.034636645805048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40.499420846473186</v>
      </c>
      <c r="C30" s="87">
        <f>IF(C8=0,0,C8/TrAvia_act!C6*1000)</f>
        <v>40.080138788083424</v>
      </c>
      <c r="D30" s="87">
        <f>IF(D8=0,0,D8/TrAvia_act!D6*1000)</f>
        <v>39.989660768949989</v>
      </c>
      <c r="E30" s="87">
        <f>IF(E8=0,0,E8/TrAvia_act!E6*1000)</f>
        <v>40.319462349584761</v>
      </c>
      <c r="F30" s="87">
        <f>IF(F8=0,0,F8/TrAvia_act!F6*1000)</f>
        <v>40.152552658109492</v>
      </c>
      <c r="G30" s="87">
        <f>IF(G8=0,0,G8/TrAvia_act!G6*1000)</f>
        <v>36.204942365778336</v>
      </c>
      <c r="H30" s="87">
        <f>IF(H8=0,0,H8/TrAvia_act!H6*1000)</f>
        <v>37.759992700271148</v>
      </c>
      <c r="I30" s="87">
        <f>IF(I8=0,0,I8/TrAvia_act!I6*1000)</f>
        <v>43.518743029558294</v>
      </c>
      <c r="J30" s="87">
        <f>IF(J8=0,0,J8/TrAvia_act!J6*1000)</f>
        <v>46.614834060634387</v>
      </c>
      <c r="K30" s="87">
        <f>IF(K8=0,0,K8/TrAvia_act!K6*1000)</f>
        <v>44.520115741008901</v>
      </c>
      <c r="L30" s="87">
        <f>IF(L8=0,0,L8/TrAvia_act!L6*1000)</f>
        <v>46.238004280833984</v>
      </c>
      <c r="M30" s="87">
        <f>IF(M8=0,0,M8/TrAvia_act!M6*1000)</f>
        <v>38.153105871285248</v>
      </c>
      <c r="N30" s="87">
        <f>IF(N8=0,0,N8/TrAvia_act!N6*1000)</f>
        <v>46.995448584762727</v>
      </c>
      <c r="O30" s="87">
        <f>IF(O8=0,0,O8/TrAvia_act!O6*1000)</f>
        <v>45.468705714967292</v>
      </c>
      <c r="P30" s="87">
        <f>IF(P8=0,0,P8/TrAvia_act!P6*1000)</f>
        <v>44.616202509890059</v>
      </c>
      <c r="Q30" s="87">
        <f>IF(Q8=0,0,Q8/TrAvia_act!Q6*1000)</f>
        <v>40.761510659863255</v>
      </c>
      <c r="R30" s="87">
        <f>IF(R8=0,0,R8/TrAvia_act!R6*1000)</f>
        <v>33.253317010226368</v>
      </c>
      <c r="S30" s="87">
        <f>IF(S8=0,0,S8/TrAvia_act!S6*1000)</f>
        <v>34.644070071568542</v>
      </c>
      <c r="T30" s="87">
        <f>IF(T8=0,0,T8/TrAvia_act!T6*1000)</f>
        <v>43.110527452954905</v>
      </c>
      <c r="U30" s="87">
        <f>IF(U8=0,0,U8/TrAvia_act!U6*1000)</f>
        <v>34.393546426150877</v>
      </c>
      <c r="V30" s="87">
        <f>IF(V8=0,0,V8/TrAvia_act!V6*1000)</f>
        <v>54.441836730255268</v>
      </c>
      <c r="W30" s="87">
        <f>IF(W8=0,0,W8/TrAvia_act!W6*1000)</f>
        <v>44.046711152175391</v>
      </c>
      <c r="X30" s="87">
        <f>IF(X8=0,0,X8/TrAvia_act!X6*1000)</f>
        <v>46.837346939014061</v>
      </c>
      <c r="Y30" s="87">
        <f>IF(Y8=0,0,Y8/TrAvia_act!Y6*1000)</f>
        <v>33.381789961986129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31.366223238398764</v>
      </c>
      <c r="C31" s="87">
        <f>IF(C9=0,0,C9/TrAvia_act!C7*1000)</f>
        <v>31.446616919207937</v>
      </c>
      <c r="D31" s="87">
        <f>IF(D9=0,0,D9/TrAvia_act!D7*1000)</f>
        <v>31.531836285392661</v>
      </c>
      <c r="E31" s="87">
        <f>IF(E9=0,0,E9/TrAvia_act!E7*1000)</f>
        <v>31.505478562816158</v>
      </c>
      <c r="F31" s="87">
        <f>IF(F9=0,0,F9/TrAvia_act!F7*1000)</f>
        <v>31.298718035587218</v>
      </c>
      <c r="G31" s="87">
        <f>IF(G9=0,0,G9/TrAvia_act!G7*1000)</f>
        <v>34.08757490244664</v>
      </c>
      <c r="H31" s="87">
        <f>IF(H9=0,0,H9/TrAvia_act!H7*1000)</f>
        <v>34.676010490160422</v>
      </c>
      <c r="I31" s="87">
        <f>IF(I9=0,0,I9/TrAvia_act!I7*1000)</f>
        <v>34.561862396970497</v>
      </c>
      <c r="J31" s="87">
        <f>IF(J9=0,0,J9/TrAvia_act!J7*1000)</f>
        <v>36.28125245027578</v>
      </c>
      <c r="K31" s="87">
        <f>IF(K9=0,0,K9/TrAvia_act!K7*1000)</f>
        <v>31.350304241127759</v>
      </c>
      <c r="L31" s="87">
        <f>IF(L9=0,0,L9/TrAvia_act!L7*1000)</f>
        <v>32.099335982306371</v>
      </c>
      <c r="M31" s="87">
        <f>IF(M9=0,0,M9/TrAvia_act!M7*1000)</f>
        <v>29.46807410782127</v>
      </c>
      <c r="N31" s="87">
        <f>IF(N9=0,0,N9/TrAvia_act!N7*1000)</f>
        <v>28.415245256322788</v>
      </c>
      <c r="O31" s="87">
        <f>IF(O9=0,0,O9/TrAvia_act!O7*1000)</f>
        <v>28.945313941945063</v>
      </c>
      <c r="P31" s="87">
        <f>IF(P9=0,0,P9/TrAvia_act!P7*1000)</f>
        <v>31.756807335344263</v>
      </c>
      <c r="Q31" s="87">
        <f>IF(Q9=0,0,Q9/TrAvia_act!Q7*1000)</f>
        <v>30.812572059647163</v>
      </c>
      <c r="R31" s="87">
        <f>IF(R9=0,0,R9/TrAvia_act!R7*1000)</f>
        <v>30.319569736841583</v>
      </c>
      <c r="S31" s="87">
        <f>IF(S9=0,0,S9/TrAvia_act!S7*1000)</f>
        <v>27.61600138053668</v>
      </c>
      <c r="T31" s="87">
        <f>IF(T9=0,0,T9/TrAvia_act!T7*1000)</f>
        <v>34.051070986007574</v>
      </c>
      <c r="U31" s="87">
        <f>IF(U9=0,0,U9/TrAvia_act!U7*1000)</f>
        <v>25.985974566069284</v>
      </c>
      <c r="V31" s="87">
        <f>IF(V9=0,0,V9/TrAvia_act!V7*1000)</f>
        <v>62.042778521611915</v>
      </c>
      <c r="W31" s="87">
        <f>IF(W9=0,0,W9/TrAvia_act!W7*1000)</f>
        <v>38.973267588545198</v>
      </c>
      <c r="X31" s="87">
        <f>IF(X9=0,0,X9/TrAvia_act!X7*1000)</f>
        <v>27.100218817377112</v>
      </c>
      <c r="Y31" s="87">
        <f>IF(Y9=0,0,Y9/TrAvia_act!Y7*1000)</f>
        <v>18.874497091470779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57.927401587917586</v>
      </c>
      <c r="C32" s="15">
        <f>IF(C10=0,0,C10/TrAvia_act!C8*1000)</f>
        <v>52.518048529651047</v>
      </c>
      <c r="D32" s="15">
        <f>IF(D10=0,0,D10/TrAvia_act!D8*1000)</f>
        <v>53.121758283476353</v>
      </c>
      <c r="E32" s="15">
        <f>IF(E10=0,0,E10/TrAvia_act!E8*1000)</f>
        <v>53.299584583431411</v>
      </c>
      <c r="F32" s="15">
        <f>IF(F10=0,0,F10/TrAvia_act!F8*1000)</f>
        <v>53.979814326275935</v>
      </c>
      <c r="G32" s="15">
        <f>IF(G10=0,0,G10/TrAvia_act!G8*1000)</f>
        <v>61.215074949480673</v>
      </c>
      <c r="H32" s="15">
        <f>IF(H10=0,0,H10/TrAvia_act!H8*1000)</f>
        <v>76.779374297236203</v>
      </c>
      <c r="I32" s="15">
        <f>IF(I10=0,0,I10/TrAvia_act!I8*1000)</f>
        <v>112.20171725761236</v>
      </c>
      <c r="J32" s="15">
        <f>IF(J10=0,0,J10/TrAvia_act!J8*1000)</f>
        <v>97.914943205355755</v>
      </c>
      <c r="K32" s="15">
        <f>IF(K10=0,0,K10/TrAvia_act!K8*1000)</f>
        <v>81.113576467338092</v>
      </c>
      <c r="L32" s="15">
        <f>IF(L10=0,0,L10/TrAvia_act!L8*1000)</f>
        <v>116.7625345752511</v>
      </c>
      <c r="M32" s="15">
        <f>IF(M10=0,0,M10/TrAvia_act!M8*1000)</f>
        <v>103.95192934040556</v>
      </c>
      <c r="N32" s="15">
        <f>IF(N10=0,0,N10/TrAvia_act!N8*1000)</f>
        <v>116.6118697289039</v>
      </c>
      <c r="O32" s="15">
        <f>IF(O10=0,0,O10/TrAvia_act!O8*1000)</f>
        <v>126.59087190421539</v>
      </c>
      <c r="P32" s="15">
        <f>IF(P10=0,0,P10/TrAvia_act!P8*1000)</f>
        <v>125.32626741956726</v>
      </c>
      <c r="Q32" s="15">
        <f>IF(Q10=0,0,Q10/TrAvia_act!Q8*1000)</f>
        <v>128.61244309795472</v>
      </c>
      <c r="R32" s="15">
        <f>IF(R10=0,0,R10/TrAvia_act!R8*1000)</f>
        <v>99.318898913316445</v>
      </c>
      <c r="S32" s="15">
        <f>IF(S10=0,0,S10/TrAvia_act!S8*1000)</f>
        <v>108.4517187532487</v>
      </c>
      <c r="T32" s="15">
        <f>IF(T10=0,0,T10/TrAvia_act!T8*1000)</f>
        <v>124.34607479984915</v>
      </c>
      <c r="U32" s="15">
        <f>IF(U10=0,0,U10/TrAvia_act!U8*1000)</f>
        <v>107.21141972451998</v>
      </c>
      <c r="V32" s="15">
        <f>IF(V10=0,0,V10/TrAvia_act!V8*1000)</f>
        <v>242.11061823516476</v>
      </c>
      <c r="W32" s="15">
        <f>IF(W10=0,0,W10/TrAvia_act!W8*1000)</f>
        <v>195.00437732567048</v>
      </c>
      <c r="X32" s="15">
        <f>IF(X10=0,0,X10/TrAvia_act!X8*1000)</f>
        <v>224.92041886120884</v>
      </c>
      <c r="Y32" s="15">
        <f>IF(Y10=0,0,Y10/TrAvia_act!Y8*1000)</f>
        <v>153.7495952387419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122.0248485304738</v>
      </c>
      <c r="C34" s="101">
        <f>IF(C12=0,0,C12/TrAvia_act!C10*1000)</f>
        <v>116.15334175950295</v>
      </c>
      <c r="D34" s="101">
        <f>IF(D12=0,0,D12/TrAvia_act!D10*1000)</f>
        <v>124.07049036499505</v>
      </c>
      <c r="E34" s="101">
        <f>IF(E12=0,0,E12/TrAvia_act!E10*1000)</f>
        <v>121.72328985312541</v>
      </c>
      <c r="F34" s="101">
        <f>IF(F12=0,0,F12/TrAvia_act!F10*1000)</f>
        <v>133.78446159156249</v>
      </c>
      <c r="G34" s="101">
        <f>IF(G12=0,0,G12/TrAvia_act!G10*1000)</f>
        <v>121.99634112292829</v>
      </c>
      <c r="H34" s="101">
        <f>IF(H12=0,0,H12/TrAvia_act!H10*1000)</f>
        <v>137.61173677455272</v>
      </c>
      <c r="I34" s="101">
        <f>IF(I12=0,0,I12/TrAvia_act!I10*1000)</f>
        <v>136.1577098920659</v>
      </c>
      <c r="J34" s="101">
        <f>IF(J12=0,0,J12/TrAvia_act!J10*1000)</f>
        <v>139.98384444325956</v>
      </c>
      <c r="K34" s="101">
        <f>IF(K12=0,0,K12/TrAvia_act!K10*1000)</f>
        <v>125.64673985247902</v>
      </c>
      <c r="L34" s="101">
        <f>IF(L12=0,0,L12/TrAvia_act!L10*1000)</f>
        <v>142.8553710353375</v>
      </c>
      <c r="M34" s="101">
        <f>IF(M12=0,0,M12/TrAvia_act!M10*1000)</f>
        <v>127.55901267823414</v>
      </c>
      <c r="N34" s="101">
        <f>IF(N12=0,0,N12/TrAvia_act!N10*1000)</f>
        <v>150.57830945673516</v>
      </c>
      <c r="O34" s="101">
        <f>IF(O12=0,0,O12/TrAvia_act!O10*1000)</f>
        <v>166.18394016462372</v>
      </c>
      <c r="P34" s="101">
        <f>IF(P12=0,0,P12/TrAvia_act!P10*1000)</f>
        <v>159.32780145882427</v>
      </c>
      <c r="Q34" s="101">
        <f>IF(Q12=0,0,Q12/TrAvia_act!Q10*1000)</f>
        <v>143.87959220771847</v>
      </c>
      <c r="R34" s="101">
        <f>IF(R12=0,0,R12/TrAvia_act!R10*1000)</f>
        <v>108.38762637047175</v>
      </c>
      <c r="S34" s="101">
        <f>IF(S12=0,0,S12/TrAvia_act!S10*1000)</f>
        <v>126.82879311946321</v>
      </c>
      <c r="T34" s="101">
        <f>IF(T12=0,0,T12/TrAvia_act!T10*1000)</f>
        <v>151.95434740057925</v>
      </c>
      <c r="U34" s="101">
        <f>IF(U12=0,0,U12/TrAvia_act!U10*1000)</f>
        <v>137.36634970724873</v>
      </c>
      <c r="V34" s="101">
        <f>IF(V12=0,0,V12/TrAvia_act!V10*1000)</f>
        <v>303.76494697708546</v>
      </c>
      <c r="W34" s="101">
        <f>IF(W12=0,0,W12/TrAvia_act!W10*1000)</f>
        <v>236.43130578464536</v>
      </c>
      <c r="X34" s="101">
        <f>IF(X12=0,0,X12/TrAvia_act!X10*1000)</f>
        <v>295.83333713994978</v>
      </c>
      <c r="Y34" s="101">
        <f>IF(Y12=0,0,Y12/TrAvia_act!Y10*1000)</f>
        <v>194.70191849083557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38.426345328079407</v>
      </c>
      <c r="C35" s="88">
        <f>IF(C13=0,0,C13/TrAvia_act!C11*1000)</f>
        <v>36.687614179856538</v>
      </c>
      <c r="D35" s="88">
        <f>IF(D13=0,0,D13/TrAvia_act!D11*1000)</f>
        <v>38.843493393190514</v>
      </c>
      <c r="E35" s="88">
        <f>IF(E13=0,0,E13/TrAvia_act!E11*1000)</f>
        <v>42.615934869017451</v>
      </c>
      <c r="F35" s="88">
        <f>IF(F13=0,0,F13/TrAvia_act!F11*1000)</f>
        <v>43.640344222262684</v>
      </c>
      <c r="G35" s="88">
        <f>IF(G13=0,0,G13/TrAvia_act!G11*1000)</f>
        <v>49.71832350046855</v>
      </c>
      <c r="H35" s="88">
        <f>IF(H13=0,0,H13/TrAvia_act!H11*1000)</f>
        <v>45.738216295921525</v>
      </c>
      <c r="I35" s="88">
        <f>IF(I13=0,0,I13/TrAvia_act!I11*1000)</f>
        <v>42.464992075357664</v>
      </c>
      <c r="J35" s="88">
        <f>IF(J13=0,0,J13/TrAvia_act!J11*1000)</f>
        <v>40.944573402246334</v>
      </c>
      <c r="K35" s="88">
        <f>IF(K13=0,0,K13/TrAvia_act!K11*1000)</f>
        <v>29.450671276076477</v>
      </c>
      <c r="L35" s="88">
        <f>IF(L13=0,0,L13/TrAvia_act!L11*1000)</f>
        <v>39.899040546144754</v>
      </c>
      <c r="M35" s="88">
        <f>IF(M13=0,0,M13/TrAvia_act!M11*1000)</f>
        <v>35.708295220775518</v>
      </c>
      <c r="N35" s="88">
        <f>IF(N13=0,0,N13/TrAvia_act!N11*1000)</f>
        <v>29.2399761719014</v>
      </c>
      <c r="O35" s="88">
        <f>IF(O13=0,0,O13/TrAvia_act!O11*1000)</f>
        <v>29.360651896380965</v>
      </c>
      <c r="P35" s="88">
        <f>IF(P13=0,0,P13/TrAvia_act!P11*1000)</f>
        <v>30.770233673039805</v>
      </c>
      <c r="Q35" s="88">
        <f>IF(Q13=0,0,Q13/TrAvia_act!Q11*1000)</f>
        <v>31.713733507972915</v>
      </c>
      <c r="R35" s="88">
        <f>IF(R13=0,0,R13/TrAvia_act!R11*1000)</f>
        <v>33.751107232279402</v>
      </c>
      <c r="S35" s="88">
        <f>IF(S13=0,0,S13/TrAvia_act!S11*1000)</f>
        <v>30.277080139751906</v>
      </c>
      <c r="T35" s="88">
        <f>IF(T13=0,0,T13/TrAvia_act!T11*1000)</f>
        <v>34.768385173526106</v>
      </c>
      <c r="U35" s="88">
        <f>IF(U13=0,0,U13/TrAvia_act!U11*1000)</f>
        <v>27.591816391379808</v>
      </c>
      <c r="V35" s="88">
        <f>IF(V13=0,0,V13/TrAvia_act!V11*1000)</f>
        <v>68.652582685541987</v>
      </c>
      <c r="W35" s="88">
        <f>IF(W13=0,0,W13/TrAvia_act!W11*1000)</f>
        <v>48.459179264316418</v>
      </c>
      <c r="X35" s="88">
        <f>IF(X13=0,0,X13/TrAvia_act!X11*1000)</f>
        <v>33.463687316059683</v>
      </c>
      <c r="Y35" s="88">
        <f>IF(Y13=0,0,Y13/TrAvia_act!Y11*1000)</f>
        <v>24.630296625286284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1747.3871361757217</v>
      </c>
      <c r="C37" s="62">
        <f>IF(C3=0,0,C3/TrAvia_act!C23*1000000)</f>
        <v>1748.9028997578826</v>
      </c>
      <c r="D37" s="62">
        <f>IF(D3=0,0,D3/TrAvia_act!D23*1000000)</f>
        <v>1749.0624668226308</v>
      </c>
      <c r="E37" s="62">
        <f>IF(E3=0,0,E3/TrAvia_act!E23*1000000)</f>
        <v>1747.0151995741669</v>
      </c>
      <c r="F37" s="62">
        <f>IF(F3=0,0,F3/TrAvia_act!F23*1000000)</f>
        <v>1741.1604035512339</v>
      </c>
      <c r="G37" s="62">
        <f>IF(G3=0,0,G3/TrAvia_act!G23*1000000)</f>
        <v>1787.6131212527691</v>
      </c>
      <c r="H37" s="62">
        <f>IF(H3=0,0,H3/TrAvia_act!H23*1000000)</f>
        <v>1877.5586526332568</v>
      </c>
      <c r="I37" s="62">
        <f>IF(I3=0,0,I3/TrAvia_act!I23*1000000)</f>
        <v>2092.833365299361</v>
      </c>
      <c r="J37" s="62">
        <f>IF(J3=0,0,J3/TrAvia_act!J23*1000000)</f>
        <v>2141.338517400201</v>
      </c>
      <c r="K37" s="62">
        <f>IF(K3=0,0,K3/TrAvia_act!K23*1000000)</f>
        <v>1864.6729921460465</v>
      </c>
      <c r="L37" s="62">
        <f>IF(L3=0,0,L3/TrAvia_act!L23*1000000)</f>
        <v>2094.1412526652125</v>
      </c>
      <c r="M37" s="62">
        <f>IF(M3=0,0,M3/TrAvia_act!M23*1000000)</f>
        <v>1862.6654211041955</v>
      </c>
      <c r="N37" s="62">
        <f>IF(N3=0,0,N3/TrAvia_act!N23*1000000)</f>
        <v>2116.8675699087507</v>
      </c>
      <c r="O37" s="62">
        <f>IF(O3=0,0,O3/TrAvia_act!O23*1000000)</f>
        <v>2430.2081037639805</v>
      </c>
      <c r="P37" s="62">
        <f>IF(P3=0,0,P3/TrAvia_act!P23*1000000)</f>
        <v>2542.3788670122299</v>
      </c>
      <c r="Q37" s="62">
        <f>IF(Q3=0,0,Q3/TrAvia_act!Q23*1000000)</f>
        <v>2414.8584705616809</v>
      </c>
      <c r="R37" s="62">
        <f>IF(R3=0,0,R3/TrAvia_act!R23*1000000)</f>
        <v>2063.5554238619361</v>
      </c>
      <c r="S37" s="62">
        <f>IF(S3=0,0,S3/TrAvia_act!S23*1000000)</f>
        <v>2184.0253991627201</v>
      </c>
      <c r="T37" s="62">
        <f>IF(T3=0,0,T3/TrAvia_act!T23*1000000)</f>
        <v>2842.7081446011457</v>
      </c>
      <c r="U37" s="62">
        <f>IF(U3=0,0,U3/TrAvia_act!U23*1000000)</f>
        <v>2580.2214299118032</v>
      </c>
      <c r="V37" s="62">
        <f>IF(V3=0,0,V3/TrAvia_act!V23*1000000)</f>
        <v>4596.5561688729667</v>
      </c>
      <c r="W37" s="62">
        <f>IF(W3=0,0,W3/TrAvia_act!W23*1000000)</f>
        <v>3763.6766388737806</v>
      </c>
      <c r="X37" s="62">
        <f>IF(X3=0,0,X3/TrAvia_act!X23*1000000)</f>
        <v>4188.5749889802928</v>
      </c>
      <c r="Y37" s="62">
        <f>IF(Y3=0,0,Y3/TrAvia_act!Y23*1000000)</f>
        <v>2993.2089455227751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1742.3629251934603</v>
      </c>
      <c r="C38" s="14">
        <f>IF(C6=0,0,C6/TrAvia_act!C24*1000000)</f>
        <v>1743.2254599720709</v>
      </c>
      <c r="D38" s="14">
        <f>IF(D6=0,0,D6/TrAvia_act!D24*1000000)</f>
        <v>1742.6681898297243</v>
      </c>
      <c r="E38" s="14">
        <f>IF(E6=0,0,E6/TrAvia_act!E24*1000000)</f>
        <v>1737.2394787495448</v>
      </c>
      <c r="F38" s="14">
        <f>IF(F6=0,0,F6/TrAvia_act!F24*1000000)</f>
        <v>1726.6421570767307</v>
      </c>
      <c r="G38" s="14">
        <f>IF(G6=0,0,G6/TrAvia_act!G24*1000000)</f>
        <v>1776.4370778366974</v>
      </c>
      <c r="H38" s="14">
        <f>IF(H6=0,0,H6/TrAvia_act!H24*1000000)</f>
        <v>1879.0927471655659</v>
      </c>
      <c r="I38" s="14">
        <f>IF(I6=0,0,I6/TrAvia_act!I24*1000000)</f>
        <v>2127.8804151186782</v>
      </c>
      <c r="J38" s="14">
        <f>IF(J6=0,0,J6/TrAvia_act!J24*1000000)</f>
        <v>2150.7972669385886</v>
      </c>
      <c r="K38" s="14">
        <f>IF(K6=0,0,K6/TrAvia_act!K24*1000000)</f>
        <v>1868.129286031741</v>
      </c>
      <c r="L38" s="14">
        <f>IF(L6=0,0,L6/TrAvia_act!L24*1000000)</f>
        <v>2100.5796942731999</v>
      </c>
      <c r="M38" s="14">
        <f>IF(M6=0,0,M6/TrAvia_act!M24*1000000)</f>
        <v>1869.8668489015643</v>
      </c>
      <c r="N38" s="14">
        <f>IF(N6=0,0,N6/TrAvia_act!N24*1000000)</f>
        <v>2127.0085769728985</v>
      </c>
      <c r="O38" s="14">
        <f>IF(O6=0,0,O6/TrAvia_act!O24*1000000)</f>
        <v>2440.227104517216</v>
      </c>
      <c r="P38" s="14">
        <f>IF(P6=0,0,P6/TrAvia_act!P24*1000000)</f>
        <v>2549.6310633813464</v>
      </c>
      <c r="Q38" s="14">
        <f>IF(Q6=0,0,Q6/TrAvia_act!Q24*1000000)</f>
        <v>2421.7927395271599</v>
      </c>
      <c r="R38" s="14">
        <f>IF(R6=0,0,R6/TrAvia_act!R24*1000000)</f>
        <v>2070.1597006673001</v>
      </c>
      <c r="S38" s="14">
        <f>IF(S6=0,0,S6/TrAvia_act!S24*1000000)</f>
        <v>2192.4045709039046</v>
      </c>
      <c r="T38" s="14">
        <f>IF(T6=0,0,T6/TrAvia_act!T24*1000000)</f>
        <v>2854.2010273231472</v>
      </c>
      <c r="U38" s="14">
        <f>IF(U6=0,0,U6/TrAvia_act!U24*1000000)</f>
        <v>2591.142622581965</v>
      </c>
      <c r="V38" s="14">
        <f>IF(V6=0,0,V6/TrAvia_act!V24*1000000)</f>
        <v>4721.6443114608792</v>
      </c>
      <c r="W38" s="14">
        <f>IF(W6=0,0,W6/TrAvia_act!W24*1000000)</f>
        <v>3861.7237520472572</v>
      </c>
      <c r="X38" s="14">
        <f>IF(X6=0,0,X6/TrAvia_act!X24*1000000)</f>
        <v>4220.4253039750993</v>
      </c>
      <c r="Y38" s="14">
        <f>IF(Y6=0,0,Y6/TrAvia_act!Y24*1000000)</f>
        <v>3009.114478525154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1456.20965622618</v>
      </c>
      <c r="C40" s="87">
        <f>IF(C8=0,0,C8/TrAvia_act!C26*1000000)</f>
        <v>1456.8653800810698</v>
      </c>
      <c r="D40" s="87">
        <f>IF(D8=0,0,D8/TrAvia_act!D26*1000000)</f>
        <v>1456.4379274017617</v>
      </c>
      <c r="E40" s="87">
        <f>IF(E8=0,0,E8/TrAvia_act!E26*1000000)</f>
        <v>1451.9416932218774</v>
      </c>
      <c r="F40" s="87">
        <f>IF(F8=0,0,F8/TrAvia_act!F26*1000000)</f>
        <v>1443.0852323426275</v>
      </c>
      <c r="G40" s="87">
        <f>IF(G8=0,0,G8/TrAvia_act!G26*1000000)</f>
        <v>1463.3505349217996</v>
      </c>
      <c r="H40" s="87">
        <f>IF(H8=0,0,H8/TrAvia_act!H26*1000000)</f>
        <v>1576.0271911744214</v>
      </c>
      <c r="I40" s="87">
        <f>IF(I8=0,0,I8/TrAvia_act!I26*1000000)</f>
        <v>1841.4035833364319</v>
      </c>
      <c r="J40" s="87">
        <f>IF(J8=0,0,J8/TrAvia_act!J26*1000000)</f>
        <v>1856.4510960400069</v>
      </c>
      <c r="K40" s="87">
        <f>IF(K8=0,0,K8/TrAvia_act!K26*1000000)</f>
        <v>1651.5720783318377</v>
      </c>
      <c r="L40" s="87">
        <f>IF(L8=0,0,L8/TrAvia_act!L26*1000000)</f>
        <v>1937.9114790343256</v>
      </c>
      <c r="M40" s="87">
        <f>IF(M8=0,0,M8/TrAvia_act!M26*1000000)</f>
        <v>1683.3368847737495</v>
      </c>
      <c r="N40" s="87">
        <f>IF(N8=0,0,N8/TrAvia_act!N26*1000000)</f>
        <v>1913.9578361511749</v>
      </c>
      <c r="O40" s="87">
        <f>IF(O8=0,0,O8/TrAvia_act!O26*1000000)</f>
        <v>2297.9581238451624</v>
      </c>
      <c r="P40" s="87">
        <f>IF(P8=0,0,P8/TrAvia_act!P26*1000000)</f>
        <v>2477.8053373492589</v>
      </c>
      <c r="Q40" s="87">
        <f>IF(Q8=0,0,Q8/TrAvia_act!Q26*1000000)</f>
        <v>2378.6694425581904</v>
      </c>
      <c r="R40" s="87">
        <f>IF(R8=0,0,R8/TrAvia_act!R26*1000000)</f>
        <v>1983.58995758897</v>
      </c>
      <c r="S40" s="87">
        <f>IF(S8=0,0,S8/TrAvia_act!S26*1000000)</f>
        <v>2229.2416467013527</v>
      </c>
      <c r="T40" s="87">
        <f>IF(T8=0,0,T8/TrAvia_act!T26*1000000)</f>
        <v>2765.2680753653531</v>
      </c>
      <c r="U40" s="87">
        <f>IF(U8=0,0,U8/TrAvia_act!U26*1000000)</f>
        <v>2557.7710012150051</v>
      </c>
      <c r="V40" s="87">
        <f>IF(V8=0,0,V8/TrAvia_act!V26*1000000)</f>
        <v>3849.1274897035905</v>
      </c>
      <c r="W40" s="87">
        <f>IF(W8=0,0,W8/TrAvia_act!W26*1000000)</f>
        <v>3332.1348871647692</v>
      </c>
      <c r="X40" s="87">
        <f>IF(X8=0,0,X8/TrAvia_act!X26*1000000)</f>
        <v>4180.7093812925677</v>
      </c>
      <c r="Y40" s="87">
        <f>IF(Y8=0,0,Y8/TrAvia_act!Y26*1000000)</f>
        <v>3027.6417379551531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2529.3031372605064</v>
      </c>
      <c r="C41" s="87">
        <f>IF(C9=0,0,C9/TrAvia_act!C27*1000000)</f>
        <v>2530.5774750005617</v>
      </c>
      <c r="D41" s="87">
        <f>IF(D9=0,0,D9/TrAvia_act!D27*1000000)</f>
        <v>2529.7213157313731</v>
      </c>
      <c r="E41" s="87">
        <f>IF(E9=0,0,E9/TrAvia_act!E27*1000000)</f>
        <v>2521.8083889506302</v>
      </c>
      <c r="F41" s="87">
        <f>IF(F9=0,0,F9/TrAvia_act!F27*1000000)</f>
        <v>2506.4470419562913</v>
      </c>
      <c r="G41" s="87">
        <f>IF(G9=0,0,G9/TrAvia_act!G27*1000000)</f>
        <v>2732.9970365498498</v>
      </c>
      <c r="H41" s="87">
        <f>IF(H9=0,0,H9/TrAvia_act!H27*1000000)</f>
        <v>2834.4907514663823</v>
      </c>
      <c r="I41" s="87">
        <f>IF(I9=0,0,I9/TrAvia_act!I27*1000000)</f>
        <v>2966.2045238269829</v>
      </c>
      <c r="J41" s="87">
        <f>IF(J9=0,0,J9/TrAvia_act!J27*1000000)</f>
        <v>2976.8165636019157</v>
      </c>
      <c r="K41" s="87">
        <f>IF(K9=0,0,K9/TrAvia_act!K27*1000000)</f>
        <v>2378.4951030087068</v>
      </c>
      <c r="L41" s="87">
        <f>IF(L9=0,0,L9/TrAvia_act!L27*1000000)</f>
        <v>2420.4050409499459</v>
      </c>
      <c r="M41" s="87">
        <f>IF(M9=0,0,M9/TrAvia_act!M27*1000000)</f>
        <v>2263.9584668594443</v>
      </c>
      <c r="N41" s="87">
        <f>IF(N9=0,0,N9/TrAvia_act!N27*1000000)</f>
        <v>2561.4592655052211</v>
      </c>
      <c r="O41" s="87">
        <f>IF(O9=0,0,O9/TrAvia_act!O27*1000000)</f>
        <v>2699.4677074930987</v>
      </c>
      <c r="P41" s="87">
        <f>IF(P9=0,0,P9/TrAvia_act!P27*1000000)</f>
        <v>2670.3411070775405</v>
      </c>
      <c r="Q41" s="87">
        <f>IF(Q9=0,0,Q9/TrAvia_act!Q27*1000000)</f>
        <v>2497.065745068227</v>
      </c>
      <c r="R41" s="87">
        <f>IF(R9=0,0,R9/TrAvia_act!R27*1000000)</f>
        <v>2239.6153679695631</v>
      </c>
      <c r="S41" s="87">
        <f>IF(S9=0,0,S9/TrAvia_act!S27*1000000)</f>
        <v>2126.0437264680381</v>
      </c>
      <c r="T41" s="87">
        <f>IF(T9=0,0,T9/TrAvia_act!T27*1000000)</f>
        <v>3036.2597999414584</v>
      </c>
      <c r="U41" s="87">
        <f>IF(U9=0,0,U9/TrAvia_act!U27*1000000)</f>
        <v>2650.1365176406171</v>
      </c>
      <c r="V41" s="87">
        <f>IF(V9=0,0,V9/TrAvia_act!V27*1000000)</f>
        <v>6385.7227859464283</v>
      </c>
      <c r="W41" s="87">
        <f>IF(W9=0,0,W9/TrAvia_act!W27*1000000)</f>
        <v>4923.9450959782234</v>
      </c>
      <c r="X41" s="87">
        <f>IF(X9=0,0,X9/TrAvia_act!X27*1000000)</f>
        <v>4292.2313395465135</v>
      </c>
      <c r="Y41" s="87">
        <f>IF(Y9=0,0,Y9/TrAvia_act!Y27*1000000)</f>
        <v>2977.707557797924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2269.067709833851</v>
      </c>
      <c r="C42" s="15">
        <f>IF(C10=0,0,C10/TrAvia_act!C28*1000000)</f>
        <v>2477.9612418400325</v>
      </c>
      <c r="D42" s="15">
        <f>IF(D10=0,0,D10/TrAvia_act!D28*1000000)</f>
        <v>2705.3494278152998</v>
      </c>
      <c r="E42" s="15">
        <f>IF(E10=0,0,E10/TrAvia_act!E28*1000000)</f>
        <v>3167.8165660265222</v>
      </c>
      <c r="F42" s="15">
        <f>IF(F10=0,0,F10/TrAvia_act!F28*1000000)</f>
        <v>3315.9062044857037</v>
      </c>
      <c r="G42" s="15">
        <f>IF(G10=0,0,G10/TrAvia_act!G28*1000000)</f>
        <v>2983.7291678578404</v>
      </c>
      <c r="H42" s="15">
        <f>IF(H10=0,0,H10/TrAvia_act!H28*1000000)</f>
        <v>1787.69872600181</v>
      </c>
      <c r="I42" s="15">
        <f>IF(I10=0,0,I10/TrAvia_act!I28*1000000)</f>
        <v>1454.7323410329461</v>
      </c>
      <c r="J42" s="15">
        <f>IF(J10=0,0,J10/TrAvia_act!J28*1000000)</f>
        <v>1596.9572939674699</v>
      </c>
      <c r="K42" s="15">
        <f>IF(K10=0,0,K10/TrAvia_act!K28*1000000)</f>
        <v>1479.7347089362927</v>
      </c>
      <c r="L42" s="15">
        <f>IF(L10=0,0,L10/TrAvia_act!L28*1000000)</f>
        <v>1641.3955183163064</v>
      </c>
      <c r="M42" s="15">
        <f>IF(M10=0,0,M10/TrAvia_act!M28*1000000)</f>
        <v>1400.4580451146842</v>
      </c>
      <c r="N42" s="15">
        <f>IF(N10=0,0,N10/TrAvia_act!N28*1000000)</f>
        <v>1578.7634151651853</v>
      </c>
      <c r="O42" s="15">
        <f>IF(O10=0,0,O10/TrAvia_act!O28*1000000)</f>
        <v>1879.0581513333768</v>
      </c>
      <c r="P42" s="15">
        <f>IF(P10=0,0,P10/TrAvia_act!P28*1000000)</f>
        <v>2071.1732564743311</v>
      </c>
      <c r="Q42" s="15">
        <f>IF(Q10=0,0,Q10/TrAvia_act!Q28*1000000)</f>
        <v>1985.2176536654899</v>
      </c>
      <c r="R42" s="15">
        <f>IF(R10=0,0,R10/TrAvia_act!R28*1000000)</f>
        <v>1627.7985523687685</v>
      </c>
      <c r="S42" s="15">
        <f>IF(S10=0,0,S10/TrAvia_act!S28*1000000)</f>
        <v>1781.2461071321939</v>
      </c>
      <c r="T42" s="15">
        <f>IF(T10=0,0,T10/TrAvia_act!T28*1000000)</f>
        <v>2215.4521453736834</v>
      </c>
      <c r="U42" s="15">
        <f>IF(U10=0,0,U10/TrAvia_act!U28*1000000)</f>
        <v>1988.0438066307472</v>
      </c>
      <c r="V42" s="15">
        <f>IF(V10=0,0,V10/TrAvia_act!V28*1000000)</f>
        <v>3296.9562032490771</v>
      </c>
      <c r="W42" s="15">
        <f>IF(W10=0,0,W10/TrAvia_act!W28*1000000)</f>
        <v>2629.19344883554</v>
      </c>
      <c r="X42" s="15">
        <f>IF(X10=0,0,X10/TrAvia_act!X28*1000000)</f>
        <v>3522.6138572706991</v>
      </c>
      <c r="Y42" s="15">
        <f>IF(Y10=0,0,Y10/TrAvia_act!Y28*1000000)</f>
        <v>2537.1070396978025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1293.0146435791046</v>
      </c>
      <c r="C44" s="101">
        <f>IF(C12=0,0,C12/TrAvia_act!C30*1000000)</f>
        <v>1307.9604186412103</v>
      </c>
      <c r="D44" s="101">
        <f>IF(D12=0,0,D12/TrAvia_act!D30*1000000)</f>
        <v>1317.3257664145638</v>
      </c>
      <c r="E44" s="101">
        <f>IF(E12=0,0,E12/TrAvia_act!E30*1000000)</f>
        <v>1324.1472779813103</v>
      </c>
      <c r="F44" s="101">
        <f>IF(F12=0,0,F12/TrAvia_act!F30*1000000)</f>
        <v>1319.670330855542</v>
      </c>
      <c r="G44" s="101">
        <f>IF(G12=0,0,G12/TrAvia_act!G30*1000000)</f>
        <v>1220.4360486239548</v>
      </c>
      <c r="H44" s="101">
        <f>IF(H12=0,0,H12/TrAvia_act!H30*1000000)</f>
        <v>1211.1832716241495</v>
      </c>
      <c r="I44" s="101">
        <f>IF(I12=0,0,I12/TrAvia_act!I30*1000000)</f>
        <v>1352.7528295709026</v>
      </c>
      <c r="J44" s="101">
        <f>IF(J12=0,0,J12/TrAvia_act!J30*1000000)</f>
        <v>1429.924772854132</v>
      </c>
      <c r="K44" s="101">
        <f>IF(K12=0,0,K12/TrAvia_act!K30*1000000)</f>
        <v>1409.8794236521069</v>
      </c>
      <c r="L44" s="101">
        <f>IF(L12=0,0,L12/TrAvia_act!L30*1000000)</f>
        <v>1667.8020949088634</v>
      </c>
      <c r="M44" s="101">
        <f>IF(M12=0,0,M12/TrAvia_act!M30*1000000)</f>
        <v>1429.1632790362742</v>
      </c>
      <c r="N44" s="101">
        <f>IF(N12=0,0,N12/TrAvia_act!N30*1000000)</f>
        <v>1623.2855283568997</v>
      </c>
      <c r="O44" s="101">
        <f>IF(O12=0,0,O12/TrAvia_act!O30*1000000)</f>
        <v>1946.5835379134901</v>
      </c>
      <c r="P44" s="101">
        <f>IF(P12=0,0,P12/TrAvia_act!P30*1000000)</f>
        <v>2159.6053040148854</v>
      </c>
      <c r="Q44" s="101">
        <f>IF(Q12=0,0,Q12/TrAvia_act!Q30*1000000)</f>
        <v>2025.1758628972864</v>
      </c>
      <c r="R44" s="101">
        <f>IF(R12=0,0,R12/TrAvia_act!R30*1000000)</f>
        <v>1654.8493587151258</v>
      </c>
      <c r="S44" s="101">
        <f>IF(S12=0,0,S12/TrAvia_act!S30*1000000)</f>
        <v>1835.8530520099619</v>
      </c>
      <c r="T44" s="101">
        <f>IF(T12=0,0,T12/TrAvia_act!T30*1000000)</f>
        <v>2260.387968690974</v>
      </c>
      <c r="U44" s="101">
        <f>IF(U12=0,0,U12/TrAvia_act!U30*1000000)</f>
        <v>2037.5249285601287</v>
      </c>
      <c r="V44" s="101">
        <f>IF(V12=0,0,V12/TrAvia_act!V30*1000000)</f>
        <v>3351.6869688945126</v>
      </c>
      <c r="W44" s="101">
        <f>IF(W12=0,0,W12/TrAvia_act!W30*1000000)</f>
        <v>2713.3098619948237</v>
      </c>
      <c r="X44" s="101">
        <f>IF(X12=0,0,X12/TrAvia_act!X30*1000000)</f>
        <v>3753.1782032722558</v>
      </c>
      <c r="Y44" s="101">
        <f>IF(Y12=0,0,Y12/TrAvia_act!Y30*1000000)</f>
        <v>2680.7477491815239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8382.2421774293671</v>
      </c>
      <c r="C45" s="88">
        <f>IF(C13=0,0,C13/TrAvia_act!C31*1000000)</f>
        <v>8386.4653989940853</v>
      </c>
      <c r="D45" s="88">
        <f>IF(D13=0,0,D13/TrAvia_act!D31*1000000)</f>
        <v>8383.628042636492</v>
      </c>
      <c r="E45" s="88">
        <f>IF(E13=0,0,E13/TrAvia_act!E31*1000000)</f>
        <v>8357.4041916352671</v>
      </c>
      <c r="F45" s="88">
        <f>IF(F13=0,0,F13/TrAvia_act!F31*1000000)</f>
        <v>8306.4958885611086</v>
      </c>
      <c r="G45" s="88">
        <f>IF(G13=0,0,G13/TrAvia_act!G31*1000000)</f>
        <v>9057.2943563301124</v>
      </c>
      <c r="H45" s="88">
        <f>IF(H13=0,0,H13/TrAvia_act!H31*1000000)</f>
        <v>6640.0371336804537</v>
      </c>
      <c r="I45" s="88">
        <f>IF(I13=0,0,I13/TrAvia_act!I31*1000000)</f>
        <v>4908.7340553343311</v>
      </c>
      <c r="J45" s="88">
        <f>IF(J13=0,0,J13/TrAvia_act!J31*1000000)</f>
        <v>3477.8887273741875</v>
      </c>
      <c r="K45" s="88">
        <f>IF(K13=0,0,K13/TrAvia_act!K31*1000000)</f>
        <v>1960.503437068631</v>
      </c>
      <c r="L45" s="88">
        <f>IF(L13=0,0,L13/TrAvia_act!L31*1000000)</f>
        <v>1406.515968624617</v>
      </c>
      <c r="M45" s="88">
        <f>IF(M13=0,0,M13/TrAvia_act!M31*1000000)</f>
        <v>1159.8808465337388</v>
      </c>
      <c r="N45" s="88">
        <f>IF(N13=0,0,N13/TrAvia_act!N31*1000000)</f>
        <v>1158.0294455034827</v>
      </c>
      <c r="O45" s="88">
        <f>IF(O13=0,0,O13/TrAvia_act!O31*1000000)</f>
        <v>1267.775704397618</v>
      </c>
      <c r="P45" s="88">
        <f>IF(P13=0,0,P13/TrAvia_act!P31*1000000)</f>
        <v>1302.9198434657628</v>
      </c>
      <c r="Q45" s="88">
        <f>IF(Q13=0,0,Q13/TrAvia_act!Q31*1000000)</f>
        <v>1265.9698874931514</v>
      </c>
      <c r="R45" s="88">
        <f>IF(R13=0,0,R13/TrAvia_act!R31*1000000)</f>
        <v>1179.9574250790738</v>
      </c>
      <c r="S45" s="88">
        <f>IF(S13=0,0,S13/TrAvia_act!S31*1000000)</f>
        <v>1164.1876300134165</v>
      </c>
      <c r="T45" s="88">
        <f>IF(T13=0,0,T13/TrAvia_act!T31*1000000)</f>
        <v>1728.2532188809489</v>
      </c>
      <c r="U45" s="88">
        <f>IF(U13=0,0,U13/TrAvia_act!U31*1000000)</f>
        <v>1506.9773434284243</v>
      </c>
      <c r="V45" s="88">
        <f>IF(V13=0,0,V13/TrAvia_act!V31*1000000)</f>
        <v>2739.9901763867092</v>
      </c>
      <c r="W45" s="88">
        <f>IF(W13=0,0,W13/TrAvia_act!W31*1000000)</f>
        <v>1712.7672633633447</v>
      </c>
      <c r="X45" s="88">
        <f>IF(X13=0,0,X13/TrAvia_act!X31*1000000)</f>
        <v>1428.3210477565565</v>
      </c>
      <c r="Y45" s="88">
        <f>IF(Y13=0,0,Y13/TrAvia_act!Y31*1000000)</f>
        <v>1086.3358739122139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0.98761320567952127</v>
      </c>
      <c r="C48" s="16">
        <f t="shared" si="36"/>
        <v>0.98905161256403595</v>
      </c>
      <c r="D48" s="16">
        <f t="shared" ref="D48:V48" si="37">IF(D6=0,0,D6/D$3)</f>
        <v>0.98972629751983932</v>
      </c>
      <c r="E48" s="16">
        <f t="shared" si="37"/>
        <v>0.98760915661623672</v>
      </c>
      <c r="F48" s="16">
        <f t="shared" si="37"/>
        <v>0.98260271165796897</v>
      </c>
      <c r="G48" s="16">
        <f t="shared" si="37"/>
        <v>0.984548822164518</v>
      </c>
      <c r="H48" s="16">
        <f t="shared" si="37"/>
        <v>0.98401785177738565</v>
      </c>
      <c r="I48" s="16">
        <f t="shared" si="37"/>
        <v>0.96380994010790633</v>
      </c>
      <c r="J48" s="16">
        <f t="shared" si="37"/>
        <v>0.98726328585876022</v>
      </c>
      <c r="K48" s="16">
        <f t="shared" si="37"/>
        <v>0.99293814679191394</v>
      </c>
      <c r="L48" s="16">
        <f t="shared" si="37"/>
        <v>0.98900991328412946</v>
      </c>
      <c r="M48" s="16">
        <f t="shared" si="37"/>
        <v>0.98846539755351825</v>
      </c>
      <c r="N48" s="16">
        <f t="shared" si="37"/>
        <v>0.98620474788857404</v>
      </c>
      <c r="O48" s="16">
        <f t="shared" si="37"/>
        <v>0.98619528231715947</v>
      </c>
      <c r="P48" s="16">
        <f t="shared" si="37"/>
        <v>0.98765184507663539</v>
      </c>
      <c r="Q48" s="16">
        <f t="shared" si="37"/>
        <v>0.98694255573842471</v>
      </c>
      <c r="R48" s="16">
        <f t="shared" si="37"/>
        <v>0.9882230505509435</v>
      </c>
      <c r="S48" s="16">
        <f t="shared" si="37"/>
        <v>0.98337896359633192</v>
      </c>
      <c r="T48" s="16">
        <f t="shared" si="37"/>
        <v>0.98597738785990507</v>
      </c>
      <c r="U48" s="16">
        <f t="shared" si="37"/>
        <v>0.98604754710255504</v>
      </c>
      <c r="V48" s="16">
        <f t="shared" si="37"/>
        <v>0.93702372758037489</v>
      </c>
      <c r="W48" s="16">
        <f t="shared" ref="W48:Y48" si="38">IF(W6=0,0,W6/W$3)</f>
        <v>0.94442909833098487</v>
      </c>
      <c r="X48" s="16">
        <f t="shared" si="38"/>
        <v>0.96161386497158441</v>
      </c>
      <c r="Y48" s="16">
        <f t="shared" si="38"/>
        <v>0.97143717626391879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0.60530791808324924</v>
      </c>
      <c r="C50" s="103">
        <f t="shared" si="42"/>
        <v>0.60613019075568708</v>
      </c>
      <c r="D50" s="103">
        <f t="shared" ref="D50:V50" si="43">IF(D8=0,0,D8/D$3)</f>
        <v>0.60657153566841981</v>
      </c>
      <c r="E50" s="103">
        <f t="shared" si="43"/>
        <v>0.60530745146856202</v>
      </c>
      <c r="F50" s="103">
        <f t="shared" si="43"/>
        <v>0.60224401554420204</v>
      </c>
      <c r="G50" s="103">
        <f t="shared" si="43"/>
        <v>0.61103371723100486</v>
      </c>
      <c r="H50" s="103">
        <f t="shared" si="43"/>
        <v>0.62655925899745968</v>
      </c>
      <c r="I50" s="103">
        <f t="shared" si="43"/>
        <v>0.62162640332636687</v>
      </c>
      <c r="J50" s="103">
        <f t="shared" si="43"/>
        <v>0.62827170739826332</v>
      </c>
      <c r="K50" s="103">
        <f t="shared" si="43"/>
        <v>0.61631956243616715</v>
      </c>
      <c r="L50" s="103">
        <f t="shared" si="43"/>
        <v>0.60480695061015388</v>
      </c>
      <c r="M50" s="103">
        <f t="shared" si="43"/>
        <v>0.60398458075522443</v>
      </c>
      <c r="N50" s="103">
        <f t="shared" si="43"/>
        <v>0.59542898569897174</v>
      </c>
      <c r="O50" s="103">
        <f t="shared" si="43"/>
        <v>0.59962798184450294</v>
      </c>
      <c r="P50" s="103">
        <f t="shared" si="43"/>
        <v>0.60176330785805743</v>
      </c>
      <c r="Q50" s="103">
        <f t="shared" si="43"/>
        <v>0.61629708512601533</v>
      </c>
      <c r="R50" s="103">
        <f t="shared" si="43"/>
        <v>0.62672361270889032</v>
      </c>
      <c r="S50" s="103">
        <f t="shared" si="43"/>
        <v>0.64298126908815811</v>
      </c>
      <c r="T50" s="103">
        <f t="shared" si="43"/>
        <v>0.64176380341034189</v>
      </c>
      <c r="U50" s="103">
        <f t="shared" si="43"/>
        <v>0.62167786807713066</v>
      </c>
      <c r="V50" s="103">
        <f t="shared" si="43"/>
        <v>0.50112057738217652</v>
      </c>
      <c r="W50" s="103">
        <f t="shared" ref="W50:Y50" si="44">IF(W8=0,0,W8/W$3)</f>
        <v>0.54379407058286644</v>
      </c>
      <c r="X50" s="103">
        <f t="shared" si="44"/>
        <v>0.61333117559922601</v>
      </c>
      <c r="Y50" s="103">
        <f t="shared" si="44"/>
        <v>0.6147632918801027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0.38230528759627203</v>
      </c>
      <c r="C51" s="103">
        <f t="shared" si="45"/>
        <v>0.38292142180834876</v>
      </c>
      <c r="D51" s="103">
        <f t="shared" ref="D51:V51" si="46">IF(D9=0,0,D9/D$3)</f>
        <v>0.38315476185141945</v>
      </c>
      <c r="E51" s="103">
        <f t="shared" si="46"/>
        <v>0.38230170514767475</v>
      </c>
      <c r="F51" s="103">
        <f t="shared" si="46"/>
        <v>0.38035869611376683</v>
      </c>
      <c r="G51" s="103">
        <f t="shared" si="46"/>
        <v>0.37351510493351314</v>
      </c>
      <c r="H51" s="103">
        <f t="shared" si="46"/>
        <v>0.35745859277992598</v>
      </c>
      <c r="I51" s="103">
        <f t="shared" si="46"/>
        <v>0.3421835367815394</v>
      </c>
      <c r="J51" s="103">
        <f t="shared" si="46"/>
        <v>0.35899157846049684</v>
      </c>
      <c r="K51" s="103">
        <f t="shared" si="46"/>
        <v>0.3766185843557468</v>
      </c>
      <c r="L51" s="103">
        <f t="shared" si="46"/>
        <v>0.38420296267397558</v>
      </c>
      <c r="M51" s="103">
        <f t="shared" si="46"/>
        <v>0.38448081679829382</v>
      </c>
      <c r="N51" s="103">
        <f t="shared" si="46"/>
        <v>0.3907757621896023</v>
      </c>
      <c r="O51" s="103">
        <f t="shared" si="46"/>
        <v>0.38656730047265647</v>
      </c>
      <c r="P51" s="103">
        <f t="shared" si="46"/>
        <v>0.38588853721857796</v>
      </c>
      <c r="Q51" s="103">
        <f t="shared" si="46"/>
        <v>0.37064547061240938</v>
      </c>
      <c r="R51" s="103">
        <f t="shared" si="46"/>
        <v>0.36149943784205324</v>
      </c>
      <c r="S51" s="103">
        <f t="shared" si="46"/>
        <v>0.34039769450817381</v>
      </c>
      <c r="T51" s="103">
        <f t="shared" si="46"/>
        <v>0.34421358444956318</v>
      </c>
      <c r="U51" s="103">
        <f t="shared" si="46"/>
        <v>0.36436967902542444</v>
      </c>
      <c r="V51" s="103">
        <f t="shared" si="46"/>
        <v>0.43590315019819836</v>
      </c>
      <c r="W51" s="103">
        <f t="shared" ref="W51:Y51" si="47">IF(W9=0,0,W9/W$3)</f>
        <v>0.40063502774811849</v>
      </c>
      <c r="X51" s="103">
        <f t="shared" si="47"/>
        <v>0.34828268937235835</v>
      </c>
      <c r="Y51" s="103">
        <f t="shared" si="47"/>
        <v>0.35667388438381598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1.2386794320478713E-2</v>
      </c>
      <c r="C52" s="17">
        <f t="shared" si="48"/>
        <v>1.0948387435964047E-2</v>
      </c>
      <c r="D52" s="17">
        <f t="shared" ref="D52:V52" si="49">IF(D10=0,0,D10/D$3)</f>
        <v>1.0273702480160633E-2</v>
      </c>
      <c r="E52" s="17">
        <f t="shared" si="49"/>
        <v>1.2390843383763304E-2</v>
      </c>
      <c r="F52" s="17">
        <f t="shared" si="49"/>
        <v>1.7397288342031011E-2</v>
      </c>
      <c r="G52" s="17">
        <f t="shared" si="49"/>
        <v>1.5451177835482017E-2</v>
      </c>
      <c r="H52" s="17">
        <f t="shared" si="49"/>
        <v>1.5982148222614415E-2</v>
      </c>
      <c r="I52" s="17">
        <f t="shared" si="49"/>
        <v>3.6190059892093847E-2</v>
      </c>
      <c r="J52" s="17">
        <f t="shared" si="49"/>
        <v>1.2736714141239783E-2</v>
      </c>
      <c r="K52" s="17">
        <f t="shared" si="49"/>
        <v>7.0618532080860431E-3</v>
      </c>
      <c r="L52" s="17">
        <f t="shared" si="49"/>
        <v>1.0990086715870479E-2</v>
      </c>
      <c r="M52" s="17">
        <f t="shared" si="49"/>
        <v>1.1534602446481685E-2</v>
      </c>
      <c r="N52" s="17">
        <f t="shared" si="49"/>
        <v>1.3795252111425882E-2</v>
      </c>
      <c r="O52" s="17">
        <f t="shared" si="49"/>
        <v>1.3804717682840613E-2</v>
      </c>
      <c r="P52" s="17">
        <f t="shared" si="49"/>
        <v>1.2348154923364633E-2</v>
      </c>
      <c r="Q52" s="17">
        <f t="shared" si="49"/>
        <v>1.3057444261575304E-2</v>
      </c>
      <c r="R52" s="17">
        <f t="shared" si="49"/>
        <v>1.1776949449056461E-2</v>
      </c>
      <c r="S52" s="17">
        <f t="shared" si="49"/>
        <v>1.6621036403668119E-2</v>
      </c>
      <c r="T52" s="17">
        <f t="shared" si="49"/>
        <v>1.4022612140094879E-2</v>
      </c>
      <c r="U52" s="17">
        <f t="shared" si="49"/>
        <v>1.3952452897444879E-2</v>
      </c>
      <c r="V52" s="17">
        <f t="shared" si="49"/>
        <v>6.2976272419625057E-2</v>
      </c>
      <c r="W52" s="17">
        <f t="shared" ref="W52:Y52" si="50">IF(W10=0,0,W10/W$3)</f>
        <v>5.5570901669014988E-2</v>
      </c>
      <c r="X52" s="17">
        <f t="shared" si="50"/>
        <v>3.8386135028415591E-2</v>
      </c>
      <c r="Y52" s="17">
        <f t="shared" si="50"/>
        <v>2.8562823736081135E-2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6.0867125043339246E-3</v>
      </c>
      <c r="C54" s="104">
        <f t="shared" si="54"/>
        <v>4.8237662372010194E-3</v>
      </c>
      <c r="D54" s="104">
        <f t="shared" ref="D54:V54" si="55">IF(D12=0,0,D12/D$3)</f>
        <v>4.0199559175105653E-3</v>
      </c>
      <c r="E54" s="104">
        <f t="shared" si="55"/>
        <v>3.82167280346815E-3</v>
      </c>
      <c r="F54" s="104">
        <f t="shared" si="55"/>
        <v>4.9455744192856994E-3</v>
      </c>
      <c r="G54" s="104">
        <f t="shared" si="55"/>
        <v>4.898001580078604E-3</v>
      </c>
      <c r="H54" s="104">
        <f t="shared" si="55"/>
        <v>9.6781782744753391E-3</v>
      </c>
      <c r="I54" s="104">
        <f t="shared" si="55"/>
        <v>3.2687954761345062E-2</v>
      </c>
      <c r="J54" s="104">
        <f t="shared" si="55"/>
        <v>1.0474370829204549E-2</v>
      </c>
      <c r="K54" s="104">
        <f t="shared" si="55"/>
        <v>5.8748645859980353E-3</v>
      </c>
      <c r="L54" s="104">
        <f t="shared" si="55"/>
        <v>1.0038324861370459E-2</v>
      </c>
      <c r="M54" s="104">
        <f t="shared" si="55"/>
        <v>1.0516247978206895E-2</v>
      </c>
      <c r="N54" s="104">
        <f t="shared" si="55"/>
        <v>1.2826938805183303E-2</v>
      </c>
      <c r="O54" s="104">
        <f t="shared" si="55"/>
        <v>1.2878207989458395E-2</v>
      </c>
      <c r="P54" s="104">
        <f t="shared" si="55"/>
        <v>1.1546307712672416E-2</v>
      </c>
      <c r="Q54" s="104">
        <f t="shared" si="55"/>
        <v>1.261919637866743E-2</v>
      </c>
      <c r="R54" s="104">
        <f t="shared" si="55"/>
        <v>1.1290672242774831E-2</v>
      </c>
      <c r="S54" s="104">
        <f t="shared" si="55"/>
        <v>1.5737850677553428E-2</v>
      </c>
      <c r="T54" s="104">
        <f t="shared" si="55"/>
        <v>1.3098882231390684E-2</v>
      </c>
      <c r="U54" s="104">
        <f t="shared" si="55"/>
        <v>1.296606772720082E-2</v>
      </c>
      <c r="V54" s="104">
        <f t="shared" si="55"/>
        <v>5.8293445575806901E-2</v>
      </c>
      <c r="W54" s="104">
        <f t="shared" ref="W54:Y54" si="56">IF(W12=0,0,W12/W$3)</f>
        <v>5.252743592830976E-2</v>
      </c>
      <c r="X54" s="104">
        <f t="shared" si="56"/>
        <v>3.684254821716329E-2</v>
      </c>
      <c r="Y54" s="104">
        <f t="shared" si="56"/>
        <v>2.7461021899152709E-2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6.3000818161447888E-3</v>
      </c>
      <c r="C55" s="105">
        <f t="shared" si="57"/>
        <v>6.1246211987630271E-3</v>
      </c>
      <c r="D55" s="105">
        <f t="shared" ref="D55:V55" si="58">IF(D13=0,0,D13/D$3)</f>
        <v>6.2537465626500664E-3</v>
      </c>
      <c r="E55" s="105">
        <f t="shared" si="58"/>
        <v>8.5691705802951549E-3</v>
      </c>
      <c r="F55" s="105">
        <f t="shared" si="58"/>
        <v>1.2451713922745312E-2</v>
      </c>
      <c r="G55" s="105">
        <f t="shared" si="58"/>
        <v>1.0553176255403413E-2</v>
      </c>
      <c r="H55" s="105">
        <f t="shared" si="58"/>
        <v>6.3039699481390755E-3</v>
      </c>
      <c r="I55" s="105">
        <f t="shared" si="58"/>
        <v>3.5021051307487861E-3</v>
      </c>
      <c r="J55" s="105">
        <f t="shared" si="58"/>
        <v>2.2623433120352362E-3</v>
      </c>
      <c r="K55" s="105">
        <f t="shared" si="58"/>
        <v>1.1869886220880082E-3</v>
      </c>
      <c r="L55" s="105">
        <f t="shared" si="58"/>
        <v>9.5176185450002019E-4</v>
      </c>
      <c r="M55" s="105">
        <f t="shared" si="58"/>
        <v>1.0183544682747902E-3</v>
      </c>
      <c r="N55" s="105">
        <f t="shared" si="58"/>
        <v>9.683133062425767E-4</v>
      </c>
      <c r="O55" s="105">
        <f t="shared" si="58"/>
        <v>9.2650969338222084E-4</v>
      </c>
      <c r="P55" s="105">
        <f t="shared" si="58"/>
        <v>8.0184721069221623E-4</v>
      </c>
      <c r="Q55" s="105">
        <f t="shared" si="58"/>
        <v>4.3824788290787572E-4</v>
      </c>
      <c r="R55" s="105">
        <f t="shared" si="58"/>
        <v>4.862772062816277E-4</v>
      </c>
      <c r="S55" s="105">
        <f t="shared" si="58"/>
        <v>8.8318572611469071E-4</v>
      </c>
      <c r="T55" s="105">
        <f t="shared" si="58"/>
        <v>9.2372990870419531E-4</v>
      </c>
      <c r="U55" s="105">
        <f t="shared" si="58"/>
        <v>9.8638517024405951E-4</v>
      </c>
      <c r="V55" s="105">
        <f t="shared" si="58"/>
        <v>4.6828268438181614E-3</v>
      </c>
      <c r="W55" s="105">
        <f t="shared" ref="W55:Y55" si="59">IF(W13=0,0,W13/W$3)</f>
        <v>3.0434657407052259E-3</v>
      </c>
      <c r="X55" s="105">
        <f t="shared" si="59"/>
        <v>1.5435868112522995E-3</v>
      </c>
      <c r="Y55" s="105">
        <f t="shared" si="59"/>
        <v>1.1018018369284273E-3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364.74771019955551</v>
      </c>
      <c r="C57" s="62">
        <v>364.58561780085489</v>
      </c>
      <c r="D57" s="62">
        <v>364.51018595372244</v>
      </c>
      <c r="E57" s="62">
        <v>364.67375093739616</v>
      </c>
      <c r="F57" s="62">
        <v>365.11321378054959</v>
      </c>
      <c r="G57" s="62">
        <v>358.81817171461608</v>
      </c>
      <c r="H57" s="62">
        <v>359.39338389019639</v>
      </c>
      <c r="I57" s="62">
        <v>353.17602893945167</v>
      </c>
      <c r="J57" s="62">
        <v>352.97452601536503</v>
      </c>
      <c r="K57" s="62">
        <v>351.528326557708</v>
      </c>
      <c r="L57" s="62">
        <v>352.56828844340066</v>
      </c>
      <c r="M57" s="62">
        <v>360.649233464811</v>
      </c>
      <c r="N57" s="62">
        <v>367.50264429474385</v>
      </c>
      <c r="O57" s="62">
        <v>359.65298888896052</v>
      </c>
      <c r="P57" s="62">
        <v>359.77653410143523</v>
      </c>
      <c r="Q57" s="62">
        <v>358.0268521582887</v>
      </c>
      <c r="R57" s="62">
        <v>363.14526941846447</v>
      </c>
      <c r="S57" s="62">
        <v>359.83650097551066</v>
      </c>
      <c r="T57" s="62">
        <v>353.75881170172374</v>
      </c>
      <c r="U57" s="62">
        <v>352.32091836657571</v>
      </c>
      <c r="V57" s="62">
        <v>379.99527784317291</v>
      </c>
      <c r="W57" s="62">
        <v>379.86348476659037</v>
      </c>
      <c r="X57" s="62">
        <v>406.18020702464054</v>
      </c>
      <c r="Y57" s="62">
        <v>400.69106870040122</v>
      </c>
      <c r="DA57" s="172" t="s">
        <v>314</v>
      </c>
    </row>
    <row r="58" spans="1:105" ht="11.45" customHeight="1" x14ac:dyDescent="0.25">
      <c r="A58" s="10" t="s">
        <v>33</v>
      </c>
      <c r="B58" s="14">
        <v>363.55685257673298</v>
      </c>
      <c r="C58" s="14">
        <v>363.55874657274325</v>
      </c>
      <c r="D58" s="14">
        <v>363.55749758615531</v>
      </c>
      <c r="E58" s="14">
        <v>363.55541623251395</v>
      </c>
      <c r="F58" s="14">
        <v>363.55539516811945</v>
      </c>
      <c r="G58" s="14">
        <v>357.36352384330917</v>
      </c>
      <c r="H58" s="14">
        <v>358.06717032343647</v>
      </c>
      <c r="I58" s="14">
        <v>350.27517601479536</v>
      </c>
      <c r="J58" s="14">
        <v>352.25234959474102</v>
      </c>
      <c r="K58" s="14">
        <v>351.21235521907391</v>
      </c>
      <c r="L58" s="14">
        <v>352.00958537423304</v>
      </c>
      <c r="M58" s="14">
        <v>359.86602111741229</v>
      </c>
      <c r="N58" s="14">
        <v>366.36901974927201</v>
      </c>
      <c r="O58" s="14">
        <v>358.73618487199974</v>
      </c>
      <c r="P58" s="14">
        <v>358.96797644006864</v>
      </c>
      <c r="Q58" s="14">
        <v>357.23892877205202</v>
      </c>
      <c r="R58" s="14">
        <v>362.37303244712177</v>
      </c>
      <c r="S58" s="14">
        <v>358.79709559492687</v>
      </c>
      <c r="T58" s="14">
        <v>352.89869840988268</v>
      </c>
      <c r="U58" s="14">
        <v>351.32744047311877</v>
      </c>
      <c r="V58" s="14">
        <v>375.45302253421056</v>
      </c>
      <c r="W58" s="14">
        <v>376.75089239047537</v>
      </c>
      <c r="X58" s="14">
        <v>405.55904350590316</v>
      </c>
      <c r="Y58" s="14">
        <v>400.45447876450106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379.91581066431036</v>
      </c>
      <c r="C60" s="87">
        <v>379.92265572771731</v>
      </c>
      <c r="D60" s="87">
        <v>379.91898911029557</v>
      </c>
      <c r="E60" s="87">
        <v>379.91358138530245</v>
      </c>
      <c r="F60" s="87">
        <v>379.91314346709675</v>
      </c>
      <c r="G60" s="87">
        <v>370.62151715859886</v>
      </c>
      <c r="H60" s="87">
        <v>368.08382313311228</v>
      </c>
      <c r="I60" s="87">
        <v>356.06570091918053</v>
      </c>
      <c r="J60" s="87">
        <v>357.38823178070089</v>
      </c>
      <c r="K60" s="87">
        <v>356.58069193897387</v>
      </c>
      <c r="L60" s="87">
        <v>356.3125641795595</v>
      </c>
      <c r="M60" s="87">
        <v>361.89532807789391</v>
      </c>
      <c r="N60" s="87">
        <v>370.70034374907084</v>
      </c>
      <c r="O60" s="87">
        <v>360.52806680006597</v>
      </c>
      <c r="P60" s="87">
        <v>359.43204023067585</v>
      </c>
      <c r="Q60" s="87">
        <v>355.20209374602803</v>
      </c>
      <c r="R60" s="87">
        <v>355.57677464699304</v>
      </c>
      <c r="S60" s="87">
        <v>352.36374163804823</v>
      </c>
      <c r="T60" s="87">
        <v>351.29911444503875</v>
      </c>
      <c r="U60" s="87">
        <v>347.27577141258746</v>
      </c>
      <c r="V60" s="87">
        <v>346.02221199308758</v>
      </c>
      <c r="W60" s="87">
        <v>340.46596810312582</v>
      </c>
      <c r="X60" s="87">
        <v>339.60702278804382</v>
      </c>
      <c r="Y60" s="87">
        <v>341.11736362268698</v>
      </c>
      <c r="DA60" s="171" t="s">
        <v>317</v>
      </c>
    </row>
    <row r="61" spans="1:105" ht="11.45" customHeight="1" x14ac:dyDescent="0.25">
      <c r="A61" s="83" t="s">
        <v>182</v>
      </c>
      <c r="B61" s="87">
        <v>335.40611668232128</v>
      </c>
      <c r="C61" s="87">
        <v>335.40611668232128</v>
      </c>
      <c r="D61" s="87">
        <v>335.40611668232123</v>
      </c>
      <c r="E61" s="87">
        <v>335.40611668232123</v>
      </c>
      <c r="F61" s="87">
        <v>335.40611668232123</v>
      </c>
      <c r="G61" s="87">
        <v>331.86338166665246</v>
      </c>
      <c r="H61" s="87">
        <v>337.03333031161895</v>
      </c>
      <c r="I61" s="87">
        <v>338.34922271577318</v>
      </c>
      <c r="J61" s="87">
        <v>341.97720705371802</v>
      </c>
      <c r="K61" s="87">
        <v>342.31377042379592</v>
      </c>
      <c r="L61" s="87">
        <v>345.93122954343033</v>
      </c>
      <c r="M61" s="87">
        <v>356.96984162891852</v>
      </c>
      <c r="N61" s="87">
        <v>361.40142859205054</v>
      </c>
      <c r="O61" s="87">
        <v>356.8288640397522</v>
      </c>
      <c r="P61" s="87">
        <v>358.46781221258232</v>
      </c>
      <c r="Q61" s="87">
        <v>359.69586234078059</v>
      </c>
      <c r="R61" s="87">
        <v>373.23861074508875</v>
      </c>
      <c r="S61" s="87">
        <v>368.39706803078525</v>
      </c>
      <c r="T61" s="87">
        <v>355.44052213345731</v>
      </c>
      <c r="U61" s="87">
        <v>356.93024071179417</v>
      </c>
      <c r="V61" s="87">
        <v>415.13481272273168</v>
      </c>
      <c r="W61" s="87">
        <v>422.76105225195363</v>
      </c>
      <c r="X61" s="87">
        <v>480.22421926595058</v>
      </c>
      <c r="Y61" s="87">
        <v>466.34183216429426</v>
      </c>
      <c r="DA61" s="171" t="s">
        <v>318</v>
      </c>
    </row>
    <row r="62" spans="1:105" ht="11.45" customHeight="1" x14ac:dyDescent="0.25">
      <c r="A62" s="12" t="s">
        <v>34</v>
      </c>
      <c r="B62" s="15">
        <v>491.45724551078905</v>
      </c>
      <c r="C62" s="15">
        <v>488.29848374725543</v>
      </c>
      <c r="D62" s="15">
        <v>486.90405946270789</v>
      </c>
      <c r="E62" s="15">
        <v>483.53190929850786</v>
      </c>
      <c r="F62" s="15">
        <v>482.43129166811622</v>
      </c>
      <c r="G62" s="15">
        <v>486.74430031775489</v>
      </c>
      <c r="H62" s="15">
        <v>456.0296677873614</v>
      </c>
      <c r="I62" s="15">
        <v>433.90575221962996</v>
      </c>
      <c r="J62" s="15">
        <v>409.23413670414794</v>
      </c>
      <c r="K62" s="15">
        <v>398.28311374154833</v>
      </c>
      <c r="L62" s="15">
        <v>408.74782399194618</v>
      </c>
      <c r="M62" s="15">
        <v>439.83408546239934</v>
      </c>
      <c r="N62" s="15">
        <v>477.78432759553232</v>
      </c>
      <c r="O62" s="15">
        <v>448.31881087818641</v>
      </c>
      <c r="P62" s="15">
        <v>448.44466046329933</v>
      </c>
      <c r="Q62" s="15">
        <v>435.76259766389256</v>
      </c>
      <c r="R62" s="15">
        <v>441.20858386580738</v>
      </c>
      <c r="S62" s="15">
        <v>435.88880989482846</v>
      </c>
      <c r="T62" s="15">
        <v>423.86145157878099</v>
      </c>
      <c r="U62" s="15">
        <v>441.71062924608037</v>
      </c>
      <c r="V62" s="15">
        <v>472.0059920794792</v>
      </c>
      <c r="W62" s="15">
        <v>453.69225791334816</v>
      </c>
      <c r="X62" s="15">
        <v>430.57810996864885</v>
      </c>
      <c r="Y62" s="15">
        <v>412.33136264653285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511.37626268613258</v>
      </c>
      <c r="C64" s="101">
        <v>508.69076724274089</v>
      </c>
      <c r="D64" s="101">
        <v>509.71855860280431</v>
      </c>
      <c r="E64" s="101">
        <v>508.84695738439984</v>
      </c>
      <c r="F64" s="101">
        <v>508.0824926373229</v>
      </c>
      <c r="G64" s="101">
        <v>498.71568986603825</v>
      </c>
      <c r="H64" s="101">
        <v>491.11219869590161</v>
      </c>
      <c r="I64" s="101">
        <v>442.83191735435611</v>
      </c>
      <c r="J64" s="101">
        <v>428.02552655758939</v>
      </c>
      <c r="K64" s="101">
        <v>412.62208782199417</v>
      </c>
      <c r="L64" s="101">
        <v>404.3213835791347</v>
      </c>
      <c r="M64" s="101">
        <v>435.06734261779405</v>
      </c>
      <c r="N64" s="101">
        <v>481.32449330948583</v>
      </c>
      <c r="O64" s="101">
        <v>451.82331295638886</v>
      </c>
      <c r="P64" s="101">
        <v>447.57499417581602</v>
      </c>
      <c r="Q64" s="101">
        <v>433.83647920951597</v>
      </c>
      <c r="R64" s="101">
        <v>435.5371196509318</v>
      </c>
      <c r="S64" s="101">
        <v>429.51162415724161</v>
      </c>
      <c r="T64" s="101">
        <v>421.41422806609324</v>
      </c>
      <c r="U64" s="101">
        <v>441.0100241097698</v>
      </c>
      <c r="V64" s="101">
        <v>474.26260031824859</v>
      </c>
      <c r="W64" s="101">
        <v>452.76518366818323</v>
      </c>
      <c r="X64" s="101">
        <v>427.31460765755708</v>
      </c>
      <c r="Y64" s="101">
        <v>407.86942057212497</v>
      </c>
      <c r="DA64" s="175" t="s">
        <v>321</v>
      </c>
    </row>
    <row r="65" spans="1:105" ht="11.45" customHeight="1" x14ac:dyDescent="0.25">
      <c r="A65" s="85" t="s">
        <v>182</v>
      </c>
      <c r="B65" s="88">
        <v>472.2119893205242</v>
      </c>
      <c r="C65" s="88">
        <v>472.21198932052425</v>
      </c>
      <c r="D65" s="88">
        <v>472.21198932052425</v>
      </c>
      <c r="E65" s="88">
        <v>472.2119893205242</v>
      </c>
      <c r="F65" s="88">
        <v>472.21198932052425</v>
      </c>
      <c r="G65" s="88">
        <v>480.36681605944756</v>
      </c>
      <c r="H65" s="88">
        <v>400.58382602909245</v>
      </c>
      <c r="I65" s="88">
        <v>352.8402987651495</v>
      </c>
      <c r="J65" s="88">
        <v>328.67683630621917</v>
      </c>
      <c r="K65" s="88">
        <v>339.65298941130868</v>
      </c>
      <c r="L65" s="88">
        <v>455.08061117605405</v>
      </c>
      <c r="M65" s="88">
        <v>488.25266983038352</v>
      </c>
      <c r="N65" s="88">
        <v>446.2835116203467</v>
      </c>
      <c r="O65" s="88">
        <v>418.85007417441199</v>
      </c>
      <c r="P65" s="88">
        <v>456.66701468295452</v>
      </c>
      <c r="Q65" s="88">
        <v>477.34555807906338</v>
      </c>
      <c r="R65" s="88">
        <v>589.64991783350786</v>
      </c>
      <c r="S65" s="88">
        <v>539.94432830202265</v>
      </c>
      <c r="T65" s="88">
        <v>454.77126401899255</v>
      </c>
      <c r="U65" s="88">
        <v>448.76557819657143</v>
      </c>
      <c r="V65" s="88">
        <v>450.4802204374634</v>
      </c>
      <c r="W65" s="88">
        <v>464.2993143548627</v>
      </c>
      <c r="X65" s="88">
        <v>461.9174130217948</v>
      </c>
      <c r="Y65" s="88">
        <v>463.2620085812755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0.57178971925619448</v>
      </c>
      <c r="C67" s="59">
        <f t="shared" ref="C67:W67" si="61">IF(C3=0,0,C17/C57)</f>
        <v>0.57211856542038997</v>
      </c>
      <c r="D67" s="59">
        <f t="shared" si="61"/>
        <v>0.57195067138451394</v>
      </c>
      <c r="E67" s="59">
        <f t="shared" si="61"/>
        <v>0.57021127399924976</v>
      </c>
      <c r="F67" s="59">
        <f t="shared" si="61"/>
        <v>0.56676574291368842</v>
      </c>
      <c r="G67" s="59">
        <f t="shared" si="61"/>
        <v>0.57066940692058055</v>
      </c>
      <c r="H67" s="59">
        <f t="shared" si="61"/>
        <v>0.6066705532912493</v>
      </c>
      <c r="I67" s="59">
        <f t="shared" si="61"/>
        <v>0.66531327022964448</v>
      </c>
      <c r="J67" s="59">
        <f t="shared" si="61"/>
        <v>0.67834554935516334</v>
      </c>
      <c r="K67" s="59">
        <f t="shared" si="61"/>
        <v>0.57949413121905091</v>
      </c>
      <c r="L67" s="59">
        <f t="shared" si="61"/>
        <v>0.64604820028922227</v>
      </c>
      <c r="M67" s="59">
        <f t="shared" si="61"/>
        <v>0.57165361339362397</v>
      </c>
      <c r="N67" s="59">
        <f t="shared" si="61"/>
        <v>0.62338196118250888</v>
      </c>
      <c r="O67" s="59">
        <f t="shared" si="61"/>
        <v>0.69773748438782079</v>
      </c>
      <c r="P67" s="59">
        <f t="shared" si="61"/>
        <v>0.75323335567688088</v>
      </c>
      <c r="Q67" s="59">
        <f t="shared" si="61"/>
        <v>0.73837790206219989</v>
      </c>
      <c r="R67" s="59">
        <f t="shared" si="61"/>
        <v>0.66354263649048428</v>
      </c>
      <c r="S67" s="59">
        <f t="shared" si="61"/>
        <v>0.69865101939413476</v>
      </c>
      <c r="T67" s="59">
        <f t="shared" si="61"/>
        <v>0.90145696042353796</v>
      </c>
      <c r="U67" s="59">
        <f t="shared" si="61"/>
        <v>0.79529188567914466</v>
      </c>
      <c r="V67" s="59">
        <f t="shared" si="61"/>
        <v>1.2938077552372422</v>
      </c>
      <c r="W67" s="59">
        <f t="shared" si="61"/>
        <v>0.9476816476324168</v>
      </c>
      <c r="X67" s="59">
        <f t="shared" ref="X67:Y67" si="62">IF(X3=0,0,X17/X57)</f>
        <v>0.96245124516388658</v>
      </c>
      <c r="Y67" s="59">
        <f t="shared" si="62"/>
        <v>0.70963259829650904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0.57188150394739157</v>
      </c>
      <c r="C68" s="23">
        <f t="shared" ref="C68:W68" si="64">IF(C6=0,0,C18/C58)</f>
        <v>0.57216315585003152</v>
      </c>
      <c r="D68" s="23">
        <f t="shared" si="64"/>
        <v>0.57197575001034406</v>
      </c>
      <c r="E68" s="23">
        <f t="shared" si="64"/>
        <v>0.57019310196197281</v>
      </c>
      <c r="F68" s="23">
        <f t="shared" si="64"/>
        <v>0.56671847850932089</v>
      </c>
      <c r="G68" s="23">
        <f t="shared" si="64"/>
        <v>0.57055373294422851</v>
      </c>
      <c r="H68" s="23">
        <f t="shared" si="64"/>
        <v>0.60740882033685051</v>
      </c>
      <c r="I68" s="23">
        <f t="shared" si="64"/>
        <v>0.66977829755719898</v>
      </c>
      <c r="J68" s="23">
        <f t="shared" si="64"/>
        <v>0.6796929653921121</v>
      </c>
      <c r="K68" s="23">
        <f t="shared" si="64"/>
        <v>0.5798115887083588</v>
      </c>
      <c r="L68" s="23">
        <f t="shared" si="64"/>
        <v>0.64632659766469136</v>
      </c>
      <c r="M68" s="23">
        <f t="shared" si="64"/>
        <v>0.57189074694274467</v>
      </c>
      <c r="N68" s="23">
        <f t="shared" si="64"/>
        <v>0.62302363730967725</v>
      </c>
      <c r="O68" s="23">
        <f t="shared" si="64"/>
        <v>0.69699716072232742</v>
      </c>
      <c r="P68" s="23">
        <f t="shared" si="64"/>
        <v>0.75240712484038796</v>
      </c>
      <c r="Q68" s="23">
        <f t="shared" si="64"/>
        <v>0.7377465773135562</v>
      </c>
      <c r="R68" s="23">
        <f t="shared" si="64"/>
        <v>0.66362609876679057</v>
      </c>
      <c r="S68" s="23">
        <f t="shared" si="64"/>
        <v>0.69844595510530716</v>
      </c>
      <c r="T68" s="23">
        <f t="shared" si="64"/>
        <v>0.90191424293569067</v>
      </c>
      <c r="U68" s="23">
        <f t="shared" si="64"/>
        <v>0.79515334983902297</v>
      </c>
      <c r="V68" s="23">
        <f t="shared" si="64"/>
        <v>1.2875679761761623</v>
      </c>
      <c r="W68" s="23">
        <f t="shared" si="64"/>
        <v>0.94045782928773858</v>
      </c>
      <c r="X68" s="23">
        <f t="shared" ref="X68:Y68" si="65">IF(X6=0,0,X18/X58)</f>
        <v>0.95052320397910051</v>
      </c>
      <c r="Y68" s="23">
        <f t="shared" si="65"/>
        <v>0.70379041367289319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0.53032895640730493</v>
      </c>
      <c r="C70" s="91">
        <f t="shared" ref="C70:W70" si="68">IF(C8=0,0,C20/C60)</f>
        <v>0.53057731291654908</v>
      </c>
      <c r="D70" s="91">
        <f t="shared" si="68"/>
        <v>0.5304110398853441</v>
      </c>
      <c r="E70" s="91">
        <f t="shared" si="68"/>
        <v>0.52876650259293223</v>
      </c>
      <c r="F70" s="91">
        <f t="shared" si="68"/>
        <v>0.52554450436888978</v>
      </c>
      <c r="G70" s="91">
        <f t="shared" si="68"/>
        <v>0.51894859070196853</v>
      </c>
      <c r="H70" s="91">
        <f t="shared" si="68"/>
        <v>0.55540268289370454</v>
      </c>
      <c r="I70" s="91">
        <f t="shared" si="68"/>
        <v>0.63129541012211754</v>
      </c>
      <c r="J70" s="91">
        <f t="shared" si="68"/>
        <v>0.63941762623803855</v>
      </c>
      <c r="K70" s="91">
        <f t="shared" si="68"/>
        <v>0.56831869081237807</v>
      </c>
      <c r="L70" s="91">
        <f t="shared" si="68"/>
        <v>0.66689671846350396</v>
      </c>
      <c r="M70" s="91">
        <f t="shared" si="68"/>
        <v>0.5909612044540753</v>
      </c>
      <c r="N70" s="91">
        <f t="shared" si="68"/>
        <v>0.69590442984002099</v>
      </c>
      <c r="O70" s="91">
        <f t="shared" si="68"/>
        <v>0.81784399451416856</v>
      </c>
      <c r="P70" s="91">
        <f t="shared" si="68"/>
        <v>0.88263422158233584</v>
      </c>
      <c r="Q70" s="91">
        <f t="shared" si="68"/>
        <v>0.84743421279088316</v>
      </c>
      <c r="R70" s="91">
        <f t="shared" si="68"/>
        <v>0.69718819349255123</v>
      </c>
      <c r="S70" s="91">
        <f t="shared" si="68"/>
        <v>0.77664324262820861</v>
      </c>
      <c r="T70" s="91">
        <f t="shared" si="68"/>
        <v>0.9608355582898509</v>
      </c>
      <c r="U70" s="91">
        <f t="shared" si="68"/>
        <v>0.87393533043586624</v>
      </c>
      <c r="V70" s="91">
        <f t="shared" si="68"/>
        <v>1.3013059659912378</v>
      </c>
      <c r="W70" s="91">
        <f t="shared" si="68"/>
        <v>1.0717788140582787</v>
      </c>
      <c r="X70" s="91">
        <f t="shared" ref="X70:Y70" si="69">IF(X8=0,0,X20/X60)</f>
        <v>1.3634989819191385</v>
      </c>
      <c r="Y70" s="91">
        <f t="shared" si="69"/>
        <v>0.99374056403839217</v>
      </c>
      <c r="DA70" s="171"/>
    </row>
    <row r="71" spans="1:105" ht="11.45" customHeight="1" x14ac:dyDescent="0.25">
      <c r="A71" s="83" t="s">
        <v>182</v>
      </c>
      <c r="B71" s="91">
        <f t="shared" si="63"/>
        <v>0.65287462912526373</v>
      </c>
      <c r="C71" s="91">
        <f t="shared" ref="C71:W71" si="70">IF(C9=0,0,C21/C61)</f>
        <v>0.65320356667614987</v>
      </c>
      <c r="D71" s="91">
        <f t="shared" si="70"/>
        <v>0.65298257115485037</v>
      </c>
      <c r="E71" s="91">
        <f t="shared" si="70"/>
        <v>0.65094005238311148</v>
      </c>
      <c r="F71" s="91">
        <f t="shared" si="70"/>
        <v>0.64697491527714324</v>
      </c>
      <c r="G71" s="91">
        <f t="shared" si="70"/>
        <v>0.68140204412171146</v>
      </c>
      <c r="H71" s="91">
        <f t="shared" si="70"/>
        <v>0.72667695422671252</v>
      </c>
      <c r="I71" s="91">
        <f t="shared" si="70"/>
        <v>0.75318631124292879</v>
      </c>
      <c r="J71" s="91">
        <f t="shared" si="70"/>
        <v>0.76390130332696626</v>
      </c>
      <c r="K71" s="91">
        <f t="shared" si="70"/>
        <v>0.59965627311032621</v>
      </c>
      <c r="L71" s="91">
        <f t="shared" si="70"/>
        <v>0.61639739675311722</v>
      </c>
      <c r="M71" s="91">
        <f t="shared" si="70"/>
        <v>0.54429829526877882</v>
      </c>
      <c r="N71" s="91">
        <f t="shared" si="70"/>
        <v>0.53728602516614155</v>
      </c>
      <c r="O71" s="91">
        <f t="shared" si="70"/>
        <v>0.567031463320393</v>
      </c>
      <c r="P71" s="91">
        <f t="shared" si="70"/>
        <v>0.6116718630506166</v>
      </c>
      <c r="Q71" s="91">
        <f t="shared" si="70"/>
        <v>0.60708878703989322</v>
      </c>
      <c r="R71" s="91">
        <f t="shared" si="70"/>
        <v>0.61250750690176703</v>
      </c>
      <c r="S71" s="91">
        <f t="shared" si="70"/>
        <v>0.58683693990350205</v>
      </c>
      <c r="T71" s="91">
        <f t="shared" si="70"/>
        <v>0.80937606646638838</v>
      </c>
      <c r="U71" s="91">
        <f t="shared" si="70"/>
        <v>0.68915741533641484</v>
      </c>
      <c r="V71" s="91">
        <f t="shared" si="70"/>
        <v>1.2721286960374796</v>
      </c>
      <c r="W71" s="91">
        <f t="shared" si="70"/>
        <v>0.80635424387690957</v>
      </c>
      <c r="X71" s="91">
        <f t="shared" ref="X71:Y71" si="71">IF(X9=0,0,X21/X61)</f>
        <v>0.61988946487468477</v>
      </c>
      <c r="Y71" s="91">
        <f t="shared" si="71"/>
        <v>0.46828633925782931</v>
      </c>
      <c r="DA71" s="171"/>
    </row>
    <row r="72" spans="1:105" ht="11.45" customHeight="1" x14ac:dyDescent="0.25">
      <c r="A72" s="12" t="s">
        <v>34</v>
      </c>
      <c r="B72" s="24">
        <f t="shared" si="63"/>
        <v>0.56456524411462472</v>
      </c>
      <c r="C72" s="24">
        <f t="shared" ref="C72:W72" si="72">IF(C10=0,0,C22/C62)</f>
        <v>0.56811884384190225</v>
      </c>
      <c r="D72" s="24">
        <f t="shared" si="72"/>
        <v>0.56954496698196089</v>
      </c>
      <c r="E72" s="24">
        <f t="shared" si="72"/>
        <v>0.57166340665898674</v>
      </c>
      <c r="F72" s="24">
        <f t="shared" si="72"/>
        <v>0.56944810476779328</v>
      </c>
      <c r="G72" s="24">
        <f t="shared" si="72"/>
        <v>0.57813813062383668</v>
      </c>
      <c r="H72" s="24">
        <f t="shared" si="72"/>
        <v>0.56443174617676262</v>
      </c>
      <c r="I72" s="24">
        <f t="shared" si="72"/>
        <v>0.56500290140750387</v>
      </c>
      <c r="J72" s="24">
        <f t="shared" si="72"/>
        <v>0.58799367320188245</v>
      </c>
      <c r="K72" s="24">
        <f t="shared" si="72"/>
        <v>0.53807110122089308</v>
      </c>
      <c r="L72" s="24">
        <f t="shared" si="72"/>
        <v>0.62194019599910533</v>
      </c>
      <c r="M72" s="24">
        <f t="shared" si="72"/>
        <v>0.55203774474496692</v>
      </c>
      <c r="N72" s="24">
        <f t="shared" si="72"/>
        <v>0.65011182411314861</v>
      </c>
      <c r="O72" s="24">
        <f t="shared" si="72"/>
        <v>0.75502890523453958</v>
      </c>
      <c r="P72" s="24">
        <f t="shared" si="72"/>
        <v>0.82576120243857198</v>
      </c>
      <c r="Q72" s="24">
        <f t="shared" si="72"/>
        <v>0.7894399723075044</v>
      </c>
      <c r="R72" s="24">
        <f t="shared" si="72"/>
        <v>0.65661319009914165</v>
      </c>
      <c r="S72" s="24">
        <f t="shared" si="72"/>
        <v>0.71100169394819324</v>
      </c>
      <c r="T72" s="24">
        <f t="shared" si="72"/>
        <v>0.87042641266281617</v>
      </c>
      <c r="U72" s="24">
        <f t="shared" si="72"/>
        <v>0.80520626861361011</v>
      </c>
      <c r="V72" s="24">
        <f t="shared" si="72"/>
        <v>1.3943489787692753</v>
      </c>
      <c r="W72" s="24">
        <f t="shared" si="72"/>
        <v>1.0899679652655496</v>
      </c>
      <c r="X72" s="24">
        <f t="shared" ref="X72:Y72" si="73">IF(X10=0,0,X22/X62)</f>
        <v>1.4037348892431325</v>
      </c>
      <c r="Y72" s="24">
        <f t="shared" si="73"/>
        <v>0.98879038361243909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0.54256222713098445</v>
      </c>
      <c r="C74" s="93">
        <f t="shared" ref="C74:W74" si="76">IF(C12=0,0,C24/C64)</f>
        <v>0.54486094416729391</v>
      </c>
      <c r="D74" s="93">
        <f t="shared" si="76"/>
        <v>0.54345003560158589</v>
      </c>
      <c r="E74" s="93">
        <f t="shared" si="76"/>
        <v>0.54222987863804295</v>
      </c>
      <c r="F74" s="93">
        <f t="shared" si="76"/>
        <v>0.53951906127551452</v>
      </c>
      <c r="G74" s="93">
        <f t="shared" si="76"/>
        <v>0.51463202139632036</v>
      </c>
      <c r="H74" s="93">
        <f t="shared" si="76"/>
        <v>0.51820071049137029</v>
      </c>
      <c r="I74" s="93">
        <f t="shared" si="76"/>
        <v>0.55510081296692948</v>
      </c>
      <c r="J74" s="93">
        <f t="shared" si="76"/>
        <v>0.57016771502901453</v>
      </c>
      <c r="K74" s="93">
        <f t="shared" si="76"/>
        <v>0.53774505952738572</v>
      </c>
      <c r="L74" s="93">
        <f t="shared" si="76"/>
        <v>0.62916430400402124</v>
      </c>
      <c r="M74" s="93">
        <f t="shared" si="76"/>
        <v>0.5589064298721933</v>
      </c>
      <c r="N74" s="93">
        <f t="shared" si="76"/>
        <v>0.66746707041906028</v>
      </c>
      <c r="O74" s="93">
        <f t="shared" si="76"/>
        <v>0.7820056645852338</v>
      </c>
      <c r="P74" s="93">
        <f t="shared" si="76"/>
        <v>0.85546608948724823</v>
      </c>
      <c r="Q74" s="93">
        <f t="shared" si="76"/>
        <v>0.80182759628522005</v>
      </c>
      <c r="R74" s="93">
        <f t="shared" si="76"/>
        <v>0.66206286352232013</v>
      </c>
      <c r="S74" s="93">
        <f t="shared" si="76"/>
        <v>0.72508904344018055</v>
      </c>
      <c r="T74" s="93">
        <f t="shared" si="76"/>
        <v>0.8825578590941856</v>
      </c>
      <c r="U74" s="93">
        <f t="shared" si="76"/>
        <v>0.8238975520598697</v>
      </c>
      <c r="V74" s="93">
        <f t="shared" si="76"/>
        <v>1.4191865122045135</v>
      </c>
      <c r="W74" s="93">
        <f t="shared" si="76"/>
        <v>1.1226149591006653</v>
      </c>
      <c r="X74" s="93">
        <f t="shared" ref="X74:Y74" si="77">IF(X12=0,0,X24/X64)</f>
        <v>1.4989479473642482</v>
      </c>
      <c r="Y74" s="93">
        <f t="shared" si="77"/>
        <v>1.0452435210393174</v>
      </c>
      <c r="DA74" s="175"/>
    </row>
    <row r="75" spans="1:105" ht="11.45" customHeight="1" x14ac:dyDescent="0.25">
      <c r="A75" s="85" t="s">
        <v>182</v>
      </c>
      <c r="B75" s="94">
        <f t="shared" si="63"/>
        <v>0.58758716621273732</v>
      </c>
      <c r="C75" s="94">
        <f t="shared" ref="C75:W75" si="78">IF(C13=0,0,C25/C65)</f>
        <v>0.58788321000853494</v>
      </c>
      <c r="D75" s="94">
        <f t="shared" si="78"/>
        <v>0.58768431403936539</v>
      </c>
      <c r="E75" s="94">
        <f t="shared" si="78"/>
        <v>0.58584604714480026</v>
      </c>
      <c r="F75" s="94">
        <f t="shared" si="78"/>
        <v>0.58227742374942892</v>
      </c>
      <c r="G75" s="94">
        <f t="shared" si="78"/>
        <v>0.61326183970954051</v>
      </c>
      <c r="H75" s="94">
        <f t="shared" si="78"/>
        <v>0.65400925880404126</v>
      </c>
      <c r="I75" s="94">
        <f t="shared" si="78"/>
        <v>0.67786768011863585</v>
      </c>
      <c r="J75" s="94">
        <f t="shared" si="78"/>
        <v>0.68751117299426967</v>
      </c>
      <c r="K75" s="94">
        <f t="shared" si="78"/>
        <v>0.53969064579929349</v>
      </c>
      <c r="L75" s="94">
        <f t="shared" si="78"/>
        <v>0.55475765707780555</v>
      </c>
      <c r="M75" s="94">
        <f t="shared" si="78"/>
        <v>0.48986846574190096</v>
      </c>
      <c r="N75" s="94">
        <f t="shared" si="78"/>
        <v>0.48355742264952734</v>
      </c>
      <c r="O75" s="94">
        <f t="shared" si="78"/>
        <v>0.51032831698835379</v>
      </c>
      <c r="P75" s="94">
        <f t="shared" si="78"/>
        <v>0.55050467674555492</v>
      </c>
      <c r="Q75" s="94">
        <f t="shared" si="78"/>
        <v>0.546379908335904</v>
      </c>
      <c r="R75" s="94">
        <f t="shared" si="78"/>
        <v>0.55125675621159032</v>
      </c>
      <c r="S75" s="94">
        <f t="shared" si="78"/>
        <v>0.52815324591315183</v>
      </c>
      <c r="T75" s="94">
        <f t="shared" si="78"/>
        <v>0.72843845981974953</v>
      </c>
      <c r="U75" s="94">
        <f t="shared" si="78"/>
        <v>0.6202416738027734</v>
      </c>
      <c r="V75" s="94">
        <f t="shared" si="78"/>
        <v>1.1449158264337314</v>
      </c>
      <c r="W75" s="94">
        <f t="shared" si="78"/>
        <v>0.72571881948921879</v>
      </c>
      <c r="X75" s="94">
        <f t="shared" ref="X75:Y75" si="79">IF(X13=0,0,X25/X65)</f>
        <v>0.55790051838721633</v>
      </c>
      <c r="Y75" s="94">
        <f t="shared" si="79"/>
        <v>0.42145770533204618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76.098959999999977</v>
      </c>
      <c r="C3" s="79">
        <f t="shared" si="0"/>
        <v>82.440539999999984</v>
      </c>
      <c r="D3" s="79">
        <f t="shared" ref="D3" si="1">SUM(D4:D5)</f>
        <v>88.782120000000035</v>
      </c>
      <c r="E3" s="79">
        <f t="shared" ref="E3" si="2">SUM(E4:E5)</f>
        <v>79.269749999999988</v>
      </c>
      <c r="F3" s="79">
        <f t="shared" ref="F3" si="3">SUM(F4:F5)</f>
        <v>60.245009999999986</v>
      </c>
      <c r="G3" s="79">
        <f t="shared" ref="G3" si="4">SUM(G4:G5)</f>
        <v>69.757379999999998</v>
      </c>
      <c r="H3" s="79">
        <f t="shared" ref="H3" si="5">SUM(H4:H5)</f>
        <v>76.098960000000005</v>
      </c>
      <c r="I3" s="79">
        <f t="shared" ref="I3" si="6">SUM(I4:I5)</f>
        <v>97.046363520000014</v>
      </c>
      <c r="J3" s="79">
        <f t="shared" ref="J3" si="7">SUM(J4:J5)</f>
        <v>106.43785524000002</v>
      </c>
      <c r="K3" s="79">
        <f t="shared" ref="K3" si="8">SUM(K4:K5)</f>
        <v>84.524202000000031</v>
      </c>
      <c r="L3" s="79">
        <f t="shared" ref="L3" si="9">SUM(L4:L5)</f>
        <v>84.524202000000031</v>
      </c>
      <c r="M3" s="79">
        <f t="shared" ref="M3" si="10">SUM(M4:M5)</f>
        <v>72.002040480000005</v>
      </c>
      <c r="N3" s="79">
        <f t="shared" ref="N3" si="11">SUM(N4:N5)</f>
        <v>72.002040480000005</v>
      </c>
      <c r="O3" s="79">
        <f t="shared" ref="O3" si="12">SUM(O4:O5)</f>
        <v>78.26312123999999</v>
      </c>
      <c r="P3" s="79">
        <f t="shared" ref="P3" si="13">SUM(P4:P5)</f>
        <v>78.26312123999999</v>
      </c>
      <c r="Q3" s="79">
        <f t="shared" ref="Q3" si="14">SUM(Q4:Q5)</f>
        <v>78.26312123999999</v>
      </c>
      <c r="R3" s="79">
        <f t="shared" ref="R3" si="15">SUM(R4:R5)</f>
        <v>65.740959720000006</v>
      </c>
      <c r="S3" s="79">
        <f t="shared" ref="S3" si="16">SUM(S4:S5)</f>
        <v>79.361897039999988</v>
      </c>
      <c r="T3" s="79">
        <f t="shared" ref="T3" si="17">SUM(T4:T5)</f>
        <v>107.01066816000004</v>
      </c>
      <c r="U3" s="79">
        <f t="shared" ref="U3" si="18">SUM(U4:U5)</f>
        <v>82.78350300000001</v>
      </c>
      <c r="V3" s="79">
        <f t="shared" ref="V3:W3" si="19">SUM(V4:V5)</f>
        <v>29.94338772</v>
      </c>
      <c r="W3" s="79">
        <f t="shared" si="19"/>
        <v>32.188048199999997</v>
      </c>
      <c r="X3" s="79">
        <f t="shared" ref="X3:Y3" si="20">SUM(X4:X5)</f>
        <v>66.852418679999985</v>
      </c>
      <c r="Y3" s="79">
        <f t="shared" si="20"/>
        <v>59.361071400000007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76.098959999999977</v>
      </c>
      <c r="C5" s="96">
        <f t="shared" si="24"/>
        <v>82.440539999999984</v>
      </c>
      <c r="D5" s="96">
        <f t="shared" ref="D5:V5" si="25">SUM(D8:D9,D12:D13)</f>
        <v>88.782120000000035</v>
      </c>
      <c r="E5" s="96">
        <f t="shared" si="25"/>
        <v>79.269749999999988</v>
      </c>
      <c r="F5" s="96">
        <f t="shared" si="25"/>
        <v>60.245009999999986</v>
      </c>
      <c r="G5" s="96">
        <f t="shared" si="25"/>
        <v>69.757379999999998</v>
      </c>
      <c r="H5" s="96">
        <f t="shared" si="25"/>
        <v>76.098960000000005</v>
      </c>
      <c r="I5" s="96">
        <f t="shared" si="25"/>
        <v>97.046363520000014</v>
      </c>
      <c r="J5" s="96">
        <f t="shared" si="25"/>
        <v>106.43785524000002</v>
      </c>
      <c r="K5" s="96">
        <f t="shared" si="25"/>
        <v>84.524202000000031</v>
      </c>
      <c r="L5" s="96">
        <f t="shared" si="25"/>
        <v>84.524202000000031</v>
      </c>
      <c r="M5" s="96">
        <f t="shared" si="25"/>
        <v>72.002040480000005</v>
      </c>
      <c r="N5" s="96">
        <f t="shared" si="25"/>
        <v>72.002040480000005</v>
      </c>
      <c r="O5" s="96">
        <f t="shared" si="25"/>
        <v>78.26312123999999</v>
      </c>
      <c r="P5" s="96">
        <f t="shared" si="25"/>
        <v>78.26312123999999</v>
      </c>
      <c r="Q5" s="96">
        <f t="shared" si="25"/>
        <v>78.26312123999999</v>
      </c>
      <c r="R5" s="96">
        <f t="shared" si="25"/>
        <v>65.740959720000006</v>
      </c>
      <c r="S5" s="96">
        <f t="shared" si="25"/>
        <v>79.361897039999988</v>
      </c>
      <c r="T5" s="96">
        <f t="shared" si="25"/>
        <v>107.01066816000004</v>
      </c>
      <c r="U5" s="96">
        <f t="shared" si="25"/>
        <v>82.78350300000001</v>
      </c>
      <c r="V5" s="96">
        <f t="shared" si="25"/>
        <v>29.94338772</v>
      </c>
      <c r="W5" s="96">
        <f t="shared" ref="W5:Y5" si="26">SUM(W8:W9,W12:W13)</f>
        <v>32.188048199999997</v>
      </c>
      <c r="X5" s="96">
        <f t="shared" si="26"/>
        <v>66.852418679999985</v>
      </c>
      <c r="Y5" s="96">
        <f t="shared" si="26"/>
        <v>59.361071400000007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75.156337834477654</v>
      </c>
      <c r="C6" s="21">
        <f t="shared" si="27"/>
        <v>81.537949027649901</v>
      </c>
      <c r="D6" s="21">
        <f t="shared" ref="D6:V6" si="28">SUM(D7:D9)</f>
        <v>87.869998913562114</v>
      </c>
      <c r="E6" s="21">
        <f t="shared" si="28"/>
        <v>78.287530942679922</v>
      </c>
      <c r="F6" s="21">
        <f t="shared" si="28"/>
        <v>59.196910189861441</v>
      </c>
      <c r="G6" s="21">
        <f t="shared" si="28"/>
        <v>68.67954631628271</v>
      </c>
      <c r="H6" s="21">
        <f t="shared" si="28"/>
        <v>74.882735141693203</v>
      </c>
      <c r="I6" s="21">
        <f t="shared" si="28"/>
        <v>93.534249811901304</v>
      </c>
      <c r="J6" s="21">
        <f t="shared" si="28"/>
        <v>105.08218670400147</v>
      </c>
      <c r="K6" s="21">
        <f t="shared" si="28"/>
        <v>83.92730449294541</v>
      </c>
      <c r="L6" s="21">
        <f t="shared" si="28"/>
        <v>83.595273690430275</v>
      </c>
      <c r="M6" s="21">
        <f t="shared" si="28"/>
        <v>71.171525567727727</v>
      </c>
      <c r="N6" s="21">
        <f t="shared" si="28"/>
        <v>71.008754179041318</v>
      </c>
      <c r="O6" s="21">
        <f t="shared" si="28"/>
        <v>77.18272094630386</v>
      </c>
      <c r="P6" s="21">
        <f t="shared" si="28"/>
        <v>77.296716094142397</v>
      </c>
      <c r="Q6" s="21">
        <f t="shared" si="28"/>
        <v>77.241204896671775</v>
      </c>
      <c r="R6" s="21">
        <f t="shared" si="28"/>
        <v>64.966731760645118</v>
      </c>
      <c r="S6" s="21">
        <f t="shared" si="28"/>
        <v>78.042820060233979</v>
      </c>
      <c r="T6" s="21">
        <f t="shared" si="28"/>
        <v>105.51009906553995</v>
      </c>
      <c r="U6" s="21">
        <f t="shared" si="28"/>
        <v>81.628470073707021</v>
      </c>
      <c r="V6" s="21">
        <f t="shared" si="28"/>
        <v>28.057664777778825</v>
      </c>
      <c r="W6" s="21">
        <f t="shared" ref="W6:Y6" si="29">SUM(W7:W9)</f>
        <v>30.399329338560282</v>
      </c>
      <c r="X6" s="21">
        <f t="shared" si="29"/>
        <v>64.286212709573334</v>
      </c>
      <c r="Y6" s="21">
        <f t="shared" si="29"/>
        <v>57.665551580816874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46.063303045900454</v>
      </c>
      <c r="C8" s="96">
        <v>49.969700236201852</v>
      </c>
      <c r="D8" s="96">
        <v>53.852706868297957</v>
      </c>
      <c r="E8" s="96">
        <v>47.982570351050036</v>
      </c>
      <c r="F8" s="96">
        <v>36.282196738900602</v>
      </c>
      <c r="G8" s="96">
        <v>42.624111205695762</v>
      </c>
      <c r="H8" s="96">
        <v>47.680507988077331</v>
      </c>
      <c r="I8" s="96">
        <v>60.326581910840737</v>
      </c>
      <c r="J8" s="96">
        <v>66.871893043444004</v>
      </c>
      <c r="K8" s="96">
        <v>52.093919191906217</v>
      </c>
      <c r="L8" s="96">
        <v>51.120824864376686</v>
      </c>
      <c r="M8" s="96">
        <v>43.488122232833504</v>
      </c>
      <c r="N8" s="96">
        <v>42.872101931262719</v>
      </c>
      <c r="O8" s="96">
        <v>46.928757441992843</v>
      </c>
      <c r="P8" s="96">
        <v>47.095874720678587</v>
      </c>
      <c r="Q8" s="96">
        <v>48.233333493075925</v>
      </c>
      <c r="R8" s="96">
        <v>41.201411778668046</v>
      </c>
      <c r="S8" s="96">
        <v>51.028213276022925</v>
      </c>
      <c r="T8" s="96">
        <v>68.6755734038436</v>
      </c>
      <c r="U8" s="96">
        <v>51.464671656996757</v>
      </c>
      <c r="V8" s="96">
        <v>15.005247743024773</v>
      </c>
      <c r="W8" s="96">
        <v>17.503669754795506</v>
      </c>
      <c r="X8" s="96">
        <v>41.00267254065605</v>
      </c>
      <c r="Y8" s="96">
        <v>36.493007663393826</v>
      </c>
      <c r="DA8" s="171" t="s">
        <v>329</v>
      </c>
    </row>
    <row r="9" spans="1:105" ht="11.45" customHeight="1" x14ac:dyDescent="0.25">
      <c r="A9" s="83" t="s">
        <v>182</v>
      </c>
      <c r="B9" s="96">
        <v>29.093034788577203</v>
      </c>
      <c r="C9" s="96">
        <v>31.568248791448053</v>
      </c>
      <c r="D9" s="96">
        <v>34.017292045264156</v>
      </c>
      <c r="E9" s="96">
        <v>30.304960591629886</v>
      </c>
      <c r="F9" s="96">
        <v>22.914713450960843</v>
      </c>
      <c r="G9" s="96">
        <v>26.055435110586949</v>
      </c>
      <c r="H9" s="96">
        <v>27.202227153615876</v>
      </c>
      <c r="I9" s="96">
        <v>33.20766790106056</v>
      </c>
      <c r="J9" s="96">
        <v>38.210293660557468</v>
      </c>
      <c r="K9" s="96">
        <v>31.83338530103919</v>
      </c>
      <c r="L9" s="96">
        <v>32.474448826053582</v>
      </c>
      <c r="M9" s="96">
        <v>27.683403334894219</v>
      </c>
      <c r="N9" s="96">
        <v>28.136652247778606</v>
      </c>
      <c r="O9" s="96">
        <v>30.25396350431102</v>
      </c>
      <c r="P9" s="96">
        <v>30.200841373463817</v>
      </c>
      <c r="Q9" s="96">
        <v>29.007871403595843</v>
      </c>
      <c r="R9" s="96">
        <v>23.765319981977072</v>
      </c>
      <c r="S9" s="96">
        <v>27.014606784211058</v>
      </c>
      <c r="T9" s="96">
        <v>36.834525661696354</v>
      </c>
      <c r="U9" s="96">
        <v>30.163798416710264</v>
      </c>
      <c r="V9" s="96">
        <v>13.05241703475405</v>
      </c>
      <c r="W9" s="96">
        <v>12.895659583764775</v>
      </c>
      <c r="X9" s="96">
        <v>23.283540168917281</v>
      </c>
      <c r="Y9" s="96">
        <v>21.172543917423049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0.9426221655223368</v>
      </c>
      <c r="C10" s="22">
        <f t="shared" si="30"/>
        <v>0.90259097235009156</v>
      </c>
      <c r="D10" s="22">
        <f t="shared" ref="D10:V10" si="31">SUM(D11:D13)</f>
        <v>0.91212108643791912</v>
      </c>
      <c r="E10" s="22">
        <f t="shared" si="31"/>
        <v>0.98221905732007087</v>
      </c>
      <c r="F10" s="22">
        <f t="shared" si="31"/>
        <v>1.0480998101385417</v>
      </c>
      <c r="G10" s="22">
        <f t="shared" si="31"/>
        <v>1.0778336837172966</v>
      </c>
      <c r="H10" s="22">
        <f t="shared" si="31"/>
        <v>1.2162248583068056</v>
      </c>
      <c r="I10" s="22">
        <f t="shared" si="31"/>
        <v>3.512113708098711</v>
      </c>
      <c r="J10" s="22">
        <f t="shared" si="31"/>
        <v>1.3556685359985412</v>
      </c>
      <c r="K10" s="22">
        <f t="shared" si="31"/>
        <v>0.59689750705461286</v>
      </c>
      <c r="L10" s="22">
        <f t="shared" si="31"/>
        <v>0.92892830956975336</v>
      </c>
      <c r="M10" s="22">
        <f t="shared" si="31"/>
        <v>0.83051491227228147</v>
      </c>
      <c r="N10" s="22">
        <f t="shared" si="31"/>
        <v>0.99328630095869208</v>
      </c>
      <c r="O10" s="22">
        <f t="shared" si="31"/>
        <v>1.0804002936961268</v>
      </c>
      <c r="P10" s="22">
        <f t="shared" si="31"/>
        <v>0.96640514585758897</v>
      </c>
      <c r="Q10" s="22">
        <f t="shared" si="31"/>
        <v>1.0219163433282101</v>
      </c>
      <c r="R10" s="22">
        <f t="shared" si="31"/>
        <v>0.77422795935489719</v>
      </c>
      <c r="S10" s="22">
        <f t="shared" si="31"/>
        <v>1.3190769797660011</v>
      </c>
      <c r="T10" s="22">
        <f t="shared" si="31"/>
        <v>1.5005690944600809</v>
      </c>
      <c r="U10" s="22">
        <f t="shared" si="31"/>
        <v>1.155032926292987</v>
      </c>
      <c r="V10" s="22">
        <f t="shared" si="31"/>
        <v>1.8857229422211761</v>
      </c>
      <c r="W10" s="22">
        <f t="shared" ref="W10:Y10" si="32">SUM(W11:W13)</f>
        <v>1.7887188614397149</v>
      </c>
      <c r="X10" s="22">
        <f t="shared" si="32"/>
        <v>2.566205970426652</v>
      </c>
      <c r="Y10" s="22">
        <f t="shared" si="32"/>
        <v>1.6955198191831271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0.46319249139880719</v>
      </c>
      <c r="C12" s="97">
        <v>0.39767389342862025</v>
      </c>
      <c r="D12" s="97">
        <v>0.35690020866313321</v>
      </c>
      <c r="E12" s="97">
        <v>0.30294304771271935</v>
      </c>
      <c r="F12" s="97">
        <v>0.29794618034561116</v>
      </c>
      <c r="G12" s="97">
        <v>0.34167175746214362</v>
      </c>
      <c r="H12" s="97">
        <v>0.7364993013821679</v>
      </c>
      <c r="I12" s="97">
        <v>3.1722471404948074</v>
      </c>
      <c r="J12" s="97">
        <v>1.1148695660489525</v>
      </c>
      <c r="K12" s="97">
        <v>0.49656824098954438</v>
      </c>
      <c r="L12" s="97">
        <v>0.84848139832409897</v>
      </c>
      <c r="M12" s="97">
        <v>0.75719131262457118</v>
      </c>
      <c r="N12" s="97">
        <v>0.92356576708529137</v>
      </c>
      <c r="O12" s="97">
        <v>1.0078887532329188</v>
      </c>
      <c r="P12" s="97">
        <v>0.90365008039122818</v>
      </c>
      <c r="Q12" s="97">
        <v>0.98761769613501771</v>
      </c>
      <c r="R12" s="97">
        <v>0.74225962912398258</v>
      </c>
      <c r="S12" s="97">
        <v>1.2489856851028893</v>
      </c>
      <c r="T12" s="97">
        <v>1.4017201397302692</v>
      </c>
      <c r="U12" s="97">
        <v>1.0733765065929324</v>
      </c>
      <c r="V12" s="97">
        <v>1.745503242411105</v>
      </c>
      <c r="W12" s="97">
        <v>1.6907556394828465</v>
      </c>
      <c r="X12" s="97">
        <v>2.4630134586518873</v>
      </c>
      <c r="Y12" s="97">
        <v>1.6301156816725675</v>
      </c>
      <c r="DA12" s="175" t="s">
        <v>333</v>
      </c>
    </row>
    <row r="13" spans="1:105" ht="11.45" customHeight="1" x14ac:dyDescent="0.25">
      <c r="A13" s="85" t="s">
        <v>182</v>
      </c>
      <c r="B13" s="98">
        <v>0.47942967412352966</v>
      </c>
      <c r="C13" s="98">
        <v>0.50491707892147131</v>
      </c>
      <c r="D13" s="98">
        <v>0.5552208777747859</v>
      </c>
      <c r="E13" s="98">
        <v>0.67927600960735157</v>
      </c>
      <c r="F13" s="98">
        <v>0.75015362979293043</v>
      </c>
      <c r="G13" s="98">
        <v>0.73616192625515287</v>
      </c>
      <c r="H13" s="98">
        <v>0.47972555692463759</v>
      </c>
      <c r="I13" s="98">
        <v>0.33986656760390382</v>
      </c>
      <c r="J13" s="98">
        <v>0.24079896994958863</v>
      </c>
      <c r="K13" s="98">
        <v>0.10032926606506846</v>
      </c>
      <c r="L13" s="98">
        <v>8.0446911245654354E-2</v>
      </c>
      <c r="M13" s="98">
        <v>7.3323599647710347E-2</v>
      </c>
      <c r="N13" s="98">
        <v>6.9720533873400659E-2</v>
      </c>
      <c r="O13" s="98">
        <v>7.2511540463207971E-2</v>
      </c>
      <c r="P13" s="98">
        <v>6.275506546636074E-2</v>
      </c>
      <c r="Q13" s="98">
        <v>3.4298647193192394E-2</v>
      </c>
      <c r="R13" s="98">
        <v>3.1968330230914631E-2</v>
      </c>
      <c r="S13" s="98">
        <v>7.0091294663111717E-2</v>
      </c>
      <c r="T13" s="98">
        <v>9.8848954729811769E-2</v>
      </c>
      <c r="U13" s="98">
        <v>8.1656419700054619E-2</v>
      </c>
      <c r="V13" s="98">
        <v>0.1402196998100711</v>
      </c>
      <c r="W13" s="98">
        <v>9.7963221956868518E-2</v>
      </c>
      <c r="X13" s="98">
        <v>0.10319251177476484</v>
      </c>
      <c r="Y13" s="98">
        <v>6.540413751055954E-2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3.0103091999999996</v>
      </c>
      <c r="C19" s="98">
        <f>IF(C5=0,0,C5/TrAvia_ene!C5)</f>
        <v>3.0103091999999996</v>
      </c>
      <c r="D19" s="98">
        <f>IF(D5=0,0,D5/TrAvia_ene!D5)</f>
        <v>3.0103092000000009</v>
      </c>
      <c r="E19" s="98">
        <f>IF(E5=0,0,E5/TrAvia_ene!E5)</f>
        <v>3.0103092000000005</v>
      </c>
      <c r="F19" s="98">
        <f>IF(F5=0,0,F5/TrAvia_ene!F5)</f>
        <v>3.0103091999999996</v>
      </c>
      <c r="G19" s="98">
        <f>IF(G5=0,0,G5/TrAvia_ene!G5)</f>
        <v>3.0103092000000014</v>
      </c>
      <c r="H19" s="98">
        <f>IF(H5=0,0,H5/TrAvia_ene!H5)</f>
        <v>3.0103092000000005</v>
      </c>
      <c r="I19" s="98">
        <f>IF(I5=0,0,I5/TrAvia_ene!I5)</f>
        <v>3.0103092000000014</v>
      </c>
      <c r="J19" s="98">
        <f>IF(J5=0,0,J5/TrAvia_ene!J5)</f>
        <v>3.0103092000000009</v>
      </c>
      <c r="K19" s="98">
        <f>IF(K5=0,0,K5/TrAvia_ene!K5)</f>
        <v>3.0103092000000014</v>
      </c>
      <c r="L19" s="98">
        <f>IF(L5=0,0,L5/TrAvia_ene!L5)</f>
        <v>3.0103092000000009</v>
      </c>
      <c r="M19" s="98">
        <f>IF(M5=0,0,M5/TrAvia_ene!M5)</f>
        <v>3.0103091999999996</v>
      </c>
      <c r="N19" s="98">
        <f>IF(N5=0,0,N5/TrAvia_ene!N5)</f>
        <v>3.0103092</v>
      </c>
      <c r="O19" s="98">
        <f>IF(O5=0,0,O5/TrAvia_ene!O5)</f>
        <v>3.0103092</v>
      </c>
      <c r="P19" s="98">
        <f>IF(P5=0,0,P5/TrAvia_ene!P5)</f>
        <v>3.0103092000000005</v>
      </c>
      <c r="Q19" s="98">
        <f>IF(Q5=0,0,Q5/TrAvia_ene!Q5)</f>
        <v>3.0103092000000009</v>
      </c>
      <c r="R19" s="98">
        <f>IF(R5=0,0,R5/TrAvia_ene!R5)</f>
        <v>3.0103092000000005</v>
      </c>
      <c r="S19" s="98">
        <f>IF(S5=0,0,S5/TrAvia_ene!S5)</f>
        <v>3.0103092000000009</v>
      </c>
      <c r="T19" s="98">
        <f>IF(T5=0,0,T5/TrAvia_ene!T5)</f>
        <v>3.0103092000000005</v>
      </c>
      <c r="U19" s="98">
        <f>IF(U5=0,0,U5/TrAvia_ene!U5)</f>
        <v>3.0103092000000005</v>
      </c>
      <c r="V19" s="98">
        <f>IF(V5=0,0,V5/TrAvia_ene!V5)</f>
        <v>3.0103092</v>
      </c>
      <c r="W19" s="98">
        <f>IF(W5=0,0,W5/TrAvia_ene!W5)</f>
        <v>3.0103092000000005</v>
      </c>
      <c r="X19" s="98">
        <f>IF(X5=0,0,X5/TrAvia_ene!X5)</f>
        <v>3.0103092</v>
      </c>
      <c r="Y19" s="98">
        <f>IF(Y5=0,0,Y5/TrAvia_ene!Y5)</f>
        <v>3.0103092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6278.2704879113398</v>
      </c>
      <c r="C21" s="54">
        <f>IF(C3=0,0,C3/TrAvia_act!C13*1000)</f>
        <v>6279.0895874692078</v>
      </c>
      <c r="D21" s="54">
        <f>IF(D3=0,0,D3/TrAvia_act!D13*1000)</f>
        <v>6275.9481779065845</v>
      </c>
      <c r="E21" s="54">
        <f>IF(E3=0,0,E3/TrAvia_act!E13*1000)</f>
        <v>6259.6695857266313</v>
      </c>
      <c r="F21" s="54">
        <f>IF(F3=0,0,F3/TrAvia_act!F13*1000)</f>
        <v>6229.3430607461787</v>
      </c>
      <c r="G21" s="54">
        <f>IF(G3=0,0,G3/TrAvia_act!G13*1000)</f>
        <v>6164.1063908483156</v>
      </c>
      <c r="H21" s="54">
        <f>IF(H3=0,0,H3/TrAvia_act!H13*1000)</f>
        <v>6563.478989142186</v>
      </c>
      <c r="I21" s="54">
        <f>IF(I3=0,0,I3/TrAvia_act!I13*1000)</f>
        <v>7073.404768875459</v>
      </c>
      <c r="J21" s="54">
        <f>IF(J3=0,0,J3/TrAvia_act!J13*1000)</f>
        <v>7207.845177080525</v>
      </c>
      <c r="K21" s="54">
        <f>IF(K3=0,0,K3/TrAvia_act!K13*1000)</f>
        <v>6132.2587931411163</v>
      </c>
      <c r="L21" s="54">
        <f>IF(L3=0,0,L3/TrAvia_act!L13*1000)</f>
        <v>6856.7651413867461</v>
      </c>
      <c r="M21" s="54">
        <f>IF(M3=0,0,M3/TrAvia_act!M13*1000)</f>
        <v>6206.2472347064586</v>
      </c>
      <c r="N21" s="54">
        <f>IF(N3=0,0,N3/TrAvia_act!N13*1000)</f>
        <v>6896.4533863736651</v>
      </c>
      <c r="O21" s="54">
        <f>IF(O3=0,0,O3/TrAvia_act!O13*1000)</f>
        <v>7554.1714056756791</v>
      </c>
      <c r="P21" s="54">
        <f>IF(P3=0,0,P3/TrAvia_act!P13*1000)</f>
        <v>8157.8080695195003</v>
      </c>
      <c r="Q21" s="54">
        <f>IF(Q3=0,0,Q3/TrAvia_act!Q13*1000)</f>
        <v>7958.026789341583</v>
      </c>
      <c r="R21" s="54">
        <f>IF(R3=0,0,R3/TrAvia_act!R13*1000)</f>
        <v>7253.7123775656437</v>
      </c>
      <c r="S21" s="54">
        <f>IF(S3=0,0,S3/TrAvia_act!S13*1000)</f>
        <v>7567.921489702333</v>
      </c>
      <c r="T21" s="54">
        <f>IF(T3=0,0,T3/TrAvia_act!T13*1000)</f>
        <v>9599.8261615792526</v>
      </c>
      <c r="U21" s="54">
        <f>IF(U3=0,0,U3/TrAvia_act!U13*1000)</f>
        <v>8434.8251948276647</v>
      </c>
      <c r="V21" s="54">
        <f>IF(V3=0,0,V3/TrAvia_act!V13*1000)</f>
        <v>14799.909360022859</v>
      </c>
      <c r="W21" s="54">
        <f>IF(W3=0,0,W3/TrAvia_act!W13*1000)</f>
        <v>10836.80164688916</v>
      </c>
      <c r="X21" s="54">
        <f>IF(X3=0,0,X3/TrAvia_act!X13*1000)</f>
        <v>11768.160996328364</v>
      </c>
      <c r="Y21" s="54">
        <f>IF(Y3=0,0,Y3/TrAvia_act!Y13*1000)</f>
        <v>8559.6168602311827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6258.7771947923729</v>
      </c>
      <c r="C22" s="11">
        <f>IF(C6=0,0,C6/TrAvia_act!C14*1000)</f>
        <v>6261.8922673878196</v>
      </c>
      <c r="D22" s="11">
        <f>IF(D6=0,0,D6/TrAvia_act!D14*1000)</f>
        <v>6259.8197471028434</v>
      </c>
      <c r="E22" s="11">
        <f>IF(E6=0,0,E6/TrAvia_act!E14*1000)</f>
        <v>6240.274356228746</v>
      </c>
      <c r="F22" s="11">
        <f>IF(F6=0,0,F6/TrAvia_act!F14*1000)</f>
        <v>6202.2472239150666</v>
      </c>
      <c r="G22" s="11">
        <f>IF(G6=0,0,G6/TrAvia_act!G14*1000)</f>
        <v>6137.8727292879639</v>
      </c>
      <c r="H22" s="11">
        <f>IF(H6=0,0,H6/TrAvia_act!H14*1000)</f>
        <v>6547.2165304212076</v>
      </c>
      <c r="I22" s="11">
        <f>IF(I6=0,0,I6/TrAvia_act!I14*1000)</f>
        <v>7062.3874070895336</v>
      </c>
      <c r="J22" s="11">
        <f>IF(J6=0,0,J6/TrAvia_act!J14*1000)</f>
        <v>7207.3859635669351</v>
      </c>
      <c r="K22" s="11">
        <f>IF(K6=0,0,K6/TrAvia_act!K14*1000)</f>
        <v>6130.1031545570086</v>
      </c>
      <c r="L22" s="11">
        <f>IF(L6=0,0,L6/TrAvia_act!L14*1000)</f>
        <v>6848.8495162581185</v>
      </c>
      <c r="M22" s="11">
        <f>IF(M6=0,0,M6/TrAvia_act!M14*1000)</f>
        <v>6195.3381793613562</v>
      </c>
      <c r="N22" s="11">
        <f>IF(N6=0,0,N6/TrAvia_act!N14*1000)</f>
        <v>6871.2282036626493</v>
      </c>
      <c r="O22" s="11">
        <f>IF(O6=0,0,O6/TrAvia_act!O14*1000)</f>
        <v>7526.9199971670505</v>
      </c>
      <c r="P22" s="11">
        <f>IF(P6=0,0,P6/TrAvia_act!P14*1000)</f>
        <v>8130.5460166726198</v>
      </c>
      <c r="Q22" s="11">
        <f>IF(Q6=0,0,Q6/TrAvia_act!Q14*1000)</f>
        <v>7933.7239913970325</v>
      </c>
      <c r="R22" s="11">
        <f>IF(R6=0,0,R6/TrAvia_act!R14*1000)</f>
        <v>7239.1976396014015</v>
      </c>
      <c r="S22" s="11">
        <f>IF(S6=0,0,S6/TrAvia_act!S14*1000)</f>
        <v>7543.8462980417862</v>
      </c>
      <c r="T22" s="11">
        <f>IF(T6=0,0,T6/TrAvia_act!T14*1000)</f>
        <v>9581.3434437697033</v>
      </c>
      <c r="U22" s="11">
        <f>IF(U6=0,0,U6/TrAvia_act!U14*1000)</f>
        <v>8409.5754332145043</v>
      </c>
      <c r="V22" s="11">
        <f>IF(V6=0,0,V6/TrAvia_act!V14*1000)</f>
        <v>14552.475518668909</v>
      </c>
      <c r="W22" s="11">
        <f>IF(W6=0,0,W6/TrAvia_act!W14*1000)</f>
        <v>10666.077178102278</v>
      </c>
      <c r="X22" s="11">
        <f>IF(X6=0,0,X6/TrAvia_act!X14*1000)</f>
        <v>11604.539716447709</v>
      </c>
      <c r="Y22" s="11">
        <f>IF(Y6=0,0,Y6/TrAvia_act!Y14*1000)</f>
        <v>8484.1357373155552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6065.1816745652668</v>
      </c>
      <c r="C24" s="84">
        <f>IF(C8=0,0,C8/TrAvia_act!C16*1000)</f>
        <v>6068.1313681759757</v>
      </c>
      <c r="D24" s="84">
        <f>IF(D8=0,0,D8/TrAvia_act!D16*1000)</f>
        <v>6066.1711840890966</v>
      </c>
      <c r="E24" s="84">
        <f>IF(E8=0,0,E8/TrAvia_act!E16*1000)</f>
        <v>6047.2769672716349</v>
      </c>
      <c r="F24" s="84">
        <f>IF(F8=0,0,F8/TrAvia_act!F16*1000)</f>
        <v>6010.421419698343</v>
      </c>
      <c r="G24" s="84">
        <f>IF(G8=0,0,G8/TrAvia_act!G16*1000)</f>
        <v>5789.8334670250697</v>
      </c>
      <c r="H24" s="84">
        <f>IF(H8=0,0,H8/TrAvia_act!H16*1000)</f>
        <v>6154.1178734519035</v>
      </c>
      <c r="I24" s="84">
        <f>IF(I8=0,0,I8/TrAvia_act!I16*1000)</f>
        <v>6766.6525729662262</v>
      </c>
      <c r="J24" s="84">
        <f>IF(J8=0,0,J8/TrAvia_act!J16*1000)</f>
        <v>6879.1686626750707</v>
      </c>
      <c r="K24" s="84">
        <f>IF(K8=0,0,K8/TrAvia_act!K16*1000)</f>
        <v>6100.435905904521</v>
      </c>
      <c r="L24" s="84">
        <f>IF(L8=0,0,L8/TrAvia_act!L16*1000)</f>
        <v>7153.2074943577527</v>
      </c>
      <c r="M24" s="84">
        <f>IF(M8=0,0,M8/TrAvia_act!M16*1000)</f>
        <v>6438.0308528911755</v>
      </c>
      <c r="N24" s="84">
        <f>IF(N8=0,0,N8/TrAvia_act!N16*1000)</f>
        <v>7765.7551913408488</v>
      </c>
      <c r="O24" s="84">
        <f>IF(O8=0,0,O8/TrAvia_act!O16*1000)</f>
        <v>8876.0686938843046</v>
      </c>
      <c r="P24" s="84">
        <f>IF(P8=0,0,P8/TrAvia_act!P16*1000)</f>
        <v>9550.1162009095533</v>
      </c>
      <c r="Q24" s="84">
        <f>IF(Q8=0,0,Q8/TrAvia_act!Q16*1000)</f>
        <v>9061.3439657071995</v>
      </c>
      <c r="R24" s="84">
        <f>IF(R8=0,0,R8/TrAvia_act!R16*1000)</f>
        <v>7462.6747867867334</v>
      </c>
      <c r="S24" s="84">
        <f>IF(S8=0,0,S8/TrAvia_act!S16*1000)</f>
        <v>8238.0398181617129</v>
      </c>
      <c r="T24" s="84">
        <f>IF(T8=0,0,T8/TrAvia_act!T16*1000)</f>
        <v>10161.018166496218</v>
      </c>
      <c r="U24" s="84">
        <f>IF(U8=0,0,U8/TrAvia_act!U16*1000)</f>
        <v>9136.1850492412868</v>
      </c>
      <c r="V24" s="84">
        <f>IF(V8=0,0,V8/TrAvia_act!V16*1000)</f>
        <v>13554.84340998313</v>
      </c>
      <c r="W24" s="84">
        <f>IF(W8=0,0,W8/TrAvia_act!W16*1000)</f>
        <v>10984.745050597261</v>
      </c>
      <c r="X24" s="84">
        <f>IF(X8=0,0,X8/TrAvia_act!X16*1000)</f>
        <v>13939.352040146849</v>
      </c>
      <c r="Y24" s="84">
        <f>IF(Y8=0,0,Y8/TrAvia_act!Y16*1000)</f>
        <v>10204.411188866748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6591.9192158843543</v>
      </c>
      <c r="C25" s="84">
        <f>IF(C9=0,0,C9/TrAvia_act!C17*1000)</f>
        <v>6595.2404197813657</v>
      </c>
      <c r="D25" s="84">
        <f>IF(D9=0,0,D9/TrAvia_act!D17*1000)</f>
        <v>6593.0090807792221</v>
      </c>
      <c r="E25" s="84">
        <f>IF(E9=0,0,E9/TrAvia_act!E17*1000)</f>
        <v>6572.3862565192703</v>
      </c>
      <c r="F25" s="84">
        <f>IF(F9=0,0,F9/TrAvia_act!F17*1000)</f>
        <v>6532.3512140832236</v>
      </c>
      <c r="G25" s="84">
        <f>IF(G9=0,0,G9/TrAvia_act!G17*1000)</f>
        <v>6807.2840391071841</v>
      </c>
      <c r="H25" s="84">
        <f>IF(H9=0,0,H9/TrAvia_act!H17*1000)</f>
        <v>7372.6793288887511</v>
      </c>
      <c r="I25" s="84">
        <f>IF(I9=0,0,I9/TrAvia_act!I17*1000)</f>
        <v>7671.4720546622639</v>
      </c>
      <c r="J25" s="84">
        <f>IF(J9=0,0,J9/TrAvia_act!J17*1000)</f>
        <v>7864.0364530024499</v>
      </c>
      <c r="K25" s="84">
        <f>IF(K9=0,0,K9/TrAvia_act!K17*1000)</f>
        <v>6179.2797508755893</v>
      </c>
      <c r="L25" s="84">
        <f>IF(L9=0,0,L9/TrAvia_act!L17*1000)</f>
        <v>6418.9157019099812</v>
      </c>
      <c r="M25" s="84">
        <f>IF(M9=0,0,M9/TrAvia_act!M17*1000)</f>
        <v>5848.9728651074865</v>
      </c>
      <c r="N25" s="84">
        <f>IF(N9=0,0,N9/TrAvia_act!N17*1000)</f>
        <v>5845.2960974307807</v>
      </c>
      <c r="O25" s="84">
        <f>IF(O9=0,0,O9/TrAvia_act!O17*1000)</f>
        <v>6090.8547214681139</v>
      </c>
      <c r="P25" s="84">
        <f>IF(P9=0,0,P9/TrAvia_act!P17*1000)</f>
        <v>6600.5446700201173</v>
      </c>
      <c r="Q25" s="84">
        <f>IF(Q9=0,0,Q9/TrAvia_act!Q17*1000)</f>
        <v>6573.5316673973548</v>
      </c>
      <c r="R25" s="84">
        <f>IF(R9=0,0,R9/TrAvia_act!R17*1000)</f>
        <v>6881.9115401096269</v>
      </c>
      <c r="S25" s="84">
        <f>IF(S9=0,0,S9/TrAvia_act!S17*1000)</f>
        <v>6507.9575993984718</v>
      </c>
      <c r="T25" s="84">
        <f>IF(T9=0,0,T9/TrAvia_act!T17*1000)</f>
        <v>8660.2095773605779</v>
      </c>
      <c r="U25" s="84">
        <f>IF(U9=0,0,U9/TrAvia_act!U17*1000)</f>
        <v>7404.792350174439</v>
      </c>
      <c r="V25" s="84">
        <f>IF(V9=0,0,V9/TrAvia_act!V17*1000)</f>
        <v>15897.590630836336</v>
      </c>
      <c r="W25" s="84">
        <f>IF(W9=0,0,W9/TrAvia_act!W17*1000)</f>
        <v>10261.998623601248</v>
      </c>
      <c r="X25" s="84">
        <f>IF(X9=0,0,X9/TrAvia_act!X17*1000)</f>
        <v>8961.2670673579214</v>
      </c>
      <c r="Y25" s="84">
        <f>IF(Y9=0,0,Y9/TrAvia_act!Y17*1000)</f>
        <v>6573.9586693800402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8352.3942668192558</v>
      </c>
      <c r="C26" s="13">
        <f>IF(C10=0,0,C10/TrAvia_act!C18*1000)</f>
        <v>8350.9460146655183</v>
      </c>
      <c r="D26" s="13">
        <f>IF(D10=0,0,D10/TrAvia_act!D18*1000)</f>
        <v>8348.0015238841352</v>
      </c>
      <c r="E26" s="13">
        <f>IF(E10=0,0,E10/TrAvia_act!E18*1000)</f>
        <v>8321.0213876924245</v>
      </c>
      <c r="F26" s="13">
        <f>IF(F10=0,0,F10/TrAvia_act!F18*1000)</f>
        <v>8269.9089330606876</v>
      </c>
      <c r="G26" s="13">
        <f>IF(G10=0,0,G10/TrAvia_act!G18*1000)</f>
        <v>8471.1738459332792</v>
      </c>
      <c r="H26" s="13">
        <f>IF(H10=0,0,H10/TrAvia_act!H18*1000)</f>
        <v>7748.4642865449341</v>
      </c>
      <c r="I26" s="13">
        <f>IF(I10=0,0,I10/TrAvia_act!I18*1000)</f>
        <v>7380.0140977026913</v>
      </c>
      <c r="J26" s="13">
        <f>IF(J10=0,0,J10/TrAvia_act!J18*1000)</f>
        <v>7243.6192244736058</v>
      </c>
      <c r="K26" s="13">
        <f>IF(K10=0,0,K10/TrAvia_act!K18*1000)</f>
        <v>6451.2321015460129</v>
      </c>
      <c r="L26" s="13">
        <f>IF(L10=0,0,L10/TrAvia_act!L18*1000)</f>
        <v>7652.7087612514069</v>
      </c>
      <c r="M26" s="13">
        <f>IF(M10=0,0,M10/TrAvia_act!M18*1000)</f>
        <v>7309.1817527902303</v>
      </c>
      <c r="N26" s="13">
        <f>IF(N10=0,0,N10/TrAvia_act!N18*1000)</f>
        <v>9350.4189625891395</v>
      </c>
      <c r="O26" s="13">
        <f>IF(O10=0,0,O10/TrAvia_act!O18*1000)</f>
        <v>10189.705817699301</v>
      </c>
      <c r="P26" s="13">
        <f>IF(P10=0,0,P10/TrAvia_act!P18*1000)</f>
        <v>11147.421874705813</v>
      </c>
      <c r="Q26" s="13">
        <f>IF(Q10=0,0,Q10/TrAvia_act!Q18*1000)</f>
        <v>10355.716906289226</v>
      </c>
      <c r="R26" s="13">
        <f>IF(R10=0,0,R10/TrAvia_act!R18*1000)</f>
        <v>8720.9673729505248</v>
      </c>
      <c r="S26" s="13">
        <f>IF(S10=0,0,S10/TrAvia_act!S18*1000)</f>
        <v>9329.4804999427724</v>
      </c>
      <c r="T26" s="13">
        <f>IF(T10=0,0,T10/TrAvia_act!T18*1000)</f>
        <v>11106.240866296492</v>
      </c>
      <c r="U26" s="13">
        <f>IF(U10=0,0,U10/TrAvia_act!U18*1000)</f>
        <v>10706.711570198571</v>
      </c>
      <c r="V26" s="13">
        <f>IF(V10=0,0,V10/TrAvia_act!V18*1000)</f>
        <v>19812.081270370723</v>
      </c>
      <c r="W26" s="13">
        <f>IF(W10=0,0,W10/TrAvia_act!W18*1000)</f>
        <v>14886.280844161958</v>
      </c>
      <c r="X26" s="13">
        <f>IF(X10=0,0,X10/TrAvia_act!X18*1000)</f>
        <v>18194.836075729436</v>
      </c>
      <c r="Y26" s="13">
        <f>IF(Y10=0,0,Y10/TrAvia_act!Y18*1000)</f>
        <v>12273.310153138893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8352.2065499945165</v>
      </c>
      <c r="C28" s="102">
        <f>IF(C12=0,0,C12/TrAvia_act!C20*1000)</f>
        <v>8343.5455214873637</v>
      </c>
      <c r="D28" s="102">
        <f>IF(D12=0,0,D12/TrAvia_act!D20*1000)</f>
        <v>8338.7542257772329</v>
      </c>
      <c r="E28" s="102">
        <f>IF(E12=0,0,E12/TrAvia_act!E20*1000)</f>
        <v>8305.8050408092531</v>
      </c>
      <c r="F28" s="102">
        <f>IF(F12=0,0,F12/TrAvia_act!F20*1000)</f>
        <v>8251.8652829200491</v>
      </c>
      <c r="G28" s="102">
        <f>IF(G12=0,0,G12/TrAvia_act!G20*1000)</f>
        <v>7726.1109911489548</v>
      </c>
      <c r="H28" s="102">
        <f>IF(H12=0,0,H12/TrAvia_act!H20*1000)</f>
        <v>7661.0770754677696</v>
      </c>
      <c r="I28" s="102">
        <f>IF(I12=0,0,I12/TrAvia_act!I20*1000)</f>
        <v>7399.8324198431956</v>
      </c>
      <c r="J28" s="102">
        <f>IF(J12=0,0,J12/TrAvia_act!J20*1000)</f>
        <v>7346.5493184603974</v>
      </c>
      <c r="K28" s="102">
        <f>IF(K12=0,0,K12/TrAvia_act!K20*1000)</f>
        <v>6679.4392941949282</v>
      </c>
      <c r="L28" s="102">
        <f>IF(L12=0,0,L12/TrAvia_act!L20*1000)</f>
        <v>7657.7624721218426</v>
      </c>
      <c r="M28" s="102">
        <f>IF(M12=0,0,M12/TrAvia_act!M20*1000)</f>
        <v>7319.9261067201487</v>
      </c>
      <c r="N28" s="102">
        <f>IF(N12=0,0,N12/TrAvia_act!N20*1000)</f>
        <v>9671.1676704810179</v>
      </c>
      <c r="O28" s="102">
        <f>IF(O12=0,0,O12/TrAvia_act!O20*1000)</f>
        <v>10636.277034101508</v>
      </c>
      <c r="P28" s="102">
        <f>IF(P12=0,0,P12/TrAvia_act!P20*1000)</f>
        <v>11526.029304729103</v>
      </c>
      <c r="Q28" s="102">
        <f>IF(Q12=0,0,Q12/TrAvia_act!Q20*1000)</f>
        <v>10471.723634786371</v>
      </c>
      <c r="R28" s="102">
        <f>IF(R12=0,0,R12/TrAvia_act!R20*1000)</f>
        <v>8680.3154607808774</v>
      </c>
      <c r="S28" s="102">
        <f>IF(S12=0,0,S12/TrAvia_act!S20*1000)</f>
        <v>9375.1315529310559</v>
      </c>
      <c r="T28" s="102">
        <f>IF(T12=0,0,T12/TrAvia_act!T20*1000)</f>
        <v>11196.015395487711</v>
      </c>
      <c r="U28" s="102">
        <f>IF(U12=0,0,U12/TrAvia_act!U20*1000)</f>
        <v>10937.870556036085</v>
      </c>
      <c r="V28" s="102">
        <f>IF(V12=0,0,V12/TrAvia_act!V20*1000)</f>
        <v>20261.400400431146</v>
      </c>
      <c r="W28" s="102">
        <f>IF(W12=0,0,W12/TrAvia_act!W20*1000)</f>
        <v>15300.828745943982</v>
      </c>
      <c r="X28" s="102">
        <f>IF(X12=0,0,X12/TrAvia_act!X20*1000)</f>
        <v>19281.703351332984</v>
      </c>
      <c r="Y28" s="102">
        <f>IF(Y12=0,0,Y12/TrAvia_act!Y20*1000)</f>
        <v>12833.636555732352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8352.5756341202414</v>
      </c>
      <c r="C29" s="86">
        <f>IF(C13=0,0,C13/TrAvia_act!C21*1000)</f>
        <v>8356.7839088028668</v>
      </c>
      <c r="D29" s="86">
        <f>IF(D13=0,0,D13/TrAvia_act!D21*1000)</f>
        <v>8353.9565944547394</v>
      </c>
      <c r="E29" s="86">
        <f>IF(E13=0,0,E13/TrAvia_act!E21*1000)</f>
        <v>8327.8255552567243</v>
      </c>
      <c r="F29" s="86">
        <f>IF(F13=0,0,F13/TrAvia_act!F21*1000)</f>
        <v>8277.0974275277767</v>
      </c>
      <c r="G29" s="86">
        <f>IF(G13=0,0,G13/TrAvia_act!G21*1000)</f>
        <v>8868.0890585468369</v>
      </c>
      <c r="H29" s="86">
        <f>IF(H13=0,0,H13/TrAvia_act!H21*1000)</f>
        <v>7886.5745468825462</v>
      </c>
      <c r="I29" s="86">
        <f>IF(I13=0,0,I13/TrAvia_act!I21*1000)</f>
        <v>7200.0284883421082</v>
      </c>
      <c r="J29" s="86">
        <f>IF(J13=0,0,J13/TrAvia_act!J21*1000)</f>
        <v>6802.3655138140666</v>
      </c>
      <c r="K29" s="86">
        <f>IF(K13=0,0,K13/TrAvia_act!K21*1000)</f>
        <v>5518.1237771291981</v>
      </c>
      <c r="L29" s="86">
        <f>IF(L13=0,0,L13/TrAvia_act!L21*1000)</f>
        <v>7599.8101591213126</v>
      </c>
      <c r="M29" s="86">
        <f>IF(M13=0,0,M13/TrAvia_act!M21*1000)</f>
        <v>7200.0450898330555</v>
      </c>
      <c r="N29" s="86">
        <f>IF(N13=0,0,N13/TrAvia_act!N21*1000)</f>
        <v>6496.3587750232473</v>
      </c>
      <c r="O29" s="86">
        <f>IF(O13=0,0,O13/TrAvia_act!O21*1000)</f>
        <v>6434.5676263158184</v>
      </c>
      <c r="P29" s="86">
        <f>IF(P13=0,0,P13/TrAvia_act!P21*1000)</f>
        <v>7567.836872217772</v>
      </c>
      <c r="Q29" s="86">
        <f>IF(Q13=0,0,Q13/TrAvia_act!Q21*1000)</f>
        <v>7851.2483010333199</v>
      </c>
      <c r="R29" s="86">
        <f>IF(R13=0,0,R13/TrAvia_act!R21*1000)</f>
        <v>9784.9649302255566</v>
      </c>
      <c r="S29" s="86">
        <f>IF(S13=0,0,S13/TrAvia_act!S21*1000)</f>
        <v>8584.5995791107871</v>
      </c>
      <c r="T29" s="86">
        <f>IF(T13=0,0,T13/TrAvia_act!T21*1000)</f>
        <v>9972.337957623773</v>
      </c>
      <c r="U29" s="86">
        <f>IF(U13=0,0,U13/TrAvia_act!U21*1000)</f>
        <v>8378.9883492144236</v>
      </c>
      <c r="V29" s="86">
        <f>IF(V13=0,0,V13/TrAvia_act!V21*1000)</f>
        <v>15526.028945513201</v>
      </c>
      <c r="W29" s="86">
        <f>IF(W13=0,0,W13/TrAvia_act!W21*1000)</f>
        <v>10143.259435848207</v>
      </c>
      <c r="X29" s="86">
        <f>IF(X13=0,0,X13/TrAvia_act!X21*1000)</f>
        <v>7757.6861423831642</v>
      </c>
      <c r="Y29" s="86">
        <f>IF(Y13=0,0,Y13/TrAvia_act!Y21*1000)</f>
        <v>5877.4885260366691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109.56598322304588</v>
      </c>
      <c r="C32" s="14">
        <f>IF(C6=0,0,C6/TrAvia_act!C4*1000)</f>
        <v>109.06116887782633</v>
      </c>
      <c r="D32" s="14">
        <f>IF(D6=0,0,D6/TrAvia_act!D4*1000)</f>
        <v>109.05669616686561</v>
      </c>
      <c r="E32" s="14">
        <f>IF(E6=0,0,E6/TrAvia_act!E4*1000)</f>
        <v>109.51423476230933</v>
      </c>
      <c r="F32" s="14">
        <f>IF(F6=0,0,F6/TrAvia_act!F4*1000)</f>
        <v>108.94225356579342</v>
      </c>
      <c r="G32" s="14">
        <f>IF(G6=0,0,G6/TrAvia_act!G4*1000)</f>
        <v>106.47887559656407</v>
      </c>
      <c r="H32" s="14">
        <f>IF(H6=0,0,H6/TrAvia_act!H4*1000)</f>
        <v>110.11179886848836</v>
      </c>
      <c r="I32" s="14">
        <f>IF(I6=0,0,I6/TrAvia_act!I4*1000)</f>
        <v>119.96691192086419</v>
      </c>
      <c r="J32" s="14">
        <f>IF(J6=0,0,J6/TrAvia_act!J4*1000)</f>
        <v>127.15594966879978</v>
      </c>
      <c r="K32" s="14">
        <f>IF(K6=0,0,K6/TrAvia_act!K4*1000)</f>
        <v>115.59993662021594</v>
      </c>
      <c r="L32" s="14">
        <f>IF(L6=0,0,L6/TrAvia_act!L4*1000)</f>
        <v>118.85375757945786</v>
      </c>
      <c r="M32" s="14">
        <f>IF(M6=0,0,M6/TrAvia_act!M4*1000)</f>
        <v>103.04020649160684</v>
      </c>
      <c r="N32" s="14">
        <f>IF(N6=0,0,N6/TrAvia_act!N4*1000)</f>
        <v>112.3591105416623</v>
      </c>
      <c r="O32" s="14">
        <f>IF(O6=0,0,O6/TrAvia_act!O4*1000)</f>
        <v>111.8477676574671</v>
      </c>
      <c r="P32" s="14">
        <f>IF(P6=0,0,P6/TrAvia_act!P4*1000)</f>
        <v>115.96190360255724</v>
      </c>
      <c r="Q32" s="14">
        <f>IF(Q6=0,0,Q6/TrAvia_act!Q4*1000)</f>
        <v>109.43475192289937</v>
      </c>
      <c r="R32" s="14">
        <f>IF(R6=0,0,R6/TrAvia_act!R4*1000)</f>
        <v>96.680671839127626</v>
      </c>
      <c r="S32" s="14">
        <f>IF(S6=0,0,S6/TrAvia_act!S4*1000)</f>
        <v>95.846010056822664</v>
      </c>
      <c r="T32" s="14">
        <f>IF(T6=0,0,T6/TrAvia_act!T4*1000)</f>
        <v>118.7465761153618</v>
      </c>
      <c r="U32" s="14">
        <f>IF(U6=0,0,U6/TrAvia_act!U4*1000)</f>
        <v>92.478708293497164</v>
      </c>
      <c r="V32" s="14">
        <f>IF(V6=0,0,V6/TrAvia_act!V4*1000)</f>
        <v>173.79152721650507</v>
      </c>
      <c r="W32" s="14">
        <f>IF(W6=0,0,W6/TrAvia_act!W4*1000)</f>
        <v>125.65523163860925</v>
      </c>
      <c r="X32" s="14">
        <f>IF(X6=0,0,X6/TrAvia_act!X4*1000)</f>
        <v>111.56598809566019</v>
      </c>
      <c r="Y32" s="14">
        <f>IF(Y6=0,0,Y6/TrAvia_act!Y4*1000)</f>
        <v>78.37230621352407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121.91577916881002</v>
      </c>
      <c r="C34" s="87">
        <f>IF(C8=0,0,C8/TrAvia_act!C6*1000)</f>
        <v>120.65361053104439</v>
      </c>
      <c r="D34" s="87">
        <f>IF(D8=0,0,D8/TrAvia_act!D6*1000)</f>
        <v>120.38124371764928</v>
      </c>
      <c r="E34" s="87">
        <f>IF(E8=0,0,E8/TrAvia_act!E6*1000)</f>
        <v>121.37404845000864</v>
      </c>
      <c r="F34" s="87">
        <f>IF(F8=0,0,F8/TrAvia_act!F6*1000)</f>
        <v>120.87159867019145</v>
      </c>
      <c r="G34" s="87">
        <f>IF(G8=0,0,G8/TrAvia_act!G6*1000)</f>
        <v>108.98807108917234</v>
      </c>
      <c r="H34" s="87">
        <f>IF(H8=0,0,H8/TrAvia_act!H6*1000)</f>
        <v>113.66925341755909</v>
      </c>
      <c r="I34" s="87">
        <f>IF(I8=0,0,I8/TrAvia_act!I6*1000)</f>
        <v>131.00487251431522</v>
      </c>
      <c r="J34" s="87">
        <f>IF(J8=0,0,J8/TrAvia_act!J6*1000)</f>
        <v>140.3250638292011</v>
      </c>
      <c r="K34" s="87">
        <f>IF(K8=0,0,K8/TrAvia_act!K6*1000)</f>
        <v>134.01931400022394</v>
      </c>
      <c r="L34" s="87">
        <f>IF(L8=0,0,L8/TrAvia_act!L6*1000)</f>
        <v>139.19068967623394</v>
      </c>
      <c r="M34" s="87">
        <f>IF(M8=0,0,M8/TrAvia_act!M6*1000)</f>
        <v>114.852645612904</v>
      </c>
      <c r="N34" s="87">
        <f>IF(N8=0,0,N8/TrAvia_act!N6*1000)</f>
        <v>141.47083123283824</v>
      </c>
      <c r="O34" s="87">
        <f>IF(O8=0,0,O8/TrAvia_act!O6*1000)</f>
        <v>136.87486312585858</v>
      </c>
      <c r="P34" s="87">
        <f>IF(P8=0,0,P8/TrAvia_act!P6*1000)</f>
        <v>134.30856488458517</v>
      </c>
      <c r="Q34" s="87">
        <f>IF(Q8=0,0,Q8/TrAvia_act!Q6*1000)</f>
        <v>122.70475054528444</v>
      </c>
      <c r="R34" s="87">
        <f>IF(R8=0,0,R8/TrAvia_act!R6*1000)</f>
        <v>100.10276612640095</v>
      </c>
      <c r="S34" s="87">
        <f>IF(S8=0,0,S8/TrAvia_act!S6*1000)</f>
        <v>104.28936286188745</v>
      </c>
      <c r="T34" s="87">
        <f>IF(T8=0,0,T8/TrAvia_act!T6*1000)</f>
        <v>129.77601740848274</v>
      </c>
      <c r="U34" s="87">
        <f>IF(U8=0,0,U8/TrAvia_act!U6*1000)</f>
        <v>103.53520922726911</v>
      </c>
      <c r="V34" s="87">
        <f>IF(V8=0,0,V8/TrAvia_act!V6*1000)</f>
        <v>163.88676197398536</v>
      </c>
      <c r="W34" s="87">
        <f>IF(W8=0,0,W8/TrAvia_act!W6*1000)</f>
        <v>132.59421981113621</v>
      </c>
      <c r="X34" s="87">
        <f>IF(X8=0,0,X8/TrAvia_act!X6*1000)</f>
        <v>140.99489639410587</v>
      </c>
      <c r="Y34" s="87">
        <f>IF(Y8=0,0,Y8/TrAvia_act!Y6*1000)</f>
        <v>100.48950943503451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94.42203038380562</v>
      </c>
      <c r="C35" s="87">
        <f>IF(C9=0,0,C9/TrAvia_act!C7*1000)</f>
        <v>94.664040220767319</v>
      </c>
      <c r="D35" s="87">
        <f>IF(D9=0,0,D9/TrAvia_act!D7*1000)</f>
        <v>94.920576862811401</v>
      </c>
      <c r="E35" s="87">
        <f>IF(E9=0,0,E9/TrAvia_act!E7*1000)</f>
        <v>94.841231968048263</v>
      </c>
      <c r="F35" s="87">
        <f>IF(F9=0,0,F9/TrAvia_act!F7*1000)</f>
        <v>94.218818850734124</v>
      </c>
      <c r="G35" s="87">
        <f>IF(G9=0,0,G9/TrAvia_act!G7*1000)</f>
        <v>102.61414033452427</v>
      </c>
      <c r="H35" s="87">
        <f>IF(H9=0,0,H9/TrAvia_act!H7*1000)</f>
        <v>104.38551339782641</v>
      </c>
      <c r="I35" s="87">
        <f>IF(I9=0,0,I9/TrAvia_act!I7*1000)</f>
        <v>104.04189234273437</v>
      </c>
      <c r="J35" s="87">
        <f>IF(J9=0,0,J9/TrAvia_act!J7*1000)</f>
        <v>109.21778803858774</v>
      </c>
      <c r="K35" s="87">
        <f>IF(K9=0,0,K9/TrAvia_act!K7*1000)</f>
        <v>94.374109279865934</v>
      </c>
      <c r="L35" s="87">
        <f>IF(L9=0,0,L9/TrAvia_act!L7*1000)</f>
        <v>96.628926421427906</v>
      </c>
      <c r="M35" s="87">
        <f>IF(M9=0,0,M9/TrAvia_act!M7*1000)</f>
        <v>88.708014593056149</v>
      </c>
      <c r="N35" s="87">
        <f>IF(N9=0,0,N9/TrAvia_act!N7*1000)</f>
        <v>85.538674215364878</v>
      </c>
      <c r="O35" s="87">
        <f>IF(O9=0,0,O9/TrAvia_act!O7*1000)</f>
        <v>87.134344856325498</v>
      </c>
      <c r="P35" s="87">
        <f>IF(P9=0,0,P9/TrAvia_act!P7*1000)</f>
        <v>95.597809284214335</v>
      </c>
      <c r="Q35" s="87">
        <f>IF(Q9=0,0,Q9/TrAvia_act!Q7*1000)</f>
        <v>92.755369146818794</v>
      </c>
      <c r="R35" s="87">
        <f>IF(R9=0,0,R9/TrAvia_act!R7*1000)</f>
        <v>91.271279718855823</v>
      </c>
      <c r="S35" s="87">
        <f>IF(S9=0,0,S9/TrAvia_act!S7*1000)</f>
        <v>83.132703023042296</v>
      </c>
      <c r="T35" s="87">
        <f>IF(T9=0,0,T9/TrAvia_act!T7*1000)</f>
        <v>102.5042522590317</v>
      </c>
      <c r="U35" s="87">
        <f>IF(U9=0,0,U9/TrAvia_act!U7*1000)</f>
        <v>78.225818307204378</v>
      </c>
      <c r="V35" s="87">
        <f>IF(V9=0,0,V9/TrAvia_act!V7*1000)</f>
        <v>186.76794697717077</v>
      </c>
      <c r="W35" s="87">
        <f>IF(W9=0,0,W9/TrAvia_act!W7*1000)</f>
        <v>117.32158597585945</v>
      </c>
      <c r="X35" s="87">
        <f>IF(X9=0,0,X9/TrAvia_act!X7*1000)</f>
        <v>81.580038027963425</v>
      </c>
      <c r="Y35" s="87">
        <f>IF(Y9=0,0,Y9/TrAvia_act!Y7*1000)</f>
        <v>56.818072239827728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174.37938993220297</v>
      </c>
      <c r="C36" s="15">
        <f>IF(C10=0,0,C10/TrAvia_act!C8*1000)</f>
        <v>158.09556465485505</v>
      </c>
      <c r="D36" s="15">
        <f>IF(D10=0,0,D10/TrAvia_act!D8*1000)</f>
        <v>159.91291768092512</v>
      </c>
      <c r="E36" s="15">
        <f>IF(E10=0,0,E10/TrAvia_act!E8*1000)</f>
        <v>160.44822982768176</v>
      </c>
      <c r="F36" s="15">
        <f>IF(F10=0,0,F10/TrAvia_act!F8*1000)</f>
        <v>162.49593168068029</v>
      </c>
      <c r="G36" s="15">
        <f>IF(G10=0,0,G10/TrAvia_act!G8*1000)</f>
        <v>184.27630329911131</v>
      </c>
      <c r="H36" s="15">
        <f>IF(H10=0,0,H10/TrAvia_act!H8*1000)</f>
        <v>231.12965681721374</v>
      </c>
      <c r="I36" s="15">
        <f>IF(I10=0,0,I10/TrAvia_act!I8*1000)</f>
        <v>337.76186171638932</v>
      </c>
      <c r="J36" s="15">
        <f>IF(J10=0,0,J10/TrAvia_act!J8*1000)</f>
        <v>294.75425434855998</v>
      </c>
      <c r="K36" s="15">
        <f>IF(K10=0,0,K10/TrAvia_act!K8*1000)</f>
        <v>244.17694548453139</v>
      </c>
      <c r="L36" s="15">
        <f>IF(L10=0,0,L10/TrAvia_act!L8*1000)</f>
        <v>351.49133204719658</v>
      </c>
      <c r="M36" s="15">
        <f>IF(M10=0,0,M10/TrAvia_act!M8*1000)</f>
        <v>312.92744925117273</v>
      </c>
      <c r="N36" s="15">
        <f>IF(N10=0,0,N10/TrAvia_act!N8*1000)</f>
        <v>351.03778427412101</v>
      </c>
      <c r="O36" s="15">
        <f>IF(O10=0,0,O10/TrAvia_act!O8*1000)</f>
        <v>381.07766632928121</v>
      </c>
      <c r="P36" s="15">
        <f>IF(P10=0,0,P10/TrAvia_act!P8*1000)</f>
        <v>377.27081581478353</v>
      </c>
      <c r="Q36" s="15">
        <f>IF(Q10=0,0,Q10/TrAvia_act!Q8*1000)</f>
        <v>387.16322069224969</v>
      </c>
      <c r="R36" s="15">
        <f>IF(R10=0,0,R10/TrAvia_act!R8*1000)</f>
        <v>298.9805951326266</v>
      </c>
      <c r="S36" s="15">
        <f>IF(S10=0,0,S10/TrAvia_act!S8*1000)</f>
        <v>326.47320671871734</v>
      </c>
      <c r="T36" s="15">
        <f>IF(T10=0,0,T10/TrAvia_act!T8*1000)</f>
        <v>374.32013295387407</v>
      </c>
      <c r="U36" s="15">
        <f>IF(U10=0,0,U10/TrAvia_act!U8*1000)</f>
        <v>322.73952314178405</v>
      </c>
      <c r="V36" s="15">
        <f>IF(V10=0,0,V10/TrAvia_act!V8*1000)</f>
        <v>728.82782149100444</v>
      </c>
      <c r="W36" s="15">
        <f>IF(W10=0,0,W10/TrAvia_act!W8*1000)</f>
        <v>587.02347110373739</v>
      </c>
      <c r="X36" s="15">
        <f>IF(X10=0,0,X10/TrAvia_act!X8*1000)</f>
        <v>677.08000616575032</v>
      </c>
      <c r="Y36" s="15">
        <f>IF(Y10=0,0,Y10/TrAvia_act!Y8*1000)</f>
        <v>462.83382104346089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367.33252415989188</v>
      </c>
      <c r="C38" s="101">
        <f>IF(C12=0,0,C12/TrAvia_act!C10*1000)</f>
        <v>349.65747330937603</v>
      </c>
      <c r="D38" s="101">
        <f>IF(D12=0,0,D12/TrAvia_act!D10*1000)</f>
        <v>373.49053859425607</v>
      </c>
      <c r="E38" s="101">
        <f>IF(E12=0,0,E12/TrAvia_act!E10*1000)</f>
        <v>366.42473929913012</v>
      </c>
      <c r="F38" s="101">
        <f>IF(F12=0,0,F12/TrAvia_act!F10*1000)</f>
        <v>402.7325955461273</v>
      </c>
      <c r="G38" s="101">
        <f>IF(G12=0,0,G12/TrAvia_act!G10*1000)</f>
        <v>367.24670804868947</v>
      </c>
      <c r="H38" s="101">
        <f>IF(H12=0,0,H12/TrAvia_act!H10*1000)</f>
        <v>414.25387724041445</v>
      </c>
      <c r="I38" s="101">
        <f>IF(I12=0,0,I12/TrAvia_act!I10*1000)</f>
        <v>409.87680673901701</v>
      </c>
      <c r="J38" s="101">
        <f>IF(J12=0,0,J12/TrAvia_act!J10*1000)</f>
        <v>421.39465477891321</v>
      </c>
      <c r="K38" s="101">
        <f>IF(K12=0,0,K12/TrAvia_act!K10*1000)</f>
        <v>378.23553692792427</v>
      </c>
      <c r="L38" s="101">
        <f>IF(L12=0,0,L12/TrAvia_act!L10*1000)</f>
        <v>430.03883769709006</v>
      </c>
      <c r="M38" s="101">
        <f>IF(M12=0,0,M12/TrAvia_act!M10*1000)</f>
        <v>383.99206940820483</v>
      </c>
      <c r="N38" s="101">
        <f>IF(N12=0,0,N12/TrAvia_act!N10*1000)</f>
        <v>453.28727027805695</v>
      </c>
      <c r="O38" s="101">
        <f>IF(O12=0,0,O12/TrAvia_act!O10*1000)</f>
        <v>500.26504396981642</v>
      </c>
      <c r="P38" s="101">
        <f>IF(P12=0,0,P12/TrAvia_act!P10*1000)</f>
        <v>479.62594654727212</v>
      </c>
      <c r="Q38" s="101">
        <f>IF(Q12=0,0,Q12/TrAvia_act!Q10*1000)</f>
        <v>433.12206011514331</v>
      </c>
      <c r="R38" s="101">
        <f>IF(R12=0,0,R12/TrAvia_act!R10*1000)</f>
        <v>326.28026882919386</v>
      </c>
      <c r="S38" s="101">
        <f>IF(S12=0,0,S12/TrAvia_act!S10*1000)</f>
        <v>381.79388275241701</v>
      </c>
      <c r="T38" s="101">
        <f>IF(T12=0,0,T12/TrAvia_act!T10*1000)</f>
        <v>457.42956995995985</v>
      </c>
      <c r="U38" s="101">
        <f>IF(U12=0,0,U12/TrAvia_act!U10*1000)</f>
        <v>413.51518629414818</v>
      </c>
      <c r="V38" s="101">
        <f>IF(V12=0,0,V12/TrAvia_act!V10*1000)</f>
        <v>914.42641452263274</v>
      </c>
      <c r="W38" s="101">
        <f>IF(W12=0,0,W12/TrAvia_act!W10*1000)</f>
        <v>711.7313349715314</v>
      </c>
      <c r="X38" s="101">
        <f>IF(X12=0,0,X12/TrAvia_act!X10*1000)</f>
        <v>890.54981645909243</v>
      </c>
      <c r="Y38" s="101">
        <f>IF(Y12=0,0,Y12/TrAvia_act!Y10*1000)</f>
        <v>586.11297649061237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115.67518086349449</v>
      </c>
      <c r="C39" s="88">
        <f>IF(C13=0,0,C13/TrAvia_act!C11*1000)</f>
        <v>110.44106249167261</v>
      </c>
      <c r="D39" s="88">
        <f>IF(D13=0,0,D13/TrAvia_act!D11*1000)</f>
        <v>116.93092552166067</v>
      </c>
      <c r="E39" s="88">
        <f>IF(E13=0,0,E13/TrAvia_act!E11*1000)</f>
        <v>128.28714080280403</v>
      </c>
      <c r="F39" s="88">
        <f>IF(F13=0,0,F13/TrAvia_act!F11*1000)</f>
        <v>131.37092970344418</v>
      </c>
      <c r="G39" s="88">
        <f>IF(G13=0,0,G13/TrAvia_act!G11*1000)</f>
        <v>149.66752664203673</v>
      </c>
      <c r="H39" s="88">
        <f>IF(H13=0,0,H13/TrAvia_act!H11*1000)</f>
        <v>137.68617330720249</v>
      </c>
      <c r="I39" s="88">
        <f>IF(I13=0,0,I13/TrAvia_act!I11*1000)</f>
        <v>127.83275632237631</v>
      </c>
      <c r="J39" s="88">
        <f>IF(J13=0,0,J13/TrAvia_act!J11*1000)</f>
        <v>123.25582600285745</v>
      </c>
      <c r="K39" s="88">
        <f>IF(K13=0,0,K13/TrAvia_act!K11*1000)</f>
        <v>88.655626688548764</v>
      </c>
      <c r="L39" s="88">
        <f>IF(L13=0,0,L13/TrAvia_act!L11*1000)</f>
        <v>120.10844882723261</v>
      </c>
      <c r="M39" s="88">
        <f>IF(M13=0,0,M13/TrAvia_act!M11*1000)</f>
        <v>107.49300961941657</v>
      </c>
      <c r="N39" s="88">
        <f>IF(N13=0,0,N13/TrAvia_act!N11*1000)</f>
        <v>88.021369278055587</v>
      </c>
      <c r="O39" s="88">
        <f>IF(O13=0,0,O13/TrAvia_act!O11*1000)</f>
        <v>88.384640521673063</v>
      </c>
      <c r="P39" s="88">
        <f>IF(P13=0,0,P13/TrAvia_act!P11*1000)</f>
        <v>92.627917512101533</v>
      </c>
      <c r="Q39" s="88">
        <f>IF(Q13=0,0,Q13/TrAvia_act!Q11*1000)</f>
        <v>95.468143745399161</v>
      </c>
      <c r="R39" s="88">
        <f>IF(R13=0,0,R13/TrAvia_act!R11*1000)</f>
        <v>101.60126861151723</v>
      </c>
      <c r="S39" s="88">
        <f>IF(S13=0,0,S13/TrAvia_act!S11*1000)</f>
        <v>91.143372893832492</v>
      </c>
      <c r="T39" s="88">
        <f>IF(T13=0,0,T13/TrAvia_act!T11*1000)</f>
        <v>104.66358975700926</v>
      </c>
      <c r="U39" s="88">
        <f>IF(U13=0,0,U13/TrAvia_act!U11*1000)</f>
        <v>83.059898727681457</v>
      </c>
      <c r="V39" s="88">
        <f>IF(V13=0,0,V13/TrAvia_act!V11*1000)</f>
        <v>206.66550126204777</v>
      </c>
      <c r="W39" s="88">
        <f>IF(W13=0,0,W13/TrAvia_act!W11*1000)</f>
        <v>145.87711316382101</v>
      </c>
      <c r="X39" s="88">
        <f>IF(X13=0,0,X13/TrAvia_act!X11*1000)</f>
        <v>100.73604579345776</v>
      </c>
      <c r="Y39" s="88">
        <f>IF(Y13=0,0,Y13/TrAvia_act!Y11*1000)</f>
        <v>74.144808529828254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5260.1755719914272</v>
      </c>
      <c r="C41" s="54">
        <f>IF(C3=0,0,C3/TrAvia_act!C23*1000000)</f>
        <v>5264.7384890478306</v>
      </c>
      <c r="D41" s="54">
        <f>IF(D3=0,0,D3/TrAvia_act!D23*1000000)</f>
        <v>5265.218835250862</v>
      </c>
      <c r="E41" s="54">
        <f>IF(E3=0,0,E3/TrAvia_act!E23*1000000)</f>
        <v>5259.0559278179526</v>
      </c>
      <c r="F41" s="54">
        <f>IF(F3=0,0,F3/TrAvia_act!F23*1000000)</f>
        <v>5241.4311814859911</v>
      </c>
      <c r="G41" s="54">
        <f>IF(G3=0,0,G3/TrAvia_act!G23*1000000)</f>
        <v>5381.2682249479285</v>
      </c>
      <c r="H41" s="54">
        <f>IF(H3=0,0,H3/TrAvia_act!H23*1000000)</f>
        <v>5652.0320855614973</v>
      </c>
      <c r="I41" s="54">
        <f>IF(I3=0,0,I3/TrAvia_act!I23*1000000)</f>
        <v>6300.0755336276306</v>
      </c>
      <c r="J41" s="54">
        <f>IF(J3=0,0,J3/TrAvia_act!J23*1000000)</f>
        <v>6446.0910392441874</v>
      </c>
      <c r="K41" s="54">
        <f>IF(K3=0,0,K3/TrAvia_act!K23*1000000)</f>
        <v>5613.2422632487733</v>
      </c>
      <c r="L41" s="54">
        <f>IF(L3=0,0,L3/TrAvia_act!L23*1000000)</f>
        <v>6304.0126789976157</v>
      </c>
      <c r="M41" s="54">
        <f>IF(M3=0,0,M3/TrAvia_act!M23*1000000)</f>
        <v>5607.1988536718327</v>
      </c>
      <c r="N41" s="54">
        <f>IF(N3=0,0,N3/TrAvia_act!N23*1000000)</f>
        <v>6372.425920877954</v>
      </c>
      <c r="O41" s="54">
        <f>IF(O3=0,0,O3/TrAvia_act!O23*1000000)</f>
        <v>7315.6778126752652</v>
      </c>
      <c r="P41" s="54">
        <f>IF(P3=0,0,P3/TrAvia_act!P23*1000000)</f>
        <v>7653.346493252493</v>
      </c>
      <c r="Q41" s="54">
        <f>IF(Q3=0,0,Q3/TrAvia_act!Q23*1000000)</f>
        <v>7269.4706706297593</v>
      </c>
      <c r="R41" s="54">
        <f>IF(R3=0,0,R3/TrAvia_act!R23*1000000)</f>
        <v>6211.939877161486</v>
      </c>
      <c r="S41" s="54">
        <f>IF(S3=0,0,S3/TrAvia_act!S23*1000000)</f>
        <v>6574.5917521332112</v>
      </c>
      <c r="T41" s="54">
        <f>IF(T3=0,0,T3/TrAvia_act!T23*1000000)</f>
        <v>8557.4304806077598</v>
      </c>
      <c r="U41" s="54">
        <f>IF(U3=0,0,U3/TrAvia_act!U23*1000000)</f>
        <v>7767.2643085006575</v>
      </c>
      <c r="V41" s="54">
        <f>IF(V3=0,0,V3/TrAvia_act!V23*1000000)</f>
        <v>13837.055323475046</v>
      </c>
      <c r="W41" s="54">
        <f>IF(W3=0,0,W3/TrAvia_act!W23*1000000)</f>
        <v>11329.830411826821</v>
      </c>
      <c r="X41" s="54">
        <f>IF(X3=0,0,X3/TrAvia_act!X23*1000000)</f>
        <v>12608.905824217274</v>
      </c>
      <c r="Y41" s="54">
        <f>IF(Y3=0,0,Y3/TrAvia_act!Y23*1000000)</f>
        <v>9010.4844262295101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5245.0511434487853</v>
      </c>
      <c r="C42" s="11">
        <f>IF(C6=0,0,C6/TrAvia_act!C24*1000000)</f>
        <v>5247.6476398281566</v>
      </c>
      <c r="D42" s="11">
        <f>IF(D6=0,0,D6/TrAvia_act!D24*1000000)</f>
        <v>5245.9700843917681</v>
      </c>
      <c r="E42" s="11">
        <f>IF(E6=0,0,E6/TrAvia_act!E24*1000000)</f>
        <v>5229.6279854829609</v>
      </c>
      <c r="F42" s="11">
        <f>IF(F6=0,0,F6/TrAvia_act!F24*1000000)</f>
        <v>5197.7267705559261</v>
      </c>
      <c r="G42" s="11">
        <f>IF(G6=0,0,G6/TrAvia_act!G24*1000000)</f>
        <v>5347.6248786329288</v>
      </c>
      <c r="H42" s="11">
        <f>IF(H6=0,0,H6/TrAvia_act!H24*1000000)</f>
        <v>5656.6501844457771</v>
      </c>
      <c r="I42" s="11">
        <f>IF(I6=0,0,I6/TrAvia_act!I24*1000000)</f>
        <v>6405.5779901315782</v>
      </c>
      <c r="J42" s="11">
        <f>IF(J6=0,0,J6/TrAvia_act!J24*1000000)</f>
        <v>6474.5648000000911</v>
      </c>
      <c r="K42" s="11">
        <f>IF(K6=0,0,K6/TrAvia_act!K24*1000000)</f>
        <v>5623.6467765307834</v>
      </c>
      <c r="L42" s="11">
        <f>IF(L6=0,0,L6/TrAvia_act!L24*1000000)</f>
        <v>6323.3943790038029</v>
      </c>
      <c r="M42" s="11">
        <f>IF(M6=0,0,M6/TrAvia_act!M24*1000000)</f>
        <v>5628.8773780233887</v>
      </c>
      <c r="N42" s="11">
        <f>IF(N6=0,0,N6/TrAvia_act!N24*1000000)</f>
        <v>6402.9534877404258</v>
      </c>
      <c r="O42" s="11">
        <f>IF(O6=0,0,O6/TrAvia_act!O24*1000000)</f>
        <v>7345.8381028175372</v>
      </c>
      <c r="P42" s="11">
        <f>IF(P6=0,0,P6/TrAvia_act!P24*1000000)</f>
        <v>7675.1778467026506</v>
      </c>
      <c r="Q42" s="11">
        <f>IF(Q6=0,0,Q6/TrAvia_act!Q24*1000000)</f>
        <v>7290.3449642918149</v>
      </c>
      <c r="R42" s="11">
        <f>IF(R6=0,0,R6/TrAvia_act!R24*1000000)</f>
        <v>6231.8207923880209</v>
      </c>
      <c r="S42" s="11">
        <f>IF(S6=0,0,S6/TrAvia_act!S24*1000000)</f>
        <v>6599.8156499140787</v>
      </c>
      <c r="T42" s="11">
        <f>IF(T6=0,0,T6/TrAvia_act!T24*1000000)</f>
        <v>8592.0276112003212</v>
      </c>
      <c r="U42" s="11">
        <f>IF(U6=0,0,U6/TrAvia_act!U24*1000000)</f>
        <v>7800.1404752706185</v>
      </c>
      <c r="V42" s="11">
        <f>IF(V6=0,0,V6/TrAvia_act!V24*1000000)</f>
        <v>14213.609309918351</v>
      </c>
      <c r="W42" s="11">
        <f>IF(W6=0,0,W6/TrAvia_act!W24*1000000)</f>
        <v>11624.98253864638</v>
      </c>
      <c r="X42" s="11">
        <f>IF(X6=0,0,X6/TrAvia_act!X24*1000000)</f>
        <v>12704.78512046904</v>
      </c>
      <c r="Y42" s="11">
        <f>IF(Y6=0,0,Y6/TrAvia_act!Y24*1000000)</f>
        <v>9058.3649985574739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4383.641325266507</v>
      </c>
      <c r="C44" s="84">
        <f>IF(C8=0,0,C8/TrAvia_act!C26*1000000)</f>
        <v>4385.6152568195412</v>
      </c>
      <c r="D44" s="84">
        <f>IF(D8=0,0,D8/TrAvia_act!D26*1000000)</f>
        <v>4384.3284920864571</v>
      </c>
      <c r="E44" s="84">
        <f>IF(E8=0,0,E8/TrAvia_act!E26*1000000)</f>
        <v>4370.7934369693967</v>
      </c>
      <c r="F44" s="84">
        <f>IF(F8=0,0,F8/TrAvia_act!F26*1000000)</f>
        <v>4344.1327513051492</v>
      </c>
      <c r="G44" s="84">
        <f>IF(G8=0,0,G8/TrAvia_act!G26*1000000)</f>
        <v>4405.137578100017</v>
      </c>
      <c r="H44" s="84">
        <f>IF(H8=0,0,H8/TrAvia_act!H26*1000000)</f>
        <v>4744.3291530425204</v>
      </c>
      <c r="I44" s="84">
        <f>IF(I8=0,0,I8/TrAvia_act!I26*1000000)</f>
        <v>5543.1941478306289</v>
      </c>
      <c r="J44" s="84">
        <f>IF(J8=0,0,J8/TrAvia_act!J26*1000000)</f>
        <v>5588.4918137593186</v>
      </c>
      <c r="K44" s="84">
        <f>IF(K8=0,0,K8/TrAvia_act!K26*1000000)</f>
        <v>4971.7426218654527</v>
      </c>
      <c r="L44" s="84">
        <f>IF(L8=0,0,L8/TrAvia_act!L26*1000000)</f>
        <v>5833.7127541226391</v>
      </c>
      <c r="M44" s="84">
        <f>IF(M8=0,0,M8/TrAvia_act!M26*1000000)</f>
        <v>5067.3645109337576</v>
      </c>
      <c r="N44" s="84">
        <f>IF(N8=0,0,N8/TrAvia_act!N26*1000000)</f>
        <v>5761.6048825779762</v>
      </c>
      <c r="O44" s="84">
        <f>IF(O8=0,0,O8/TrAvia_act!O26*1000000)</f>
        <v>6917.5644814258312</v>
      </c>
      <c r="P44" s="84">
        <f>IF(P8=0,0,P8/TrAvia_act!P26*1000000)</f>
        <v>7458.9602028315785</v>
      </c>
      <c r="Q44" s="84">
        <f>IF(Q8=0,0,Q8/TrAvia_act!Q26*1000000)</f>
        <v>7160.5305066917945</v>
      </c>
      <c r="R44" s="84">
        <f>IF(R8=0,0,R8/TrAvia_act!R26*1000000)</f>
        <v>5971.2190983576884</v>
      </c>
      <c r="S44" s="84">
        <f>IF(S8=0,0,S8/TrAvia_act!S26*1000000)</f>
        <v>6710.7066380882325</v>
      </c>
      <c r="T44" s="84">
        <f>IF(T8=0,0,T8/TrAvia_act!T26*1000000)</f>
        <v>8324.3119277386177</v>
      </c>
      <c r="U44" s="84">
        <f>IF(U8=0,0,U8/TrAvia_act!U26*1000000)</f>
        <v>7699.681576450741</v>
      </c>
      <c r="V44" s="84">
        <f>IF(V8=0,0,V8/TrAvia_act!V26*1000000)</f>
        <v>11587.063894227624</v>
      </c>
      <c r="W44" s="84">
        <f>IF(W8=0,0,W8/TrAvia_act!W26*1000000)</f>
        <v>10030.756306473069</v>
      </c>
      <c r="X44" s="84">
        <f>IF(X8=0,0,X8/TrAvia_act!X26*1000000)</f>
        <v>12585.227913031324</v>
      </c>
      <c r="Y44" s="84">
        <f>IF(Y8=0,0,Y8/TrAvia_act!Y26*1000000)</f>
        <v>9114.137778070386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7613.9845036841671</v>
      </c>
      <c r="C45" s="84">
        <f>IF(C9=0,0,C9/TrAvia_act!C27*1000000)</f>
        <v>7617.8206543069628</v>
      </c>
      <c r="D45" s="84">
        <f>IF(D9=0,0,D9/TrAvia_act!D27*1000000)</f>
        <v>7615.2433501822597</v>
      </c>
      <c r="E45" s="84">
        <f>IF(E9=0,0,E9/TrAvia_act!E27*1000000)</f>
        <v>7591.4229938952612</v>
      </c>
      <c r="F45" s="84">
        <f>IF(F9=0,0,F9/TrAvia_act!F27*1000000)</f>
        <v>7545.1805897138101</v>
      </c>
      <c r="G45" s="84">
        <f>IF(G9=0,0,G9/TrAvia_act!G27*1000000)</f>
        <v>8227.1661226987508</v>
      </c>
      <c r="H45" s="84">
        <f>IF(H9=0,0,H9/TrAvia_act!H27*1000000)</f>
        <v>8532.6935864541647</v>
      </c>
      <c r="I45" s="84">
        <f>IF(I9=0,0,I9/TrAvia_act!I27*1000000)</f>
        <v>8929.1927671579888</v>
      </c>
      <c r="J45" s="84">
        <f>IF(J9=0,0,J9/TrAvia_act!J27*1000000)</f>
        <v>8961.1382881232348</v>
      </c>
      <c r="K45" s="84">
        <f>IF(K9=0,0,K9/TrAvia_act!K27*1000000)</f>
        <v>7160.0056907420576</v>
      </c>
      <c r="L45" s="84">
        <f>IF(L9=0,0,L9/TrAvia_act!L27*1000000)</f>
        <v>7286.1675624979989</v>
      </c>
      <c r="M45" s="84">
        <f>IF(M9=0,0,M9/TrAvia_act!M27*1000000)</f>
        <v>6815.2150012048796</v>
      </c>
      <c r="N45" s="84">
        <f>IF(N9=0,0,N9/TrAvia_act!N27*1000000)</f>
        <v>7710.7843923756109</v>
      </c>
      <c r="O45" s="84">
        <f>IF(O9=0,0,O9/TrAvia_act!O27*1000000)</f>
        <v>8126.2324749693853</v>
      </c>
      <c r="P45" s="84">
        <f>IF(P9=0,0,P9/TrAvia_act!P27*1000000)</f>
        <v>8038.5524017737071</v>
      </c>
      <c r="Q45" s="84">
        <f>IF(Q9=0,0,Q9/TrAvia_act!Q27*1000000)</f>
        <v>7516.9399853837376</v>
      </c>
      <c r="R45" s="84">
        <f>IF(R9=0,0,R9/TrAvia_act!R27*1000000)</f>
        <v>6741.9347466601621</v>
      </c>
      <c r="S45" s="84">
        <f>IF(S9=0,0,S9/TrAvia_act!S27*1000000)</f>
        <v>6400.0489893890208</v>
      </c>
      <c r="T45" s="84">
        <f>IF(T9=0,0,T9/TrAvia_act!T27*1000000)</f>
        <v>9140.0808093539345</v>
      </c>
      <c r="U45" s="84">
        <f>IF(U9=0,0,U9/TrAvia_act!U27*1000000)</f>
        <v>7977.730340309512</v>
      </c>
      <c r="V45" s="84">
        <f>IF(V9=0,0,V9/TrAvia_act!V27*1000000)</f>
        <v>19223.000051184168</v>
      </c>
      <c r="W45" s="84">
        <f>IF(W9=0,0,W9/TrAvia_act!W27*1000000)</f>
        <v>14822.597222718132</v>
      </c>
      <c r="X45" s="84">
        <f>IF(X9=0,0,X9/TrAvia_act!X27*1000000)</f>
        <v>12920.943489965193</v>
      </c>
      <c r="Y45" s="84">
        <f>IF(Y9=0,0,Y9/TrAvia_act!Y27*1000000)</f>
        <v>8963.8204561486236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6830.5954023357745</v>
      </c>
      <c r="C46" s="13">
        <f>IF(C10=0,0,C10/TrAvia_act!C28*1000000)</f>
        <v>7459.429523554476</v>
      </c>
      <c r="D46" s="13">
        <f>IF(D10=0,0,D10/TrAvia_act!D28*1000000)</f>
        <v>8143.9382717671351</v>
      </c>
      <c r="E46" s="13">
        <f>IF(E10=0,0,E10/TrAvia_act!E28*1000000)</f>
        <v>9536.1073526220462</v>
      </c>
      <c r="F46" s="13">
        <f>IF(F10=0,0,F10/TrAvia_act!F28*1000000)</f>
        <v>9981.9029537003971</v>
      </c>
      <c r="G46" s="13">
        <f>IF(G10=0,0,G10/TrAvia_act!G28*1000000)</f>
        <v>8981.9473643108049</v>
      </c>
      <c r="H46" s="13">
        <f>IF(H10=0,0,H10/TrAvia_act!H28*1000000)</f>
        <v>5381.525921711529</v>
      </c>
      <c r="I46" s="13">
        <f>IF(I10=0,0,I10/TrAvia_act!I28*1000000)</f>
        <v>4379.1941497490161</v>
      </c>
      <c r="J46" s="13">
        <f>IF(J10=0,0,J10/TrAvia_act!J28*1000000)</f>
        <v>4807.3352340373804</v>
      </c>
      <c r="K46" s="13">
        <f>IF(K10=0,0,K10/TrAvia_act!K28*1000000)</f>
        <v>4454.4590078702449</v>
      </c>
      <c r="L46" s="13">
        <f>IF(L10=0,0,L10/TrAvia_act!L28*1000000)</f>
        <v>4941.1080296263481</v>
      </c>
      <c r="M46" s="13">
        <f>IF(M10=0,0,M10/TrAvia_act!M28*1000000)</f>
        <v>4215.8117374227486</v>
      </c>
      <c r="N46" s="13">
        <f>IF(N10=0,0,N10/TrAvia_act!N28*1000000)</f>
        <v>4752.5660332951775</v>
      </c>
      <c r="O46" s="13">
        <f>IF(O10=0,0,O10/TrAvia_act!O28*1000000)</f>
        <v>5656.5460402938579</v>
      </c>
      <c r="P46" s="13">
        <f>IF(P10=0,0,P10/TrAvia_act!P28*1000000)</f>
        <v>6234.8719087586378</v>
      </c>
      <c r="Q46" s="13">
        <f>IF(Q10=0,0,Q10/TrAvia_act!Q28*1000000)</f>
        <v>5976.1189668316383</v>
      </c>
      <c r="R46" s="13">
        <f>IF(R10=0,0,R10/TrAvia_act!R28*1000000)</f>
        <v>4900.1769579423872</v>
      </c>
      <c r="S46" s="13">
        <f>IF(S10=0,0,S10/TrAvia_act!S28*1000000)</f>
        <v>5362.1015437642327</v>
      </c>
      <c r="T46" s="13">
        <f>IF(T10=0,0,T10/TrAvia_act!T28*1000000)</f>
        <v>6669.1959753781375</v>
      </c>
      <c r="U46" s="13">
        <f>IF(U10=0,0,U10/TrAvia_act!U28*1000000)</f>
        <v>5984.6265611035606</v>
      </c>
      <c r="V46" s="13">
        <f>IF(V10=0,0,V10/TrAvia_act!V28*1000000)</f>
        <v>9924.8575906377682</v>
      </c>
      <c r="W46" s="13">
        <f>IF(W10=0,0,W10/TrAvia_act!W28*1000000)</f>
        <v>7914.6852276093578</v>
      </c>
      <c r="X46" s="13">
        <f>IF(X10=0,0,X10/TrAvia_act!X28*1000000)</f>
        <v>10604.156902589471</v>
      </c>
      <c r="Y46" s="13">
        <f>IF(Y10=0,0,Y10/TrAvia_act!Y28*1000000)</f>
        <v>7637.4766629870592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3892.3738773009009</v>
      </c>
      <c r="C48" s="102">
        <f>IF(C12=0,0,C12/TrAvia_act!C30*1000000)</f>
        <v>3937.3652814714874</v>
      </c>
      <c r="D48" s="102">
        <f>IF(D12=0,0,D12/TrAvia_act!D30*1000000)</f>
        <v>3965.5578740348128</v>
      </c>
      <c r="E48" s="102">
        <f>IF(E12=0,0,E12/TrAvia_act!E30*1000000)</f>
        <v>3986.0927330620962</v>
      </c>
      <c r="F48" s="102">
        <f>IF(F12=0,0,F12/TrAvia_act!F30*1000000)</f>
        <v>3972.6157379414817</v>
      </c>
      <c r="G48" s="102">
        <f>IF(G12=0,0,G12/TrAvia_act!G30*1000000)</f>
        <v>3673.8898651843401</v>
      </c>
      <c r="H48" s="102">
        <f>IF(H12=0,0,H12/TrAvia_act!H30*1000000)</f>
        <v>3646.0361454562767</v>
      </c>
      <c r="I48" s="102">
        <f>IF(I12=0,0,I12/TrAvia_act!I30*1000000)</f>
        <v>4072.2042881833213</v>
      </c>
      <c r="J48" s="102">
        <f>IF(J12=0,0,J12/TrAvia_act!J30*1000000)</f>
        <v>4304.515699030705</v>
      </c>
      <c r="K48" s="102">
        <f>IF(K12=0,0,K12/TrAvia_act!K30*1000000)</f>
        <v>4244.1729999106365</v>
      </c>
      <c r="L48" s="102">
        <f>IF(L12=0,0,L12/TrAvia_act!L30*1000000)</f>
        <v>5020.5999900834258</v>
      </c>
      <c r="M48" s="102">
        <f>IF(M12=0,0,M12/TrAvia_act!M30*1000000)</f>
        <v>4302.2233671850636</v>
      </c>
      <c r="N48" s="102">
        <f>IF(N12=0,0,N12/TrAvia_act!N30*1000000)</f>
        <v>4886.5913602396367</v>
      </c>
      <c r="O48" s="102">
        <f>IF(O12=0,0,O12/TrAvia_act!O30*1000000)</f>
        <v>5859.8183327495281</v>
      </c>
      <c r="P48" s="102">
        <f>IF(P12=0,0,P12/TrAvia_act!P30*1000000)</f>
        <v>6501.079715044807</v>
      </c>
      <c r="Q48" s="102">
        <f>IF(Q12=0,0,Q12/TrAvia_act!Q30*1000000)</f>
        <v>6096.4055316976401</v>
      </c>
      <c r="R48" s="102">
        <f>IF(R12=0,0,R12/TrAvia_act!R30*1000000)</f>
        <v>4981.6082491542456</v>
      </c>
      <c r="S48" s="102">
        <f>IF(S12=0,0,S12/TrAvia_act!S30*1000000)</f>
        <v>5526.4853323136695</v>
      </c>
      <c r="T48" s="102">
        <f>IF(T12=0,0,T12/TrAvia_act!T30*1000000)</f>
        <v>6804.4666977197539</v>
      </c>
      <c r="U48" s="102">
        <f>IF(U12=0,0,U12/TrAvia_act!U30*1000000)</f>
        <v>6133.5800376738989</v>
      </c>
      <c r="V48" s="102">
        <f>IF(V12=0,0,V12/TrAvia_act!V30*1000000)</f>
        <v>10089.614117983267</v>
      </c>
      <c r="W48" s="102">
        <f>IF(W12=0,0,W12/TrAvia_act!W30*1000000)</f>
        <v>8167.9016400137507</v>
      </c>
      <c r="X48" s="102">
        <f>IF(X12=0,0,X12/TrAvia_act!X30*1000000)</f>
        <v>11298.22687454994</v>
      </c>
      <c r="Y48" s="102">
        <f>IF(Y12=0,0,Y12/TrAvia_act!Y30*1000000)</f>
        <v>8069.8796122404319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25233.140743343665</v>
      </c>
      <c r="C49" s="86">
        <f>IF(C13=0,0,C13/TrAvia_act!C31*1000000)</f>
        <v>25245.853946073566</v>
      </c>
      <c r="D49" s="86">
        <f>IF(D13=0,0,D13/TrAvia_act!D31*1000000)</f>
        <v>25237.31262612663</v>
      </c>
      <c r="E49" s="86">
        <f>IF(E13=0,0,E13/TrAvia_act!E31*1000000)</f>
        <v>25158.370726198205</v>
      </c>
      <c r="F49" s="86">
        <f>IF(F13=0,0,F13/TrAvia_act!F31*1000000)</f>
        <v>25005.120993097684</v>
      </c>
      <c r="G49" s="86">
        <f>IF(G13=0,0,G13/TrAvia_act!G31*1000000)</f>
        <v>27265.256527968624</v>
      </c>
      <c r="H49" s="86">
        <f>IF(H13=0,0,H13/TrAvia_act!H31*1000000)</f>
        <v>19988.5648718599</v>
      </c>
      <c r="I49" s="86">
        <f>IF(I13=0,0,I13/TrAvia_act!I31*1000000)</f>
        <v>14776.807287126252</v>
      </c>
      <c r="J49" s="86">
        <f>IF(J13=0,0,J13/TrAvia_act!J31*1000000)</f>
        <v>10469.520432590811</v>
      </c>
      <c r="K49" s="86">
        <f>IF(K13=0,0,K13/TrAvia_act!K31*1000000)</f>
        <v>5901.7215332393207</v>
      </c>
      <c r="L49" s="86">
        <f>IF(L13=0,0,L13/TrAvia_act!L31*1000000)</f>
        <v>4234.0479602975975</v>
      </c>
      <c r="M49" s="86">
        <f>IF(M13=0,0,M13/TrAvia_act!M31*1000000)</f>
        <v>3491.5999832243019</v>
      </c>
      <c r="N49" s="86">
        <f>IF(N13=0,0,N13/TrAvia_act!N31*1000000)</f>
        <v>3486.0266936700332</v>
      </c>
      <c r="O49" s="86">
        <f>IF(O13=0,0,O13/TrAvia_act!O31*1000000)</f>
        <v>3816.3968664846302</v>
      </c>
      <c r="P49" s="86">
        <f>IF(P13=0,0,P13/TrAvia_act!P31*1000000)</f>
        <v>3922.1915916475464</v>
      </c>
      <c r="Q49" s="86">
        <f>IF(Q13=0,0,Q13/TrAvia_act!Q31*1000000)</f>
        <v>3810.960799243599</v>
      </c>
      <c r="R49" s="86">
        <f>IF(R13=0,0,R13/TrAvia_act!R31*1000000)</f>
        <v>3552.0366923238475</v>
      </c>
      <c r="S49" s="86">
        <f>IF(S13=0,0,S13/TrAvia_act!S31*1000000)</f>
        <v>3504.5647331555856</v>
      </c>
      <c r="T49" s="86">
        <f>IF(T13=0,0,T13/TrAvia_act!T31*1000000)</f>
        <v>5202.5765647269345</v>
      </c>
      <c r="U49" s="86">
        <f>IF(U13=0,0,U13/TrAvia_act!U31*1000000)</f>
        <v>4536.4677611141451</v>
      </c>
      <c r="V49" s="86">
        <f>IF(V13=0,0,V13/TrAvia_act!V31*1000000)</f>
        <v>8248.2176358865345</v>
      </c>
      <c r="W49" s="86">
        <f>IF(W13=0,0,W13/TrAvia_act!W31*1000000)</f>
        <v>5155.9590503615009</v>
      </c>
      <c r="X49" s="86">
        <f>IF(X13=0,0,X13/TrAvia_act!X31*1000000)</f>
        <v>4299.6879906152017</v>
      </c>
      <c r="Y49" s="86">
        <f>IF(Y13=0,0,Y13/TrAvia_act!Y31*1000000)</f>
        <v>3270.206875527977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0.98761320567952149</v>
      </c>
      <c r="C52" s="16">
        <f t="shared" si="36"/>
        <v>0.98905161256403606</v>
      </c>
      <c r="D52" s="16">
        <f t="shared" ref="D52:V52" si="37">IF(D6=0,0,D6/D$3)</f>
        <v>0.98972629751983932</v>
      </c>
      <c r="E52" s="16">
        <f t="shared" si="37"/>
        <v>0.98760915661623672</v>
      </c>
      <c r="F52" s="16">
        <f t="shared" si="37"/>
        <v>0.98260271165796897</v>
      </c>
      <c r="G52" s="16">
        <f t="shared" si="37"/>
        <v>0.98454882216451811</v>
      </c>
      <c r="H52" s="16">
        <f t="shared" si="37"/>
        <v>0.98401785177738565</v>
      </c>
      <c r="I52" s="16">
        <f t="shared" si="37"/>
        <v>0.96380994010790622</v>
      </c>
      <c r="J52" s="16">
        <f t="shared" si="37"/>
        <v>0.98726328585876022</v>
      </c>
      <c r="K52" s="16">
        <f t="shared" si="37"/>
        <v>0.99293814679191383</v>
      </c>
      <c r="L52" s="16">
        <f t="shared" si="37"/>
        <v>0.98900991328412946</v>
      </c>
      <c r="M52" s="16">
        <f t="shared" si="37"/>
        <v>0.98846539755351837</v>
      </c>
      <c r="N52" s="16">
        <f t="shared" si="37"/>
        <v>0.98620474788857415</v>
      </c>
      <c r="O52" s="16">
        <f t="shared" si="37"/>
        <v>0.98619528231715936</v>
      </c>
      <c r="P52" s="16">
        <f t="shared" si="37"/>
        <v>0.98765184507663528</v>
      </c>
      <c r="Q52" s="16">
        <f t="shared" si="37"/>
        <v>0.9869425557384246</v>
      </c>
      <c r="R52" s="16">
        <f t="shared" si="37"/>
        <v>0.98822305055094362</v>
      </c>
      <c r="S52" s="16">
        <f t="shared" si="37"/>
        <v>0.98337896359633181</v>
      </c>
      <c r="T52" s="16">
        <f t="shared" si="37"/>
        <v>0.98597738785990507</v>
      </c>
      <c r="U52" s="16">
        <f t="shared" si="37"/>
        <v>0.98604754710255504</v>
      </c>
      <c r="V52" s="16">
        <f t="shared" si="37"/>
        <v>0.937023727580375</v>
      </c>
      <c r="W52" s="16">
        <f t="shared" ref="W52:Y52" si="38">IF(W6=0,0,W6/W$3)</f>
        <v>0.94442909833098498</v>
      </c>
      <c r="X52" s="16">
        <f t="shared" si="38"/>
        <v>0.96161386497158441</v>
      </c>
      <c r="Y52" s="16">
        <f t="shared" si="38"/>
        <v>0.97143717626391879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0.60530791808324935</v>
      </c>
      <c r="C54" s="103">
        <f t="shared" si="42"/>
        <v>0.60613019075568719</v>
      </c>
      <c r="D54" s="103">
        <f t="shared" ref="D54:V54" si="43">IF(D8=0,0,D8/D$3)</f>
        <v>0.60657153566841993</v>
      </c>
      <c r="E54" s="103">
        <f t="shared" si="43"/>
        <v>0.60530745146856202</v>
      </c>
      <c r="F54" s="103">
        <f t="shared" si="43"/>
        <v>0.60224401554420204</v>
      </c>
      <c r="G54" s="103">
        <f t="shared" si="43"/>
        <v>0.61103371723100497</v>
      </c>
      <c r="H54" s="103">
        <f t="shared" si="43"/>
        <v>0.62655925899745968</v>
      </c>
      <c r="I54" s="103">
        <f t="shared" si="43"/>
        <v>0.62162640332636676</v>
      </c>
      <c r="J54" s="103">
        <f t="shared" si="43"/>
        <v>0.62827170739826332</v>
      </c>
      <c r="K54" s="103">
        <f t="shared" si="43"/>
        <v>0.61631956243616703</v>
      </c>
      <c r="L54" s="103">
        <f t="shared" si="43"/>
        <v>0.60480695061015388</v>
      </c>
      <c r="M54" s="103">
        <f t="shared" si="43"/>
        <v>0.60398458075522443</v>
      </c>
      <c r="N54" s="103">
        <f t="shared" si="43"/>
        <v>0.59542898569897196</v>
      </c>
      <c r="O54" s="103">
        <f t="shared" si="43"/>
        <v>0.59962798184450294</v>
      </c>
      <c r="P54" s="103">
        <f t="shared" si="43"/>
        <v>0.60176330785805743</v>
      </c>
      <c r="Q54" s="103">
        <f t="shared" si="43"/>
        <v>0.61629708512601522</v>
      </c>
      <c r="R54" s="103">
        <f t="shared" si="43"/>
        <v>0.62672361270889032</v>
      </c>
      <c r="S54" s="103">
        <f t="shared" si="43"/>
        <v>0.642981269088158</v>
      </c>
      <c r="T54" s="103">
        <f t="shared" si="43"/>
        <v>0.64176380341034189</v>
      </c>
      <c r="U54" s="103">
        <f t="shared" si="43"/>
        <v>0.62167786807713066</v>
      </c>
      <c r="V54" s="103">
        <f t="shared" si="43"/>
        <v>0.50112057738217652</v>
      </c>
      <c r="W54" s="103">
        <f t="shared" ref="W54:Y54" si="44">IF(W8=0,0,W8/W$3)</f>
        <v>0.54379407058286644</v>
      </c>
      <c r="X54" s="103">
        <f t="shared" si="44"/>
        <v>0.61333117559922601</v>
      </c>
      <c r="Y54" s="103">
        <f t="shared" si="44"/>
        <v>0.61476329188010281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0.38230528759627219</v>
      </c>
      <c r="C55" s="103">
        <f t="shared" si="45"/>
        <v>0.38292142180834887</v>
      </c>
      <c r="D55" s="103">
        <f t="shared" ref="D55:V55" si="46">IF(D9=0,0,D9/D$3)</f>
        <v>0.38315476185141945</v>
      </c>
      <c r="E55" s="103">
        <f t="shared" si="46"/>
        <v>0.38230170514767475</v>
      </c>
      <c r="F55" s="103">
        <f t="shared" si="46"/>
        <v>0.38035869611376688</v>
      </c>
      <c r="G55" s="103">
        <f t="shared" si="46"/>
        <v>0.37351510493351314</v>
      </c>
      <c r="H55" s="103">
        <f t="shared" si="46"/>
        <v>0.35745859277992598</v>
      </c>
      <c r="I55" s="103">
        <f t="shared" si="46"/>
        <v>0.34218353678153934</v>
      </c>
      <c r="J55" s="103">
        <f t="shared" si="46"/>
        <v>0.35899157846049679</v>
      </c>
      <c r="K55" s="103">
        <f t="shared" si="46"/>
        <v>0.37661858435574674</v>
      </c>
      <c r="L55" s="103">
        <f t="shared" si="46"/>
        <v>0.38420296267397558</v>
      </c>
      <c r="M55" s="103">
        <f t="shared" si="46"/>
        <v>0.38448081679829382</v>
      </c>
      <c r="N55" s="103">
        <f t="shared" si="46"/>
        <v>0.39077576218960236</v>
      </c>
      <c r="O55" s="103">
        <f t="shared" si="46"/>
        <v>0.38656730047265647</v>
      </c>
      <c r="P55" s="103">
        <f t="shared" si="46"/>
        <v>0.38588853721857796</v>
      </c>
      <c r="Q55" s="103">
        <f t="shared" si="46"/>
        <v>0.37064547061240932</v>
      </c>
      <c r="R55" s="103">
        <f t="shared" si="46"/>
        <v>0.3614994378420533</v>
      </c>
      <c r="S55" s="103">
        <f t="shared" si="46"/>
        <v>0.34039769450817381</v>
      </c>
      <c r="T55" s="103">
        <f t="shared" si="46"/>
        <v>0.34421358444956318</v>
      </c>
      <c r="U55" s="103">
        <f t="shared" si="46"/>
        <v>0.36436967902542444</v>
      </c>
      <c r="V55" s="103">
        <f t="shared" si="46"/>
        <v>0.43590315019819842</v>
      </c>
      <c r="W55" s="103">
        <f t="shared" ref="W55:Y55" si="47">IF(W9=0,0,W9/W$3)</f>
        <v>0.40063502774811854</v>
      </c>
      <c r="X55" s="103">
        <f t="shared" si="47"/>
        <v>0.34828268937235835</v>
      </c>
      <c r="Y55" s="103">
        <f t="shared" si="47"/>
        <v>0.35667388438381598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1.2386794320478718E-2</v>
      </c>
      <c r="C56" s="17">
        <f t="shared" si="48"/>
        <v>1.094838743596405E-2</v>
      </c>
      <c r="D56" s="17">
        <f t="shared" ref="D56:V56" si="49">IF(D10=0,0,D10/D$3)</f>
        <v>1.0273702480160631E-2</v>
      </c>
      <c r="E56" s="17">
        <f t="shared" si="49"/>
        <v>1.2390843383763303E-2</v>
      </c>
      <c r="F56" s="17">
        <f t="shared" si="49"/>
        <v>1.7397288342031015E-2</v>
      </c>
      <c r="G56" s="17">
        <f t="shared" si="49"/>
        <v>1.5451177835482019E-2</v>
      </c>
      <c r="H56" s="17">
        <f t="shared" si="49"/>
        <v>1.5982148222614415E-2</v>
      </c>
      <c r="I56" s="17">
        <f t="shared" si="49"/>
        <v>3.619005989209384E-2</v>
      </c>
      <c r="J56" s="17">
        <f t="shared" si="49"/>
        <v>1.2736714141239783E-2</v>
      </c>
      <c r="K56" s="17">
        <f t="shared" si="49"/>
        <v>7.0618532080860422E-3</v>
      </c>
      <c r="L56" s="17">
        <f t="shared" si="49"/>
        <v>1.0990086715870479E-2</v>
      </c>
      <c r="M56" s="17">
        <f t="shared" si="49"/>
        <v>1.1534602446481686E-2</v>
      </c>
      <c r="N56" s="17">
        <f t="shared" si="49"/>
        <v>1.3795252111425885E-2</v>
      </c>
      <c r="O56" s="17">
        <f t="shared" si="49"/>
        <v>1.3804717682840615E-2</v>
      </c>
      <c r="P56" s="17">
        <f t="shared" si="49"/>
        <v>1.2348154923364631E-2</v>
      </c>
      <c r="Q56" s="17">
        <f t="shared" si="49"/>
        <v>1.3057444261575304E-2</v>
      </c>
      <c r="R56" s="17">
        <f t="shared" si="49"/>
        <v>1.1776949449056462E-2</v>
      </c>
      <c r="S56" s="17">
        <f t="shared" si="49"/>
        <v>1.6621036403668122E-2</v>
      </c>
      <c r="T56" s="17">
        <f t="shared" si="49"/>
        <v>1.4022612140094877E-2</v>
      </c>
      <c r="U56" s="17">
        <f t="shared" si="49"/>
        <v>1.3952452897444879E-2</v>
      </c>
      <c r="V56" s="17">
        <f t="shared" si="49"/>
        <v>6.2976272419625071E-2</v>
      </c>
      <c r="W56" s="17">
        <f t="shared" ref="W56:Y56" si="50">IF(W10=0,0,W10/W$3)</f>
        <v>5.5570901669014995E-2</v>
      </c>
      <c r="X56" s="17">
        <f t="shared" si="50"/>
        <v>3.8386135028415584E-2</v>
      </c>
      <c r="Y56" s="17">
        <f t="shared" si="50"/>
        <v>2.8562823736081135E-2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6.0867125043339272E-3</v>
      </c>
      <c r="C58" s="104">
        <f t="shared" si="54"/>
        <v>4.823766237201022E-3</v>
      </c>
      <c r="D58" s="104">
        <f t="shared" ref="D58:V58" si="55">IF(D12=0,0,D12/D$3)</f>
        <v>4.0199559175105645E-3</v>
      </c>
      <c r="E58" s="104">
        <f t="shared" si="55"/>
        <v>3.82167280346815E-3</v>
      </c>
      <c r="F58" s="104">
        <f t="shared" si="55"/>
        <v>4.9455744192857002E-3</v>
      </c>
      <c r="G58" s="104">
        <f t="shared" si="55"/>
        <v>4.898001580078604E-3</v>
      </c>
      <c r="H58" s="104">
        <f t="shared" si="55"/>
        <v>9.6781782744753391E-3</v>
      </c>
      <c r="I58" s="104">
        <f t="shared" si="55"/>
        <v>3.2687954761345055E-2</v>
      </c>
      <c r="J58" s="104">
        <f t="shared" si="55"/>
        <v>1.0474370829204547E-2</v>
      </c>
      <c r="K58" s="104">
        <f t="shared" si="55"/>
        <v>5.8748645859980344E-3</v>
      </c>
      <c r="L58" s="104">
        <f t="shared" si="55"/>
        <v>1.0038324861370459E-2</v>
      </c>
      <c r="M58" s="104">
        <f t="shared" si="55"/>
        <v>1.0516247978206897E-2</v>
      </c>
      <c r="N58" s="104">
        <f t="shared" si="55"/>
        <v>1.2826938805183307E-2</v>
      </c>
      <c r="O58" s="104">
        <f t="shared" si="55"/>
        <v>1.2878207989458395E-2</v>
      </c>
      <c r="P58" s="104">
        <f t="shared" si="55"/>
        <v>1.1546307712672415E-2</v>
      </c>
      <c r="Q58" s="104">
        <f t="shared" si="55"/>
        <v>1.2619196378667428E-2</v>
      </c>
      <c r="R58" s="104">
        <f t="shared" si="55"/>
        <v>1.1290672242774835E-2</v>
      </c>
      <c r="S58" s="104">
        <f t="shared" si="55"/>
        <v>1.5737850677553431E-2</v>
      </c>
      <c r="T58" s="104">
        <f t="shared" si="55"/>
        <v>1.3098882231390684E-2</v>
      </c>
      <c r="U58" s="104">
        <f t="shared" si="55"/>
        <v>1.296606772720082E-2</v>
      </c>
      <c r="V58" s="104">
        <f t="shared" si="55"/>
        <v>5.8293445575806908E-2</v>
      </c>
      <c r="W58" s="104">
        <f t="shared" ref="W58:Y58" si="56">IF(W12=0,0,W12/W$3)</f>
        <v>5.2527435928309767E-2</v>
      </c>
      <c r="X58" s="104">
        <f t="shared" si="56"/>
        <v>3.684254821716329E-2</v>
      </c>
      <c r="Y58" s="104">
        <f t="shared" si="56"/>
        <v>2.7461021899152706E-2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6.3000818161447914E-3</v>
      </c>
      <c r="C59" s="105">
        <f t="shared" si="57"/>
        <v>6.1246211987630288E-3</v>
      </c>
      <c r="D59" s="105">
        <f t="shared" ref="D59:V59" si="58">IF(D13=0,0,D13/D$3)</f>
        <v>6.2537465626500664E-3</v>
      </c>
      <c r="E59" s="105">
        <f t="shared" si="58"/>
        <v>8.5691705802951532E-3</v>
      </c>
      <c r="F59" s="105">
        <f t="shared" si="58"/>
        <v>1.2451713922745312E-2</v>
      </c>
      <c r="G59" s="105">
        <f t="shared" si="58"/>
        <v>1.0553176255403413E-2</v>
      </c>
      <c r="H59" s="105">
        <f t="shared" si="58"/>
        <v>6.3039699481390755E-3</v>
      </c>
      <c r="I59" s="105">
        <f t="shared" si="58"/>
        <v>3.5021051307487856E-3</v>
      </c>
      <c r="J59" s="105">
        <f t="shared" si="58"/>
        <v>2.2623433120352358E-3</v>
      </c>
      <c r="K59" s="105">
        <f t="shared" si="58"/>
        <v>1.1869886220880078E-3</v>
      </c>
      <c r="L59" s="105">
        <f t="shared" si="58"/>
        <v>9.517618545000203E-4</v>
      </c>
      <c r="M59" s="105">
        <f t="shared" si="58"/>
        <v>1.0183544682747904E-3</v>
      </c>
      <c r="N59" s="105">
        <f t="shared" si="58"/>
        <v>9.6831330624257681E-4</v>
      </c>
      <c r="O59" s="105">
        <f t="shared" si="58"/>
        <v>9.2650969338222095E-4</v>
      </c>
      <c r="P59" s="105">
        <f t="shared" si="58"/>
        <v>8.0184721069221634E-4</v>
      </c>
      <c r="Q59" s="105">
        <f t="shared" si="58"/>
        <v>4.3824788290787567E-4</v>
      </c>
      <c r="R59" s="105">
        <f t="shared" si="58"/>
        <v>4.8627720628162787E-4</v>
      </c>
      <c r="S59" s="105">
        <f t="shared" si="58"/>
        <v>8.8318572611469071E-4</v>
      </c>
      <c r="T59" s="105">
        <f t="shared" si="58"/>
        <v>9.2372990870419531E-4</v>
      </c>
      <c r="U59" s="105">
        <f t="shared" si="58"/>
        <v>9.8638517024405951E-4</v>
      </c>
      <c r="V59" s="105">
        <f t="shared" si="58"/>
        <v>4.6828268438181614E-3</v>
      </c>
      <c r="W59" s="105">
        <f t="shared" ref="W59:Y59" si="59">IF(W13=0,0,W13/W$3)</f>
        <v>3.0434657407052263E-3</v>
      </c>
      <c r="X59" s="105">
        <f t="shared" si="59"/>
        <v>1.5435868112522995E-3</v>
      </c>
      <c r="Y59" s="105">
        <f t="shared" si="59"/>
        <v>1.1018018369284273E-3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1159999</v>
      </c>
      <c r="C4" s="11">
        <f t="shared" si="0"/>
        <v>1258238</v>
      </c>
      <c r="D4" s="11">
        <f t="shared" ref="D4" si="1">SUM(D5:D7)</f>
        <v>1357152</v>
      </c>
      <c r="E4" s="11">
        <f t="shared" ref="E4" si="2">SUM(E5:E7)</f>
        <v>1211806</v>
      </c>
      <c r="F4" s="11">
        <f t="shared" ref="F4" si="3">SUM(F5:F7)</f>
        <v>928304</v>
      </c>
      <c r="G4" s="11">
        <f t="shared" ref="G4" si="4">SUM(G5:G7)</f>
        <v>991534</v>
      </c>
      <c r="H4" s="11">
        <f t="shared" ref="H4" si="5">SUM(H5:H7)</f>
        <v>1094967</v>
      </c>
      <c r="I4" s="11">
        <f t="shared" ref="I4" si="6">SUM(I5:I7)</f>
        <v>1214429</v>
      </c>
      <c r="J4" s="11">
        <f t="shared" ref="J4" si="7">SUM(J5:J7)</f>
        <v>1330612</v>
      </c>
      <c r="K4" s="11">
        <f t="shared" ref="K4" si="8">SUM(K5:K7)</f>
        <v>1159728</v>
      </c>
      <c r="L4" s="11">
        <f t="shared" ref="L4" si="9">SUM(L5:L7)</f>
        <v>1057721</v>
      </c>
      <c r="M4" s="11">
        <f t="shared" ref="M4" si="10">SUM(M5:M7)</f>
        <v>1063407</v>
      </c>
      <c r="N4" s="11">
        <f t="shared" ref="N4" si="11">SUM(N5:N7)</f>
        <v>862367</v>
      </c>
      <c r="O4" s="11">
        <f t="shared" ref="O4" si="12">SUM(O5:O7)</f>
        <v>877751</v>
      </c>
      <c r="P4" s="11">
        <f t="shared" ref="P4" si="13">SUM(P5:P7)</f>
        <v>922735</v>
      </c>
      <c r="Q4" s="11">
        <f t="shared" ref="Q4" si="14">SUM(Q5:Q7)</f>
        <v>1044437</v>
      </c>
      <c r="R4" s="11">
        <f t="shared" ref="R4" si="15">SUM(R5:R7)</f>
        <v>1025330</v>
      </c>
      <c r="S4" s="11">
        <f t="shared" ref="S4" si="16">SUM(S5:S7)</f>
        <v>1184454</v>
      </c>
      <c r="T4" s="11">
        <f t="shared" ref="T4" si="17">SUM(T5:T7)</f>
        <v>1312224</v>
      </c>
      <c r="U4" s="11">
        <f t="shared" ref="U4" si="18">SUM(U5:U7)</f>
        <v>1186147</v>
      </c>
      <c r="V4" s="11">
        <f t="shared" ref="V4:W4" si="19">SUM(V5:V7)</f>
        <v>229913</v>
      </c>
      <c r="W4" s="11">
        <f t="shared" si="19"/>
        <v>324764</v>
      </c>
      <c r="X4" s="11">
        <f t="shared" ref="X4:Y4" si="20">SUM(X5:X7)</f>
        <v>659921</v>
      </c>
      <c r="Y4" s="11">
        <f t="shared" si="20"/>
        <v>841450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776629</v>
      </c>
      <c r="C6" s="84">
        <v>844186</v>
      </c>
      <c r="D6" s="84">
        <v>913040</v>
      </c>
      <c r="E6" s="84">
        <v>816798</v>
      </c>
      <c r="F6" s="84">
        <v>627027</v>
      </c>
      <c r="G6" s="84">
        <v>717601</v>
      </c>
      <c r="H6" s="84">
        <v>779732</v>
      </c>
      <c r="I6" s="84">
        <v>830817</v>
      </c>
      <c r="J6" s="84">
        <v>905172</v>
      </c>
      <c r="K6" s="84">
        <v>728665</v>
      </c>
      <c r="L6" s="84">
        <v>641740</v>
      </c>
      <c r="M6" s="84">
        <v>678600</v>
      </c>
      <c r="N6" s="84">
        <v>537842</v>
      </c>
      <c r="O6" s="84">
        <v>544733</v>
      </c>
      <c r="P6" s="84">
        <v>577639</v>
      </c>
      <c r="Q6" s="84">
        <v>666443</v>
      </c>
      <c r="R6" s="84">
        <v>674856</v>
      </c>
      <c r="S6" s="84">
        <v>760669</v>
      </c>
      <c r="T6" s="84">
        <v>866976</v>
      </c>
      <c r="U6" s="84">
        <v>732736</v>
      </c>
      <c r="V6" s="84">
        <v>149150</v>
      </c>
      <c r="W6" s="84">
        <v>213745</v>
      </c>
      <c r="X6" s="84">
        <v>416285</v>
      </c>
      <c r="Y6" s="84">
        <v>503628</v>
      </c>
      <c r="DA6" s="171" t="s">
        <v>364</v>
      </c>
    </row>
    <row r="7" spans="1:105" ht="11.45" customHeight="1" x14ac:dyDescent="0.25">
      <c r="A7" s="85" t="s">
        <v>182</v>
      </c>
      <c r="B7" s="86">
        <v>383370</v>
      </c>
      <c r="C7" s="86">
        <v>414052</v>
      </c>
      <c r="D7" s="86">
        <v>444112</v>
      </c>
      <c r="E7" s="86">
        <v>395008</v>
      </c>
      <c r="F7" s="86">
        <v>301277</v>
      </c>
      <c r="G7" s="86">
        <v>273933</v>
      </c>
      <c r="H7" s="86">
        <v>315235</v>
      </c>
      <c r="I7" s="86">
        <v>383612</v>
      </c>
      <c r="J7" s="86">
        <v>425440</v>
      </c>
      <c r="K7" s="86">
        <v>431063</v>
      </c>
      <c r="L7" s="86">
        <v>415981</v>
      </c>
      <c r="M7" s="86">
        <v>384807</v>
      </c>
      <c r="N7" s="86">
        <v>324525</v>
      </c>
      <c r="O7" s="86">
        <v>333018</v>
      </c>
      <c r="P7" s="86">
        <v>345096</v>
      </c>
      <c r="Q7" s="86">
        <v>377994</v>
      </c>
      <c r="R7" s="86">
        <v>350474</v>
      </c>
      <c r="S7" s="86">
        <v>423785</v>
      </c>
      <c r="T7" s="86">
        <v>445248</v>
      </c>
      <c r="U7" s="86">
        <v>453411</v>
      </c>
      <c r="V7" s="86">
        <v>80763</v>
      </c>
      <c r="W7" s="86">
        <v>111019</v>
      </c>
      <c r="X7" s="86">
        <v>243636</v>
      </c>
      <c r="Y7" s="86">
        <v>337822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80.954637448530946</v>
      </c>
      <c r="C12" s="14">
        <f>IF(C4=0,0,C4/TrAvia_act!C24)</f>
        <v>80.978118161925607</v>
      </c>
      <c r="D12" s="14">
        <f>IF(D4=0,0,D4/TrAvia_act!D24)</f>
        <v>81.024000000000001</v>
      </c>
      <c r="E12" s="14">
        <f>IF(E4=0,0,E4/TrAvia_act!E24)</f>
        <v>80.948964595858385</v>
      </c>
      <c r="F12" s="14">
        <f>IF(F4=0,0,F4/TrAvia_act!F24)</f>
        <v>81.508824304153137</v>
      </c>
      <c r="G12" s="14">
        <f>IF(G4=0,0,G4/TrAvia_act!G24)</f>
        <v>77.20423577045861</v>
      </c>
      <c r="H12" s="14">
        <f>IF(H4=0,0,H4/TrAvia_act!H24)</f>
        <v>82.713929596615799</v>
      </c>
      <c r="I12" s="14">
        <f>IF(I4=0,0,I4/TrAvia_act!I24)</f>
        <v>83.168675523900831</v>
      </c>
      <c r="J12" s="14">
        <f>IF(J4=0,0,J4/TrAvia_act!J24)</f>
        <v>81.984719654959946</v>
      </c>
      <c r="K12" s="14">
        <f>IF(K4=0,0,K4/TrAvia_act!K24)</f>
        <v>77.708925221120339</v>
      </c>
      <c r="L12" s="14">
        <f>IF(L4=0,0,L4/TrAvia_act!L24)</f>
        <v>80.009152798789714</v>
      </c>
      <c r="M12" s="14">
        <f>IF(M4=0,0,M4/TrAvia_act!M24)</f>
        <v>84.103685542549826</v>
      </c>
      <c r="N12" s="14">
        <f>IF(N4=0,0,N4/TrAvia_act!N24)</f>
        <v>77.760775473399462</v>
      </c>
      <c r="O12" s="14">
        <f>IF(O4=0,0,O4/TrAvia_act!O24)</f>
        <v>83.539640239840111</v>
      </c>
      <c r="P12" s="14">
        <f>IF(P4=0,0,P4/TrAvia_act!P24)</f>
        <v>91.622976864263734</v>
      </c>
      <c r="Q12" s="14">
        <f>IF(Q4=0,0,Q4/TrAvia_act!Q24)</f>
        <v>98.578291647003297</v>
      </c>
      <c r="R12" s="14">
        <f>IF(R4=0,0,R4/TrAvia_act!R24)</f>
        <v>98.35299760191846</v>
      </c>
      <c r="S12" s="14">
        <f>IF(S4=0,0,S4/TrAvia_act!S24)</f>
        <v>100.16524312896406</v>
      </c>
      <c r="T12" s="14">
        <f>IF(T4=0,0,T4/TrAvia_act!T24)</f>
        <v>106.8586319218241</v>
      </c>
      <c r="U12" s="14">
        <f>IF(U4=0,0,U4/TrAvia_act!U24)</f>
        <v>113.34419493549929</v>
      </c>
      <c r="V12" s="14">
        <f>IF(V4=0,0,V4/TrAvia_act!V24)</f>
        <v>116.47061803444782</v>
      </c>
      <c r="W12" s="14">
        <f>IF(W4=0,0,W4/TrAvia_act!W24)</f>
        <v>124.19273422562142</v>
      </c>
      <c r="X12" s="14">
        <f>IF(X4=0,0,X4/TrAvia_act!X24)</f>
        <v>130.41916996047431</v>
      </c>
      <c r="Y12" s="14">
        <f>IF(Y4=0,0,Y4/TrAvia_act!Y24)</f>
        <v>132.17876217404964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73.908355538637224</v>
      </c>
      <c r="C14" s="87">
        <f>IF(C6=0,0,C6/TrAvia_act!C26)</f>
        <v>74.09039845532736</v>
      </c>
      <c r="D14" s="87">
        <f>IF(D6=0,0,D6/TrAvia_act!D26)</f>
        <v>74.333631848896843</v>
      </c>
      <c r="E14" s="87">
        <f>IF(E6=0,0,E6/TrAvia_act!E26)</f>
        <v>74.403169976316264</v>
      </c>
      <c r="F14" s="87">
        <f>IF(F6=0,0,F6/TrAvia_act!F26)</f>
        <v>75.075071839080465</v>
      </c>
      <c r="G14" s="87">
        <f>IF(G6=0,0,G6/TrAvia_act!G26)</f>
        <v>74.162980570483668</v>
      </c>
      <c r="H14" s="87">
        <f>IF(H6=0,0,H6/TrAvia_act!H26)</f>
        <v>77.585273631840792</v>
      </c>
      <c r="I14" s="87">
        <f>IF(I6=0,0,I6/TrAvia_act!I26)</f>
        <v>76.340806762841126</v>
      </c>
      <c r="J14" s="87">
        <f>IF(J6=0,0,J6/TrAvia_act!J26)</f>
        <v>75.645328430553235</v>
      </c>
      <c r="K14" s="87">
        <f>IF(K6=0,0,K6/TrAvia_act!K26)</f>
        <v>69.542374498950181</v>
      </c>
      <c r="L14" s="87">
        <f>IF(L6=0,0,L6/TrAvia_act!L26)</f>
        <v>73.232911103503369</v>
      </c>
      <c r="M14" s="87">
        <f>IF(M6=0,0,M6/TrAvia_act!M26)</f>
        <v>79.072477278023769</v>
      </c>
      <c r="N14" s="87">
        <f>IF(N6=0,0,N6/TrAvia_act!N26)</f>
        <v>72.280876226313666</v>
      </c>
      <c r="O14" s="87">
        <f>IF(O6=0,0,O6/TrAvia_act!O26)</f>
        <v>80.296727594339629</v>
      </c>
      <c r="P14" s="87">
        <f>IF(P6=0,0,P6/TrAvia_act!P26)</f>
        <v>91.485429204941397</v>
      </c>
      <c r="Q14" s="87">
        <f>IF(Q6=0,0,Q6/TrAvia_act!Q26)</f>
        <v>98.9375</v>
      </c>
      <c r="R14" s="87">
        <f>IF(R6=0,0,R6/TrAvia_act!R26)</f>
        <v>97.805217391304353</v>
      </c>
      <c r="S14" s="87">
        <f>IF(S6=0,0,S6/TrAvia_act!S26)</f>
        <v>100.03537611783273</v>
      </c>
      <c r="T14" s="87">
        <f>IF(T6=0,0,T6/TrAvia_act!T26)</f>
        <v>105.08799999999999</v>
      </c>
      <c r="U14" s="87">
        <f>IF(U6=0,0,U6/TrAvia_act!U26)</f>
        <v>109.62537402752842</v>
      </c>
      <c r="V14" s="87">
        <f>IF(V6=0,0,V6/TrAvia_act!V26)</f>
        <v>115.17374517374517</v>
      </c>
      <c r="W14" s="87">
        <f>IF(W6=0,0,W6/TrAvia_act!W26)</f>
        <v>122.48997134670488</v>
      </c>
      <c r="X14" s="87">
        <f>IF(X6=0,0,X6/TrAvia_act!X26)</f>
        <v>127.77317372621241</v>
      </c>
      <c r="Y14" s="87">
        <f>IF(Y6=0,0,Y6/TrAvia_act!Y26)</f>
        <v>125.78121878121878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100.33237372415599</v>
      </c>
      <c r="C15" s="88">
        <f>IF(C7=0,0,C7/TrAvia_act!C27)</f>
        <v>99.916023166023166</v>
      </c>
      <c r="D15" s="88">
        <f>IF(D7=0,0,D7/TrAvia_act!D27)</f>
        <v>99.420640250727558</v>
      </c>
      <c r="E15" s="88">
        <f>IF(E7=0,0,E7/TrAvia_act!E27)</f>
        <v>98.949899799599194</v>
      </c>
      <c r="F15" s="88">
        <f>IF(F7=0,0,F7/TrAvia_act!F27)</f>
        <v>99.202173197234117</v>
      </c>
      <c r="G15" s="88">
        <f>IF(G7=0,0,G7/TrAvia_act!G27)</f>
        <v>86.496053047047681</v>
      </c>
      <c r="H15" s="88">
        <f>IF(H7=0,0,H7/TrAvia_act!H27)</f>
        <v>98.881744040150565</v>
      </c>
      <c r="I15" s="88">
        <f>IF(I7=0,0,I7/TrAvia_act!I27)</f>
        <v>103.1492336649637</v>
      </c>
      <c r="J15" s="88">
        <f>IF(J7=0,0,J7/TrAvia_act!J27)</f>
        <v>99.774859287054412</v>
      </c>
      <c r="K15" s="88">
        <f>IF(K7=0,0,K7/TrAvia_act!K27)</f>
        <v>96.955240665766979</v>
      </c>
      <c r="L15" s="88">
        <f>IF(L7=0,0,L7/TrAvia_act!L27)</f>
        <v>93.332061925061694</v>
      </c>
      <c r="M15" s="88">
        <f>IF(M7=0,0,M7/TrAvia_act!M27)</f>
        <v>94.733382570162476</v>
      </c>
      <c r="N15" s="88">
        <f>IF(N7=0,0,N7/TrAvia_act!N27)</f>
        <v>88.935324746505898</v>
      </c>
      <c r="O15" s="88">
        <f>IF(O7=0,0,O7/TrAvia_act!O27)</f>
        <v>89.448831587429495</v>
      </c>
      <c r="P15" s="88">
        <f>IF(P7=0,0,P7/TrAvia_act!P27)</f>
        <v>91.854138940644134</v>
      </c>
      <c r="Q15" s="88">
        <f>IF(Q7=0,0,Q7/TrAvia_act!Q27)</f>
        <v>97.951282715729462</v>
      </c>
      <c r="R15" s="88">
        <f>IF(R7=0,0,R7/TrAvia_act!R27)</f>
        <v>99.425248226950359</v>
      </c>
      <c r="S15" s="88">
        <f>IF(S7=0,0,S7/TrAvia_act!S27)</f>
        <v>100.39919450367212</v>
      </c>
      <c r="T15" s="88">
        <f>IF(T7=0,0,T7/TrAvia_act!T27)</f>
        <v>110.48337468982631</v>
      </c>
      <c r="U15" s="88">
        <f>IF(U7=0,0,U7/TrAvia_act!U27)</f>
        <v>119.91827558846866</v>
      </c>
      <c r="V15" s="88">
        <f>IF(V7=0,0,V7/TrAvia_act!V27)</f>
        <v>118.94403534609719</v>
      </c>
      <c r="W15" s="88">
        <f>IF(W7=0,0,W7/TrAvia_act!W27)</f>
        <v>127.6080459770115</v>
      </c>
      <c r="X15" s="88">
        <f>IF(X7=0,0,X7/TrAvia_act!X27)</f>
        <v>135.20310765815759</v>
      </c>
      <c r="Y15" s="88">
        <f>IF(Y7=0,0,Y7/TrAvia_act!Y27)</f>
        <v>143.02370872142254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0.54870133508735786</v>
      </c>
      <c r="C18" s="25">
        <f>IF(TrAvia_act!C34=0,0,(TrAvia_act!C34/TrAvia_act!C24)/TrAvia_png!C12)</f>
        <v>0.55228661032332516</v>
      </c>
      <c r="D18" s="25">
        <f>IF(TrAvia_act!D34=0,0,(TrAvia_act!D34/TrAvia_act!D24)/TrAvia_png!D12)</f>
        <v>0.55654561906109268</v>
      </c>
      <c r="E18" s="25">
        <f>IF(TrAvia_act!E34=0,0,(TrAvia_act!E34/TrAvia_act!E24)/TrAvia_png!E12)</f>
        <v>0.56070856226161614</v>
      </c>
      <c r="F18" s="25">
        <f>IF(TrAvia_act!F34=0,0,(TrAvia_act!F34/TrAvia_act!F24)/TrAvia_png!F12)</f>
        <v>0.56376036298453958</v>
      </c>
      <c r="G18" s="25">
        <f>IF(TrAvia_act!G34=0,0,(TrAvia_act!G34/TrAvia_act!G24)/TrAvia_png!G12)</f>
        <v>0.61310050890841872</v>
      </c>
      <c r="H18" s="25">
        <f>IF(TrAvia_act!H34=0,0,(TrAvia_act!H34/TrAvia_act!H24)/TrAvia_png!H12)</f>
        <v>0.60714249835839806</v>
      </c>
      <c r="I18" s="25">
        <f>IF(TrAvia_act!I34=0,0,(TrAvia_act!I34/TrAvia_act!I24)/TrAvia_png!I12)</f>
        <v>0.61946149177926424</v>
      </c>
      <c r="J18" s="25">
        <f>IF(TrAvia_act!J34=0,0,(TrAvia_act!J34/TrAvia_act!J24)/TrAvia_png!J12)</f>
        <v>0.61815615671585711</v>
      </c>
      <c r="K18" s="25">
        <f>IF(TrAvia_act!K34=0,0,(TrAvia_act!K34/TrAvia_act!K24)/TrAvia_png!K12)</f>
        <v>0.60866685981540503</v>
      </c>
      <c r="L18" s="25">
        <f>IF(TrAvia_act!L34=0,0,(TrAvia_act!L34/TrAvia_act!L24)/TrAvia_png!L12)</f>
        <v>0.65149694484651433</v>
      </c>
      <c r="M18" s="25">
        <f>IF(TrAvia_act!M34=0,0,(TrAvia_act!M34/TrAvia_act!M24)/TrAvia_png!M12)</f>
        <v>0.63811692042651591</v>
      </c>
      <c r="N18" s="25">
        <f>IF(TrAvia_act!N34=0,0,(TrAvia_act!N34/TrAvia_act!N24)/TrAvia_png!N12)</f>
        <v>0.67562418320738149</v>
      </c>
      <c r="O18" s="25">
        <f>IF(TrAvia_act!O34=0,0,(TrAvia_act!O34/TrAvia_act!O24)/TrAvia_png!O12)</f>
        <v>0.71929282905972192</v>
      </c>
      <c r="P18" s="25">
        <f>IF(TrAvia_act!P34=0,0,(TrAvia_act!P34/TrAvia_act!P24)/TrAvia_png!P12)</f>
        <v>0.70932824700482799</v>
      </c>
      <c r="Q18" s="25">
        <f>IF(TrAvia_act!Q34=0,0,(TrAvia_act!Q34/TrAvia_act!Q24)/TrAvia_png!Q12)</f>
        <v>0.68894533609973607</v>
      </c>
      <c r="R18" s="25">
        <f>IF(TrAvia_act!R34=0,0,(TrAvia_act!R34/TrAvia_act!R24)/TrAvia_png!R12)</f>
        <v>0.68651263495655057</v>
      </c>
      <c r="S18" s="25">
        <f>IF(TrAvia_act!S34=0,0,(TrAvia_act!S34/TrAvia_act!S24)/TrAvia_png!S12)</f>
        <v>0.71092418954218561</v>
      </c>
      <c r="T18" s="25">
        <f>IF(TrAvia_act!T34=0,0,(TrAvia_act!T34/TrAvia_act!T24)/TrAvia_png!T12)</f>
        <v>0.69046214670665984</v>
      </c>
      <c r="U18" s="25">
        <f>IF(TrAvia_act!U34=0,0,(TrAvia_act!U34/TrAvia_act!U24)/TrAvia_png!U12)</f>
        <v>0.72340780695815943</v>
      </c>
      <c r="V18" s="25">
        <f>IF(TrAvia_act!V34=0,0,(TrAvia_act!V34/TrAvia_act!V24)/TrAvia_png!V12)</f>
        <v>0.62772874957048974</v>
      </c>
      <c r="W18" s="25">
        <f>IF(TrAvia_act!W34=0,0,(TrAvia_act!W34/TrAvia_act!W24)/TrAvia_png!W12)</f>
        <v>0.63568314222019684</v>
      </c>
      <c r="X18" s="25">
        <f>IF(TrAvia_act!X34=0,0,(TrAvia_act!X34/TrAvia_act!X24)/TrAvia_png!X12)</f>
        <v>0.73428031537108229</v>
      </c>
      <c r="Y18" s="25">
        <f>IF(TrAvia_act!Y34=0,0,(TrAvia_act!Y34/TrAvia_act!Y24)/TrAvia_png!Y12)</f>
        <v>0.75030839622080925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0.50989339826352098</v>
      </c>
      <c r="C20" s="89">
        <f>IF(TrAvia_act!C36=0,0,(TrAvia_act!C36/TrAvia_act!C26)/TrAvia_png!C14)</f>
        <v>0.51483796225002554</v>
      </c>
      <c r="D20" s="89">
        <f>IF(TrAvia_act!D36=0,0,(TrAvia_act!D36/TrAvia_act!D26)/TrAvia_png!D14)</f>
        <v>0.52088955576973628</v>
      </c>
      <c r="E20" s="89">
        <f>IF(TrAvia_act!E36=0,0,(TrAvia_act!E36/TrAvia_act!E26)/TrAvia_png!E14)</f>
        <v>0.52652430588713495</v>
      </c>
      <c r="F20" s="89">
        <f>IF(TrAvia_act!F36=0,0,(TrAvia_act!F36/TrAvia_act!F26)/TrAvia_png!F14)</f>
        <v>0.53189097120219697</v>
      </c>
      <c r="G20" s="89">
        <f>IF(TrAvia_act!G36=0,0,(TrAvia_act!G36/TrAvia_act!G26)/TrAvia_png!G14)</f>
        <v>0.58319177370154163</v>
      </c>
      <c r="H20" s="89">
        <f>IF(TrAvia_act!H36=0,0,(TrAvia_act!H36/TrAvia_act!H26)/TrAvia_png!H14)</f>
        <v>0.59225733970133332</v>
      </c>
      <c r="I20" s="89">
        <f>IF(TrAvia_act!I36=0,0,(TrAvia_act!I36/TrAvia_act!I26)/TrAvia_png!I14)</f>
        <v>0.60791967424836035</v>
      </c>
      <c r="J20" s="89">
        <f>IF(TrAvia_act!J36=0,0,(TrAvia_act!J36/TrAvia_act!J26)/TrAvia_png!J14)</f>
        <v>0.60290198989805255</v>
      </c>
      <c r="K20" s="89">
        <f>IF(TrAvia_act!K36=0,0,(TrAvia_act!K36/TrAvia_act!K26)/TrAvia_png!K14)</f>
        <v>0.60856360604667437</v>
      </c>
      <c r="L20" s="89">
        <f>IF(TrAvia_act!L36=0,0,(TrAvia_act!L36/TrAvia_act!L26)/TrAvia_png!L14)</f>
        <v>0.65786455573908442</v>
      </c>
      <c r="M20" s="89">
        <f>IF(TrAvia_act!M36=0,0,(TrAvia_act!M36/TrAvia_act!M26)/TrAvia_png!M14)</f>
        <v>0.6494414972001179</v>
      </c>
      <c r="N20" s="89">
        <f>IF(TrAvia_act!N36=0,0,(TrAvia_act!N36/TrAvia_act!N26)/TrAvia_png!N14)</f>
        <v>0.67581185552634415</v>
      </c>
      <c r="O20" s="89">
        <f>IF(TrAvia_act!O36=0,0,(TrAvia_act!O36/TrAvia_act!O26)/TrAvia_png!O14)</f>
        <v>0.72943992745069597</v>
      </c>
      <c r="P20" s="89">
        <f>IF(TrAvia_act!P36=0,0,(TrAvia_act!P36/TrAvia_act!P26)/TrAvia_png!P14)</f>
        <v>0.71974883967322156</v>
      </c>
      <c r="Q20" s="89">
        <f>IF(TrAvia_act!Q36=0,0,(TrAvia_act!Q36/TrAvia_act!Q26)/TrAvia_png!Q14)</f>
        <v>0.70525461292263558</v>
      </c>
      <c r="R20" s="89">
        <f>IF(TrAvia_act!R36=0,0,(TrAvia_act!R36/TrAvia_act!R26)/TrAvia_png!R14)</f>
        <v>0.70904311438292011</v>
      </c>
      <c r="S20" s="89">
        <f>IF(TrAvia_act!S36=0,0,(TrAvia_act!S36/TrAvia_act!S26)/TrAvia_png!S14)</f>
        <v>0.73225147863262463</v>
      </c>
      <c r="T20" s="89">
        <f>IF(TrAvia_act!T36=0,0,(TrAvia_act!T36/TrAvia_act!T26)/TrAvia_png!T14)</f>
        <v>0.70409215480013287</v>
      </c>
      <c r="U20" s="89">
        <f>IF(TrAvia_act!U36=0,0,(TrAvia_act!U36/TrAvia_act!U26)/TrAvia_png!U14)</f>
        <v>0.75336137435583894</v>
      </c>
      <c r="V20" s="89">
        <f>IF(TrAvia_act!V36=0,0,(TrAvia_act!V36/TrAvia_act!V26)/TrAvia_png!V14)</f>
        <v>0.6762185719074757</v>
      </c>
      <c r="W20" s="89">
        <f>IF(TrAvia_act!W36=0,0,(TrAvia_act!W36/TrAvia_act!W26)/TrAvia_png!W14)</f>
        <v>0.66601324007579121</v>
      </c>
      <c r="X20" s="89">
        <f>IF(TrAvia_act!X36=0,0,(TrAvia_act!X36/TrAvia_act!X26)/TrAvia_png!X14)</f>
        <v>0.76051262956868482</v>
      </c>
      <c r="Y20" s="89">
        <f>IF(TrAvia_act!Y36=0,0,(TrAvia_act!Y36/TrAvia_act!Y26)/TrAvia_png!Y14)</f>
        <v>0.78957683051776317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0.62731825651459416</v>
      </c>
      <c r="C21" s="90">
        <f>IF(TrAvia_act!C37=0,0,(TrAvia_act!C37/TrAvia_act!C27)/TrAvia_png!C15)</f>
        <v>0.62863843188778223</v>
      </c>
      <c r="D21" s="90">
        <f>IF(TrAvia_act!D37=0,0,(TrAvia_act!D37/TrAvia_act!D27)/TrAvia_png!D15)</f>
        <v>0.62985012789566597</v>
      </c>
      <c r="E21" s="90">
        <f>IF(TrAvia_act!E37=0,0,(TrAvia_act!E37/TrAvia_act!E27)/TrAvia_png!E15)</f>
        <v>0.63139480719377838</v>
      </c>
      <c r="F21" s="90">
        <f>IF(TrAvia_act!F37=0,0,(TrAvia_act!F37/TrAvia_act!F27)/TrAvia_png!F15)</f>
        <v>0.63008792572947814</v>
      </c>
      <c r="G21" s="90">
        <f>IF(TrAvia_act!G37=0,0,(TrAvia_act!G37/TrAvia_act!G27)/TrAvia_png!G15)</f>
        <v>0.69145009911182664</v>
      </c>
      <c r="H21" s="90">
        <f>IF(TrAvia_act!H37=0,0,(TrAvia_act!H37/TrAvia_act!H27)/TrAvia_png!H15)</f>
        <v>0.64396085460053609</v>
      </c>
      <c r="I21" s="90">
        <f>IF(TrAvia_act!I37=0,0,(TrAvia_act!I37/TrAvia_act!I27)/TrAvia_png!I15)</f>
        <v>0.64445846323889755</v>
      </c>
      <c r="J21" s="90">
        <f>IF(TrAvia_act!J37=0,0,(TrAvia_act!J37/TrAvia_act!J27)/TrAvia_png!J15)</f>
        <v>0.65061113200451304</v>
      </c>
      <c r="K21" s="90">
        <f>IF(TrAvia_act!K37=0,0,(TrAvia_act!K37/TrAvia_act!K27)/TrAvia_png!K15)</f>
        <v>0.60884139905303869</v>
      </c>
      <c r="L21" s="90">
        <f>IF(TrAvia_act!L37=0,0,(TrAvia_act!L37/TrAvia_act!L27)/TrAvia_png!L15)</f>
        <v>0.64167353797409021</v>
      </c>
      <c r="M21" s="90">
        <f>IF(TrAvia_act!M37=0,0,(TrAvia_act!M37/TrAvia_act!M27)/TrAvia_png!M15)</f>
        <v>0.61814623954345949</v>
      </c>
      <c r="N21" s="90">
        <f>IF(TrAvia_act!N37=0,0,(TrAvia_act!N37/TrAvia_act!N27)/TrAvia_png!N15)</f>
        <v>0.67531314998844461</v>
      </c>
      <c r="O21" s="90">
        <f>IF(TrAvia_act!O37=0,0,(TrAvia_act!O37/TrAvia_act!O27)/TrAvia_png!O15)</f>
        <v>0.7026947492327742</v>
      </c>
      <c r="P21" s="90">
        <f>IF(TrAvia_act!P37=0,0,(TrAvia_act!P37/TrAvia_act!P27)/TrAvia_png!P15)</f>
        <v>0.69188573614298621</v>
      </c>
      <c r="Q21" s="90">
        <f>IF(TrAvia_act!Q37=0,0,(TrAvia_act!Q37/TrAvia_act!Q27)/TrAvia_png!Q15)</f>
        <v>0.66019037339217024</v>
      </c>
      <c r="R21" s="90">
        <f>IF(TrAvia_act!R37=0,0,(TrAvia_act!R37/TrAvia_act!R27)/TrAvia_png!R15)</f>
        <v>0.64312901955637225</v>
      </c>
      <c r="S21" s="90">
        <f>IF(TrAvia_act!S37=0,0,(TrAvia_act!S37/TrAvia_act!S27)/TrAvia_png!S15)</f>
        <v>0.67264296754250374</v>
      </c>
      <c r="T21" s="90">
        <f>IF(TrAvia_act!T37=0,0,(TrAvia_act!T37/TrAvia_act!T27)/TrAvia_png!T15)</f>
        <v>0.66392212879114565</v>
      </c>
      <c r="U21" s="90">
        <f>IF(TrAvia_act!U37=0,0,(TrAvia_act!U37/TrAvia_act!U27)/TrAvia_png!U15)</f>
        <v>0.67500126816508643</v>
      </c>
      <c r="V21" s="90">
        <f>IF(TrAvia_act!V37=0,0,(TrAvia_act!V37/TrAvia_act!V27)/TrAvia_png!V15)</f>
        <v>0.53817961195101716</v>
      </c>
      <c r="W21" s="90">
        <f>IF(TrAvia_act!W37=0,0,(TrAvia_act!W37/TrAvia_act!W27)/TrAvia_png!W15)</f>
        <v>0.57728857222637564</v>
      </c>
      <c r="X21" s="90">
        <f>IF(TrAvia_act!X37=0,0,(TrAvia_act!X37/TrAvia_act!X27)/TrAvia_png!X15)</f>
        <v>0.68945886486397745</v>
      </c>
      <c r="Y21" s="90">
        <f>IF(TrAvia_act!Y37=0,0,(TrAvia_act!Y37/TrAvia_act!Y27)/TrAvia_png!Y15)</f>
        <v>0.6917666700214905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2.568246195335596E-2</v>
      </c>
      <c r="C24" s="23">
        <f>IF(TrAvia_ene!C6=0,0,TrAvia_ene!C6/(C12*TrAvia_act!C14))</f>
        <v>2.5687793751886338E-2</v>
      </c>
      <c r="D24" s="23">
        <f>IF(TrAvia_ene!D6=0,0,TrAvia_ene!D6/(D12*TrAvia_act!D14))</f>
        <v>2.5664750241129172E-2</v>
      </c>
      <c r="E24" s="23">
        <f>IF(TrAvia_ene!E6=0,0,TrAvia_ene!E6/(E12*TrAvia_act!E14))</f>
        <v>2.5608331317346984E-2</v>
      </c>
      <c r="F24" s="23">
        <f>IF(TrAvia_ene!F6=0,0,TrAvia_ene!F6/(F12*TrAvia_act!F14))</f>
        <v>2.5277454577765698E-2</v>
      </c>
      <c r="G24" s="23">
        <f>IF(TrAvia_ene!G6=0,0,TrAvia_ene!G6/(G12*TrAvia_act!G14))</f>
        <v>2.6409832376700006E-2</v>
      </c>
      <c r="H24" s="23">
        <f>IF(TrAvia_ene!H6=0,0,TrAvia_ene!H6/(H12*TrAvia_act!H14))</f>
        <v>2.6294622754377193E-2</v>
      </c>
      <c r="I24" s="23">
        <f>IF(TrAvia_ene!I6=0,0,TrAvia_ene!I6/(I12*TrAvia_act!I14))</f>
        <v>2.8208542409734191E-2</v>
      </c>
      <c r="J24" s="23">
        <f>IF(TrAvia_ene!J6=0,0,TrAvia_ene!J6/(J12*TrAvia_act!J14))</f>
        <v>2.9203422914663067E-2</v>
      </c>
      <c r="K24" s="23">
        <f>IF(TrAvia_ene!K6=0,0,TrAvia_ene!K6/(K12*TrAvia_act!K14))</f>
        <v>2.6205097171802048E-2</v>
      </c>
      <c r="L24" s="23">
        <f>IF(TrAvia_ene!L6=0,0,TrAvia_ene!L6/(L12*TrAvia_act!L14))</f>
        <v>2.8435891357635811E-2</v>
      </c>
      <c r="M24" s="23">
        <f>IF(TrAvia_ene!M6=0,0,TrAvia_ene!M6/(M12*TrAvia_act!M14))</f>
        <v>2.4470276931208897E-2</v>
      </c>
      <c r="N24" s="23">
        <f>IF(TrAvia_ene!N6=0,0,TrAvia_ene!N6/(N12*TrAvia_act!N14))</f>
        <v>2.9353688655002524E-2</v>
      </c>
      <c r="O24" s="23">
        <f>IF(TrAvia_ene!O6=0,0,TrAvia_ene!O6/(O12*TrAvia_act!O14))</f>
        <v>2.9930473914693782E-2</v>
      </c>
      <c r="P24" s="23">
        <f>IF(TrAvia_ene!P6=0,0,TrAvia_ene!P6/(P12*TrAvia_act!P14))</f>
        <v>2.9478420403560256E-2</v>
      </c>
      <c r="Q24" s="23">
        <f>IF(TrAvia_ene!Q6=0,0,TrAvia_ene!Q6/(Q12*TrAvia_act!Q14))</f>
        <v>2.6735277370040979E-2</v>
      </c>
      <c r="R24" s="23">
        <f>IF(TrAvia_ene!R6=0,0,TrAvia_ene!R6/(R12*TrAvia_act!R14))</f>
        <v>2.4450724195973494E-2</v>
      </c>
      <c r="S24" s="23">
        <f>IF(TrAvia_ene!S6=0,0,TrAvia_ene!S6/(S12*TrAvia_act!S14))</f>
        <v>2.5018696335530045E-2</v>
      </c>
      <c r="T24" s="23">
        <f>IF(TrAvia_ene!T6=0,0,TrAvia_ene!T6/(T12*TrAvia_act!T14))</f>
        <v>2.9785554679587441E-2</v>
      </c>
      <c r="U24" s="23">
        <f>IF(TrAvia_ene!U6=0,0,TrAvia_ene!U6/(U12*TrAvia_act!U14))</f>
        <v>2.4646978289584665E-2</v>
      </c>
      <c r="V24" s="23">
        <f>IF(TrAvia_ene!V6=0,0,TrAvia_ene!V6/(V12*TrAvia_act!V14))</f>
        <v>4.1505857574364202E-2</v>
      </c>
      <c r="W24" s="23">
        <f>IF(TrAvia_ene!W6=0,0,TrAvia_ene!W6/(W12*TrAvia_act!W14))</f>
        <v>2.8529714612456587E-2</v>
      </c>
      <c r="X24" s="23">
        <f>IF(TrAvia_ene!X6=0,0,TrAvia_ene!X6/(X12*TrAvia_act!X14))</f>
        <v>2.9558022915861269E-2</v>
      </c>
      <c r="Y24" s="23">
        <f>IF(TrAvia_ene!Y6=0,0,TrAvia_ene!Y6/(Y12*TrAvia_act!Y14))</f>
        <v>2.132233791807768E-2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2.7260835926312916E-2</v>
      </c>
      <c r="C26" s="93">
        <f>IF(TrAvia_ene!C8=0,0,TrAvia_ene!C8/(C14*TrAvia_act!C16))</f>
        <v>2.720708026879793E-2</v>
      </c>
      <c r="D26" s="93">
        <f>IF(TrAvia_ene!D8=0,0,TrAvia_ene!D8/(D14*TrAvia_act!D16))</f>
        <v>2.7109293744157496E-2</v>
      </c>
      <c r="E26" s="93">
        <f>IF(TrAvia_ene!E8=0,0,TrAvia_ene!E8/(E14*TrAvia_act!E16))</f>
        <v>2.6999599046735084E-2</v>
      </c>
      <c r="F26" s="93">
        <f>IF(TrAvia_ene!F8=0,0,TrAvia_ene!F8/(F14*TrAvia_act!F16))</f>
        <v>2.6594881602591852E-2</v>
      </c>
      <c r="G26" s="93">
        <f>IF(TrAvia_ene!G8=0,0,TrAvia_ene!G8/(G14*TrAvia_act!G16))</f>
        <v>2.5933897550205486E-2</v>
      </c>
      <c r="H26" s="93">
        <f>IF(TrAvia_ene!H8=0,0,TrAvia_ene!H8/(H14*TrAvia_act!H16))</f>
        <v>2.6349683816028056E-2</v>
      </c>
      <c r="I26" s="93">
        <f>IF(TrAvia_ene!I8=0,0,TrAvia_ene!I8/(I14*TrAvia_act!I16))</f>
        <v>2.9444624994663569E-2</v>
      </c>
      <c r="J26" s="93">
        <f>IF(TrAvia_ene!J8=0,0,TrAvia_ene!J8/(J14*TrAvia_act!J16))</f>
        <v>3.0209444462974407E-2</v>
      </c>
      <c r="K26" s="93">
        <f>IF(TrAvia_ene!K8=0,0,TrAvia_ene!K8/(K14*TrAvia_act!K16))</f>
        <v>2.9140717939504467E-2</v>
      </c>
      <c r="L26" s="93">
        <f>IF(TrAvia_ene!L8=0,0,TrAvia_ene!L8/(L14*TrAvia_act!L16))</f>
        <v>3.2447662699468638E-2</v>
      </c>
      <c r="M26" s="93">
        <f>IF(TrAvia_ene!M8=0,0,TrAvia_ene!M8/(M14*TrAvia_act!M16))</f>
        <v>2.7046844405196564E-2</v>
      </c>
      <c r="N26" s="93">
        <f>IF(TrAvia_ene!N8=0,0,TrAvia_ene!N8/(N14*TrAvia_act!N16))</f>
        <v>3.5690216392850374E-2</v>
      </c>
      <c r="O26" s="93">
        <f>IF(TrAvia_ene!O8=0,0,TrAvia_ene!O8/(O14*TrAvia_act!O16))</f>
        <v>3.6720763488127785E-2</v>
      </c>
      <c r="P26" s="93">
        <f>IF(TrAvia_ene!P8=0,0,TrAvia_ene!P8/(P14*TrAvia_act!P16))</f>
        <v>3.4677327504259871E-2</v>
      </c>
      <c r="Q26" s="93">
        <f>IF(TrAvia_ene!Q8=0,0,TrAvia_ene!Q8/(Q14*TrAvia_act!Q16))</f>
        <v>3.0424298844759452E-2</v>
      </c>
      <c r="R26" s="93">
        <f>IF(TrAvia_ene!R8=0,0,TrAvia_ene!R8/(R14*TrAvia_act!R16))</f>
        <v>2.5346697832306607E-2</v>
      </c>
      <c r="S26" s="93">
        <f>IF(TrAvia_ene!S8=0,0,TrAvia_ene!S8/(S14*TrAvia_act!S16))</f>
        <v>2.7356414251697721E-2</v>
      </c>
      <c r="T26" s="93">
        <f>IF(TrAvia_ene!T8=0,0,TrAvia_ene!T8/(T14*TrAvia_act!T16))</f>
        <v>3.2119812038913009E-2</v>
      </c>
      <c r="U26" s="93">
        <f>IF(TrAvia_ene!U8=0,0,TrAvia_ene!U8/(U14*TrAvia_act!U16))</f>
        <v>2.7684883060523729E-2</v>
      </c>
      <c r="V26" s="93">
        <f>IF(TrAvia_ene!V8=0,0,TrAvia_ene!V8/(V14*TrAvia_act!V16))</f>
        <v>3.9095782476537458E-2</v>
      </c>
      <c r="W26" s="93">
        <f>IF(TrAvia_ene!W8=0,0,TrAvia_ene!W8/(W14*TrAvia_act!W16))</f>
        <v>2.9790537748426726E-2</v>
      </c>
      <c r="X26" s="93">
        <f>IF(TrAvia_ene!X8=0,0,TrAvia_ene!X8/(X14*TrAvia_act!X16))</f>
        <v>3.6240301177483621E-2</v>
      </c>
      <c r="Y26" s="93">
        <f>IF(TrAvia_ene!Y8=0,0,TrAvia_ene!Y8/(Y14*TrAvia_act!Y16))</f>
        <v>2.695014125434074E-2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2.1825272931083297E-2</v>
      </c>
      <c r="C27" s="94">
        <f>IF(TrAvia_ene!C9=0,0,TrAvia_ene!C9/(C15*TrAvia_act!C17))</f>
        <v>2.1927260989745938E-2</v>
      </c>
      <c r="D27" s="94">
        <f>IF(TrAvia_ene!D9=0,0,TrAvia_ene!D9/(D15*TrAvia_act!D17))</f>
        <v>2.202906236571768E-2</v>
      </c>
      <c r="E27" s="94">
        <f>IF(TrAvia_ene!E9=0,0,TrAvia_ene!E9/(E15*TrAvia_act!E17))</f>
        <v>2.2064628221451776E-2</v>
      </c>
      <c r="F27" s="94">
        <f>IF(TrAvia_ene!F9=0,0,TrAvia_ene!F9/(F15*TrAvia_act!F17))</f>
        <v>2.1874454654591237E-2</v>
      </c>
      <c r="G27" s="94">
        <f>IF(TrAvia_ene!G9=0,0,TrAvia_ene!G9/(G15*TrAvia_act!G17))</f>
        <v>2.6143665366302995E-2</v>
      </c>
      <c r="H27" s="94">
        <f>IF(TrAvia_ene!H9=0,0,TrAvia_ene!H9/(H15*TrAvia_act!H17))</f>
        <v>2.4768409611008301E-2</v>
      </c>
      <c r="I27" s="94">
        <f>IF(TrAvia_ene!I9=0,0,TrAvia_ene!I9/(I15*TrAvia_act!I17))</f>
        <v>2.470595213503422E-2</v>
      </c>
      <c r="J27" s="94">
        <f>IF(TrAvia_ene!J9=0,0,TrAvia_ene!J9/(J15*TrAvia_act!J17))</f>
        <v>2.6182631180152009E-2</v>
      </c>
      <c r="K27" s="94">
        <f>IF(TrAvia_ene!K9=0,0,TrAvia_ene!K9/(K15*TrAvia_act!K17))</f>
        <v>2.1171686893574421E-2</v>
      </c>
      <c r="L27" s="94">
        <f>IF(TrAvia_ene!L9=0,0,TrAvia_ene!L9/(L15*TrAvia_act!L17))</f>
        <v>2.2846501507422314E-2</v>
      </c>
      <c r="M27" s="94">
        <f>IF(TrAvia_ene!M9=0,0,TrAvia_ene!M9/(M15*TrAvia_act!M17))</f>
        <v>2.0509990352881483E-2</v>
      </c>
      <c r="N27" s="94">
        <f>IF(TrAvia_ene!N9=0,0,TrAvia_ene!N9/(N15*TrAvia_act!N17))</f>
        <v>2.1833387083372263E-2</v>
      </c>
      <c r="O27" s="94">
        <f>IF(TrAvia_ene!O9=0,0,TrAvia_ene!O9/(O15*TrAvia_act!O17))</f>
        <v>2.2619992831728473E-2</v>
      </c>
      <c r="P27" s="94">
        <f>IF(TrAvia_ene!P9=0,0,TrAvia_ene!P9/(P15*TrAvia_act!P17))</f>
        <v>2.387096292758642E-2</v>
      </c>
      <c r="Q27" s="94">
        <f>IF(TrAvia_ene!Q9=0,0,TrAvia_ene!Q9/(Q15*TrAvia_act!Q17))</f>
        <v>2.2293462496603578E-2</v>
      </c>
      <c r="R27" s="94">
        <f>IF(TrAvia_ene!R9=0,0,TrAvia_ene!R9/(R15*TrAvia_act!R17))</f>
        <v>2.2993299491203645E-2</v>
      </c>
      <c r="S27" s="94">
        <f>IF(TrAvia_ene!S9=0,0,TrAvia_ene!S9/(S15*TrAvia_act!S17))</f>
        <v>2.1532942484384289E-2</v>
      </c>
      <c r="T27" s="94">
        <f>IF(TrAvia_ene!T9=0,0,TrAvia_ene!T9/(T15*TrAvia_act!T17))</f>
        <v>2.603876397465147E-2</v>
      </c>
      <c r="U27" s="94">
        <f>IF(TrAvia_ene!U9=0,0,TrAvia_ene!U9/(U15*TrAvia_act!U17))</f>
        <v>2.0512396541499136E-2</v>
      </c>
      <c r="V27" s="94">
        <f>IF(TrAvia_ene!V9=0,0,TrAvia_ene!V9/(V15*TrAvia_act!V17))</f>
        <v>4.4399444364913263E-2</v>
      </c>
      <c r="W27" s="94">
        <f>IF(TrAvia_ene!W9=0,0,TrAvia_ene!W9/(W15*TrAvia_act!W17))</f>
        <v>2.671423780681061E-2</v>
      </c>
      <c r="X27" s="94">
        <f>IF(TrAvia_ene!X9=0,0,TrAvia_ene!X9/(X15*TrAvia_act!X17))</f>
        <v>2.2017684316346573E-2</v>
      </c>
      <c r="Y27" s="94">
        <f>IF(TrAvia_ene!Y9=0,0,TrAvia_ene!Y9/(Y15*TrAvia_act!Y17))</f>
        <v>1.5268902714050269E-2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V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ref="W3:Y3" si="2">SUM(W4:W5)</f>
        <v>0</v>
      </c>
      <c r="X3" s="54">
        <f t="shared" si="2"/>
        <v>0</v>
      </c>
      <c r="Y3" s="54">
        <f t="shared" si="2"/>
        <v>0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ref="R7:V7" si="4">SUM(R8:R9)</f>
        <v>0</v>
      </c>
      <c r="S7" s="59">
        <f t="shared" si="4"/>
        <v>0</v>
      </c>
      <c r="T7" s="59">
        <f t="shared" si="4"/>
        <v>0</v>
      </c>
      <c r="U7" s="59">
        <f t="shared" si="4"/>
        <v>0</v>
      </c>
      <c r="V7" s="59">
        <f t="shared" si="4"/>
        <v>0</v>
      </c>
      <c r="W7" s="59">
        <f t="shared" ref="W7:Y7" si="5">SUM(W8:W9)</f>
        <v>0</v>
      </c>
      <c r="X7" s="59">
        <f t="shared" si="5"/>
        <v>0</v>
      </c>
      <c r="Y7" s="59">
        <f t="shared" si="5"/>
        <v>0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0</v>
      </c>
      <c r="H13" s="62">
        <f t="shared" si="7"/>
        <v>0</v>
      </c>
      <c r="I13" s="62">
        <f t="shared" si="7"/>
        <v>0</v>
      </c>
      <c r="J13" s="62">
        <f t="shared" si="7"/>
        <v>0</v>
      </c>
      <c r="K13" s="62">
        <f t="shared" si="7"/>
        <v>0</v>
      </c>
      <c r="L13" s="62">
        <f t="shared" si="7"/>
        <v>0</v>
      </c>
      <c r="M13" s="62">
        <f t="shared" si="7"/>
        <v>0</v>
      </c>
      <c r="N13" s="62">
        <f t="shared" si="7"/>
        <v>0</v>
      </c>
      <c r="O13" s="62">
        <f t="shared" si="7"/>
        <v>0</v>
      </c>
      <c r="P13" s="62">
        <f t="shared" si="7"/>
        <v>0</v>
      </c>
      <c r="Q13" s="62">
        <f t="shared" si="7"/>
        <v>0</v>
      </c>
      <c r="R13" s="62">
        <f t="shared" si="7"/>
        <v>0</v>
      </c>
      <c r="S13" s="62">
        <f t="shared" si="7"/>
        <v>0</v>
      </c>
      <c r="T13" s="62">
        <f t="shared" si="7"/>
        <v>0</v>
      </c>
      <c r="U13" s="62">
        <f t="shared" si="7"/>
        <v>0</v>
      </c>
      <c r="V13" s="62">
        <f t="shared" si="7"/>
        <v>0</v>
      </c>
      <c r="W13" s="62">
        <f t="shared" ref="W13:Y13" si="8">IF(W3=0,0,W3/W7)</f>
        <v>0</v>
      </c>
      <c r="X13" s="62">
        <f t="shared" si="8"/>
        <v>0</v>
      </c>
      <c r="Y13" s="62">
        <f t="shared" si="8"/>
        <v>0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:Y14" si="10">IF(W4=0,0,W4/W8)</f>
        <v>0</v>
      </c>
      <c r="X14" s="63">
        <f t="shared" si="10"/>
        <v>0</v>
      </c>
      <c r="Y14" s="63">
        <f t="shared" si="10"/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:Y15" si="12">IF(W5=0,0,W5/W9)</f>
        <v>0</v>
      </c>
      <c r="X15" s="64">
        <f t="shared" si="12"/>
        <v>0</v>
      </c>
      <c r="Y15" s="64">
        <f t="shared" si="12"/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0</v>
      </c>
      <c r="H17" s="65">
        <f t="shared" si="14"/>
        <v>0</v>
      </c>
      <c r="I17" s="65">
        <f t="shared" si="14"/>
        <v>0</v>
      </c>
      <c r="J17" s="65">
        <f t="shared" si="14"/>
        <v>0</v>
      </c>
      <c r="K17" s="65">
        <f t="shared" si="14"/>
        <v>0</v>
      </c>
      <c r="L17" s="65">
        <f t="shared" si="14"/>
        <v>0</v>
      </c>
      <c r="M17" s="65">
        <f t="shared" si="14"/>
        <v>0</v>
      </c>
      <c r="N17" s="65">
        <f t="shared" si="14"/>
        <v>0</v>
      </c>
      <c r="O17" s="65">
        <f t="shared" si="14"/>
        <v>0</v>
      </c>
      <c r="P17" s="65">
        <f t="shared" si="14"/>
        <v>0</v>
      </c>
      <c r="Q17" s="65">
        <f t="shared" si="14"/>
        <v>0</v>
      </c>
      <c r="R17" s="65">
        <f t="shared" si="14"/>
        <v>0</v>
      </c>
      <c r="S17" s="65">
        <f t="shared" si="14"/>
        <v>0</v>
      </c>
      <c r="T17" s="65">
        <f t="shared" si="14"/>
        <v>0</v>
      </c>
      <c r="U17" s="65">
        <f t="shared" si="14"/>
        <v>0</v>
      </c>
      <c r="V17" s="65">
        <f t="shared" si="14"/>
        <v>0</v>
      </c>
      <c r="W17" s="65">
        <f t="shared" ref="W17:Y17" si="15">IF(W3=0,0,W3/W$3)</f>
        <v>0</v>
      </c>
      <c r="X17" s="65">
        <f t="shared" si="15"/>
        <v>0</v>
      </c>
      <c r="Y17" s="65">
        <f t="shared" si="15"/>
        <v>0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:Y18" si="18">IF(W4=0,0,W4/W$3)</f>
        <v>0</v>
      </c>
      <c r="X18" s="66">
        <f t="shared" si="18"/>
        <v>0</v>
      </c>
      <c r="Y18" s="66">
        <f t="shared" si="18"/>
        <v>0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:Y19" si="21">IF(W5=0,0,W5/W$3)</f>
        <v>0</v>
      </c>
      <c r="X19" s="67">
        <f t="shared" si="21"/>
        <v>0</v>
      </c>
      <c r="Y19" s="67">
        <f t="shared" si="21"/>
        <v>0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0</v>
      </c>
      <c r="H21" s="65">
        <f t="shared" si="23"/>
        <v>0</v>
      </c>
      <c r="I21" s="65">
        <f t="shared" si="23"/>
        <v>0</v>
      </c>
      <c r="J21" s="65">
        <f t="shared" si="23"/>
        <v>0</v>
      </c>
      <c r="K21" s="65">
        <f t="shared" si="23"/>
        <v>0</v>
      </c>
      <c r="L21" s="65">
        <f t="shared" si="23"/>
        <v>0</v>
      </c>
      <c r="M21" s="65">
        <f t="shared" si="23"/>
        <v>0</v>
      </c>
      <c r="N21" s="65">
        <f t="shared" si="23"/>
        <v>0</v>
      </c>
      <c r="O21" s="65">
        <f t="shared" si="23"/>
        <v>0</v>
      </c>
      <c r="P21" s="65">
        <f t="shared" si="23"/>
        <v>0</v>
      </c>
      <c r="Q21" s="65">
        <f t="shared" si="23"/>
        <v>0</v>
      </c>
      <c r="R21" s="65">
        <f t="shared" si="23"/>
        <v>0</v>
      </c>
      <c r="S21" s="65">
        <f t="shared" si="23"/>
        <v>0</v>
      </c>
      <c r="T21" s="65">
        <f t="shared" si="23"/>
        <v>0</v>
      </c>
      <c r="U21" s="65">
        <f t="shared" si="23"/>
        <v>0</v>
      </c>
      <c r="V21" s="65">
        <f t="shared" si="23"/>
        <v>0</v>
      </c>
      <c r="W21" s="65">
        <f t="shared" ref="W21:Y21" si="24">IF(W7=0,0,W7/W$7)</f>
        <v>0</v>
      </c>
      <c r="X21" s="65">
        <f t="shared" si="24"/>
        <v>0</v>
      </c>
      <c r="Y21" s="65">
        <f t="shared" si="24"/>
        <v>0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:Y22" si="27">IF(W8=0,0,W8/W$7)</f>
        <v>0</v>
      </c>
      <c r="X22" s="66">
        <f t="shared" si="27"/>
        <v>0</v>
      </c>
      <c r="Y22" s="66">
        <f t="shared" si="27"/>
        <v>0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:Y23" si="30">IF(W9=0,0,W9/W$7)</f>
        <v>0</v>
      </c>
      <c r="X23" s="67">
        <f t="shared" si="30"/>
        <v>0</v>
      </c>
      <c r="Y23" s="67">
        <f t="shared" si="30"/>
        <v>0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ref="W3:Y3" si="1">SUM(W4,W10)</f>
        <v>0</v>
      </c>
      <c r="X3" s="62">
        <f t="shared" si="1"/>
        <v>0</v>
      </c>
      <c r="Y3" s="62">
        <f t="shared" si="1"/>
        <v>0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:Y4" si="3">SUM(W5:W9)</f>
        <v>0</v>
      </c>
      <c r="X4" s="71">
        <f t="shared" si="3"/>
        <v>0</v>
      </c>
      <c r="Y4" s="71">
        <f t="shared" si="3"/>
        <v>0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:Y10" si="5">SUM(W11:W15)</f>
        <v>0</v>
      </c>
      <c r="X10" s="71">
        <f t="shared" si="5"/>
        <v>0</v>
      </c>
      <c r="Y10" s="71">
        <f t="shared" si="5"/>
        <v>0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0</v>
      </c>
      <c r="H19" s="62">
        <f>IF(H3=0,0,H3/TrNavi_act!H7*100)</f>
        <v>0</v>
      </c>
      <c r="I19" s="62">
        <f>IF(I3=0,0,I3/TrNavi_act!I7*100)</f>
        <v>0</v>
      </c>
      <c r="J19" s="62">
        <f>IF(J3=0,0,J3/TrNavi_act!J7*100)</f>
        <v>0</v>
      </c>
      <c r="K19" s="62">
        <f>IF(K3=0,0,K3/TrNavi_act!K7*100)</f>
        <v>0</v>
      </c>
      <c r="L19" s="62">
        <f>IF(L3=0,0,L3/TrNavi_act!L7*100)</f>
        <v>0</v>
      </c>
      <c r="M19" s="62">
        <f>IF(M3=0,0,M3/TrNavi_act!M7*100)</f>
        <v>0</v>
      </c>
      <c r="N19" s="62">
        <f>IF(N3=0,0,N3/TrNavi_act!N7*100)</f>
        <v>0</v>
      </c>
      <c r="O19" s="62">
        <f>IF(O3=0,0,O3/TrNavi_act!O7*100)</f>
        <v>0</v>
      </c>
      <c r="P19" s="62">
        <f>IF(P3=0,0,P3/TrNavi_act!P7*100)</f>
        <v>0</v>
      </c>
      <c r="Q19" s="62">
        <f>IF(Q3=0,0,Q3/TrNavi_act!Q7*100)</f>
        <v>0</v>
      </c>
      <c r="R19" s="62">
        <f>IF(R3=0,0,R3/TrNavi_act!R7*100)</f>
        <v>0</v>
      </c>
      <c r="S19" s="62">
        <f>IF(S3=0,0,S3/TrNavi_act!S7*100)</f>
        <v>0</v>
      </c>
      <c r="T19" s="62">
        <f>IF(T3=0,0,T3/TrNavi_act!T7*100)</f>
        <v>0</v>
      </c>
      <c r="U19" s="62">
        <f>IF(U3=0,0,U3/TrNavi_act!U7*100)</f>
        <v>0</v>
      </c>
      <c r="V19" s="62">
        <f>IF(V3=0,0,V3/TrNavi_act!V7*100)</f>
        <v>0</v>
      </c>
      <c r="W19" s="62">
        <f>IF(W3=0,0,W3/TrNavi_act!W7*100)</f>
        <v>0</v>
      </c>
      <c r="X19" s="62">
        <f>IF(X3=0,0,X3/TrNavi_act!X7*100)</f>
        <v>0</v>
      </c>
      <c r="Y19" s="62">
        <f>IF(Y3=0,0,Y3/TrNavi_act!Y7*100)</f>
        <v>0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>
        <f>IF(X4=0,0,X4/TrNavi_act!X8*100)</f>
        <v>0</v>
      </c>
      <c r="Y20" s="63">
        <f>IF(Y4=0,0,Y4/TrNavi_act!Y8*100)</f>
        <v>0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>
        <f>IF(X10=0,0,X10/TrNavi_act!X9*100)</f>
        <v>0</v>
      </c>
      <c r="Y21" s="64">
        <f>IF(Y10=0,0,Y10/TrNavi_act!Y9*100)</f>
        <v>0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0</v>
      </c>
      <c r="H23" s="62">
        <f>IF(H3=0,0,H3/TrNavi_act!H3*1000)</f>
        <v>0</v>
      </c>
      <c r="I23" s="62">
        <f>IF(I3=0,0,I3/TrNavi_act!I3*1000)</f>
        <v>0</v>
      </c>
      <c r="J23" s="62">
        <f>IF(J3=0,0,J3/TrNavi_act!J3*1000)</f>
        <v>0</v>
      </c>
      <c r="K23" s="62">
        <f>IF(K3=0,0,K3/TrNavi_act!K3*1000)</f>
        <v>0</v>
      </c>
      <c r="L23" s="62">
        <f>IF(L3=0,0,L3/TrNavi_act!L3*1000)</f>
        <v>0</v>
      </c>
      <c r="M23" s="62">
        <f>IF(M3=0,0,M3/TrNavi_act!M3*1000)</f>
        <v>0</v>
      </c>
      <c r="N23" s="62">
        <f>IF(N3=0,0,N3/TrNavi_act!N3*1000)</f>
        <v>0</v>
      </c>
      <c r="O23" s="62">
        <f>IF(O3=0,0,O3/TrNavi_act!O3*1000)</f>
        <v>0</v>
      </c>
      <c r="P23" s="62">
        <f>IF(P3=0,0,P3/TrNavi_act!P3*1000)</f>
        <v>0</v>
      </c>
      <c r="Q23" s="62">
        <f>IF(Q3=0,0,Q3/TrNavi_act!Q3*1000)</f>
        <v>0</v>
      </c>
      <c r="R23" s="62">
        <f>IF(R3=0,0,R3/TrNavi_act!R3*1000)</f>
        <v>0</v>
      </c>
      <c r="S23" s="62">
        <f>IF(S3=0,0,S3/TrNavi_act!S3*1000)</f>
        <v>0</v>
      </c>
      <c r="T23" s="62">
        <f>IF(T3=0,0,T3/TrNavi_act!T3*1000)</f>
        <v>0</v>
      </c>
      <c r="U23" s="62">
        <f>IF(U3=0,0,U3/TrNavi_act!U3*1000)</f>
        <v>0</v>
      </c>
      <c r="V23" s="62">
        <f>IF(V3=0,0,V3/TrNavi_act!V3*1000)</f>
        <v>0</v>
      </c>
      <c r="W23" s="62">
        <f>IF(W3=0,0,W3/TrNavi_act!W3*1000)</f>
        <v>0</v>
      </c>
      <c r="X23" s="62">
        <f>IF(X3=0,0,X3/TrNavi_act!X3*1000)</f>
        <v>0</v>
      </c>
      <c r="Y23" s="62">
        <f>IF(Y3=0,0,Y3/TrNavi_act!Y3*1000)</f>
        <v>0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>
        <f>IF(X4=0,0,X4/TrNavi_act!X4*1000)</f>
        <v>0</v>
      </c>
      <c r="Y24" s="63">
        <f>IF(Y4=0,0,Y4/TrNavi_act!Y4*1000)</f>
        <v>0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>
        <f>IF(X10=0,0,X10/TrNavi_act!X5*1000)</f>
        <v>0</v>
      </c>
      <c r="Y25" s="64">
        <f>IF(Y10=0,0,Y10/TrNavi_act!Y5*1000)</f>
        <v>0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0</v>
      </c>
      <c r="T27" s="76">
        <f t="shared" si="6"/>
        <v>0</v>
      </c>
      <c r="U27" s="76">
        <f t="shared" si="6"/>
        <v>0</v>
      </c>
      <c r="V27" s="76">
        <f t="shared" ref="V27:W27" si="7">IF(V3=0,0,V3/V$3)</f>
        <v>0</v>
      </c>
      <c r="W27" s="76">
        <f t="shared" si="7"/>
        <v>0</v>
      </c>
      <c r="X27" s="76">
        <f t="shared" ref="X27:Y27" si="8">IF(X3=0,0,X3/X$3)</f>
        <v>0</v>
      </c>
      <c r="Y27" s="76">
        <f t="shared" si="8"/>
        <v>0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0</v>
      </c>
      <c r="H28" s="77">
        <f t="shared" si="9"/>
        <v>0</v>
      </c>
      <c r="I28" s="77">
        <f t="shared" si="9"/>
        <v>0</v>
      </c>
      <c r="J28" s="77">
        <f t="shared" si="9"/>
        <v>0</v>
      </c>
      <c r="K28" s="77">
        <f t="shared" si="9"/>
        <v>0</v>
      </c>
      <c r="L28" s="77">
        <f t="shared" si="9"/>
        <v>0</v>
      </c>
      <c r="M28" s="77">
        <f t="shared" si="9"/>
        <v>0</v>
      </c>
      <c r="N28" s="77">
        <f t="shared" si="9"/>
        <v>0</v>
      </c>
      <c r="O28" s="77">
        <f t="shared" si="9"/>
        <v>0</v>
      </c>
      <c r="P28" s="77">
        <f t="shared" si="9"/>
        <v>0</v>
      </c>
      <c r="Q28" s="77">
        <f t="shared" si="9"/>
        <v>0</v>
      </c>
      <c r="R28" s="77">
        <f t="shared" si="9"/>
        <v>0</v>
      </c>
      <c r="S28" s="77">
        <f t="shared" si="9"/>
        <v>0</v>
      </c>
      <c r="T28" s="77">
        <f t="shared" si="9"/>
        <v>0</v>
      </c>
      <c r="U28" s="77">
        <f t="shared" si="9"/>
        <v>0</v>
      </c>
      <c r="V28" s="77">
        <f t="shared" ref="V28:W28" si="10">IF(V4=0,0,V4/V$3)</f>
        <v>0</v>
      </c>
      <c r="W28" s="77">
        <f t="shared" si="10"/>
        <v>0</v>
      </c>
      <c r="X28" s="77">
        <f t="shared" ref="X28:Y28" si="11">IF(X4=0,0,X4/X$3)</f>
        <v>0</v>
      </c>
      <c r="Y28" s="77">
        <f t="shared" si="11"/>
        <v>0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0</v>
      </c>
      <c r="W29" s="78">
        <f t="shared" si="13"/>
        <v>0</v>
      </c>
      <c r="X29" s="78">
        <f t="shared" ref="X29:Y29" si="14">IF(X10=0,0,X10/X$3)</f>
        <v>0</v>
      </c>
      <c r="Y29" s="78">
        <f t="shared" si="14"/>
        <v>0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0</v>
      </c>
      <c r="H3" s="54">
        <f t="shared" si="1"/>
        <v>0</v>
      </c>
      <c r="I3" s="54">
        <f t="shared" si="1"/>
        <v>0</v>
      </c>
      <c r="J3" s="54">
        <f t="shared" si="1"/>
        <v>0</v>
      </c>
      <c r="K3" s="54">
        <f t="shared" si="1"/>
        <v>0</v>
      </c>
      <c r="L3" s="54">
        <f t="shared" si="1"/>
        <v>0</v>
      </c>
      <c r="M3" s="54">
        <f t="shared" si="1"/>
        <v>0</v>
      </c>
      <c r="N3" s="54">
        <f t="shared" si="1"/>
        <v>0</v>
      </c>
      <c r="O3" s="54">
        <f t="shared" si="1"/>
        <v>0</v>
      </c>
      <c r="P3" s="54">
        <f t="shared" si="1"/>
        <v>0</v>
      </c>
      <c r="Q3" s="54">
        <f t="shared" si="1"/>
        <v>0</v>
      </c>
      <c r="R3" s="54">
        <f t="shared" si="1"/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ref="W3:Y3" si="2">SUM(W4:W5)</f>
        <v>0</v>
      </c>
      <c r="X3" s="54">
        <f t="shared" si="2"/>
        <v>0</v>
      </c>
      <c r="Y3" s="54">
        <f t="shared" si="2"/>
        <v>0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0</v>
      </c>
      <c r="H9" s="79">
        <f>IF(H3=0,0,H3/TrNavi_ene!H3)</f>
        <v>0</v>
      </c>
      <c r="I9" s="79">
        <f>IF(I3=0,0,I3/TrNavi_ene!I3)</f>
        <v>0</v>
      </c>
      <c r="J9" s="79">
        <f>IF(J3=0,0,J3/TrNavi_ene!J3)</f>
        <v>0</v>
      </c>
      <c r="K9" s="79">
        <f>IF(K3=0,0,K3/TrNavi_ene!K3)</f>
        <v>0</v>
      </c>
      <c r="L9" s="79">
        <f>IF(L3=0,0,L3/TrNavi_ene!L3)</f>
        <v>0</v>
      </c>
      <c r="M9" s="79">
        <f>IF(M3=0,0,M3/TrNavi_ene!M3)</f>
        <v>0</v>
      </c>
      <c r="N9" s="79">
        <f>IF(N3=0,0,N3/TrNavi_ene!N3)</f>
        <v>0</v>
      </c>
      <c r="O9" s="79">
        <f>IF(O3=0,0,O3/TrNavi_ene!O3)</f>
        <v>0</v>
      </c>
      <c r="P9" s="79">
        <f>IF(P3=0,0,P3/TrNavi_ene!P3)</f>
        <v>0</v>
      </c>
      <c r="Q9" s="79">
        <f>IF(Q3=0,0,Q3/TrNavi_ene!Q3)</f>
        <v>0</v>
      </c>
      <c r="R9" s="79">
        <f>IF(R3=0,0,R3/TrNavi_ene!R3)</f>
        <v>0</v>
      </c>
      <c r="S9" s="79">
        <f>IF(S3=0,0,S3/TrNavi_ene!S3)</f>
        <v>0</v>
      </c>
      <c r="T9" s="79">
        <f>IF(T3=0,0,T3/TrNavi_ene!T3)</f>
        <v>0</v>
      </c>
      <c r="U9" s="79">
        <f>IF(U3=0,0,U3/TrNavi_ene!U3)</f>
        <v>0</v>
      </c>
      <c r="V9" s="79">
        <f>IF(V3=0,0,V3/TrNavi_ene!V3)</f>
        <v>0</v>
      </c>
      <c r="W9" s="79">
        <f>IF(W3=0,0,W3/TrNavi_ene!W3)</f>
        <v>0</v>
      </c>
      <c r="X9" s="79">
        <f>IF(X3=0,0,X3/TrNavi_ene!X3)</f>
        <v>0</v>
      </c>
      <c r="Y9" s="79">
        <f>IF(Y3=0,0,Y3/TrNavi_ene!Y3)</f>
        <v>0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>
        <f>IF(X4=0,0,X4/TrNavi_ene!X4)</f>
        <v>0</v>
      </c>
      <c r="Y10" s="80">
        <f>IF(Y4=0,0,Y4/TrNavi_ene!Y4)</f>
        <v>0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>
        <f>IF(X5=0,0,X5/TrNavi_ene!X10)</f>
        <v>0</v>
      </c>
      <c r="Y11" s="81">
        <f>IF(Y5=0,0,Y5/TrNavi_ene!Y10)</f>
        <v>0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0</v>
      </c>
      <c r="H13" s="54">
        <f>IF(H3=0,0,H3/TrNavi_act!H7*1000)</f>
        <v>0</v>
      </c>
      <c r="I13" s="54">
        <f>IF(I3=0,0,I3/TrNavi_act!I7*1000)</f>
        <v>0</v>
      </c>
      <c r="J13" s="54">
        <f>IF(J3=0,0,J3/TrNavi_act!J7*1000)</f>
        <v>0</v>
      </c>
      <c r="K13" s="54">
        <f>IF(K3=0,0,K3/TrNavi_act!K7*1000)</f>
        <v>0</v>
      </c>
      <c r="L13" s="54">
        <f>IF(L3=0,0,L3/TrNavi_act!L7*1000)</f>
        <v>0</v>
      </c>
      <c r="M13" s="54">
        <f>IF(M3=0,0,M3/TrNavi_act!M7*1000)</f>
        <v>0</v>
      </c>
      <c r="N13" s="54">
        <f>IF(N3=0,0,N3/TrNavi_act!N7*1000)</f>
        <v>0</v>
      </c>
      <c r="O13" s="54">
        <f>IF(O3=0,0,O3/TrNavi_act!O7*1000)</f>
        <v>0</v>
      </c>
      <c r="P13" s="54">
        <f>IF(P3=0,0,P3/TrNavi_act!P7*1000)</f>
        <v>0</v>
      </c>
      <c r="Q13" s="54">
        <f>IF(Q3=0,0,Q3/TrNavi_act!Q7*1000)</f>
        <v>0</v>
      </c>
      <c r="R13" s="54">
        <f>IF(R3=0,0,R3/TrNavi_act!R7*1000)</f>
        <v>0</v>
      </c>
      <c r="S13" s="54">
        <f>IF(S3=0,0,S3/TrNavi_act!S7*1000)</f>
        <v>0</v>
      </c>
      <c r="T13" s="54">
        <f>IF(T3=0,0,T3/TrNavi_act!T7*1000)</f>
        <v>0</v>
      </c>
      <c r="U13" s="54">
        <f>IF(U3=0,0,U3/TrNavi_act!U7*1000)</f>
        <v>0</v>
      </c>
      <c r="V13" s="54">
        <f>IF(V3=0,0,V3/TrNavi_act!V7*1000)</f>
        <v>0</v>
      </c>
      <c r="W13" s="54">
        <f>IF(W3=0,0,W3/TrNavi_act!W7*1000)</f>
        <v>0</v>
      </c>
      <c r="X13" s="54">
        <f>IF(X3=0,0,X3/TrNavi_act!X7*1000)</f>
        <v>0</v>
      </c>
      <c r="Y13" s="54">
        <f>IF(Y3=0,0,Y3/TrNavi_act!Y7*1000)</f>
        <v>0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56">
        <f>IF(X4=0,0,X4/TrNavi_act!X8*1000)</f>
        <v>0</v>
      </c>
      <c r="Y14" s="56">
        <f>IF(Y4=0,0,Y4/TrNavi_act!Y8*1000)</f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58">
        <f>IF(X5=0,0,X5/TrNavi_act!X9*1000)</f>
        <v>0</v>
      </c>
      <c r="Y15" s="58">
        <f>IF(Y5=0,0,Y5/TrNavi_act!Y9*1000)</f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0</v>
      </c>
      <c r="H17" s="62">
        <f>IF(H3=0,0,H3/TrNavi_act!H3*1000)</f>
        <v>0</v>
      </c>
      <c r="I17" s="62">
        <f>IF(I3=0,0,I3/TrNavi_act!I3*1000)</f>
        <v>0</v>
      </c>
      <c r="J17" s="62">
        <f>IF(J3=0,0,J3/TrNavi_act!J3*1000)</f>
        <v>0</v>
      </c>
      <c r="K17" s="62">
        <f>IF(K3=0,0,K3/TrNavi_act!K3*1000)</f>
        <v>0</v>
      </c>
      <c r="L17" s="62">
        <f>IF(L3=0,0,L3/TrNavi_act!L3*1000)</f>
        <v>0</v>
      </c>
      <c r="M17" s="62">
        <f>IF(M3=0,0,M3/TrNavi_act!M3*1000)</f>
        <v>0</v>
      </c>
      <c r="N17" s="62">
        <f>IF(N3=0,0,N3/TrNavi_act!N3*1000)</f>
        <v>0</v>
      </c>
      <c r="O17" s="62">
        <f>IF(O3=0,0,O3/TrNavi_act!O3*1000)</f>
        <v>0</v>
      </c>
      <c r="P17" s="62">
        <f>IF(P3=0,0,P3/TrNavi_act!P3*1000)</f>
        <v>0</v>
      </c>
      <c r="Q17" s="62">
        <f>IF(Q3=0,0,Q3/TrNavi_act!Q3*1000)</f>
        <v>0</v>
      </c>
      <c r="R17" s="62">
        <f>IF(R3=0,0,R3/TrNavi_act!R3*1000)</f>
        <v>0</v>
      </c>
      <c r="S17" s="62">
        <f>IF(S3=0,0,S3/TrNavi_act!S3*1000)</f>
        <v>0</v>
      </c>
      <c r="T17" s="62">
        <f>IF(T3=0,0,T3/TrNavi_act!T3*1000)</f>
        <v>0</v>
      </c>
      <c r="U17" s="62">
        <f>IF(U3=0,0,U3/TrNavi_act!U3*1000)</f>
        <v>0</v>
      </c>
      <c r="V17" s="62">
        <f>IF(V3=0,0,V3/TrNavi_act!V3*1000)</f>
        <v>0</v>
      </c>
      <c r="W17" s="62">
        <f>IF(W3=0,0,W3/TrNavi_act!W3*1000)</f>
        <v>0</v>
      </c>
      <c r="X17" s="62">
        <f>IF(X3=0,0,X3/TrNavi_act!X3*1000)</f>
        <v>0</v>
      </c>
      <c r="Y17" s="62">
        <f>IF(Y3=0,0,Y3/TrNavi_act!Y3*1000)</f>
        <v>0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>
        <f>IF(X4=0,0,X4/TrNavi_act!X4*1000)</f>
        <v>0</v>
      </c>
      <c r="Y18" s="63">
        <f>IF(Y4=0,0,Y4/TrNavi_act!Y4*1000)</f>
        <v>0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>
        <f>IF(X5=0,0,X5/TrNavi_act!X5*1000)</f>
        <v>0</v>
      </c>
      <c r="Y19" s="64">
        <f>IF(Y5=0,0,Y5/TrNavi_act!Y5*1000)</f>
        <v>0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0</v>
      </c>
      <c r="T21" s="76">
        <f t="shared" si="3"/>
        <v>0</v>
      </c>
      <c r="U21" s="76">
        <f t="shared" si="3"/>
        <v>0</v>
      </c>
      <c r="V21" s="76">
        <f t="shared" ref="V21:W21" si="4">IF(V3=0,0,V3/V$3)</f>
        <v>0</v>
      </c>
      <c r="W21" s="76">
        <f t="shared" si="4"/>
        <v>0</v>
      </c>
      <c r="X21" s="76">
        <f t="shared" ref="X21:Y21" si="5">IF(X3=0,0,X3/X$3)</f>
        <v>0</v>
      </c>
      <c r="Y21" s="76">
        <f t="shared" si="5"/>
        <v>0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0</v>
      </c>
      <c r="J22" s="77">
        <f t="shared" si="6"/>
        <v>0</v>
      </c>
      <c r="K22" s="77">
        <f t="shared" si="6"/>
        <v>0</v>
      </c>
      <c r="L22" s="77">
        <f t="shared" si="6"/>
        <v>0</v>
      </c>
      <c r="M22" s="77">
        <f t="shared" si="6"/>
        <v>0</v>
      </c>
      <c r="N22" s="77">
        <f t="shared" si="6"/>
        <v>0</v>
      </c>
      <c r="O22" s="77">
        <f t="shared" si="6"/>
        <v>0</v>
      </c>
      <c r="P22" s="77">
        <f t="shared" si="6"/>
        <v>0</v>
      </c>
      <c r="Q22" s="77">
        <f t="shared" si="6"/>
        <v>0</v>
      </c>
      <c r="R22" s="77">
        <f t="shared" si="6"/>
        <v>0</v>
      </c>
      <c r="S22" s="77">
        <f t="shared" si="6"/>
        <v>0</v>
      </c>
      <c r="T22" s="77">
        <f t="shared" si="6"/>
        <v>0</v>
      </c>
      <c r="U22" s="77">
        <f t="shared" si="6"/>
        <v>0</v>
      </c>
      <c r="V22" s="77">
        <f t="shared" ref="V22:W22" si="7">IF(V4=0,0,V4/V$3)</f>
        <v>0</v>
      </c>
      <c r="W22" s="77">
        <f t="shared" si="7"/>
        <v>0</v>
      </c>
      <c r="X22" s="77">
        <f t="shared" ref="X22:Y22" si="8">IF(X4=0,0,X4/X$3)</f>
        <v>0</v>
      </c>
      <c r="Y22" s="77">
        <f t="shared" si="8"/>
        <v>0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0</v>
      </c>
      <c r="W23" s="78">
        <f t="shared" si="10"/>
        <v>0</v>
      </c>
      <c r="X23" s="78">
        <f t="shared" ref="X23:Y23" si="11">IF(X5=0,0,X5/X$3)</f>
        <v>0</v>
      </c>
      <c r="Y23" s="78">
        <f t="shared" si="11"/>
        <v>0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38166.264225999999</v>
      </c>
      <c r="H3" s="54">
        <f t="shared" si="0"/>
        <v>48786.362335999998</v>
      </c>
      <c r="I3" s="54">
        <f t="shared" si="0"/>
        <v>51286.503871000001</v>
      </c>
      <c r="J3" s="54">
        <f t="shared" si="0"/>
        <v>55463.708955000002</v>
      </c>
      <c r="K3" s="54">
        <f t="shared" si="0"/>
        <v>42671.369743000003</v>
      </c>
      <c r="L3" s="54">
        <f t="shared" si="0"/>
        <v>49382.926830999997</v>
      </c>
      <c r="M3" s="54">
        <f t="shared" si="0"/>
        <v>59442.010518000003</v>
      </c>
      <c r="N3" s="54">
        <f t="shared" si="0"/>
        <v>58223.360660000006</v>
      </c>
      <c r="O3" s="54">
        <f t="shared" si="0"/>
        <v>56000.889841999997</v>
      </c>
      <c r="P3" s="54">
        <f t="shared" si="0"/>
        <v>60088.768849999993</v>
      </c>
      <c r="Q3" s="54">
        <f t="shared" si="0"/>
        <v>65890.299039000005</v>
      </c>
      <c r="R3" s="54">
        <f t="shared" ref="R3:W3" si="1">SUM(R4:R5)</f>
        <v>70290.460858000006</v>
      </c>
      <c r="S3" s="54">
        <f t="shared" si="1"/>
        <v>79231.615078999981</v>
      </c>
      <c r="T3" s="54">
        <f t="shared" si="1"/>
        <v>88755.121930000008</v>
      </c>
      <c r="U3" s="54">
        <f t="shared" si="1"/>
        <v>80751.695527999997</v>
      </c>
      <c r="V3" s="54">
        <f t="shared" si="1"/>
        <v>68812.097248000005</v>
      </c>
      <c r="W3" s="54">
        <f t="shared" si="1"/>
        <v>79163.201593000005</v>
      </c>
      <c r="X3" s="54">
        <f t="shared" ref="X3:Y3" si="2">SUM(X4:X5)</f>
        <v>0</v>
      </c>
      <c r="Y3" s="54">
        <f t="shared" si="2"/>
        <v>0</v>
      </c>
      <c r="DA3" s="172" t="s">
        <v>388</v>
      </c>
    </row>
    <row r="4" spans="1:105" ht="11.45" customHeight="1" x14ac:dyDescent="0.25">
      <c r="A4" s="55" t="s">
        <v>166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6107.9841999999999</v>
      </c>
      <c r="H4" s="56">
        <v>7793.1041509999995</v>
      </c>
      <c r="I4" s="56">
        <v>7507.1204779999998</v>
      </c>
      <c r="J4" s="56">
        <v>8055.4137520000004</v>
      </c>
      <c r="K4" s="56">
        <v>6447.3452349999998</v>
      </c>
      <c r="L4" s="56">
        <v>5315.6158639999994</v>
      </c>
      <c r="M4" s="56">
        <v>4856.571062</v>
      </c>
      <c r="N4" s="56">
        <v>6320.3297009999997</v>
      </c>
      <c r="O4" s="56">
        <v>5002.742569</v>
      </c>
      <c r="P4" s="56">
        <v>5976.4484130000001</v>
      </c>
      <c r="Q4" s="56">
        <v>6331.6711400000004</v>
      </c>
      <c r="R4" s="56">
        <v>7445.6225779999995</v>
      </c>
      <c r="S4" s="56">
        <v>7451.2124540000004</v>
      </c>
      <c r="T4" s="56">
        <v>7602.7869860000001</v>
      </c>
      <c r="U4" s="56">
        <v>6364.3087960000003</v>
      </c>
      <c r="V4" s="56">
        <v>5097.4985459999998</v>
      </c>
      <c r="W4" s="56">
        <v>4384.2734250000003</v>
      </c>
      <c r="X4" s="56">
        <v>0</v>
      </c>
      <c r="Y4" s="56">
        <v>0</v>
      </c>
      <c r="DA4" s="181" t="s">
        <v>389</v>
      </c>
    </row>
    <row r="5" spans="1:105" ht="11.45" customHeight="1" x14ac:dyDescent="0.25">
      <c r="A5" s="57" t="s">
        <v>167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32058.280026</v>
      </c>
      <c r="H5" s="58">
        <v>40993.258184999999</v>
      </c>
      <c r="I5" s="58">
        <v>43779.383393000004</v>
      </c>
      <c r="J5" s="58">
        <v>47408.295203000001</v>
      </c>
      <c r="K5" s="58">
        <v>36224.024508000002</v>
      </c>
      <c r="L5" s="58">
        <v>44067.310966999998</v>
      </c>
      <c r="M5" s="58">
        <v>54585.439456</v>
      </c>
      <c r="N5" s="58">
        <v>51903.030959000003</v>
      </c>
      <c r="O5" s="58">
        <v>50998.147272999995</v>
      </c>
      <c r="P5" s="58">
        <v>54112.320436999995</v>
      </c>
      <c r="Q5" s="58">
        <v>59558.627898999999</v>
      </c>
      <c r="R5" s="58">
        <v>62844.838280000004</v>
      </c>
      <c r="S5" s="58">
        <v>71780.402624999988</v>
      </c>
      <c r="T5" s="58">
        <v>81152.334944000002</v>
      </c>
      <c r="U5" s="58">
        <v>74387.386731999999</v>
      </c>
      <c r="V5" s="58">
        <v>63714.598702000003</v>
      </c>
      <c r="W5" s="58">
        <v>74778.928167999999</v>
      </c>
      <c r="X5" s="58">
        <v>0</v>
      </c>
      <c r="Y5" s="58">
        <v>0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2.1127929999999999</v>
      </c>
      <c r="H7" s="59">
        <f t="shared" si="3"/>
        <v>2.6027009999999997</v>
      </c>
      <c r="I7" s="59">
        <f t="shared" si="3"/>
        <v>2.4957750000000001</v>
      </c>
      <c r="J7" s="59">
        <f t="shared" si="3"/>
        <v>2.590033</v>
      </c>
      <c r="K7" s="59">
        <f t="shared" si="3"/>
        <v>2.0620150000000002</v>
      </c>
      <c r="L7" s="59">
        <f t="shared" si="3"/>
        <v>2.0377269999999998</v>
      </c>
      <c r="M7" s="59">
        <f t="shared" si="3"/>
        <v>2.2070219999999998</v>
      </c>
      <c r="N7" s="59">
        <f t="shared" si="3"/>
        <v>2.2771970000000001</v>
      </c>
      <c r="O7" s="59">
        <f t="shared" si="3"/>
        <v>2.0433889999999999</v>
      </c>
      <c r="P7" s="59">
        <f t="shared" si="3"/>
        <v>2.256761</v>
      </c>
      <c r="Q7" s="59">
        <f t="shared" si="3"/>
        <v>2.2559040000000001</v>
      </c>
      <c r="R7" s="59">
        <f t="shared" si="3"/>
        <v>2.4562780000000002</v>
      </c>
      <c r="S7" s="59">
        <f t="shared" si="3"/>
        <v>2.580603</v>
      </c>
      <c r="T7" s="59">
        <f t="shared" si="3"/>
        <v>2.7868810000000002</v>
      </c>
      <c r="U7" s="59">
        <f t="shared" si="3"/>
        <v>2.4670779999999999</v>
      </c>
      <c r="V7" s="59">
        <f t="shared" si="3"/>
        <v>2.0531869999999999</v>
      </c>
      <c r="W7" s="59">
        <f t="shared" si="3"/>
        <v>2.192475</v>
      </c>
      <c r="X7" s="59">
        <f t="shared" ref="X7:Y7" si="4">SUM(X8:X9)</f>
        <v>0</v>
      </c>
      <c r="Y7" s="59">
        <f t="shared" si="4"/>
        <v>0</v>
      </c>
      <c r="DA7" s="172" t="s">
        <v>963</v>
      </c>
    </row>
    <row r="8" spans="1:105" ht="11.45" customHeight="1" x14ac:dyDescent="0.25">
      <c r="A8" s="55" t="s">
        <v>166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0.89419900000000008</v>
      </c>
      <c r="H8" s="60">
        <v>1.0961539999999999</v>
      </c>
      <c r="I8" s="60">
        <v>0.98859399999999997</v>
      </c>
      <c r="J8" s="60">
        <v>1.032146</v>
      </c>
      <c r="K8" s="60">
        <v>0.84322900000000001</v>
      </c>
      <c r="L8" s="60">
        <v>0.69399899999999992</v>
      </c>
      <c r="M8" s="60">
        <v>0.66290699999999991</v>
      </c>
      <c r="N8" s="60">
        <v>0.850742</v>
      </c>
      <c r="O8" s="60">
        <v>0.66851400000000005</v>
      </c>
      <c r="P8" s="60">
        <v>0.79987199999999992</v>
      </c>
      <c r="Q8" s="60">
        <v>0.76874900000000002</v>
      </c>
      <c r="R8" s="60">
        <v>0.87072000000000005</v>
      </c>
      <c r="S8" s="60">
        <v>0.853572</v>
      </c>
      <c r="T8" s="60">
        <v>0.88189999999999991</v>
      </c>
      <c r="U8" s="60">
        <v>0.74527399999999999</v>
      </c>
      <c r="V8" s="60">
        <v>0.553728</v>
      </c>
      <c r="W8" s="60">
        <v>0.50065999999999999</v>
      </c>
      <c r="X8" s="60">
        <v>0</v>
      </c>
      <c r="Y8" s="60">
        <v>0</v>
      </c>
      <c r="DA8" s="181" t="s">
        <v>964</v>
      </c>
    </row>
    <row r="9" spans="1:105" ht="11.45" customHeight="1" x14ac:dyDescent="0.25">
      <c r="A9" s="57" t="s">
        <v>167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1.218594</v>
      </c>
      <c r="H9" s="61">
        <v>1.5065470000000001</v>
      </c>
      <c r="I9" s="61">
        <v>1.5071810000000001</v>
      </c>
      <c r="J9" s="61">
        <v>1.557887</v>
      </c>
      <c r="K9" s="61">
        <v>1.2187860000000001</v>
      </c>
      <c r="L9" s="61">
        <v>1.343728</v>
      </c>
      <c r="M9" s="61">
        <v>1.5441149999999999</v>
      </c>
      <c r="N9" s="61">
        <v>1.426455</v>
      </c>
      <c r="O9" s="61">
        <v>1.3748749999999998</v>
      </c>
      <c r="P9" s="61">
        <v>1.4568890000000001</v>
      </c>
      <c r="Q9" s="61">
        <v>1.487155</v>
      </c>
      <c r="R9" s="61">
        <v>1.585558</v>
      </c>
      <c r="S9" s="61">
        <v>1.727031</v>
      </c>
      <c r="T9" s="61">
        <v>1.904981</v>
      </c>
      <c r="U9" s="61">
        <v>1.7218040000000001</v>
      </c>
      <c r="V9" s="61">
        <v>1.4994589999999999</v>
      </c>
      <c r="W9" s="61">
        <v>1.6918149999999998</v>
      </c>
      <c r="X9" s="61">
        <v>0</v>
      </c>
      <c r="Y9" s="61">
        <v>0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0</v>
      </c>
      <c r="C13" s="62">
        <f t="shared" si="5"/>
        <v>0</v>
      </c>
      <c r="D13" s="62">
        <f t="shared" si="5"/>
        <v>0</v>
      </c>
      <c r="E13" s="62">
        <f t="shared" si="5"/>
        <v>0</v>
      </c>
      <c r="F13" s="62">
        <f t="shared" si="5"/>
        <v>0</v>
      </c>
      <c r="G13" s="62">
        <f t="shared" si="5"/>
        <v>18064.365144148054</v>
      </c>
      <c r="H13" s="62">
        <f t="shared" si="5"/>
        <v>18744.512848767492</v>
      </c>
      <c r="I13" s="62">
        <f t="shared" si="5"/>
        <v>20549.329915957969</v>
      </c>
      <c r="J13" s="62">
        <f t="shared" si="5"/>
        <v>21414.28659596229</v>
      </c>
      <c r="K13" s="62">
        <f t="shared" si="5"/>
        <v>20694.01519533078</v>
      </c>
      <c r="L13" s="62">
        <f t="shared" si="5"/>
        <v>24234.319332766361</v>
      </c>
      <c r="M13" s="62">
        <f t="shared" si="5"/>
        <v>26933.130035858278</v>
      </c>
      <c r="N13" s="62">
        <f t="shared" si="5"/>
        <v>25567.994626727508</v>
      </c>
      <c r="O13" s="62">
        <f t="shared" si="5"/>
        <v>27405.887886251712</v>
      </c>
      <c r="P13" s="62">
        <f t="shared" si="5"/>
        <v>26626.110983839226</v>
      </c>
      <c r="Q13" s="62">
        <f t="shared" si="5"/>
        <v>29207.935727318185</v>
      </c>
      <c r="R13" s="62">
        <f t="shared" si="5"/>
        <v>28616.655304489152</v>
      </c>
      <c r="S13" s="62">
        <f t="shared" si="5"/>
        <v>30702.752449330634</v>
      </c>
      <c r="T13" s="62">
        <f t="shared" si="5"/>
        <v>31847.474624858402</v>
      </c>
      <c r="U13" s="62">
        <f t="shared" si="5"/>
        <v>32731.715627961501</v>
      </c>
      <c r="V13" s="62">
        <f t="shared" si="5"/>
        <v>33514.773495059148</v>
      </c>
      <c r="W13" s="62">
        <f t="shared" si="5"/>
        <v>36106.775034150909</v>
      </c>
      <c r="X13" s="62">
        <f t="shared" ref="X13:Y13" si="6">IF(X3=0,0,X3/X7)</f>
        <v>0</v>
      </c>
      <c r="Y13" s="62">
        <f t="shared" si="6"/>
        <v>0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0</v>
      </c>
      <c r="C14" s="63">
        <f t="shared" si="5"/>
        <v>0</v>
      </c>
      <c r="D14" s="63">
        <f t="shared" si="5"/>
        <v>0</v>
      </c>
      <c r="E14" s="63">
        <f t="shared" si="5"/>
        <v>0</v>
      </c>
      <c r="F14" s="63">
        <f t="shared" si="5"/>
        <v>0</v>
      </c>
      <c r="G14" s="63">
        <f t="shared" si="5"/>
        <v>6830.676616726254</v>
      </c>
      <c r="H14" s="63">
        <f t="shared" si="5"/>
        <v>7109.4975258950844</v>
      </c>
      <c r="I14" s="63">
        <f t="shared" si="5"/>
        <v>7593.734615018906</v>
      </c>
      <c r="J14" s="63">
        <f t="shared" si="5"/>
        <v>7804.5293514677187</v>
      </c>
      <c r="K14" s="63">
        <f t="shared" si="5"/>
        <v>7646.019331640633</v>
      </c>
      <c r="L14" s="63">
        <f t="shared" si="5"/>
        <v>7659.3998896252015</v>
      </c>
      <c r="M14" s="63">
        <f t="shared" si="5"/>
        <v>7326.1725430565684</v>
      </c>
      <c r="N14" s="63">
        <f t="shared" si="5"/>
        <v>7429.1967494257951</v>
      </c>
      <c r="O14" s="63">
        <f t="shared" si="5"/>
        <v>7483.3774146839105</v>
      </c>
      <c r="P14" s="63">
        <f t="shared" si="5"/>
        <v>7471.7559972095542</v>
      </c>
      <c r="Q14" s="63">
        <f t="shared" si="5"/>
        <v>8236.3308960401901</v>
      </c>
      <c r="R14" s="63">
        <f t="shared" si="5"/>
        <v>8551.1100904998148</v>
      </c>
      <c r="S14" s="63">
        <f t="shared" si="5"/>
        <v>8729.448077022209</v>
      </c>
      <c r="T14" s="63">
        <f t="shared" si="5"/>
        <v>8620.9173216918025</v>
      </c>
      <c r="U14" s="63">
        <f t="shared" si="5"/>
        <v>8539.5556479898678</v>
      </c>
      <c r="V14" s="63">
        <f t="shared" si="5"/>
        <v>9205.7807190533986</v>
      </c>
      <c r="W14" s="63">
        <f t="shared" si="5"/>
        <v>8756.9876263332408</v>
      </c>
      <c r="X14" s="63">
        <f t="shared" ref="X14:Y14" si="7">IF(X4=0,0,X4/X8)</f>
        <v>0</v>
      </c>
      <c r="Y14" s="63">
        <f t="shared" si="7"/>
        <v>0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0</v>
      </c>
      <c r="C15" s="64">
        <f t="shared" si="5"/>
        <v>0</v>
      </c>
      <c r="D15" s="64">
        <f t="shared" si="5"/>
        <v>0</v>
      </c>
      <c r="E15" s="64">
        <f t="shared" si="5"/>
        <v>0</v>
      </c>
      <c r="F15" s="64">
        <f t="shared" si="5"/>
        <v>0</v>
      </c>
      <c r="G15" s="64">
        <f t="shared" si="5"/>
        <v>26307.597137356661</v>
      </c>
      <c r="H15" s="64">
        <f t="shared" si="5"/>
        <v>27210.075878814267</v>
      </c>
      <c r="I15" s="64">
        <f t="shared" si="5"/>
        <v>29047.196980986359</v>
      </c>
      <c r="J15" s="64">
        <f t="shared" si="5"/>
        <v>30431.151426900669</v>
      </c>
      <c r="K15" s="64">
        <f t="shared" si="5"/>
        <v>29721.398594995346</v>
      </c>
      <c r="L15" s="64">
        <f t="shared" si="5"/>
        <v>32794.81484868961</v>
      </c>
      <c r="M15" s="64">
        <f t="shared" si="5"/>
        <v>35350.630915443478</v>
      </c>
      <c r="N15" s="64">
        <f t="shared" si="5"/>
        <v>36386.027571146653</v>
      </c>
      <c r="O15" s="64">
        <f t="shared" si="5"/>
        <v>37092.933737976178</v>
      </c>
      <c r="P15" s="64">
        <f t="shared" si="5"/>
        <v>37142.376966948061</v>
      </c>
      <c r="Q15" s="64">
        <f t="shared" si="5"/>
        <v>40048.702320201999</v>
      </c>
      <c r="R15" s="64">
        <f t="shared" si="5"/>
        <v>39635.786442375495</v>
      </c>
      <c r="S15" s="64">
        <f t="shared" si="5"/>
        <v>41562.891821281723</v>
      </c>
      <c r="T15" s="64">
        <f t="shared" si="5"/>
        <v>42600.075771884338</v>
      </c>
      <c r="U15" s="64">
        <f t="shared" si="5"/>
        <v>43203.167568434037</v>
      </c>
      <c r="V15" s="64">
        <f t="shared" si="5"/>
        <v>42491.724483296981</v>
      </c>
      <c r="W15" s="64">
        <f t="shared" si="5"/>
        <v>44200.416811530813</v>
      </c>
      <c r="X15" s="64">
        <f t="shared" ref="X15:Y15" si="8">IF(X5=0,0,X5/X9)</f>
        <v>0</v>
      </c>
      <c r="Y15" s="64">
        <f t="shared" si="8"/>
        <v>0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0</v>
      </c>
      <c r="C17" s="65">
        <f t="shared" si="9"/>
        <v>0</v>
      </c>
      <c r="D17" s="65">
        <f t="shared" si="9"/>
        <v>0</v>
      </c>
      <c r="E17" s="65">
        <f t="shared" si="9"/>
        <v>0</v>
      </c>
      <c r="F17" s="65">
        <f t="shared" si="9"/>
        <v>0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0</v>
      </c>
      <c r="Y17" s="65">
        <f t="shared" si="10"/>
        <v>0</v>
      </c>
      <c r="DA17" s="172"/>
    </row>
    <row r="18" spans="1:105" ht="11.45" customHeight="1" x14ac:dyDescent="0.25">
      <c r="A18" s="55" t="s">
        <v>166</v>
      </c>
      <c r="B18" s="66">
        <f t="shared" si="9"/>
        <v>0</v>
      </c>
      <c r="C18" s="66">
        <f t="shared" si="9"/>
        <v>0</v>
      </c>
      <c r="D18" s="66">
        <f t="shared" si="9"/>
        <v>0</v>
      </c>
      <c r="E18" s="66">
        <f t="shared" si="9"/>
        <v>0</v>
      </c>
      <c r="F18" s="66">
        <f t="shared" si="9"/>
        <v>0</v>
      </c>
      <c r="G18" s="66">
        <f t="shared" si="9"/>
        <v>0.16003620799331622</v>
      </c>
      <c r="H18" s="66">
        <f t="shared" si="9"/>
        <v>0.15973939801716638</v>
      </c>
      <c r="I18" s="66">
        <f t="shared" si="9"/>
        <v>0.14637614014171296</v>
      </c>
      <c r="J18" s="66">
        <f t="shared" si="9"/>
        <v>0.14523755990670748</v>
      </c>
      <c r="K18" s="66">
        <f t="shared" si="9"/>
        <v>0.15109299921307659</v>
      </c>
      <c r="L18" s="66">
        <f t="shared" si="9"/>
        <v>0.10764076179994937</v>
      </c>
      <c r="M18" s="66">
        <f t="shared" si="9"/>
        <v>8.1702671556328862E-2</v>
      </c>
      <c r="N18" s="66">
        <f t="shared" si="9"/>
        <v>0.10855315854933337</v>
      </c>
      <c r="O18" s="66">
        <f t="shared" si="9"/>
        <v>8.9333269223304423E-2</v>
      </c>
      <c r="P18" s="66">
        <f t="shared" si="9"/>
        <v>9.9460323907102327E-2</v>
      </c>
      <c r="Q18" s="66">
        <f t="shared" si="9"/>
        <v>9.609413270764379E-2</v>
      </c>
      <c r="R18" s="66">
        <f t="shared" si="9"/>
        <v>0.10592650108016168</v>
      </c>
      <c r="S18" s="66">
        <f t="shared" si="9"/>
        <v>9.4043425046562185E-2</v>
      </c>
      <c r="T18" s="66">
        <f t="shared" si="9"/>
        <v>8.5660261860675685E-2</v>
      </c>
      <c r="U18" s="66">
        <f t="shared" si="9"/>
        <v>7.8813314746973062E-2</v>
      </c>
      <c r="V18" s="66">
        <f t="shared" si="9"/>
        <v>7.4078523251929457E-2</v>
      </c>
      <c r="W18" s="66">
        <f t="shared" si="9"/>
        <v>5.5382719960478194E-2</v>
      </c>
      <c r="X18" s="66">
        <f t="shared" ref="X18:Y18" si="11">IF(X4=0,0,X4/X$3)</f>
        <v>0</v>
      </c>
      <c r="Y18" s="66">
        <f t="shared" si="11"/>
        <v>0</v>
      </c>
      <c r="DA18" s="181"/>
    </row>
    <row r="19" spans="1:105" ht="11.45" customHeight="1" x14ac:dyDescent="0.25">
      <c r="A19" s="57" t="s">
        <v>167</v>
      </c>
      <c r="B19" s="67">
        <f t="shared" si="9"/>
        <v>0</v>
      </c>
      <c r="C19" s="67">
        <f t="shared" si="9"/>
        <v>0</v>
      </c>
      <c r="D19" s="67">
        <f t="shared" si="9"/>
        <v>0</v>
      </c>
      <c r="E19" s="67">
        <f t="shared" si="9"/>
        <v>0</v>
      </c>
      <c r="F19" s="67">
        <f t="shared" si="9"/>
        <v>0</v>
      </c>
      <c r="G19" s="67">
        <f t="shared" si="9"/>
        <v>0.83996379200668381</v>
      </c>
      <c r="H19" s="67">
        <f t="shared" si="9"/>
        <v>0.84026060198283359</v>
      </c>
      <c r="I19" s="67">
        <f t="shared" si="9"/>
        <v>0.85362385985828715</v>
      </c>
      <c r="J19" s="67">
        <f t="shared" si="9"/>
        <v>0.8547624400932925</v>
      </c>
      <c r="K19" s="67">
        <f t="shared" si="9"/>
        <v>0.84890700078692338</v>
      </c>
      <c r="L19" s="67">
        <f t="shared" si="9"/>
        <v>0.89235923820005059</v>
      </c>
      <c r="M19" s="67">
        <f t="shared" si="9"/>
        <v>0.91829732844367107</v>
      </c>
      <c r="N19" s="67">
        <f t="shared" si="9"/>
        <v>0.89144684145066655</v>
      </c>
      <c r="O19" s="67">
        <f t="shared" si="9"/>
        <v>0.91066673077669558</v>
      </c>
      <c r="P19" s="67">
        <f t="shared" si="9"/>
        <v>0.90053967609289765</v>
      </c>
      <c r="Q19" s="67">
        <f t="shared" si="9"/>
        <v>0.90390586729235611</v>
      </c>
      <c r="R19" s="67">
        <f t="shared" si="9"/>
        <v>0.89407349891983834</v>
      </c>
      <c r="S19" s="67">
        <f t="shared" si="9"/>
        <v>0.90595657495343795</v>
      </c>
      <c r="T19" s="67">
        <f t="shared" si="9"/>
        <v>0.91433973813932423</v>
      </c>
      <c r="U19" s="67">
        <f t="shared" si="9"/>
        <v>0.92118668525302694</v>
      </c>
      <c r="V19" s="67">
        <f t="shared" si="9"/>
        <v>0.92592147674807046</v>
      </c>
      <c r="W19" s="67">
        <f t="shared" si="9"/>
        <v>0.94461728003952172</v>
      </c>
      <c r="X19" s="67">
        <f t="shared" ref="X19:Y19" si="12">IF(X5=0,0,X5/X$3)</f>
        <v>0</v>
      </c>
      <c r="Y19" s="67">
        <f t="shared" si="12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0</v>
      </c>
      <c r="C21" s="65">
        <f t="shared" si="13"/>
        <v>0</v>
      </c>
      <c r="D21" s="65">
        <f t="shared" si="13"/>
        <v>0</v>
      </c>
      <c r="E21" s="65">
        <f t="shared" si="13"/>
        <v>0</v>
      </c>
      <c r="F21" s="65">
        <f t="shared" si="13"/>
        <v>0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0</v>
      </c>
      <c r="Y21" s="65">
        <f t="shared" si="14"/>
        <v>0</v>
      </c>
      <c r="DA21" s="172"/>
    </row>
    <row r="22" spans="1:105" ht="11.45" customHeight="1" x14ac:dyDescent="0.25">
      <c r="A22" s="55" t="s">
        <v>166</v>
      </c>
      <c r="B22" s="66">
        <f t="shared" si="13"/>
        <v>0</v>
      </c>
      <c r="C22" s="66">
        <f t="shared" si="13"/>
        <v>0</v>
      </c>
      <c r="D22" s="66">
        <f t="shared" si="13"/>
        <v>0</v>
      </c>
      <c r="E22" s="66">
        <f t="shared" si="13"/>
        <v>0</v>
      </c>
      <c r="F22" s="66">
        <f t="shared" si="13"/>
        <v>0</v>
      </c>
      <c r="G22" s="66">
        <f t="shared" si="13"/>
        <v>0.42323076609966054</v>
      </c>
      <c r="H22" s="66">
        <f t="shared" si="13"/>
        <v>0.42116017168318604</v>
      </c>
      <c r="I22" s="66">
        <f t="shared" si="13"/>
        <v>0.39610702086526228</v>
      </c>
      <c r="J22" s="66">
        <f t="shared" si="13"/>
        <v>0.39850689161103353</v>
      </c>
      <c r="K22" s="66">
        <f t="shared" si="13"/>
        <v>0.40893446458924881</v>
      </c>
      <c r="L22" s="66">
        <f t="shared" si="13"/>
        <v>0.34057506231207613</v>
      </c>
      <c r="M22" s="66">
        <f t="shared" si="13"/>
        <v>0.30036266063500949</v>
      </c>
      <c r="N22" s="66">
        <f t="shared" si="13"/>
        <v>0.37359174458775413</v>
      </c>
      <c r="O22" s="66">
        <f t="shared" si="13"/>
        <v>0.3271594395389229</v>
      </c>
      <c r="P22" s="66">
        <f t="shared" si="13"/>
        <v>0.35443363298107328</v>
      </c>
      <c r="Q22" s="66">
        <f t="shared" si="13"/>
        <v>0.34077203639871201</v>
      </c>
      <c r="R22" s="66">
        <f t="shared" si="13"/>
        <v>0.35448756207562826</v>
      </c>
      <c r="S22" s="66">
        <f t="shared" si="13"/>
        <v>0.33076455386589876</v>
      </c>
      <c r="T22" s="66">
        <f t="shared" si="13"/>
        <v>0.31644695270447493</v>
      </c>
      <c r="U22" s="66">
        <f t="shared" si="13"/>
        <v>0.30208773293750746</v>
      </c>
      <c r="V22" s="66">
        <f t="shared" si="13"/>
        <v>0.26969194720208145</v>
      </c>
      <c r="W22" s="66">
        <f t="shared" si="13"/>
        <v>0.22835380106956751</v>
      </c>
      <c r="X22" s="66">
        <f t="shared" ref="X22:Y22" si="15">IF(X8=0,0,X8/X$7)</f>
        <v>0</v>
      </c>
      <c r="Y22" s="66">
        <f t="shared" si="15"/>
        <v>0</v>
      </c>
      <c r="DA22" s="181"/>
    </row>
    <row r="23" spans="1:105" ht="11.45" customHeight="1" x14ac:dyDescent="0.25">
      <c r="A23" s="57" t="s">
        <v>167</v>
      </c>
      <c r="B23" s="67">
        <f t="shared" si="13"/>
        <v>0</v>
      </c>
      <c r="C23" s="67">
        <f t="shared" si="13"/>
        <v>0</v>
      </c>
      <c r="D23" s="67">
        <f t="shared" si="13"/>
        <v>0</v>
      </c>
      <c r="E23" s="67">
        <f t="shared" si="13"/>
        <v>0</v>
      </c>
      <c r="F23" s="67">
        <f t="shared" si="13"/>
        <v>0</v>
      </c>
      <c r="G23" s="67">
        <f t="shared" si="13"/>
        <v>0.57676923390033952</v>
      </c>
      <c r="H23" s="67">
        <f t="shared" si="13"/>
        <v>0.57883982831681402</v>
      </c>
      <c r="I23" s="67">
        <f t="shared" si="13"/>
        <v>0.60389297913473772</v>
      </c>
      <c r="J23" s="67">
        <f t="shared" si="13"/>
        <v>0.60149310838896652</v>
      </c>
      <c r="K23" s="67">
        <f t="shared" si="13"/>
        <v>0.59106553541075113</v>
      </c>
      <c r="L23" s="67">
        <f t="shared" si="13"/>
        <v>0.65942493768792387</v>
      </c>
      <c r="M23" s="67">
        <f t="shared" si="13"/>
        <v>0.69963733936499051</v>
      </c>
      <c r="N23" s="67">
        <f t="shared" si="13"/>
        <v>0.62640825541224587</v>
      </c>
      <c r="O23" s="67">
        <f t="shared" si="13"/>
        <v>0.6728405604610771</v>
      </c>
      <c r="P23" s="67">
        <f t="shared" si="13"/>
        <v>0.64556636701892667</v>
      </c>
      <c r="Q23" s="67">
        <f t="shared" si="13"/>
        <v>0.65922796360128799</v>
      </c>
      <c r="R23" s="67">
        <f t="shared" si="13"/>
        <v>0.64551243792437174</v>
      </c>
      <c r="S23" s="67">
        <f t="shared" si="13"/>
        <v>0.66923544613410124</v>
      </c>
      <c r="T23" s="67">
        <f t="shared" si="13"/>
        <v>0.68355304729552502</v>
      </c>
      <c r="U23" s="67">
        <f t="shared" si="13"/>
        <v>0.69791226706249265</v>
      </c>
      <c r="V23" s="67">
        <f t="shared" si="13"/>
        <v>0.73030805279791855</v>
      </c>
      <c r="W23" s="67">
        <f t="shared" si="13"/>
        <v>0.7716461989304324</v>
      </c>
      <c r="X23" s="67">
        <f t="shared" ref="X23:Y23" si="16">IF(X9=0,0,X9/X$7)</f>
        <v>0</v>
      </c>
      <c r="Y23" s="67">
        <f t="shared" si="16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21.228632846087699</v>
      </c>
      <c r="H3" s="62">
        <f t="shared" si="0"/>
        <v>28.948151332760098</v>
      </c>
      <c r="I3" s="62">
        <f t="shared" si="0"/>
        <v>48.192433361994837</v>
      </c>
      <c r="J3" s="62">
        <f t="shared" si="0"/>
        <v>65.803009458297495</v>
      </c>
      <c r="K3" s="62">
        <f t="shared" si="0"/>
        <v>32.460103181427343</v>
      </c>
      <c r="L3" s="62">
        <f t="shared" si="0"/>
        <v>18.679621668099735</v>
      </c>
      <c r="M3" s="62">
        <f t="shared" si="0"/>
        <v>32.405674978503868</v>
      </c>
      <c r="N3" s="62">
        <f t="shared" si="0"/>
        <v>50.05477214101461</v>
      </c>
      <c r="O3" s="62">
        <f t="shared" si="0"/>
        <v>60.844969905417017</v>
      </c>
      <c r="P3" s="62">
        <f t="shared" si="0"/>
        <v>56.898710232158209</v>
      </c>
      <c r="Q3" s="62">
        <f t="shared" si="0"/>
        <v>63.720722269991398</v>
      </c>
      <c r="R3" s="62">
        <f t="shared" si="0"/>
        <v>121.55064488392088</v>
      </c>
      <c r="S3" s="62">
        <f t="shared" si="0"/>
        <v>154.19406706792779</v>
      </c>
      <c r="T3" s="62">
        <f t="shared" si="0"/>
        <v>225.41092003439377</v>
      </c>
      <c r="U3" s="62">
        <f t="shared" si="0"/>
        <v>190.44746345657776</v>
      </c>
      <c r="V3" s="62">
        <f t="shared" si="0"/>
        <v>115.44995700773856</v>
      </c>
      <c r="W3" s="62">
        <f t="shared" si="0"/>
        <v>85.820722269991407</v>
      </c>
      <c r="X3" s="62">
        <f t="shared" ref="X3:Y3" si="1">SUM(X4,X10)</f>
        <v>0</v>
      </c>
      <c r="Y3" s="62">
        <f t="shared" si="1"/>
        <v>0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0</v>
      </c>
      <c r="C4" s="71">
        <f t="shared" ref="C4:W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8.8345269098831132</v>
      </c>
      <c r="H4" s="71">
        <f t="shared" si="2"/>
        <v>11.992171755864502</v>
      </c>
      <c r="I4" s="71">
        <f t="shared" si="2"/>
        <v>19.182364587834368</v>
      </c>
      <c r="J4" s="71">
        <f t="shared" si="2"/>
        <v>26.207050944555391</v>
      </c>
      <c r="K4" s="71">
        <f t="shared" si="2"/>
        <v>13.225317133041562</v>
      </c>
      <c r="L4" s="71">
        <f t="shared" si="2"/>
        <v>6.3484509826010811</v>
      </c>
      <c r="M4" s="71">
        <f t="shared" si="2"/>
        <v>9.3645733517831609</v>
      </c>
      <c r="N4" s="71">
        <f t="shared" si="2"/>
        <v>17.371574628097985</v>
      </c>
      <c r="O4" s="71">
        <f t="shared" si="2"/>
        <v>18.743383035517276</v>
      </c>
      <c r="P4" s="71">
        <f t="shared" si="2"/>
        <v>18.698032556182323</v>
      </c>
      <c r="Q4" s="71">
        <f t="shared" si="2"/>
        <v>20.493471355180858</v>
      </c>
      <c r="R4" s="71">
        <f t="shared" si="2"/>
        <v>41.149620218551341</v>
      </c>
      <c r="S4" s="71">
        <f t="shared" si="2"/>
        <v>48.686628275079542</v>
      </c>
      <c r="T4" s="71">
        <f t="shared" si="2"/>
        <v>67.28154342239344</v>
      </c>
      <c r="U4" s="71">
        <f t="shared" si="2"/>
        <v>54.328261644089679</v>
      </c>
      <c r="V4" s="71">
        <f t="shared" si="2"/>
        <v>27.314642195144483</v>
      </c>
      <c r="W4" s="71">
        <f t="shared" si="2"/>
        <v>17.190163339869372</v>
      </c>
      <c r="X4" s="71">
        <f t="shared" ref="X4:Y4" si="3">SUM(X5:X9)</f>
        <v>0</v>
      </c>
      <c r="Y4" s="71">
        <f t="shared" si="3"/>
        <v>0</v>
      </c>
      <c r="DA4" s="186" t="s">
        <v>971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13.475797356790617</v>
      </c>
      <c r="U5" s="73">
        <v>19.20967449923095</v>
      </c>
      <c r="V5" s="73">
        <v>5.4965949282635913</v>
      </c>
      <c r="W5" s="73">
        <v>6.8025415248967347</v>
      </c>
      <c r="X5" s="73">
        <v>0</v>
      </c>
      <c r="Y5" s="73">
        <v>0</v>
      </c>
      <c r="DA5" s="187" t="s">
        <v>972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8.8345269098831132</v>
      </c>
      <c r="H6" s="73">
        <v>11.992171755864502</v>
      </c>
      <c r="I6" s="73">
        <v>19.182364587834368</v>
      </c>
      <c r="J6" s="73">
        <v>26.207050944555391</v>
      </c>
      <c r="K6" s="73">
        <v>13.225317133041562</v>
      </c>
      <c r="L6" s="73">
        <v>6.3484509826010811</v>
      </c>
      <c r="M6" s="73">
        <v>9.3645733517831609</v>
      </c>
      <c r="N6" s="73">
        <v>17.371574628097985</v>
      </c>
      <c r="O6" s="73">
        <v>18.743383035517276</v>
      </c>
      <c r="P6" s="73">
        <v>18.698032556182323</v>
      </c>
      <c r="Q6" s="73">
        <v>20.493471355180858</v>
      </c>
      <c r="R6" s="73">
        <v>41.149620218551341</v>
      </c>
      <c r="S6" s="73">
        <v>48.686628275079542</v>
      </c>
      <c r="T6" s="73">
        <v>53.805746065602825</v>
      </c>
      <c r="U6" s="73">
        <v>35.118587144858729</v>
      </c>
      <c r="V6" s="73">
        <v>21.818047266880892</v>
      </c>
      <c r="W6" s="73">
        <v>10.387621814972636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0</v>
      </c>
      <c r="C10" s="71">
        <f t="shared" ref="C10:W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12.394105936204586</v>
      </c>
      <c r="H10" s="71">
        <f t="shared" si="4"/>
        <v>16.955979576895597</v>
      </c>
      <c r="I10" s="71">
        <f t="shared" si="4"/>
        <v>29.010068774160469</v>
      </c>
      <c r="J10" s="71">
        <f t="shared" si="4"/>
        <v>39.595958513742104</v>
      </c>
      <c r="K10" s="71">
        <f t="shared" si="4"/>
        <v>19.234786048385782</v>
      </c>
      <c r="L10" s="71">
        <f t="shared" si="4"/>
        <v>12.331170685498655</v>
      </c>
      <c r="M10" s="71">
        <f t="shared" si="4"/>
        <v>23.041101626720707</v>
      </c>
      <c r="N10" s="71">
        <f t="shared" si="4"/>
        <v>32.683197512916628</v>
      </c>
      <c r="O10" s="71">
        <f t="shared" si="4"/>
        <v>42.101586869899741</v>
      </c>
      <c r="P10" s="71">
        <f t="shared" si="4"/>
        <v>38.200677675975889</v>
      </c>
      <c r="Q10" s="71">
        <f t="shared" si="4"/>
        <v>43.22725091481054</v>
      </c>
      <c r="R10" s="71">
        <f t="shared" si="4"/>
        <v>80.401024665369548</v>
      </c>
      <c r="S10" s="71">
        <f t="shared" si="4"/>
        <v>105.50743879284826</v>
      </c>
      <c r="T10" s="71">
        <f t="shared" si="4"/>
        <v>158.12937661200033</v>
      </c>
      <c r="U10" s="71">
        <f t="shared" si="4"/>
        <v>136.11920181248809</v>
      </c>
      <c r="V10" s="71">
        <f t="shared" si="4"/>
        <v>88.135314812594075</v>
      </c>
      <c r="W10" s="71">
        <f t="shared" si="4"/>
        <v>68.630558930122035</v>
      </c>
      <c r="X10" s="71">
        <f t="shared" ref="X10:Y10" si="5">SUM(X11:X15)</f>
        <v>0</v>
      </c>
      <c r="Y10" s="71">
        <f t="shared" si="5"/>
        <v>0</v>
      </c>
      <c r="DA10" s="186" t="s">
        <v>977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6.2695164867175546</v>
      </c>
      <c r="U11" s="73">
        <v>9.5342635919126408</v>
      </c>
      <c r="V11" s="73">
        <v>3.5274807381164597</v>
      </c>
      <c r="W11" s="73">
        <v>5.3828411062296651</v>
      </c>
      <c r="X11" s="73">
        <v>0</v>
      </c>
      <c r="Y11" s="73">
        <v>0</v>
      </c>
      <c r="DA11" s="187" t="s">
        <v>978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12.394105936204586</v>
      </c>
      <c r="H12" s="73">
        <v>16.955979576895597</v>
      </c>
      <c r="I12" s="73">
        <v>29.010068774160469</v>
      </c>
      <c r="J12" s="73">
        <v>39.595958513742104</v>
      </c>
      <c r="K12" s="73">
        <v>19.234786048385782</v>
      </c>
      <c r="L12" s="73">
        <v>12.331170685498655</v>
      </c>
      <c r="M12" s="73">
        <v>23.041101626720707</v>
      </c>
      <c r="N12" s="73">
        <v>32.683197512916628</v>
      </c>
      <c r="O12" s="73">
        <v>42.101586869899741</v>
      </c>
      <c r="P12" s="73">
        <v>38.200677675975889</v>
      </c>
      <c r="Q12" s="73">
        <v>43.22725091481054</v>
      </c>
      <c r="R12" s="73">
        <v>80.401024665369548</v>
      </c>
      <c r="S12" s="73">
        <v>105.50743879284826</v>
      </c>
      <c r="T12" s="73">
        <v>151.85986012528278</v>
      </c>
      <c r="U12" s="73">
        <v>126.58493822057545</v>
      </c>
      <c r="V12" s="73">
        <v>84.607834074477609</v>
      </c>
      <c r="W12" s="73">
        <v>63.247717823892373</v>
      </c>
      <c r="X12" s="73">
        <v>0</v>
      </c>
      <c r="Y12" s="73">
        <v>0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1004.7663375488133</v>
      </c>
      <c r="H19" s="62">
        <f>IF(H3=0,0,H3/MBunk_act!H7*100)</f>
        <v>1112.2349948288374</v>
      </c>
      <c r="I19" s="62">
        <f>IF(I3=0,0,I3/MBunk_act!I7*100)</f>
        <v>1930.9606579917997</v>
      </c>
      <c r="J19" s="62">
        <f>IF(J3=0,0,J3/MBunk_act!J7*100)</f>
        <v>2540.6243649520102</v>
      </c>
      <c r="K19" s="62">
        <f>IF(K3=0,0,K3/MBunk_act!K7*100)</f>
        <v>1574.1933585074473</v>
      </c>
      <c r="L19" s="62">
        <f>IF(L3=0,0,L3/MBunk_act!L7*100)</f>
        <v>916.68911822338009</v>
      </c>
      <c r="M19" s="62">
        <f>IF(M3=0,0,M3/MBunk_act!M7*100)</f>
        <v>1468.298683860146</v>
      </c>
      <c r="N19" s="62">
        <f>IF(N3=0,0,N3/MBunk_act!N7*100)</f>
        <v>2198.0870403840599</v>
      </c>
      <c r="O19" s="62">
        <f>IF(O3=0,0,O3/MBunk_act!O7*100)</f>
        <v>2977.6498701626083</v>
      </c>
      <c r="P19" s="62">
        <f>IF(P3=0,0,P3/MBunk_act!P7*100)</f>
        <v>2521.2554733158813</v>
      </c>
      <c r="Q19" s="62">
        <f>IF(Q3=0,0,Q3/MBunk_act!Q7*100)</f>
        <v>2824.6202972285787</v>
      </c>
      <c r="R19" s="62">
        <f>IF(R3=0,0,R3/MBunk_act!R7*100)</f>
        <v>4948.5703525383069</v>
      </c>
      <c r="S19" s="62">
        <f>IF(S3=0,0,S3/MBunk_act!S7*100)</f>
        <v>5975.1177173679098</v>
      </c>
      <c r="T19" s="62">
        <f>IF(T3=0,0,T3/MBunk_act!T7*100)</f>
        <v>8088.2865122118146</v>
      </c>
      <c r="U19" s="62">
        <f>IF(U3=0,0,U3/MBunk_act!U7*100)</f>
        <v>7719.5558250115228</v>
      </c>
      <c r="V19" s="62">
        <f>IF(V3=0,0,V3/MBunk_act!V7*100)</f>
        <v>5622.9635687221171</v>
      </c>
      <c r="W19" s="62">
        <f>IF(W3=0,0,W3/MBunk_act!W7*100)</f>
        <v>3914.3307116382816</v>
      </c>
      <c r="X19" s="62">
        <f>IF(X3=0,0,X3/MBunk_act!X7*100)</f>
        <v>0</v>
      </c>
      <c r="Y19" s="62">
        <f>IF(Y3=0,0,Y3/MBunk_act!Y7*100)</f>
        <v>0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987.98219522534828</v>
      </c>
      <c r="H20" s="63">
        <f>IF(H4=0,0,H4/MBunk_act!H8*100)</f>
        <v>1094.0225329528976</v>
      </c>
      <c r="I20" s="63">
        <f>IF(I4=0,0,I4/MBunk_act!I8*100)</f>
        <v>1940.3682996087746</v>
      </c>
      <c r="J20" s="63">
        <f>IF(J4=0,0,J4/MBunk_act!J8*100)</f>
        <v>2539.083709529019</v>
      </c>
      <c r="K20" s="63">
        <f>IF(K4=0,0,K4/MBunk_act!K8*100)</f>
        <v>1568.4134598124072</v>
      </c>
      <c r="L20" s="63">
        <f>IF(L4=0,0,L4/MBunk_act!L8*100)</f>
        <v>914.76370752711205</v>
      </c>
      <c r="M20" s="63">
        <f>IF(M4=0,0,M4/MBunk_act!M8*100)</f>
        <v>1412.6526574290453</v>
      </c>
      <c r="N20" s="63">
        <f>IF(N4=0,0,N4/MBunk_act!N8*100)</f>
        <v>2041.9321754536611</v>
      </c>
      <c r="O20" s="63">
        <f>IF(O4=0,0,O4/MBunk_act!O8*100)</f>
        <v>2803.7382965079678</v>
      </c>
      <c r="P20" s="63">
        <f>IF(P4=0,0,P4/MBunk_act!P8*100)</f>
        <v>2337.6280900171932</v>
      </c>
      <c r="Q20" s="63">
        <f>IF(Q4=0,0,Q4/MBunk_act!Q8*100)</f>
        <v>2665.820879790524</v>
      </c>
      <c r="R20" s="63">
        <f>IF(R4=0,0,R4/MBunk_act!R8*100)</f>
        <v>4725.9302897086709</v>
      </c>
      <c r="S20" s="63">
        <f>IF(S4=0,0,S4/MBunk_act!S8*100)</f>
        <v>5703.8689501388917</v>
      </c>
      <c r="T20" s="63">
        <f>IF(T4=0,0,T4/MBunk_act!T8*100)</f>
        <v>7629.1578889209031</v>
      </c>
      <c r="U20" s="63">
        <f>IF(U4=0,0,U4/MBunk_act!U8*100)</f>
        <v>7289.7030681453643</v>
      </c>
      <c r="V20" s="63">
        <f>IF(V4=0,0,V4/MBunk_act!V8*100)</f>
        <v>4932.8627403968167</v>
      </c>
      <c r="W20" s="63">
        <f>IF(W4=0,0,W4/MBunk_act!W8*100)</f>
        <v>3433.5004473833287</v>
      </c>
      <c r="X20" s="63">
        <f>IF(X4=0,0,X4/MBunk_act!X8*100)</f>
        <v>0</v>
      </c>
      <c r="Y20" s="63">
        <f>IF(Y4=0,0,Y4/MBunk_act!Y8*100)</f>
        <v>0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1017.0824685009597</v>
      </c>
      <c r="H21" s="64">
        <f>IF(H10=0,0,H10/MBunk_act!H9*100)</f>
        <v>1125.4862660703977</v>
      </c>
      <c r="I21" s="64">
        <f>IF(I10=0,0,I10/MBunk_act!I9*100)</f>
        <v>1924.7899737430653</v>
      </c>
      <c r="J21" s="64">
        <f>IF(J10=0,0,J10/MBunk_act!J9*100)</f>
        <v>2541.6450945249626</v>
      </c>
      <c r="K21" s="64">
        <f>IF(K10=0,0,K10/MBunk_act!K9*100)</f>
        <v>1578.1922378814477</v>
      </c>
      <c r="L21" s="64">
        <f>IF(L10=0,0,L10/MBunk_act!L9*100)</f>
        <v>917.6835405304239</v>
      </c>
      <c r="M21" s="64">
        <f>IF(M10=0,0,M10/MBunk_act!M9*100)</f>
        <v>1492.1881871959479</v>
      </c>
      <c r="N21" s="64">
        <f>IF(N10=0,0,N10/MBunk_act!N9*100)</f>
        <v>2291.2182657648946</v>
      </c>
      <c r="O21" s="64">
        <f>IF(O10=0,0,O10/MBunk_act!O9*100)</f>
        <v>3062.2119734448402</v>
      </c>
      <c r="P21" s="64">
        <f>IF(P10=0,0,P10/MBunk_act!P9*100)</f>
        <v>2622.0719406884045</v>
      </c>
      <c r="Q21" s="64">
        <f>IF(Q10=0,0,Q10/MBunk_act!Q9*100)</f>
        <v>2906.7078357542114</v>
      </c>
      <c r="R21" s="64">
        <f>IF(R10=0,0,R10/MBunk_act!R9*100)</f>
        <v>5070.8346629621592</v>
      </c>
      <c r="S21" s="64">
        <f>IF(S10=0,0,S10/MBunk_act!S9*100)</f>
        <v>6109.1803675121209</v>
      </c>
      <c r="T21" s="64">
        <f>IF(T10=0,0,T10/MBunk_act!T9*100)</f>
        <v>8300.8374683002257</v>
      </c>
      <c r="U21" s="64">
        <f>IF(U10=0,0,U10/MBunk_act!U9*100)</f>
        <v>7905.6153785499437</v>
      </c>
      <c r="V21" s="64">
        <f>IF(V10=0,0,V10/MBunk_act!V9*100)</f>
        <v>5877.8075834413667</v>
      </c>
      <c r="W21" s="64">
        <f>IF(W10=0,0,W10/MBunk_act!W9*100)</f>
        <v>4056.6231491103954</v>
      </c>
      <c r="X21" s="64">
        <f>IF(X10=0,0,X10/MBunk_act!X9*100)</f>
        <v>0</v>
      </c>
      <c r="Y21" s="64">
        <f>IF(Y10=0,0,Y10/MBunk_act!Y9*100)</f>
        <v>0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0.55621458574994931</v>
      </c>
      <c r="H23" s="62">
        <f>IF(H3=0,0,H3/MBunk_act!H3*1000)</f>
        <v>0.59336564455019702</v>
      </c>
      <c r="I23" s="62">
        <f>IF(I3=0,0,I3/MBunk_act!I3*1000)</f>
        <v>0.93967086318093307</v>
      </c>
      <c r="J23" s="62">
        <f>IF(J3=0,0,J3/MBunk_act!J3*1000)</f>
        <v>1.1864155985616864</v>
      </c>
      <c r="K23" s="62">
        <f>IF(K3=0,0,K3/MBunk_act!K3*1000)</f>
        <v>0.76069981762777228</v>
      </c>
      <c r="L23" s="62">
        <f>IF(L3=0,0,L3/MBunk_act!L3*1000)</f>
        <v>0.37826072423827362</v>
      </c>
      <c r="M23" s="62">
        <f>IF(M3=0,0,M3/MBunk_act!M3*1000)</f>
        <v>0.54516451741972805</v>
      </c>
      <c r="N23" s="62">
        <f>IF(N3=0,0,N3/MBunk_act!N3*1000)</f>
        <v>0.85970255879445834</v>
      </c>
      <c r="O23" s="62">
        <f>IF(O3=0,0,O3/MBunk_act!O3*1000)</f>
        <v>1.0865000552149087</v>
      </c>
      <c r="P23" s="62">
        <f>IF(P3=0,0,P3/MBunk_act!P3*1000)</f>
        <v>0.94691090067421502</v>
      </c>
      <c r="Q23" s="62">
        <f>IF(Q3=0,0,Q3/MBunk_act!Q3*1000)</f>
        <v>0.96707289539353203</v>
      </c>
      <c r="R23" s="62">
        <f>IF(R3=0,0,R3/MBunk_act!R3*1000)</f>
        <v>1.7292623124135738</v>
      </c>
      <c r="S23" s="62">
        <f>IF(S3=0,0,S3/MBunk_act!S3*1000)</f>
        <v>1.9461179342890398</v>
      </c>
      <c r="T23" s="62">
        <f>IF(T3=0,0,T3/MBunk_act!T3*1000)</f>
        <v>2.5396947819211197</v>
      </c>
      <c r="U23" s="62">
        <f>IF(U3=0,0,U3/MBunk_act!U3*1000)</f>
        <v>2.3584329989769892</v>
      </c>
      <c r="V23" s="62">
        <f>IF(V3=0,0,V3/MBunk_act!V3*1000)</f>
        <v>1.677756697222218</v>
      </c>
      <c r="W23" s="62">
        <f>IF(W3=0,0,W3/MBunk_act!W3*1000)</f>
        <v>1.0840986789698017</v>
      </c>
      <c r="X23" s="62">
        <f>IF(X3=0,0,X3/MBunk_act!X3*1000)</f>
        <v>0</v>
      </c>
      <c r="Y23" s="62">
        <f>IF(Y3=0,0,Y3/MBunk_act!Y3*1000)</f>
        <v>0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1.4463899415265535</v>
      </c>
      <c r="H24" s="63">
        <f>IF(H4=0,0,H4/MBunk_act!H4*1000)</f>
        <v>1.5388183608871291</v>
      </c>
      <c r="I24" s="63">
        <f>IF(I4=0,0,I4/MBunk_act!I4*1000)</f>
        <v>2.5552226907839386</v>
      </c>
      <c r="J24" s="63">
        <f>IF(J4=0,0,J4/MBunk_act!J4*1000)</f>
        <v>3.2533463520788981</v>
      </c>
      <c r="K24" s="63">
        <f>IF(K4=0,0,K4/MBunk_act!K4*1000)</f>
        <v>2.0512810546031761</v>
      </c>
      <c r="L24" s="63">
        <f>IF(L4=0,0,L4/MBunk_act!L4*1000)</f>
        <v>1.194302061139511</v>
      </c>
      <c r="M24" s="63">
        <f>IF(M4=0,0,M4/MBunk_act!M4*1000)</f>
        <v>1.9282273917611958</v>
      </c>
      <c r="N24" s="63">
        <f>IF(N4=0,0,N4/MBunk_act!N4*1000)</f>
        <v>2.7485234868917456</v>
      </c>
      <c r="O24" s="63">
        <f>IF(O4=0,0,O4/MBunk_act!O4*1000)</f>
        <v>3.7466215334889594</v>
      </c>
      <c r="P24" s="63">
        <f>IF(P4=0,0,P4/MBunk_act!P4*1000)</f>
        <v>3.1286194180995976</v>
      </c>
      <c r="Q24" s="63">
        <f>IF(Q4=0,0,Q4/MBunk_act!Q4*1000)</f>
        <v>3.2366607333274828</v>
      </c>
      <c r="R24" s="63">
        <f>IF(R4=0,0,R4/MBunk_act!R4*1000)</f>
        <v>5.5266862894902093</v>
      </c>
      <c r="S24" s="63">
        <f>IF(S4=0,0,S4/MBunk_act!S4*1000)</f>
        <v>6.5340545012836557</v>
      </c>
      <c r="T24" s="63">
        <f>IF(T4=0,0,T4/MBunk_act!T4*1000)</f>
        <v>8.8495894395420631</v>
      </c>
      <c r="U24" s="63">
        <f>IF(U4=0,0,U4/MBunk_act!U4*1000)</f>
        <v>8.5363962349273912</v>
      </c>
      <c r="V24" s="63">
        <f>IF(V4=0,0,V4/MBunk_act!V4*1000)</f>
        <v>5.3584404092823616</v>
      </c>
      <c r="W24" s="63">
        <f>IF(W4=0,0,W4/MBunk_act!W4*1000)</f>
        <v>3.920869360438981</v>
      </c>
      <c r="X24" s="63">
        <f>IF(X4=0,0,X4/MBunk_act!X4*1000)</f>
        <v>0</v>
      </c>
      <c r="Y24" s="63">
        <f>IF(Y4=0,0,Y4/MBunk_act!Y4*1000)</f>
        <v>0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0.38661169364521997</v>
      </c>
      <c r="H25" s="64">
        <f>IF(H10=0,0,H10/MBunk_act!H5*1000)</f>
        <v>0.41362849228461729</v>
      </c>
      <c r="I25" s="64">
        <f>IF(I10=0,0,I10/MBunk_act!I5*1000)</f>
        <v>0.66264224221118107</v>
      </c>
      <c r="J25" s="64">
        <f>IF(J10=0,0,J10/MBunk_act!J5*1000)</f>
        <v>0.83521160894299507</v>
      </c>
      <c r="K25" s="64">
        <f>IF(K10=0,0,K10/MBunk_act!K5*1000)</f>
        <v>0.53099528033219556</v>
      </c>
      <c r="L25" s="64">
        <f>IF(L10=0,0,L10/MBunk_act!L5*1000)</f>
        <v>0.27982580318397254</v>
      </c>
      <c r="M25" s="64">
        <f>IF(M10=0,0,M10/MBunk_act!M5*1000)</f>
        <v>0.42211076536799852</v>
      </c>
      <c r="N25" s="64">
        <f>IF(N10=0,0,N10/MBunk_act!N5*1000)</f>
        <v>0.62969728181643603</v>
      </c>
      <c r="O25" s="64">
        <f>IF(O10=0,0,O10/MBunk_act!O5*1000)</f>
        <v>0.82555130178600888</v>
      </c>
      <c r="P25" s="64">
        <f>IF(P10=0,0,P10/MBunk_act!P5*1000)</f>
        <v>0.70595157197982006</v>
      </c>
      <c r="Q25" s="64">
        <f>IF(Q10=0,0,Q10/MBunk_act!Q5*1000)</f>
        <v>0.72579326354051776</v>
      </c>
      <c r="R25" s="64">
        <f>IF(R10=0,0,R10/MBunk_act!R5*1000)</f>
        <v>1.2793576507771314</v>
      </c>
      <c r="S25" s="64">
        <f>IF(S10=0,0,S10/MBunk_act!S5*1000)</f>
        <v>1.4698641263416607</v>
      </c>
      <c r="T25" s="64">
        <f>IF(T10=0,0,T10/MBunk_act!T5*1000)</f>
        <v>1.9485499304624951</v>
      </c>
      <c r="U25" s="64">
        <f>IF(U10=0,0,U10/MBunk_act!U5*1000)</f>
        <v>1.8298693877080676</v>
      </c>
      <c r="V25" s="64">
        <f>IF(V10=0,0,V10/MBunk_act!V5*1000)</f>
        <v>1.3832828991800195</v>
      </c>
      <c r="W25" s="64">
        <f>IF(W10=0,0,W10/MBunk_act!W5*1000)</f>
        <v>0.91777938801068526</v>
      </c>
      <c r="X25" s="64">
        <f>IF(X10=0,0,X10/MBunk_act!X5*1000)</f>
        <v>0</v>
      </c>
      <c r="Y25" s="64">
        <f>IF(Y10=0,0,Y10/MBunk_act!Y5*1000)</f>
        <v>0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6">IF(C3=0,0,C3/C$3)</f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0</v>
      </c>
      <c r="Y27" s="76">
        <f t="shared" si="7"/>
        <v>0</v>
      </c>
      <c r="DA27" s="183"/>
    </row>
    <row r="28" spans="1:105" ht="11.45" customHeight="1" x14ac:dyDescent="0.25">
      <c r="A28" s="55" t="s">
        <v>166</v>
      </c>
      <c r="B28" s="77">
        <f>IF(B4=0,0,B4/B$3)</f>
        <v>0</v>
      </c>
      <c r="C28" s="77">
        <f t="shared" si="6"/>
        <v>0</v>
      </c>
      <c r="D28" s="77">
        <f t="shared" si="6"/>
        <v>0</v>
      </c>
      <c r="E28" s="77">
        <f t="shared" si="6"/>
        <v>0</v>
      </c>
      <c r="F28" s="77">
        <f t="shared" si="6"/>
        <v>0</v>
      </c>
      <c r="G28" s="77">
        <f t="shared" si="6"/>
        <v>0.41616089806326179</v>
      </c>
      <c r="H28" s="77">
        <f t="shared" si="6"/>
        <v>0.41426382009731927</v>
      </c>
      <c r="I28" s="77">
        <f t="shared" si="6"/>
        <v>0.39803685453579574</v>
      </c>
      <c r="J28" s="77">
        <f t="shared" si="6"/>
        <v>0.39826523376813106</v>
      </c>
      <c r="K28" s="77">
        <f t="shared" si="6"/>
        <v>0.4074329973359011</v>
      </c>
      <c r="L28" s="77">
        <f t="shared" si="6"/>
        <v>0.33985971961320266</v>
      </c>
      <c r="M28" s="77">
        <f t="shared" si="6"/>
        <v>0.28897942591830289</v>
      </c>
      <c r="N28" s="77">
        <f t="shared" si="6"/>
        <v>0.34705131768772574</v>
      </c>
      <c r="O28" s="77">
        <f t="shared" si="6"/>
        <v>0.308051480092006</v>
      </c>
      <c r="P28" s="77">
        <f t="shared" si="6"/>
        <v>0.32861962037259862</v>
      </c>
      <c r="Q28" s="77">
        <f t="shared" si="6"/>
        <v>0.32161392126642674</v>
      </c>
      <c r="R28" s="77">
        <f t="shared" si="6"/>
        <v>0.33853888852542607</v>
      </c>
      <c r="S28" s="77">
        <f t="shared" si="6"/>
        <v>0.31574903756596168</v>
      </c>
      <c r="T28" s="77">
        <f t="shared" si="6"/>
        <v>0.29848395726403781</v>
      </c>
      <c r="U28" s="77">
        <f t="shared" si="6"/>
        <v>0.28526639661166492</v>
      </c>
      <c r="V28" s="77">
        <f t="shared" si="6"/>
        <v>0.23659291785889183</v>
      </c>
      <c r="W28" s="77">
        <f t="shared" si="6"/>
        <v>0.20030317719523771</v>
      </c>
      <c r="X28" s="77">
        <f t="shared" ref="X28:Y28" si="8">IF(X4=0,0,X4/X$3)</f>
        <v>0</v>
      </c>
      <c r="Y28" s="77">
        <f t="shared" si="8"/>
        <v>0</v>
      </c>
      <c r="DA28" s="184"/>
    </row>
    <row r="29" spans="1:105" ht="11.45" customHeight="1" x14ac:dyDescent="0.25">
      <c r="A29" s="57" t="s">
        <v>167</v>
      </c>
      <c r="B29" s="78">
        <f>IF(B10=0,0,B10/B$3)</f>
        <v>0</v>
      </c>
      <c r="C29" s="78">
        <f t="shared" ref="C29:W29" si="9">IF(C10=0,0,C10/C$3)</f>
        <v>0</v>
      </c>
      <c r="D29" s="78">
        <f t="shared" si="9"/>
        <v>0</v>
      </c>
      <c r="E29" s="78">
        <f t="shared" si="9"/>
        <v>0</v>
      </c>
      <c r="F29" s="78">
        <f t="shared" si="9"/>
        <v>0</v>
      </c>
      <c r="G29" s="78">
        <f t="shared" si="9"/>
        <v>0.58383910193673827</v>
      </c>
      <c r="H29" s="78">
        <f t="shared" si="9"/>
        <v>0.58573617990268079</v>
      </c>
      <c r="I29" s="78">
        <f t="shared" si="9"/>
        <v>0.60196314546420426</v>
      </c>
      <c r="J29" s="78">
        <f t="shared" si="9"/>
        <v>0.60173476623186894</v>
      </c>
      <c r="K29" s="78">
        <f t="shared" si="9"/>
        <v>0.5925670026640989</v>
      </c>
      <c r="L29" s="78">
        <f t="shared" si="9"/>
        <v>0.6601402803867974</v>
      </c>
      <c r="M29" s="78">
        <f t="shared" si="9"/>
        <v>0.71102057408169705</v>
      </c>
      <c r="N29" s="78">
        <f t="shared" si="9"/>
        <v>0.65294868231227432</v>
      </c>
      <c r="O29" s="78">
        <f t="shared" si="9"/>
        <v>0.691948519907994</v>
      </c>
      <c r="P29" s="78">
        <f t="shared" si="9"/>
        <v>0.67138037962740149</v>
      </c>
      <c r="Q29" s="78">
        <f t="shared" si="9"/>
        <v>0.67838607873357326</v>
      </c>
      <c r="R29" s="78">
        <f t="shared" si="9"/>
        <v>0.66146111147457398</v>
      </c>
      <c r="S29" s="78">
        <f t="shared" si="9"/>
        <v>0.68425096243403849</v>
      </c>
      <c r="T29" s="78">
        <f t="shared" si="9"/>
        <v>0.70151604273596213</v>
      </c>
      <c r="U29" s="78">
        <f t="shared" si="9"/>
        <v>0.71473360338833503</v>
      </c>
      <c r="V29" s="78">
        <f t="shared" si="9"/>
        <v>0.76340708214110808</v>
      </c>
      <c r="W29" s="78">
        <f t="shared" si="9"/>
        <v>0.79969682280476229</v>
      </c>
      <c r="X29" s="78">
        <f t="shared" ref="X29:Y29" si="10">IF(X10=0,0,X10/X$3)</f>
        <v>0</v>
      </c>
      <c r="Y29" s="78">
        <f t="shared" si="10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68.793150959999991</v>
      </c>
      <c r="H3" s="62">
        <f t="shared" si="1"/>
        <v>93.808892880000002</v>
      </c>
      <c r="I3" s="62">
        <f t="shared" si="1"/>
        <v>156.17158992</v>
      </c>
      <c r="J3" s="62">
        <f t="shared" si="1"/>
        <v>213.24012696</v>
      </c>
      <c r="K3" s="62">
        <f t="shared" si="1"/>
        <v>105.18966504000002</v>
      </c>
      <c r="L3" s="62">
        <f t="shared" si="1"/>
        <v>60.532868159999992</v>
      </c>
      <c r="M3" s="62">
        <f t="shared" si="1"/>
        <v>105.01328592000002</v>
      </c>
      <c r="N3" s="62">
        <f t="shared" si="1"/>
        <v>162.20665368000004</v>
      </c>
      <c r="O3" s="62">
        <f t="shared" si="1"/>
        <v>197.17318727999998</v>
      </c>
      <c r="P3" s="62">
        <f t="shared" si="1"/>
        <v>184.38500448000002</v>
      </c>
      <c r="Q3" s="62">
        <f t="shared" si="1"/>
        <v>206.49230208</v>
      </c>
      <c r="R3" s="62">
        <f t="shared" si="1"/>
        <v>393.89497776000007</v>
      </c>
      <c r="S3" s="62">
        <f t="shared" si="1"/>
        <v>499.67870328000015</v>
      </c>
      <c r="T3" s="62">
        <f t="shared" si="1"/>
        <v>727.73474112000008</v>
      </c>
      <c r="U3" s="62">
        <f t="shared" si="1"/>
        <v>613.18946159999996</v>
      </c>
      <c r="V3" s="62">
        <f t="shared" si="1"/>
        <v>372.8783851199999</v>
      </c>
      <c r="W3" s="62">
        <f t="shared" si="1"/>
        <v>276.42560472000002</v>
      </c>
      <c r="X3" s="62">
        <f t="shared" ref="X3:Y3" si="2">SUM(X4:X5)</f>
        <v>0</v>
      </c>
      <c r="Y3" s="62">
        <f t="shared" si="2"/>
        <v>0</v>
      </c>
      <c r="DA3" s="172" t="s">
        <v>987</v>
      </c>
    </row>
    <row r="4" spans="1:105" ht="11.45" customHeight="1" x14ac:dyDescent="0.25">
      <c r="A4" s="55" t="s">
        <v>166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28.629019484115133</v>
      </c>
      <c r="H4" s="63">
        <v>38.861630323569017</v>
      </c>
      <c r="I4" s="63">
        <v>62.162048419610976</v>
      </c>
      <c r="J4" s="63">
        <v>84.926129012470355</v>
      </c>
      <c r="K4" s="63">
        <v>42.85774051600665</v>
      </c>
      <c r="L4" s="63">
        <v>20.572683600240559</v>
      </c>
      <c r="M4" s="63">
        <v>30.346679078956203</v>
      </c>
      <c r="N4" s="63">
        <v>56.294032897360601</v>
      </c>
      <c r="O4" s="63">
        <v>60.739492176062299</v>
      </c>
      <c r="P4" s="63">
        <v>60.592530174617508</v>
      </c>
      <c r="Q4" s="63">
        <v>66.410798983280344</v>
      </c>
      <c r="R4" s="63">
        <v>133.34876796661783</v>
      </c>
      <c r="S4" s="63">
        <v>157.77306965286778</v>
      </c>
      <c r="T4" s="63">
        <v>216.16956382835616</v>
      </c>
      <c r="U4" s="63">
        <v>173.40115881765988</v>
      </c>
      <c r="V4" s="63">
        <v>87.755936871289762</v>
      </c>
      <c r="W4" s="63">
        <v>54.766285456174131</v>
      </c>
      <c r="X4" s="63">
        <v>0</v>
      </c>
      <c r="Y4" s="63">
        <v>0</v>
      </c>
      <c r="DA4" s="181" t="s">
        <v>988</v>
      </c>
    </row>
    <row r="5" spans="1:105" ht="11.45" customHeight="1" x14ac:dyDescent="0.25">
      <c r="A5" s="57" t="s">
        <v>167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40.164131475884858</v>
      </c>
      <c r="H5" s="64">
        <v>54.947262556430985</v>
      </c>
      <c r="I5" s="64">
        <v>94.00954150038902</v>
      </c>
      <c r="J5" s="64">
        <v>128.31399794752966</v>
      </c>
      <c r="K5" s="64">
        <v>62.331924523993365</v>
      </c>
      <c r="L5" s="64">
        <v>39.960184559759433</v>
      </c>
      <c r="M5" s="64">
        <v>74.666606841043816</v>
      </c>
      <c r="N5" s="64">
        <v>105.91262078263944</v>
      </c>
      <c r="O5" s="64">
        <v>136.43369510393768</v>
      </c>
      <c r="P5" s="64">
        <v>123.79247430538253</v>
      </c>
      <c r="Q5" s="64">
        <v>140.08150309671967</v>
      </c>
      <c r="R5" s="64">
        <v>260.54620979338222</v>
      </c>
      <c r="S5" s="64">
        <v>341.90563362713237</v>
      </c>
      <c r="T5" s="64">
        <v>511.56517729164386</v>
      </c>
      <c r="U5" s="64">
        <v>439.78830278234005</v>
      </c>
      <c r="V5" s="64">
        <v>285.12244824871016</v>
      </c>
      <c r="W5" s="64">
        <v>221.65931926382589</v>
      </c>
      <c r="X5" s="64">
        <v>0</v>
      </c>
      <c r="Y5" s="64">
        <v>0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3.2405832000000006</v>
      </c>
      <c r="H9" s="79">
        <f>IF(H3=0,0,H3/MBunk_ene!H3)</f>
        <v>3.2405832000000006</v>
      </c>
      <c r="I9" s="79">
        <f>IF(I3=0,0,I3/MBunk_ene!I3)</f>
        <v>3.2405832000000001</v>
      </c>
      <c r="J9" s="79">
        <f>IF(J3=0,0,J3/MBunk_ene!J3)</f>
        <v>3.2405832000000006</v>
      </c>
      <c r="K9" s="79">
        <f>IF(K3=0,0,K3/MBunk_ene!K3)</f>
        <v>3.2405832000000006</v>
      </c>
      <c r="L9" s="79">
        <f>IF(L3=0,0,L3/MBunk_ene!L3)</f>
        <v>3.240583200000001</v>
      </c>
      <c r="M9" s="79">
        <f>IF(M3=0,0,M3/MBunk_ene!M3)</f>
        <v>3.2405832000000006</v>
      </c>
      <c r="N9" s="79">
        <f>IF(N3=0,0,N3/MBunk_ene!N3)</f>
        <v>3.2405832000000014</v>
      </c>
      <c r="O9" s="79">
        <f>IF(O3=0,0,O3/MBunk_ene!O3)</f>
        <v>3.2405832000000001</v>
      </c>
      <c r="P9" s="79">
        <f>IF(P3=0,0,P3/MBunk_ene!P3)</f>
        <v>3.2405832000000006</v>
      </c>
      <c r="Q9" s="79">
        <f>IF(Q3=0,0,Q3/MBunk_ene!Q3)</f>
        <v>3.2405832000000001</v>
      </c>
      <c r="R9" s="79">
        <f>IF(R3=0,0,R3/MBunk_ene!R3)</f>
        <v>3.240583200000001</v>
      </c>
      <c r="S9" s="79">
        <f>IF(S3=0,0,S3/MBunk_ene!S3)</f>
        <v>3.2405832000000006</v>
      </c>
      <c r="T9" s="79">
        <f>IF(T3=0,0,T3/MBunk_ene!T3)</f>
        <v>3.2284804170488299</v>
      </c>
      <c r="U9" s="79">
        <f>IF(U3=0,0,U3/MBunk_ene!U3)</f>
        <v>3.219730262985665</v>
      </c>
      <c r="V9" s="79">
        <f>IF(V3=0,0,V3/MBunk_ene!V3)</f>
        <v>3.2297836637133268</v>
      </c>
      <c r="W9" s="79">
        <f>IF(W3=0,0,W3/MBunk_ene!W3)</f>
        <v>3.2209657225951438</v>
      </c>
      <c r="X9" s="79">
        <f>IF(X3=0,0,X3/MBunk_ene!X3)</f>
        <v>0</v>
      </c>
      <c r="Y9" s="79">
        <f>IF(Y3=0,0,Y3/MBunk_ene!Y3)</f>
        <v>0</v>
      </c>
      <c r="DA9" s="172"/>
    </row>
    <row r="10" spans="1:105" ht="11.45" customHeight="1" x14ac:dyDescent="0.25">
      <c r="A10" s="55" t="s">
        <v>166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3.2405832000000001</v>
      </c>
      <c r="H10" s="80">
        <f>IF(H4=0,0,H4/MBunk_ene!H4)</f>
        <v>3.2405832000000006</v>
      </c>
      <c r="I10" s="80">
        <f>IF(I4=0,0,I4/MBunk_ene!I4)</f>
        <v>3.2405832000000001</v>
      </c>
      <c r="J10" s="80">
        <f>IF(J4=0,0,J4/MBunk_ene!J4)</f>
        <v>3.240583200000001</v>
      </c>
      <c r="K10" s="80">
        <f>IF(K4=0,0,K4/MBunk_ene!K4)</f>
        <v>3.2405832000000001</v>
      </c>
      <c r="L10" s="80">
        <f>IF(L4=0,0,L4/MBunk_ene!L4)</f>
        <v>3.2405832000000006</v>
      </c>
      <c r="M10" s="80">
        <f>IF(M4=0,0,M4/MBunk_ene!M4)</f>
        <v>3.2405832000000001</v>
      </c>
      <c r="N10" s="80">
        <f>IF(N4=0,0,N4/MBunk_ene!N4)</f>
        <v>3.2405832000000014</v>
      </c>
      <c r="O10" s="80">
        <f>IF(O4=0,0,O4/MBunk_ene!O4)</f>
        <v>3.2405832000000006</v>
      </c>
      <c r="P10" s="80">
        <f>IF(P4=0,0,P4/MBunk_ene!P4)</f>
        <v>3.240583200000001</v>
      </c>
      <c r="Q10" s="80">
        <f>IF(Q4=0,0,Q4/MBunk_ene!Q4)</f>
        <v>3.240583200000001</v>
      </c>
      <c r="R10" s="80">
        <f>IF(R4=0,0,R4/MBunk_ene!R4)</f>
        <v>3.2405832000000006</v>
      </c>
      <c r="S10" s="80">
        <f>IF(S4=0,0,S4/MBunk_ene!S4)</f>
        <v>3.2405832000000006</v>
      </c>
      <c r="T10" s="80">
        <f>IF(T4=0,0,T4/MBunk_ene!T4)</f>
        <v>3.2129102995043368</v>
      </c>
      <c r="U10" s="80">
        <f>IF(U4=0,0,U4/MBunk_ene!U4)</f>
        <v>3.1917302996666752</v>
      </c>
      <c r="V10" s="80">
        <f>IF(V4=0,0,V4/MBunk_ene!V4)</f>
        <v>3.2127800263438733</v>
      </c>
      <c r="W10" s="80">
        <f>IF(W4=0,0,W4/MBunk_ene!W4)</f>
        <v>3.1859083810538302</v>
      </c>
      <c r="X10" s="80">
        <f>IF(X4=0,0,X4/MBunk_ene!X4)</f>
        <v>0</v>
      </c>
      <c r="Y10" s="80">
        <f>IF(Y4=0,0,Y4/MBunk_ene!Y4)</f>
        <v>0</v>
      </c>
      <c r="DA10" s="181"/>
    </row>
    <row r="11" spans="1:105" ht="11.45" customHeight="1" x14ac:dyDescent="0.25">
      <c r="A11" s="57" t="s">
        <v>167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3.2405832000000006</v>
      </c>
      <c r="H11" s="81">
        <f>IF(H5=0,0,H5/MBunk_ene!H10)</f>
        <v>3.2405832000000001</v>
      </c>
      <c r="I11" s="81">
        <f>IF(I5=0,0,I5/MBunk_ene!I10)</f>
        <v>3.2405832000000001</v>
      </c>
      <c r="J11" s="81">
        <f>IF(J5=0,0,J5/MBunk_ene!J10)</f>
        <v>3.2405832000000006</v>
      </c>
      <c r="K11" s="81">
        <f>IF(K5=0,0,K5/MBunk_ene!K10)</f>
        <v>3.2405832000000006</v>
      </c>
      <c r="L11" s="81">
        <f>IF(L5=0,0,L5/MBunk_ene!L10)</f>
        <v>3.2405832000000006</v>
      </c>
      <c r="M11" s="81">
        <f>IF(M5=0,0,M5/MBunk_ene!M10)</f>
        <v>3.240583200000001</v>
      </c>
      <c r="N11" s="81">
        <f>IF(N5=0,0,N5/MBunk_ene!N10)</f>
        <v>3.240583200000001</v>
      </c>
      <c r="O11" s="81">
        <f>IF(O5=0,0,O5/MBunk_ene!O10)</f>
        <v>3.2405831999999997</v>
      </c>
      <c r="P11" s="81">
        <f>IF(P5=0,0,P5/MBunk_ene!P10)</f>
        <v>3.2405832000000006</v>
      </c>
      <c r="Q11" s="81">
        <f>IF(Q5=0,0,Q5/MBunk_ene!Q10)</f>
        <v>3.2405832000000001</v>
      </c>
      <c r="R11" s="81">
        <f>IF(R5=0,0,R5/MBunk_ene!R10)</f>
        <v>3.2405832000000006</v>
      </c>
      <c r="S11" s="81">
        <f>IF(S5=0,0,S5/MBunk_ene!S10)</f>
        <v>3.2405832000000001</v>
      </c>
      <c r="T11" s="81">
        <f>IF(T5=0,0,T5/MBunk_ene!T10)</f>
        <v>3.2351052552800712</v>
      </c>
      <c r="U11" s="81">
        <f>IF(U5=0,0,U5/MBunk_ene!U10)</f>
        <v>3.2309056835946874</v>
      </c>
      <c r="V11" s="81">
        <f>IF(V5=0,0,V5/MBunk_ene!V10)</f>
        <v>3.2350533818932665</v>
      </c>
      <c r="W11" s="81">
        <f>IF(W5=0,0,W5/MBunk_ene!W10)</f>
        <v>3.2297466714428773</v>
      </c>
      <c r="X11" s="81">
        <f>IF(X5=0,0,X5/MBunk_ene!X10)</f>
        <v>0</v>
      </c>
      <c r="Y11" s="81">
        <f>IF(Y5=0,0,Y5/MBunk_ene!Y10)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3256.0289133862143</v>
      </c>
      <c r="H13" s="62">
        <f>IF(H3=0,0,H3/MBunk_act!H7*100)</f>
        <v>3604.2900386944184</v>
      </c>
      <c r="I13" s="62">
        <f>IF(I3=0,0,I3/MBunk_act!I7*100)</f>
        <v>6257.4386681491715</v>
      </c>
      <c r="J13" s="62">
        <f>IF(J3=0,0,J3/MBunk_act!J7*100)</f>
        <v>8233.1046345741543</v>
      </c>
      <c r="K13" s="62">
        <f>IF(K3=0,0,K3/MBunk_act!K7*100)</f>
        <v>5101.3045511308119</v>
      </c>
      <c r="L13" s="62">
        <f>IF(L3=0,0,L3/MBunk_act!L7*100)</f>
        <v>2970.6073561375001</v>
      </c>
      <c r="M13" s="62">
        <f>IF(M3=0,0,M3/MBunk_act!M7*100)</f>
        <v>4758.1440474993005</v>
      </c>
      <c r="N13" s="62">
        <f>IF(N3=0,0,N3/MBunk_act!N7*100)</f>
        <v>7123.0839352063103</v>
      </c>
      <c r="O13" s="62">
        <f>IF(O3=0,0,O3/MBunk_act!O7*100)</f>
        <v>9649.3221447311298</v>
      </c>
      <c r="P13" s="62">
        <f>IF(P3=0,0,P3/MBunk_act!P7*100)</f>
        <v>8170.3381297354936</v>
      </c>
      <c r="Q13" s="62">
        <f>IF(Q3=0,0,Q3/MBunk_act!Q7*100)</f>
        <v>9153.4170815779398</v>
      </c>
      <c r="R13" s="62">
        <f>IF(R3=0,0,R3/MBunk_act!R7*100)</f>
        <v>16036.253948453719</v>
      </c>
      <c r="S13" s="62">
        <f>IF(S3=0,0,S3/MBunk_act!S7*100)</f>
        <v>19362.8660929248</v>
      </c>
      <c r="T13" s="62">
        <f>IF(T3=0,0,T3/MBunk_act!T7*100)</f>
        <v>26112.874612156025</v>
      </c>
      <c r="U13" s="62">
        <f>IF(U3=0,0,U3/MBunk_act!U7*100)</f>
        <v>24854.887506596871</v>
      </c>
      <c r="V13" s="62">
        <f>IF(V3=0,0,V3/MBunk_act!V7*100)</f>
        <v>18160.955875913878</v>
      </c>
      <c r="W13" s="62">
        <f>IF(W3=0,0,W3/MBunk_act!W7*100)</f>
        <v>12607.925049088361</v>
      </c>
      <c r="X13" s="62">
        <f>IF(X3=0,0,X3/MBunk_act!X7*100)</f>
        <v>0</v>
      </c>
      <c r="Y13" s="62">
        <f>IF(Y3=0,0,Y3/MBunk_act!Y7*100)</f>
        <v>0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3201.6385037463842</v>
      </c>
      <c r="H14" s="63">
        <f>IF(H4=0,0,H4/MBunk_act!H8*100)</f>
        <v>3545.2710407086065</v>
      </c>
      <c r="I14" s="63">
        <f>IF(I4=0,0,I4/MBunk_act!I8*100)</f>
        <v>6287.924913524761</v>
      </c>
      <c r="J14" s="63">
        <f>IF(J4=0,0,J4/MBunk_act!J8*100)</f>
        <v>8228.1120124934223</v>
      </c>
      <c r="K14" s="63">
        <f>IF(K4=0,0,K4/MBunk_act!K8*100)</f>
        <v>5082.574308521961</v>
      </c>
      <c r="L14" s="63">
        <f>IF(L4=0,0,L4/MBunk_act!L8*100)</f>
        <v>2964.3679025820729</v>
      </c>
      <c r="M14" s="63">
        <f>IF(M4=0,0,M4/MBunk_act!M8*100)</f>
        <v>4577.8184690999205</v>
      </c>
      <c r="N14" s="63">
        <f>IF(N4=0,0,N4/MBunk_act!N8*100)</f>
        <v>6617.0511033145885</v>
      </c>
      <c r="O14" s="63">
        <f>IF(O4=0,0,O4/MBunk_act!O8*100)</f>
        <v>9085.7472208603394</v>
      </c>
      <c r="P14" s="63">
        <f>IF(P4=0,0,P4/MBunk_act!P8*100)</f>
        <v>7575.278316357806</v>
      </c>
      <c r="Q14" s="63">
        <f>IF(Q4=0,0,Q4/MBunk_act!Q8*100)</f>
        <v>8638.8143572583958</v>
      </c>
      <c r="R14" s="63">
        <f>IF(R4=0,0,R4/MBunk_act!R8*100)</f>
        <v>15314.770301201053</v>
      </c>
      <c r="S14" s="63">
        <f>IF(S4=0,0,S4/MBunk_act!S8*100)</f>
        <v>18483.861894821734</v>
      </c>
      <c r="T14" s="63">
        <f>IF(T4=0,0,T4/MBunk_act!T8*100)</f>
        <v>24511.799957858737</v>
      </c>
      <c r="U14" s="63">
        <f>IF(U4=0,0,U4/MBunk_act!U8*100)</f>
        <v>23266.766158172682</v>
      </c>
      <c r="V14" s="63">
        <f>IF(V4=0,0,V4/MBunk_act!V8*100)</f>
        <v>15848.202885042796</v>
      </c>
      <c r="W14" s="63">
        <f>IF(W4=0,0,W4/MBunk_act!W8*100)</f>
        <v>10938.817851670621</v>
      </c>
      <c r="X14" s="63">
        <f>IF(X4=0,0,X4/MBunk_act!X8*100)</f>
        <v>0</v>
      </c>
      <c r="Y14" s="63">
        <f>IF(Y4=0,0,Y4/MBunk_act!Y8*100)</f>
        <v>0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3295.9403604387398</v>
      </c>
      <c r="H15" s="64">
        <f>IF(H5=0,0,H5/MBunk_act!H9*100)</f>
        <v>3647.2318856584616</v>
      </c>
      <c r="I15" s="64">
        <f>IF(I5=0,0,I5/MBunk_act!I9*100)</f>
        <v>6237.4420524402194</v>
      </c>
      <c r="J15" s="64">
        <f>IF(J5=0,0,J5/MBunk_act!J9*100)</f>
        <v>8236.4123936800061</v>
      </c>
      <c r="K15" s="64">
        <f>IF(K5=0,0,K5/MBunk_act!K9*100)</f>
        <v>5114.2632524490236</v>
      </c>
      <c r="L15" s="64">
        <f>IF(L5=0,0,L5/MBunk_act!L9*100)</f>
        <v>2973.8298643594112</v>
      </c>
      <c r="M15" s="64">
        <f>IF(M5=0,0,M5/MBunk_act!M9*100)</f>
        <v>4835.5599706656449</v>
      </c>
      <c r="N15" s="64">
        <f>IF(N5=0,0,N5/MBunk_act!N9*100)</f>
        <v>7424.8834195708541</v>
      </c>
      <c r="O15" s="64">
        <f>IF(O5=0,0,O5/MBunk_act!O9*100)</f>
        <v>9923.3526759841952</v>
      </c>
      <c r="P15" s="64">
        <f>IF(P5=0,0,P5/MBunk_act!P9*100)</f>
        <v>8497.0422801862405</v>
      </c>
      <c r="Q15" s="64">
        <f>IF(Q5=0,0,Q5/MBunk_act!Q9*100)</f>
        <v>9419.4285798534565</v>
      </c>
      <c r="R15" s="64">
        <f>IF(R5=0,0,R5/MBunk_act!R9*100)</f>
        <v>16432.461618772835</v>
      </c>
      <c r="S15" s="64">
        <f>IF(S5=0,0,S5/MBunk_act!S9*100)</f>
        <v>19797.307264729607</v>
      </c>
      <c r="T15" s="64">
        <f>IF(T5=0,0,T5/MBunk_act!T9*100)</f>
        <v>26854.082916923784</v>
      </c>
      <c r="U15" s="64">
        <f>IF(U5=0,0,U5/MBunk_act!U9*100)</f>
        <v>25542.297658870582</v>
      </c>
      <c r="V15" s="64">
        <f>IF(V5=0,0,V5/MBunk_act!V9*100)</f>
        <v>19015.021300929879</v>
      </c>
      <c r="W15" s="64">
        <f>IF(W5=0,0,W5/MBunk_act!W9*100)</f>
        <v>13101.865113137424</v>
      </c>
      <c r="X15" s="64">
        <f>IF(X5=0,0,X5/MBunk_act!X9*100)</f>
        <v>0</v>
      </c>
      <c r="Y15" s="64">
        <f>IF(Y5=0,0,Y5/MBunk_act!Y9*100)</f>
        <v>0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1.8024596421762453</v>
      </c>
      <c r="H17" s="62">
        <f>IF(H3=0,0,H3/MBunk_act!H3*1000)</f>
        <v>1.9228507391865406</v>
      </c>
      <c r="I17" s="62">
        <f>IF(I3=0,0,I3/MBunk_act!I3*1000)</f>
        <v>3.0450816127536307</v>
      </c>
      <c r="J17" s="62">
        <f>IF(J3=0,0,J3/MBunk_act!J3*1000)</f>
        <v>3.8446784569169461</v>
      </c>
      <c r="K17" s="62">
        <f>IF(K3=0,0,K3/MBunk_act!K3*1000)</f>
        <v>2.4651110492476231</v>
      </c>
      <c r="L17" s="62">
        <f>IF(L3=0,0,L3/MBunk_act!L3*1000)</f>
        <v>1.2257853481863827</v>
      </c>
      <c r="M17" s="62">
        <f>IF(M3=0,0,M3/MBunk_act!M3*1000)</f>
        <v>1.7666509763864782</v>
      </c>
      <c r="N17" s="62">
        <f>IF(N3=0,0,N3/MBunk_act!N3*1000)</f>
        <v>2.7859376690263353</v>
      </c>
      <c r="O17" s="62">
        <f>IF(O3=0,0,O3/MBunk_act!O3*1000)</f>
        <v>3.5208938257285056</v>
      </c>
      <c r="P17" s="62">
        <f>IF(P3=0,0,P3/MBunk_act!P3*1000)</f>
        <v>3.0685435566217305</v>
      </c>
      <c r="Q17" s="62">
        <f>IF(Q3=0,0,Q3/MBunk_act!Q3*1000)</f>
        <v>3.1338801779876375</v>
      </c>
      <c r="R17" s="62">
        <f>IF(R3=0,0,R3/MBunk_act!R3*1000)</f>
        <v>5.6038183980005805</v>
      </c>
      <c r="S17" s="62">
        <f>IF(S3=0,0,S3/MBunk_act!S3*1000)</f>
        <v>6.3065570830757673</v>
      </c>
      <c r="T17" s="62">
        <f>IF(T3=0,0,T3/MBunk_act!T3*1000)</f>
        <v>8.199354868713435</v>
      </c>
      <c r="U17" s="62">
        <f>IF(U3=0,0,U3/MBunk_act!U3*1000)</f>
        <v>7.5935181000302521</v>
      </c>
      <c r="V17" s="62">
        <f>IF(V3=0,0,V3/MBunk_act!V3*1000)</f>
        <v>5.4187911723739459</v>
      </c>
      <c r="W17" s="62">
        <f>IF(W3=0,0,W3/MBunk_act!W3*1000)</f>
        <v>3.4918446848724085</v>
      </c>
      <c r="X17" s="62">
        <f>IF(X3=0,0,X3/MBunk_act!X3*1000)</f>
        <v>0</v>
      </c>
      <c r="Y17" s="62">
        <f>IF(Y3=0,0,Y3/MBunk_act!Y3*1000)</f>
        <v>0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4.6871469451599328</v>
      </c>
      <c r="H18" s="63">
        <f>IF(H4=0,0,H4/MBunk_act!H4*1000)</f>
        <v>4.9866689281423691</v>
      </c>
      <c r="I18" s="63">
        <f>IF(I4=0,0,I4/MBunk_act!I4*1000)</f>
        <v>8.2804117240132253</v>
      </c>
      <c r="J18" s="63">
        <f>IF(J4=0,0,J4/MBunk_act!J4*1000)</f>
        <v>10.542739532328165</v>
      </c>
      <c r="K18" s="63">
        <f>IF(K4=0,0,K4/MBunk_act!K4*1000)</f>
        <v>6.647346924025336</v>
      </c>
      <c r="L18" s="63">
        <f>IF(L4=0,0,L4/MBunk_act!L4*1000)</f>
        <v>3.8702351950540725</v>
      </c>
      <c r="M18" s="63">
        <f>IF(M4=0,0,M4/MBunk_act!M4*1000)</f>
        <v>6.24858129152115</v>
      </c>
      <c r="N18" s="63">
        <f>IF(N4=0,0,N4/MBunk_act!N4*1000)</f>
        <v>8.9068190364268158</v>
      </c>
      <c r="O18" s="63">
        <f>IF(O4=0,0,O4/MBunk_act!O4*1000)</f>
        <v>12.141238798182561</v>
      </c>
      <c r="P18" s="63">
        <f>IF(P4=0,0,P4/MBunk_act!P4*1000)</f>
        <v>10.138551525487333</v>
      </c>
      <c r="Q18" s="63">
        <f>IF(Q4=0,0,Q4/MBunk_act!Q4*1000)</f>
        <v>10.488668396520724</v>
      </c>
      <c r="R18" s="63">
        <f>IF(R4=0,0,R4/MBunk_act!R4*1000)</f>
        <v>17.90968674139231</v>
      </c>
      <c r="S18" s="63">
        <f>IF(S4=0,0,S4/MBunk_act!S4*1000)</f>
        <v>21.174147244744198</v>
      </c>
      <c r="T18" s="63">
        <f>IF(T4=0,0,T4/MBunk_act!T4*1000)</f>
        <v>28.432937056689514</v>
      </c>
      <c r="U18" s="63">
        <f>IF(U4=0,0,U4/MBunk_act!U4*1000)</f>
        <v>27.245874512978279</v>
      </c>
      <c r="V18" s="63">
        <f>IF(V4=0,0,V4/MBunk_act!V4*1000)</f>
        <v>17.215490319296258</v>
      </c>
      <c r="W18" s="63">
        <f>IF(W4=0,0,W4/MBunk_act!W4*1000)</f>
        <v>12.49153055643972</v>
      </c>
      <c r="X18" s="63">
        <f>IF(X4=0,0,X4/MBunk_act!X4*1000)</f>
        <v>0</v>
      </c>
      <c r="Y18" s="63">
        <f>IF(Y4=0,0,Y4/MBunk_act!Y4*1000)</f>
        <v>0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1.2528473593502467</v>
      </c>
      <c r="H19" s="64">
        <f>IF(H5=0,0,H5/MBunk_act!H5*1000)</f>
        <v>1.3403975431388606</v>
      </c>
      <c r="I19" s="64">
        <f>IF(I5=0,0,I5/MBunk_act!I5*1000)</f>
        <v>2.1473473177198845</v>
      </c>
      <c r="J19" s="64">
        <f>IF(J5=0,0,J5/MBunk_act!J5*1000)</f>
        <v>2.7065727083856399</v>
      </c>
      <c r="K19" s="64">
        <f>IF(K5=0,0,K5/MBunk_act!K5*1000)</f>
        <v>1.7207343847238037</v>
      </c>
      <c r="L19" s="64">
        <f>IF(L5=0,0,L5/MBunk_act!L5*1000)</f>
        <v>0.90679879672448804</v>
      </c>
      <c r="M19" s="64">
        <f>IF(M5=0,0,M5/MBunk_act!M5*1000)</f>
        <v>1.3678850547906785</v>
      </c>
      <c r="N19" s="64">
        <f>IF(N5=0,0,N5/MBunk_act!N5*1000)</f>
        <v>2.0405864325400085</v>
      </c>
      <c r="O19" s="64">
        <f>IF(O5=0,0,O5/MBunk_act!O5*1000)</f>
        <v>2.6752676793058701</v>
      </c>
      <c r="P19" s="64">
        <f>IF(P5=0,0,P5/MBunk_act!P5*1000)</f>
        <v>2.2876948041713958</v>
      </c>
      <c r="Q19" s="64">
        <f>IF(Q5=0,0,Q5/MBunk_act!Q5*1000)</f>
        <v>2.3519934565025746</v>
      </c>
      <c r="R19" s="64">
        <f>IF(R5=0,0,R5/MBunk_act!R5*1000)</f>
        <v>4.1458649098998395</v>
      </c>
      <c r="S19" s="64">
        <f>IF(S5=0,0,S5/MBunk_act!S5*1000)</f>
        <v>4.7632169941054636</v>
      </c>
      <c r="T19" s="64">
        <f>IF(T5=0,0,T5/MBunk_act!T5*1000)</f>
        <v>6.3037641202148365</v>
      </c>
      <c r="U19" s="64">
        <f>IF(U5=0,0,U5/MBunk_act!U5*1000)</f>
        <v>5.9121354049819272</v>
      </c>
      <c r="V19" s="64">
        <f>IF(V5=0,0,V5/MBunk_act!V5*1000)</f>
        <v>4.4749940211074444</v>
      </c>
      <c r="W19" s="64">
        <f>IF(W5=0,0,W5/MBunk_act!W5*1000)</f>
        <v>2.9641949235463918</v>
      </c>
      <c r="X19" s="64">
        <f>IF(X5=0,0,X5/MBunk_act!X5*1000)</f>
        <v>0</v>
      </c>
      <c r="Y19" s="64">
        <f>IF(Y5=0,0,Y5/MBunk_act!Y5*1000)</f>
        <v>0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0</v>
      </c>
      <c r="Y21" s="76">
        <f t="shared" si="4"/>
        <v>0</v>
      </c>
      <c r="DA21" s="183"/>
    </row>
    <row r="22" spans="1:105" ht="11.45" customHeight="1" x14ac:dyDescent="0.25">
      <c r="A22" s="55" t="s">
        <v>166</v>
      </c>
      <c r="B22" s="77">
        <f t="shared" si="3"/>
        <v>0</v>
      </c>
      <c r="C22" s="77">
        <f t="shared" si="3"/>
        <v>0</v>
      </c>
      <c r="D22" s="77">
        <f t="shared" si="3"/>
        <v>0</v>
      </c>
      <c r="E22" s="77">
        <f t="shared" si="3"/>
        <v>0</v>
      </c>
      <c r="F22" s="77">
        <f t="shared" si="3"/>
        <v>0</v>
      </c>
      <c r="G22" s="77">
        <f t="shared" si="3"/>
        <v>0.41616089806326173</v>
      </c>
      <c r="H22" s="77">
        <f t="shared" si="3"/>
        <v>0.41426382009731927</v>
      </c>
      <c r="I22" s="77">
        <f t="shared" si="3"/>
        <v>0.39803685453579568</v>
      </c>
      <c r="J22" s="77">
        <f t="shared" si="3"/>
        <v>0.39826523376813111</v>
      </c>
      <c r="K22" s="77">
        <f t="shared" si="3"/>
        <v>0.40743299733590105</v>
      </c>
      <c r="L22" s="77">
        <f t="shared" si="3"/>
        <v>0.33985971961320266</v>
      </c>
      <c r="M22" s="77">
        <f t="shared" si="3"/>
        <v>0.28897942591830289</v>
      </c>
      <c r="N22" s="77">
        <f t="shared" si="3"/>
        <v>0.34705131768772574</v>
      </c>
      <c r="O22" s="77">
        <f t="shared" si="3"/>
        <v>0.30805148009200606</v>
      </c>
      <c r="P22" s="77">
        <f t="shared" si="3"/>
        <v>0.32861962037259868</v>
      </c>
      <c r="Q22" s="77">
        <f t="shared" si="3"/>
        <v>0.32161392126642679</v>
      </c>
      <c r="R22" s="77">
        <f t="shared" si="3"/>
        <v>0.33853888852542602</v>
      </c>
      <c r="S22" s="77">
        <f t="shared" si="3"/>
        <v>0.31574903756596168</v>
      </c>
      <c r="T22" s="77">
        <f t="shared" si="3"/>
        <v>0.29704444712322836</v>
      </c>
      <c r="U22" s="77">
        <f t="shared" si="3"/>
        <v>0.28278561468620628</v>
      </c>
      <c r="V22" s="77">
        <f t="shared" si="3"/>
        <v>0.23534734211812278</v>
      </c>
      <c r="W22" s="77">
        <f t="shared" si="3"/>
        <v>0.19812305561074409</v>
      </c>
      <c r="X22" s="77">
        <f t="shared" ref="X22:Y22" si="5">IF(X4=0,0,X4/X$3)</f>
        <v>0</v>
      </c>
      <c r="Y22" s="77">
        <f t="shared" si="5"/>
        <v>0</v>
      </c>
      <c r="DA22" s="184"/>
    </row>
    <row r="23" spans="1:105" ht="11.45" customHeight="1" x14ac:dyDescent="0.25">
      <c r="A23" s="57" t="s">
        <v>167</v>
      </c>
      <c r="B23" s="78">
        <f t="shared" si="3"/>
        <v>0</v>
      </c>
      <c r="C23" s="78">
        <f t="shared" si="3"/>
        <v>0</v>
      </c>
      <c r="D23" s="78">
        <f t="shared" si="3"/>
        <v>0</v>
      </c>
      <c r="E23" s="78">
        <f t="shared" si="3"/>
        <v>0</v>
      </c>
      <c r="F23" s="78">
        <f t="shared" si="3"/>
        <v>0</v>
      </c>
      <c r="G23" s="78">
        <f t="shared" si="3"/>
        <v>0.58383910193673827</v>
      </c>
      <c r="H23" s="78">
        <f t="shared" si="3"/>
        <v>0.58573617990268068</v>
      </c>
      <c r="I23" s="78">
        <f t="shared" si="3"/>
        <v>0.60196314546420426</v>
      </c>
      <c r="J23" s="78">
        <f t="shared" si="3"/>
        <v>0.60173476623186894</v>
      </c>
      <c r="K23" s="78">
        <f t="shared" si="3"/>
        <v>0.5925670026640989</v>
      </c>
      <c r="L23" s="78">
        <f t="shared" si="3"/>
        <v>0.6601402803867974</v>
      </c>
      <c r="M23" s="78">
        <f t="shared" si="3"/>
        <v>0.71102057408169717</v>
      </c>
      <c r="N23" s="78">
        <f t="shared" si="3"/>
        <v>0.65294868231227421</v>
      </c>
      <c r="O23" s="78">
        <f t="shared" si="3"/>
        <v>0.69194851990799389</v>
      </c>
      <c r="P23" s="78">
        <f t="shared" si="3"/>
        <v>0.67138037962740138</v>
      </c>
      <c r="Q23" s="78">
        <f t="shared" si="3"/>
        <v>0.67838607873357326</v>
      </c>
      <c r="R23" s="78">
        <f t="shared" si="3"/>
        <v>0.66146111147457387</v>
      </c>
      <c r="S23" s="78">
        <f t="shared" si="3"/>
        <v>0.68425096243403838</v>
      </c>
      <c r="T23" s="78">
        <f t="shared" si="3"/>
        <v>0.70295555287677158</v>
      </c>
      <c r="U23" s="78">
        <f t="shared" si="3"/>
        <v>0.71721438531379367</v>
      </c>
      <c r="V23" s="78">
        <f t="shared" si="3"/>
        <v>0.76465265788187731</v>
      </c>
      <c r="W23" s="78">
        <f t="shared" si="3"/>
        <v>0.80187694438925594</v>
      </c>
      <c r="X23" s="78">
        <f t="shared" ref="X23:Y23" si="6">IF(X5=0,0,X5/X$3)</f>
        <v>0</v>
      </c>
      <c r="Y23" s="78">
        <f t="shared" si="6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2025-11-06T10:31:26Z</dcterms:created>
  <dcterms:modified xsi:type="dcterms:W3CDTF">2025-11-06T10:31:27Z</dcterms:modified>
</cp:coreProperties>
</file>