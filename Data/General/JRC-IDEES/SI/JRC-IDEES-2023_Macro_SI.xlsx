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I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88" i="59"/>
  <c r="AA84" i="59"/>
  <c r="AA82" i="59"/>
  <c r="AA81" i="59"/>
  <c r="AA79" i="59"/>
  <c r="AA110" i="59"/>
  <c r="AA74" i="59"/>
  <c r="AA105" i="59"/>
  <c r="AA70" i="59"/>
  <c r="AA101" i="59"/>
  <c r="AA66" i="59"/>
  <c r="AA97" i="59"/>
  <c r="Z5" i="59"/>
  <c r="AA5" i="59"/>
  <c r="Z115" i="59"/>
  <c r="Z111" i="59"/>
  <c r="Z107" i="59"/>
  <c r="Z103" i="59"/>
  <c r="Z99" i="59"/>
  <c r="AA54" i="57"/>
  <c r="U75" i="57"/>
  <c r="M75" i="57"/>
  <c r="S75" i="57"/>
  <c r="K75" i="57"/>
  <c r="Q75" i="57"/>
  <c r="I75" i="57"/>
  <c r="W75" i="57"/>
  <c r="J75" i="57"/>
  <c r="G75" i="57"/>
  <c r="F75" i="57"/>
  <c r="Y54" i="57"/>
  <c r="Q54" i="57"/>
  <c r="W54" i="57"/>
  <c r="O54" i="57"/>
  <c r="G54" i="57"/>
  <c r="U54" i="57"/>
  <c r="M54" i="57"/>
  <c r="L54" i="57"/>
  <c r="J54" i="57"/>
  <c r="E54" i="57"/>
  <c r="Y39" i="57"/>
  <c r="I39" i="57"/>
  <c r="W39" i="57"/>
  <c r="O39" i="57"/>
  <c r="G39" i="57"/>
  <c r="M39" i="57"/>
  <c r="K39" i="57"/>
  <c r="H39" i="57"/>
  <c r="U16" i="57"/>
  <c r="M16" i="57"/>
  <c r="S16" i="57"/>
  <c r="K16" i="57"/>
  <c r="Q16" i="57"/>
  <c r="I16" i="57"/>
  <c r="W16" i="57"/>
  <c r="O16" i="57"/>
  <c r="G16" i="57"/>
  <c r="Y75" i="57"/>
  <c r="T75" i="57"/>
  <c r="D75" i="57"/>
  <c r="O75" i="57"/>
  <c r="S54" i="57"/>
  <c r="P54" i="57"/>
  <c r="R54" i="57"/>
  <c r="I54" i="57"/>
  <c r="U39" i="57"/>
  <c r="E39" i="57"/>
  <c r="Y16" i="57"/>
  <c r="S39" i="57" l="1"/>
  <c r="AA89" i="59"/>
  <c r="AA80" i="59"/>
  <c r="AA98" i="59"/>
  <c r="AA102" i="59"/>
  <c r="AA106" i="59"/>
  <c r="AA113" i="59"/>
  <c r="AA114" i="59"/>
  <c r="Z54" i="55"/>
  <c r="AA93" i="59"/>
  <c r="AA109" i="59"/>
  <c r="AA117" i="59"/>
  <c r="AA121" i="59"/>
  <c r="E16" i="57"/>
  <c r="Q39" i="57"/>
  <c r="K54" i="57"/>
  <c r="E75" i="57"/>
  <c r="AA94" i="59"/>
  <c r="F16" i="57"/>
  <c r="N16" i="57"/>
  <c r="V16" i="57"/>
  <c r="H16" i="57"/>
  <c r="P16" i="57"/>
  <c r="X16" i="57"/>
  <c r="J16" i="57"/>
  <c r="J39" i="57"/>
  <c r="R39" i="57"/>
  <c r="D39" i="57"/>
  <c r="L39" i="57"/>
  <c r="T39" i="57"/>
  <c r="F39" i="57"/>
  <c r="N39" i="57"/>
  <c r="V39" i="57"/>
  <c r="D54" i="57"/>
  <c r="T54" i="57"/>
  <c r="F54" i="57"/>
  <c r="N54" i="57"/>
  <c r="V54" i="57"/>
  <c r="H54" i="57"/>
  <c r="X54" i="57"/>
  <c r="V75" i="57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5" i="4"/>
  <c r="B4" i="4"/>
  <c r="B7" i="4"/>
  <c r="B6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<sst xmlns="http://schemas.openxmlformats.org/spreadsheetml/2006/main" count="722" uniqueCount="281">
  <si>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</si>
  <si>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</si>
  <si>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</si>
  <si>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</si>
  <si>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</si>
  <si>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</si>
  <si>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</si>
  <si>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</si>
  <si>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</si>
  <si>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</si>
  <si>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</si>
  <si>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</si>
  <si>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</si>
  <si>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</si>
  <si>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</si>
  <si>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</si>
  <si>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</si>
  <si>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</si>
  <si>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</si>
  <si>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</si>
  <si>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</si>
  <si>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</si>
  <si>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</si>
  <si>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</si>
  <si>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</si>
  <si>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</si>
  <si>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</si>
  <si>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</si>
  <si>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</si>
  <si>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</si>
  <si>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</si>
  <si>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</si>
  <si>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</si>
  <si>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</si>
  <si>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</si>
  <si>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</si>
  <si>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</si>
  <si>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</si>
  <si>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</si>
  <si>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</si>
  <si>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</si>
  <si>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</si>
  <si>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</si>
  <si>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</si>
  <si>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</si>
  <si>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</si>
  <si>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</si>
  <si>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</si>
  <si>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</si>
  <si>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</si>
  <si>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</si>
  <si>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</si>
  <si>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</si>
  <si>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</si>
  <si>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</si>
  <si>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</si>
  <si>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</si>
  <si>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</si>
  <si>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</si>
  <si>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</si>
  <si>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</si>
  <si>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</si>
  <si>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</si>
  <si>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</si>
  <si>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</si>
  <si>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</si>
  <si>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</si>
  <si>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</si>
  <si>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</si>
  <si>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</si>
  <si>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</si>
  <si>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</si>
  <si>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</si>
  <si>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</si>
  <si>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</si>
  <si>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</si>
  <si>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</si>
  <si>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</si>
  <si>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</si>
  <si>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</si>
  <si>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</si>
  <si>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</si>
  <si>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</si>
  <si>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</si>
  <si>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</si>
  <si>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</si>
  <si>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</si>
  <si>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</si>
  <si>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</si>
  <si>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</si>
  <si>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</si>
  <si>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</si>
  <si>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</si>
  <si>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</si>
  <si>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</si>
  <si>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</si>
  <si>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</si>
  <si>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</si>
  <si>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</si>
  <si>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</si>
  <si>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</si>
  <si>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</si>
  <si>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</si>
  <si>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</si>
  <si>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</si>
  <si>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</si>
  <si>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</si>
  <si>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</si>
  <si>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</si>
  <si>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</si>
  <si>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</si>
  <si>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</si>
  <si>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</si>
  <si>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</si>
  <si>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</si>
  <si>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</si>
  <si>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</si>
  <si>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</si>
  <si>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</si>
  <si>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</si>
  <si>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</si>
  <si>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</si>
  <si>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</si>
  <si>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</si>
  <si>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</si>
  <si>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</si>
  <si>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</si>
  <si>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</si>
  <si>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</si>
  <si>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</si>
  <si>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</si>
  <si>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</si>
  <si>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</si>
  <si>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</si>
  <si>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</si>
  <si>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</si>
  <si>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</si>
  <si>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</si>
  <si>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</si>
  <si>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</si>
  <si>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</si>
  <si>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</si>
  <si>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</si>
  <si>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</si>
  <si>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</si>
  <si>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</si>
  <si>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</si>
  <si>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</si>
  <si>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</si>
  <si>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</si>
  <si>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</si>
  <si>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</si>
  <si>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</si>
  <si>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</si>
  <si>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</si>
  <si>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</si>
  <si>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</si>
  <si>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</si>
  <si>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</si>
  <si>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</si>
  <si>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</si>
  <si>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</si>
  <si>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</si>
  <si>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</si>
  <si>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</si>
  <si>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</si>
  <si>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</si>
  <si>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</si>
  <si>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</si>
  <si>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</si>
  <si>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</si>
  <si>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</si>
  <si>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</si>
  <si>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</si>
  <si>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</si>
  <si>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</si>
  <si>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</si>
  <si>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</si>
  <si>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</si>
  <si>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</si>
  <si>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</si>
  <si>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</si>
  <si>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</si>
  <si>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</si>
  <si>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</si>
  <si>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</si>
  <si>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</si>
  <si>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</si>
  <si>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</si>
  <si>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</si>
  <si>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</si>
  <si>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</si>
  <si>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</si>
  <si>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</si>
  <si>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</si>
  <si>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</si>
  <si>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</si>
  <si>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</si>
  <si>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</si>
  <si>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</si>
  <si>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</si>
  <si>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</si>
  <si>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</si>
  <si>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</si>
  <si>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</si>
  <si>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</si>
  <si>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</si>
  <si>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</si>
  <si>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</si>
  <si>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</si>
  <si>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</si>
  <si>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</si>
  <si>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</si>
  <si>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</si>
  <si>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</si>
  <si>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</si>
  <si>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</si>
  <si>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</si>
  <si>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</si>
  <si>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</si>
  <si>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</si>
  <si>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</si>
  <si>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</si>
  <si>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</si>
  <si>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</si>
  <si>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</si>
  <si>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</si>
  <si>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</si>
  <si>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</si>
  <si>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</si>
  <si>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</si>
  <si>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</si>
  <si>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</si>
  <si>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</si>
  <si>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</si>
  <si>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</si>
  <si>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</si>
  <si>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</si>
  <si>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</si>
  <si>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</si>
  <si>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</si>
  <si>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</si>
  <si>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</si>
  <si>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</si>
  <si>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</si>
  <si>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</si>
  <si>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</si>
  <si>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</si>
  <si>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</si>
  <si>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</si>
  <si>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</si>
  <si>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</si>
  <si>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</si>
  <si>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</si>
  <si>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</si>
  <si>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</si>
  <si>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</si>
  <si>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</si>
  <si>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</si>
  <si>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</si>
  <si>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</si>
  <si>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</si>
  <si>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</si>
  <si>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</si>
  <si>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</si>
  <si>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</si>
  <si>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</si>
  <si>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</si>
  <si>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</si>
  <si>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</si>
  <si>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</si>
  <si>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</si>
  <si>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</si>
  <si>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</si>
  <si>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</si>
  <si>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</si>
  <si>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</si>
  <si>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</si>
  <si>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</si>
  <si>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SI</t>
  </si>
  <si>
    <t>Slovenia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</si>
</sst>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45967.47997685185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21726.2</v>
      </c>
      <c r="E2" s="19">
        <v>23018.1</v>
      </c>
      <c r="F2" s="19">
        <v>24679.7</v>
      </c>
      <c r="G2" s="19">
        <v>26004.7</v>
      </c>
      <c r="H2" s="19">
        <v>27484.3</v>
      </c>
      <c r="I2" s="19">
        <v>28914.400000000001</v>
      </c>
      <c r="J2" s="19">
        <v>31300.2</v>
      </c>
      <c r="K2" s="19">
        <v>34936.9</v>
      </c>
      <c r="L2" s="19">
        <v>37742.1</v>
      </c>
      <c r="M2" s="19">
        <v>35830.300000000003</v>
      </c>
      <c r="N2" s="19">
        <v>36050.800000000003</v>
      </c>
      <c r="O2" s="19">
        <v>36782.199999999997</v>
      </c>
      <c r="P2" s="19">
        <v>35933.599999999999</v>
      </c>
      <c r="Q2" s="19">
        <v>36041.300000000003</v>
      </c>
      <c r="R2" s="19">
        <v>37270.9</v>
      </c>
      <c r="S2" s="19">
        <v>38493.9</v>
      </c>
      <c r="T2" s="19">
        <v>40013.199999999997</v>
      </c>
      <c r="U2" s="19">
        <v>42625.5</v>
      </c>
      <c r="V2" s="19">
        <v>45462.400000000001</v>
      </c>
      <c r="W2" s="19">
        <v>48156.5</v>
      </c>
      <c r="X2" s="19">
        <v>46738.7</v>
      </c>
      <c r="Y2" s="19">
        <v>52032.4</v>
      </c>
      <c r="Z2" s="19">
        <v>56881.599999999999</v>
      </c>
      <c r="AA2" s="19">
        <v>64050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12179.9</v>
      </c>
      <c r="E3" s="23">
        <v>12695.1</v>
      </c>
      <c r="F3" s="23">
        <v>13433.5</v>
      </c>
      <c r="G3" s="23">
        <v>14187.4</v>
      </c>
      <c r="H3" s="23">
        <v>14691.6</v>
      </c>
      <c r="I3" s="23">
        <v>15296.9</v>
      </c>
      <c r="J3" s="23">
        <v>15878.5</v>
      </c>
      <c r="K3" s="23">
        <v>17646.599999999999</v>
      </c>
      <c r="L3" s="23">
        <v>19135.7</v>
      </c>
      <c r="M3" s="23">
        <v>19493.7</v>
      </c>
      <c r="N3" s="23">
        <v>20103.3</v>
      </c>
      <c r="O3" s="23">
        <v>20658.5</v>
      </c>
      <c r="P3" s="23">
        <v>20558</v>
      </c>
      <c r="Q3" s="23">
        <v>20050.3</v>
      </c>
      <c r="R3" s="23">
        <v>20264.900000000001</v>
      </c>
      <c r="S3" s="23">
        <v>20582.400000000001</v>
      </c>
      <c r="T3" s="23">
        <v>21325.3</v>
      </c>
      <c r="U3" s="23">
        <v>22197</v>
      </c>
      <c r="V3" s="23">
        <v>23416.1</v>
      </c>
      <c r="W3" s="23">
        <v>25049</v>
      </c>
      <c r="X3" s="23">
        <v>23414.6</v>
      </c>
      <c r="Y3" s="23">
        <v>26935</v>
      </c>
      <c r="Z3" s="23">
        <v>30690.5</v>
      </c>
      <c r="AA3" s="23">
        <v>33024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18955.400000000001</v>
      </c>
      <c r="E4" s="27">
        <v>20168.599999999999</v>
      </c>
      <c r="F4" s="27">
        <v>21516.799999999999</v>
      </c>
      <c r="G4" s="27">
        <v>22731.4</v>
      </c>
      <c r="H4" s="27">
        <v>24089.1</v>
      </c>
      <c r="I4" s="27">
        <v>25379.4</v>
      </c>
      <c r="J4" s="27">
        <v>27489.7</v>
      </c>
      <c r="K4" s="27">
        <v>30604.400000000001</v>
      </c>
      <c r="L4" s="27">
        <v>33037.699999999997</v>
      </c>
      <c r="M4" s="27">
        <v>31274.400000000001</v>
      </c>
      <c r="N4" s="27">
        <v>31296.9</v>
      </c>
      <c r="O4" s="27">
        <v>31911.200000000001</v>
      </c>
      <c r="P4" s="27">
        <v>31113.8</v>
      </c>
      <c r="Q4" s="27">
        <v>30975.3</v>
      </c>
      <c r="R4" s="27">
        <v>32050.3</v>
      </c>
      <c r="S4" s="27">
        <v>33058.5</v>
      </c>
      <c r="T4" s="27">
        <v>34438.5</v>
      </c>
      <c r="U4" s="27">
        <v>36789.800000000003</v>
      </c>
      <c r="V4" s="27">
        <v>39355.4</v>
      </c>
      <c r="W4" s="27">
        <v>41821.1</v>
      </c>
      <c r="X4" s="27">
        <v>41139.199999999997</v>
      </c>
      <c r="Y4" s="27">
        <v>45539.5</v>
      </c>
      <c r="Z4" s="27">
        <v>49934.2</v>
      </c>
      <c r="AA4" s="27">
        <v>56995.1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652.4</v>
      </c>
      <c r="E6" s="19">
        <v>626.5</v>
      </c>
      <c r="F6" s="19">
        <v>714.3</v>
      </c>
      <c r="G6" s="19">
        <v>576.29999999999995</v>
      </c>
      <c r="H6" s="19">
        <v>660.2</v>
      </c>
      <c r="I6" s="19">
        <v>700.9</v>
      </c>
      <c r="J6" s="19">
        <v>654.79999999999995</v>
      </c>
      <c r="K6" s="19">
        <v>710.2</v>
      </c>
      <c r="L6" s="19">
        <v>663.8</v>
      </c>
      <c r="M6" s="19">
        <v>631.1</v>
      </c>
      <c r="N6" s="19">
        <v>655.9</v>
      </c>
      <c r="O6" s="19">
        <v>750.7</v>
      </c>
      <c r="P6" s="19">
        <v>656.2</v>
      </c>
      <c r="Q6" s="19">
        <v>659.8</v>
      </c>
      <c r="R6" s="19">
        <v>678.8</v>
      </c>
      <c r="S6" s="19">
        <v>759.7</v>
      </c>
      <c r="T6" s="19">
        <v>740.8</v>
      </c>
      <c r="U6" s="19">
        <v>721.7</v>
      </c>
      <c r="V6" s="19">
        <v>905.3</v>
      </c>
      <c r="W6" s="19">
        <v>852.6</v>
      </c>
      <c r="X6" s="19">
        <v>886.8</v>
      </c>
      <c r="Y6" s="19">
        <v>786.5</v>
      </c>
      <c r="Z6" s="19">
        <v>924.2</v>
      </c>
      <c r="AA6" s="19">
        <v>981.2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5384.9</v>
      </c>
      <c r="E7" s="23">
        <v>5807.1</v>
      </c>
      <c r="F7" s="23">
        <v>6152.8</v>
      </c>
      <c r="G7" s="23">
        <v>6496.9</v>
      </c>
      <c r="H7" s="23">
        <v>6865.6</v>
      </c>
      <c r="I7" s="23">
        <v>6983.5</v>
      </c>
      <c r="J7" s="23">
        <v>7499.3</v>
      </c>
      <c r="K7" s="23">
        <v>8273.5</v>
      </c>
      <c r="L7" s="23">
        <v>8508.5</v>
      </c>
      <c r="M7" s="23">
        <v>7377.2</v>
      </c>
      <c r="N7" s="23">
        <v>7524</v>
      </c>
      <c r="O7" s="23">
        <v>7909.7</v>
      </c>
      <c r="P7" s="23">
        <v>7948.1</v>
      </c>
      <c r="Q7" s="23">
        <v>8167.7</v>
      </c>
      <c r="R7" s="23">
        <v>8544.1</v>
      </c>
      <c r="S7" s="23">
        <v>8878.5</v>
      </c>
      <c r="T7" s="23">
        <v>9283.7000000000007</v>
      </c>
      <c r="U7" s="23">
        <v>10002.6</v>
      </c>
      <c r="V7" s="23">
        <v>10534.3</v>
      </c>
      <c r="W7" s="23">
        <v>11275.8</v>
      </c>
      <c r="X7" s="23">
        <v>11076.9</v>
      </c>
      <c r="Y7" s="23">
        <v>11877</v>
      </c>
      <c r="Z7" s="23">
        <v>12543.9</v>
      </c>
      <c r="AA7" s="23">
        <v>15002.1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1229.8</v>
      </c>
      <c r="E8" s="23">
        <v>1236</v>
      </c>
      <c r="F8" s="23">
        <v>1261.3</v>
      </c>
      <c r="G8" s="23">
        <v>1380.8</v>
      </c>
      <c r="H8" s="23">
        <v>1452.1</v>
      </c>
      <c r="I8" s="23">
        <v>1636.3</v>
      </c>
      <c r="J8" s="23">
        <v>1926.3</v>
      </c>
      <c r="K8" s="23">
        <v>2416.6</v>
      </c>
      <c r="L8" s="23">
        <v>2721.7</v>
      </c>
      <c r="M8" s="23">
        <v>2434.1</v>
      </c>
      <c r="N8" s="23">
        <v>1976</v>
      </c>
      <c r="O8" s="23">
        <v>1855.5</v>
      </c>
      <c r="P8" s="23">
        <v>1780</v>
      </c>
      <c r="Q8" s="23">
        <v>1612.6</v>
      </c>
      <c r="R8" s="23">
        <v>1807.4</v>
      </c>
      <c r="S8" s="23">
        <v>1756.3</v>
      </c>
      <c r="T8" s="23">
        <v>1759.9</v>
      </c>
      <c r="U8" s="23">
        <v>1945.8</v>
      </c>
      <c r="V8" s="23">
        <v>2227.9</v>
      </c>
      <c r="W8" s="23">
        <v>2475.9</v>
      </c>
      <c r="X8" s="23">
        <v>2451.5</v>
      </c>
      <c r="Y8" s="23">
        <v>2770.5</v>
      </c>
      <c r="Z8" s="23">
        <v>3378</v>
      </c>
      <c r="AA8" s="23">
        <v>3947.1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3458.4</v>
      </c>
      <c r="E9" s="23">
        <v>3742.7</v>
      </c>
      <c r="F9" s="23">
        <v>4031.4</v>
      </c>
      <c r="G9" s="23">
        <v>4308</v>
      </c>
      <c r="H9" s="23">
        <v>4535.5</v>
      </c>
      <c r="I9" s="23">
        <v>4886</v>
      </c>
      <c r="J9" s="23">
        <v>5378.2</v>
      </c>
      <c r="K9" s="23">
        <v>6165.5</v>
      </c>
      <c r="L9" s="23">
        <v>6782.3</v>
      </c>
      <c r="M9" s="23">
        <v>6343.8</v>
      </c>
      <c r="N9" s="23">
        <v>6263.8</v>
      </c>
      <c r="O9" s="23">
        <v>6415.9</v>
      </c>
      <c r="P9" s="23">
        <v>6191.7</v>
      </c>
      <c r="Q9" s="23">
        <v>6258.3</v>
      </c>
      <c r="R9" s="23">
        <v>6448.5</v>
      </c>
      <c r="S9" s="23">
        <v>6802.7</v>
      </c>
      <c r="T9" s="23">
        <v>7202.4</v>
      </c>
      <c r="U9" s="23">
        <v>7765.7</v>
      </c>
      <c r="V9" s="23">
        <v>8367.1</v>
      </c>
      <c r="W9" s="23">
        <v>8766.6</v>
      </c>
      <c r="X9" s="23">
        <v>7954.9</v>
      </c>
      <c r="Y9" s="23">
        <v>9102.2000000000007</v>
      </c>
      <c r="Z9" s="23">
        <v>10185.700000000001</v>
      </c>
      <c r="AA9" s="23">
        <v>11357.6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712.3</v>
      </c>
      <c r="E10" s="23">
        <v>787.6</v>
      </c>
      <c r="F10" s="23">
        <v>775.7</v>
      </c>
      <c r="G10" s="23">
        <v>839</v>
      </c>
      <c r="H10" s="23">
        <v>904.5</v>
      </c>
      <c r="I10" s="23">
        <v>1004</v>
      </c>
      <c r="J10" s="23">
        <v>1097.7</v>
      </c>
      <c r="K10" s="23">
        <v>1217.3</v>
      </c>
      <c r="L10" s="23">
        <v>1316.9</v>
      </c>
      <c r="M10" s="23">
        <v>1222.5</v>
      </c>
      <c r="N10" s="23">
        <v>1276.4000000000001</v>
      </c>
      <c r="O10" s="23">
        <v>1301.4000000000001</v>
      </c>
      <c r="P10" s="23">
        <v>1328.7</v>
      </c>
      <c r="Q10" s="23">
        <v>1297.8</v>
      </c>
      <c r="R10" s="23">
        <v>1365.5</v>
      </c>
      <c r="S10" s="23">
        <v>1328</v>
      </c>
      <c r="T10" s="23">
        <v>1356.2</v>
      </c>
      <c r="U10" s="23">
        <v>1453.9</v>
      </c>
      <c r="V10" s="23">
        <v>1509.5</v>
      </c>
      <c r="W10" s="23">
        <v>1721.2</v>
      </c>
      <c r="X10" s="23">
        <v>1795.9</v>
      </c>
      <c r="Y10" s="23">
        <v>2021.2</v>
      </c>
      <c r="Z10" s="23">
        <v>2209.1999999999998</v>
      </c>
      <c r="AA10" s="23">
        <v>2482.8000000000002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899.1</v>
      </c>
      <c r="E11" s="23">
        <v>869.5</v>
      </c>
      <c r="F11" s="23">
        <v>929.9</v>
      </c>
      <c r="G11" s="23">
        <v>1041.5999999999999</v>
      </c>
      <c r="H11" s="23">
        <v>1087.0999999999999</v>
      </c>
      <c r="I11" s="23">
        <v>1151.5</v>
      </c>
      <c r="J11" s="23">
        <v>1336.6</v>
      </c>
      <c r="K11" s="23">
        <v>1419</v>
      </c>
      <c r="L11" s="23">
        <v>1589.2</v>
      </c>
      <c r="M11" s="23">
        <v>1660.6</v>
      </c>
      <c r="N11" s="23">
        <v>1687.2</v>
      </c>
      <c r="O11" s="23">
        <v>1637.1</v>
      </c>
      <c r="P11" s="23">
        <v>1336.4</v>
      </c>
      <c r="Q11" s="23">
        <v>1241.3</v>
      </c>
      <c r="R11" s="23">
        <v>1287.5999999999999</v>
      </c>
      <c r="S11" s="23">
        <v>1347.8</v>
      </c>
      <c r="T11" s="23">
        <v>1324.4</v>
      </c>
      <c r="U11" s="23">
        <v>1394.1</v>
      </c>
      <c r="V11" s="23">
        <v>1501</v>
      </c>
      <c r="W11" s="23">
        <v>1573.3</v>
      </c>
      <c r="X11" s="23">
        <v>1594.4</v>
      </c>
      <c r="Y11" s="23">
        <v>1928.8</v>
      </c>
      <c r="Z11" s="23">
        <v>2087.3000000000002</v>
      </c>
      <c r="AA11" s="23">
        <v>2809.9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1513.3</v>
      </c>
      <c r="E12" s="23">
        <v>1546.5</v>
      </c>
      <c r="F12" s="23">
        <v>1607.2</v>
      </c>
      <c r="G12" s="23">
        <v>1647.3</v>
      </c>
      <c r="H12" s="23">
        <v>1764.2</v>
      </c>
      <c r="I12" s="23">
        <v>1887.9</v>
      </c>
      <c r="J12" s="23">
        <v>2023.5</v>
      </c>
      <c r="K12" s="23">
        <v>2213.5</v>
      </c>
      <c r="L12" s="23">
        <v>2443.6</v>
      </c>
      <c r="M12" s="23">
        <v>2437.6</v>
      </c>
      <c r="N12" s="23">
        <v>2458.6</v>
      </c>
      <c r="O12" s="23">
        <v>2473.5</v>
      </c>
      <c r="P12" s="23">
        <v>2468.1</v>
      </c>
      <c r="Q12" s="23">
        <v>2498.5</v>
      </c>
      <c r="R12" s="23">
        <v>2524.9</v>
      </c>
      <c r="S12" s="23">
        <v>2600.8000000000002</v>
      </c>
      <c r="T12" s="23">
        <v>2679.3</v>
      </c>
      <c r="U12" s="23">
        <v>2766</v>
      </c>
      <c r="V12" s="23">
        <v>2900</v>
      </c>
      <c r="W12" s="23">
        <v>3016.4</v>
      </c>
      <c r="X12" s="23">
        <v>3058.4</v>
      </c>
      <c r="Y12" s="23">
        <v>3268.9</v>
      </c>
      <c r="Z12" s="23">
        <v>3783.7</v>
      </c>
      <c r="AA12" s="23">
        <v>4098.8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1363.5</v>
      </c>
      <c r="E13" s="23">
        <v>1487</v>
      </c>
      <c r="F13" s="23">
        <v>1786.5</v>
      </c>
      <c r="G13" s="23">
        <v>1940.9</v>
      </c>
      <c r="H13" s="23">
        <v>2077.6999999999998</v>
      </c>
      <c r="I13" s="23">
        <v>2101.3000000000002</v>
      </c>
      <c r="J13" s="23">
        <v>2319.6999999999998</v>
      </c>
      <c r="K13" s="23">
        <v>2670.3</v>
      </c>
      <c r="L13" s="23">
        <v>2976.6</v>
      </c>
      <c r="M13" s="23">
        <v>2838.8</v>
      </c>
      <c r="N13" s="23">
        <v>2956.5</v>
      </c>
      <c r="O13" s="23">
        <v>2990.1</v>
      </c>
      <c r="P13" s="23">
        <v>2928.6</v>
      </c>
      <c r="Q13" s="23">
        <v>2953.3</v>
      </c>
      <c r="R13" s="23">
        <v>3165.9</v>
      </c>
      <c r="S13" s="23">
        <v>3285.6</v>
      </c>
      <c r="T13" s="23">
        <v>3390.1</v>
      </c>
      <c r="U13" s="23">
        <v>3718.3</v>
      </c>
      <c r="V13" s="23">
        <v>4013.2</v>
      </c>
      <c r="W13" s="23">
        <v>4191</v>
      </c>
      <c r="X13" s="23">
        <v>3898.4</v>
      </c>
      <c r="Y13" s="23">
        <v>4434.7</v>
      </c>
      <c r="Z13" s="23">
        <v>5086.3999999999996</v>
      </c>
      <c r="AA13" s="23">
        <v>5610.8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3120.2000000000025</v>
      </c>
      <c r="E14" s="23">
        <v>3428.0999999999985</v>
      </c>
      <c r="F14" s="23">
        <v>3629.9999999999964</v>
      </c>
      <c r="G14" s="23">
        <v>3858.3000000000029</v>
      </c>
      <c r="H14" s="23">
        <v>4050.0999999999985</v>
      </c>
      <c r="I14" s="23">
        <v>4279.8000000000029</v>
      </c>
      <c r="J14" s="23">
        <v>4483.8000000000029</v>
      </c>
      <c r="K14" s="23">
        <v>4712.2000000000007</v>
      </c>
      <c r="L14" s="23">
        <v>5174.2999999999993</v>
      </c>
      <c r="M14" s="23">
        <v>5463.3000000000029</v>
      </c>
      <c r="N14" s="23">
        <v>5631.0999999999985</v>
      </c>
      <c r="O14" s="23">
        <v>5694.7000000000044</v>
      </c>
      <c r="P14" s="23">
        <v>5620.5999999999985</v>
      </c>
      <c r="Q14" s="23">
        <v>5437.5</v>
      </c>
      <c r="R14" s="23">
        <v>5388</v>
      </c>
      <c r="S14" s="23">
        <v>5462.3000000000029</v>
      </c>
      <c r="T14" s="23">
        <v>5807.4000000000015</v>
      </c>
      <c r="U14" s="23">
        <v>6091.5000000000036</v>
      </c>
      <c r="V14" s="23">
        <v>6425.3000000000029</v>
      </c>
      <c r="W14" s="23">
        <v>6903.0999999999985</v>
      </c>
      <c r="X14" s="23">
        <v>7542.8999999999942</v>
      </c>
      <c r="Y14" s="23">
        <v>8383.1999999999971</v>
      </c>
      <c r="Z14" s="23">
        <v>8554.7999999999956</v>
      </c>
      <c r="AA14" s="23">
        <v>9431.3999999999869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621.5</v>
      </c>
      <c r="E15" s="23">
        <v>637.6</v>
      </c>
      <c r="F15" s="23">
        <v>627.70000000000005</v>
      </c>
      <c r="G15" s="23">
        <v>642.29999999999995</v>
      </c>
      <c r="H15" s="23">
        <v>692.1</v>
      </c>
      <c r="I15" s="23">
        <v>748.2</v>
      </c>
      <c r="J15" s="23">
        <v>769.8</v>
      </c>
      <c r="K15" s="23">
        <v>806.3</v>
      </c>
      <c r="L15" s="23">
        <v>860.8</v>
      </c>
      <c r="M15" s="23">
        <v>865.4</v>
      </c>
      <c r="N15" s="23">
        <v>867.4</v>
      </c>
      <c r="O15" s="23">
        <v>882.6</v>
      </c>
      <c r="P15" s="23">
        <v>855.4</v>
      </c>
      <c r="Q15" s="23">
        <v>848.5</v>
      </c>
      <c r="R15" s="23">
        <v>839.6</v>
      </c>
      <c r="S15" s="23">
        <v>836.8</v>
      </c>
      <c r="T15" s="23">
        <v>894.3</v>
      </c>
      <c r="U15" s="23">
        <v>930.2</v>
      </c>
      <c r="V15" s="23">
        <v>971.8</v>
      </c>
      <c r="W15" s="23">
        <v>1045.2</v>
      </c>
      <c r="X15" s="23">
        <v>879.1</v>
      </c>
      <c r="Y15" s="23">
        <v>966.5</v>
      </c>
      <c r="Z15" s="23">
        <v>1181</v>
      </c>
      <c r="AA15" s="23">
        <v>1273.4000000000001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18955.400000000001</v>
      </c>
      <c r="E16" s="30">
        <f t="shared" ref="E16:Y16" si="0">SUM(E6:E15)</f>
        <v>20168.599999999999</v>
      </c>
      <c r="F16" s="30">
        <f t="shared" si="0"/>
        <v>21516.799999999999</v>
      </c>
      <c r="G16" s="30">
        <f t="shared" si="0"/>
        <v>22731.4</v>
      </c>
      <c r="H16" s="30">
        <f t="shared" si="0"/>
        <v>24089.1</v>
      </c>
      <c r="I16" s="30">
        <f t="shared" si="0"/>
        <v>25379.4</v>
      </c>
      <c r="J16" s="30">
        <f t="shared" si="0"/>
        <v>27489.7</v>
      </c>
      <c r="K16" s="30">
        <f t="shared" si="0"/>
        <v>30604.400000000001</v>
      </c>
      <c r="L16" s="30">
        <f t="shared" si="0"/>
        <v>33037.699999999997</v>
      </c>
      <c r="M16" s="30">
        <f t="shared" si="0"/>
        <v>31274.400000000001</v>
      </c>
      <c r="N16" s="30">
        <f t="shared" si="0"/>
        <v>31296.9</v>
      </c>
      <c r="O16" s="30">
        <f t="shared" si="0"/>
        <v>31911.200000000001</v>
      </c>
      <c r="P16" s="30">
        <f t="shared" si="0"/>
        <v>31113.8</v>
      </c>
      <c r="Q16" s="30">
        <f t="shared" si="0"/>
        <v>30975.3</v>
      </c>
      <c r="R16" s="30">
        <f t="shared" si="0"/>
        <v>32050.3</v>
      </c>
      <c r="S16" s="30">
        <f t="shared" si="0"/>
        <v>33058.5</v>
      </c>
      <c r="T16" s="30">
        <f t="shared" si="0"/>
        <v>34438.5</v>
      </c>
      <c r="U16" s="30">
        <f t="shared" si="0"/>
        <v>36789.800000000003</v>
      </c>
      <c r="V16" s="30">
        <f t="shared" si="0"/>
        <v>39355.400000000009</v>
      </c>
      <c r="W16" s="30">
        <f t="shared" si="0"/>
        <v>41821.1</v>
      </c>
      <c r="X16" s="30">
        <f t="shared" si="0"/>
        <v>41139.199999999997</v>
      </c>
      <c r="Y16" s="30">
        <f t="shared" si="0"/>
        <v>45539.5</v>
      </c>
      <c r="Z16" s="30">
        <f t="shared" ref="Z16:AA16" si="1">SUM(Z6:Z15)</f>
        <v>49934.2</v>
      </c>
      <c r="AA16" s="30">
        <f t="shared" si="1"/>
        <v>56995.1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652.4</v>
      </c>
      <c r="E18" s="19">
        <v>626.5</v>
      </c>
      <c r="F18" s="19">
        <v>714.3</v>
      </c>
      <c r="G18" s="19">
        <v>576.29999999999995</v>
      </c>
      <c r="H18" s="19">
        <v>660.2</v>
      </c>
      <c r="I18" s="19">
        <v>700.9</v>
      </c>
      <c r="J18" s="19">
        <v>654.79999999999995</v>
      </c>
      <c r="K18" s="19">
        <v>710.2</v>
      </c>
      <c r="L18" s="19">
        <v>663.8</v>
      </c>
      <c r="M18" s="19">
        <v>631.1</v>
      </c>
      <c r="N18" s="19">
        <v>655.9</v>
      </c>
      <c r="O18" s="19">
        <v>750.7</v>
      </c>
      <c r="P18" s="19">
        <v>656.2</v>
      </c>
      <c r="Q18" s="19">
        <v>659.8</v>
      </c>
      <c r="R18" s="19">
        <v>678.8</v>
      </c>
      <c r="S18" s="19">
        <v>759.7</v>
      </c>
      <c r="T18" s="19">
        <v>740.8</v>
      </c>
      <c r="U18" s="19">
        <v>721.7</v>
      </c>
      <c r="V18" s="19">
        <v>905.3</v>
      </c>
      <c r="W18" s="19">
        <v>852.6</v>
      </c>
      <c r="X18" s="19">
        <v>886.8</v>
      </c>
      <c r="Y18" s="19">
        <v>786.5</v>
      </c>
      <c r="Z18" s="19">
        <v>924.2</v>
      </c>
      <c r="AA18" s="19">
        <v>981.2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119.5175994108983</v>
      </c>
      <c r="E19" s="23">
        <v>111.78505946812787</v>
      </c>
      <c r="F19" s="23">
        <v>103.78733837521345</v>
      </c>
      <c r="G19" s="23">
        <v>114.09999999999992</v>
      </c>
      <c r="H19" s="23">
        <v>129.31341982356</v>
      </c>
      <c r="I19" s="23">
        <v>133.00000000000006</v>
      </c>
      <c r="J19" s="23">
        <v>138.21266611676288</v>
      </c>
      <c r="K19" s="23">
        <v>144.81244520842293</v>
      </c>
      <c r="L19" s="23">
        <v>145.78847066266013</v>
      </c>
      <c r="M19" s="23">
        <v>143.81169581130536</v>
      </c>
      <c r="N19" s="23">
        <v>138.88858293605131</v>
      </c>
      <c r="O19" s="23">
        <v>145.78801578168668</v>
      </c>
      <c r="P19" s="23">
        <v>142.70000000000005</v>
      </c>
      <c r="Q19" s="23">
        <v>126.01000953288843</v>
      </c>
      <c r="R19" s="23">
        <v>127.71044153720364</v>
      </c>
      <c r="S19" s="23">
        <v>124.3</v>
      </c>
      <c r="T19" s="23">
        <v>130.10000000000008</v>
      </c>
      <c r="U19" s="23">
        <v>138.09999999999994</v>
      </c>
      <c r="V19" s="23">
        <v>142.99999999999986</v>
      </c>
      <c r="W19" s="23">
        <v>138.51012574937852</v>
      </c>
      <c r="X19" s="23">
        <v>129.99999999999989</v>
      </c>
      <c r="Y19" s="23">
        <v>120.49202356523469</v>
      </c>
      <c r="Z19" s="23">
        <v>165.39999999999986</v>
      </c>
      <c r="AA19" s="23">
        <v>133.70000000000002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4705.8</v>
      </c>
      <c r="E20" s="23">
        <v>5058.8999999999996</v>
      </c>
      <c r="F20" s="23">
        <v>5333.1</v>
      </c>
      <c r="G20" s="23">
        <v>5654.8</v>
      </c>
      <c r="H20" s="23">
        <v>5902</v>
      </c>
      <c r="I20" s="23">
        <v>5970.7</v>
      </c>
      <c r="J20" s="23">
        <v>6408.1</v>
      </c>
      <c r="K20" s="23">
        <v>7109.9</v>
      </c>
      <c r="L20" s="23">
        <v>7244</v>
      </c>
      <c r="M20" s="23">
        <v>6147.6</v>
      </c>
      <c r="N20" s="23">
        <v>6307.5</v>
      </c>
      <c r="O20" s="23">
        <v>6693.2</v>
      </c>
      <c r="P20" s="23">
        <v>6725.7</v>
      </c>
      <c r="Q20" s="23">
        <v>6908.8</v>
      </c>
      <c r="R20" s="23">
        <v>7321</v>
      </c>
      <c r="S20" s="23">
        <v>7692.5</v>
      </c>
      <c r="T20" s="23">
        <v>8095</v>
      </c>
      <c r="U20" s="23">
        <v>8798.2000000000007</v>
      </c>
      <c r="V20" s="23">
        <v>9277.2000000000007</v>
      </c>
      <c r="W20" s="23">
        <v>9907.9</v>
      </c>
      <c r="X20" s="23">
        <v>9589.7000000000007</v>
      </c>
      <c r="Y20" s="23">
        <v>10366.4</v>
      </c>
      <c r="Z20" s="23">
        <v>11339.2</v>
      </c>
      <c r="AA20" s="23">
        <v>12502.5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372.45484536082438</v>
      </c>
      <c r="E21" s="23">
        <v>431.04238941601005</v>
      </c>
      <c r="F21" s="23">
        <v>517.63685045132956</v>
      </c>
      <c r="G21" s="23">
        <v>504.09999999999968</v>
      </c>
      <c r="H21" s="23">
        <v>578.66005189413613</v>
      </c>
      <c r="I21" s="23">
        <v>615.30000000000007</v>
      </c>
      <c r="J21" s="23">
        <v>672.56163504719996</v>
      </c>
      <c r="K21" s="23">
        <v>696.35984529437064</v>
      </c>
      <c r="L21" s="23">
        <v>775.73865253835197</v>
      </c>
      <c r="M21" s="23">
        <v>754.26134200894637</v>
      </c>
      <c r="N21" s="23">
        <v>763.23725957586714</v>
      </c>
      <c r="O21" s="23">
        <v>750.23832812756871</v>
      </c>
      <c r="P21" s="23">
        <v>766.30000000000018</v>
      </c>
      <c r="Q21" s="23">
        <v>804.46390212901144</v>
      </c>
      <c r="R21" s="23">
        <v>756.46184791496341</v>
      </c>
      <c r="S21" s="23">
        <v>724.4</v>
      </c>
      <c r="T21" s="23">
        <v>727.8000000000003</v>
      </c>
      <c r="U21" s="23">
        <v>728.5999999999998</v>
      </c>
      <c r="V21" s="23">
        <v>764.79999999999916</v>
      </c>
      <c r="W21" s="23">
        <v>863.76314519666585</v>
      </c>
      <c r="X21" s="23">
        <v>949.19999999999936</v>
      </c>
      <c r="Y21" s="23">
        <v>913.6395181041903</v>
      </c>
      <c r="Z21" s="23">
        <v>585.19999999999948</v>
      </c>
      <c r="AA21" s="23">
        <v>1873.6000000000001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187.12755522827669</v>
      </c>
      <c r="E22" s="23">
        <v>205.37255111586285</v>
      </c>
      <c r="F22" s="23">
        <v>198.27581117345693</v>
      </c>
      <c r="G22" s="23">
        <v>223.89999999999986</v>
      </c>
      <c r="H22" s="23">
        <v>255.62652828230415</v>
      </c>
      <c r="I22" s="23">
        <v>264.50000000000006</v>
      </c>
      <c r="J22" s="23">
        <v>280.42569883603693</v>
      </c>
      <c r="K22" s="23">
        <v>322.42770949720676</v>
      </c>
      <c r="L22" s="23">
        <v>342.97287679898784</v>
      </c>
      <c r="M22" s="23">
        <v>331.52696217974767</v>
      </c>
      <c r="N22" s="23">
        <v>314.37415748808155</v>
      </c>
      <c r="O22" s="23">
        <v>320.47365609074473</v>
      </c>
      <c r="P22" s="23">
        <v>313.40000000000009</v>
      </c>
      <c r="Q22" s="23">
        <v>328.42608833809965</v>
      </c>
      <c r="R22" s="23">
        <v>338.92771054783327</v>
      </c>
      <c r="S22" s="23">
        <v>337.29999999999995</v>
      </c>
      <c r="T22" s="23">
        <v>330.80000000000024</v>
      </c>
      <c r="U22" s="23">
        <v>337.69999999999987</v>
      </c>
      <c r="V22" s="23">
        <v>349.29999999999961</v>
      </c>
      <c r="W22" s="23">
        <v>365.62672905395516</v>
      </c>
      <c r="X22" s="23">
        <v>407.99999999999966</v>
      </c>
      <c r="Y22" s="23">
        <v>476.46845833057534</v>
      </c>
      <c r="Z22" s="23">
        <v>454.09999999999957</v>
      </c>
      <c r="AA22" s="23">
        <v>492.30000000000013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1229.8</v>
      </c>
      <c r="E23" s="23">
        <v>1236</v>
      </c>
      <c r="F23" s="23">
        <v>1261.3</v>
      </c>
      <c r="G23" s="23">
        <v>1380.8</v>
      </c>
      <c r="H23" s="23">
        <v>1452.1</v>
      </c>
      <c r="I23" s="23">
        <v>1636.3</v>
      </c>
      <c r="J23" s="23">
        <v>1926.3</v>
      </c>
      <c r="K23" s="23">
        <v>2416.6</v>
      </c>
      <c r="L23" s="23">
        <v>2721.7</v>
      </c>
      <c r="M23" s="23">
        <v>2434.1</v>
      </c>
      <c r="N23" s="23">
        <v>1976</v>
      </c>
      <c r="O23" s="23">
        <v>1855.5</v>
      </c>
      <c r="P23" s="23">
        <v>1780</v>
      </c>
      <c r="Q23" s="23">
        <v>1612.6</v>
      </c>
      <c r="R23" s="23">
        <v>1807.4</v>
      </c>
      <c r="S23" s="23">
        <v>1756.3</v>
      </c>
      <c r="T23" s="23">
        <v>1759.9</v>
      </c>
      <c r="U23" s="23">
        <v>1945.8</v>
      </c>
      <c r="V23" s="23">
        <v>2227.9</v>
      </c>
      <c r="W23" s="23">
        <v>2475.9</v>
      </c>
      <c r="X23" s="23">
        <v>2451.5</v>
      </c>
      <c r="Y23" s="23">
        <v>2770.5</v>
      </c>
      <c r="Z23" s="23">
        <v>3378</v>
      </c>
      <c r="AA23" s="23">
        <v>3947.1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2018.8000000000002</v>
      </c>
      <c r="E24" s="23">
        <v>2218.8999999999996</v>
      </c>
      <c r="F24" s="23">
        <v>2441.4</v>
      </c>
      <c r="G24" s="23">
        <v>2639.9</v>
      </c>
      <c r="H24" s="23">
        <v>2744.6</v>
      </c>
      <c r="I24" s="23">
        <v>2989.6</v>
      </c>
      <c r="J24" s="23">
        <v>3233.5</v>
      </c>
      <c r="K24" s="23">
        <v>3719.2</v>
      </c>
      <c r="L24" s="23">
        <v>4155.8</v>
      </c>
      <c r="M24" s="23">
        <v>3925.7</v>
      </c>
      <c r="N24" s="23">
        <v>3808</v>
      </c>
      <c r="O24" s="23">
        <v>3846.7</v>
      </c>
      <c r="P24" s="23">
        <v>3651.5</v>
      </c>
      <c r="Q24" s="23">
        <v>3715.8</v>
      </c>
      <c r="R24" s="23">
        <v>3766.7</v>
      </c>
      <c r="S24" s="23">
        <v>3940.7999999999997</v>
      </c>
      <c r="T24" s="23">
        <v>4125.5</v>
      </c>
      <c r="U24" s="23">
        <v>4426.3999999999996</v>
      </c>
      <c r="V24" s="23">
        <v>4794.9000000000005</v>
      </c>
      <c r="W24" s="23">
        <v>5008.3</v>
      </c>
      <c r="X24" s="23">
        <v>4887.0999999999995</v>
      </c>
      <c r="Y24" s="23">
        <v>5523.3000000000011</v>
      </c>
      <c r="Z24" s="23">
        <v>5742.6</v>
      </c>
      <c r="AA24" s="23">
        <v>6580.9000000000005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1000.1</v>
      </c>
      <c r="E25" s="23">
        <v>1053</v>
      </c>
      <c r="F25" s="23">
        <v>1110.7</v>
      </c>
      <c r="G25" s="23">
        <v>1168.0999999999999</v>
      </c>
      <c r="H25" s="23">
        <v>1278.5</v>
      </c>
      <c r="I25" s="23">
        <v>1343</v>
      </c>
      <c r="J25" s="23">
        <v>1521.5</v>
      </c>
      <c r="K25" s="23">
        <v>1748.7</v>
      </c>
      <c r="L25" s="23">
        <v>1890.1</v>
      </c>
      <c r="M25" s="23">
        <v>1718.4</v>
      </c>
      <c r="N25" s="23">
        <v>1767.8</v>
      </c>
      <c r="O25" s="23">
        <v>1853.5</v>
      </c>
      <c r="P25" s="23">
        <v>1849.4</v>
      </c>
      <c r="Q25" s="23">
        <v>1846.5</v>
      </c>
      <c r="R25" s="23">
        <v>1967.6</v>
      </c>
      <c r="S25" s="23">
        <v>2125</v>
      </c>
      <c r="T25" s="23">
        <v>2260.8000000000002</v>
      </c>
      <c r="U25" s="23">
        <v>2452.9</v>
      </c>
      <c r="V25" s="23">
        <v>2595.5</v>
      </c>
      <c r="W25" s="23">
        <v>2690</v>
      </c>
      <c r="X25" s="23">
        <v>2439.8000000000002</v>
      </c>
      <c r="Y25" s="23">
        <v>2750.5</v>
      </c>
      <c r="Z25" s="23">
        <v>3204.1</v>
      </c>
      <c r="AA25" s="23">
        <v>3384.2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439.5</v>
      </c>
      <c r="E26" s="23">
        <v>470.8</v>
      </c>
      <c r="F26" s="23">
        <v>479.3</v>
      </c>
      <c r="G26" s="23">
        <v>500</v>
      </c>
      <c r="H26" s="23">
        <v>512.4</v>
      </c>
      <c r="I26" s="23">
        <v>553.4</v>
      </c>
      <c r="J26" s="23">
        <v>623.20000000000005</v>
      </c>
      <c r="K26" s="23">
        <v>697.6</v>
      </c>
      <c r="L26" s="23">
        <v>736.4</v>
      </c>
      <c r="M26" s="23">
        <v>699.7</v>
      </c>
      <c r="N26" s="23">
        <v>688</v>
      </c>
      <c r="O26" s="23">
        <v>715.7</v>
      </c>
      <c r="P26" s="23">
        <v>690.8</v>
      </c>
      <c r="Q26" s="23">
        <v>696</v>
      </c>
      <c r="R26" s="23">
        <v>714.2</v>
      </c>
      <c r="S26" s="23">
        <v>736.9</v>
      </c>
      <c r="T26" s="23">
        <v>816.1</v>
      </c>
      <c r="U26" s="23">
        <v>886.4</v>
      </c>
      <c r="V26" s="23">
        <v>976.7</v>
      </c>
      <c r="W26" s="23">
        <v>1068.3</v>
      </c>
      <c r="X26" s="23">
        <v>628</v>
      </c>
      <c r="Y26" s="23">
        <v>828.4</v>
      </c>
      <c r="Z26" s="23">
        <v>1239</v>
      </c>
      <c r="AA26" s="23">
        <v>1392.5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712.3</v>
      </c>
      <c r="E27" s="23">
        <v>787.6</v>
      </c>
      <c r="F27" s="23">
        <v>775.7</v>
      </c>
      <c r="G27" s="23">
        <v>839</v>
      </c>
      <c r="H27" s="23">
        <v>904.5</v>
      </c>
      <c r="I27" s="23">
        <v>1004</v>
      </c>
      <c r="J27" s="23">
        <v>1097.7</v>
      </c>
      <c r="K27" s="23">
        <v>1217.3</v>
      </c>
      <c r="L27" s="23">
        <v>1316.9</v>
      </c>
      <c r="M27" s="23">
        <v>1222.5</v>
      </c>
      <c r="N27" s="23">
        <v>1276.4000000000001</v>
      </c>
      <c r="O27" s="23">
        <v>1301.4000000000001</v>
      </c>
      <c r="P27" s="23">
        <v>1328.7</v>
      </c>
      <c r="Q27" s="23">
        <v>1297.8</v>
      </c>
      <c r="R27" s="23">
        <v>1365.5</v>
      </c>
      <c r="S27" s="23">
        <v>1328</v>
      </c>
      <c r="T27" s="23">
        <v>1356.2</v>
      </c>
      <c r="U27" s="23">
        <v>1453.9</v>
      </c>
      <c r="V27" s="23">
        <v>1509.5</v>
      </c>
      <c r="W27" s="23">
        <v>1721.2</v>
      </c>
      <c r="X27" s="23">
        <v>1795.9</v>
      </c>
      <c r="Y27" s="23">
        <v>2021.2</v>
      </c>
      <c r="Z27" s="23">
        <v>2209.1999999999998</v>
      </c>
      <c r="AA27" s="23">
        <v>2482.8000000000002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899.1</v>
      </c>
      <c r="E28" s="23">
        <v>869.5</v>
      </c>
      <c r="F28" s="23">
        <v>929.9</v>
      </c>
      <c r="G28" s="23">
        <v>1041.5999999999999</v>
      </c>
      <c r="H28" s="23">
        <v>1087.0999999999999</v>
      </c>
      <c r="I28" s="23">
        <v>1151.5</v>
      </c>
      <c r="J28" s="23">
        <v>1336.6</v>
      </c>
      <c r="K28" s="23">
        <v>1419</v>
      </c>
      <c r="L28" s="23">
        <v>1589.2</v>
      </c>
      <c r="M28" s="23">
        <v>1660.6</v>
      </c>
      <c r="N28" s="23">
        <v>1687.2</v>
      </c>
      <c r="O28" s="23">
        <v>1637.1</v>
      </c>
      <c r="P28" s="23">
        <v>1336.4</v>
      </c>
      <c r="Q28" s="23">
        <v>1241.3</v>
      </c>
      <c r="R28" s="23">
        <v>1287.5999999999999</v>
      </c>
      <c r="S28" s="23">
        <v>1347.8</v>
      </c>
      <c r="T28" s="23">
        <v>1324.4</v>
      </c>
      <c r="U28" s="23">
        <v>1394.1</v>
      </c>
      <c r="V28" s="23">
        <v>1501</v>
      </c>
      <c r="W28" s="23">
        <v>1573.3</v>
      </c>
      <c r="X28" s="23">
        <v>1594.4</v>
      </c>
      <c r="Y28" s="23">
        <v>1928.8</v>
      </c>
      <c r="Z28" s="23">
        <v>2087.3000000000002</v>
      </c>
      <c r="AA28" s="23">
        <v>2809.9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1513.3</v>
      </c>
      <c r="E29" s="23">
        <v>1546.5</v>
      </c>
      <c r="F29" s="23">
        <v>1607.2</v>
      </c>
      <c r="G29" s="23">
        <v>1647.3</v>
      </c>
      <c r="H29" s="23">
        <v>1764.2</v>
      </c>
      <c r="I29" s="23">
        <v>1887.9</v>
      </c>
      <c r="J29" s="23">
        <v>2023.5</v>
      </c>
      <c r="K29" s="23">
        <v>2213.5</v>
      </c>
      <c r="L29" s="23">
        <v>2443.6</v>
      </c>
      <c r="M29" s="23">
        <v>2437.6</v>
      </c>
      <c r="N29" s="23">
        <v>2458.6</v>
      </c>
      <c r="O29" s="23">
        <v>2473.5</v>
      </c>
      <c r="P29" s="23">
        <v>2468.1</v>
      </c>
      <c r="Q29" s="23">
        <v>2498.5</v>
      </c>
      <c r="R29" s="23">
        <v>2524.9</v>
      </c>
      <c r="S29" s="23">
        <v>2600.8000000000002</v>
      </c>
      <c r="T29" s="23">
        <v>2679.3</v>
      </c>
      <c r="U29" s="23">
        <v>2766</v>
      </c>
      <c r="V29" s="23">
        <v>2900</v>
      </c>
      <c r="W29" s="23">
        <v>3016.4</v>
      </c>
      <c r="X29" s="23">
        <v>3058.4</v>
      </c>
      <c r="Y29" s="23">
        <v>3268.9</v>
      </c>
      <c r="Z29" s="23">
        <v>3783.7</v>
      </c>
      <c r="AA29" s="23">
        <v>4098.8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903.9</v>
      </c>
      <c r="E30" s="23">
        <v>991.1</v>
      </c>
      <c r="F30" s="23">
        <v>1258.4000000000001</v>
      </c>
      <c r="G30" s="23">
        <v>1362.3000000000002</v>
      </c>
      <c r="H30" s="23">
        <v>1426.3999999999999</v>
      </c>
      <c r="I30" s="23">
        <v>1495.4</v>
      </c>
      <c r="J30" s="23">
        <v>1658.9999999999998</v>
      </c>
      <c r="K30" s="23">
        <v>1866.8000000000002</v>
      </c>
      <c r="L30" s="23">
        <v>2153.3000000000002</v>
      </c>
      <c r="M30" s="23">
        <v>2075</v>
      </c>
      <c r="N30" s="23">
        <v>2125</v>
      </c>
      <c r="O30" s="23">
        <v>2154.3999999999996</v>
      </c>
      <c r="P30" s="23">
        <v>2104.1999999999998</v>
      </c>
      <c r="Q30" s="23">
        <v>2149.1000000000004</v>
      </c>
      <c r="R30" s="23">
        <v>2250.6000000000004</v>
      </c>
      <c r="S30" s="23">
        <v>2303</v>
      </c>
      <c r="T30" s="23">
        <v>2332.1</v>
      </c>
      <c r="U30" s="23">
        <v>2523.7000000000003</v>
      </c>
      <c r="V30" s="23">
        <v>2723.2999999999997</v>
      </c>
      <c r="W30" s="23">
        <v>2910.3</v>
      </c>
      <c r="X30" s="23">
        <v>2837.1000000000004</v>
      </c>
      <c r="Y30" s="23">
        <v>3215.7</v>
      </c>
      <c r="Z30" s="23">
        <v>3632.2</v>
      </c>
      <c r="AA30" s="23">
        <v>3977.2000000000003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459.6</v>
      </c>
      <c r="E31" s="23">
        <v>495.9</v>
      </c>
      <c r="F31" s="23">
        <v>528.1</v>
      </c>
      <c r="G31" s="23">
        <v>578.6</v>
      </c>
      <c r="H31" s="23">
        <v>651.29999999999995</v>
      </c>
      <c r="I31" s="23">
        <v>605.9</v>
      </c>
      <c r="J31" s="23">
        <v>660.7</v>
      </c>
      <c r="K31" s="23">
        <v>803.5</v>
      </c>
      <c r="L31" s="23">
        <v>823.3</v>
      </c>
      <c r="M31" s="23">
        <v>763.8</v>
      </c>
      <c r="N31" s="23">
        <v>831.5</v>
      </c>
      <c r="O31" s="23">
        <v>835.7</v>
      </c>
      <c r="P31" s="23">
        <v>824.4</v>
      </c>
      <c r="Q31" s="23">
        <v>804.2</v>
      </c>
      <c r="R31" s="23">
        <v>915.3</v>
      </c>
      <c r="S31" s="23">
        <v>982.6</v>
      </c>
      <c r="T31" s="23">
        <v>1058</v>
      </c>
      <c r="U31" s="23">
        <v>1194.5999999999999</v>
      </c>
      <c r="V31" s="23">
        <v>1289.9000000000001</v>
      </c>
      <c r="W31" s="23">
        <v>1280.7</v>
      </c>
      <c r="X31" s="23">
        <v>1061.3</v>
      </c>
      <c r="Y31" s="23">
        <v>1219</v>
      </c>
      <c r="Z31" s="23">
        <v>1454.2</v>
      </c>
      <c r="AA31" s="23">
        <v>1633.6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1090.8000000000027</v>
      </c>
      <c r="E32" s="23">
        <v>1210.8999999999987</v>
      </c>
      <c r="F32" s="23">
        <v>1302.8999999999965</v>
      </c>
      <c r="G32" s="23">
        <v>1427.2000000000025</v>
      </c>
      <c r="H32" s="23">
        <v>1495.6999999999985</v>
      </c>
      <c r="I32" s="23">
        <v>1571.4000000000028</v>
      </c>
      <c r="J32" s="23">
        <v>1660.6000000000031</v>
      </c>
      <c r="K32" s="23">
        <v>1746.9000000000005</v>
      </c>
      <c r="L32" s="23">
        <v>1928.1999999999994</v>
      </c>
      <c r="M32" s="23">
        <v>2024.1000000000031</v>
      </c>
      <c r="N32" s="23">
        <v>2083.4999999999982</v>
      </c>
      <c r="O32" s="23">
        <v>2083.3000000000047</v>
      </c>
      <c r="P32" s="23">
        <v>2041.1999999999985</v>
      </c>
      <c r="Q32" s="23">
        <v>1954.8000000000002</v>
      </c>
      <c r="R32" s="23">
        <v>1934.3999999999996</v>
      </c>
      <c r="S32" s="23">
        <v>1950.3000000000029</v>
      </c>
      <c r="T32" s="23">
        <v>2087.8000000000015</v>
      </c>
      <c r="U32" s="23">
        <v>2184.5000000000036</v>
      </c>
      <c r="V32" s="23">
        <v>2286.0000000000027</v>
      </c>
      <c r="W32" s="23">
        <v>2455.9999999999982</v>
      </c>
      <c r="X32" s="23">
        <v>2620.599999999994</v>
      </c>
      <c r="Y32" s="23">
        <v>2859.1999999999971</v>
      </c>
      <c r="Z32" s="23">
        <v>3022.6999999999953</v>
      </c>
      <c r="AA32" s="23">
        <v>3299.8999999999869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1062.0999999999999</v>
      </c>
      <c r="E33" s="23">
        <v>1172</v>
      </c>
      <c r="F33" s="23">
        <v>1242.0999999999999</v>
      </c>
      <c r="G33" s="23">
        <v>1305.9000000000001</v>
      </c>
      <c r="H33" s="23">
        <v>1396.4</v>
      </c>
      <c r="I33" s="23">
        <v>1485</v>
      </c>
      <c r="J33" s="23">
        <v>1566</v>
      </c>
      <c r="K33" s="23">
        <v>1631.4</v>
      </c>
      <c r="L33" s="23">
        <v>1745.5</v>
      </c>
      <c r="M33" s="23">
        <v>1818.9</v>
      </c>
      <c r="N33" s="23">
        <v>1890.4</v>
      </c>
      <c r="O33" s="23">
        <v>1926.1</v>
      </c>
      <c r="P33" s="23">
        <v>1877.2</v>
      </c>
      <c r="Q33" s="23">
        <v>1812.8</v>
      </c>
      <c r="R33" s="23">
        <v>1796.9</v>
      </c>
      <c r="S33" s="23">
        <v>1812.8</v>
      </c>
      <c r="T33" s="23">
        <v>1898</v>
      </c>
      <c r="U33" s="23">
        <v>1989.7</v>
      </c>
      <c r="V33" s="23">
        <v>2082.3000000000002</v>
      </c>
      <c r="W33" s="23">
        <v>2237.3000000000002</v>
      </c>
      <c r="X33" s="23">
        <v>2341.5</v>
      </c>
      <c r="Y33" s="23">
        <v>2653.3</v>
      </c>
      <c r="Z33" s="23">
        <v>2676.9</v>
      </c>
      <c r="AA33" s="23">
        <v>2956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967.3</v>
      </c>
      <c r="E34" s="23">
        <v>1045.2</v>
      </c>
      <c r="F34" s="23">
        <v>1085</v>
      </c>
      <c r="G34" s="23">
        <v>1125.2</v>
      </c>
      <c r="H34" s="23">
        <v>1158</v>
      </c>
      <c r="I34" s="23">
        <v>1223.4000000000001</v>
      </c>
      <c r="J34" s="23">
        <v>1257.2</v>
      </c>
      <c r="K34" s="23">
        <v>1333.9</v>
      </c>
      <c r="L34" s="23">
        <v>1500.6</v>
      </c>
      <c r="M34" s="23">
        <v>1620.3</v>
      </c>
      <c r="N34" s="23">
        <v>1657.2</v>
      </c>
      <c r="O34" s="23">
        <v>1685.3</v>
      </c>
      <c r="P34" s="23">
        <v>1702.2</v>
      </c>
      <c r="Q34" s="23">
        <v>1669.9</v>
      </c>
      <c r="R34" s="23">
        <v>1656.7</v>
      </c>
      <c r="S34" s="23">
        <v>1699.2</v>
      </c>
      <c r="T34" s="23">
        <v>1821.6</v>
      </c>
      <c r="U34" s="23">
        <v>1917.3</v>
      </c>
      <c r="V34" s="23">
        <v>2057</v>
      </c>
      <c r="W34" s="23">
        <v>2209.8000000000002</v>
      </c>
      <c r="X34" s="23">
        <v>2580.8000000000002</v>
      </c>
      <c r="Y34" s="23">
        <v>2870.7</v>
      </c>
      <c r="Z34" s="23">
        <v>2855.2</v>
      </c>
      <c r="AA34" s="23">
        <v>3175.5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291.89999999999998</v>
      </c>
      <c r="E35" s="23">
        <v>310.60000000000002</v>
      </c>
      <c r="F35" s="23">
        <v>317.10000000000002</v>
      </c>
      <c r="G35" s="23">
        <v>330.09999999999997</v>
      </c>
      <c r="H35" s="23">
        <v>382.8</v>
      </c>
      <c r="I35" s="23">
        <v>425.50000000000006</v>
      </c>
      <c r="J35" s="23">
        <v>441.4</v>
      </c>
      <c r="K35" s="23">
        <v>454.2</v>
      </c>
      <c r="L35" s="23">
        <v>484.59999999999997</v>
      </c>
      <c r="M35" s="23">
        <v>484.9</v>
      </c>
      <c r="N35" s="23">
        <v>502.7</v>
      </c>
      <c r="O35" s="23">
        <v>493.8</v>
      </c>
      <c r="P35" s="23">
        <v>479.49999999999994</v>
      </c>
      <c r="Q35" s="23">
        <v>471.9</v>
      </c>
      <c r="R35" s="23">
        <v>463.3</v>
      </c>
      <c r="S35" s="23">
        <v>456.4</v>
      </c>
      <c r="T35" s="23">
        <v>492.49999999999994</v>
      </c>
      <c r="U35" s="23">
        <v>507.50000000000006</v>
      </c>
      <c r="V35" s="23">
        <v>525.59999999999991</v>
      </c>
      <c r="W35" s="23">
        <v>552.10000000000014</v>
      </c>
      <c r="X35" s="23">
        <v>435.40000000000003</v>
      </c>
      <c r="Y35" s="23">
        <v>478.1</v>
      </c>
      <c r="Z35" s="23">
        <v>623.4</v>
      </c>
      <c r="AA35" s="23">
        <v>673.00000000000011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313.8</v>
      </c>
      <c r="E36" s="23">
        <v>309.60000000000002</v>
      </c>
      <c r="F36" s="23">
        <v>293</v>
      </c>
      <c r="G36" s="23">
        <v>295.3</v>
      </c>
      <c r="H36" s="23">
        <v>290.60000000000002</v>
      </c>
      <c r="I36" s="23">
        <v>303.89999999999998</v>
      </c>
      <c r="J36" s="23">
        <v>309</v>
      </c>
      <c r="K36" s="23">
        <v>331.2</v>
      </c>
      <c r="L36" s="23">
        <v>353.2</v>
      </c>
      <c r="M36" s="23">
        <v>356.2</v>
      </c>
      <c r="N36" s="23">
        <v>338.7</v>
      </c>
      <c r="O36" s="23">
        <v>362.1</v>
      </c>
      <c r="P36" s="23">
        <v>348.6</v>
      </c>
      <c r="Q36" s="23">
        <v>349.1</v>
      </c>
      <c r="R36" s="23">
        <v>348.1</v>
      </c>
      <c r="S36" s="23">
        <v>352</v>
      </c>
      <c r="T36" s="23">
        <v>373.1</v>
      </c>
      <c r="U36" s="23">
        <v>393.5</v>
      </c>
      <c r="V36" s="23">
        <v>415.6</v>
      </c>
      <c r="W36" s="23">
        <v>461.7</v>
      </c>
      <c r="X36" s="23">
        <v>410.7</v>
      </c>
      <c r="Y36" s="23">
        <v>453.4</v>
      </c>
      <c r="Z36" s="23">
        <v>519.4</v>
      </c>
      <c r="AA36" s="23">
        <v>557.9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15.8</v>
      </c>
      <c r="E37" s="23">
        <v>17.399999999999999</v>
      </c>
      <c r="F37" s="23">
        <v>17.600000000000001</v>
      </c>
      <c r="G37" s="23">
        <v>16.899999999999999</v>
      </c>
      <c r="H37" s="23">
        <v>18.7</v>
      </c>
      <c r="I37" s="23">
        <v>18.8</v>
      </c>
      <c r="J37" s="23">
        <v>19.399999999999999</v>
      </c>
      <c r="K37" s="23">
        <v>20.9</v>
      </c>
      <c r="L37" s="23">
        <v>23</v>
      </c>
      <c r="M37" s="23">
        <v>24.3</v>
      </c>
      <c r="N37" s="23">
        <v>26</v>
      </c>
      <c r="O37" s="23">
        <v>26.7</v>
      </c>
      <c r="P37" s="23">
        <v>27.3</v>
      </c>
      <c r="Q37" s="23">
        <v>27.5</v>
      </c>
      <c r="R37" s="23">
        <v>28.2</v>
      </c>
      <c r="S37" s="23">
        <v>28.4</v>
      </c>
      <c r="T37" s="23">
        <v>28.7</v>
      </c>
      <c r="U37" s="23">
        <v>29.2</v>
      </c>
      <c r="V37" s="23">
        <v>30.6</v>
      </c>
      <c r="W37" s="23">
        <v>31.4</v>
      </c>
      <c r="X37" s="23">
        <v>33</v>
      </c>
      <c r="Y37" s="23">
        <v>35</v>
      </c>
      <c r="Z37" s="23">
        <v>38.200000000000003</v>
      </c>
      <c r="AA37" s="23">
        <v>42.5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18955.400000000001</v>
      </c>
      <c r="E39" s="30">
        <f t="shared" ref="E39:Y39" si="2">SUM(E18:E38)</f>
        <v>20168.599999999999</v>
      </c>
      <c r="F39" s="30">
        <f t="shared" si="2"/>
        <v>21516.799999999992</v>
      </c>
      <c r="G39" s="30">
        <f t="shared" si="2"/>
        <v>22731.4</v>
      </c>
      <c r="H39" s="30">
        <f t="shared" si="2"/>
        <v>24089.1</v>
      </c>
      <c r="I39" s="30">
        <f t="shared" si="2"/>
        <v>25379.400000000009</v>
      </c>
      <c r="J39" s="30">
        <f t="shared" si="2"/>
        <v>27489.700000000004</v>
      </c>
      <c r="K39" s="30">
        <f t="shared" si="2"/>
        <v>30604.400000000005</v>
      </c>
      <c r="L39" s="30">
        <f t="shared" si="2"/>
        <v>33037.699999999997</v>
      </c>
      <c r="M39" s="30">
        <f t="shared" si="2"/>
        <v>31274.399999999998</v>
      </c>
      <c r="N39" s="30">
        <f t="shared" si="2"/>
        <v>31296.899999999998</v>
      </c>
      <c r="O39" s="30">
        <f t="shared" si="2"/>
        <v>31911.200000000001</v>
      </c>
      <c r="P39" s="30">
        <f t="shared" si="2"/>
        <v>31113.8</v>
      </c>
      <c r="Q39" s="30">
        <f t="shared" si="2"/>
        <v>30975.3</v>
      </c>
      <c r="R39" s="30">
        <f t="shared" si="2"/>
        <v>32050.3</v>
      </c>
      <c r="S39" s="30">
        <f t="shared" si="2"/>
        <v>33058.5</v>
      </c>
      <c r="T39" s="30">
        <f t="shared" si="2"/>
        <v>34438.5</v>
      </c>
      <c r="U39" s="30">
        <f t="shared" si="2"/>
        <v>36789.800000000003</v>
      </c>
      <c r="V39" s="30">
        <f t="shared" si="2"/>
        <v>39355.4</v>
      </c>
      <c r="W39" s="30">
        <f t="shared" si="2"/>
        <v>41821.1</v>
      </c>
      <c r="X39" s="30">
        <f t="shared" si="2"/>
        <v>41139.199999999997</v>
      </c>
      <c r="Y39" s="30">
        <f t="shared" si="2"/>
        <v>45539.5</v>
      </c>
      <c r="Z39" s="30">
        <f t="shared" ref="Z39:AA39" si="3">SUM(Z18:Z38)</f>
        <v>49934.199999999983</v>
      </c>
      <c r="AA39" s="30">
        <f t="shared" si="3"/>
        <v>56995.099999999991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500.8</v>
      </c>
      <c r="E41" s="19">
        <v>525.70000000000005</v>
      </c>
      <c r="F41" s="19">
        <v>538</v>
      </c>
      <c r="G41" s="19">
        <v>543.29999999999995</v>
      </c>
      <c r="H41" s="19">
        <v>500.3</v>
      </c>
      <c r="I41" s="19">
        <v>470</v>
      </c>
      <c r="J41" s="19">
        <v>477</v>
      </c>
      <c r="K41" s="19">
        <v>499.5</v>
      </c>
      <c r="L41" s="19">
        <v>467.6</v>
      </c>
      <c r="M41" s="19">
        <v>509.9</v>
      </c>
      <c r="N41" s="19">
        <v>460.3</v>
      </c>
      <c r="O41" s="19">
        <v>458.5</v>
      </c>
      <c r="P41" s="19">
        <v>451.1</v>
      </c>
      <c r="Q41" s="19">
        <v>464.5</v>
      </c>
      <c r="R41" s="19">
        <v>495.5</v>
      </c>
      <c r="S41" s="19">
        <v>518.9</v>
      </c>
      <c r="T41" s="19">
        <v>544.70000000000005</v>
      </c>
      <c r="U41" s="19">
        <v>564.70000000000005</v>
      </c>
      <c r="V41" s="19">
        <v>629.6</v>
      </c>
      <c r="W41" s="19">
        <v>666</v>
      </c>
      <c r="X41" s="19">
        <v>668</v>
      </c>
      <c r="Y41" s="19">
        <v>697.5</v>
      </c>
      <c r="Z41" s="19">
        <v>724.4</v>
      </c>
      <c r="AA41" s="19">
        <v>843.8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449.9</v>
      </c>
      <c r="E42" s="23">
        <v>479.4</v>
      </c>
      <c r="F42" s="23">
        <v>444.2</v>
      </c>
      <c r="G42" s="23">
        <v>405.2</v>
      </c>
      <c r="H42" s="23">
        <v>394.5</v>
      </c>
      <c r="I42" s="23">
        <v>390.3</v>
      </c>
      <c r="J42" s="23">
        <v>377.8</v>
      </c>
      <c r="K42" s="23">
        <v>391.5</v>
      </c>
      <c r="L42" s="23">
        <v>365.8</v>
      </c>
      <c r="M42" s="23">
        <v>289.8</v>
      </c>
      <c r="N42" s="23">
        <v>245.3</v>
      </c>
      <c r="O42" s="23">
        <v>265.3</v>
      </c>
      <c r="P42" s="23">
        <v>250.3</v>
      </c>
      <c r="Q42" s="23">
        <v>230.7</v>
      </c>
      <c r="R42" s="23">
        <v>252.4</v>
      </c>
      <c r="S42" s="23">
        <v>235.4</v>
      </c>
      <c r="T42" s="23">
        <v>250.4</v>
      </c>
      <c r="U42" s="23">
        <v>269.2</v>
      </c>
      <c r="V42" s="23">
        <v>275.2</v>
      </c>
      <c r="W42" s="23">
        <v>272.60000000000002</v>
      </c>
      <c r="X42" s="23">
        <v>236.6</v>
      </c>
      <c r="Y42" s="23">
        <v>250.6</v>
      </c>
      <c r="Z42" s="23">
        <v>261.5</v>
      </c>
      <c r="AA42" s="23">
        <v>297.60000000000002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472.3</v>
      </c>
      <c r="E43" s="23">
        <v>507.2</v>
      </c>
      <c r="F43" s="23">
        <v>541.70000000000005</v>
      </c>
      <c r="G43" s="23">
        <v>512.79999999999995</v>
      </c>
      <c r="H43" s="23">
        <v>534.5</v>
      </c>
      <c r="I43" s="23">
        <v>531.1</v>
      </c>
      <c r="J43" s="23">
        <v>549.9</v>
      </c>
      <c r="K43" s="23">
        <v>619.79999999999995</v>
      </c>
      <c r="L43" s="23">
        <v>575</v>
      </c>
      <c r="M43" s="23">
        <v>545.1</v>
      </c>
      <c r="N43" s="23">
        <v>483.3</v>
      </c>
      <c r="O43" s="23">
        <v>515.5</v>
      </c>
      <c r="P43" s="23">
        <v>515.29999999999995</v>
      </c>
      <c r="Q43" s="23">
        <v>514.70000000000005</v>
      </c>
      <c r="R43" s="23">
        <v>578.20000000000005</v>
      </c>
      <c r="S43" s="23">
        <v>570.29999999999995</v>
      </c>
      <c r="T43" s="23">
        <v>591.5</v>
      </c>
      <c r="U43" s="23">
        <v>614.79999999999995</v>
      </c>
      <c r="V43" s="23">
        <v>629.9</v>
      </c>
      <c r="W43" s="23">
        <v>682.6</v>
      </c>
      <c r="X43" s="23">
        <v>677.6</v>
      </c>
      <c r="Y43" s="23">
        <v>688.9</v>
      </c>
      <c r="Z43" s="23">
        <v>832.3</v>
      </c>
      <c r="AA43" s="23">
        <v>874.1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1.8</v>
      </c>
      <c r="E44" s="23">
        <v>3.2</v>
      </c>
      <c r="F44" s="23">
        <v>8</v>
      </c>
      <c r="G44" s="23">
        <v>3.2</v>
      </c>
      <c r="H44" s="23">
        <v>0.6</v>
      </c>
      <c r="I44" s="23">
        <v>1.1000000000000001</v>
      </c>
      <c r="J44" s="23">
        <v>2.2999999999999998</v>
      </c>
      <c r="K44" s="23">
        <v>2</v>
      </c>
      <c r="L44" s="23">
        <v>2.1</v>
      </c>
      <c r="M44" s="23">
        <v>1.8</v>
      </c>
      <c r="N44" s="23">
        <v>0.8</v>
      </c>
      <c r="O44" s="23">
        <v>0.6</v>
      </c>
      <c r="P44" s="23">
        <v>0.5</v>
      </c>
      <c r="Q44" s="23">
        <v>0.6</v>
      </c>
      <c r="R44" s="23">
        <v>0.8</v>
      </c>
      <c r="S44" s="23">
        <v>1.2</v>
      </c>
      <c r="T44" s="23">
        <v>0.1</v>
      </c>
      <c r="U44" s="23">
        <v>0.3</v>
      </c>
      <c r="V44" s="23">
        <v>1</v>
      </c>
      <c r="W44" s="23">
        <v>0.2</v>
      </c>
      <c r="X44" s="23">
        <v>0.5</v>
      </c>
      <c r="Y44" s="23">
        <v>0.2</v>
      </c>
      <c r="Z44" s="23">
        <v>0.5</v>
      </c>
      <c r="AA44" s="23">
        <v>0.9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229.2</v>
      </c>
      <c r="E45" s="23">
        <v>247.2</v>
      </c>
      <c r="F45" s="23">
        <v>263</v>
      </c>
      <c r="G45" s="23">
        <v>282.7</v>
      </c>
      <c r="H45" s="23">
        <v>299.89999999999998</v>
      </c>
      <c r="I45" s="23">
        <v>293.60000000000002</v>
      </c>
      <c r="J45" s="23">
        <v>311.10000000000002</v>
      </c>
      <c r="K45" s="23">
        <v>329.5</v>
      </c>
      <c r="L45" s="23">
        <v>307.60000000000002</v>
      </c>
      <c r="M45" s="23">
        <v>298.2</v>
      </c>
      <c r="N45" s="23">
        <v>326.60000000000002</v>
      </c>
      <c r="O45" s="23">
        <v>365.3</v>
      </c>
      <c r="P45" s="23">
        <v>361.1</v>
      </c>
      <c r="Q45" s="23">
        <v>371.4</v>
      </c>
      <c r="R45" s="23">
        <v>405.5</v>
      </c>
      <c r="S45" s="23">
        <v>370.5</v>
      </c>
      <c r="T45" s="23">
        <v>360.1</v>
      </c>
      <c r="U45" s="23">
        <v>389.1</v>
      </c>
      <c r="V45" s="23">
        <v>387.3</v>
      </c>
      <c r="W45" s="23">
        <v>409.8</v>
      </c>
      <c r="X45" s="23">
        <v>444.7</v>
      </c>
      <c r="Y45" s="23">
        <v>483.6</v>
      </c>
      <c r="Z45" s="23">
        <v>445.4</v>
      </c>
      <c r="AA45" s="23">
        <v>447.6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372.7</v>
      </c>
      <c r="E46" s="23">
        <v>405.2</v>
      </c>
      <c r="F46" s="23">
        <v>437</v>
      </c>
      <c r="G46" s="23">
        <v>600.4</v>
      </c>
      <c r="H46" s="23">
        <v>637</v>
      </c>
      <c r="I46" s="23">
        <v>610</v>
      </c>
      <c r="J46" s="23">
        <v>782.5</v>
      </c>
      <c r="K46" s="23">
        <v>797.9</v>
      </c>
      <c r="L46" s="23">
        <v>785.7</v>
      </c>
      <c r="M46" s="23">
        <v>738.7</v>
      </c>
      <c r="N46" s="23">
        <v>781.4</v>
      </c>
      <c r="O46" s="23">
        <v>814.1</v>
      </c>
      <c r="P46" s="23">
        <v>823.5</v>
      </c>
      <c r="Q46" s="23">
        <v>892.9</v>
      </c>
      <c r="R46" s="23">
        <v>879.7</v>
      </c>
      <c r="S46" s="23">
        <v>861.3</v>
      </c>
      <c r="T46" s="23">
        <v>785</v>
      </c>
      <c r="U46" s="23">
        <v>962.7</v>
      </c>
      <c r="V46" s="23">
        <v>1050.9000000000001</v>
      </c>
      <c r="W46" s="23">
        <v>1239.4000000000001</v>
      </c>
      <c r="X46" s="23">
        <v>1386.7</v>
      </c>
      <c r="Y46" s="23">
        <v>1324.2</v>
      </c>
      <c r="Z46" s="23">
        <v>1445.7</v>
      </c>
      <c r="AA46" s="23">
        <v>1591.1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463</v>
      </c>
      <c r="E47" s="23">
        <v>510.1</v>
      </c>
      <c r="F47" s="23">
        <v>557.79999999999995</v>
      </c>
      <c r="G47" s="23">
        <v>594.9</v>
      </c>
      <c r="H47" s="23">
        <v>653</v>
      </c>
      <c r="I47" s="23">
        <v>654.79999999999995</v>
      </c>
      <c r="J47" s="23">
        <v>714.8</v>
      </c>
      <c r="K47" s="23">
        <v>775.2</v>
      </c>
      <c r="L47" s="23">
        <v>764.9</v>
      </c>
      <c r="M47" s="23">
        <v>662.2</v>
      </c>
      <c r="N47" s="23">
        <v>681.3</v>
      </c>
      <c r="O47" s="23">
        <v>695.2</v>
      </c>
      <c r="P47" s="23">
        <v>672</v>
      </c>
      <c r="Q47" s="23">
        <v>723</v>
      </c>
      <c r="R47" s="23">
        <v>778.8</v>
      </c>
      <c r="S47" s="23">
        <v>840.6</v>
      </c>
      <c r="T47" s="23">
        <v>912.5</v>
      </c>
      <c r="U47" s="23">
        <v>970.7</v>
      </c>
      <c r="V47" s="23">
        <v>1038.7</v>
      </c>
      <c r="W47" s="23">
        <v>1098</v>
      </c>
      <c r="X47" s="23">
        <v>1057.5999999999999</v>
      </c>
      <c r="Y47" s="23">
        <v>1168</v>
      </c>
      <c r="Z47" s="23">
        <v>1218.3</v>
      </c>
      <c r="AA47" s="23">
        <v>1374.2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764.5</v>
      </c>
      <c r="E48" s="23">
        <v>814.5</v>
      </c>
      <c r="F48" s="23">
        <v>853.9</v>
      </c>
      <c r="G48" s="23">
        <v>898.1</v>
      </c>
      <c r="H48" s="23">
        <v>930.5</v>
      </c>
      <c r="I48" s="23">
        <v>1028.0999999999999</v>
      </c>
      <c r="J48" s="23">
        <v>1081.3</v>
      </c>
      <c r="K48" s="23">
        <v>1292</v>
      </c>
      <c r="L48" s="23">
        <v>1408.2</v>
      </c>
      <c r="M48" s="23">
        <v>984.6</v>
      </c>
      <c r="N48" s="23">
        <v>1065.9000000000001</v>
      </c>
      <c r="O48" s="23">
        <v>1198</v>
      </c>
      <c r="P48" s="23">
        <v>1188.2</v>
      </c>
      <c r="Q48" s="23">
        <v>1245.3</v>
      </c>
      <c r="R48" s="23">
        <v>1341.6</v>
      </c>
      <c r="S48" s="23">
        <v>1492.3</v>
      </c>
      <c r="T48" s="23">
        <v>1607</v>
      </c>
      <c r="U48" s="23">
        <v>1684.2</v>
      </c>
      <c r="V48" s="23">
        <v>1805</v>
      </c>
      <c r="W48" s="23">
        <v>1887.1</v>
      </c>
      <c r="X48" s="23">
        <v>1689.3</v>
      </c>
      <c r="Y48" s="23">
        <v>1898</v>
      </c>
      <c r="Z48" s="23">
        <v>2331.9</v>
      </c>
      <c r="AA48" s="23">
        <v>2498.9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259.8</v>
      </c>
      <c r="E49" s="23">
        <v>277.60000000000002</v>
      </c>
      <c r="F49" s="23">
        <v>270.8</v>
      </c>
      <c r="G49" s="23">
        <v>303.3</v>
      </c>
      <c r="H49" s="23">
        <v>319.5</v>
      </c>
      <c r="I49" s="23">
        <v>263.8</v>
      </c>
      <c r="J49" s="23">
        <v>274.60000000000002</v>
      </c>
      <c r="K49" s="23">
        <v>292</v>
      </c>
      <c r="L49" s="23">
        <v>292.8</v>
      </c>
      <c r="M49" s="23">
        <v>226.7</v>
      </c>
      <c r="N49" s="23">
        <v>242.7</v>
      </c>
      <c r="O49" s="23">
        <v>229.7</v>
      </c>
      <c r="P49" s="23">
        <v>240.4</v>
      </c>
      <c r="Q49" s="23">
        <v>239</v>
      </c>
      <c r="R49" s="23">
        <v>241.9</v>
      </c>
      <c r="S49" s="23">
        <v>229.9</v>
      </c>
      <c r="T49" s="23">
        <v>243.5</v>
      </c>
      <c r="U49" s="23">
        <v>287.39999999999998</v>
      </c>
      <c r="V49" s="23">
        <v>294.3</v>
      </c>
      <c r="W49" s="23">
        <v>331.5</v>
      </c>
      <c r="X49" s="23">
        <v>331.2</v>
      </c>
      <c r="Y49" s="23">
        <v>395.3</v>
      </c>
      <c r="Z49" s="23">
        <v>459</v>
      </c>
      <c r="AA49" s="23">
        <v>452.2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385.4</v>
      </c>
      <c r="E50" s="23">
        <v>412.5</v>
      </c>
      <c r="F50" s="23">
        <v>458.4</v>
      </c>
      <c r="G50" s="23">
        <v>492</v>
      </c>
      <c r="H50" s="23">
        <v>521.1</v>
      </c>
      <c r="I50" s="23">
        <v>551.4</v>
      </c>
      <c r="J50" s="23">
        <v>584.20000000000005</v>
      </c>
      <c r="K50" s="23">
        <v>637.79999999999995</v>
      </c>
      <c r="L50" s="23">
        <v>652</v>
      </c>
      <c r="M50" s="23">
        <v>534.5</v>
      </c>
      <c r="N50" s="23">
        <v>617</v>
      </c>
      <c r="O50" s="23">
        <v>626.9</v>
      </c>
      <c r="P50" s="23">
        <v>664.1</v>
      </c>
      <c r="Q50" s="23">
        <v>664.1</v>
      </c>
      <c r="R50" s="23">
        <v>680</v>
      </c>
      <c r="S50" s="23">
        <v>813.2</v>
      </c>
      <c r="T50" s="23">
        <v>885.1</v>
      </c>
      <c r="U50" s="23">
        <v>939.2</v>
      </c>
      <c r="V50" s="23">
        <v>921.8</v>
      </c>
      <c r="W50" s="23">
        <v>969</v>
      </c>
      <c r="X50" s="23">
        <v>910.4</v>
      </c>
      <c r="Y50" s="23">
        <v>1041.8</v>
      </c>
      <c r="Z50" s="23">
        <v>1082.0999999999999</v>
      </c>
      <c r="AA50" s="23">
        <v>1218.9000000000001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205.8</v>
      </c>
      <c r="E51" s="23">
        <v>224.1</v>
      </c>
      <c r="F51" s="23">
        <v>279.8</v>
      </c>
      <c r="G51" s="23">
        <v>304</v>
      </c>
      <c r="H51" s="23">
        <v>324.8</v>
      </c>
      <c r="I51" s="23">
        <v>345.6</v>
      </c>
      <c r="J51" s="23">
        <v>386.2</v>
      </c>
      <c r="K51" s="23">
        <v>456.8</v>
      </c>
      <c r="L51" s="23">
        <v>523.29999999999995</v>
      </c>
      <c r="M51" s="23">
        <v>430.9</v>
      </c>
      <c r="N51" s="23">
        <v>417.7</v>
      </c>
      <c r="O51" s="23">
        <v>459.8</v>
      </c>
      <c r="P51" s="23">
        <v>446.8</v>
      </c>
      <c r="Q51" s="23">
        <v>455.3</v>
      </c>
      <c r="R51" s="23">
        <v>484.1</v>
      </c>
      <c r="S51" s="23">
        <v>539</v>
      </c>
      <c r="T51" s="23">
        <v>590.5</v>
      </c>
      <c r="U51" s="23">
        <v>636.5</v>
      </c>
      <c r="V51" s="23">
        <v>673.1</v>
      </c>
      <c r="W51" s="23">
        <v>733.4</v>
      </c>
      <c r="X51" s="23">
        <v>771.3</v>
      </c>
      <c r="Y51" s="23">
        <v>840.9</v>
      </c>
      <c r="Z51" s="23">
        <v>912.8</v>
      </c>
      <c r="AA51" s="23">
        <v>1073.2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217.6</v>
      </c>
      <c r="E52" s="23">
        <v>249.4</v>
      </c>
      <c r="F52" s="23">
        <v>263.89999999999998</v>
      </c>
      <c r="G52" s="23">
        <v>286.7</v>
      </c>
      <c r="H52" s="23">
        <v>332.2</v>
      </c>
      <c r="I52" s="23">
        <v>380.7</v>
      </c>
      <c r="J52" s="23">
        <v>432.1</v>
      </c>
      <c r="K52" s="23">
        <v>523.29999999999995</v>
      </c>
      <c r="L52" s="23">
        <v>579.70000000000005</v>
      </c>
      <c r="M52" s="23">
        <v>498.8</v>
      </c>
      <c r="N52" s="23">
        <v>557.1</v>
      </c>
      <c r="O52" s="23">
        <v>590</v>
      </c>
      <c r="P52" s="23">
        <v>612.4</v>
      </c>
      <c r="Q52" s="23">
        <v>577.70000000000005</v>
      </c>
      <c r="R52" s="23">
        <v>614.9</v>
      </c>
      <c r="S52" s="23">
        <v>616.20000000000005</v>
      </c>
      <c r="T52" s="23">
        <v>631</v>
      </c>
      <c r="U52" s="23">
        <v>734</v>
      </c>
      <c r="V52" s="23">
        <v>787.6</v>
      </c>
      <c r="W52" s="23">
        <v>790.2</v>
      </c>
      <c r="X52" s="23">
        <v>725.4</v>
      </c>
      <c r="Y52" s="23">
        <v>781.9</v>
      </c>
      <c r="Z52" s="23">
        <v>741.6</v>
      </c>
      <c r="AA52" s="23">
        <v>875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383</v>
      </c>
      <c r="E53" s="23">
        <v>402.79999999999927</v>
      </c>
      <c r="F53" s="23">
        <v>416.60000000000036</v>
      </c>
      <c r="G53" s="23">
        <v>428.20000000000073</v>
      </c>
      <c r="H53" s="23">
        <v>454.10000000000036</v>
      </c>
      <c r="I53" s="23">
        <v>450.20000000000073</v>
      </c>
      <c r="J53" s="23">
        <v>434.30000000000018</v>
      </c>
      <c r="K53" s="23">
        <v>492.59999999999945</v>
      </c>
      <c r="L53" s="23">
        <v>519.29999999999927</v>
      </c>
      <c r="M53" s="23">
        <v>426.40000000000055</v>
      </c>
      <c r="N53" s="23">
        <v>428.09999999999945</v>
      </c>
      <c r="O53" s="23">
        <v>474.30000000000018</v>
      </c>
      <c r="P53" s="23">
        <v>500</v>
      </c>
      <c r="Q53" s="23">
        <v>529.59999999999945</v>
      </c>
      <c r="R53" s="23">
        <v>567.60000000000036</v>
      </c>
      <c r="S53" s="23">
        <v>603.70000000000073</v>
      </c>
      <c r="T53" s="23">
        <v>693.60000000000036</v>
      </c>
      <c r="U53" s="23">
        <v>745.40000000000146</v>
      </c>
      <c r="V53" s="23">
        <v>782.80000000000109</v>
      </c>
      <c r="W53" s="23">
        <v>828.09999999999854</v>
      </c>
      <c r="X53" s="23">
        <v>690.39999999999964</v>
      </c>
      <c r="Y53" s="23">
        <v>795.5</v>
      </c>
      <c r="Z53" s="23">
        <v>883.70000000000073</v>
      </c>
      <c r="AA53" s="23">
        <v>954.99999999999818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4705.8</v>
      </c>
      <c r="E54" s="30">
        <f t="shared" ref="E54:Y54" si="4">SUM(E41:E53)</f>
        <v>5058.8999999999996</v>
      </c>
      <c r="F54" s="30">
        <f t="shared" si="4"/>
        <v>5333.1</v>
      </c>
      <c r="G54" s="30">
        <f t="shared" si="4"/>
        <v>5654.8</v>
      </c>
      <c r="H54" s="30">
        <f t="shared" si="4"/>
        <v>5902</v>
      </c>
      <c r="I54" s="30">
        <f t="shared" si="4"/>
        <v>5970.7</v>
      </c>
      <c r="J54" s="30">
        <f t="shared" si="4"/>
        <v>6408.1</v>
      </c>
      <c r="K54" s="30">
        <f t="shared" si="4"/>
        <v>7109.9</v>
      </c>
      <c r="L54" s="30">
        <f t="shared" si="4"/>
        <v>7244</v>
      </c>
      <c r="M54" s="30">
        <f t="shared" si="4"/>
        <v>6147.6</v>
      </c>
      <c r="N54" s="30">
        <f t="shared" si="4"/>
        <v>6307.5</v>
      </c>
      <c r="O54" s="30">
        <f t="shared" si="4"/>
        <v>6693.2</v>
      </c>
      <c r="P54" s="30">
        <f t="shared" si="4"/>
        <v>6725.7</v>
      </c>
      <c r="Q54" s="30">
        <f t="shared" si="4"/>
        <v>6908.8</v>
      </c>
      <c r="R54" s="30">
        <f t="shared" si="4"/>
        <v>7321</v>
      </c>
      <c r="S54" s="30">
        <f t="shared" si="4"/>
        <v>7692.5</v>
      </c>
      <c r="T54" s="30">
        <f t="shared" si="4"/>
        <v>8095</v>
      </c>
      <c r="U54" s="30">
        <f t="shared" si="4"/>
        <v>8798.2000000000007</v>
      </c>
      <c r="V54" s="30">
        <f t="shared" si="4"/>
        <v>9277.2000000000007</v>
      </c>
      <c r="W54" s="30">
        <f t="shared" si="4"/>
        <v>9907.9</v>
      </c>
      <c r="X54" s="30">
        <f t="shared" si="4"/>
        <v>9589.7000000000007</v>
      </c>
      <c r="Y54" s="30">
        <f t="shared" si="4"/>
        <v>10366.4</v>
      </c>
      <c r="Z54" s="30">
        <f t="shared" ref="Z54:AA54" si="5">SUM(Z41:Z53)</f>
        <v>11339.2</v>
      </c>
      <c r="AA54" s="30">
        <f t="shared" si="5"/>
        <v>12502.5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500.8</v>
      </c>
      <c r="E56" s="19">
        <v>525.70000000000005</v>
      </c>
      <c r="F56" s="19">
        <v>538</v>
      </c>
      <c r="G56" s="19">
        <v>543.29999999999995</v>
      </c>
      <c r="H56" s="19">
        <v>500.3</v>
      </c>
      <c r="I56" s="19">
        <v>470</v>
      </c>
      <c r="J56" s="19">
        <v>477</v>
      </c>
      <c r="K56" s="19">
        <v>499.5</v>
      </c>
      <c r="L56" s="19">
        <v>467.6</v>
      </c>
      <c r="M56" s="19">
        <v>509.9</v>
      </c>
      <c r="N56" s="19">
        <v>460.3</v>
      </c>
      <c r="O56" s="19">
        <v>458.5</v>
      </c>
      <c r="P56" s="19">
        <v>451.1</v>
      </c>
      <c r="Q56" s="19">
        <v>464.5</v>
      </c>
      <c r="R56" s="19">
        <v>495.5</v>
      </c>
      <c r="S56" s="19">
        <v>518.9</v>
      </c>
      <c r="T56" s="19">
        <v>544.70000000000005</v>
      </c>
      <c r="U56" s="19">
        <v>564.70000000000005</v>
      </c>
      <c r="V56" s="19">
        <v>629.6</v>
      </c>
      <c r="W56" s="19">
        <v>666</v>
      </c>
      <c r="X56" s="19">
        <v>668</v>
      </c>
      <c r="Y56" s="19">
        <v>697.5</v>
      </c>
      <c r="Z56" s="19">
        <v>724.4</v>
      </c>
      <c r="AA56" s="19">
        <v>843.8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449.9</v>
      </c>
      <c r="E57" s="23">
        <v>479.4</v>
      </c>
      <c r="F57" s="23">
        <v>444.2</v>
      </c>
      <c r="G57" s="23">
        <v>405.2</v>
      </c>
      <c r="H57" s="23">
        <v>394.5</v>
      </c>
      <c r="I57" s="23">
        <v>390.3</v>
      </c>
      <c r="J57" s="23">
        <v>377.8</v>
      </c>
      <c r="K57" s="23">
        <v>391.5</v>
      </c>
      <c r="L57" s="23">
        <v>365.8</v>
      </c>
      <c r="M57" s="23">
        <v>289.8</v>
      </c>
      <c r="N57" s="23">
        <v>245.3</v>
      </c>
      <c r="O57" s="23">
        <v>265.3</v>
      </c>
      <c r="P57" s="23">
        <v>250.3</v>
      </c>
      <c r="Q57" s="23">
        <v>230.7</v>
      </c>
      <c r="R57" s="23">
        <v>252.4</v>
      </c>
      <c r="S57" s="23">
        <v>235.4</v>
      </c>
      <c r="T57" s="23">
        <v>250.4</v>
      </c>
      <c r="U57" s="23">
        <v>269.2</v>
      </c>
      <c r="V57" s="23">
        <v>275.2</v>
      </c>
      <c r="W57" s="23">
        <v>272.60000000000002</v>
      </c>
      <c r="X57" s="23">
        <v>236.6</v>
      </c>
      <c r="Y57" s="23">
        <v>250.6</v>
      </c>
      <c r="Z57" s="23">
        <v>261.5</v>
      </c>
      <c r="AA57" s="23">
        <v>297.60000000000002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185.7</v>
      </c>
      <c r="E58" s="23">
        <v>185.1</v>
      </c>
      <c r="F58" s="23">
        <v>189.5</v>
      </c>
      <c r="G58" s="23">
        <v>200.7</v>
      </c>
      <c r="H58" s="23">
        <v>203.4</v>
      </c>
      <c r="I58" s="23">
        <v>210</v>
      </c>
      <c r="J58" s="23">
        <v>230.8</v>
      </c>
      <c r="K58" s="23">
        <v>271.10000000000002</v>
      </c>
      <c r="L58" s="23">
        <v>242.5</v>
      </c>
      <c r="M58" s="23">
        <v>200.8</v>
      </c>
      <c r="N58" s="23">
        <v>200.4</v>
      </c>
      <c r="O58" s="23">
        <v>218.6</v>
      </c>
      <c r="P58" s="23">
        <v>219.8</v>
      </c>
      <c r="Q58" s="23">
        <v>217.4</v>
      </c>
      <c r="R58" s="23">
        <v>247.7</v>
      </c>
      <c r="S58" s="23">
        <v>240.5</v>
      </c>
      <c r="T58" s="23">
        <v>253.2</v>
      </c>
      <c r="U58" s="23">
        <v>270.89999999999998</v>
      </c>
      <c r="V58" s="23">
        <v>291.3</v>
      </c>
      <c r="W58" s="23">
        <v>306.3</v>
      </c>
      <c r="X58" s="23">
        <v>307.60000000000002</v>
      </c>
      <c r="Y58" s="23">
        <v>346.8</v>
      </c>
      <c r="Z58" s="23">
        <v>433.4</v>
      </c>
      <c r="AA58" s="23">
        <v>412.6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153.6</v>
      </c>
      <c r="E59" s="23">
        <v>177.5</v>
      </c>
      <c r="F59" s="23">
        <v>188.2</v>
      </c>
      <c r="G59" s="23">
        <v>163.69999999999999</v>
      </c>
      <c r="H59" s="23">
        <v>175.1</v>
      </c>
      <c r="I59" s="23">
        <v>170.2</v>
      </c>
      <c r="J59" s="23">
        <v>157.80000000000001</v>
      </c>
      <c r="K59" s="23">
        <v>178</v>
      </c>
      <c r="L59" s="23">
        <v>156.4</v>
      </c>
      <c r="M59" s="23">
        <v>192</v>
      </c>
      <c r="N59" s="23">
        <v>145</v>
      </c>
      <c r="O59" s="23">
        <v>153.69999999999999</v>
      </c>
      <c r="P59" s="23">
        <v>157.19999999999999</v>
      </c>
      <c r="Q59" s="23">
        <v>162.4</v>
      </c>
      <c r="R59" s="23">
        <v>188.1</v>
      </c>
      <c r="S59" s="23">
        <v>181.5</v>
      </c>
      <c r="T59" s="23">
        <v>187.7</v>
      </c>
      <c r="U59" s="23">
        <v>190</v>
      </c>
      <c r="V59" s="23">
        <v>184.8</v>
      </c>
      <c r="W59" s="23">
        <v>217.9</v>
      </c>
      <c r="X59" s="23">
        <v>227.6</v>
      </c>
      <c r="Y59" s="23">
        <v>185.1</v>
      </c>
      <c r="Z59" s="23">
        <v>215.5</v>
      </c>
      <c r="AA59" s="23">
        <v>256.8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133.00000000000006</v>
      </c>
      <c r="E60" s="23">
        <v>144.59999999999997</v>
      </c>
      <c r="F60" s="23">
        <v>164.00000000000006</v>
      </c>
      <c r="G60" s="23">
        <v>148.39999999999998</v>
      </c>
      <c r="H60" s="23">
        <v>156</v>
      </c>
      <c r="I60" s="23">
        <v>150.90000000000003</v>
      </c>
      <c r="J60" s="23">
        <v>161.29999999999995</v>
      </c>
      <c r="K60" s="23">
        <v>170.69999999999993</v>
      </c>
      <c r="L60" s="23">
        <v>176.10000000000002</v>
      </c>
      <c r="M60" s="23">
        <v>152.30000000000001</v>
      </c>
      <c r="N60" s="23">
        <v>137.90000000000003</v>
      </c>
      <c r="O60" s="23">
        <v>143.20000000000005</v>
      </c>
      <c r="P60" s="23">
        <v>138.29999999999995</v>
      </c>
      <c r="Q60" s="23">
        <v>134.90000000000003</v>
      </c>
      <c r="R60" s="23">
        <v>142.40000000000009</v>
      </c>
      <c r="S60" s="23">
        <v>148.29999999999995</v>
      </c>
      <c r="T60" s="23">
        <v>150.60000000000002</v>
      </c>
      <c r="U60" s="23">
        <v>153.89999999999998</v>
      </c>
      <c r="V60" s="23">
        <v>153.79999999999995</v>
      </c>
      <c r="W60" s="23">
        <v>158.39999999999998</v>
      </c>
      <c r="X60" s="23">
        <v>142.39999999999998</v>
      </c>
      <c r="Y60" s="23">
        <v>157</v>
      </c>
      <c r="Z60" s="23">
        <v>183.39999999999998</v>
      </c>
      <c r="AA60" s="23">
        <v>204.69999999999993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1.8</v>
      </c>
      <c r="E61" s="23">
        <v>3.2</v>
      </c>
      <c r="F61" s="23">
        <v>8</v>
      </c>
      <c r="G61" s="23">
        <v>3.2</v>
      </c>
      <c r="H61" s="23">
        <v>0.6</v>
      </c>
      <c r="I61" s="23">
        <v>1.1000000000000001</v>
      </c>
      <c r="J61" s="23">
        <v>2.2999999999999998</v>
      </c>
      <c r="K61" s="23">
        <v>2</v>
      </c>
      <c r="L61" s="23">
        <v>2.1</v>
      </c>
      <c r="M61" s="23">
        <v>1.8</v>
      </c>
      <c r="N61" s="23">
        <v>0.8</v>
      </c>
      <c r="O61" s="23">
        <v>0.6</v>
      </c>
      <c r="P61" s="23">
        <v>0.5</v>
      </c>
      <c r="Q61" s="23">
        <v>0.6</v>
      </c>
      <c r="R61" s="23">
        <v>0.8</v>
      </c>
      <c r="S61" s="23">
        <v>1.2</v>
      </c>
      <c r="T61" s="23">
        <v>0.1</v>
      </c>
      <c r="U61" s="23">
        <v>0.3</v>
      </c>
      <c r="V61" s="23">
        <v>1</v>
      </c>
      <c r="W61" s="23">
        <v>0.2</v>
      </c>
      <c r="X61" s="23">
        <v>0.5</v>
      </c>
      <c r="Y61" s="23">
        <v>0.2</v>
      </c>
      <c r="Z61" s="23">
        <v>0.5</v>
      </c>
      <c r="AA61" s="23">
        <v>0.9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229.2</v>
      </c>
      <c r="E62" s="23">
        <v>247.2</v>
      </c>
      <c r="F62" s="23">
        <v>263</v>
      </c>
      <c r="G62" s="23">
        <v>282.7</v>
      </c>
      <c r="H62" s="23">
        <v>299.89999999999998</v>
      </c>
      <c r="I62" s="23">
        <v>293.60000000000002</v>
      </c>
      <c r="J62" s="23">
        <v>311.10000000000002</v>
      </c>
      <c r="K62" s="23">
        <v>329.5</v>
      </c>
      <c r="L62" s="23">
        <v>307.60000000000002</v>
      </c>
      <c r="M62" s="23">
        <v>298.2</v>
      </c>
      <c r="N62" s="23">
        <v>326.60000000000002</v>
      </c>
      <c r="O62" s="23">
        <v>365.3</v>
      </c>
      <c r="P62" s="23">
        <v>361.1</v>
      </c>
      <c r="Q62" s="23">
        <v>371.4</v>
      </c>
      <c r="R62" s="23">
        <v>405.5</v>
      </c>
      <c r="S62" s="23">
        <v>370.5</v>
      </c>
      <c r="T62" s="23">
        <v>360.1</v>
      </c>
      <c r="U62" s="23">
        <v>389.1</v>
      </c>
      <c r="V62" s="23">
        <v>387.3</v>
      </c>
      <c r="W62" s="23">
        <v>409.8</v>
      </c>
      <c r="X62" s="23">
        <v>444.7</v>
      </c>
      <c r="Y62" s="23">
        <v>483.6</v>
      </c>
      <c r="Z62" s="23">
        <v>445.4</v>
      </c>
      <c r="AA62" s="23">
        <v>447.6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372.7</v>
      </c>
      <c r="E63" s="23">
        <v>405.2</v>
      </c>
      <c r="F63" s="23">
        <v>437</v>
      </c>
      <c r="G63" s="23">
        <v>600.4</v>
      </c>
      <c r="H63" s="23">
        <v>637</v>
      </c>
      <c r="I63" s="23">
        <v>610</v>
      </c>
      <c r="J63" s="23">
        <v>782.5</v>
      </c>
      <c r="K63" s="23">
        <v>797.9</v>
      </c>
      <c r="L63" s="23">
        <v>785.7</v>
      </c>
      <c r="M63" s="23">
        <v>738.7</v>
      </c>
      <c r="N63" s="23">
        <v>781.4</v>
      </c>
      <c r="O63" s="23">
        <v>814.1</v>
      </c>
      <c r="P63" s="23">
        <v>823.5</v>
      </c>
      <c r="Q63" s="23">
        <v>892.9</v>
      </c>
      <c r="R63" s="23">
        <v>879.7</v>
      </c>
      <c r="S63" s="23">
        <v>861.3</v>
      </c>
      <c r="T63" s="23">
        <v>785</v>
      </c>
      <c r="U63" s="23">
        <v>962.7</v>
      </c>
      <c r="V63" s="23">
        <v>1050.9000000000001</v>
      </c>
      <c r="W63" s="23">
        <v>1239.4000000000001</v>
      </c>
      <c r="X63" s="23">
        <v>1386.7</v>
      </c>
      <c r="Y63" s="23">
        <v>1324.2</v>
      </c>
      <c r="Z63" s="23">
        <v>1445.7</v>
      </c>
      <c r="AA63" s="23">
        <v>1591.1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248</v>
      </c>
      <c r="E64" s="23">
        <v>281.89999999999998</v>
      </c>
      <c r="F64" s="23">
        <v>330.5</v>
      </c>
      <c r="G64" s="23">
        <v>340.8</v>
      </c>
      <c r="H64" s="23">
        <v>388.4</v>
      </c>
      <c r="I64" s="23">
        <v>382.2</v>
      </c>
      <c r="J64" s="23">
        <v>403.1</v>
      </c>
      <c r="K64" s="23">
        <v>437.5</v>
      </c>
      <c r="L64" s="23">
        <v>432.8</v>
      </c>
      <c r="M64" s="23">
        <v>412.7</v>
      </c>
      <c r="N64" s="23">
        <v>425.5</v>
      </c>
      <c r="O64" s="23">
        <v>459.7</v>
      </c>
      <c r="P64" s="23">
        <v>431.4</v>
      </c>
      <c r="Q64" s="23">
        <v>470.7</v>
      </c>
      <c r="R64" s="23">
        <v>508.5</v>
      </c>
      <c r="S64" s="23">
        <v>542.6</v>
      </c>
      <c r="T64" s="23">
        <v>604.5</v>
      </c>
      <c r="U64" s="23">
        <v>655.5</v>
      </c>
      <c r="V64" s="23">
        <v>693.1</v>
      </c>
      <c r="W64" s="23">
        <v>732.2</v>
      </c>
      <c r="X64" s="23">
        <v>711.5</v>
      </c>
      <c r="Y64" s="23">
        <v>783.8</v>
      </c>
      <c r="Z64" s="23">
        <v>813</v>
      </c>
      <c r="AA64" s="23">
        <v>902.1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215</v>
      </c>
      <c r="E65" s="23">
        <v>228.20000000000005</v>
      </c>
      <c r="F65" s="23">
        <v>227.29999999999995</v>
      </c>
      <c r="G65" s="23">
        <v>254.09999999999997</v>
      </c>
      <c r="H65" s="23">
        <v>264.60000000000002</v>
      </c>
      <c r="I65" s="23">
        <v>272.59999999999997</v>
      </c>
      <c r="J65" s="23">
        <v>311.69999999999993</v>
      </c>
      <c r="K65" s="23">
        <v>337.70000000000005</v>
      </c>
      <c r="L65" s="23">
        <v>332.09999999999997</v>
      </c>
      <c r="M65" s="23">
        <v>249.50000000000006</v>
      </c>
      <c r="N65" s="23">
        <v>255.79999999999995</v>
      </c>
      <c r="O65" s="23">
        <v>235.50000000000006</v>
      </c>
      <c r="P65" s="23">
        <v>240.60000000000002</v>
      </c>
      <c r="Q65" s="23">
        <v>252.3</v>
      </c>
      <c r="R65" s="23">
        <v>270.29999999999995</v>
      </c>
      <c r="S65" s="23">
        <v>298</v>
      </c>
      <c r="T65" s="23">
        <v>308</v>
      </c>
      <c r="U65" s="23">
        <v>315.20000000000005</v>
      </c>
      <c r="V65" s="23">
        <v>345.6</v>
      </c>
      <c r="W65" s="23">
        <v>365.79999999999995</v>
      </c>
      <c r="X65" s="23">
        <v>346.09999999999991</v>
      </c>
      <c r="Y65" s="23">
        <v>384.20000000000005</v>
      </c>
      <c r="Z65" s="23">
        <v>405.29999999999995</v>
      </c>
      <c r="AA65" s="23">
        <v>472.1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201.3</v>
      </c>
      <c r="E66" s="23">
        <v>206</v>
      </c>
      <c r="F66" s="23">
        <v>215.4</v>
      </c>
      <c r="G66" s="23">
        <v>225.1</v>
      </c>
      <c r="H66" s="23">
        <v>234.2</v>
      </c>
      <c r="I66" s="23">
        <v>297.2</v>
      </c>
      <c r="J66" s="23">
        <v>296.8</v>
      </c>
      <c r="K66" s="23">
        <v>375.4</v>
      </c>
      <c r="L66" s="23">
        <v>383.1</v>
      </c>
      <c r="M66" s="23">
        <v>185.9</v>
      </c>
      <c r="N66" s="23">
        <v>233.7</v>
      </c>
      <c r="O66" s="23">
        <v>297.60000000000002</v>
      </c>
      <c r="P66" s="23">
        <v>276.7</v>
      </c>
      <c r="Q66" s="23">
        <v>284.5</v>
      </c>
      <c r="R66" s="23">
        <v>342.2</v>
      </c>
      <c r="S66" s="23">
        <v>426.5</v>
      </c>
      <c r="T66" s="23">
        <v>438</v>
      </c>
      <c r="U66" s="23">
        <v>476.1</v>
      </c>
      <c r="V66" s="23">
        <v>480.2</v>
      </c>
      <c r="W66" s="23">
        <v>523.6</v>
      </c>
      <c r="X66" s="23">
        <v>418.7</v>
      </c>
      <c r="Y66" s="23">
        <v>433.6</v>
      </c>
      <c r="Z66" s="23">
        <v>630.6</v>
      </c>
      <c r="AA66" s="23">
        <v>621.79999999999995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563.20000000000005</v>
      </c>
      <c r="E67" s="23">
        <v>608.5</v>
      </c>
      <c r="F67" s="23">
        <v>638.5</v>
      </c>
      <c r="G67" s="23">
        <v>673</v>
      </c>
      <c r="H67" s="23">
        <v>696.3</v>
      </c>
      <c r="I67" s="23">
        <v>730.89999999999986</v>
      </c>
      <c r="J67" s="23">
        <v>784.5</v>
      </c>
      <c r="K67" s="23">
        <v>916.6</v>
      </c>
      <c r="L67" s="23">
        <v>1025.0999999999999</v>
      </c>
      <c r="M67" s="23">
        <v>798.7</v>
      </c>
      <c r="N67" s="23">
        <v>832.2</v>
      </c>
      <c r="O67" s="23">
        <v>900.4</v>
      </c>
      <c r="P67" s="23">
        <v>911.5</v>
      </c>
      <c r="Q67" s="23">
        <v>960.8</v>
      </c>
      <c r="R67" s="23">
        <v>999.39999999999986</v>
      </c>
      <c r="S67" s="23">
        <v>1065.8</v>
      </c>
      <c r="T67" s="23">
        <v>1169</v>
      </c>
      <c r="U67" s="23">
        <v>1208.0999999999999</v>
      </c>
      <c r="V67" s="23">
        <v>1324.8</v>
      </c>
      <c r="W67" s="23">
        <v>1363.5</v>
      </c>
      <c r="X67" s="23">
        <v>1270.5999999999999</v>
      </c>
      <c r="Y67" s="23">
        <v>1464.4</v>
      </c>
      <c r="Z67" s="23">
        <v>1701.3000000000002</v>
      </c>
      <c r="AA67" s="23">
        <v>1877.1000000000001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259.8</v>
      </c>
      <c r="E68" s="23">
        <v>277.60000000000002</v>
      </c>
      <c r="F68" s="23">
        <v>270.8</v>
      </c>
      <c r="G68" s="23">
        <v>303.3</v>
      </c>
      <c r="H68" s="23">
        <v>319.5</v>
      </c>
      <c r="I68" s="23">
        <v>263.8</v>
      </c>
      <c r="J68" s="23">
        <v>274.60000000000002</v>
      </c>
      <c r="K68" s="23">
        <v>292</v>
      </c>
      <c r="L68" s="23">
        <v>292.8</v>
      </c>
      <c r="M68" s="23">
        <v>226.7</v>
      </c>
      <c r="N68" s="23">
        <v>242.7</v>
      </c>
      <c r="O68" s="23">
        <v>229.7</v>
      </c>
      <c r="P68" s="23">
        <v>240.4</v>
      </c>
      <c r="Q68" s="23">
        <v>239</v>
      </c>
      <c r="R68" s="23">
        <v>241.9</v>
      </c>
      <c r="S68" s="23">
        <v>229.9</v>
      </c>
      <c r="T68" s="23">
        <v>243.5</v>
      </c>
      <c r="U68" s="23">
        <v>287.39999999999998</v>
      </c>
      <c r="V68" s="23">
        <v>294.3</v>
      </c>
      <c r="W68" s="23">
        <v>331.5</v>
      </c>
      <c r="X68" s="23">
        <v>331.2</v>
      </c>
      <c r="Y68" s="23">
        <v>395.3</v>
      </c>
      <c r="Z68" s="23">
        <v>459</v>
      </c>
      <c r="AA68" s="23">
        <v>452.2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385.4</v>
      </c>
      <c r="E69" s="23">
        <v>412.5</v>
      </c>
      <c r="F69" s="23">
        <v>458.4</v>
      </c>
      <c r="G69" s="23">
        <v>492</v>
      </c>
      <c r="H69" s="23">
        <v>521.1</v>
      </c>
      <c r="I69" s="23">
        <v>551.4</v>
      </c>
      <c r="J69" s="23">
        <v>584.20000000000005</v>
      </c>
      <c r="K69" s="23">
        <v>637.79999999999995</v>
      </c>
      <c r="L69" s="23">
        <v>652</v>
      </c>
      <c r="M69" s="23">
        <v>534.5</v>
      </c>
      <c r="N69" s="23">
        <v>617</v>
      </c>
      <c r="O69" s="23">
        <v>626.9</v>
      </c>
      <c r="P69" s="23">
        <v>664.1</v>
      </c>
      <c r="Q69" s="23">
        <v>664.1</v>
      </c>
      <c r="R69" s="23">
        <v>680</v>
      </c>
      <c r="S69" s="23">
        <v>813.2</v>
      </c>
      <c r="T69" s="23">
        <v>885.1</v>
      </c>
      <c r="U69" s="23">
        <v>939.2</v>
      </c>
      <c r="V69" s="23">
        <v>921.8</v>
      </c>
      <c r="W69" s="23">
        <v>969</v>
      </c>
      <c r="X69" s="23">
        <v>910.4</v>
      </c>
      <c r="Y69" s="23">
        <v>1041.8</v>
      </c>
      <c r="Z69" s="23">
        <v>1082.0999999999999</v>
      </c>
      <c r="AA69" s="23">
        <v>1218.9000000000001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205.8</v>
      </c>
      <c r="E70" s="23">
        <v>224.1</v>
      </c>
      <c r="F70" s="23">
        <v>279.8</v>
      </c>
      <c r="G70" s="23">
        <v>304</v>
      </c>
      <c r="H70" s="23">
        <v>324.8</v>
      </c>
      <c r="I70" s="23">
        <v>345.6</v>
      </c>
      <c r="J70" s="23">
        <v>386.2</v>
      </c>
      <c r="K70" s="23">
        <v>456.8</v>
      </c>
      <c r="L70" s="23">
        <v>523.29999999999995</v>
      </c>
      <c r="M70" s="23">
        <v>430.9</v>
      </c>
      <c r="N70" s="23">
        <v>417.7</v>
      </c>
      <c r="O70" s="23">
        <v>459.8</v>
      </c>
      <c r="P70" s="23">
        <v>446.8</v>
      </c>
      <c r="Q70" s="23">
        <v>455.3</v>
      </c>
      <c r="R70" s="23">
        <v>484.1</v>
      </c>
      <c r="S70" s="23">
        <v>539</v>
      </c>
      <c r="T70" s="23">
        <v>590.5</v>
      </c>
      <c r="U70" s="23">
        <v>636.5</v>
      </c>
      <c r="V70" s="23">
        <v>673.1</v>
      </c>
      <c r="W70" s="23">
        <v>733.4</v>
      </c>
      <c r="X70" s="23">
        <v>771.3</v>
      </c>
      <c r="Y70" s="23">
        <v>840.9</v>
      </c>
      <c r="Z70" s="23">
        <v>912.8</v>
      </c>
      <c r="AA70" s="23">
        <v>1073.2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195.8</v>
      </c>
      <c r="E71" s="23">
        <v>226.1</v>
      </c>
      <c r="F71" s="23">
        <v>235.7</v>
      </c>
      <c r="G71" s="23">
        <v>258.5</v>
      </c>
      <c r="H71" s="23">
        <v>303.89999999999998</v>
      </c>
      <c r="I71" s="23">
        <v>347.4</v>
      </c>
      <c r="J71" s="23">
        <v>394.7</v>
      </c>
      <c r="K71" s="23">
        <v>488.3</v>
      </c>
      <c r="L71" s="23">
        <v>536</v>
      </c>
      <c r="M71" s="23">
        <v>478.7</v>
      </c>
      <c r="N71" s="23">
        <v>534.29999999999995</v>
      </c>
      <c r="O71" s="23">
        <v>570.6</v>
      </c>
      <c r="P71" s="23">
        <v>589.5</v>
      </c>
      <c r="Q71" s="23">
        <v>550.4</v>
      </c>
      <c r="R71" s="23">
        <v>589.1</v>
      </c>
      <c r="S71" s="23">
        <v>590.20000000000005</v>
      </c>
      <c r="T71" s="23">
        <v>603.79999999999995</v>
      </c>
      <c r="U71" s="23">
        <v>699.9</v>
      </c>
      <c r="V71" s="23">
        <v>756.3</v>
      </c>
      <c r="W71" s="23">
        <v>756.3</v>
      </c>
      <c r="X71" s="23">
        <v>682.9</v>
      </c>
      <c r="Y71" s="23">
        <v>732.4</v>
      </c>
      <c r="Z71" s="23">
        <v>700.1</v>
      </c>
      <c r="AA71" s="23">
        <v>812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21.799999999999983</v>
      </c>
      <c r="E72" s="23">
        <v>23.300000000000011</v>
      </c>
      <c r="F72" s="23">
        <v>28.199999999999989</v>
      </c>
      <c r="G72" s="23">
        <v>28.199999999999989</v>
      </c>
      <c r="H72" s="23">
        <v>28.300000000000011</v>
      </c>
      <c r="I72" s="23">
        <v>33.300000000000011</v>
      </c>
      <c r="J72" s="23">
        <v>37.400000000000034</v>
      </c>
      <c r="K72" s="23">
        <v>34.999999999999943</v>
      </c>
      <c r="L72" s="23">
        <v>43.700000000000045</v>
      </c>
      <c r="M72" s="23">
        <v>20.100000000000023</v>
      </c>
      <c r="N72" s="23">
        <v>22.800000000000068</v>
      </c>
      <c r="O72" s="23">
        <v>19.399999999999977</v>
      </c>
      <c r="P72" s="23">
        <v>22.899999999999977</v>
      </c>
      <c r="Q72" s="23">
        <v>27.300000000000068</v>
      </c>
      <c r="R72" s="23">
        <v>25.799999999999955</v>
      </c>
      <c r="S72" s="23">
        <v>26</v>
      </c>
      <c r="T72" s="23">
        <v>27.200000000000045</v>
      </c>
      <c r="U72" s="23">
        <v>34.100000000000023</v>
      </c>
      <c r="V72" s="23">
        <v>31.300000000000068</v>
      </c>
      <c r="W72" s="23">
        <v>33.900000000000091</v>
      </c>
      <c r="X72" s="23">
        <v>42.5</v>
      </c>
      <c r="Y72" s="23">
        <v>49.5</v>
      </c>
      <c r="Z72" s="23">
        <v>41.5</v>
      </c>
      <c r="AA72" s="23">
        <v>63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222.1</v>
      </c>
      <c r="E73" s="23">
        <v>238.8</v>
      </c>
      <c r="F73" s="23">
        <v>288.10000000000002</v>
      </c>
      <c r="G73" s="23">
        <v>296.7</v>
      </c>
      <c r="H73" s="23">
        <v>296.10000000000002</v>
      </c>
      <c r="I73" s="23">
        <v>295</v>
      </c>
      <c r="J73" s="23">
        <v>292.60000000000002</v>
      </c>
      <c r="K73" s="23">
        <v>326.89999999999998</v>
      </c>
      <c r="L73" s="23">
        <v>339.6</v>
      </c>
      <c r="M73" s="23">
        <v>272.8</v>
      </c>
      <c r="N73" s="23">
        <v>265.3</v>
      </c>
      <c r="O73" s="23">
        <v>259.8</v>
      </c>
      <c r="P73" s="23">
        <v>239.7</v>
      </c>
      <c r="Q73" s="23">
        <v>247</v>
      </c>
      <c r="R73" s="23">
        <v>260.89999999999998</v>
      </c>
      <c r="S73" s="23">
        <v>287.2</v>
      </c>
      <c r="T73" s="23">
        <v>344.4</v>
      </c>
      <c r="U73" s="23">
        <v>377.6</v>
      </c>
      <c r="V73" s="23">
        <v>382.6</v>
      </c>
      <c r="W73" s="23">
        <v>405.2</v>
      </c>
      <c r="X73" s="23">
        <v>340.7</v>
      </c>
      <c r="Y73" s="23">
        <v>394.6</v>
      </c>
      <c r="Z73" s="23">
        <v>446.7</v>
      </c>
      <c r="AA73" s="23">
        <v>461.1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160.9</v>
      </c>
      <c r="E74" s="23">
        <v>163.99999999999926</v>
      </c>
      <c r="F74" s="23">
        <v>128.50000000000034</v>
      </c>
      <c r="G74" s="23">
        <v>131.50000000000074</v>
      </c>
      <c r="H74" s="23">
        <v>158.00000000000034</v>
      </c>
      <c r="I74" s="23">
        <v>155.20000000000073</v>
      </c>
      <c r="J74" s="23">
        <v>141.70000000000016</v>
      </c>
      <c r="K74" s="23">
        <v>165.69999999999948</v>
      </c>
      <c r="L74" s="23">
        <v>179.69999999999925</v>
      </c>
      <c r="M74" s="23">
        <v>153.60000000000053</v>
      </c>
      <c r="N74" s="23">
        <v>162.79999999999944</v>
      </c>
      <c r="O74" s="23">
        <v>214.50000000000017</v>
      </c>
      <c r="P74" s="23">
        <v>260.3</v>
      </c>
      <c r="Q74" s="23">
        <v>282.59999999999945</v>
      </c>
      <c r="R74" s="23">
        <v>306.70000000000039</v>
      </c>
      <c r="S74" s="23">
        <v>316.50000000000074</v>
      </c>
      <c r="T74" s="23">
        <v>349.20000000000039</v>
      </c>
      <c r="U74" s="23">
        <v>367.80000000000143</v>
      </c>
      <c r="V74" s="23">
        <v>400.20000000000107</v>
      </c>
      <c r="W74" s="23">
        <v>422.89999999999856</v>
      </c>
      <c r="X74" s="23">
        <v>349.69999999999965</v>
      </c>
      <c r="Y74" s="23">
        <v>400.9</v>
      </c>
      <c r="Z74" s="23">
        <v>437.00000000000074</v>
      </c>
      <c r="AA74" s="23">
        <v>493.89999999999816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4705.8</v>
      </c>
      <c r="E75" s="30">
        <f t="shared" ref="E75:Y75" si="6">SUM(E56:E74)</f>
        <v>5058.9000000000005</v>
      </c>
      <c r="F75" s="30">
        <f t="shared" si="6"/>
        <v>5333.1</v>
      </c>
      <c r="G75" s="30">
        <f t="shared" si="6"/>
        <v>5654.8000000000011</v>
      </c>
      <c r="H75" s="30">
        <f t="shared" si="6"/>
        <v>5902</v>
      </c>
      <c r="I75" s="30">
        <f t="shared" si="6"/>
        <v>5970.7</v>
      </c>
      <c r="J75" s="30">
        <f t="shared" si="6"/>
        <v>6408.0999999999995</v>
      </c>
      <c r="K75" s="30">
        <f t="shared" si="6"/>
        <v>7109.9</v>
      </c>
      <c r="L75" s="30">
        <f t="shared" si="6"/>
        <v>7243.9999999999991</v>
      </c>
      <c r="M75" s="30">
        <f t="shared" si="6"/>
        <v>6147.6</v>
      </c>
      <c r="N75" s="30">
        <f t="shared" si="6"/>
        <v>6307.4999999999991</v>
      </c>
      <c r="O75" s="30">
        <f t="shared" si="6"/>
        <v>6693.1999999999989</v>
      </c>
      <c r="P75" s="30">
        <f t="shared" si="6"/>
        <v>6725.7</v>
      </c>
      <c r="Q75" s="30">
        <f t="shared" si="6"/>
        <v>6908.8</v>
      </c>
      <c r="R75" s="30">
        <f t="shared" si="6"/>
        <v>7321</v>
      </c>
      <c r="S75" s="30">
        <f t="shared" si="6"/>
        <v>7692.5</v>
      </c>
      <c r="T75" s="30">
        <f t="shared" si="6"/>
        <v>8095</v>
      </c>
      <c r="U75" s="30">
        <f t="shared" si="6"/>
        <v>8798.2000000000007</v>
      </c>
      <c r="V75" s="30">
        <f t="shared" si="6"/>
        <v>9277.2000000000007</v>
      </c>
      <c r="W75" s="30">
        <f t="shared" si="6"/>
        <v>9907.8999999999978</v>
      </c>
      <c r="X75" s="30">
        <f t="shared" si="6"/>
        <v>9589.6999999999989</v>
      </c>
      <c r="Y75" s="30">
        <f t="shared" si="6"/>
        <v>10366.4</v>
      </c>
      <c r="Z75" s="30">
        <f t="shared" ref="Z75:AA75" si="7">SUM(Z56:Z74)</f>
        <v>11339.2</v>
      </c>
      <c r="AA75" s="30">
        <f t="shared" si="7"/>
        <v>12502.5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37635.032236491534</v>
      </c>
      <c r="E2" s="19">
        <v>38700.015838063584</v>
      </c>
      <c r="F2" s="19">
        <v>39970.066278475962</v>
      </c>
      <c r="G2" s="19">
        <v>41247.226527848936</v>
      </c>
      <c r="H2" s="19">
        <v>43122.244883257918</v>
      </c>
      <c r="I2" s="19">
        <v>44784.049428244718</v>
      </c>
      <c r="J2" s="19">
        <v>47430.702333115791</v>
      </c>
      <c r="K2" s="19">
        <v>50816.705110966934</v>
      </c>
      <c r="L2" s="19">
        <v>52530.613670081235</v>
      </c>
      <c r="M2" s="19">
        <v>48543.15744248563</v>
      </c>
      <c r="N2" s="19">
        <v>49082.765019632483</v>
      </c>
      <c r="O2" s="19">
        <v>49404.519087265508</v>
      </c>
      <c r="P2" s="19">
        <v>47963.96935174254</v>
      </c>
      <c r="Q2" s="19">
        <v>47569.116280273658</v>
      </c>
      <c r="R2" s="19">
        <v>48883.375591083313</v>
      </c>
      <c r="S2" s="19">
        <v>50053.233230999998</v>
      </c>
      <c r="T2" s="19">
        <v>51572.348543390981</v>
      </c>
      <c r="U2" s="19">
        <v>54240.359539071287</v>
      </c>
      <c r="V2" s="19">
        <v>56615.846777700099</v>
      </c>
      <c r="W2" s="19">
        <v>58600.360661644285</v>
      </c>
      <c r="X2" s="19">
        <v>56206.522226846449</v>
      </c>
      <c r="Y2" s="19">
        <v>60937.618233402682</v>
      </c>
      <c r="Z2" s="19">
        <v>62563.505044831669</v>
      </c>
      <c r="AA2" s="19">
        <v>64050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20493.103621287981</v>
      </c>
      <c r="E3" s="23">
        <v>20956.623861938118</v>
      </c>
      <c r="F3" s="23">
        <v>21378.216734944439</v>
      </c>
      <c r="G3" s="23">
        <v>22196.731786382894</v>
      </c>
      <c r="H3" s="23">
        <v>22821.142433691628</v>
      </c>
      <c r="I3" s="23">
        <v>23305.123812036749</v>
      </c>
      <c r="J3" s="23">
        <v>23633.929719722539</v>
      </c>
      <c r="K3" s="23">
        <v>25245.371873908978</v>
      </c>
      <c r="L3" s="23">
        <v>25928.486699591464</v>
      </c>
      <c r="M3" s="23">
        <v>26479.380251507766</v>
      </c>
      <c r="N3" s="23">
        <v>26751.890804332794</v>
      </c>
      <c r="O3" s="23">
        <v>26898.124639968839</v>
      </c>
      <c r="P3" s="23">
        <v>26242.743254514578</v>
      </c>
      <c r="Q3" s="23">
        <v>25244.566000931696</v>
      </c>
      <c r="R3" s="23">
        <v>25530.956164519426</v>
      </c>
      <c r="S3" s="23">
        <v>26145.411072000003</v>
      </c>
      <c r="T3" s="23">
        <v>27215.381453946309</v>
      </c>
      <c r="U3" s="23">
        <v>27898.173683325254</v>
      </c>
      <c r="V3" s="23">
        <v>28848.115594177038</v>
      </c>
      <c r="W3" s="23">
        <v>30434.47510282162</v>
      </c>
      <c r="X3" s="23">
        <v>28562.87989090769</v>
      </c>
      <c r="Y3" s="23">
        <v>31779.122091673245</v>
      </c>
      <c r="Z3" s="23">
        <v>33030.185834109972</v>
      </c>
      <c r="AA3" s="23">
        <v>33024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32170.135121745687</v>
      </c>
      <c r="E4" s="27">
        <v>33273.221008080029</v>
      </c>
      <c r="F4" s="27">
        <v>34476.421423663436</v>
      </c>
      <c r="G4" s="27">
        <v>35645.261627577755</v>
      </c>
      <c r="H4" s="27">
        <v>37269.954754338796</v>
      </c>
      <c r="I4" s="27">
        <v>38645.058752233883</v>
      </c>
      <c r="J4" s="27">
        <v>41022.829620523189</v>
      </c>
      <c r="K4" s="27">
        <v>44035.920668564693</v>
      </c>
      <c r="L4" s="27">
        <v>45361.782167611847</v>
      </c>
      <c r="M4" s="27">
        <v>42141.052406633964</v>
      </c>
      <c r="N4" s="27">
        <v>42636.444849745829</v>
      </c>
      <c r="O4" s="27">
        <v>42774.929587236918</v>
      </c>
      <c r="P4" s="27">
        <v>41678.745310704857</v>
      </c>
      <c r="Q4" s="27">
        <v>41484.854812284633</v>
      </c>
      <c r="R4" s="27">
        <v>42929.347767420775</v>
      </c>
      <c r="S4" s="27">
        <v>43941.027615000006</v>
      </c>
      <c r="T4" s="27">
        <v>45328.37206642505</v>
      </c>
      <c r="U4" s="27">
        <v>47810.55363903012</v>
      </c>
      <c r="V4" s="27">
        <v>49910.603217280965</v>
      </c>
      <c r="W4" s="27">
        <v>51731.597328183889</v>
      </c>
      <c r="X4" s="27">
        <v>50149.317896513145</v>
      </c>
      <c r="Y4" s="27">
        <v>54104.156317595953</v>
      </c>
      <c r="Z4" s="27">
        <v>55542.849860665963</v>
      </c>
      <c r="AA4" s="27">
        <v>56995.1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1107.2199032163333</v>
      </c>
      <c r="E6" s="19">
        <v>1033.5706475195175</v>
      </c>
      <c r="F6" s="19">
        <v>1144.5246422759328</v>
      </c>
      <c r="G6" s="19">
        <v>903.69991623802559</v>
      </c>
      <c r="H6" s="19">
        <v>1021.4422344053731</v>
      </c>
      <c r="I6" s="19">
        <v>1067.2561872794759</v>
      </c>
      <c r="J6" s="19">
        <v>977.15685640507479</v>
      </c>
      <c r="K6" s="19">
        <v>1021.8893642356866</v>
      </c>
      <c r="L6" s="19">
        <v>911.41789540012599</v>
      </c>
      <c r="M6" s="19">
        <v>850.38300251409123</v>
      </c>
      <c r="N6" s="19">
        <v>893.54677865693679</v>
      </c>
      <c r="O6" s="19">
        <v>1006.2655005496114</v>
      </c>
      <c r="P6" s="19">
        <v>879.01807792312502</v>
      </c>
      <c r="Q6" s="19">
        <v>883.66237631743354</v>
      </c>
      <c r="R6" s="19">
        <v>909.20962563611636</v>
      </c>
      <c r="S6" s="19">
        <v>1009.7856430000002</v>
      </c>
      <c r="T6" s="19">
        <v>975.04995940031279</v>
      </c>
      <c r="U6" s="19">
        <v>937.89247457958561</v>
      </c>
      <c r="V6" s="19">
        <v>1148.1034138289651</v>
      </c>
      <c r="W6" s="19">
        <v>1054.6437057372855</v>
      </c>
      <c r="X6" s="19">
        <v>1081.0228470808343</v>
      </c>
      <c r="Y6" s="19">
        <v>934.4177899140135</v>
      </c>
      <c r="Z6" s="19">
        <v>1028.006893896918</v>
      </c>
      <c r="AA6" s="19">
        <v>981.2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9138.9767885187503</v>
      </c>
      <c r="E7" s="23">
        <v>9580.2842892427616</v>
      </c>
      <c r="F7" s="23">
        <v>9858.6465336628298</v>
      </c>
      <c r="G7" s="23">
        <v>10187.832701382664</v>
      </c>
      <c r="H7" s="23">
        <v>10622.256595779354</v>
      </c>
      <c r="I7" s="23">
        <v>10633.733177152546</v>
      </c>
      <c r="J7" s="23">
        <v>11191.191834512183</v>
      </c>
      <c r="K7" s="23">
        <v>11904.536264438118</v>
      </c>
      <c r="L7" s="23">
        <v>11682.43320730939</v>
      </c>
      <c r="M7" s="23">
        <v>9940.4935606828603</v>
      </c>
      <c r="N7" s="23">
        <v>10250.108191210235</v>
      </c>
      <c r="O7" s="23">
        <v>10602.448687488024</v>
      </c>
      <c r="P7" s="23">
        <v>10646.942372966763</v>
      </c>
      <c r="Q7" s="23">
        <v>10938.904502952262</v>
      </c>
      <c r="R7" s="23">
        <v>11444.281028870864</v>
      </c>
      <c r="S7" s="23">
        <v>11801.213415</v>
      </c>
      <c r="T7" s="23">
        <v>12219.318720416692</v>
      </c>
      <c r="U7" s="23">
        <v>12998.979168947988</v>
      </c>
      <c r="V7" s="23">
        <v>13359.621995248501</v>
      </c>
      <c r="W7" s="23">
        <v>13947.867109022382</v>
      </c>
      <c r="X7" s="23">
        <v>13502.911563858472</v>
      </c>
      <c r="Y7" s="23">
        <v>14110.718487995853</v>
      </c>
      <c r="Z7" s="23">
        <v>13952.841026134549</v>
      </c>
      <c r="AA7" s="23">
        <v>15002.1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2087.1536434326281</v>
      </c>
      <c r="E8" s="23">
        <v>2039.0954833744988</v>
      </c>
      <c r="F8" s="23">
        <v>2020.9840841420048</v>
      </c>
      <c r="G8" s="23">
        <v>2165.2417913265067</v>
      </c>
      <c r="H8" s="23">
        <v>2246.6468775826147</v>
      </c>
      <c r="I8" s="23">
        <v>2491.5841050726299</v>
      </c>
      <c r="J8" s="23">
        <v>2874.6140080835303</v>
      </c>
      <c r="K8" s="23">
        <v>3477.1864793184454</v>
      </c>
      <c r="L8" s="23">
        <v>3736.9781348456208</v>
      </c>
      <c r="M8" s="23">
        <v>3279.8562294716357</v>
      </c>
      <c r="N8" s="23">
        <v>2691.9476057723846</v>
      </c>
      <c r="O8" s="23">
        <v>2487.1794808442837</v>
      </c>
      <c r="P8" s="23">
        <v>2384.4135609618447</v>
      </c>
      <c r="Q8" s="23">
        <v>2159.7362049855915</v>
      </c>
      <c r="R8" s="23">
        <v>2420.897874741775</v>
      </c>
      <c r="S8" s="23">
        <v>2334.4563969999999</v>
      </c>
      <c r="T8" s="23">
        <v>2316.4017596498525</v>
      </c>
      <c r="U8" s="23">
        <v>2528.683908877591</v>
      </c>
      <c r="V8" s="23">
        <v>2825.4275882796328</v>
      </c>
      <c r="W8" s="23">
        <v>3062.6229779907871</v>
      </c>
      <c r="X8" s="23">
        <v>2988.4162264531633</v>
      </c>
      <c r="Y8" s="23">
        <v>3291.5505237848374</v>
      </c>
      <c r="Z8" s="23">
        <v>3757.4197009129939</v>
      </c>
      <c r="AA8" s="23">
        <v>3947.1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5869.419548257767</v>
      </c>
      <c r="E9" s="23">
        <v>6174.5329009916959</v>
      </c>
      <c r="F9" s="23">
        <v>6459.5221095774823</v>
      </c>
      <c r="G9" s="23">
        <v>6755.4038506913321</v>
      </c>
      <c r="H9" s="23">
        <v>7017.1936597176154</v>
      </c>
      <c r="I9" s="23">
        <v>7439.8826238372358</v>
      </c>
      <c r="J9" s="23">
        <v>8025.8781385427201</v>
      </c>
      <c r="K9" s="23">
        <v>8871.3867575262248</v>
      </c>
      <c r="L9" s="23">
        <v>9312.3073093887851</v>
      </c>
      <c r="M9" s="23">
        <v>8548.0267649324851</v>
      </c>
      <c r="N9" s="23">
        <v>8533.3104316989193</v>
      </c>
      <c r="O9" s="23">
        <v>8600.1050019664981</v>
      </c>
      <c r="P9" s="23">
        <v>8294.1423850603678</v>
      </c>
      <c r="Q9" s="23">
        <v>8381.6675503294864</v>
      </c>
      <c r="R9" s="23">
        <v>8637.3574998740369</v>
      </c>
      <c r="S9" s="23">
        <v>9042.0808130000005</v>
      </c>
      <c r="T9" s="23">
        <v>9479.8863763293921</v>
      </c>
      <c r="U9" s="23">
        <v>10091.993334962848</v>
      </c>
      <c r="V9" s="23">
        <v>10611.174277972314</v>
      </c>
      <c r="W9" s="23">
        <v>10844.052909590062</v>
      </c>
      <c r="X9" s="23">
        <v>9697.1455189933786</v>
      </c>
      <c r="Y9" s="23">
        <v>10814.059259193051</v>
      </c>
      <c r="Z9" s="23">
        <v>11329.76608868842</v>
      </c>
      <c r="AA9" s="23">
        <v>11357.6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1208.8791187323638</v>
      </c>
      <c r="E10" s="23">
        <v>1299.3459568816791</v>
      </c>
      <c r="F10" s="23">
        <v>1242.9060128985595</v>
      </c>
      <c r="G10" s="23">
        <v>1315.6415577367752</v>
      </c>
      <c r="H10" s="23">
        <v>1399.4160875790062</v>
      </c>
      <c r="I10" s="23">
        <v>1528.7847225404389</v>
      </c>
      <c r="J10" s="23">
        <v>1638.0957258336143</v>
      </c>
      <c r="K10" s="23">
        <v>1751.5431189581823</v>
      </c>
      <c r="L10" s="23">
        <v>1808.1443604284816</v>
      </c>
      <c r="M10" s="23">
        <v>1647.27178034143</v>
      </c>
      <c r="N10" s="23">
        <v>1738.8673704493281</v>
      </c>
      <c r="O10" s="23">
        <v>1744.4437490545681</v>
      </c>
      <c r="P10" s="23">
        <v>1779.870954185395</v>
      </c>
      <c r="Q10" s="23">
        <v>1738.1282691493866</v>
      </c>
      <c r="R10" s="23">
        <v>1829.0008011286343</v>
      </c>
      <c r="S10" s="23">
        <v>1765.1643200000001</v>
      </c>
      <c r="T10" s="23">
        <v>1785.0469154140178</v>
      </c>
      <c r="U10" s="23">
        <v>1889.4303294876811</v>
      </c>
      <c r="V10" s="23">
        <v>1914.3511578204163</v>
      </c>
      <c r="W10" s="23">
        <v>2129.0789893443771</v>
      </c>
      <c r="X10" s="23">
        <v>2189.2297373392767</v>
      </c>
      <c r="Y10" s="23">
        <v>2401.3289726309017</v>
      </c>
      <c r="Z10" s="23">
        <v>2457.3391365473612</v>
      </c>
      <c r="AA10" s="23">
        <v>2482.8000000000002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1525.9065220444593</v>
      </c>
      <c r="E11" s="23">
        <v>1434.4607789596496</v>
      </c>
      <c r="F11" s="23">
        <v>1489.9810511723224</v>
      </c>
      <c r="G11" s="23">
        <v>1633.3399839554529</v>
      </c>
      <c r="H11" s="23">
        <v>1681.9294956408376</v>
      </c>
      <c r="I11" s="23">
        <v>1753.3820796865691</v>
      </c>
      <c r="J11" s="23">
        <v>1994.6057640058382</v>
      </c>
      <c r="K11" s="23">
        <v>2041.7643028026459</v>
      </c>
      <c r="L11" s="23">
        <v>2182.0206679269063</v>
      </c>
      <c r="M11" s="23">
        <v>2237.5946981063216</v>
      </c>
      <c r="N11" s="23">
        <v>2298.509109544113</v>
      </c>
      <c r="O11" s="23">
        <v>2194.4282016115208</v>
      </c>
      <c r="P11" s="23">
        <v>1790.1855521738255</v>
      </c>
      <c r="Q11" s="23">
        <v>1662.4584839691274</v>
      </c>
      <c r="R11" s="23">
        <v>1724.6586829243715</v>
      </c>
      <c r="S11" s="23">
        <v>1791.4822820000002</v>
      </c>
      <c r="T11" s="23">
        <v>1743.1913691006675</v>
      </c>
      <c r="U11" s="23">
        <v>1811.7166396167383</v>
      </c>
      <c r="V11" s="23">
        <v>1903.5714394756178</v>
      </c>
      <c r="W11" s="23">
        <v>1946.1305914103577</v>
      </c>
      <c r="X11" s="23">
        <v>1943.5981364295019</v>
      </c>
      <c r="Y11" s="23">
        <v>2291.5512182913531</v>
      </c>
      <c r="Z11" s="23">
        <v>2321.7472296375645</v>
      </c>
      <c r="AA11" s="23">
        <v>2809.9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2568.2953395727727</v>
      </c>
      <c r="E12" s="23">
        <v>2551.3439846591123</v>
      </c>
      <c r="F12" s="23">
        <v>2575.2205026821771</v>
      </c>
      <c r="G12" s="23">
        <v>2583.1422384502857</v>
      </c>
      <c r="H12" s="23">
        <v>2729.5189184155702</v>
      </c>
      <c r="I12" s="23">
        <v>2874.6939020757918</v>
      </c>
      <c r="J12" s="23">
        <v>3019.6653923880099</v>
      </c>
      <c r="K12" s="23">
        <v>3184.950869805255</v>
      </c>
      <c r="L12" s="23">
        <v>3355.1382482671706</v>
      </c>
      <c r="M12" s="23">
        <v>3284.5723449981756</v>
      </c>
      <c r="N12" s="23">
        <v>3349.4040402591017</v>
      </c>
      <c r="O12" s="23">
        <v>3315.5690896622664</v>
      </c>
      <c r="P12" s="23">
        <v>3306.1635448370384</v>
      </c>
      <c r="Q12" s="23">
        <v>3346.21165084739</v>
      </c>
      <c r="R12" s="23">
        <v>3381.9437003073517</v>
      </c>
      <c r="S12" s="23">
        <v>3456.9573520000004</v>
      </c>
      <c r="T12" s="23">
        <v>3526.5272087220014</v>
      </c>
      <c r="U12" s="23">
        <v>3594.5830465389131</v>
      </c>
      <c r="V12" s="23">
        <v>3677.7862588136518</v>
      </c>
      <c r="W12" s="23">
        <v>3731.2072179051697</v>
      </c>
      <c r="X12" s="23">
        <v>3728.2366661164001</v>
      </c>
      <c r="Y12" s="23">
        <v>3883.685077495129</v>
      </c>
      <c r="Z12" s="23">
        <v>4208.6882540984298</v>
      </c>
      <c r="AA12" s="23">
        <v>4098.8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2314.0624433406965</v>
      </c>
      <c r="E13" s="23">
        <v>2453.1836438332361</v>
      </c>
      <c r="F13" s="23">
        <v>2862.5133325296852</v>
      </c>
      <c r="G13" s="23">
        <v>3043.5383783209859</v>
      </c>
      <c r="H13" s="23">
        <v>3214.5569985217262</v>
      </c>
      <c r="I13" s="23">
        <v>3199.6367903129726</v>
      </c>
      <c r="J13" s="23">
        <v>3461.6841169866402</v>
      </c>
      <c r="K13" s="23">
        <v>3842.2291880013431</v>
      </c>
      <c r="L13" s="23">
        <v>4086.9637051039699</v>
      </c>
      <c r="M13" s="23">
        <v>3825.1739304975472</v>
      </c>
      <c r="N13" s="23">
        <v>4027.7039961872752</v>
      </c>
      <c r="O13" s="23">
        <v>4008.0384616936094</v>
      </c>
      <c r="P13" s="23">
        <v>3923.0300868723921</v>
      </c>
      <c r="Q13" s="23">
        <v>3955.3199393426444</v>
      </c>
      <c r="R13" s="23">
        <v>4240.5226190356234</v>
      </c>
      <c r="S13" s="23">
        <v>4367.1866639999998</v>
      </c>
      <c r="T13" s="23">
        <v>4462.0908036757564</v>
      </c>
      <c r="U13" s="23">
        <v>4832.1540643332037</v>
      </c>
      <c r="V13" s="23">
        <v>5089.5489013348097</v>
      </c>
      <c r="W13" s="23">
        <v>5184.1564282723002</v>
      </c>
      <c r="X13" s="23">
        <v>4752.2095929859315</v>
      </c>
      <c r="Y13" s="23">
        <v>5268.7381728311193</v>
      </c>
      <c r="Z13" s="23">
        <v>5657.7085751106724</v>
      </c>
      <c r="AA13" s="23">
        <v>5610.8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5295.4438105695981</v>
      </c>
      <c r="E14" s="23">
        <v>5655.5204098350459</v>
      </c>
      <c r="F14" s="23">
        <v>5816.3579048881866</v>
      </c>
      <c r="G14" s="23">
        <v>6050.2262481713988</v>
      </c>
      <c r="H14" s="23">
        <v>6266.1969002805208</v>
      </c>
      <c r="I14" s="23">
        <v>6516.8255533153142</v>
      </c>
      <c r="J14" s="23">
        <v>6691.1666352307229</v>
      </c>
      <c r="K14" s="23">
        <v>6780.269025839767</v>
      </c>
      <c r="L14" s="23">
        <v>7104.4736609955889</v>
      </c>
      <c r="M14" s="23">
        <v>7361.5868446129562</v>
      </c>
      <c r="N14" s="23">
        <v>7671.3695156198746</v>
      </c>
      <c r="O14" s="23">
        <v>7633.3823710934803</v>
      </c>
      <c r="P14" s="23">
        <v>7529.120708282102</v>
      </c>
      <c r="Q14" s="23">
        <v>7282.379768454146</v>
      </c>
      <c r="R14" s="23">
        <v>7216.8848894039411</v>
      </c>
      <c r="S14" s="23">
        <v>7260.4345370000046</v>
      </c>
      <c r="T14" s="23">
        <v>7643.7704295644962</v>
      </c>
      <c r="U14" s="23">
        <v>7916.26993058272</v>
      </c>
      <c r="V14" s="23">
        <v>8148.5793271570237</v>
      </c>
      <c r="W14" s="23">
        <v>8538.9525745660958</v>
      </c>
      <c r="X14" s="23">
        <v>9194.9111786716494</v>
      </c>
      <c r="Y14" s="23">
        <v>9959.8362573517552</v>
      </c>
      <c r="Z14" s="23">
        <v>9515.6820773743239</v>
      </c>
      <c r="AA14" s="23">
        <v>9431.3999999999869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1054.7780040603175</v>
      </c>
      <c r="E15" s="23">
        <v>1051.8829127828321</v>
      </c>
      <c r="F15" s="23">
        <v>1005.7652498342476</v>
      </c>
      <c r="G15" s="23">
        <v>1007.1949613043273</v>
      </c>
      <c r="H15" s="23">
        <v>1070.7969864161751</v>
      </c>
      <c r="I15" s="23">
        <v>1139.2796109609128</v>
      </c>
      <c r="J15" s="23">
        <v>1148.7711485348602</v>
      </c>
      <c r="K15" s="23">
        <v>1160.1652976390228</v>
      </c>
      <c r="L15" s="23">
        <v>1181.9049779458096</v>
      </c>
      <c r="M15" s="23">
        <v>1166.093250476461</v>
      </c>
      <c r="N15" s="23">
        <v>1181.6778103476552</v>
      </c>
      <c r="O15" s="23">
        <v>1183.069043273061</v>
      </c>
      <c r="P15" s="23">
        <v>1145.8580674420011</v>
      </c>
      <c r="Q15" s="23">
        <v>1136.3860659371664</v>
      </c>
      <c r="R15" s="23">
        <v>1124.5910454980603</v>
      </c>
      <c r="S15" s="23">
        <v>1112.266192</v>
      </c>
      <c r="T15" s="23">
        <v>1177.0885241518624</v>
      </c>
      <c r="U15" s="23">
        <v>1208.8507411028552</v>
      </c>
      <c r="V15" s="23">
        <v>1232.4388573500369</v>
      </c>
      <c r="W15" s="23">
        <v>1292.8848243450748</v>
      </c>
      <c r="X15" s="23">
        <v>1071.6364285845302</v>
      </c>
      <c r="Y15" s="23">
        <v>1148.270558107939</v>
      </c>
      <c r="Z15" s="23">
        <v>1313.6508782647265</v>
      </c>
      <c r="AA15" s="23">
        <v>1273.4000000000001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32170.135121745683</v>
      </c>
      <c r="E16" s="30">
        <f t="shared" ref="E16:S16" si="0">SUM(E6:E15)</f>
        <v>33273.221008080029</v>
      </c>
      <c r="F16" s="30">
        <f t="shared" si="0"/>
        <v>34476.421423663429</v>
      </c>
      <c r="G16" s="30">
        <f t="shared" si="0"/>
        <v>35645.261627577755</v>
      </c>
      <c r="H16" s="30">
        <f t="shared" si="0"/>
        <v>37269.954754338789</v>
      </c>
      <c r="I16" s="30">
        <f t="shared" si="0"/>
        <v>38645.05875223389</v>
      </c>
      <c r="J16" s="30">
        <f t="shared" si="0"/>
        <v>41022.829620523196</v>
      </c>
      <c r="K16" s="30">
        <f t="shared" si="0"/>
        <v>44035.9206685647</v>
      </c>
      <c r="L16" s="30">
        <f t="shared" si="0"/>
        <v>45361.78216761184</v>
      </c>
      <c r="M16" s="30">
        <f t="shared" si="0"/>
        <v>42141.052406633964</v>
      </c>
      <c r="N16" s="30">
        <f t="shared" si="0"/>
        <v>42636.444849745814</v>
      </c>
      <c r="O16" s="30">
        <f t="shared" si="0"/>
        <v>42774.929587236926</v>
      </c>
      <c r="P16" s="30">
        <f t="shared" si="0"/>
        <v>41678.745310704857</v>
      </c>
      <c r="Q16" s="30">
        <f t="shared" si="0"/>
        <v>41484.854812284633</v>
      </c>
      <c r="R16" s="30">
        <f t="shared" si="0"/>
        <v>42929.347767420775</v>
      </c>
      <c r="S16" s="30">
        <f t="shared" si="0"/>
        <v>43941.027615000006</v>
      </c>
      <c r="T16" s="30">
        <f t="shared" ref="T16:Y16" si="1">SUM(T6:T15)</f>
        <v>45328.372066425043</v>
      </c>
      <c r="U16" s="30">
        <f t="shared" si="1"/>
        <v>47810.55363903012</v>
      </c>
      <c r="V16" s="30">
        <f t="shared" si="1"/>
        <v>49910.603217280972</v>
      </c>
      <c r="W16" s="30">
        <f t="shared" si="1"/>
        <v>51731.597328183889</v>
      </c>
      <c r="X16" s="30">
        <f t="shared" si="1"/>
        <v>50149.317896513137</v>
      </c>
      <c r="Y16" s="30">
        <f t="shared" si="1"/>
        <v>54104.156317595945</v>
      </c>
      <c r="Z16" s="30">
        <f t="shared" ref="Z16:AA16" si="2">SUM(Z6:Z15)</f>
        <v>55542.849860665963</v>
      </c>
      <c r="AA16" s="30">
        <f t="shared" si="2"/>
        <v>56995.1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1107.2199032163333</v>
      </c>
      <c r="E18" s="19">
        <v>1033.5706475195175</v>
      </c>
      <c r="F18" s="19">
        <v>1144.5246422759328</v>
      </c>
      <c r="G18" s="19">
        <v>903.69991623802559</v>
      </c>
      <c r="H18" s="19">
        <v>1021.4422344053731</v>
      </c>
      <c r="I18" s="19">
        <v>1067.2561872794759</v>
      </c>
      <c r="J18" s="19">
        <v>977.15685640507479</v>
      </c>
      <c r="K18" s="19">
        <v>1021.8893642356866</v>
      </c>
      <c r="L18" s="19">
        <v>911.41789540012599</v>
      </c>
      <c r="M18" s="19">
        <v>850.38300251409123</v>
      </c>
      <c r="N18" s="19">
        <v>893.54677865693679</v>
      </c>
      <c r="O18" s="19">
        <v>1006.2655005496114</v>
      </c>
      <c r="P18" s="19">
        <v>879.01807792312502</v>
      </c>
      <c r="Q18" s="19">
        <v>883.66237631743354</v>
      </c>
      <c r="R18" s="19">
        <v>909.20962563611636</v>
      </c>
      <c r="S18" s="19">
        <v>1009.7856430000002</v>
      </c>
      <c r="T18" s="19">
        <v>975.04995940031279</v>
      </c>
      <c r="U18" s="19">
        <v>937.89247457958561</v>
      </c>
      <c r="V18" s="19">
        <v>1148.1034138289651</v>
      </c>
      <c r="W18" s="19">
        <v>1054.6437057372855</v>
      </c>
      <c r="X18" s="19">
        <v>1081.0228470808343</v>
      </c>
      <c r="Y18" s="19">
        <v>934.4177899140135</v>
      </c>
      <c r="Z18" s="19">
        <v>1028.006893896918</v>
      </c>
      <c r="AA18" s="19">
        <v>981.2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202.83915519985177</v>
      </c>
      <c r="E19" s="23">
        <v>184.41780733835705</v>
      </c>
      <c r="F19" s="23">
        <v>166.29870688318965</v>
      </c>
      <c r="G19" s="23">
        <v>178.92097942522759</v>
      </c>
      <c r="H19" s="23">
        <v>200.06996134985943</v>
      </c>
      <c r="I19" s="23">
        <v>202.51829491820564</v>
      </c>
      <c r="J19" s="23">
        <v>206.25451181737967</v>
      </c>
      <c r="K19" s="23">
        <v>208.3670762706991</v>
      </c>
      <c r="L19" s="23">
        <v>200.17207156517733</v>
      </c>
      <c r="M19" s="23">
        <v>193.78073471820787</v>
      </c>
      <c r="N19" s="23">
        <v>189.21092525497096</v>
      </c>
      <c r="O19" s="23">
        <v>195.41954265977566</v>
      </c>
      <c r="P19" s="23">
        <v>191.15495233104232</v>
      </c>
      <c r="Q19" s="23">
        <v>168.76372304276242</v>
      </c>
      <c r="R19" s="23">
        <v>171.06005117835011</v>
      </c>
      <c r="S19" s="23">
        <v>165.21831700000001</v>
      </c>
      <c r="T19" s="23">
        <v>171.23920048323541</v>
      </c>
      <c r="U19" s="23">
        <v>179.46924032068824</v>
      </c>
      <c r="V19" s="23">
        <v>181.35290862425921</v>
      </c>
      <c r="W19" s="23">
        <v>171.3333712203401</v>
      </c>
      <c r="X19" s="23">
        <v>158.4720005869512</v>
      </c>
      <c r="Y19" s="23">
        <v>143.15307102618416</v>
      </c>
      <c r="Z19" s="23">
        <v>183.97786220574562</v>
      </c>
      <c r="AA19" s="23">
        <v>133.70000000000002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7986.4430112744039</v>
      </c>
      <c r="E20" s="23">
        <v>8345.9386252777113</v>
      </c>
      <c r="F20" s="23">
        <v>8545.2392128262327</v>
      </c>
      <c r="G20" s="23">
        <v>8867.3300127412585</v>
      </c>
      <c r="H20" s="23">
        <v>9131.4027074530622</v>
      </c>
      <c r="I20" s="23">
        <v>9091.5487478806754</v>
      </c>
      <c r="J20" s="23">
        <v>9562.796046929383</v>
      </c>
      <c r="K20" s="23">
        <v>10230.260758630397</v>
      </c>
      <c r="L20" s="23">
        <v>9946.2356647763081</v>
      </c>
      <c r="M20" s="23">
        <v>8283.6548031304501</v>
      </c>
      <c r="N20" s="23">
        <v>8592.8438883650397</v>
      </c>
      <c r="O20" s="23">
        <v>8971.8079769264132</v>
      </c>
      <c r="P20" s="23">
        <v>9009.4664533489213</v>
      </c>
      <c r="Q20" s="23">
        <v>9252.8745460774262</v>
      </c>
      <c r="R20" s="23">
        <v>9806.0160124955928</v>
      </c>
      <c r="S20" s="23">
        <v>10224.794075000002</v>
      </c>
      <c r="T20" s="23">
        <v>10654.737339829284</v>
      </c>
      <c r="U20" s="23">
        <v>11433.789067266331</v>
      </c>
      <c r="V20" s="23">
        <v>11765.365062160694</v>
      </c>
      <c r="W20" s="23">
        <v>12255.810898515658</v>
      </c>
      <c r="X20" s="23">
        <v>11689.99187714375</v>
      </c>
      <c r="Y20" s="23">
        <v>12316.018534475053</v>
      </c>
      <c r="Z20" s="23">
        <v>12612.828144639616</v>
      </c>
      <c r="AA20" s="23">
        <v>12502.5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632.11130875669278</v>
      </c>
      <c r="E21" s="23">
        <v>711.11374547017635</v>
      </c>
      <c r="F21" s="23">
        <v>829.41079531240166</v>
      </c>
      <c r="G21" s="23">
        <v>790.48260936246481</v>
      </c>
      <c r="H21" s="23">
        <v>895.2859987395874</v>
      </c>
      <c r="I21" s="23">
        <v>936.91358543738272</v>
      </c>
      <c r="J21" s="23">
        <v>1003.6625122806645</v>
      </c>
      <c r="K21" s="23">
        <v>1001.9751050227055</v>
      </c>
      <c r="L21" s="23">
        <v>1065.1131215381658</v>
      </c>
      <c r="M21" s="23">
        <v>1016.3381788906285</v>
      </c>
      <c r="N21" s="23">
        <v>1039.7746526070505</v>
      </c>
      <c r="O21" s="23">
        <v>1005.6466588314792</v>
      </c>
      <c r="P21" s="23">
        <v>1026.5034335758776</v>
      </c>
      <c r="Q21" s="23">
        <v>1077.4090382190325</v>
      </c>
      <c r="R21" s="23">
        <v>1013.2327541997182</v>
      </c>
      <c r="S21" s="23">
        <v>962.86523599999998</v>
      </c>
      <c r="T21" s="23">
        <v>957.93920147347194</v>
      </c>
      <c r="U21" s="23">
        <v>946.85943879546323</v>
      </c>
      <c r="V21" s="23">
        <v>969.92101060023379</v>
      </c>
      <c r="W21" s="23">
        <v>1068.4522218267705</v>
      </c>
      <c r="X21" s="23">
        <v>1157.0894073625702</v>
      </c>
      <c r="Y21" s="23">
        <v>1085.4685559885847</v>
      </c>
      <c r="Z21" s="23">
        <v>650.93013883193669</v>
      </c>
      <c r="AA21" s="23">
        <v>1873.6000000000001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317.58331328780133</v>
      </c>
      <c r="E22" s="23">
        <v>338.81411115651645</v>
      </c>
      <c r="F22" s="23">
        <v>317.69781864100685</v>
      </c>
      <c r="G22" s="23">
        <v>351.09909985371132</v>
      </c>
      <c r="H22" s="23">
        <v>395.49792823684498</v>
      </c>
      <c r="I22" s="23">
        <v>402.75254891628106</v>
      </c>
      <c r="J22" s="23">
        <v>418.4787634847558</v>
      </c>
      <c r="K22" s="23">
        <v>463.93332451431883</v>
      </c>
      <c r="L22" s="23">
        <v>470.91234942973824</v>
      </c>
      <c r="M22" s="23">
        <v>446.71984394357372</v>
      </c>
      <c r="N22" s="23">
        <v>428.27872498317396</v>
      </c>
      <c r="O22" s="23">
        <v>429.57450907035729</v>
      </c>
      <c r="P22" s="23">
        <v>419.81753371092265</v>
      </c>
      <c r="Q22" s="23">
        <v>439.85719561304109</v>
      </c>
      <c r="R22" s="23">
        <v>453.97221099720315</v>
      </c>
      <c r="S22" s="23">
        <v>448.33578699999998</v>
      </c>
      <c r="T22" s="23">
        <v>435.40297863070157</v>
      </c>
      <c r="U22" s="23">
        <v>438.86142256550636</v>
      </c>
      <c r="V22" s="23">
        <v>442.98301386331281</v>
      </c>
      <c r="W22" s="23">
        <v>452.27061745961254</v>
      </c>
      <c r="X22" s="23">
        <v>497.35827876520074</v>
      </c>
      <c r="Y22" s="23">
        <v>566.07832650603109</v>
      </c>
      <c r="Z22" s="23">
        <v>505.10488045724952</v>
      </c>
      <c r="AA22" s="23">
        <v>492.30000000000013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2087.1536434326281</v>
      </c>
      <c r="E23" s="23">
        <v>2039.0954833744988</v>
      </c>
      <c r="F23" s="23">
        <v>2020.9840841420048</v>
      </c>
      <c r="G23" s="23">
        <v>2165.2417913265067</v>
      </c>
      <c r="H23" s="23">
        <v>2246.6468775826147</v>
      </c>
      <c r="I23" s="23">
        <v>2491.5841050726299</v>
      </c>
      <c r="J23" s="23">
        <v>2874.6140080835303</v>
      </c>
      <c r="K23" s="23">
        <v>3477.1864793184454</v>
      </c>
      <c r="L23" s="23">
        <v>3736.9781348456208</v>
      </c>
      <c r="M23" s="23">
        <v>3279.8562294716357</v>
      </c>
      <c r="N23" s="23">
        <v>2691.9476057723846</v>
      </c>
      <c r="O23" s="23">
        <v>2487.1794808442837</v>
      </c>
      <c r="P23" s="23">
        <v>2384.4135609618447</v>
      </c>
      <c r="Q23" s="23">
        <v>2159.7362049855915</v>
      </c>
      <c r="R23" s="23">
        <v>2420.897874741775</v>
      </c>
      <c r="S23" s="23">
        <v>2334.4563969999999</v>
      </c>
      <c r="T23" s="23">
        <v>2316.4017596498525</v>
      </c>
      <c r="U23" s="23">
        <v>2528.683908877591</v>
      </c>
      <c r="V23" s="23">
        <v>2825.4275882796328</v>
      </c>
      <c r="W23" s="23">
        <v>3062.6229779907871</v>
      </c>
      <c r="X23" s="23">
        <v>2988.4162264531633</v>
      </c>
      <c r="Y23" s="23">
        <v>3291.5505237848374</v>
      </c>
      <c r="Z23" s="23">
        <v>3757.4197009129939</v>
      </c>
      <c r="AA23" s="23">
        <v>3947.1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3426.2040781930314</v>
      </c>
      <c r="E24" s="23">
        <v>3660.6383236728761</v>
      </c>
      <c r="F24" s="23">
        <v>3911.8612090892657</v>
      </c>
      <c r="G24" s="23">
        <v>4139.6449919777269</v>
      </c>
      <c r="H24" s="23">
        <v>4246.3652780202774</v>
      </c>
      <c r="I24" s="23">
        <v>4552.2458232140398</v>
      </c>
      <c r="J24" s="23">
        <v>4825.3462052318409</v>
      </c>
      <c r="K24" s="23">
        <v>5351.4656765212121</v>
      </c>
      <c r="L24" s="23">
        <v>5706.041713925646</v>
      </c>
      <c r="M24" s="23">
        <v>5289.7299207250317</v>
      </c>
      <c r="N24" s="23">
        <v>5187.7208920957701</v>
      </c>
      <c r="O24" s="23">
        <v>5156.2561622008652</v>
      </c>
      <c r="P24" s="23">
        <v>4891.3966954225707</v>
      </c>
      <c r="Q24" s="23">
        <v>4976.5272172178238</v>
      </c>
      <c r="R24" s="23">
        <v>5045.2561827984082</v>
      </c>
      <c r="S24" s="23">
        <v>5238.0719520000002</v>
      </c>
      <c r="T24" s="23">
        <v>5430.0332174756895</v>
      </c>
      <c r="U24" s="23">
        <v>5752.3725224872896</v>
      </c>
      <c r="V24" s="23">
        <v>6080.9025284088211</v>
      </c>
      <c r="W24" s="23">
        <v>6195.1349653343268</v>
      </c>
      <c r="X24" s="23">
        <v>5957.4501082191528</v>
      </c>
      <c r="Y24" s="23">
        <v>6562.0721920306069</v>
      </c>
      <c r="Z24" s="23">
        <v>6387.6134915520906</v>
      </c>
      <c r="AA24" s="23">
        <v>6580.9000000000005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1697.3185548845108</v>
      </c>
      <c r="E25" s="23">
        <v>1737.1905695739056</v>
      </c>
      <c r="F25" s="23">
        <v>1779.677334699536</v>
      </c>
      <c r="G25" s="23">
        <v>1831.7054869991978</v>
      </c>
      <c r="H25" s="23">
        <v>1978.0580077056491</v>
      </c>
      <c r="I25" s="23">
        <v>2044.9779704898501</v>
      </c>
      <c r="J25" s="23">
        <v>2270.5316997866848</v>
      </c>
      <c r="K25" s="23">
        <v>2516.1615477878695</v>
      </c>
      <c r="L25" s="23">
        <v>2595.1656584751104</v>
      </c>
      <c r="M25" s="23">
        <v>2315.4779773731807</v>
      </c>
      <c r="N25" s="23">
        <v>2408.3122355690393</v>
      </c>
      <c r="O25" s="23">
        <v>2484.4986083238373</v>
      </c>
      <c r="P25" s="23">
        <v>2477.3788986757504</v>
      </c>
      <c r="Q25" s="23">
        <v>2472.995722749532</v>
      </c>
      <c r="R25" s="23">
        <v>2635.4756325893086</v>
      </c>
      <c r="S25" s="23">
        <v>2824.5287500000004</v>
      </c>
      <c r="T25" s="23">
        <v>2975.6924246925319</v>
      </c>
      <c r="U25" s="23">
        <v>3187.6908007430588</v>
      </c>
      <c r="V25" s="23">
        <v>3291.6187016382182</v>
      </c>
      <c r="W25" s="23">
        <v>3327.4590293611282</v>
      </c>
      <c r="X25" s="23">
        <v>2974.1537464003377</v>
      </c>
      <c r="Y25" s="23">
        <v>3267.7891050966232</v>
      </c>
      <c r="Z25" s="23">
        <v>3563.9871118103388</v>
      </c>
      <c r="AA25" s="23">
        <v>3384.2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745.89691518022448</v>
      </c>
      <c r="E26" s="23">
        <v>776.70400774491429</v>
      </c>
      <c r="F26" s="23">
        <v>767.98356578868072</v>
      </c>
      <c r="G26" s="23">
        <v>784.05337171440715</v>
      </c>
      <c r="H26" s="23">
        <v>792.7703739916891</v>
      </c>
      <c r="I26" s="23">
        <v>842.65883013334553</v>
      </c>
      <c r="J26" s="23">
        <v>930.00023352419464</v>
      </c>
      <c r="K26" s="23">
        <v>1003.7595332171429</v>
      </c>
      <c r="L26" s="23">
        <v>1011.0999369880277</v>
      </c>
      <c r="M26" s="23">
        <v>942.81886683427285</v>
      </c>
      <c r="N26" s="23">
        <v>937.27730403410965</v>
      </c>
      <c r="O26" s="23">
        <v>959.35023144179684</v>
      </c>
      <c r="P26" s="23">
        <v>925.36679096204625</v>
      </c>
      <c r="Q26" s="23">
        <v>932.14461036213061</v>
      </c>
      <c r="R26" s="23">
        <v>956.62568448632055</v>
      </c>
      <c r="S26" s="23">
        <v>979.48011100000008</v>
      </c>
      <c r="T26" s="23">
        <v>1074.1607341611709</v>
      </c>
      <c r="U26" s="23">
        <v>1151.9300117324992</v>
      </c>
      <c r="V26" s="23">
        <v>1238.6530479252738</v>
      </c>
      <c r="W26" s="23">
        <v>1321.458914894607</v>
      </c>
      <c r="X26" s="23">
        <v>765.54166437388801</v>
      </c>
      <c r="Y26" s="23">
        <v>984.19796206582168</v>
      </c>
      <c r="Z26" s="23">
        <v>1378.1654853259915</v>
      </c>
      <c r="AA26" s="23">
        <v>1392.5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1208.8791187323638</v>
      </c>
      <c r="E27" s="23">
        <v>1299.3459568816791</v>
      </c>
      <c r="F27" s="23">
        <v>1242.9060128985595</v>
      </c>
      <c r="G27" s="23">
        <v>1315.6415577367752</v>
      </c>
      <c r="H27" s="23">
        <v>1399.4160875790062</v>
      </c>
      <c r="I27" s="23">
        <v>1528.7847225404389</v>
      </c>
      <c r="J27" s="23">
        <v>1638.0957258336143</v>
      </c>
      <c r="K27" s="23">
        <v>1751.5431189581823</v>
      </c>
      <c r="L27" s="23">
        <v>1808.1443604284816</v>
      </c>
      <c r="M27" s="23">
        <v>1647.27178034143</v>
      </c>
      <c r="N27" s="23">
        <v>1738.8673704493281</v>
      </c>
      <c r="O27" s="23">
        <v>1744.4437490545681</v>
      </c>
      <c r="P27" s="23">
        <v>1779.870954185395</v>
      </c>
      <c r="Q27" s="23">
        <v>1738.1282691493866</v>
      </c>
      <c r="R27" s="23">
        <v>1829.0008011286343</v>
      </c>
      <c r="S27" s="23">
        <v>1765.1643200000001</v>
      </c>
      <c r="T27" s="23">
        <v>1785.0469154140178</v>
      </c>
      <c r="U27" s="23">
        <v>1889.4303294876811</v>
      </c>
      <c r="V27" s="23">
        <v>1914.3511578204163</v>
      </c>
      <c r="W27" s="23">
        <v>2129.0789893443771</v>
      </c>
      <c r="X27" s="23">
        <v>2189.2297373392767</v>
      </c>
      <c r="Y27" s="23">
        <v>2401.3289726309017</v>
      </c>
      <c r="Z27" s="23">
        <v>2457.3391365473612</v>
      </c>
      <c r="AA27" s="23">
        <v>2482.8000000000002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1525.9065220444593</v>
      </c>
      <c r="E28" s="23">
        <v>1434.4607789596496</v>
      </c>
      <c r="F28" s="23">
        <v>1489.9810511723224</v>
      </c>
      <c r="G28" s="23">
        <v>1633.3399839554529</v>
      </c>
      <c r="H28" s="23">
        <v>1681.9294956408376</v>
      </c>
      <c r="I28" s="23">
        <v>1753.3820796865691</v>
      </c>
      <c r="J28" s="23">
        <v>1994.6057640058382</v>
      </c>
      <c r="K28" s="23">
        <v>2041.7643028026459</v>
      </c>
      <c r="L28" s="23">
        <v>2182.0206679269063</v>
      </c>
      <c r="M28" s="23">
        <v>2237.5946981063216</v>
      </c>
      <c r="N28" s="23">
        <v>2298.509109544113</v>
      </c>
      <c r="O28" s="23">
        <v>2194.4282016115208</v>
      </c>
      <c r="P28" s="23">
        <v>1790.1855521738255</v>
      </c>
      <c r="Q28" s="23">
        <v>1662.4584839691274</v>
      </c>
      <c r="R28" s="23">
        <v>1724.6586829243715</v>
      </c>
      <c r="S28" s="23">
        <v>1791.4822820000002</v>
      </c>
      <c r="T28" s="23">
        <v>1743.1913691006675</v>
      </c>
      <c r="U28" s="23">
        <v>1811.7166396167383</v>
      </c>
      <c r="V28" s="23">
        <v>1903.5714394756178</v>
      </c>
      <c r="W28" s="23">
        <v>1946.1305914103577</v>
      </c>
      <c r="X28" s="23">
        <v>1943.5981364295019</v>
      </c>
      <c r="Y28" s="23">
        <v>2291.5512182913531</v>
      </c>
      <c r="Z28" s="23">
        <v>2321.7472296375645</v>
      </c>
      <c r="AA28" s="23">
        <v>2809.9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2568.2953395727727</v>
      </c>
      <c r="E29" s="23">
        <v>2551.3439846591123</v>
      </c>
      <c r="F29" s="23">
        <v>2575.2205026821771</v>
      </c>
      <c r="G29" s="23">
        <v>2583.1422384502857</v>
      </c>
      <c r="H29" s="23">
        <v>2729.5189184155702</v>
      </c>
      <c r="I29" s="23">
        <v>2874.6939020757918</v>
      </c>
      <c r="J29" s="23">
        <v>3019.6653923880099</v>
      </c>
      <c r="K29" s="23">
        <v>3184.950869805255</v>
      </c>
      <c r="L29" s="23">
        <v>3355.1382482671706</v>
      </c>
      <c r="M29" s="23">
        <v>3284.5723449981756</v>
      </c>
      <c r="N29" s="23">
        <v>3349.4040402591017</v>
      </c>
      <c r="O29" s="23">
        <v>3315.5690896622664</v>
      </c>
      <c r="P29" s="23">
        <v>3306.1635448370384</v>
      </c>
      <c r="Q29" s="23">
        <v>3346.21165084739</v>
      </c>
      <c r="R29" s="23">
        <v>3381.9437003073517</v>
      </c>
      <c r="S29" s="23">
        <v>3456.9573520000004</v>
      </c>
      <c r="T29" s="23">
        <v>3526.5272087220014</v>
      </c>
      <c r="U29" s="23">
        <v>3594.5830465389131</v>
      </c>
      <c r="V29" s="23">
        <v>3677.7862588136518</v>
      </c>
      <c r="W29" s="23">
        <v>3731.2072179051697</v>
      </c>
      <c r="X29" s="23">
        <v>3728.2366661164001</v>
      </c>
      <c r="Y29" s="23">
        <v>3883.685077495129</v>
      </c>
      <c r="Z29" s="23">
        <v>4208.6882540984298</v>
      </c>
      <c r="AA29" s="23">
        <v>4098.8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1534.0528364764616</v>
      </c>
      <c r="E30" s="23">
        <v>1635.0708200424481</v>
      </c>
      <c r="F30" s="23">
        <v>2016.3374070279069</v>
      </c>
      <c r="G30" s="23">
        <v>2136.231816573074</v>
      </c>
      <c r="H30" s="23">
        <v>2206.8845852102759</v>
      </c>
      <c r="I30" s="23">
        <v>2277.0365279750722</v>
      </c>
      <c r="J30" s="23">
        <v>2475.7227012462108</v>
      </c>
      <c r="K30" s="23">
        <v>2686.0927416997743</v>
      </c>
      <c r="L30" s="23">
        <v>2956.5473850031512</v>
      </c>
      <c r="M30" s="23">
        <v>2795.982776448644</v>
      </c>
      <c r="N30" s="23">
        <v>2894.9335335355859</v>
      </c>
      <c r="O30" s="23">
        <v>2887.8358790250195</v>
      </c>
      <c r="P30" s="23">
        <v>2818.6983230201758</v>
      </c>
      <c r="Q30" s="23">
        <v>2878.2643421397347</v>
      </c>
      <c r="R30" s="23">
        <v>3014.5362160528048</v>
      </c>
      <c r="S30" s="23">
        <v>3061.1245700000004</v>
      </c>
      <c r="T30" s="23">
        <v>3069.538350860515</v>
      </c>
      <c r="U30" s="23">
        <v>3279.699650958155</v>
      </c>
      <c r="V30" s="23">
        <v>3453.6949374576611</v>
      </c>
      <c r="W30" s="23">
        <v>3599.9643171560192</v>
      </c>
      <c r="X30" s="23">
        <v>3458.468560501844</v>
      </c>
      <c r="Y30" s="23">
        <v>3820.4797037844796</v>
      </c>
      <c r="Z30" s="23">
        <v>4040.1716511711593</v>
      </c>
      <c r="AA30" s="23">
        <v>3977.2000000000003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780.0096068642348</v>
      </c>
      <c r="E31" s="23">
        <v>818.11282379078796</v>
      </c>
      <c r="F31" s="23">
        <v>846.17592550177812</v>
      </c>
      <c r="G31" s="23">
        <v>907.30656174791193</v>
      </c>
      <c r="H31" s="23">
        <v>1007.6724133114502</v>
      </c>
      <c r="I31" s="23">
        <v>922.6002623379004</v>
      </c>
      <c r="J31" s="23">
        <v>985.96141574042906</v>
      </c>
      <c r="K31" s="23">
        <v>1156.1364463015686</v>
      </c>
      <c r="L31" s="23">
        <v>1130.4163201008191</v>
      </c>
      <c r="M31" s="23">
        <v>1029.1911540489032</v>
      </c>
      <c r="N31" s="23">
        <v>1132.7704626516893</v>
      </c>
      <c r="O31" s="23">
        <v>1120.2025826685897</v>
      </c>
      <c r="P31" s="23">
        <v>1104.3317638522162</v>
      </c>
      <c r="Q31" s="23">
        <v>1077.0555972029101</v>
      </c>
      <c r="R31" s="23">
        <v>1225.9864029828186</v>
      </c>
      <c r="S31" s="23">
        <v>1306.0620940000001</v>
      </c>
      <c r="T31" s="23">
        <v>1392.5524528152416</v>
      </c>
      <c r="U31" s="23">
        <v>1552.4544133750489</v>
      </c>
      <c r="V31" s="23">
        <v>1635.8539638771483</v>
      </c>
      <c r="W31" s="23">
        <v>1584.1921111162815</v>
      </c>
      <c r="X31" s="23">
        <v>1293.7410324840882</v>
      </c>
      <c r="Y31" s="23">
        <v>1448.2584690466401</v>
      </c>
      <c r="Z31" s="23">
        <v>1617.5369239395134</v>
      </c>
      <c r="AA31" s="23">
        <v>1633.6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1851.2499546725617</v>
      </c>
      <c r="E32" s="23">
        <v>1997.6866673286231</v>
      </c>
      <c r="F32" s="23">
        <v>2087.6398661925086</v>
      </c>
      <c r="G32" s="23">
        <v>2238.0019442216076</v>
      </c>
      <c r="H32" s="23">
        <v>2314.1035292337397</v>
      </c>
      <c r="I32" s="23">
        <v>2392.7612679283366</v>
      </c>
      <c r="J32" s="23">
        <v>2478.1103783541084</v>
      </c>
      <c r="K32" s="23">
        <v>2513.5715719280784</v>
      </c>
      <c r="L32" s="23">
        <v>2647.4781348456199</v>
      </c>
      <c r="M32" s="23">
        <v>2727.396982076968</v>
      </c>
      <c r="N32" s="23">
        <v>2838.3971845277119</v>
      </c>
      <c r="O32" s="23">
        <v>2792.5308609231515</v>
      </c>
      <c r="P32" s="23">
        <v>2734.3061576602886</v>
      </c>
      <c r="Q32" s="23">
        <v>2618.0406384136395</v>
      </c>
      <c r="R32" s="23">
        <v>2591.0063344586083</v>
      </c>
      <c r="S32" s="23">
        <v>2592.3192570000042</v>
      </c>
      <c r="T32" s="23">
        <v>2747.9877230507218</v>
      </c>
      <c r="U32" s="23">
        <v>2838.8888883457225</v>
      </c>
      <c r="V32" s="23">
        <v>2899.1101336717306</v>
      </c>
      <c r="W32" s="23">
        <v>3038.0072030152137</v>
      </c>
      <c r="X32" s="23">
        <v>3194.5517287551056</v>
      </c>
      <c r="Y32" s="23">
        <v>3396.9324156670627</v>
      </c>
      <c r="Z32" s="23">
        <v>3362.2121166221696</v>
      </c>
      <c r="AA32" s="23">
        <v>3299.8999999999869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1802.5417829645423</v>
      </c>
      <c r="E33" s="23">
        <v>1933.5112512256576</v>
      </c>
      <c r="F33" s="23">
        <v>1990.2198770417697</v>
      </c>
      <c r="G33" s="23">
        <v>2047.7905962436887</v>
      </c>
      <c r="H33" s="23">
        <v>2160.4694579273905</v>
      </c>
      <c r="I33" s="23">
        <v>2261.2005109288366</v>
      </c>
      <c r="J33" s="23">
        <v>2336.9389693499497</v>
      </c>
      <c r="K33" s="23">
        <v>2347.3814542580949</v>
      </c>
      <c r="L33" s="23">
        <v>2396.6253938248269</v>
      </c>
      <c r="M33" s="23">
        <v>2450.8978660638259</v>
      </c>
      <c r="N33" s="23">
        <v>2575.3328714332574</v>
      </c>
      <c r="O33" s="23">
        <v>2581.8142808160464</v>
      </c>
      <c r="P33" s="23">
        <v>2514.6186160885254</v>
      </c>
      <c r="Q33" s="23">
        <v>2427.8617092880322</v>
      </c>
      <c r="R33" s="23">
        <v>2406.8337894895958</v>
      </c>
      <c r="S33" s="23">
        <v>2409.5556320000001</v>
      </c>
      <c r="T33" s="23">
        <v>2498.1706573188362</v>
      </c>
      <c r="U33" s="23">
        <v>2585.734594251076</v>
      </c>
      <c r="V33" s="23">
        <v>2640.7773540440235</v>
      </c>
      <c r="W33" s="23">
        <v>2767.4810730073059</v>
      </c>
      <c r="X33" s="23">
        <v>2854.3245336488199</v>
      </c>
      <c r="Y33" s="23">
        <v>3152.3086102719039</v>
      </c>
      <c r="Z33" s="23">
        <v>2977.5715800396665</v>
      </c>
      <c r="AA33" s="23">
        <v>2956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1641.6520729324941</v>
      </c>
      <c r="E34" s="23">
        <v>1724.3224912807657</v>
      </c>
      <c r="F34" s="23">
        <v>1738.4981616539089</v>
      </c>
      <c r="G34" s="23">
        <v>1764.4337077061018</v>
      </c>
      <c r="H34" s="23">
        <v>1791.6239131193911</v>
      </c>
      <c r="I34" s="23">
        <v>1862.8637744581406</v>
      </c>
      <c r="J34" s="23">
        <v>1876.1172875266648</v>
      </c>
      <c r="K34" s="23">
        <v>1919.3159996535937</v>
      </c>
      <c r="L34" s="23">
        <v>2060.3701323251416</v>
      </c>
      <c r="M34" s="23">
        <v>2183.2919964721627</v>
      </c>
      <c r="N34" s="23">
        <v>2257.6394596589048</v>
      </c>
      <c r="O34" s="23">
        <v>2259.0372293542823</v>
      </c>
      <c r="P34" s="23">
        <v>2280.195934533288</v>
      </c>
      <c r="Q34" s="23">
        <v>2236.4774207524742</v>
      </c>
      <c r="R34" s="23">
        <v>2219.0447654557365</v>
      </c>
      <c r="S34" s="23">
        <v>2258.5596480000004</v>
      </c>
      <c r="T34" s="23">
        <v>2397.6120491949378</v>
      </c>
      <c r="U34" s="23">
        <v>2491.646447985921</v>
      </c>
      <c r="V34" s="23">
        <v>2608.6918394412696</v>
      </c>
      <c r="W34" s="23">
        <v>2733.4642985435767</v>
      </c>
      <c r="X34" s="23">
        <v>3146.0349162677235</v>
      </c>
      <c r="Y34" s="23">
        <v>3410.595231412789</v>
      </c>
      <c r="Z34" s="23">
        <v>3175.8983807124864</v>
      </c>
      <c r="AA34" s="23">
        <v>3175.5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495.39774639614905</v>
      </c>
      <c r="E35" s="23">
        <v>512.41347664734576</v>
      </c>
      <c r="F35" s="23">
        <v>508.09010788981988</v>
      </c>
      <c r="G35" s="23">
        <v>517.63203600585155</v>
      </c>
      <c r="H35" s="23">
        <v>592.25702412962255</v>
      </c>
      <c r="I35" s="23">
        <v>647.9062743435826</v>
      </c>
      <c r="J35" s="23">
        <v>658.70042213989007</v>
      </c>
      <c r="K35" s="23">
        <v>653.53724195416612</v>
      </c>
      <c r="L35" s="23">
        <v>665.37076244486457</v>
      </c>
      <c r="M35" s="23">
        <v>653.38411966262527</v>
      </c>
      <c r="N35" s="23">
        <v>684.83909990980658</v>
      </c>
      <c r="O35" s="23">
        <v>661.90742529825241</v>
      </c>
      <c r="P35" s="23">
        <v>642.3181474613508</v>
      </c>
      <c r="Q35" s="23">
        <v>632.01011728432388</v>
      </c>
      <c r="R35" s="23">
        <v>620.5610187937724</v>
      </c>
      <c r="S35" s="23">
        <v>606.64231600000005</v>
      </c>
      <c r="T35" s="23">
        <v>648.23448299764311</v>
      </c>
      <c r="U35" s="23">
        <v>659.52671587798216</v>
      </c>
      <c r="V35" s="23">
        <v>666.56705435601896</v>
      </c>
      <c r="W35" s="23">
        <v>682.93313386999228</v>
      </c>
      <c r="X35" s="23">
        <v>530.759300427374</v>
      </c>
      <c r="Y35" s="23">
        <v>568.01671374175453</v>
      </c>
      <c r="Z35" s="23">
        <v>693.4207938274601</v>
      </c>
      <c r="AA35" s="23">
        <v>673.00000000000011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532.56530599216035</v>
      </c>
      <c r="E36" s="23">
        <v>510.76372302002017</v>
      </c>
      <c r="F36" s="23">
        <v>469.47461876921227</v>
      </c>
      <c r="G36" s="23">
        <v>463.0619213345289</v>
      </c>
      <c r="H36" s="23">
        <v>449.60786628022032</v>
      </c>
      <c r="I36" s="23">
        <v>462.74669041836592</v>
      </c>
      <c r="J36" s="23">
        <v>461.12014146177171</v>
      </c>
      <c r="K36" s="23">
        <v>476.55555820171691</v>
      </c>
      <c r="L36" s="23">
        <v>484.95450535601765</v>
      </c>
      <c r="M36" s="23">
        <v>479.96581444385873</v>
      </c>
      <c r="N36" s="23">
        <v>461.41834720400135</v>
      </c>
      <c r="O36" s="23">
        <v>485.37196982684731</v>
      </c>
      <c r="P36" s="23">
        <v>466.96998165803319</v>
      </c>
      <c r="Q36" s="23">
        <v>467.54552223767217</v>
      </c>
      <c r="R36" s="23">
        <v>466.25791202700668</v>
      </c>
      <c r="S36" s="23">
        <v>467.87488000000002</v>
      </c>
      <c r="T36" s="23">
        <v>491.07875250034658</v>
      </c>
      <c r="U36" s="23">
        <v>511.37687231130235</v>
      </c>
      <c r="V36" s="23">
        <v>527.06481695274272</v>
      </c>
      <c r="W36" s="23">
        <v>571.11071890558844</v>
      </c>
      <c r="X36" s="23">
        <v>500.64962031585321</v>
      </c>
      <c r="Y36" s="23">
        <v>538.67136166181024</v>
      </c>
      <c r="Z36" s="23">
        <v>577.73942944174337</v>
      </c>
      <c r="AA36" s="23">
        <v>557.9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26.814951672008071</v>
      </c>
      <c r="E37" s="23">
        <v>28.705713115466246</v>
      </c>
      <c r="F37" s="23">
        <v>28.200523175215483</v>
      </c>
      <c r="G37" s="23">
        <v>26.50100396394696</v>
      </c>
      <c r="H37" s="23">
        <v>28.932096006332138</v>
      </c>
      <c r="I37" s="23">
        <v>28.626646198964398</v>
      </c>
      <c r="J37" s="23">
        <v>28.950584933198609</v>
      </c>
      <c r="K37" s="23">
        <v>30.072497483139745</v>
      </c>
      <c r="L37" s="23">
        <v>31.579710144927539</v>
      </c>
      <c r="M37" s="23">
        <v>32.743316369976888</v>
      </c>
      <c r="N37" s="23">
        <v>35.420363233847169</v>
      </c>
      <c r="O37" s="23">
        <v>35.789648147961394</v>
      </c>
      <c r="P37" s="23">
        <v>36.569938322617055</v>
      </c>
      <c r="Q37" s="23">
        <v>36.830426415170393</v>
      </c>
      <c r="R37" s="23">
        <v>37.772114677281202</v>
      </c>
      <c r="S37" s="23">
        <v>37.748995999999998</v>
      </c>
      <c r="T37" s="23">
        <v>37.775288653872813</v>
      </c>
      <c r="U37" s="23">
        <v>37.947152913570591</v>
      </c>
      <c r="V37" s="23">
        <v>38.806986041275088</v>
      </c>
      <c r="W37" s="23">
        <v>38.840971569494208</v>
      </c>
      <c r="X37" s="23">
        <v>40.227507841303037</v>
      </c>
      <c r="Y37" s="23">
        <v>41.582482704374414</v>
      </c>
      <c r="Z37" s="23">
        <v>42.49065499552291</v>
      </c>
      <c r="AA37" s="23">
        <v>42.5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32170.135121745683</v>
      </c>
      <c r="E39" s="30">
        <f t="shared" ref="E39:S39" si="3">SUM(E18:E38)</f>
        <v>33273.221008080029</v>
      </c>
      <c r="F39" s="30">
        <f t="shared" si="3"/>
        <v>34476.421423663422</v>
      </c>
      <c r="G39" s="30">
        <f t="shared" si="3"/>
        <v>35645.261627577747</v>
      </c>
      <c r="H39" s="30">
        <f t="shared" si="3"/>
        <v>37269.954754338796</v>
      </c>
      <c r="I39" s="30">
        <f t="shared" si="3"/>
        <v>38645.058752233897</v>
      </c>
      <c r="J39" s="30">
        <f t="shared" si="3"/>
        <v>41022.829620523196</v>
      </c>
      <c r="K39" s="30">
        <f t="shared" si="3"/>
        <v>44035.9206685647</v>
      </c>
      <c r="L39" s="30">
        <f t="shared" si="3"/>
        <v>45361.78216761184</v>
      </c>
      <c r="M39" s="30">
        <f t="shared" si="3"/>
        <v>42141.052406633964</v>
      </c>
      <c r="N39" s="30">
        <f t="shared" si="3"/>
        <v>42636.444849745822</v>
      </c>
      <c r="O39" s="30">
        <f t="shared" si="3"/>
        <v>42774.929587236926</v>
      </c>
      <c r="P39" s="30">
        <f t="shared" si="3"/>
        <v>41678.745310704857</v>
      </c>
      <c r="Q39" s="30">
        <f t="shared" si="3"/>
        <v>41484.854812284626</v>
      </c>
      <c r="R39" s="30">
        <f t="shared" si="3"/>
        <v>42929.347767420775</v>
      </c>
      <c r="S39" s="30">
        <f t="shared" si="3"/>
        <v>43941.027615000021</v>
      </c>
      <c r="T39" s="30">
        <f t="shared" ref="T39:Y39" si="4">SUM(T18:T38)</f>
        <v>45328.372066425043</v>
      </c>
      <c r="U39" s="30">
        <f t="shared" si="4"/>
        <v>47810.55363903012</v>
      </c>
      <c r="V39" s="30">
        <f t="shared" si="4"/>
        <v>49910.603217280957</v>
      </c>
      <c r="W39" s="30">
        <f t="shared" si="4"/>
        <v>51731.597328183896</v>
      </c>
      <c r="X39" s="30">
        <f t="shared" si="4"/>
        <v>50149.31789651313</v>
      </c>
      <c r="Y39" s="30">
        <f t="shared" si="4"/>
        <v>54104.156317595945</v>
      </c>
      <c r="Z39" s="30">
        <f t="shared" ref="Z39:AA39" si="5">SUM(Z18:Z38)</f>
        <v>55542.849860665963</v>
      </c>
      <c r="AA39" s="30">
        <f t="shared" si="5"/>
        <v>56995.099999999991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849.93213907225584</v>
      </c>
      <c r="E41" s="19">
        <v>867.2754818850924</v>
      </c>
      <c r="F41" s="19">
        <v>862.03871978783684</v>
      </c>
      <c r="G41" s="19">
        <v>851.95239370487468</v>
      </c>
      <c r="H41" s="19">
        <v>774.04960598759192</v>
      </c>
      <c r="I41" s="19">
        <v>715.66615497410987</v>
      </c>
      <c r="J41" s="19">
        <v>711.82623779050198</v>
      </c>
      <c r="K41" s="19">
        <v>718.71830109226335</v>
      </c>
      <c r="L41" s="19">
        <v>642.02923755513552</v>
      </c>
      <c r="M41" s="19">
        <v>687.07065913791007</v>
      </c>
      <c r="N41" s="19">
        <v>627.0766614053789</v>
      </c>
      <c r="O41" s="19">
        <v>614.59002531237081</v>
      </c>
      <c r="P41" s="19">
        <v>604.2746951403866</v>
      </c>
      <c r="Q41" s="19">
        <v>622.09938435805987</v>
      </c>
      <c r="R41" s="19">
        <v>663.69088023378856</v>
      </c>
      <c r="S41" s="19">
        <v>689.71669099999997</v>
      </c>
      <c r="T41" s="19">
        <v>716.94075713465236</v>
      </c>
      <c r="U41" s="19">
        <v>733.86154966757931</v>
      </c>
      <c r="V41" s="19">
        <v>798.46007881002595</v>
      </c>
      <c r="W41" s="19">
        <v>823.82442883067336</v>
      </c>
      <c r="X41" s="19">
        <v>814.30227993910387</v>
      </c>
      <c r="Y41" s="19">
        <v>828.67947675146149</v>
      </c>
      <c r="Z41" s="19">
        <v>805.76519577897363</v>
      </c>
      <c r="AA41" s="19">
        <v>843.8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763.54726311622983</v>
      </c>
      <c r="E42" s="23">
        <v>790.89188893991479</v>
      </c>
      <c r="F42" s="23">
        <v>711.74274968356337</v>
      </c>
      <c r="G42" s="23">
        <v>635.39685243735551</v>
      </c>
      <c r="H42" s="23">
        <v>610.35892376994798</v>
      </c>
      <c r="I42" s="23">
        <v>594.30744741786191</v>
      </c>
      <c r="J42" s="23">
        <v>563.7902571011565</v>
      </c>
      <c r="K42" s="23">
        <v>563.31974950474694</v>
      </c>
      <c r="L42" s="23">
        <v>502.25469439193449</v>
      </c>
      <c r="M42" s="23">
        <v>390.49436559750217</v>
      </c>
      <c r="N42" s="23">
        <v>334.17750389471962</v>
      </c>
      <c r="O42" s="23">
        <v>355.61773983723441</v>
      </c>
      <c r="P42" s="23">
        <v>335.29141253300548</v>
      </c>
      <c r="Q42" s="23">
        <v>308.9737954174476</v>
      </c>
      <c r="R42" s="23">
        <v>338.07382072857365</v>
      </c>
      <c r="S42" s="23">
        <v>312.89132600000005</v>
      </c>
      <c r="T42" s="23">
        <v>329.57952191392866</v>
      </c>
      <c r="U42" s="23">
        <v>349.84156042236998</v>
      </c>
      <c r="V42" s="23">
        <v>349.00923393983345</v>
      </c>
      <c r="W42" s="23">
        <v>337.19900795681917</v>
      </c>
      <c r="X42" s="23">
        <v>288.41904106825143</v>
      </c>
      <c r="Y42" s="23">
        <v>297.73057616332079</v>
      </c>
      <c r="Z42" s="23">
        <v>290.87189218139372</v>
      </c>
      <c r="AA42" s="23">
        <v>297.60000000000002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801.56339713224122</v>
      </c>
      <c r="E43" s="23">
        <v>836.75503977956782</v>
      </c>
      <c r="F43" s="23">
        <v>867.96723886444465</v>
      </c>
      <c r="G43" s="23">
        <v>804.12513803029594</v>
      </c>
      <c r="H43" s="23">
        <v>826.9628510900817</v>
      </c>
      <c r="I43" s="23">
        <v>808.7027551207442</v>
      </c>
      <c r="J43" s="23">
        <v>820.61477601886168</v>
      </c>
      <c r="K43" s="23">
        <v>891.81502105502454</v>
      </c>
      <c r="L43" s="23">
        <v>789.49275362318849</v>
      </c>
      <c r="M43" s="23">
        <v>734.5013067191112</v>
      </c>
      <c r="N43" s="23">
        <v>658.41005965070519</v>
      </c>
      <c r="O43" s="23">
        <v>690.99489214509742</v>
      </c>
      <c r="P43" s="23">
        <v>690.27433031665089</v>
      </c>
      <c r="Q43" s="23">
        <v>689.33165366866194</v>
      </c>
      <c r="R43" s="23">
        <v>774.46229455333321</v>
      </c>
      <c r="S43" s="23">
        <v>758.037057</v>
      </c>
      <c r="T43" s="23">
        <v>778.53948567128111</v>
      </c>
      <c r="U43" s="23">
        <v>798.96950723504108</v>
      </c>
      <c r="V43" s="23">
        <v>798.8405394574894</v>
      </c>
      <c r="W43" s="23">
        <v>844.35819087059701</v>
      </c>
      <c r="X43" s="23">
        <v>826.00482767475569</v>
      </c>
      <c r="Y43" s="23">
        <v>818.46206671552943</v>
      </c>
      <c r="Z43" s="23">
        <v>925.7846113291547</v>
      </c>
      <c r="AA43" s="23">
        <v>874.1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3.0548679120009194</v>
      </c>
      <c r="E44" s="23">
        <v>5.2792116074420683</v>
      </c>
      <c r="F44" s="23">
        <v>12.818419625097945</v>
      </c>
      <c r="G44" s="23">
        <v>5.0179415789722057</v>
      </c>
      <c r="H44" s="23">
        <v>0.92830254565771564</v>
      </c>
      <c r="I44" s="23">
        <v>1.6749633414287679</v>
      </c>
      <c r="J44" s="23">
        <v>3.4322858425957117</v>
      </c>
      <c r="K44" s="23">
        <v>2.8777509553243776</v>
      </c>
      <c r="L44" s="23">
        <v>2.8833648393194711</v>
      </c>
      <c r="M44" s="23">
        <v>2.4254308422205102</v>
      </c>
      <c r="N44" s="23">
        <v>1.0898573302722205</v>
      </c>
      <c r="O44" s="23">
        <v>0.804261756133964</v>
      </c>
      <c r="P44" s="23">
        <v>0.66977909015782155</v>
      </c>
      <c r="Q44" s="23">
        <v>0.80357293996735402</v>
      </c>
      <c r="R44" s="23">
        <v>1.0715493525469846</v>
      </c>
      <c r="S44" s="23">
        <v>1.5950280000000001</v>
      </c>
      <c r="T44" s="23">
        <v>0.13162121482185649</v>
      </c>
      <c r="U44" s="23">
        <v>0.38986800938599925</v>
      </c>
      <c r="V44" s="23">
        <v>1.2682021582116041</v>
      </c>
      <c r="W44" s="23">
        <v>0.24739472337257459</v>
      </c>
      <c r="X44" s="23">
        <v>0.60950769456519749</v>
      </c>
      <c r="Y44" s="23">
        <v>0.23761418688213951</v>
      </c>
      <c r="Z44" s="23">
        <v>0.55616040570056158</v>
      </c>
      <c r="AA44" s="23">
        <v>0.9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388.98651412811705</v>
      </c>
      <c r="E45" s="23">
        <v>407.81909667489975</v>
      </c>
      <c r="F45" s="23">
        <v>421.40554517509497</v>
      </c>
      <c r="G45" s="23">
        <v>443.30377636732578</v>
      </c>
      <c r="H45" s="23">
        <v>463.99655573791483</v>
      </c>
      <c r="I45" s="23">
        <v>447.06294276680569</v>
      </c>
      <c r="J45" s="23">
        <v>464.25396766588085</v>
      </c>
      <c r="K45" s="23">
        <v>474.10946988969124</v>
      </c>
      <c r="L45" s="23">
        <v>422.34429741650922</v>
      </c>
      <c r="M45" s="23">
        <v>401.81304286119786</v>
      </c>
      <c r="N45" s="23">
        <v>444.93425508363407</v>
      </c>
      <c r="O45" s="23">
        <v>489.66136585956178</v>
      </c>
      <c r="P45" s="23">
        <v>483.71445891197874</v>
      </c>
      <c r="Q45" s="23">
        <v>497.41164983979212</v>
      </c>
      <c r="R45" s="23">
        <v>543.14157807225286</v>
      </c>
      <c r="S45" s="23">
        <v>492.46489500000001</v>
      </c>
      <c r="T45" s="23">
        <v>473.96799457350528</v>
      </c>
      <c r="U45" s="23">
        <v>505.65880817364109</v>
      </c>
      <c r="V45" s="23">
        <v>491.1746958753543</v>
      </c>
      <c r="W45" s="23">
        <v>506.91178819040533</v>
      </c>
      <c r="X45" s="23">
        <v>542.09614354628661</v>
      </c>
      <c r="Y45" s="23">
        <v>574.55110388101332</v>
      </c>
      <c r="Z45" s="23">
        <v>495.42768939806024</v>
      </c>
      <c r="AA45" s="23">
        <v>447.6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632.52737266819031</v>
      </c>
      <c r="E46" s="23">
        <v>668.48016979235183</v>
      </c>
      <c r="F46" s="23">
        <v>700.20617202097526</v>
      </c>
      <c r="G46" s="23">
        <v>941.4912887546601</v>
      </c>
      <c r="H46" s="23">
        <v>985.54786930660805</v>
      </c>
      <c r="I46" s="23">
        <v>928.84330751958942</v>
      </c>
      <c r="J46" s="23">
        <v>1167.7233355787585</v>
      </c>
      <c r="K46" s="23">
        <v>1148.0787436266605</v>
      </c>
      <c r="L46" s="23">
        <v>1078.790359168242</v>
      </c>
      <c r="M46" s="23">
        <v>995.36986841571729</v>
      </c>
      <c r="N46" s="23">
        <v>1064.5181473433913</v>
      </c>
      <c r="O46" s="23">
        <v>1091.2491594477669</v>
      </c>
      <c r="P46" s="23">
        <v>1103.1261614899322</v>
      </c>
      <c r="Q46" s="23">
        <v>1195.8504634947506</v>
      </c>
      <c r="R46" s="23">
        <v>1178.3024567944781</v>
      </c>
      <c r="S46" s="23">
        <v>1144.8313470000001</v>
      </c>
      <c r="T46" s="23">
        <v>1033.2265363515735</v>
      </c>
      <c r="U46" s="23">
        <v>1251.0864421196716</v>
      </c>
      <c r="V46" s="23">
        <v>1332.7536480645749</v>
      </c>
      <c r="W46" s="23">
        <v>1533.1051007398448</v>
      </c>
      <c r="X46" s="23">
        <v>1690.4086401071188</v>
      </c>
      <c r="Y46" s="23">
        <v>1573.2435313466456</v>
      </c>
      <c r="Z46" s="23">
        <v>1608.0821970426039</v>
      </c>
      <c r="AA46" s="23">
        <v>1591.1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785.77991292023648</v>
      </c>
      <c r="E47" s="23">
        <v>841.53932529881229</v>
      </c>
      <c r="F47" s="23">
        <v>893.76430835995416</v>
      </c>
      <c r="G47" s="23">
        <v>932.86670166580154</v>
      </c>
      <c r="H47" s="23">
        <v>1010.3026038574806</v>
      </c>
      <c r="I47" s="23">
        <v>997.05999633414285</v>
      </c>
      <c r="J47" s="23">
        <v>1066.6947479510497</v>
      </c>
      <c r="K47" s="23">
        <v>1115.4162702837289</v>
      </c>
      <c r="L47" s="23">
        <v>1050.2313169502206</v>
      </c>
      <c r="M47" s="23">
        <v>892.28905762134559</v>
      </c>
      <c r="N47" s="23">
        <v>928.14974889307973</v>
      </c>
      <c r="O47" s="23">
        <v>931.8712881072197</v>
      </c>
      <c r="P47" s="23">
        <v>900.18309717211218</v>
      </c>
      <c r="Q47" s="23">
        <v>968.3053926606616</v>
      </c>
      <c r="R47" s="23">
        <v>1043.1532947044893</v>
      </c>
      <c r="S47" s="23">
        <v>1117.3171140000002</v>
      </c>
      <c r="T47" s="23">
        <v>1201.0435852494404</v>
      </c>
      <c r="U47" s="23">
        <v>1261.4829223699651</v>
      </c>
      <c r="V47" s="23">
        <v>1317.2815817343933</v>
      </c>
      <c r="W47" s="23">
        <v>1358.1970313154345</v>
      </c>
      <c r="X47" s="23">
        <v>1289.2306755443055</v>
      </c>
      <c r="Y47" s="23">
        <v>1387.6668513916945</v>
      </c>
      <c r="Z47" s="23">
        <v>1355.1404445299884</v>
      </c>
      <c r="AA47" s="23">
        <v>1374.2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1297.4702881803905</v>
      </c>
      <c r="E48" s="23">
        <v>1343.724329456739</v>
      </c>
      <c r="F48" s="23">
        <v>1368.2060647338919</v>
      </c>
      <c r="G48" s="23">
        <v>1408.3166662734182</v>
      </c>
      <c r="H48" s="23">
        <v>1439.642531224174</v>
      </c>
      <c r="I48" s="23">
        <v>1565.4816466571965</v>
      </c>
      <c r="J48" s="23">
        <v>1613.6220354777142</v>
      </c>
      <c r="K48" s="23">
        <v>1859.027117139548</v>
      </c>
      <c r="L48" s="23">
        <v>1933.5020793950853</v>
      </c>
      <c r="M48" s="23">
        <v>1326.7106706946192</v>
      </c>
      <c r="N48" s="23">
        <v>1452.0986604214499</v>
      </c>
      <c r="O48" s="23">
        <v>1605.8426397474814</v>
      </c>
      <c r="P48" s="23">
        <v>1591.6630298510472</v>
      </c>
      <c r="Q48" s="23">
        <v>1667.8156369022431</v>
      </c>
      <c r="R48" s="23">
        <v>1796.9882642212931</v>
      </c>
      <c r="S48" s="23">
        <v>1983.5502370000002</v>
      </c>
      <c r="T48" s="23">
        <v>2115.1529221872338</v>
      </c>
      <c r="U48" s="23">
        <v>2188.719004693</v>
      </c>
      <c r="V48" s="23">
        <v>2289.1048955719452</v>
      </c>
      <c r="W48" s="23">
        <v>2334.2929123819272</v>
      </c>
      <c r="X48" s="23">
        <v>2059.2826968579761</v>
      </c>
      <c r="Y48" s="23">
        <v>2254.9586335115036</v>
      </c>
      <c r="Z48" s="23">
        <v>2593.8209001062792</v>
      </c>
      <c r="AA48" s="23">
        <v>2498.9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440.91926863213274</v>
      </c>
      <c r="E49" s="23">
        <v>457.97160694559949</v>
      </c>
      <c r="F49" s="23">
        <v>433.90350430956545</v>
      </c>
      <c r="G49" s="23">
        <v>475.60677528195941</v>
      </c>
      <c r="H49" s="23">
        <v>494.32110556273358</v>
      </c>
      <c r="I49" s="23">
        <v>401.68666315355358</v>
      </c>
      <c r="J49" s="23">
        <v>409.78508364207937</v>
      </c>
      <c r="K49" s="23">
        <v>420.15163947735914</v>
      </c>
      <c r="L49" s="23">
        <v>402.02344045368625</v>
      </c>
      <c r="M49" s="23">
        <v>305.46953996188313</v>
      </c>
      <c r="N49" s="23">
        <v>330.63546757133491</v>
      </c>
      <c r="O49" s="23">
        <v>307.89820897328588</v>
      </c>
      <c r="P49" s="23">
        <v>322.02978654788063</v>
      </c>
      <c r="Q49" s="23">
        <v>320.08988775366265</v>
      </c>
      <c r="R49" s="23">
        <v>324.0097354763945</v>
      </c>
      <c r="S49" s="23">
        <v>305.580781</v>
      </c>
      <c r="T49" s="23">
        <v>320.49765809122056</v>
      </c>
      <c r="U49" s="23">
        <v>373.49355299178728</v>
      </c>
      <c r="V49" s="23">
        <v>373.23189516167508</v>
      </c>
      <c r="W49" s="23">
        <v>410.05675399004235</v>
      </c>
      <c r="X49" s="23">
        <v>403.73789687998681</v>
      </c>
      <c r="Y49" s="23">
        <v>469.64444037254873</v>
      </c>
      <c r="Z49" s="23">
        <v>510.55525243311553</v>
      </c>
      <c r="AA49" s="23">
        <v>452.2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654.08116293619685</v>
      </c>
      <c r="E50" s="23">
        <v>680.52337127182909</v>
      </c>
      <c r="F50" s="23">
        <v>734.49544451811221</v>
      </c>
      <c r="G50" s="23">
        <v>771.50851776697664</v>
      </c>
      <c r="H50" s="23">
        <v>806.23076090372604</v>
      </c>
      <c r="I50" s="23">
        <v>839.61344223983872</v>
      </c>
      <c r="J50" s="23">
        <v>871.80060401931087</v>
      </c>
      <c r="K50" s="23">
        <v>917.714779652944</v>
      </c>
      <c r="L50" s="23">
        <v>895.21613106490236</v>
      </c>
      <c r="M50" s="23">
        <v>720.21821398159045</v>
      </c>
      <c r="N50" s="23">
        <v>840.55246597245014</v>
      </c>
      <c r="O50" s="23">
        <v>840.31949153396999</v>
      </c>
      <c r="P50" s="23">
        <v>889.6005875476186</v>
      </c>
      <c r="Q50" s="23">
        <v>889.42131572053302</v>
      </c>
      <c r="R50" s="23">
        <v>910.81694966493694</v>
      </c>
      <c r="S50" s="23">
        <v>1080.8973080000001</v>
      </c>
      <c r="T50" s="23">
        <v>1164.9793723882519</v>
      </c>
      <c r="U50" s="23">
        <v>1220.546781384435</v>
      </c>
      <c r="V50" s="23">
        <v>1169.0287494394565</v>
      </c>
      <c r="W50" s="23">
        <v>1198.6274347401238</v>
      </c>
      <c r="X50" s="23">
        <v>1109.7916102643117</v>
      </c>
      <c r="Y50" s="23">
        <v>1237.7322994690646</v>
      </c>
      <c r="Z50" s="23">
        <v>1203.6423500171552</v>
      </c>
      <c r="AA50" s="23">
        <v>1218.9000000000001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349.27323127210514</v>
      </c>
      <c r="E51" s="23">
        <v>369.70978788367734</v>
      </c>
      <c r="F51" s="23">
        <v>448.32422638780065</v>
      </c>
      <c r="G51" s="23">
        <v>476.70445000235952</v>
      </c>
      <c r="H51" s="23">
        <v>502.5211113827101</v>
      </c>
      <c r="I51" s="23">
        <v>526.24302799798386</v>
      </c>
      <c r="J51" s="23">
        <v>576.32556191759295</v>
      </c>
      <c r="K51" s="23">
        <v>657.27831819608787</v>
      </c>
      <c r="L51" s="23">
        <v>718.50705734089479</v>
      </c>
      <c r="M51" s="23">
        <v>580.62119439600997</v>
      </c>
      <c r="N51" s="23">
        <v>569.0417585683831</v>
      </c>
      <c r="O51" s="23">
        <v>616.33259245066108</v>
      </c>
      <c r="P51" s="23">
        <v>598.51459496502935</v>
      </c>
      <c r="Q51" s="23">
        <v>609.77793261189379</v>
      </c>
      <c r="R51" s="23">
        <v>648.42130195999403</v>
      </c>
      <c r="S51" s="23">
        <v>716.43341000000009</v>
      </c>
      <c r="T51" s="23">
        <v>777.22327352306263</v>
      </c>
      <c r="U51" s="23">
        <v>827.16995991396175</v>
      </c>
      <c r="V51" s="23">
        <v>853.62687269223079</v>
      </c>
      <c r="W51" s="23">
        <v>907.19645060723099</v>
      </c>
      <c r="X51" s="23">
        <v>940.22656963627355</v>
      </c>
      <c r="Y51" s="23">
        <v>999.04884874595541</v>
      </c>
      <c r="Z51" s="23">
        <v>1015.3264366469451</v>
      </c>
      <c r="AA51" s="23">
        <v>1073.2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369.29958758411112</v>
      </c>
      <c r="E52" s="23">
        <v>411.44855465501621</v>
      </c>
      <c r="F52" s="23">
        <v>422.84761738291843</v>
      </c>
      <c r="G52" s="23">
        <v>449.57620334104104</v>
      </c>
      <c r="H52" s="23">
        <v>513.9701761124885</v>
      </c>
      <c r="I52" s="23">
        <v>579.68958552902905</v>
      </c>
      <c r="J52" s="23">
        <v>644.82204895026393</v>
      </c>
      <c r="K52" s="23">
        <v>752.96353746062334</v>
      </c>
      <c r="L52" s="23">
        <v>795.94599873976063</v>
      </c>
      <c r="M52" s="23">
        <v>672.11383561088371</v>
      </c>
      <c r="N52" s="23">
        <v>758.94939836831759</v>
      </c>
      <c r="O52" s="23">
        <v>790.8573935317313</v>
      </c>
      <c r="P52" s="23">
        <v>820.34542962529986</v>
      </c>
      <c r="Q52" s="23">
        <v>773.7068123652341</v>
      </c>
      <c r="R52" s="23">
        <v>823.61962110142599</v>
      </c>
      <c r="S52" s="23">
        <v>819.04687800000011</v>
      </c>
      <c r="T52" s="23">
        <v>830.52986552591449</v>
      </c>
      <c r="U52" s="23">
        <v>953.87706296441149</v>
      </c>
      <c r="V52" s="23">
        <v>998.83601980745937</v>
      </c>
      <c r="W52" s="23">
        <v>977.45655204504226</v>
      </c>
      <c r="X52" s="23">
        <v>884.27376327518846</v>
      </c>
      <c r="Y52" s="23">
        <v>928.9526636157243</v>
      </c>
      <c r="Z52" s="23">
        <v>824.89711373507294</v>
      </c>
      <c r="AA52" s="23">
        <v>875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650.00800572019568</v>
      </c>
      <c r="E53" s="23">
        <v>664.5207610867692</v>
      </c>
      <c r="F53" s="23">
        <v>667.51920197697609</v>
      </c>
      <c r="G53" s="23">
        <v>671.46330753621942</v>
      </c>
      <c r="H53" s="23">
        <v>702.5703099719484</v>
      </c>
      <c r="I53" s="23">
        <v>685.51681482839319</v>
      </c>
      <c r="J53" s="23">
        <v>648.10510497361668</v>
      </c>
      <c r="K53" s="23">
        <v>708.79006029639345</v>
      </c>
      <c r="L53" s="23">
        <v>713.0149338374282</v>
      </c>
      <c r="M53" s="23">
        <v>574.55761729045946</v>
      </c>
      <c r="N53" s="23">
        <v>583.20990386192125</v>
      </c>
      <c r="O53" s="23">
        <v>635.76891822389882</v>
      </c>
      <c r="P53" s="23">
        <v>669.77909015782154</v>
      </c>
      <c r="Q53" s="23">
        <v>709.28704834451707</v>
      </c>
      <c r="R53" s="23">
        <v>760.26426563208599</v>
      </c>
      <c r="S53" s="23">
        <v>802.43200300000103</v>
      </c>
      <c r="T53" s="23">
        <v>912.92474600439709</v>
      </c>
      <c r="U53" s="23">
        <v>968.69204732108142</v>
      </c>
      <c r="V53" s="23">
        <v>992.74864944804506</v>
      </c>
      <c r="W53" s="23">
        <v>1024.3378521241432</v>
      </c>
      <c r="X53" s="23">
        <v>841.60822465562421</v>
      </c>
      <c r="Y53" s="23">
        <v>945.11042832370981</v>
      </c>
      <c r="Z53" s="23">
        <v>982.95790103517334</v>
      </c>
      <c r="AA53" s="23">
        <v>954.99999999999818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7986.4430112744049</v>
      </c>
      <c r="E54" s="30">
        <f t="shared" ref="E54:S54" si="6">SUM(E41:E53)</f>
        <v>8345.9386252777113</v>
      </c>
      <c r="F54" s="30">
        <f t="shared" si="6"/>
        <v>8545.2392128262327</v>
      </c>
      <c r="G54" s="30">
        <f t="shared" si="6"/>
        <v>8867.3300127412604</v>
      </c>
      <c r="H54" s="30">
        <f t="shared" si="6"/>
        <v>9131.4027074530641</v>
      </c>
      <c r="I54" s="30">
        <f t="shared" si="6"/>
        <v>9091.548747880679</v>
      </c>
      <c r="J54" s="30">
        <f t="shared" si="6"/>
        <v>9562.7960469293812</v>
      </c>
      <c r="K54" s="30">
        <f t="shared" si="6"/>
        <v>10230.260758630397</v>
      </c>
      <c r="L54" s="30">
        <f t="shared" si="6"/>
        <v>9946.2356647763081</v>
      </c>
      <c r="M54" s="30">
        <f t="shared" si="6"/>
        <v>8283.6548031304519</v>
      </c>
      <c r="N54" s="30">
        <f t="shared" si="6"/>
        <v>8592.843888365036</v>
      </c>
      <c r="O54" s="30">
        <f t="shared" si="6"/>
        <v>8971.8079769264132</v>
      </c>
      <c r="P54" s="30">
        <f t="shared" si="6"/>
        <v>9009.4664533489213</v>
      </c>
      <c r="Q54" s="30">
        <f t="shared" si="6"/>
        <v>9252.8745460774244</v>
      </c>
      <c r="R54" s="30">
        <f t="shared" si="6"/>
        <v>9806.0160124955946</v>
      </c>
      <c r="S54" s="30">
        <f t="shared" si="6"/>
        <v>10224.794075000002</v>
      </c>
      <c r="T54" s="30">
        <f t="shared" ref="T54:Y54" si="7">SUM(T41:T53)</f>
        <v>10654.737339829284</v>
      </c>
      <c r="U54" s="30">
        <f t="shared" si="7"/>
        <v>11433.789067266331</v>
      </c>
      <c r="V54" s="30">
        <f t="shared" si="7"/>
        <v>11765.365062160696</v>
      </c>
      <c r="W54" s="30">
        <f t="shared" si="7"/>
        <v>12255.810898515654</v>
      </c>
      <c r="X54" s="30">
        <f t="shared" si="7"/>
        <v>11689.991877143746</v>
      </c>
      <c r="Y54" s="30">
        <f t="shared" si="7"/>
        <v>12316.018534475052</v>
      </c>
      <c r="Z54" s="30">
        <f t="shared" ref="Z54:AA54" si="8">SUM(Z41:Z53)</f>
        <v>12612.828144639618</v>
      </c>
      <c r="AA54" s="30">
        <f t="shared" si="8"/>
        <v>12502.5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849.93213907225584</v>
      </c>
      <c r="E56" s="19">
        <v>867.2754818850924</v>
      </c>
      <c r="F56" s="19">
        <v>862.03871978783684</v>
      </c>
      <c r="G56" s="19">
        <v>851.95239370487468</v>
      </c>
      <c r="H56" s="19">
        <v>774.04960598759192</v>
      </c>
      <c r="I56" s="19">
        <v>715.66615497410987</v>
      </c>
      <c r="J56" s="19">
        <v>711.82623779050198</v>
      </c>
      <c r="K56" s="19">
        <v>718.71830109226335</v>
      </c>
      <c r="L56" s="19">
        <v>642.02923755513552</v>
      </c>
      <c r="M56" s="19">
        <v>687.07065913791007</v>
      </c>
      <c r="N56" s="19">
        <v>627.0766614053789</v>
      </c>
      <c r="O56" s="19">
        <v>614.59002531237081</v>
      </c>
      <c r="P56" s="19">
        <v>604.2746951403866</v>
      </c>
      <c r="Q56" s="19">
        <v>622.09938435805987</v>
      </c>
      <c r="R56" s="19">
        <v>663.69088023378856</v>
      </c>
      <c r="S56" s="19">
        <v>689.71669099999997</v>
      </c>
      <c r="T56" s="19">
        <v>716.94075713465236</v>
      </c>
      <c r="U56" s="19">
        <v>733.86154966757931</v>
      </c>
      <c r="V56" s="19">
        <v>798.46007881002595</v>
      </c>
      <c r="W56" s="19">
        <v>823.82442883067336</v>
      </c>
      <c r="X56" s="19">
        <v>814.30227993910387</v>
      </c>
      <c r="Y56" s="19">
        <v>828.67947675146149</v>
      </c>
      <c r="Z56" s="19">
        <v>805.76519577897363</v>
      </c>
      <c r="AA56" s="19">
        <v>843.8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763.54726311622983</v>
      </c>
      <c r="E57" s="23">
        <v>790.89188893991479</v>
      </c>
      <c r="F57" s="23">
        <v>711.74274968356337</v>
      </c>
      <c r="G57" s="23">
        <v>635.39685243735551</v>
      </c>
      <c r="H57" s="23">
        <v>610.35892376994798</v>
      </c>
      <c r="I57" s="23">
        <v>594.30744741786191</v>
      </c>
      <c r="J57" s="23">
        <v>563.7902571011565</v>
      </c>
      <c r="K57" s="23">
        <v>563.31974950474694</v>
      </c>
      <c r="L57" s="23">
        <v>502.25469439193449</v>
      </c>
      <c r="M57" s="23">
        <v>390.49436559750217</v>
      </c>
      <c r="N57" s="23">
        <v>334.17750389471962</v>
      </c>
      <c r="O57" s="23">
        <v>355.61773983723441</v>
      </c>
      <c r="P57" s="23">
        <v>335.29141253300548</v>
      </c>
      <c r="Q57" s="23">
        <v>308.9737954174476</v>
      </c>
      <c r="R57" s="23">
        <v>338.07382072857365</v>
      </c>
      <c r="S57" s="23">
        <v>312.89132600000005</v>
      </c>
      <c r="T57" s="23">
        <v>329.57952191392866</v>
      </c>
      <c r="U57" s="23">
        <v>349.84156042236998</v>
      </c>
      <c r="V57" s="23">
        <v>349.00923393983345</v>
      </c>
      <c r="W57" s="23">
        <v>337.19900795681917</v>
      </c>
      <c r="X57" s="23">
        <v>288.41904106825143</v>
      </c>
      <c r="Y57" s="23">
        <v>297.73057616332079</v>
      </c>
      <c r="Z57" s="23">
        <v>290.87189218139372</v>
      </c>
      <c r="AA57" s="23">
        <v>297.60000000000002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315.16053958809482</v>
      </c>
      <c r="E58" s="23">
        <v>305.36939641797716</v>
      </c>
      <c r="F58" s="23">
        <v>303.6363148695076</v>
      </c>
      <c r="G58" s="23">
        <v>314.71902340616299</v>
      </c>
      <c r="H58" s="23">
        <v>314.69456297796563</v>
      </c>
      <c r="I58" s="23">
        <v>319.76572881821932</v>
      </c>
      <c r="J58" s="23">
        <v>344.42242281351753</v>
      </c>
      <c r="K58" s="23">
        <v>390.07914199421941</v>
      </c>
      <c r="L58" s="23">
        <v>332.95998739760557</v>
      </c>
      <c r="M58" s="23">
        <v>270.57028506548806</v>
      </c>
      <c r="N58" s="23">
        <v>273.00926123319124</v>
      </c>
      <c r="O58" s="23">
        <v>293.01936648480756</v>
      </c>
      <c r="P58" s="23">
        <v>294.43488803337834</v>
      </c>
      <c r="Q58" s="23">
        <v>291.16126191483795</v>
      </c>
      <c r="R58" s="23">
        <v>331.77846828236011</v>
      </c>
      <c r="S58" s="23">
        <v>319.67019500000004</v>
      </c>
      <c r="T58" s="23">
        <v>333.26491592894064</v>
      </c>
      <c r="U58" s="23">
        <v>352.05081247555728</v>
      </c>
      <c r="V58" s="23">
        <v>369.42728868704029</v>
      </c>
      <c r="W58" s="23">
        <v>378.88501884509799</v>
      </c>
      <c r="X58" s="23">
        <v>374.96913369650952</v>
      </c>
      <c r="Y58" s="23">
        <v>412.02300005362991</v>
      </c>
      <c r="Z58" s="23">
        <v>482.07983966124675</v>
      </c>
      <c r="AA58" s="23">
        <v>412.6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260.68206182407846</v>
      </c>
      <c r="E59" s="23">
        <v>292.83126885030225</v>
      </c>
      <c r="F59" s="23">
        <v>301.55332168042912</v>
      </c>
      <c r="G59" s="23">
        <v>256.69907389929688</v>
      </c>
      <c r="H59" s="23">
        <v>270.90962624111</v>
      </c>
      <c r="I59" s="23">
        <v>259.16250973743297</v>
      </c>
      <c r="J59" s="23">
        <v>235.48465476591451</v>
      </c>
      <c r="K59" s="23">
        <v>256.1198350238696</v>
      </c>
      <c r="L59" s="23">
        <v>214.74202898550726</v>
      </c>
      <c r="M59" s="23">
        <v>258.71262317018778</v>
      </c>
      <c r="N59" s="23">
        <v>197.53664111183997</v>
      </c>
      <c r="O59" s="23">
        <v>206.02505319631709</v>
      </c>
      <c r="P59" s="23">
        <v>210.57854594561908</v>
      </c>
      <c r="Q59" s="23">
        <v>217.50040908449716</v>
      </c>
      <c r="R59" s="23">
        <v>251.94804151760974</v>
      </c>
      <c r="S59" s="23">
        <v>241.24798500000003</v>
      </c>
      <c r="T59" s="23">
        <v>247.05302022062463</v>
      </c>
      <c r="U59" s="23">
        <v>246.91640594446619</v>
      </c>
      <c r="V59" s="23">
        <v>234.36375883750446</v>
      </c>
      <c r="W59" s="23">
        <v>269.53655111442004</v>
      </c>
      <c r="X59" s="23">
        <v>277.44790256607791</v>
      </c>
      <c r="Y59" s="23">
        <v>219.91192995942009</v>
      </c>
      <c r="Z59" s="23">
        <v>239.70513485694204</v>
      </c>
      <c r="AA59" s="23">
        <v>256.8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225.72079572006803</v>
      </c>
      <c r="E60" s="23">
        <v>238.55437451128842</v>
      </c>
      <c r="F60" s="23">
        <v>262.77760231450799</v>
      </c>
      <c r="G60" s="23">
        <v>232.70704072483599</v>
      </c>
      <c r="H60" s="23">
        <v>241.35866187100606</v>
      </c>
      <c r="I60" s="23">
        <v>229.77451656509191</v>
      </c>
      <c r="J60" s="23">
        <v>240.70769843942963</v>
      </c>
      <c r="K60" s="23">
        <v>245.61604403693553</v>
      </c>
      <c r="L60" s="23">
        <v>241.79073724007566</v>
      </c>
      <c r="M60" s="23">
        <v>205.21839848343541</v>
      </c>
      <c r="N60" s="23">
        <v>187.86415730567407</v>
      </c>
      <c r="O60" s="23">
        <v>191.9504724639728</v>
      </c>
      <c r="P60" s="23">
        <v>185.26089633765338</v>
      </c>
      <c r="Q60" s="23">
        <v>180.6699826693268</v>
      </c>
      <c r="R60" s="23">
        <v>190.73578475336339</v>
      </c>
      <c r="S60" s="23">
        <v>197.11887699999994</v>
      </c>
      <c r="T60" s="23">
        <v>198.2215495217159</v>
      </c>
      <c r="U60" s="23">
        <v>200.00228881501758</v>
      </c>
      <c r="V60" s="23">
        <v>195.04949193294465</v>
      </c>
      <c r="W60" s="23">
        <v>195.93662091107905</v>
      </c>
      <c r="X60" s="23">
        <v>173.58779141216823</v>
      </c>
      <c r="Y60" s="23">
        <v>186.52713670247951</v>
      </c>
      <c r="Z60" s="23">
        <v>203.99963681096597</v>
      </c>
      <c r="AA60" s="23">
        <v>204.69999999999993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3.0548679120009194</v>
      </c>
      <c r="E61" s="23">
        <v>5.2792116074420683</v>
      </c>
      <c r="F61" s="23">
        <v>12.818419625097945</v>
      </c>
      <c r="G61" s="23">
        <v>5.0179415789722057</v>
      </c>
      <c r="H61" s="23">
        <v>0.92830254565771564</v>
      </c>
      <c r="I61" s="23">
        <v>1.6749633414287679</v>
      </c>
      <c r="J61" s="23">
        <v>3.4322858425957117</v>
      </c>
      <c r="K61" s="23">
        <v>2.8777509553243776</v>
      </c>
      <c r="L61" s="23">
        <v>2.8833648393194711</v>
      </c>
      <c r="M61" s="23">
        <v>2.4254308422205102</v>
      </c>
      <c r="N61" s="23">
        <v>1.0898573302722205</v>
      </c>
      <c r="O61" s="23">
        <v>0.804261756133964</v>
      </c>
      <c r="P61" s="23">
        <v>0.66977909015782155</v>
      </c>
      <c r="Q61" s="23">
        <v>0.80357293996735402</v>
      </c>
      <c r="R61" s="23">
        <v>1.0715493525469846</v>
      </c>
      <c r="S61" s="23">
        <v>1.5950280000000001</v>
      </c>
      <c r="T61" s="23">
        <v>0.13162121482185649</v>
      </c>
      <c r="U61" s="23">
        <v>0.38986800938599925</v>
      </c>
      <c r="V61" s="23">
        <v>1.2682021582116041</v>
      </c>
      <c r="W61" s="23">
        <v>0.24739472337257459</v>
      </c>
      <c r="X61" s="23">
        <v>0.60950769456519749</v>
      </c>
      <c r="Y61" s="23">
        <v>0.23761418688213951</v>
      </c>
      <c r="Z61" s="23">
        <v>0.55616040570056158</v>
      </c>
      <c r="AA61" s="23">
        <v>0.9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388.98651412811705</v>
      </c>
      <c r="E62" s="23">
        <v>407.81909667489975</v>
      </c>
      <c r="F62" s="23">
        <v>421.40554517509497</v>
      </c>
      <c r="G62" s="23">
        <v>443.30377636732578</v>
      </c>
      <c r="H62" s="23">
        <v>463.99655573791483</v>
      </c>
      <c r="I62" s="23">
        <v>447.06294276680569</v>
      </c>
      <c r="J62" s="23">
        <v>464.25396766588085</v>
      </c>
      <c r="K62" s="23">
        <v>474.10946988969124</v>
      </c>
      <c r="L62" s="23">
        <v>422.34429741650922</v>
      </c>
      <c r="M62" s="23">
        <v>401.81304286119786</v>
      </c>
      <c r="N62" s="23">
        <v>444.93425508363407</v>
      </c>
      <c r="O62" s="23">
        <v>489.66136585956178</v>
      </c>
      <c r="P62" s="23">
        <v>483.71445891197874</v>
      </c>
      <c r="Q62" s="23">
        <v>497.41164983979212</v>
      </c>
      <c r="R62" s="23">
        <v>543.14157807225286</v>
      </c>
      <c r="S62" s="23">
        <v>492.46489500000001</v>
      </c>
      <c r="T62" s="23">
        <v>473.96799457350528</v>
      </c>
      <c r="U62" s="23">
        <v>505.65880817364109</v>
      </c>
      <c r="V62" s="23">
        <v>491.1746958753543</v>
      </c>
      <c r="W62" s="23">
        <v>506.91178819040533</v>
      </c>
      <c r="X62" s="23">
        <v>542.09614354628661</v>
      </c>
      <c r="Y62" s="23">
        <v>574.55110388101332</v>
      </c>
      <c r="Z62" s="23">
        <v>495.42768939806024</v>
      </c>
      <c r="AA62" s="23">
        <v>447.6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632.52737266819031</v>
      </c>
      <c r="E63" s="23">
        <v>668.48016979235183</v>
      </c>
      <c r="F63" s="23">
        <v>700.20617202097526</v>
      </c>
      <c r="G63" s="23">
        <v>941.4912887546601</v>
      </c>
      <c r="H63" s="23">
        <v>985.54786930660805</v>
      </c>
      <c r="I63" s="23">
        <v>928.84330751958942</v>
      </c>
      <c r="J63" s="23">
        <v>1167.7233355787585</v>
      </c>
      <c r="K63" s="23">
        <v>1148.0787436266605</v>
      </c>
      <c r="L63" s="23">
        <v>1078.790359168242</v>
      </c>
      <c r="M63" s="23">
        <v>995.36986841571729</v>
      </c>
      <c r="N63" s="23">
        <v>1064.5181473433913</v>
      </c>
      <c r="O63" s="23">
        <v>1091.2491594477669</v>
      </c>
      <c r="P63" s="23">
        <v>1103.1261614899322</v>
      </c>
      <c r="Q63" s="23">
        <v>1195.8504634947506</v>
      </c>
      <c r="R63" s="23">
        <v>1178.3024567944781</v>
      </c>
      <c r="S63" s="23">
        <v>1144.8313470000001</v>
      </c>
      <c r="T63" s="23">
        <v>1033.2265363515735</v>
      </c>
      <c r="U63" s="23">
        <v>1251.0864421196716</v>
      </c>
      <c r="V63" s="23">
        <v>1332.7536480645749</v>
      </c>
      <c r="W63" s="23">
        <v>1533.1051007398448</v>
      </c>
      <c r="X63" s="23">
        <v>1690.4086401071188</v>
      </c>
      <c r="Y63" s="23">
        <v>1573.2435313466456</v>
      </c>
      <c r="Z63" s="23">
        <v>1608.0821970426039</v>
      </c>
      <c r="AA63" s="23">
        <v>1591.1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420.8929123201267</v>
      </c>
      <c r="E64" s="23">
        <v>465.06554754309968</v>
      </c>
      <c r="F64" s="23">
        <v>529.56096076185884</v>
      </c>
      <c r="G64" s="23">
        <v>534.41077816053996</v>
      </c>
      <c r="H64" s="23">
        <v>600.92118122242789</v>
      </c>
      <c r="I64" s="23">
        <v>581.97362644915916</v>
      </c>
      <c r="J64" s="23">
        <v>601.54540136970934</v>
      </c>
      <c r="K64" s="23">
        <v>629.50802147720765</v>
      </c>
      <c r="L64" s="23">
        <v>594.24776307498428</v>
      </c>
      <c r="M64" s="23">
        <v>556.0973936580026</v>
      </c>
      <c r="N64" s="23">
        <v>579.66786753853728</v>
      </c>
      <c r="O64" s="23">
        <v>616.19854882463869</v>
      </c>
      <c r="P64" s="23">
        <v>577.88539898816839</v>
      </c>
      <c r="Q64" s="23">
        <v>630.40297140438918</v>
      </c>
      <c r="R64" s="23">
        <v>681.10355721267706</v>
      </c>
      <c r="S64" s="23">
        <v>721.21849400000008</v>
      </c>
      <c r="T64" s="23">
        <v>795.65024359812253</v>
      </c>
      <c r="U64" s="23">
        <v>851.8616005084084</v>
      </c>
      <c r="V64" s="23">
        <v>878.99091585646283</v>
      </c>
      <c r="W64" s="23">
        <v>905.71208226699559</v>
      </c>
      <c r="X64" s="23">
        <v>867.32944936627598</v>
      </c>
      <c r="Y64" s="23">
        <v>931.20999839110459</v>
      </c>
      <c r="Z64" s="23">
        <v>904.3168196691131</v>
      </c>
      <c r="AA64" s="23">
        <v>902.1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364.88700060010984</v>
      </c>
      <c r="E65" s="23">
        <v>376.47377775571255</v>
      </c>
      <c r="F65" s="23">
        <v>364.20334759809532</v>
      </c>
      <c r="G65" s="23">
        <v>398.45592350526164</v>
      </c>
      <c r="H65" s="23">
        <v>409.38142263505262</v>
      </c>
      <c r="I65" s="23">
        <v>415.0863698849837</v>
      </c>
      <c r="J65" s="23">
        <v>465.14934658134047</v>
      </c>
      <c r="K65" s="23">
        <v>485.90824880652121</v>
      </c>
      <c r="L65" s="23">
        <v>455.98355387523628</v>
      </c>
      <c r="M65" s="23">
        <v>336.19166396334305</v>
      </c>
      <c r="N65" s="23">
        <v>348.48188135454245</v>
      </c>
      <c r="O65" s="23">
        <v>315.67273928258095</v>
      </c>
      <c r="P65" s="23">
        <v>322.29769818394374</v>
      </c>
      <c r="Q65" s="23">
        <v>337.90242125627236</v>
      </c>
      <c r="R65" s="23">
        <v>362.04973749181238</v>
      </c>
      <c r="S65" s="23">
        <v>396.09862000000004</v>
      </c>
      <c r="T65" s="23">
        <v>405.393341651318</v>
      </c>
      <c r="U65" s="23">
        <v>409.62132186155662</v>
      </c>
      <c r="V65" s="23">
        <v>438.29066587793039</v>
      </c>
      <c r="W65" s="23">
        <v>452.48494904843886</v>
      </c>
      <c r="X65" s="23">
        <v>421.90122617802962</v>
      </c>
      <c r="Y65" s="23">
        <v>456.45685300059</v>
      </c>
      <c r="Z65" s="23">
        <v>450.82362486087516</v>
      </c>
      <c r="AA65" s="23">
        <v>472.1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341.63606149210284</v>
      </c>
      <c r="E66" s="23">
        <v>339.84924722908312</v>
      </c>
      <c r="F66" s="23">
        <v>345.13594840576218</v>
      </c>
      <c r="G66" s="23">
        <v>352.98082794582609</v>
      </c>
      <c r="H66" s="23">
        <v>362.347426988395</v>
      </c>
      <c r="I66" s="23">
        <v>452.544640975118</v>
      </c>
      <c r="J66" s="23">
        <v>442.91410351409013</v>
      </c>
      <c r="K66" s="23">
        <v>540.15385431438563</v>
      </c>
      <c r="L66" s="23">
        <v>526.00812854442347</v>
      </c>
      <c r="M66" s="23">
        <v>250.49310753821828</v>
      </c>
      <c r="N66" s="23">
        <v>318.37457260577241</v>
      </c>
      <c r="O66" s="23">
        <v>398.91383104244619</v>
      </c>
      <c r="P66" s="23">
        <v>370.65574849333842</v>
      </c>
      <c r="Q66" s="23">
        <v>381.02750236785369</v>
      </c>
      <c r="R66" s="23">
        <v>458.35523555197261</v>
      </c>
      <c r="S66" s="23">
        <v>566.89953500000001</v>
      </c>
      <c r="T66" s="23">
        <v>576.50092091973147</v>
      </c>
      <c r="U66" s="23">
        <v>618.72053089558085</v>
      </c>
      <c r="V66" s="23">
        <v>608.9906763732123</v>
      </c>
      <c r="W66" s="23">
        <v>647.67938578940027</v>
      </c>
      <c r="X66" s="23">
        <v>510.40174342889634</v>
      </c>
      <c r="Y66" s="23">
        <v>515.14755716047841</v>
      </c>
      <c r="Z66" s="23">
        <v>701.42950366954824</v>
      </c>
      <c r="AA66" s="23">
        <v>621.79999999999995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955.8342266882878</v>
      </c>
      <c r="E67" s="23">
        <v>1003.8750822276558</v>
      </c>
      <c r="F67" s="23">
        <v>1023.0701163281298</v>
      </c>
      <c r="G67" s="23">
        <v>1055.335838327592</v>
      </c>
      <c r="H67" s="23">
        <v>1077.295104235779</v>
      </c>
      <c r="I67" s="23">
        <v>1112.9370056820783</v>
      </c>
      <c r="J67" s="23">
        <v>1170.7079319636243</v>
      </c>
      <c r="K67" s="23">
        <v>1318.8732628251623</v>
      </c>
      <c r="L67" s="23">
        <v>1407.4939508506616</v>
      </c>
      <c r="M67" s="23">
        <v>1076.217563156401</v>
      </c>
      <c r="N67" s="23">
        <v>1133.7240878156774</v>
      </c>
      <c r="O67" s="23">
        <v>1206.9288087050352</v>
      </c>
      <c r="P67" s="23">
        <v>1221.0072813577087</v>
      </c>
      <c r="Q67" s="23">
        <v>1286.7881345343894</v>
      </c>
      <c r="R67" s="23">
        <v>1338.6330286693203</v>
      </c>
      <c r="S67" s="23">
        <v>1416.6507020000001</v>
      </c>
      <c r="T67" s="23">
        <v>1538.6520012675023</v>
      </c>
      <c r="U67" s="23">
        <v>1569.9984737974189</v>
      </c>
      <c r="V67" s="23">
        <v>1680.1142191987331</v>
      </c>
      <c r="W67" s="23">
        <v>1686.6135265925273</v>
      </c>
      <c r="X67" s="23">
        <v>1548.8809534290797</v>
      </c>
      <c r="Y67" s="23">
        <v>1739.8110763510253</v>
      </c>
      <c r="Z67" s="23">
        <v>1892.3913964367309</v>
      </c>
      <c r="AA67" s="23">
        <v>1877.1000000000001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440.91926863213274</v>
      </c>
      <c r="E68" s="23">
        <v>457.97160694559949</v>
      </c>
      <c r="F68" s="23">
        <v>433.90350430956545</v>
      </c>
      <c r="G68" s="23">
        <v>475.60677528195941</v>
      </c>
      <c r="H68" s="23">
        <v>494.32110556273358</v>
      </c>
      <c r="I68" s="23">
        <v>401.68666315355358</v>
      </c>
      <c r="J68" s="23">
        <v>409.78508364207937</v>
      </c>
      <c r="K68" s="23">
        <v>420.15163947735914</v>
      </c>
      <c r="L68" s="23">
        <v>402.02344045368625</v>
      </c>
      <c r="M68" s="23">
        <v>305.46953996188313</v>
      </c>
      <c r="N68" s="23">
        <v>330.63546757133491</v>
      </c>
      <c r="O68" s="23">
        <v>307.89820897328588</v>
      </c>
      <c r="P68" s="23">
        <v>322.02978654788063</v>
      </c>
      <c r="Q68" s="23">
        <v>320.08988775366265</v>
      </c>
      <c r="R68" s="23">
        <v>324.0097354763945</v>
      </c>
      <c r="S68" s="23">
        <v>305.580781</v>
      </c>
      <c r="T68" s="23">
        <v>320.49765809122056</v>
      </c>
      <c r="U68" s="23">
        <v>373.49355299178728</v>
      </c>
      <c r="V68" s="23">
        <v>373.23189516167508</v>
      </c>
      <c r="W68" s="23">
        <v>410.05675399004235</v>
      </c>
      <c r="X68" s="23">
        <v>403.73789687998681</v>
      </c>
      <c r="Y68" s="23">
        <v>469.64444037254873</v>
      </c>
      <c r="Z68" s="23">
        <v>510.55525243311553</v>
      </c>
      <c r="AA68" s="23">
        <v>452.2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654.08116293619685</v>
      </c>
      <c r="E69" s="23">
        <v>680.52337127182909</v>
      </c>
      <c r="F69" s="23">
        <v>734.49544451811221</v>
      </c>
      <c r="G69" s="23">
        <v>771.50851776697664</v>
      </c>
      <c r="H69" s="23">
        <v>806.23076090372604</v>
      </c>
      <c r="I69" s="23">
        <v>839.61344223983872</v>
      </c>
      <c r="J69" s="23">
        <v>871.80060401931087</v>
      </c>
      <c r="K69" s="23">
        <v>917.714779652944</v>
      </c>
      <c r="L69" s="23">
        <v>895.21613106490236</v>
      </c>
      <c r="M69" s="23">
        <v>720.21821398159045</v>
      </c>
      <c r="N69" s="23">
        <v>840.55246597245014</v>
      </c>
      <c r="O69" s="23">
        <v>840.31949153396999</v>
      </c>
      <c r="P69" s="23">
        <v>889.6005875476186</v>
      </c>
      <c r="Q69" s="23">
        <v>889.42131572053302</v>
      </c>
      <c r="R69" s="23">
        <v>910.81694966493694</v>
      </c>
      <c r="S69" s="23">
        <v>1080.8973080000001</v>
      </c>
      <c r="T69" s="23">
        <v>1164.9793723882519</v>
      </c>
      <c r="U69" s="23">
        <v>1220.546781384435</v>
      </c>
      <c r="V69" s="23">
        <v>1169.0287494394565</v>
      </c>
      <c r="W69" s="23">
        <v>1198.6274347401238</v>
      </c>
      <c r="X69" s="23">
        <v>1109.7916102643117</v>
      </c>
      <c r="Y69" s="23">
        <v>1237.7322994690646</v>
      </c>
      <c r="Z69" s="23">
        <v>1203.6423500171552</v>
      </c>
      <c r="AA69" s="23">
        <v>1218.9000000000001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349.27323127210514</v>
      </c>
      <c r="E70" s="23">
        <v>369.70978788367734</v>
      </c>
      <c r="F70" s="23">
        <v>448.32422638780065</v>
      </c>
      <c r="G70" s="23">
        <v>476.70445000235952</v>
      </c>
      <c r="H70" s="23">
        <v>502.5211113827101</v>
      </c>
      <c r="I70" s="23">
        <v>526.24302799798386</v>
      </c>
      <c r="J70" s="23">
        <v>576.32556191759295</v>
      </c>
      <c r="K70" s="23">
        <v>657.27831819608787</v>
      </c>
      <c r="L70" s="23">
        <v>718.50705734089479</v>
      </c>
      <c r="M70" s="23">
        <v>580.62119439600997</v>
      </c>
      <c r="N70" s="23">
        <v>569.0417585683831</v>
      </c>
      <c r="O70" s="23">
        <v>616.33259245066108</v>
      </c>
      <c r="P70" s="23">
        <v>598.51459496502935</v>
      </c>
      <c r="Q70" s="23">
        <v>609.77793261189379</v>
      </c>
      <c r="R70" s="23">
        <v>648.42130195999403</v>
      </c>
      <c r="S70" s="23">
        <v>716.43341000000009</v>
      </c>
      <c r="T70" s="23">
        <v>777.22327352306263</v>
      </c>
      <c r="U70" s="23">
        <v>827.16995991396175</v>
      </c>
      <c r="V70" s="23">
        <v>853.62687269223079</v>
      </c>
      <c r="W70" s="23">
        <v>907.19645060723099</v>
      </c>
      <c r="X70" s="23">
        <v>940.22656963627355</v>
      </c>
      <c r="Y70" s="23">
        <v>999.04884874595541</v>
      </c>
      <c r="Z70" s="23">
        <v>1015.3264366469451</v>
      </c>
      <c r="AA70" s="23">
        <v>1073.2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332.30174287210002</v>
      </c>
      <c r="E71" s="23">
        <v>373.00929513832864</v>
      </c>
      <c r="F71" s="23">
        <v>377.66268820444822</v>
      </c>
      <c r="G71" s="23">
        <v>405.35559317634852</v>
      </c>
      <c r="H71" s="23">
        <v>470.18523937563293</v>
      </c>
      <c r="I71" s="23">
        <v>528.9838771021399</v>
      </c>
      <c r="J71" s="23">
        <v>589.01009655327277</v>
      </c>
      <c r="K71" s="23">
        <v>702.60289574244678</v>
      </c>
      <c r="L71" s="23">
        <v>735.94454946439828</v>
      </c>
      <c r="M71" s="23">
        <v>645.02985787275463</v>
      </c>
      <c r="N71" s="23">
        <v>727.88846445555919</v>
      </c>
      <c r="O71" s="23">
        <v>764.85293008339977</v>
      </c>
      <c r="P71" s="23">
        <v>789.66954729607164</v>
      </c>
      <c r="Q71" s="23">
        <v>737.14424359671932</v>
      </c>
      <c r="R71" s="23">
        <v>789.0621544817858</v>
      </c>
      <c r="S71" s="23">
        <v>784.4879380000001</v>
      </c>
      <c r="T71" s="23">
        <v>794.72889509436948</v>
      </c>
      <c r="U71" s="23">
        <v>909.56206589753629</v>
      </c>
      <c r="V71" s="23">
        <v>959.14129225543616</v>
      </c>
      <c r="W71" s="23">
        <v>935.52314643339071</v>
      </c>
      <c r="X71" s="23">
        <v>832.46560923714674</v>
      </c>
      <c r="Y71" s="23">
        <v>870.14315236239474</v>
      </c>
      <c r="Z71" s="23">
        <v>778.7358000619264</v>
      </c>
      <c r="AA71" s="23">
        <v>812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36.997844712011108</v>
      </c>
      <c r="E72" s="23">
        <v>38.439259516687578</v>
      </c>
      <c r="F72" s="23">
        <v>45.184929178470242</v>
      </c>
      <c r="G72" s="23">
        <v>44.220610164692545</v>
      </c>
      <c r="H72" s="23">
        <v>43.784936736855606</v>
      </c>
      <c r="I72" s="23">
        <v>50.705708426889082</v>
      </c>
      <c r="J72" s="23">
        <v>55.811952396991188</v>
      </c>
      <c r="K72" s="23">
        <v>50.360641718176524</v>
      </c>
      <c r="L72" s="23">
        <v>60.001449275362383</v>
      </c>
      <c r="M72" s="23">
        <v>27.083977738129061</v>
      </c>
      <c r="N72" s="23">
        <v>31.060933912758379</v>
      </c>
      <c r="O72" s="23">
        <v>26.004463448331471</v>
      </c>
      <c r="P72" s="23">
        <v>30.675882329228198</v>
      </c>
      <c r="Q72" s="23">
        <v>36.562568768514701</v>
      </c>
      <c r="R72" s="23">
        <v>34.557466619640195</v>
      </c>
      <c r="S72" s="23">
        <v>34.55894</v>
      </c>
      <c r="T72" s="23">
        <v>35.800970431545025</v>
      </c>
      <c r="U72" s="23">
        <v>44.314997066875279</v>
      </c>
      <c r="V72" s="23">
        <v>39.694727552023295</v>
      </c>
      <c r="W72" s="23">
        <v>41.933405611651501</v>
      </c>
      <c r="X72" s="23">
        <v>51.808154038041785</v>
      </c>
      <c r="Y72" s="23">
        <v>58.809511253329525</v>
      </c>
      <c r="Z72" s="23">
        <v>46.161313673146608</v>
      </c>
      <c r="AA72" s="23">
        <v>63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376.93675736411342</v>
      </c>
      <c r="E73" s="23">
        <v>393.96116620536435</v>
      </c>
      <c r="F73" s="23">
        <v>461.62333674883979</v>
      </c>
      <c r="G73" s="23">
        <v>465.25727077532918</v>
      </c>
      <c r="H73" s="23">
        <v>458.11730628208272</v>
      </c>
      <c r="I73" s="23">
        <v>449.19471429226047</v>
      </c>
      <c r="J73" s="23">
        <v>436.6464511058719</v>
      </c>
      <c r="K73" s="23">
        <v>470.36839364776949</v>
      </c>
      <c r="L73" s="23">
        <v>466.28128544423447</v>
      </c>
      <c r="M73" s="23">
        <v>367.58751875430846</v>
      </c>
      <c r="N73" s="23">
        <v>361.42393715152514</v>
      </c>
      <c r="O73" s="23">
        <v>348.24534040600645</v>
      </c>
      <c r="P73" s="23">
        <v>321.09209582165965</v>
      </c>
      <c r="Q73" s="23">
        <v>330.80419361989408</v>
      </c>
      <c r="R73" s="23">
        <v>349.4590325993853</v>
      </c>
      <c r="S73" s="23">
        <v>381.74336800000003</v>
      </c>
      <c r="T73" s="23">
        <v>453.30346384647373</v>
      </c>
      <c r="U73" s="23">
        <v>490.71386781384444</v>
      </c>
      <c r="V73" s="23">
        <v>485.21414573175974</v>
      </c>
      <c r="W73" s="23">
        <v>501.2217095528361</v>
      </c>
      <c r="X73" s="23">
        <v>415.31854307672558</v>
      </c>
      <c r="Y73" s="23">
        <v>468.81279071846126</v>
      </c>
      <c r="Z73" s="23">
        <v>496.87370645288172</v>
      </c>
      <c r="AA73" s="23">
        <v>461.1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273.07124835608221</v>
      </c>
      <c r="E74" s="23">
        <v>270.55959488140479</v>
      </c>
      <c r="F74" s="23">
        <v>205.8958652281363</v>
      </c>
      <c r="G74" s="23">
        <v>206.20603676089024</v>
      </c>
      <c r="H74" s="23">
        <v>244.45300368986565</v>
      </c>
      <c r="I74" s="23">
        <v>236.32210053613272</v>
      </c>
      <c r="J74" s="23">
        <v>211.45865386774474</v>
      </c>
      <c r="K74" s="23">
        <v>238.42166664862393</v>
      </c>
      <c r="L74" s="23">
        <v>246.7336483931937</v>
      </c>
      <c r="M74" s="23">
        <v>206.97009853615094</v>
      </c>
      <c r="N74" s="23">
        <v>221.78596671039611</v>
      </c>
      <c r="O74" s="23">
        <v>287.52357781789237</v>
      </c>
      <c r="P74" s="23">
        <v>348.68699433616194</v>
      </c>
      <c r="Q74" s="23">
        <v>378.482854724623</v>
      </c>
      <c r="R74" s="23">
        <v>410.80523303270076</v>
      </c>
      <c r="S74" s="23">
        <v>420.688635000001</v>
      </c>
      <c r="T74" s="23">
        <v>459.62128215792336</v>
      </c>
      <c r="U74" s="23">
        <v>477.97817950723697</v>
      </c>
      <c r="V74" s="23">
        <v>507.53450371628531</v>
      </c>
      <c r="W74" s="23">
        <v>523.11614257130714</v>
      </c>
      <c r="X74" s="23">
        <v>426.28968157889869</v>
      </c>
      <c r="Y74" s="23">
        <v>476.29763760524855</v>
      </c>
      <c r="Z74" s="23">
        <v>486.08419458229162</v>
      </c>
      <c r="AA74" s="23">
        <v>493.89999999999816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7986.4430112744049</v>
      </c>
      <c r="E75" s="30">
        <f t="shared" ref="E75:S75" si="9">SUM(E56:E74)</f>
        <v>8345.9386252777113</v>
      </c>
      <c r="F75" s="30">
        <f t="shared" si="9"/>
        <v>8545.2392128262327</v>
      </c>
      <c r="G75" s="30">
        <f t="shared" si="9"/>
        <v>8867.3300127412604</v>
      </c>
      <c r="H75" s="30">
        <f t="shared" si="9"/>
        <v>9131.4027074530641</v>
      </c>
      <c r="I75" s="30">
        <f t="shared" si="9"/>
        <v>9091.5487478806754</v>
      </c>
      <c r="J75" s="30">
        <f t="shared" si="9"/>
        <v>9562.7960469293812</v>
      </c>
      <c r="K75" s="30">
        <f t="shared" si="9"/>
        <v>10230.260758630395</v>
      </c>
      <c r="L75" s="30">
        <f t="shared" si="9"/>
        <v>9946.2356647763081</v>
      </c>
      <c r="M75" s="30">
        <f t="shared" si="9"/>
        <v>8283.6548031304501</v>
      </c>
      <c r="N75" s="30">
        <f t="shared" si="9"/>
        <v>8592.8438883650397</v>
      </c>
      <c r="O75" s="30">
        <f t="shared" si="9"/>
        <v>8971.8079769264132</v>
      </c>
      <c r="P75" s="30">
        <f t="shared" si="9"/>
        <v>9009.4664533489195</v>
      </c>
      <c r="Q75" s="30">
        <f t="shared" si="9"/>
        <v>9252.8745460774262</v>
      </c>
      <c r="R75" s="30">
        <f t="shared" si="9"/>
        <v>9806.0160124955928</v>
      </c>
      <c r="S75" s="30">
        <f t="shared" si="9"/>
        <v>10224.794075</v>
      </c>
      <c r="T75" s="30">
        <f t="shared" ref="T75:Y75" si="10">SUM(T56:T74)</f>
        <v>10654.737339829284</v>
      </c>
      <c r="U75" s="30">
        <f t="shared" si="10"/>
        <v>11433.789067266331</v>
      </c>
      <c r="V75" s="30">
        <f t="shared" si="10"/>
        <v>11765.365062160696</v>
      </c>
      <c r="W75" s="30">
        <f t="shared" si="10"/>
        <v>12255.810898515654</v>
      </c>
      <c r="X75" s="30">
        <f t="shared" si="10"/>
        <v>11689.99187714375</v>
      </c>
      <c r="Y75" s="30">
        <f t="shared" si="10"/>
        <v>12316.018534475053</v>
      </c>
      <c r="Z75" s="30">
        <f t="shared" ref="Z75:AA75" si="11">SUM(Z56:Z74)</f>
        <v>12612.828144639618</v>
      </c>
      <c r="AA75" s="30">
        <f t="shared" si="11"/>
        <v>12502.5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1987755</v>
      </c>
      <c r="E3" s="42">
        <v>1990094</v>
      </c>
      <c r="F3" s="42">
        <v>1994026</v>
      </c>
      <c r="G3" s="42">
        <v>1995033</v>
      </c>
      <c r="H3" s="42">
        <v>1996433</v>
      </c>
      <c r="I3" s="42">
        <v>1997590</v>
      </c>
      <c r="J3" s="42">
        <v>2003358</v>
      </c>
      <c r="K3" s="42">
        <v>2010377</v>
      </c>
      <c r="L3" s="42">
        <v>2010269</v>
      </c>
      <c r="M3" s="42">
        <v>2032362</v>
      </c>
      <c r="N3" s="42">
        <v>2046976</v>
      </c>
      <c r="O3" s="42">
        <v>2050189</v>
      </c>
      <c r="P3" s="42">
        <v>2055496</v>
      </c>
      <c r="Q3" s="42">
        <v>2058821</v>
      </c>
      <c r="R3" s="42">
        <v>2061085</v>
      </c>
      <c r="S3" s="42">
        <v>2062874</v>
      </c>
      <c r="T3" s="42">
        <v>2064188</v>
      </c>
      <c r="U3" s="42">
        <v>2065895</v>
      </c>
      <c r="V3" s="42">
        <v>2066880</v>
      </c>
      <c r="W3" s="42">
        <v>2080908</v>
      </c>
      <c r="X3" s="42">
        <v>2095861</v>
      </c>
      <c r="Y3" s="42">
        <v>2108977</v>
      </c>
      <c r="Z3" s="42">
        <v>2107180</v>
      </c>
      <c r="AA3" s="42">
        <v>2116972</v>
      </c>
    </row>
    <row r="4" spans="1:27" x14ac:dyDescent="0.25">
      <c r="A4" s="43" t="s">
        <v>239</v>
      </c>
      <c r="B4" s="44"/>
      <c r="C4" s="44"/>
      <c r="D4" s="45">
        <v>692915</v>
      </c>
      <c r="E4" s="45">
        <v>697606</v>
      </c>
      <c r="F4" s="45">
        <v>702911</v>
      </c>
      <c r="G4" s="45">
        <v>707239</v>
      </c>
      <c r="H4" s="45">
        <v>711757</v>
      </c>
      <c r="I4" s="45">
        <v>716239</v>
      </c>
      <c r="J4" s="45">
        <v>732496</v>
      </c>
      <c r="K4" s="45">
        <v>741338</v>
      </c>
      <c r="L4" s="45">
        <v>750451</v>
      </c>
      <c r="M4" s="45">
        <v>772321</v>
      </c>
      <c r="N4" s="45">
        <v>798353</v>
      </c>
      <c r="O4" s="45">
        <v>805259</v>
      </c>
      <c r="P4" s="45">
        <v>819903</v>
      </c>
      <c r="Q4" s="45">
        <v>825179</v>
      </c>
      <c r="R4" s="45">
        <v>825425</v>
      </c>
      <c r="S4" s="45">
        <v>832811</v>
      </c>
      <c r="T4" s="45">
        <v>839101</v>
      </c>
      <c r="U4" s="45">
        <v>837073</v>
      </c>
      <c r="V4" s="45">
        <v>839513</v>
      </c>
      <c r="W4" s="45">
        <v>851087</v>
      </c>
      <c r="X4" s="45">
        <v>853016</v>
      </c>
      <c r="Y4" s="45">
        <v>854183</v>
      </c>
      <c r="Z4" s="45">
        <v>868940</v>
      </c>
      <c r="AA4" s="45">
        <v>874782</v>
      </c>
    </row>
    <row r="5" spans="1:27" x14ac:dyDescent="0.25">
      <c r="A5" s="46" t="s">
        <v>240</v>
      </c>
      <c r="B5" s="47"/>
      <c r="C5" s="47"/>
      <c r="D5" s="48">
        <f>D3/D4</f>
        <v>2.8686851922674497</v>
      </c>
      <c r="E5" s="48">
        <f t="shared" ref="E5:S5" si="0">E3/E4</f>
        <v>2.8527478261368167</v>
      </c>
      <c r="F5" s="48">
        <f t="shared" si="0"/>
        <v>2.8368114882253943</v>
      </c>
      <c r="G5" s="48">
        <f t="shared" si="0"/>
        <v>2.8208752628178027</v>
      </c>
      <c r="H5" s="48">
        <f t="shared" si="0"/>
        <v>2.8049362352600675</v>
      </c>
      <c r="I5" s="48">
        <f t="shared" si="0"/>
        <v>2.7889992027800776</v>
      </c>
      <c r="J5" s="48">
        <f t="shared" si="0"/>
        <v>2.7349746619776765</v>
      </c>
      <c r="K5" s="48">
        <f t="shared" si="0"/>
        <v>2.7118224075927579</v>
      </c>
      <c r="L5" s="48">
        <f t="shared" si="0"/>
        <v>2.6787478462950944</v>
      </c>
      <c r="M5" s="48">
        <f t="shared" si="0"/>
        <v>2.631499078750934</v>
      </c>
      <c r="N5" s="48">
        <f t="shared" si="0"/>
        <v>2.5639986321840089</v>
      </c>
      <c r="O5" s="48">
        <f t="shared" si="0"/>
        <v>2.5459994858796984</v>
      </c>
      <c r="P5" s="48">
        <f t="shared" si="0"/>
        <v>2.5069989986620369</v>
      </c>
      <c r="Q5" s="48">
        <f t="shared" si="0"/>
        <v>2.4949992668257432</v>
      </c>
      <c r="R5" s="48">
        <f t="shared" si="0"/>
        <v>2.4969985159160433</v>
      </c>
      <c r="S5" s="48">
        <f t="shared" si="0"/>
        <v>2.4770013844677843</v>
      </c>
      <c r="T5" s="48">
        <f t="shared" ref="T5:Y5" si="1">T3/T4</f>
        <v>2.4599994517942418</v>
      </c>
      <c r="U5" s="48">
        <f t="shared" si="1"/>
        <v>2.4679986094402757</v>
      </c>
      <c r="V5" s="48">
        <f t="shared" si="1"/>
        <v>2.4619988016862155</v>
      </c>
      <c r="W5" s="48">
        <f t="shared" si="1"/>
        <v>2.4450003348658833</v>
      </c>
      <c r="X5" s="48">
        <f t="shared" si="1"/>
        <v>2.4570008065499356</v>
      </c>
      <c r="Y5" s="48">
        <f t="shared" si="1"/>
        <v>2.4689990318233916</v>
      </c>
      <c r="Z5" s="48">
        <f t="shared" ref="Z5:AA5" si="2">Z3/Z4</f>
        <v>2.4250005754137223</v>
      </c>
      <c r="AA5" s="48">
        <f t="shared" si="2"/>
        <v>2.4199994970175425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3490.46</v>
      </c>
      <c r="E8" s="42">
        <v>3212.77</v>
      </c>
      <c r="F8" s="42">
        <v>3158.09</v>
      </c>
      <c r="G8" s="42">
        <v>3132.05</v>
      </c>
      <c r="H8" s="42">
        <v>3325.94</v>
      </c>
      <c r="I8" s="42">
        <v>3405.37</v>
      </c>
      <c r="J8" s="42">
        <v>3359.66</v>
      </c>
      <c r="K8" s="42">
        <v>3463.23</v>
      </c>
      <c r="L8" s="42">
        <v>3076.25</v>
      </c>
      <c r="M8" s="42">
        <v>2953.16</v>
      </c>
      <c r="N8" s="42">
        <v>2963.89</v>
      </c>
      <c r="O8" s="42">
        <v>3474.97</v>
      </c>
      <c r="P8" s="42">
        <v>3032.13</v>
      </c>
      <c r="Q8" s="42">
        <v>3049.38</v>
      </c>
      <c r="R8" s="42">
        <v>2801.85</v>
      </c>
      <c r="S8" s="42">
        <v>3129.18</v>
      </c>
      <c r="T8" s="42">
        <v>3436.57</v>
      </c>
      <c r="U8" s="42">
        <v>3097.79</v>
      </c>
      <c r="V8" s="42">
        <v>3081.11</v>
      </c>
      <c r="W8" s="42">
        <v>2935.07</v>
      </c>
      <c r="X8" s="42">
        <v>2594.38</v>
      </c>
      <c r="Y8" s="42">
        <v>2877.1</v>
      </c>
      <c r="Z8" s="42">
        <v>2674.53</v>
      </c>
      <c r="AA8" s="42">
        <v>3063.34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3151.109523809524</v>
      </c>
      <c r="E9" s="45">
        <f t="shared" si="3"/>
        <v>3151.109523809524</v>
      </c>
      <c r="F9" s="45">
        <f t="shared" si="3"/>
        <v>3151.109523809524</v>
      </c>
      <c r="G9" s="45">
        <f t="shared" si="3"/>
        <v>3151.109523809524</v>
      </c>
      <c r="H9" s="45">
        <f t="shared" si="3"/>
        <v>3151.109523809524</v>
      </c>
      <c r="I9" s="45">
        <f t="shared" si="3"/>
        <v>3151.109523809524</v>
      </c>
      <c r="J9" s="45">
        <f t="shared" si="3"/>
        <v>3151.109523809524</v>
      </c>
      <c r="K9" s="45">
        <f t="shared" si="3"/>
        <v>3151.109523809524</v>
      </c>
      <c r="L9" s="45">
        <f t="shared" si="3"/>
        <v>3151.109523809524</v>
      </c>
      <c r="M9" s="45">
        <f t="shared" si="3"/>
        <v>3151.109523809524</v>
      </c>
      <c r="N9" s="45">
        <f t="shared" si="3"/>
        <v>3151.109523809524</v>
      </c>
      <c r="O9" s="45">
        <f t="shared" si="3"/>
        <v>3151.109523809524</v>
      </c>
      <c r="P9" s="45">
        <f t="shared" si="3"/>
        <v>3151.109523809524</v>
      </c>
      <c r="Q9" s="45">
        <f t="shared" si="3"/>
        <v>3151.109523809524</v>
      </c>
      <c r="R9" s="45">
        <f t="shared" si="3"/>
        <v>3151.109523809524</v>
      </c>
      <c r="S9" s="45">
        <f t="shared" si="3"/>
        <v>3151.109523809524</v>
      </c>
      <c r="T9" s="45">
        <f t="shared" si="3"/>
        <v>3151.109523809524</v>
      </c>
      <c r="U9" s="45">
        <f t="shared" si="3"/>
        <v>3151.109523809524</v>
      </c>
      <c r="V9" s="45">
        <f t="shared" si="3"/>
        <v>3151.109523809524</v>
      </c>
      <c r="W9" s="45">
        <f t="shared" si="3"/>
        <v>3151.109523809524</v>
      </c>
      <c r="X9" s="45">
        <f>AVERAGE($D8:$X8)</f>
        <v>3151.109523809524</v>
      </c>
      <c r="Y9" s="45">
        <f t="shared" ref="Y9:AA9" si="4">AVERAGE($D8:$X8)</f>
        <v>3151.109523809524</v>
      </c>
      <c r="Z9" s="45">
        <f t="shared" si="4"/>
        <v>3151.109523809524</v>
      </c>
      <c r="AA9" s="45">
        <f t="shared" si="4"/>
        <v>3151.109523809524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1.1076923774392391</v>
      </c>
      <c r="E10" s="53">
        <f t="shared" si="5"/>
        <v>1.0195678619624531</v>
      </c>
      <c r="F10" s="53">
        <f t="shared" si="5"/>
        <v>1.0022152439125749</v>
      </c>
      <c r="G10" s="53">
        <f t="shared" si="5"/>
        <v>0.99395148798684663</v>
      </c>
      <c r="H10" s="53">
        <f t="shared" si="5"/>
        <v>1.0554821959914344</v>
      </c>
      <c r="I10" s="53">
        <f t="shared" si="5"/>
        <v>1.0806891903532088</v>
      </c>
      <c r="J10" s="53">
        <f t="shared" si="5"/>
        <v>1.0661831886878845</v>
      </c>
      <c r="K10" s="53">
        <f t="shared" si="5"/>
        <v>1.099050976753464</v>
      </c>
      <c r="L10" s="53">
        <f t="shared" si="5"/>
        <v>0.97624343957457149</v>
      </c>
      <c r="M10" s="53">
        <f t="shared" si="5"/>
        <v>0.93718100805007443</v>
      </c>
      <c r="N10" s="53">
        <f t="shared" si="5"/>
        <v>0.9405861578612521</v>
      </c>
      <c r="O10" s="53">
        <f t="shared" si="5"/>
        <v>1.1027766485878745</v>
      </c>
      <c r="P10" s="53">
        <f t="shared" si="5"/>
        <v>0.96224202208443588</v>
      </c>
      <c r="Q10" s="53">
        <f t="shared" si="5"/>
        <v>0.96771628436242407</v>
      </c>
      <c r="R10" s="53">
        <f t="shared" si="5"/>
        <v>0.88916300078732646</v>
      </c>
      <c r="S10" s="53">
        <f t="shared" si="5"/>
        <v>0.99304069768320447</v>
      </c>
      <c r="T10" s="53">
        <f t="shared" ref="T10:Y10" si="6">IF(T8=0,0,T8/T9)</f>
        <v>1.0905904647342659</v>
      </c>
      <c r="U10" s="53">
        <f t="shared" si="6"/>
        <v>0.98307912707995515</v>
      </c>
      <c r="V10" s="53">
        <f t="shared" si="6"/>
        <v>0.97778575346854391</v>
      </c>
      <c r="W10" s="53">
        <f t="shared" si="6"/>
        <v>0.93144017300028858</v>
      </c>
      <c r="X10" s="53">
        <f t="shared" si="6"/>
        <v>0.82332269963867599</v>
      </c>
      <c r="Y10" s="53">
        <f t="shared" si="6"/>
        <v>0.91304347826086951</v>
      </c>
      <c r="Z10" s="53">
        <f t="shared" ref="Z10:AA10" si="7">IF(Z8=0,0,Z8/Z9)</f>
        <v>0.8487581849477055</v>
      </c>
      <c r="AA10" s="53">
        <f t="shared" si="7"/>
        <v>0.97214646995087139</v>
      </c>
    </row>
    <row r="11" spans="1:27" x14ac:dyDescent="0.25">
      <c r="A11" s="43" t="s">
        <v>251</v>
      </c>
      <c r="B11" s="44"/>
      <c r="C11" s="44"/>
      <c r="D11" s="45">
        <v>4.53</v>
      </c>
      <c r="E11" s="45">
        <v>6.95</v>
      </c>
      <c r="F11" s="45">
        <v>6.82</v>
      </c>
      <c r="G11" s="45">
        <v>31.99</v>
      </c>
      <c r="H11" s="45">
        <v>6.42</v>
      </c>
      <c r="I11" s="45">
        <v>13.02</v>
      </c>
      <c r="J11" s="45">
        <v>11.17</v>
      </c>
      <c r="K11" s="45">
        <v>14.4</v>
      </c>
      <c r="L11" s="45">
        <v>24.85</v>
      </c>
      <c r="M11" s="45">
        <v>7.05</v>
      </c>
      <c r="N11" s="45">
        <v>5.13</v>
      </c>
      <c r="O11" s="45">
        <v>10.73</v>
      </c>
      <c r="P11" s="45">
        <v>49.77</v>
      </c>
      <c r="Q11" s="45">
        <v>25.09</v>
      </c>
      <c r="R11" s="45">
        <v>45.28</v>
      </c>
      <c r="S11" s="45">
        <v>14.53</v>
      </c>
      <c r="T11" s="45">
        <v>8.2200000000000006</v>
      </c>
      <c r="U11" s="45">
        <v>1.1000000000000001</v>
      </c>
      <c r="V11" s="45">
        <v>33.19</v>
      </c>
      <c r="W11" s="45">
        <v>15.43</v>
      </c>
      <c r="X11" s="45">
        <v>35.369999999999997</v>
      </c>
      <c r="Y11" s="45">
        <v>27.91</v>
      </c>
      <c r="Z11" s="45">
        <v>22.78</v>
      </c>
      <c r="AA11" s="45">
        <v>116.16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17.668571428571433</v>
      </c>
      <c r="E12" s="45">
        <f t="shared" ref="E12" si="9">AVERAGE($D11:$X11)</f>
        <v>17.668571428571433</v>
      </c>
      <c r="F12" s="45">
        <f t="shared" ref="F12" si="10">AVERAGE($D11:$X11)</f>
        <v>17.668571428571433</v>
      </c>
      <c r="G12" s="45">
        <f t="shared" ref="G12" si="11">AVERAGE($D11:$X11)</f>
        <v>17.668571428571433</v>
      </c>
      <c r="H12" s="45">
        <f t="shared" ref="H12" si="12">AVERAGE($D11:$X11)</f>
        <v>17.668571428571433</v>
      </c>
      <c r="I12" s="45">
        <f t="shared" ref="I12" si="13">AVERAGE($D11:$X11)</f>
        <v>17.668571428571433</v>
      </c>
      <c r="J12" s="45">
        <f t="shared" ref="J12" si="14">AVERAGE($D11:$X11)</f>
        <v>17.668571428571433</v>
      </c>
      <c r="K12" s="45">
        <f t="shared" ref="K12" si="15">AVERAGE($D11:$X11)</f>
        <v>17.668571428571433</v>
      </c>
      <c r="L12" s="45">
        <f t="shared" ref="L12" si="16">AVERAGE($D11:$X11)</f>
        <v>17.668571428571433</v>
      </c>
      <c r="M12" s="45">
        <f t="shared" ref="M12" si="17">AVERAGE($D11:$X11)</f>
        <v>17.668571428571433</v>
      </c>
      <c r="N12" s="45">
        <f t="shared" ref="N12" si="18">AVERAGE($D11:$X11)</f>
        <v>17.668571428571433</v>
      </c>
      <c r="O12" s="45">
        <f t="shared" ref="O12" si="19">AVERAGE($D11:$X11)</f>
        <v>17.668571428571433</v>
      </c>
      <c r="P12" s="45">
        <f t="shared" ref="P12" si="20">AVERAGE($D11:$X11)</f>
        <v>17.668571428571433</v>
      </c>
      <c r="Q12" s="45">
        <f t="shared" ref="Q12" si="21">AVERAGE($D11:$X11)</f>
        <v>17.668571428571433</v>
      </c>
      <c r="R12" s="45">
        <f t="shared" ref="R12" si="22">AVERAGE($D11:$X11)</f>
        <v>17.668571428571433</v>
      </c>
      <c r="S12" s="45">
        <f t="shared" ref="S12" si="23">AVERAGE($D11:$X11)</f>
        <v>17.668571428571433</v>
      </c>
      <c r="T12" s="45">
        <f t="shared" ref="T12" si="24">AVERAGE($D11:$X11)</f>
        <v>17.668571428571433</v>
      </c>
      <c r="U12" s="45">
        <f t="shared" ref="U12" si="25">AVERAGE($D11:$X11)</f>
        <v>17.668571428571433</v>
      </c>
      <c r="V12" s="45">
        <f t="shared" ref="V12" si="26">AVERAGE($D11:$X11)</f>
        <v>17.668571428571433</v>
      </c>
      <c r="W12" s="45">
        <f t="shared" ref="W12" si="27">AVERAGE($D11:$X11)</f>
        <v>17.668571428571433</v>
      </c>
      <c r="X12" s="45">
        <f>AVERAGE($D11:$X11)</f>
        <v>17.668571428571433</v>
      </c>
      <c r="Y12" s="45">
        <f t="shared" ref="Y12:AA12" si="28">AVERAGE($D11:$X11)</f>
        <v>17.668571428571433</v>
      </c>
      <c r="Z12" s="45">
        <f t="shared" si="28"/>
        <v>17.668571428571433</v>
      </c>
      <c r="AA12" s="45">
        <f t="shared" si="28"/>
        <v>17.668571428571433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0.25638745148771019</v>
      </c>
      <c r="E13" s="55">
        <f t="shared" si="29"/>
        <v>0.39335381630012928</v>
      </c>
      <c r="F13" s="55">
        <f t="shared" ref="F13" si="30">IF(F11=0,0,F11/F12)</f>
        <v>0.38599611901681752</v>
      </c>
      <c r="G13" s="55">
        <f t="shared" ref="G13" si="31">IF(G11=0,0,G11/G12)</f>
        <v>1.8105595084087964</v>
      </c>
      <c r="H13" s="55">
        <f t="shared" ref="H13" si="32">IF(H11=0,0,H11/H12)</f>
        <v>0.36335705045278127</v>
      </c>
      <c r="I13" s="55">
        <f t="shared" ref="I13" si="33">IF(I11=0,0,I11/I12)</f>
        <v>0.73690168175937887</v>
      </c>
      <c r="J13" s="55">
        <f t="shared" ref="J13" si="34">IF(J11=0,0,J11/J12)</f>
        <v>0.63219598965071133</v>
      </c>
      <c r="K13" s="55">
        <f t="shared" ref="K13" si="35">IF(K11=0,0,K11/K12)</f>
        <v>0.81500646830530388</v>
      </c>
      <c r="L13" s="55">
        <f t="shared" ref="L13" si="36">IF(L11=0,0,L11/L12)</f>
        <v>1.4064521345407501</v>
      </c>
      <c r="M13" s="55">
        <f t="shared" ref="M13" si="37">IF(M11=0,0,M11/M12)</f>
        <v>0.3990135834411383</v>
      </c>
      <c r="N13" s="55">
        <f t="shared" ref="N13" si="38">IF(N11=0,0,N11/N12)</f>
        <v>0.29034605433376448</v>
      </c>
      <c r="O13" s="55">
        <f t="shared" ref="O13" si="39">IF(O11=0,0,O11/O12)</f>
        <v>0.6072930142302716</v>
      </c>
      <c r="P13" s="55">
        <f t="shared" ref="P13" si="40">IF(P11=0,0,P11/P12)</f>
        <v>2.8168661060802065</v>
      </c>
      <c r="Q13" s="55">
        <f t="shared" ref="Q13" si="41">IF(Q11=0,0,Q11/Q12)</f>
        <v>1.4200355756791718</v>
      </c>
      <c r="R13" s="55">
        <f t="shared" ref="R13" si="42">IF(R11=0,0,R11/R12)</f>
        <v>2.5627425614488999</v>
      </c>
      <c r="S13" s="55">
        <f t="shared" ref="S13:Y13" si="43">IF(S11=0,0,S11/S12)</f>
        <v>0.82236416558861558</v>
      </c>
      <c r="T13" s="55">
        <f t="shared" si="43"/>
        <v>0.4652328589909443</v>
      </c>
      <c r="U13" s="55">
        <f t="shared" si="43"/>
        <v>6.2257438551099602E-2</v>
      </c>
      <c r="V13" s="55">
        <f t="shared" si="43"/>
        <v>1.8784767141009051</v>
      </c>
      <c r="W13" s="55">
        <f t="shared" si="43"/>
        <v>0.87330206985769709</v>
      </c>
      <c r="X13" s="55">
        <f t="shared" si="43"/>
        <v>2.0018596377749023</v>
      </c>
      <c r="Y13" s="55">
        <f t="shared" si="43"/>
        <v>1.579641009055627</v>
      </c>
      <c r="Z13" s="55">
        <f t="shared" ref="Z13:AA13" si="44">IF(Z11=0,0,Z11/Z12)</f>
        <v>1.2892949547218626</v>
      </c>
      <c r="AA13" s="55">
        <f t="shared" si="44"/>
        <v>6.5743855109961169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37635.032236491534</v>
      </c>
      <c r="E16" s="42">
        <v>38700.015838063584</v>
      </c>
      <c r="F16" s="42">
        <v>39970.066278475962</v>
      </c>
      <c r="G16" s="42">
        <v>41247.226527848936</v>
      </c>
      <c r="H16" s="42">
        <v>43122.244883257918</v>
      </c>
      <c r="I16" s="42">
        <v>44784.049428244718</v>
      </c>
      <c r="J16" s="42">
        <v>47430.702333115791</v>
      </c>
      <c r="K16" s="42">
        <v>50816.705110966934</v>
      </c>
      <c r="L16" s="42">
        <v>52530.613670081235</v>
      </c>
      <c r="M16" s="42">
        <v>48543.15744248563</v>
      </c>
      <c r="N16" s="42">
        <v>49082.765019632483</v>
      </c>
      <c r="O16" s="42">
        <v>49404.519087265508</v>
      </c>
      <c r="P16" s="42">
        <v>47963.96935174254</v>
      </c>
      <c r="Q16" s="42">
        <v>47569.116280273658</v>
      </c>
      <c r="R16" s="42">
        <v>48883.375591083313</v>
      </c>
      <c r="S16" s="42">
        <v>50053.233230999998</v>
      </c>
      <c r="T16" s="42">
        <v>51572.348543390981</v>
      </c>
      <c r="U16" s="42">
        <v>54240.359539071287</v>
      </c>
      <c r="V16" s="42">
        <v>56615.846777700099</v>
      </c>
      <c r="W16" s="42">
        <v>58600.360661644285</v>
      </c>
      <c r="X16" s="42">
        <v>56206.522226846449</v>
      </c>
      <c r="Y16" s="42">
        <v>60937.618233402682</v>
      </c>
      <c r="Z16" s="42">
        <v>62563.505044831669</v>
      </c>
      <c r="AA16" s="42">
        <v>64050</v>
      </c>
    </row>
    <row r="17" spans="1:27" x14ac:dyDescent="0.25">
      <c r="A17" s="46" t="s">
        <v>141</v>
      </c>
      <c r="B17" s="47"/>
      <c r="C17" s="47"/>
      <c r="D17" s="57">
        <v>20493.103621287981</v>
      </c>
      <c r="E17" s="57">
        <v>20956.623861938118</v>
      </c>
      <c r="F17" s="57">
        <v>21378.216734944439</v>
      </c>
      <c r="G17" s="57">
        <v>22196.731786382894</v>
      </c>
      <c r="H17" s="57">
        <v>22821.142433691628</v>
      </c>
      <c r="I17" s="57">
        <v>23305.123812036749</v>
      </c>
      <c r="J17" s="57">
        <v>23633.929719722539</v>
      </c>
      <c r="K17" s="57">
        <v>25245.371873908978</v>
      </c>
      <c r="L17" s="57">
        <v>25928.486699591464</v>
      </c>
      <c r="M17" s="57">
        <v>26479.380251507766</v>
      </c>
      <c r="N17" s="57">
        <v>26751.890804332794</v>
      </c>
      <c r="O17" s="57">
        <v>26898.124639968839</v>
      </c>
      <c r="P17" s="57">
        <v>26242.743254514578</v>
      </c>
      <c r="Q17" s="57">
        <v>25244.566000931696</v>
      </c>
      <c r="R17" s="57">
        <v>25530.956164519426</v>
      </c>
      <c r="S17" s="57">
        <v>26145.411072000003</v>
      </c>
      <c r="T17" s="57">
        <v>27215.381453946309</v>
      </c>
      <c r="U17" s="57">
        <v>27898.173683325254</v>
      </c>
      <c r="V17" s="57">
        <v>28848.115594177038</v>
      </c>
      <c r="W17" s="57">
        <v>30434.47510282162</v>
      </c>
      <c r="X17" s="57">
        <v>28562.87989090769</v>
      </c>
      <c r="Y17" s="57">
        <v>31779.122091673245</v>
      </c>
      <c r="Z17" s="57">
        <v>33030.185834109972</v>
      </c>
      <c r="AA17" s="57">
        <v>33024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18933.436080649542</v>
      </c>
      <c r="E20" s="42">
        <f t="shared" ref="E20:S20" si="45">1000000*E16/E$3</f>
        <v>19446.325569577912</v>
      </c>
      <c r="F20" s="42">
        <f t="shared" si="45"/>
        <v>20044.907277275201</v>
      </c>
      <c r="G20" s="42">
        <f t="shared" si="45"/>
        <v>20674.959525907059</v>
      </c>
      <c r="H20" s="42">
        <f t="shared" si="45"/>
        <v>21599.645409216297</v>
      </c>
      <c r="I20" s="42">
        <f t="shared" si="45"/>
        <v>22419.039656908935</v>
      </c>
      <c r="J20" s="42">
        <f t="shared" si="45"/>
        <v>23675.599834435878</v>
      </c>
      <c r="K20" s="42">
        <f t="shared" si="45"/>
        <v>25277.201793975426</v>
      </c>
      <c r="L20" s="42">
        <f t="shared" si="45"/>
        <v>26131.136514606373</v>
      </c>
      <c r="M20" s="42">
        <f t="shared" si="45"/>
        <v>23885.09401498632</v>
      </c>
      <c r="N20" s="42">
        <f t="shared" si="45"/>
        <v>23978.182948716782</v>
      </c>
      <c r="O20" s="42">
        <f t="shared" si="45"/>
        <v>24097.543732439062</v>
      </c>
      <c r="P20" s="42">
        <f t="shared" si="45"/>
        <v>23334.498997683546</v>
      </c>
      <c r="Q20" s="42">
        <f t="shared" si="45"/>
        <v>23105.027722309835</v>
      </c>
      <c r="R20" s="42">
        <f t="shared" si="45"/>
        <v>23717.302096266438</v>
      </c>
      <c r="S20" s="42">
        <f t="shared" si="45"/>
        <v>24263.834451837582</v>
      </c>
      <c r="T20" s="42">
        <f t="shared" ref="T20:Y20" si="46">1000000*T16/T$3</f>
        <v>24984.327272220835</v>
      </c>
      <c r="U20" s="42">
        <f t="shared" si="46"/>
        <v>26255.138590814775</v>
      </c>
      <c r="V20" s="42">
        <f t="shared" si="46"/>
        <v>27391.937015066233</v>
      </c>
      <c r="W20" s="42">
        <f t="shared" si="46"/>
        <v>28160.956977263908</v>
      </c>
      <c r="X20" s="42">
        <f t="shared" si="46"/>
        <v>26817.86732366624</v>
      </c>
      <c r="Y20" s="42">
        <f t="shared" si="46"/>
        <v>28894.396777870352</v>
      </c>
      <c r="Z20" s="42">
        <f t="shared" ref="Z20:AA20" si="47">1000000*Z16/Z$3</f>
        <v>29690.631576244868</v>
      </c>
      <c r="AA20" s="42">
        <f t="shared" si="47"/>
        <v>30255.478107410017</v>
      </c>
    </row>
    <row r="21" spans="1:27" x14ac:dyDescent="0.25">
      <c r="A21" s="46" t="s">
        <v>141</v>
      </c>
      <c r="B21" s="47"/>
      <c r="C21" s="47"/>
      <c r="D21" s="57">
        <f>1000000*D17/D$3</f>
        <v>10309.672782253336</v>
      </c>
      <c r="E21" s="57">
        <f t="shared" ref="E21:S21" si="48">1000000*E17/E$3</f>
        <v>10530.469345638005</v>
      </c>
      <c r="F21" s="57">
        <f t="shared" si="48"/>
        <v>10721.132389920913</v>
      </c>
      <c r="G21" s="57">
        <f t="shared" si="48"/>
        <v>11125.997307504635</v>
      </c>
      <c r="H21" s="57">
        <f t="shared" si="48"/>
        <v>11430.958331029204</v>
      </c>
      <c r="I21" s="57">
        <f t="shared" si="48"/>
        <v>11666.620183339297</v>
      </c>
      <c r="J21" s="57">
        <f t="shared" si="48"/>
        <v>11797.157432532047</v>
      </c>
      <c r="K21" s="57">
        <f t="shared" si="48"/>
        <v>12557.531186393884</v>
      </c>
      <c r="L21" s="57">
        <f t="shared" si="48"/>
        <v>12898.018473941282</v>
      </c>
      <c r="M21" s="57">
        <f t="shared" si="48"/>
        <v>13028.86998059783</v>
      </c>
      <c r="N21" s="57">
        <f t="shared" si="48"/>
        <v>13068.981172389316</v>
      </c>
      <c r="O21" s="57">
        <f t="shared" si="48"/>
        <v>13119.826825706721</v>
      </c>
      <c r="P21" s="57">
        <f t="shared" si="48"/>
        <v>12767.109862784739</v>
      </c>
      <c r="Q21" s="57">
        <f t="shared" si="48"/>
        <v>12261.661407636555</v>
      </c>
      <c r="R21" s="57">
        <f t="shared" si="48"/>
        <v>12387.143744445</v>
      </c>
      <c r="S21" s="57">
        <f t="shared" si="48"/>
        <v>12674.264677338511</v>
      </c>
      <c r="T21" s="57">
        <f t="shared" ref="T21:Y21" si="49">1000000*T17/T$3</f>
        <v>13184.545910520896</v>
      </c>
      <c r="U21" s="57">
        <f t="shared" si="49"/>
        <v>13504.158576948612</v>
      </c>
      <c r="V21" s="57">
        <f t="shared" si="49"/>
        <v>13957.324853971704</v>
      </c>
      <c r="W21" s="57">
        <f t="shared" si="49"/>
        <v>14625.574558232089</v>
      </c>
      <c r="X21" s="57">
        <f t="shared" si="49"/>
        <v>13628.231972877826</v>
      </c>
      <c r="Y21" s="57">
        <f t="shared" si="49"/>
        <v>15068.501027594537</v>
      </c>
      <c r="Z21" s="57">
        <f t="shared" ref="Z21:AA21" si="50">1000000*Z17/Z$3</f>
        <v>15675.066123496794</v>
      </c>
      <c r="AA21" s="57">
        <f t="shared" si="50"/>
        <v>15599.639485075853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32170.135121745687</v>
      </c>
      <c r="E23" s="60">
        <v>33273.221008080029</v>
      </c>
      <c r="F23" s="60">
        <v>34476.421423663436</v>
      </c>
      <c r="G23" s="60">
        <v>35645.261627577755</v>
      </c>
      <c r="H23" s="60">
        <v>37269.954754338796</v>
      </c>
      <c r="I23" s="60">
        <v>38645.058752233883</v>
      </c>
      <c r="J23" s="60">
        <v>41022.829620523189</v>
      </c>
      <c r="K23" s="60">
        <v>44035.920668564693</v>
      </c>
      <c r="L23" s="60">
        <v>45361.782167611847</v>
      </c>
      <c r="M23" s="60">
        <v>42141.052406633964</v>
      </c>
      <c r="N23" s="60">
        <v>42636.444849745829</v>
      </c>
      <c r="O23" s="60">
        <v>42774.929587236918</v>
      </c>
      <c r="P23" s="60">
        <v>41678.745310704857</v>
      </c>
      <c r="Q23" s="60">
        <v>41484.854812284633</v>
      </c>
      <c r="R23" s="60">
        <v>42929.347767420775</v>
      </c>
      <c r="S23" s="60">
        <v>43941.027615000006</v>
      </c>
      <c r="T23" s="60">
        <v>45328.37206642505</v>
      </c>
      <c r="U23" s="60">
        <v>47810.55363903012</v>
      </c>
      <c r="V23" s="60">
        <v>49910.603217280965</v>
      </c>
      <c r="W23" s="60">
        <v>51731.597328183889</v>
      </c>
      <c r="X23" s="60">
        <v>50149.317896513145</v>
      </c>
      <c r="Y23" s="60">
        <v>54104.156317595953</v>
      </c>
      <c r="Z23" s="60">
        <v>55542.849860665963</v>
      </c>
      <c r="AA23" s="60">
        <v>56995.1</v>
      </c>
    </row>
    <row r="24" spans="1:27" x14ac:dyDescent="0.25">
      <c r="A24" s="61" t="s">
        <v>33</v>
      </c>
      <c r="B24" s="62"/>
      <c r="C24" s="62"/>
      <c r="D24" s="63">
        <v>1107.2199032163333</v>
      </c>
      <c r="E24" s="63">
        <v>1033.5706475195175</v>
      </c>
      <c r="F24" s="63">
        <v>1144.5246422759328</v>
      </c>
      <c r="G24" s="63">
        <v>903.69991623802559</v>
      </c>
      <c r="H24" s="63">
        <v>1021.4422344053731</v>
      </c>
      <c r="I24" s="63">
        <v>1067.2561872794759</v>
      </c>
      <c r="J24" s="63">
        <v>977.15685640507479</v>
      </c>
      <c r="K24" s="63">
        <v>1021.8893642356866</v>
      </c>
      <c r="L24" s="63">
        <v>911.41789540012599</v>
      </c>
      <c r="M24" s="63">
        <v>850.38300251409123</v>
      </c>
      <c r="N24" s="63">
        <v>893.54677865693679</v>
      </c>
      <c r="O24" s="63">
        <v>1006.2655005496114</v>
      </c>
      <c r="P24" s="63">
        <v>879.01807792312502</v>
      </c>
      <c r="Q24" s="63">
        <v>883.66237631743354</v>
      </c>
      <c r="R24" s="63">
        <v>909.20962563611636</v>
      </c>
      <c r="S24" s="63">
        <v>1009.7856430000002</v>
      </c>
      <c r="T24" s="63">
        <v>975.04995940031279</v>
      </c>
      <c r="U24" s="63">
        <v>937.89247457958561</v>
      </c>
      <c r="V24" s="63">
        <v>1148.1034138289651</v>
      </c>
      <c r="W24" s="63">
        <v>1054.6437057372855</v>
      </c>
      <c r="X24" s="63">
        <v>1081.0228470808343</v>
      </c>
      <c r="Y24" s="63">
        <v>934.4177899140135</v>
      </c>
      <c r="Z24" s="63">
        <v>1028.006893896918</v>
      </c>
      <c r="AA24" s="63">
        <v>981.2</v>
      </c>
    </row>
    <row r="25" spans="1:27" x14ac:dyDescent="0.25">
      <c r="A25" s="64" t="s">
        <v>56</v>
      </c>
      <c r="B25" s="65"/>
      <c r="C25" s="65"/>
      <c r="D25" s="66">
        <v>202.83915519985177</v>
      </c>
      <c r="E25" s="66">
        <v>184.41780733835705</v>
      </c>
      <c r="F25" s="66">
        <v>166.29870688318965</v>
      </c>
      <c r="G25" s="66">
        <v>178.92097942522759</v>
      </c>
      <c r="H25" s="66">
        <v>200.06996134985943</v>
      </c>
      <c r="I25" s="66">
        <v>202.51829491820564</v>
      </c>
      <c r="J25" s="66">
        <v>206.25451181737967</v>
      </c>
      <c r="K25" s="66">
        <v>208.3670762706991</v>
      </c>
      <c r="L25" s="66">
        <v>200.17207156517733</v>
      </c>
      <c r="M25" s="66">
        <v>193.78073471820787</v>
      </c>
      <c r="N25" s="66">
        <v>189.21092525497096</v>
      </c>
      <c r="O25" s="66">
        <v>195.41954265977566</v>
      </c>
      <c r="P25" s="66">
        <v>191.15495233104232</v>
      </c>
      <c r="Q25" s="66">
        <v>168.76372304276242</v>
      </c>
      <c r="R25" s="66">
        <v>171.06005117835011</v>
      </c>
      <c r="S25" s="66">
        <v>165.21831700000001</v>
      </c>
      <c r="T25" s="66">
        <v>171.23920048323541</v>
      </c>
      <c r="U25" s="66">
        <v>179.46924032068824</v>
      </c>
      <c r="V25" s="66">
        <v>181.35290862425921</v>
      </c>
      <c r="W25" s="66">
        <v>171.3333712203401</v>
      </c>
      <c r="X25" s="66">
        <v>158.4720005869512</v>
      </c>
      <c r="Y25" s="66">
        <v>143.15307102618416</v>
      </c>
      <c r="Z25" s="66">
        <v>183.97786220574562</v>
      </c>
      <c r="AA25" s="66">
        <v>133.70000000000002</v>
      </c>
    </row>
    <row r="26" spans="1:27" x14ac:dyDescent="0.25">
      <c r="A26" s="67" t="s">
        <v>146</v>
      </c>
      <c r="B26" s="44"/>
      <c r="C26" s="44"/>
      <c r="D26" s="45">
        <v>20427.439348221858</v>
      </c>
      <c r="E26" s="45">
        <v>21229.644293981171</v>
      </c>
      <c r="F26" s="45">
        <v>21975.8598474518</v>
      </c>
      <c r="G26" s="45">
        <v>22945.792355245161</v>
      </c>
      <c r="H26" s="45">
        <v>24019.55997849816</v>
      </c>
      <c r="I26" s="45">
        <v>25091.559932181648</v>
      </c>
      <c r="J26" s="45">
        <v>26609.804338874903</v>
      </c>
      <c r="K26" s="45">
        <v>28334.663551735382</v>
      </c>
      <c r="L26" s="45">
        <v>29748.598927879644</v>
      </c>
      <c r="M26" s="45">
        <v>28724.009556445104</v>
      </c>
      <c r="N26" s="45">
        <v>29450.906965799833</v>
      </c>
      <c r="O26" s="45">
        <v>29396.134005243257</v>
      </c>
      <c r="P26" s="45">
        <v>28536.87582690021</v>
      </c>
      <c r="Q26" s="45">
        <v>28320.891778367011</v>
      </c>
      <c r="R26" s="45">
        <v>29019.736682201918</v>
      </c>
      <c r="S26" s="45">
        <v>29664.596582000009</v>
      </c>
      <c r="T26" s="45">
        <v>30712.625887746821</v>
      </c>
      <c r="U26" s="45">
        <v>32261.837688697702</v>
      </c>
      <c r="V26" s="45">
        <v>33527.967737503466</v>
      </c>
      <c r="W26" s="45">
        <v>34641.850295464355</v>
      </c>
      <c r="X26" s="45">
        <v>33500.615219464766</v>
      </c>
      <c r="Y26" s="45">
        <v>36809.845480012526</v>
      </c>
      <c r="Z26" s="45">
        <v>37795.771314761041</v>
      </c>
      <c r="AA26" s="45">
        <v>38050.899999999994</v>
      </c>
    </row>
    <row r="27" spans="1:27" x14ac:dyDescent="0.25">
      <c r="A27" s="68" t="s">
        <v>148</v>
      </c>
      <c r="B27" s="69"/>
      <c r="C27" s="69"/>
      <c r="D27" s="70">
        <v>8234.0570270304815</v>
      </c>
      <c r="E27" s="70">
        <v>8681.8284638012119</v>
      </c>
      <c r="F27" s="70">
        <v>8872.1089132662237</v>
      </c>
      <c r="G27" s="70">
        <v>9183.6171428908547</v>
      </c>
      <c r="H27" s="70">
        <v>9629.2823061074814</v>
      </c>
      <c r="I27" s="70">
        <v>10052.368628282093</v>
      </c>
      <c r="J27" s="70">
        <v>10550.398990681491</v>
      </c>
      <c r="K27" s="70">
        <v>10953.727348798946</v>
      </c>
      <c r="L27" s="70">
        <v>11376.110018903593</v>
      </c>
      <c r="M27" s="70">
        <v>11273.267808483035</v>
      </c>
      <c r="N27" s="70">
        <v>11701.79815513283</v>
      </c>
      <c r="O27" s="70">
        <v>11739.138636157366</v>
      </c>
      <c r="P27" s="70">
        <v>11574.184545381248</v>
      </c>
      <c r="Q27" s="70">
        <v>11319.530218850134</v>
      </c>
      <c r="R27" s="70">
        <v>11429.547225273343</v>
      </c>
      <c r="S27" s="70">
        <v>11671.085714000004</v>
      </c>
      <c r="T27" s="70">
        <v>12341.858071415842</v>
      </c>
      <c r="U27" s="70">
        <v>12915.417458936259</v>
      </c>
      <c r="V27" s="70">
        <v>13345.418131076534</v>
      </c>
      <c r="W27" s="70">
        <v>13870.803652691824</v>
      </c>
      <c r="X27" s="70">
        <v>13465.365889873246</v>
      </c>
      <c r="Y27" s="70">
        <v>14779.840038255954</v>
      </c>
      <c r="Z27" s="70">
        <v>15151.255468338111</v>
      </c>
      <c r="AA27" s="70">
        <v>14881.099999999988</v>
      </c>
    </row>
    <row r="28" spans="1:27" x14ac:dyDescent="0.25">
      <c r="A28" s="68" t="s">
        <v>150</v>
      </c>
      <c r="B28" s="71"/>
      <c r="C28" s="71"/>
      <c r="D28" s="70">
        <v>8176.5236813544607</v>
      </c>
      <c r="E28" s="70">
        <v>8277.8038004691643</v>
      </c>
      <c r="F28" s="70">
        <v>8668.2960412271714</v>
      </c>
      <c r="G28" s="70">
        <v>9065.2250837619758</v>
      </c>
      <c r="H28" s="70">
        <v>9503.9614624436927</v>
      </c>
      <c r="I28" s="70">
        <v>9847.8708312331019</v>
      </c>
      <c r="J28" s="70">
        <v>10604.121725609071</v>
      </c>
      <c r="K28" s="70">
        <v>11327.115535252282</v>
      </c>
      <c r="L28" s="70">
        <v>11948.801197227476</v>
      </c>
      <c r="M28" s="70">
        <v>11507.32188475731</v>
      </c>
      <c r="N28" s="70">
        <v>11911.323226877668</v>
      </c>
      <c r="O28" s="70">
        <v>11783.641119996773</v>
      </c>
      <c r="P28" s="70">
        <v>11302.790058049301</v>
      </c>
      <c r="Q28" s="70">
        <v>11206.494291961391</v>
      </c>
      <c r="R28" s="70">
        <v>11680.15583010027</v>
      </c>
      <c r="S28" s="70">
        <v>11886.414494000001</v>
      </c>
      <c r="T28" s="70">
        <v>12045.710338066663</v>
      </c>
      <c r="U28" s="70">
        <v>12677.208105201409</v>
      </c>
      <c r="V28" s="70">
        <v>13151.129560438514</v>
      </c>
      <c r="W28" s="70">
        <v>13600.524917407287</v>
      </c>
      <c r="X28" s="70">
        <v>13154.151261028266</v>
      </c>
      <c r="Y28" s="70">
        <v>14425.557285614688</v>
      </c>
      <c r="Z28" s="70">
        <v>15265.713279831294</v>
      </c>
      <c r="AA28" s="70">
        <v>15602.7</v>
      </c>
    </row>
    <row r="29" spans="1:27" x14ac:dyDescent="0.25">
      <c r="A29" s="68" t="s">
        <v>152</v>
      </c>
      <c r="B29" s="71"/>
      <c r="C29" s="71"/>
      <c r="D29" s="70">
        <v>4016.8586398369152</v>
      </c>
      <c r="E29" s="70">
        <v>4270.0120297107969</v>
      </c>
      <c r="F29" s="70">
        <v>4435.4548929584089</v>
      </c>
      <c r="G29" s="70">
        <v>4696.9501285923288</v>
      </c>
      <c r="H29" s="70">
        <v>4886.3162099469882</v>
      </c>
      <c r="I29" s="70">
        <v>5191.3204726664535</v>
      </c>
      <c r="J29" s="70">
        <v>5455.2836225843421</v>
      </c>
      <c r="K29" s="70">
        <v>6053.8206676841546</v>
      </c>
      <c r="L29" s="70">
        <v>6423.6877117485783</v>
      </c>
      <c r="M29" s="70">
        <v>5943.4198632047555</v>
      </c>
      <c r="N29" s="70">
        <v>5837.7855837893394</v>
      </c>
      <c r="O29" s="70">
        <v>5873.354249089115</v>
      </c>
      <c r="P29" s="70">
        <v>5659.9012234696547</v>
      </c>
      <c r="Q29" s="70">
        <v>5794.8672675554881</v>
      </c>
      <c r="R29" s="70">
        <v>5910.0336268283127</v>
      </c>
      <c r="S29" s="70">
        <v>6107.0963740000016</v>
      </c>
      <c r="T29" s="70">
        <v>6325.0574782643143</v>
      </c>
      <c r="U29" s="70">
        <v>6669.2121245600329</v>
      </c>
      <c r="V29" s="70">
        <v>7031.4200459884187</v>
      </c>
      <c r="W29" s="70">
        <v>7170.5217253652463</v>
      </c>
      <c r="X29" s="70">
        <v>6881.0980685632521</v>
      </c>
      <c r="Y29" s="70">
        <v>7604.4481561418861</v>
      </c>
      <c r="Z29" s="70">
        <v>7378.8025665916311</v>
      </c>
      <c r="AA29" s="70">
        <v>7567.0999999999985</v>
      </c>
    </row>
    <row r="30" spans="1:27" x14ac:dyDescent="0.25">
      <c r="A30" s="64" t="s">
        <v>154</v>
      </c>
      <c r="B30" s="65"/>
      <c r="C30" s="65"/>
      <c r="D30" s="66">
        <v>635.16617666869365</v>
      </c>
      <c r="E30" s="66">
        <v>716.39295707761846</v>
      </c>
      <c r="F30" s="66">
        <v>842.22921493749959</v>
      </c>
      <c r="G30" s="66">
        <v>795.50055094143704</v>
      </c>
      <c r="H30" s="66">
        <v>896.21430128524514</v>
      </c>
      <c r="I30" s="66">
        <v>938.58854877881151</v>
      </c>
      <c r="J30" s="66">
        <v>1007.0947981232601</v>
      </c>
      <c r="K30" s="66">
        <v>1004.8528559780299</v>
      </c>
      <c r="L30" s="66">
        <v>1067.9964863774853</v>
      </c>
      <c r="M30" s="66">
        <v>1018.763609732849</v>
      </c>
      <c r="N30" s="66">
        <v>1040.8645099373227</v>
      </c>
      <c r="O30" s="66">
        <v>1006.4509205876132</v>
      </c>
      <c r="P30" s="66">
        <v>1027.1732126660354</v>
      </c>
      <c r="Q30" s="66">
        <v>1078.2126111589998</v>
      </c>
      <c r="R30" s="66">
        <v>1014.3043035522652</v>
      </c>
      <c r="S30" s="66">
        <v>964.46026399999994</v>
      </c>
      <c r="T30" s="66">
        <v>958.07082268829379</v>
      </c>
      <c r="U30" s="66">
        <v>947.2493068048492</v>
      </c>
      <c r="V30" s="66">
        <v>971.18921275844536</v>
      </c>
      <c r="W30" s="66">
        <v>1068.699616550143</v>
      </c>
      <c r="X30" s="66">
        <v>1157.6989150571355</v>
      </c>
      <c r="Y30" s="66">
        <v>1085.7061701754669</v>
      </c>
      <c r="Z30" s="66">
        <v>651.48629923763724</v>
      </c>
      <c r="AA30" s="66">
        <v>1874.5000000000002</v>
      </c>
    </row>
    <row r="31" spans="1:27" x14ac:dyDescent="0.25">
      <c r="A31" s="64" t="s">
        <v>37</v>
      </c>
      <c r="B31" s="65"/>
      <c r="C31" s="65"/>
      <c r="D31" s="66">
        <v>2087.1536434326281</v>
      </c>
      <c r="E31" s="66">
        <v>2039.0954833744988</v>
      </c>
      <c r="F31" s="66">
        <v>2020.9840841420048</v>
      </c>
      <c r="G31" s="66">
        <v>2165.2417913265067</v>
      </c>
      <c r="H31" s="66">
        <v>2246.6468775826147</v>
      </c>
      <c r="I31" s="66">
        <v>2491.5841050726299</v>
      </c>
      <c r="J31" s="66">
        <v>2874.6140080835303</v>
      </c>
      <c r="K31" s="66">
        <v>3477.1864793184454</v>
      </c>
      <c r="L31" s="66">
        <v>3736.9781348456208</v>
      </c>
      <c r="M31" s="66">
        <v>3279.8562294716357</v>
      </c>
      <c r="N31" s="66">
        <v>2691.9476057723846</v>
      </c>
      <c r="O31" s="66">
        <v>2487.1794808442837</v>
      </c>
      <c r="P31" s="66">
        <v>2384.4135609618447</v>
      </c>
      <c r="Q31" s="66">
        <v>2159.7362049855915</v>
      </c>
      <c r="R31" s="66">
        <v>2420.897874741775</v>
      </c>
      <c r="S31" s="66">
        <v>2334.4563969999999</v>
      </c>
      <c r="T31" s="66">
        <v>2316.4017596498525</v>
      </c>
      <c r="U31" s="66">
        <v>2528.683908877591</v>
      </c>
      <c r="V31" s="66">
        <v>2825.4275882796328</v>
      </c>
      <c r="W31" s="66">
        <v>3062.6229779907871</v>
      </c>
      <c r="X31" s="66">
        <v>2988.4162264531633</v>
      </c>
      <c r="Y31" s="66">
        <v>3291.5505237848374</v>
      </c>
      <c r="Z31" s="66">
        <v>3757.4197009129939</v>
      </c>
      <c r="AA31" s="66">
        <v>3947.1</v>
      </c>
    </row>
    <row r="32" spans="1:27" x14ac:dyDescent="0.25">
      <c r="A32" s="64" t="s">
        <v>58</v>
      </c>
      <c r="B32" s="65"/>
      <c r="C32" s="65"/>
      <c r="D32" s="66">
        <v>7710.3168950063209</v>
      </c>
      <c r="E32" s="66">
        <v>8070.0998187888645</v>
      </c>
      <c r="F32" s="66">
        <v>8326.5249279729978</v>
      </c>
      <c r="G32" s="66">
        <v>8656.1060344013968</v>
      </c>
      <c r="H32" s="66">
        <v>8886.0214012175402</v>
      </c>
      <c r="I32" s="66">
        <v>8853.5516840031141</v>
      </c>
      <c r="J32" s="66">
        <v>9347.9051072190432</v>
      </c>
      <c r="K32" s="66">
        <v>9988.9613410264483</v>
      </c>
      <c r="L32" s="66">
        <v>9696.6186515437948</v>
      </c>
      <c r="M32" s="66">
        <v>8074.259273752079</v>
      </c>
      <c r="N32" s="66">
        <v>8369.9680643243701</v>
      </c>
      <c r="O32" s="66">
        <v>8683.4801373523878</v>
      </c>
      <c r="P32" s="66">
        <v>8660.1096799226016</v>
      </c>
      <c r="Q32" s="66">
        <v>8873.5881184128357</v>
      </c>
      <c r="R32" s="66">
        <v>9394.1392301103442</v>
      </c>
      <c r="S32" s="66">
        <v>9802.5104120000015</v>
      </c>
      <c r="T32" s="66">
        <v>10194.98443645654</v>
      </c>
      <c r="U32" s="66">
        <v>10955.421019749707</v>
      </c>
      <c r="V32" s="66">
        <v>11256.562356286197</v>
      </c>
      <c r="W32" s="66">
        <v>11732.447361220979</v>
      </c>
      <c r="X32" s="66">
        <v>11263.092687870285</v>
      </c>
      <c r="Y32" s="66">
        <v>11839.483282682922</v>
      </c>
      <c r="Z32" s="66">
        <v>12126.187789651623</v>
      </c>
      <c r="AA32" s="66">
        <v>12007.700000000003</v>
      </c>
    </row>
    <row r="33" spans="1:27" x14ac:dyDescent="0.25">
      <c r="A33" s="72" t="s">
        <v>158</v>
      </c>
      <c r="B33" s="65"/>
      <c r="C33" s="65"/>
      <c r="D33" s="66">
        <v>341.63606149210284</v>
      </c>
      <c r="E33" s="66">
        <v>339.84924722908312</v>
      </c>
      <c r="F33" s="66">
        <v>345.13594840576218</v>
      </c>
      <c r="G33" s="66">
        <v>352.98082794582609</v>
      </c>
      <c r="H33" s="66">
        <v>362.347426988395</v>
      </c>
      <c r="I33" s="66">
        <v>452.544640975118</v>
      </c>
      <c r="J33" s="66">
        <v>442.91410351409013</v>
      </c>
      <c r="K33" s="66">
        <v>540.15385431438563</v>
      </c>
      <c r="L33" s="66">
        <v>526.00812854442347</v>
      </c>
      <c r="M33" s="66">
        <v>250.49310753821828</v>
      </c>
      <c r="N33" s="66">
        <v>318.37457260577241</v>
      </c>
      <c r="O33" s="66">
        <v>398.91383104244619</v>
      </c>
      <c r="P33" s="66">
        <v>370.65574849333842</v>
      </c>
      <c r="Q33" s="66">
        <v>381.02750236785369</v>
      </c>
      <c r="R33" s="66">
        <v>458.35523555197261</v>
      </c>
      <c r="S33" s="66">
        <v>566.89953500000001</v>
      </c>
      <c r="T33" s="66">
        <v>576.50092091973147</v>
      </c>
      <c r="U33" s="66">
        <v>618.72053089558085</v>
      </c>
      <c r="V33" s="66">
        <v>608.9906763732123</v>
      </c>
      <c r="W33" s="66">
        <v>647.67938578940027</v>
      </c>
      <c r="X33" s="66">
        <v>510.40174342889634</v>
      </c>
      <c r="Y33" s="66">
        <v>515.14755716047841</v>
      </c>
      <c r="Z33" s="66">
        <v>701.42950366954824</v>
      </c>
      <c r="AA33" s="66">
        <v>621.79999999999995</v>
      </c>
    </row>
    <row r="34" spans="1:27" x14ac:dyDescent="0.25">
      <c r="A34" s="73" t="s">
        <v>5</v>
      </c>
      <c r="B34" s="65"/>
      <c r="C34" s="65"/>
      <c r="D34" s="66">
        <v>221.39629007047725</v>
      </c>
      <c r="E34" s="66">
        <v>220.23835010608997</v>
      </c>
      <c r="F34" s="66">
        <v>223.66438195447267</v>
      </c>
      <c r="G34" s="66">
        <v>228.74823410589454</v>
      </c>
      <c r="H34" s="66">
        <v>234.81823230674428</v>
      </c>
      <c r="I34" s="66">
        <v>293.27028348698838</v>
      </c>
      <c r="J34" s="66">
        <v>287.02924073540049</v>
      </c>
      <c r="K34" s="66">
        <v>350.04518811676553</v>
      </c>
      <c r="L34" s="66">
        <v>340.8780902637294</v>
      </c>
      <c r="M34" s="66">
        <v>117.21836914972064</v>
      </c>
      <c r="N34" s="66">
        <v>202.80929253500094</v>
      </c>
      <c r="O34" s="66">
        <v>262.72433583437038</v>
      </c>
      <c r="P34" s="66">
        <v>232.27425653422748</v>
      </c>
      <c r="Q34" s="66">
        <v>227.96145495202904</v>
      </c>
      <c r="R34" s="66">
        <v>266.6007214715965</v>
      </c>
      <c r="S34" s="66">
        <v>303.47876406803817</v>
      </c>
      <c r="T34" s="66">
        <v>258.84022302905339</v>
      </c>
      <c r="U34" s="66">
        <v>295.29793335108474</v>
      </c>
      <c r="V34" s="66">
        <v>286.74754656886762</v>
      </c>
      <c r="W34" s="66">
        <v>280.58054893957092</v>
      </c>
      <c r="X34" s="66">
        <v>203.24890847712956</v>
      </c>
      <c r="Y34" s="66">
        <v>294.60766260234908</v>
      </c>
      <c r="Z34" s="66">
        <v>419.88606587453404</v>
      </c>
      <c r="AA34" s="66">
        <v>433.27697866413678</v>
      </c>
    </row>
    <row r="35" spans="1:27" x14ac:dyDescent="0.25">
      <c r="A35" s="74" t="s">
        <v>264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221.39629007047725</v>
      </c>
      <c r="E36" s="45">
        <v>220.23835010608997</v>
      </c>
      <c r="F36" s="45">
        <v>223.66438195447267</v>
      </c>
      <c r="G36" s="45">
        <v>228.74823410589454</v>
      </c>
      <c r="H36" s="45">
        <v>234.81823230674428</v>
      </c>
      <c r="I36" s="45">
        <v>293.27028348698838</v>
      </c>
      <c r="J36" s="45">
        <v>287.02924073540049</v>
      </c>
      <c r="K36" s="45">
        <v>350.04518811676553</v>
      </c>
      <c r="L36" s="45">
        <v>340.8780902637294</v>
      </c>
      <c r="M36" s="45">
        <v>117.21836914972064</v>
      </c>
      <c r="N36" s="45">
        <v>202.80929253500094</v>
      </c>
      <c r="O36" s="45">
        <v>262.72433583437038</v>
      </c>
      <c r="P36" s="45">
        <v>232.27425653422748</v>
      </c>
      <c r="Q36" s="45">
        <v>227.96145495202904</v>
      </c>
      <c r="R36" s="45">
        <v>266.6007214715965</v>
      </c>
      <c r="S36" s="45">
        <v>303.47876406803817</v>
      </c>
      <c r="T36" s="45">
        <v>258.84022302905339</v>
      </c>
      <c r="U36" s="45">
        <v>295.29793335108474</v>
      </c>
      <c r="V36" s="45">
        <v>286.74754656886762</v>
      </c>
      <c r="W36" s="45">
        <v>280.58054893957092</v>
      </c>
      <c r="X36" s="45">
        <v>203.24890847712956</v>
      </c>
      <c r="Y36" s="45">
        <v>294.60766260234908</v>
      </c>
      <c r="Z36" s="45">
        <v>419.88606587453404</v>
      </c>
      <c r="AA36" s="45">
        <v>433.27697866413678</v>
      </c>
    </row>
    <row r="37" spans="1:27" x14ac:dyDescent="0.25">
      <c r="A37" s="73" t="s">
        <v>263</v>
      </c>
      <c r="B37" s="65"/>
      <c r="C37" s="65"/>
      <c r="D37" s="66">
        <v>120.23977142162559</v>
      </c>
      <c r="E37" s="66">
        <v>119.61089712299315</v>
      </c>
      <c r="F37" s="66">
        <v>121.47156645128953</v>
      </c>
      <c r="G37" s="66">
        <v>124.23259383993152</v>
      </c>
      <c r="H37" s="66">
        <v>127.52919468165075</v>
      </c>
      <c r="I37" s="66">
        <v>159.27435748812962</v>
      </c>
      <c r="J37" s="66">
        <v>155.88486277868964</v>
      </c>
      <c r="K37" s="66">
        <v>190.1086661976201</v>
      </c>
      <c r="L37" s="66">
        <v>185.13003828069407</v>
      </c>
      <c r="M37" s="66">
        <v>133.27473838849764</v>
      </c>
      <c r="N37" s="66">
        <v>115.56528007077148</v>
      </c>
      <c r="O37" s="66">
        <v>136.18949520807581</v>
      </c>
      <c r="P37" s="66">
        <v>138.38149195911097</v>
      </c>
      <c r="Q37" s="66">
        <v>153.06604741582464</v>
      </c>
      <c r="R37" s="66">
        <v>191.75451408037611</v>
      </c>
      <c r="S37" s="66">
        <v>263.42077093196184</v>
      </c>
      <c r="T37" s="66">
        <v>317.66069789067808</v>
      </c>
      <c r="U37" s="66">
        <v>323.42259754449611</v>
      </c>
      <c r="V37" s="66">
        <v>322.24312980434468</v>
      </c>
      <c r="W37" s="66">
        <v>367.09883684982935</v>
      </c>
      <c r="X37" s="66">
        <v>307.15283495176675</v>
      </c>
      <c r="Y37" s="66">
        <v>220.53989455812933</v>
      </c>
      <c r="Z37" s="66">
        <v>281.54343779501414</v>
      </c>
      <c r="AA37" s="66">
        <v>188.52302133586323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50.632587448776086</v>
      </c>
      <c r="E39" s="45">
        <v>50.367770470638803</v>
      </c>
      <c r="F39" s="45">
        <v>51.151292439820438</v>
      </c>
      <c r="G39" s="45">
        <v>52.313952340542251</v>
      </c>
      <c r="H39" s="45">
        <v>53.702140528431961</v>
      </c>
      <c r="I39" s="45">
        <v>67.069928181973594</v>
      </c>
      <c r="J39" s="45">
        <v>65.642622680193355</v>
      </c>
      <c r="K39" s="45">
        <v>80.054158056141844</v>
      </c>
      <c r="L39" s="45">
        <v>77.957673586833067</v>
      </c>
      <c r="M39" s="45">
        <v>77.844897093071722</v>
      </c>
      <c r="N39" s="45">
        <v>62.030589393933639</v>
      </c>
      <c r="O39" s="45">
        <v>83.696941136749999</v>
      </c>
      <c r="P39" s="45">
        <v>91.019607381177892</v>
      </c>
      <c r="Q39" s="45">
        <v>105.49793595091749</v>
      </c>
      <c r="R39" s="45">
        <v>130.64061453989146</v>
      </c>
      <c r="S39" s="45">
        <v>187.97424803103934</v>
      </c>
      <c r="T39" s="45">
        <v>248.16990032035991</v>
      </c>
      <c r="U39" s="45">
        <v>229.36369860244741</v>
      </c>
      <c r="V39" s="45">
        <v>210.60274190438162</v>
      </c>
      <c r="W39" s="45">
        <v>235.33140746215409</v>
      </c>
      <c r="X39" s="45">
        <v>170.45422351527714</v>
      </c>
      <c r="Y39" s="45">
        <v>61.984394817314438</v>
      </c>
      <c r="Z39" s="45">
        <v>121.98378298964917</v>
      </c>
      <c r="AA39" s="45">
        <v>77.47831493106716</v>
      </c>
    </row>
    <row r="40" spans="1:27" x14ac:dyDescent="0.25">
      <c r="A40" s="75" t="s">
        <v>267</v>
      </c>
      <c r="B40" s="76"/>
      <c r="C40" s="76"/>
      <c r="D40" s="45">
        <v>50.632587448776086</v>
      </c>
      <c r="E40" s="45">
        <v>50.367770470638803</v>
      </c>
      <c r="F40" s="45">
        <v>51.151292439820438</v>
      </c>
      <c r="G40" s="45">
        <v>52.313952340542251</v>
      </c>
      <c r="H40" s="45">
        <v>53.702140528431961</v>
      </c>
      <c r="I40" s="45">
        <v>67.069928181973594</v>
      </c>
      <c r="J40" s="45">
        <v>59.220802696243304</v>
      </c>
      <c r="K40" s="45">
        <v>71.296056524334873</v>
      </c>
      <c r="L40" s="45">
        <v>66.253431046818918</v>
      </c>
      <c r="M40" s="45">
        <v>63.342475814575067</v>
      </c>
      <c r="N40" s="45">
        <v>46.554928483517962</v>
      </c>
      <c r="O40" s="45">
        <v>71.774976197895029</v>
      </c>
      <c r="P40" s="45">
        <v>78.147927708470391</v>
      </c>
      <c r="Q40" s="45">
        <v>90.721224165648749</v>
      </c>
      <c r="R40" s="45">
        <v>122.8149681971593</v>
      </c>
      <c r="S40" s="45">
        <v>174.95664082667372</v>
      </c>
      <c r="T40" s="45">
        <v>225.02150747593711</v>
      </c>
      <c r="U40" s="45">
        <v>193.40901943000247</v>
      </c>
      <c r="V40" s="45">
        <v>181.83530242869301</v>
      </c>
      <c r="W40" s="45">
        <v>219.08667798452575</v>
      </c>
      <c r="X40" s="45">
        <v>130.14535072125636</v>
      </c>
      <c r="Y40" s="45">
        <v>41.39653002040577</v>
      </c>
      <c r="Z40" s="45">
        <v>76.564196326745019</v>
      </c>
      <c r="AA40" s="45">
        <v>54.730702004988636</v>
      </c>
    </row>
    <row r="41" spans="1:27" x14ac:dyDescent="0.25">
      <c r="A41" s="75" t="s">
        <v>268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6.4218199839500514</v>
      </c>
      <c r="K41" s="45">
        <v>8.7581015318069717</v>
      </c>
      <c r="L41" s="45">
        <v>11.70424254001415</v>
      </c>
      <c r="M41" s="45">
        <v>14.502421278496655</v>
      </c>
      <c r="N41" s="45">
        <v>15.475660910415677</v>
      </c>
      <c r="O41" s="45">
        <v>11.92196493885497</v>
      </c>
      <c r="P41" s="45">
        <v>12.871679672707501</v>
      </c>
      <c r="Q41" s="45">
        <v>14.776711785268745</v>
      </c>
      <c r="R41" s="45">
        <v>7.8256463427321563</v>
      </c>
      <c r="S41" s="45">
        <v>13.017607204365618</v>
      </c>
      <c r="T41" s="45">
        <v>23.148392844422801</v>
      </c>
      <c r="U41" s="45">
        <v>35.954679172444941</v>
      </c>
      <c r="V41" s="45">
        <v>28.767439475688604</v>
      </c>
      <c r="W41" s="45">
        <v>16.24472947762834</v>
      </c>
      <c r="X41" s="45">
        <v>40.308872794020772</v>
      </c>
      <c r="Y41" s="45">
        <v>20.587864796908669</v>
      </c>
      <c r="Z41" s="45">
        <v>45.419586662904152</v>
      </c>
      <c r="AA41" s="45">
        <v>22.747612926078524</v>
      </c>
    </row>
    <row r="42" spans="1:27" x14ac:dyDescent="0.25">
      <c r="A42" s="74" t="s">
        <v>13</v>
      </c>
      <c r="B42" s="44"/>
      <c r="C42" s="44"/>
      <c r="D42" s="45">
        <v>69.607183972849498</v>
      </c>
      <c r="E42" s="45">
        <v>69.243126652354348</v>
      </c>
      <c r="F42" s="45">
        <v>70.320274011469095</v>
      </c>
      <c r="G42" s="45">
        <v>71.918641499389267</v>
      </c>
      <c r="H42" s="45">
        <v>73.827054153218796</v>
      </c>
      <c r="I42" s="45">
        <v>92.20442930615603</v>
      </c>
      <c r="J42" s="45">
        <v>90.242240098496282</v>
      </c>
      <c r="K42" s="45">
        <v>110.05450814147825</v>
      </c>
      <c r="L42" s="45">
        <v>107.172364693861</v>
      </c>
      <c r="M42" s="45">
        <v>55.429841295425916</v>
      </c>
      <c r="N42" s="45">
        <v>53.53469067683784</v>
      </c>
      <c r="O42" s="45">
        <v>52.492554071325806</v>
      </c>
      <c r="P42" s="45">
        <v>47.361884577933083</v>
      </c>
      <c r="Q42" s="45">
        <v>47.568111464907133</v>
      </c>
      <c r="R42" s="45">
        <v>61.113899540484653</v>
      </c>
      <c r="S42" s="45">
        <v>75.446522900922503</v>
      </c>
      <c r="T42" s="45">
        <v>69.490797570318136</v>
      </c>
      <c r="U42" s="45">
        <v>94.0588989420487</v>
      </c>
      <c r="V42" s="45">
        <v>111.64038789996307</v>
      </c>
      <c r="W42" s="45">
        <v>131.76742938767529</v>
      </c>
      <c r="X42" s="45">
        <v>136.69861143648961</v>
      </c>
      <c r="Y42" s="45">
        <v>158.55549974081489</v>
      </c>
      <c r="Z42" s="45">
        <v>159.55965480536497</v>
      </c>
      <c r="AA42" s="45">
        <v>111.04470640479606</v>
      </c>
    </row>
    <row r="43" spans="1:27" x14ac:dyDescent="0.25">
      <c r="A43" s="72" t="s">
        <v>265</v>
      </c>
      <c r="B43" s="65"/>
      <c r="C43" s="65"/>
      <c r="D43" s="66">
        <v>1021.5138867963074</v>
      </c>
      <c r="E43" s="66">
        <v>1076.2992664672515</v>
      </c>
      <c r="F43" s="66">
        <v>1121.6117171960702</v>
      </c>
      <c r="G43" s="66">
        <v>1384.7950651219858</v>
      </c>
      <c r="H43" s="66">
        <v>1449.544425044523</v>
      </c>
      <c r="I43" s="66">
        <v>1375.9062502863951</v>
      </c>
      <c r="J43" s="66">
        <v>1631.9773032446392</v>
      </c>
      <c r="K43" s="66">
        <v>1622.1882135163519</v>
      </c>
      <c r="L43" s="66">
        <v>1501.1346565847512</v>
      </c>
      <c r="M43" s="66">
        <v>1397.1829112769151</v>
      </c>
      <c r="N43" s="66">
        <v>1509.4524024270254</v>
      </c>
      <c r="O43" s="66">
        <v>1580.9105253073287</v>
      </c>
      <c r="P43" s="66">
        <v>1586.8406204019109</v>
      </c>
      <c r="Q43" s="66">
        <v>1693.2621133345426</v>
      </c>
      <c r="R43" s="66">
        <v>1721.4440348667308</v>
      </c>
      <c r="S43" s="66">
        <v>1637.2962420000001</v>
      </c>
      <c r="T43" s="66">
        <v>1507.1945309250787</v>
      </c>
      <c r="U43" s="66">
        <v>1756.7452502933127</v>
      </c>
      <c r="V43" s="66">
        <v>1823.9283439399292</v>
      </c>
      <c r="W43" s="66">
        <v>2040.0168889302502</v>
      </c>
      <c r="X43" s="66">
        <v>2232.5047836534054</v>
      </c>
      <c r="Y43" s="66">
        <v>2147.794635227659</v>
      </c>
      <c r="Z43" s="66">
        <v>2103.5098864406641</v>
      </c>
      <c r="AA43" s="66">
        <v>2038.6999999999998</v>
      </c>
    </row>
    <row r="44" spans="1:27" x14ac:dyDescent="0.25">
      <c r="A44" s="73" t="s">
        <v>266</v>
      </c>
      <c r="B44" s="65"/>
      <c r="C44" s="65"/>
      <c r="D44" s="66">
        <v>388.98651412811705</v>
      </c>
      <c r="E44" s="66">
        <v>407.81909667489975</v>
      </c>
      <c r="F44" s="66">
        <v>421.40554517509497</v>
      </c>
      <c r="G44" s="66">
        <v>443.30377636732578</v>
      </c>
      <c r="H44" s="66">
        <v>463.99655573791483</v>
      </c>
      <c r="I44" s="66">
        <v>447.06294276680569</v>
      </c>
      <c r="J44" s="66">
        <v>464.25396766588085</v>
      </c>
      <c r="K44" s="66">
        <v>474.10946988969124</v>
      </c>
      <c r="L44" s="66">
        <v>422.34429741650922</v>
      </c>
      <c r="M44" s="66">
        <v>401.81304286119786</v>
      </c>
      <c r="N44" s="66">
        <v>444.93425508363407</v>
      </c>
      <c r="O44" s="66">
        <v>489.66136585956178</v>
      </c>
      <c r="P44" s="66">
        <v>483.71445891197874</v>
      </c>
      <c r="Q44" s="66">
        <v>497.41164983979212</v>
      </c>
      <c r="R44" s="66">
        <v>543.14157807225286</v>
      </c>
      <c r="S44" s="66">
        <v>492.46489500000001</v>
      </c>
      <c r="T44" s="66">
        <v>473.96799457350528</v>
      </c>
      <c r="U44" s="66">
        <v>505.65880817364109</v>
      </c>
      <c r="V44" s="66">
        <v>491.1746958753543</v>
      </c>
      <c r="W44" s="66">
        <v>506.91178819040533</v>
      </c>
      <c r="X44" s="66">
        <v>542.09614354628661</v>
      </c>
      <c r="Y44" s="66">
        <v>574.55110388101332</v>
      </c>
      <c r="Z44" s="66">
        <v>495.42768939806024</v>
      </c>
      <c r="AA44" s="66">
        <v>447.6</v>
      </c>
    </row>
    <row r="45" spans="1:27" x14ac:dyDescent="0.25">
      <c r="A45" s="74" t="s">
        <v>20</v>
      </c>
      <c r="B45" s="44"/>
      <c r="C45" s="44"/>
      <c r="D45" s="45">
        <v>56.513750361240774</v>
      </c>
      <c r="E45" s="45">
        <v>57.86562331197814</v>
      </c>
      <c r="F45" s="45">
        <v>58.821619764434395</v>
      </c>
      <c r="G45" s="45">
        <v>60.330589913911012</v>
      </c>
      <c r="H45" s="45">
        <v>61.722603244044855</v>
      </c>
      <c r="I45" s="45">
        <v>60.585848240251856</v>
      </c>
      <c r="J45" s="45">
        <v>61.739721831612854</v>
      </c>
      <c r="K45" s="45">
        <v>69.324007725350256</v>
      </c>
      <c r="L45" s="45">
        <v>65.430112087329164</v>
      </c>
      <c r="M45" s="45">
        <v>43.180716254073943</v>
      </c>
      <c r="N45" s="45">
        <v>33.222152983097374</v>
      </c>
      <c r="O45" s="45">
        <v>31.836934055694179</v>
      </c>
      <c r="P45" s="45">
        <v>33.959093027951084</v>
      </c>
      <c r="Q45" s="45">
        <v>36.584002216428118</v>
      </c>
      <c r="R45" s="45">
        <v>52.440426070690258</v>
      </c>
      <c r="S45" s="45">
        <v>101.13734513730704</v>
      </c>
      <c r="T45" s="45">
        <v>87.27954299673506</v>
      </c>
      <c r="U45" s="45">
        <v>109.63294621168099</v>
      </c>
      <c r="V45" s="45">
        <v>108.09349290801734</v>
      </c>
      <c r="W45" s="45">
        <v>90.406136613001138</v>
      </c>
      <c r="X45" s="45">
        <v>78.808182364063526</v>
      </c>
      <c r="Y45" s="45">
        <v>89.275515587605938</v>
      </c>
      <c r="Z45" s="45">
        <v>98.96861731577485</v>
      </c>
      <c r="AA45" s="45">
        <v>55.565443472031603</v>
      </c>
    </row>
    <row r="46" spans="1:27" x14ac:dyDescent="0.25">
      <c r="A46" s="74" t="s">
        <v>12</v>
      </c>
      <c r="B46" s="44"/>
      <c r="C46" s="44"/>
      <c r="D46" s="45">
        <v>332.47276376687626</v>
      </c>
      <c r="E46" s="45">
        <v>349.95347336292161</v>
      </c>
      <c r="F46" s="45">
        <v>362.58392541066058</v>
      </c>
      <c r="G46" s="45">
        <v>382.97318645341477</v>
      </c>
      <c r="H46" s="45">
        <v>402.27395249386996</v>
      </c>
      <c r="I46" s="45">
        <v>386.47709452655386</v>
      </c>
      <c r="J46" s="45">
        <v>402.51424583426797</v>
      </c>
      <c r="K46" s="45">
        <v>404.78546216434097</v>
      </c>
      <c r="L46" s="45">
        <v>356.91418532918004</v>
      </c>
      <c r="M46" s="45">
        <v>358.6323266071239</v>
      </c>
      <c r="N46" s="45">
        <v>411.7121021005367</v>
      </c>
      <c r="O46" s="45">
        <v>457.82443180386758</v>
      </c>
      <c r="P46" s="45">
        <v>449.75536588402764</v>
      </c>
      <c r="Q46" s="45">
        <v>460.82764762336399</v>
      </c>
      <c r="R46" s="45">
        <v>490.7011520015626</v>
      </c>
      <c r="S46" s="45">
        <v>391.32754986269299</v>
      </c>
      <c r="T46" s="45">
        <v>386.68845157677021</v>
      </c>
      <c r="U46" s="45">
        <v>396.02586196196012</v>
      </c>
      <c r="V46" s="45">
        <v>383.08120296733694</v>
      </c>
      <c r="W46" s="45">
        <v>416.50565157740419</v>
      </c>
      <c r="X46" s="45">
        <v>463.28796118222306</v>
      </c>
      <c r="Y46" s="45">
        <v>485.2755882934074</v>
      </c>
      <c r="Z46" s="45">
        <v>396.45907208228539</v>
      </c>
      <c r="AA46" s="45">
        <v>392.03455652796845</v>
      </c>
    </row>
    <row r="47" spans="1:27" x14ac:dyDescent="0.25">
      <c r="A47" s="73" t="s">
        <v>11</v>
      </c>
      <c r="B47" s="65"/>
      <c r="C47" s="65"/>
      <c r="D47" s="66">
        <v>632.52737266819031</v>
      </c>
      <c r="E47" s="66">
        <v>668.48016979235183</v>
      </c>
      <c r="F47" s="66">
        <v>700.20617202097526</v>
      </c>
      <c r="G47" s="66">
        <v>941.4912887546601</v>
      </c>
      <c r="H47" s="66">
        <v>985.54786930660805</v>
      </c>
      <c r="I47" s="66">
        <v>928.84330751958942</v>
      </c>
      <c r="J47" s="66">
        <v>1167.7233355787585</v>
      </c>
      <c r="K47" s="66">
        <v>1148.0787436266605</v>
      </c>
      <c r="L47" s="66">
        <v>1078.790359168242</v>
      </c>
      <c r="M47" s="66">
        <v>995.36986841571729</v>
      </c>
      <c r="N47" s="66">
        <v>1064.5181473433913</v>
      </c>
      <c r="O47" s="66">
        <v>1091.2491594477669</v>
      </c>
      <c r="P47" s="66">
        <v>1103.1261614899322</v>
      </c>
      <c r="Q47" s="66">
        <v>1195.8504634947506</v>
      </c>
      <c r="R47" s="66">
        <v>1178.3024567944781</v>
      </c>
      <c r="S47" s="66">
        <v>1144.8313470000001</v>
      </c>
      <c r="T47" s="66">
        <v>1033.2265363515735</v>
      </c>
      <c r="U47" s="66">
        <v>1251.0864421196716</v>
      </c>
      <c r="V47" s="66">
        <v>1332.7536480645749</v>
      </c>
      <c r="W47" s="66">
        <v>1533.1051007398448</v>
      </c>
      <c r="X47" s="66">
        <v>1690.4086401071188</v>
      </c>
      <c r="Y47" s="66">
        <v>1573.2435313466456</v>
      </c>
      <c r="Z47" s="66">
        <v>1608.0821970426039</v>
      </c>
      <c r="AA47" s="66">
        <v>1591.1</v>
      </c>
    </row>
    <row r="48" spans="1:27" x14ac:dyDescent="0.25">
      <c r="A48" s="72" t="s">
        <v>4</v>
      </c>
      <c r="B48" s="65"/>
      <c r="C48" s="65"/>
      <c r="D48" s="66">
        <v>364.88700060010984</v>
      </c>
      <c r="E48" s="66">
        <v>376.47377775571255</v>
      </c>
      <c r="F48" s="66">
        <v>364.20334759809532</v>
      </c>
      <c r="G48" s="66">
        <v>398.45592350526164</v>
      </c>
      <c r="H48" s="66">
        <v>409.38142263505262</v>
      </c>
      <c r="I48" s="66">
        <v>415.0863698849837</v>
      </c>
      <c r="J48" s="66">
        <v>465.14934658134047</v>
      </c>
      <c r="K48" s="66">
        <v>485.90824880652121</v>
      </c>
      <c r="L48" s="66">
        <v>455.98355387523628</v>
      </c>
      <c r="M48" s="66">
        <v>336.19166396334305</v>
      </c>
      <c r="N48" s="66">
        <v>348.48188135454245</v>
      </c>
      <c r="O48" s="66">
        <v>315.67273928258095</v>
      </c>
      <c r="P48" s="66">
        <v>322.29769818394374</v>
      </c>
      <c r="Q48" s="66">
        <v>337.90242125627236</v>
      </c>
      <c r="R48" s="66">
        <v>362.04973749181238</v>
      </c>
      <c r="S48" s="66">
        <v>396.09862000000004</v>
      </c>
      <c r="T48" s="66">
        <v>405.393341651318</v>
      </c>
      <c r="U48" s="66">
        <v>409.62132186155662</v>
      </c>
      <c r="V48" s="66">
        <v>438.29066587793039</v>
      </c>
      <c r="W48" s="66">
        <v>452.48494904843886</v>
      </c>
      <c r="X48" s="66">
        <v>421.90122617802962</v>
      </c>
      <c r="Y48" s="66">
        <v>456.45685300059</v>
      </c>
      <c r="Z48" s="66">
        <v>450.82362486087516</v>
      </c>
      <c r="AA48" s="66">
        <v>472.1</v>
      </c>
    </row>
    <row r="49" spans="1:27" x14ac:dyDescent="0.25">
      <c r="A49" s="77" t="s">
        <v>10</v>
      </c>
      <c r="B49" s="44"/>
      <c r="C49" s="44"/>
      <c r="D49" s="45">
        <v>190.36260344675972</v>
      </c>
      <c r="E49" s="45">
        <v>171.18946604832681</v>
      </c>
      <c r="F49" s="45">
        <v>197.83908577454994</v>
      </c>
      <c r="G49" s="45">
        <v>213.16113229624673</v>
      </c>
      <c r="H49" s="45">
        <v>174.76863847896163</v>
      </c>
      <c r="I49" s="45">
        <v>149.50900374146298</v>
      </c>
      <c r="J49" s="45">
        <v>194.23267539599664</v>
      </c>
      <c r="K49" s="45">
        <v>184.91903162079544</v>
      </c>
      <c r="L49" s="45">
        <v>196.65533965212717</v>
      </c>
      <c r="M49" s="45">
        <v>136.02582282035885</v>
      </c>
      <c r="N49" s="45">
        <v>116.09748153496925</v>
      </c>
      <c r="O49" s="45">
        <v>88.618624328125449</v>
      </c>
      <c r="P49" s="45">
        <v>121.61649157663514</v>
      </c>
      <c r="Q49" s="45">
        <v>142.50972938202904</v>
      </c>
      <c r="R49" s="45">
        <v>136.61607306110125</v>
      </c>
      <c r="S49" s="45">
        <v>139.76631140567284</v>
      </c>
      <c r="T49" s="45">
        <v>101.03473976210108</v>
      </c>
      <c r="U49" s="45">
        <v>103.64572980944924</v>
      </c>
      <c r="V49" s="45">
        <v>145.17756074447732</v>
      </c>
      <c r="W49" s="45">
        <v>132.1545543562265</v>
      </c>
      <c r="X49" s="45">
        <v>120.20307731253932</v>
      </c>
      <c r="Y49" s="45">
        <v>160.62826434188025</v>
      </c>
      <c r="Z49" s="45">
        <v>168.479867545383</v>
      </c>
      <c r="AA49" s="45">
        <v>128.24899235008638</v>
      </c>
    </row>
    <row r="50" spans="1:27" x14ac:dyDescent="0.25">
      <c r="A50" s="77" t="s">
        <v>18</v>
      </c>
      <c r="B50" s="44"/>
      <c r="C50" s="44"/>
      <c r="D50" s="45">
        <v>75.295091191590458</v>
      </c>
      <c r="E50" s="45">
        <v>72.677218245975766</v>
      </c>
      <c r="F50" s="45">
        <v>87.574890794561483</v>
      </c>
      <c r="G50" s="45">
        <v>74.372251353211595</v>
      </c>
      <c r="H50" s="45">
        <v>76.015653030568259</v>
      </c>
      <c r="I50" s="45">
        <v>71.339654872024738</v>
      </c>
      <c r="J50" s="45">
        <v>91.636016360847876</v>
      </c>
      <c r="K50" s="45">
        <v>92.503863137321972</v>
      </c>
      <c r="L50" s="45">
        <v>83.767125194274669</v>
      </c>
      <c r="M50" s="45">
        <v>63.669062973078233</v>
      </c>
      <c r="N50" s="45">
        <v>61.010071557907779</v>
      </c>
      <c r="O50" s="45">
        <v>66.698002267146549</v>
      </c>
      <c r="P50" s="45">
        <v>70.858400316256066</v>
      </c>
      <c r="Q50" s="45">
        <v>61.00597318850614</v>
      </c>
      <c r="R50" s="45">
        <v>65.294547309109021</v>
      </c>
      <c r="S50" s="45">
        <v>87.702614887880756</v>
      </c>
      <c r="T50" s="45">
        <v>95.60101519032763</v>
      </c>
      <c r="U50" s="45">
        <v>88.306504735533196</v>
      </c>
      <c r="V50" s="45">
        <v>98.824816175482141</v>
      </c>
      <c r="W50" s="45">
        <v>112.82087051351782</v>
      </c>
      <c r="X50" s="45">
        <v>105.71675443126301</v>
      </c>
      <c r="Y50" s="45">
        <v>104.96198949959377</v>
      </c>
      <c r="Z50" s="45">
        <v>104.79948222380236</v>
      </c>
      <c r="AA50" s="45">
        <v>97.39325491486386</v>
      </c>
    </row>
    <row r="51" spans="1:27" x14ac:dyDescent="0.25">
      <c r="A51" s="77" t="s">
        <v>9</v>
      </c>
      <c r="B51" s="44"/>
      <c r="C51" s="44"/>
      <c r="D51" s="45">
        <v>99.229305961759664</v>
      </c>
      <c r="E51" s="45">
        <v>132.60709346140999</v>
      </c>
      <c r="F51" s="45">
        <v>78.789371028983894</v>
      </c>
      <c r="G51" s="45">
        <v>110.92253985580331</v>
      </c>
      <c r="H51" s="45">
        <v>158.59713112552271</v>
      </c>
      <c r="I51" s="45">
        <v>194.23771127149601</v>
      </c>
      <c r="J51" s="45">
        <v>179.28065482449597</v>
      </c>
      <c r="K51" s="45">
        <v>208.48535404840385</v>
      </c>
      <c r="L51" s="45">
        <v>175.56108902883443</v>
      </c>
      <c r="M51" s="45">
        <v>136.49677816990595</v>
      </c>
      <c r="N51" s="45">
        <v>171.37432826166543</v>
      </c>
      <c r="O51" s="45">
        <v>160.35611268730895</v>
      </c>
      <c r="P51" s="45">
        <v>129.82280629105253</v>
      </c>
      <c r="Q51" s="45">
        <v>134.38671868573718</v>
      </c>
      <c r="R51" s="45">
        <v>160.13911712160211</v>
      </c>
      <c r="S51" s="45">
        <v>168.6296937064464</v>
      </c>
      <c r="T51" s="45">
        <v>208.75758669888927</v>
      </c>
      <c r="U51" s="45">
        <v>217.66908731657421</v>
      </c>
      <c r="V51" s="45">
        <v>194.28828895797093</v>
      </c>
      <c r="W51" s="45">
        <v>207.50952417869456</v>
      </c>
      <c r="X51" s="45">
        <v>195.98139443422727</v>
      </c>
      <c r="Y51" s="45">
        <v>190.86659915911599</v>
      </c>
      <c r="Z51" s="45">
        <v>177.5442750916898</v>
      </c>
      <c r="AA51" s="45">
        <v>246.45775273504978</v>
      </c>
    </row>
    <row r="52" spans="1:27" x14ac:dyDescent="0.25">
      <c r="A52" s="72" t="s">
        <v>3</v>
      </c>
      <c r="B52" s="65"/>
      <c r="C52" s="65"/>
      <c r="D52" s="66">
        <v>486.40285754414651</v>
      </c>
      <c r="E52" s="66">
        <v>531.38564336159061</v>
      </c>
      <c r="F52" s="66">
        <v>564.33092399493717</v>
      </c>
      <c r="G52" s="66">
        <v>489.4061146241329</v>
      </c>
      <c r="H52" s="66">
        <v>512.26828811211612</v>
      </c>
      <c r="I52" s="66">
        <v>488.93702630252488</v>
      </c>
      <c r="J52" s="66">
        <v>476.19235320534415</v>
      </c>
      <c r="K52" s="66">
        <v>501.73587906080513</v>
      </c>
      <c r="L52" s="66">
        <v>456.53276622558292</v>
      </c>
      <c r="M52" s="66">
        <v>463.93102165362319</v>
      </c>
      <c r="N52" s="66">
        <v>385.40079841751401</v>
      </c>
      <c r="O52" s="66">
        <v>397.97552566028992</v>
      </c>
      <c r="P52" s="66">
        <v>395.83944228327243</v>
      </c>
      <c r="Q52" s="66">
        <v>398.17039175382399</v>
      </c>
      <c r="R52" s="66">
        <v>442.6838262709731</v>
      </c>
      <c r="S52" s="66">
        <v>438.36686199999997</v>
      </c>
      <c r="T52" s="66">
        <v>445.27456974234053</v>
      </c>
      <c r="U52" s="66">
        <v>446.91869475948374</v>
      </c>
      <c r="V52" s="66">
        <v>429.41325077044911</v>
      </c>
      <c r="W52" s="66">
        <v>465.47317202549908</v>
      </c>
      <c r="X52" s="66">
        <v>451.03569397824617</v>
      </c>
      <c r="Y52" s="66">
        <v>406.43906666189957</v>
      </c>
      <c r="Z52" s="66">
        <v>443.70477166790801</v>
      </c>
      <c r="AA52" s="66">
        <v>461.49999999999994</v>
      </c>
    </row>
    <row r="53" spans="1:27" x14ac:dyDescent="0.25">
      <c r="A53" s="73" t="s">
        <v>21</v>
      </c>
      <c r="B53" s="65"/>
      <c r="C53" s="65"/>
      <c r="D53" s="66">
        <v>260.68206182407846</v>
      </c>
      <c r="E53" s="66">
        <v>292.83126885030225</v>
      </c>
      <c r="F53" s="66">
        <v>301.55332168042912</v>
      </c>
      <c r="G53" s="66">
        <v>256.69907389929688</v>
      </c>
      <c r="H53" s="66">
        <v>270.90962624111</v>
      </c>
      <c r="I53" s="66">
        <v>259.16250973743297</v>
      </c>
      <c r="J53" s="66">
        <v>235.48465476591451</v>
      </c>
      <c r="K53" s="66">
        <v>256.1198350238696</v>
      </c>
      <c r="L53" s="66">
        <v>214.74202898550726</v>
      </c>
      <c r="M53" s="66">
        <v>258.71262317018778</v>
      </c>
      <c r="N53" s="66">
        <v>197.53664111183997</v>
      </c>
      <c r="O53" s="66">
        <v>206.02505319631709</v>
      </c>
      <c r="P53" s="66">
        <v>210.57854594561908</v>
      </c>
      <c r="Q53" s="66">
        <v>217.50040908449716</v>
      </c>
      <c r="R53" s="66">
        <v>251.94804151760974</v>
      </c>
      <c r="S53" s="66">
        <v>241.24798500000003</v>
      </c>
      <c r="T53" s="66">
        <v>247.05302022062463</v>
      </c>
      <c r="U53" s="66">
        <v>246.91640594446619</v>
      </c>
      <c r="V53" s="66">
        <v>234.36375883750446</v>
      </c>
      <c r="W53" s="66">
        <v>269.53655111442004</v>
      </c>
      <c r="X53" s="66">
        <v>277.44790256607791</v>
      </c>
      <c r="Y53" s="66">
        <v>219.91192995942009</v>
      </c>
      <c r="Z53" s="66">
        <v>239.70513485694204</v>
      </c>
      <c r="AA53" s="66">
        <v>256.8</v>
      </c>
    </row>
    <row r="54" spans="1:27" x14ac:dyDescent="0.25">
      <c r="A54" s="74" t="s">
        <v>8</v>
      </c>
      <c r="B54" s="44"/>
      <c r="C54" s="44"/>
      <c r="D54" s="45">
        <v>14.559873895009945</v>
      </c>
      <c r="E54" s="45">
        <v>10.619450071129053</v>
      </c>
      <c r="F54" s="45">
        <v>9.8328575067676613</v>
      </c>
      <c r="G54" s="45">
        <v>16.650105028939041</v>
      </c>
      <c r="H54" s="45">
        <v>15.714333641739129</v>
      </c>
      <c r="I54" s="45">
        <v>8.2140179531483923</v>
      </c>
      <c r="J54" s="45">
        <v>7.9030512478753199</v>
      </c>
      <c r="K54" s="45">
        <v>3.5300685528077436</v>
      </c>
      <c r="L54" s="45">
        <v>8.3415051246004968</v>
      </c>
      <c r="M54" s="45">
        <v>9.2840940510946623</v>
      </c>
      <c r="N54" s="45">
        <v>1.6617579121215138</v>
      </c>
      <c r="O54" s="45">
        <v>1.8748040694345764</v>
      </c>
      <c r="P54" s="45">
        <v>2.4967661194553905</v>
      </c>
      <c r="Q54" s="45">
        <v>3.295334877045347</v>
      </c>
      <c r="R54" s="45">
        <v>3.9558221203553474</v>
      </c>
      <c r="S54" s="45">
        <v>4.1885148660966198</v>
      </c>
      <c r="T54" s="45">
        <v>3.7529846702618297</v>
      </c>
      <c r="U54" s="45">
        <v>4.1093149257654096</v>
      </c>
      <c r="V54" s="45">
        <v>4.1010871731907574</v>
      </c>
      <c r="W54" s="45">
        <v>4.4700349984230003</v>
      </c>
      <c r="X54" s="45">
        <v>4.9607543242976888</v>
      </c>
      <c r="Y54" s="45">
        <v>4.0025408909453075</v>
      </c>
      <c r="Z54" s="45">
        <v>4.1251551121743395</v>
      </c>
      <c r="AA54" s="45">
        <v>3.3237172942019035</v>
      </c>
    </row>
    <row r="55" spans="1:27" x14ac:dyDescent="0.25">
      <c r="A55" s="74" t="s">
        <v>17</v>
      </c>
      <c r="B55" s="44"/>
      <c r="C55" s="44"/>
      <c r="D55" s="45">
        <v>246.1221879290685</v>
      </c>
      <c r="E55" s="45">
        <v>282.2118187791732</v>
      </c>
      <c r="F55" s="45">
        <v>291.72046417366147</v>
      </c>
      <c r="G55" s="45">
        <v>240.04896887035784</v>
      </c>
      <c r="H55" s="45">
        <v>255.19529259937087</v>
      </c>
      <c r="I55" s="45">
        <v>250.94849178428458</v>
      </c>
      <c r="J55" s="45">
        <v>227.5816035180392</v>
      </c>
      <c r="K55" s="45">
        <v>252.58976647106186</v>
      </c>
      <c r="L55" s="45">
        <v>206.40052386090676</v>
      </c>
      <c r="M55" s="45">
        <v>249.42852911909313</v>
      </c>
      <c r="N55" s="45">
        <v>195.87488319971845</v>
      </c>
      <c r="O55" s="45">
        <v>204.1502491268825</v>
      </c>
      <c r="P55" s="45">
        <v>208.08177982616368</v>
      </c>
      <c r="Q55" s="45">
        <v>214.20507420745182</v>
      </c>
      <c r="R55" s="45">
        <v>247.99221939725439</v>
      </c>
      <c r="S55" s="45">
        <v>237.0594701339034</v>
      </c>
      <c r="T55" s="45">
        <v>243.30003555036279</v>
      </c>
      <c r="U55" s="45">
        <v>242.80709101870079</v>
      </c>
      <c r="V55" s="45">
        <v>230.2626716643137</v>
      </c>
      <c r="W55" s="45">
        <v>265.06651611599705</v>
      </c>
      <c r="X55" s="45">
        <v>272.48714824178023</v>
      </c>
      <c r="Y55" s="45">
        <v>215.90938906847478</v>
      </c>
      <c r="Z55" s="45">
        <v>235.57997974476771</v>
      </c>
      <c r="AA55" s="45">
        <v>253.4762827057981</v>
      </c>
    </row>
    <row r="56" spans="1:27" x14ac:dyDescent="0.25">
      <c r="A56" s="73" t="s">
        <v>16</v>
      </c>
      <c r="B56" s="65"/>
      <c r="C56" s="65"/>
      <c r="D56" s="66">
        <v>225.72079572006803</v>
      </c>
      <c r="E56" s="66">
        <v>238.55437451128842</v>
      </c>
      <c r="F56" s="66">
        <v>262.77760231450799</v>
      </c>
      <c r="G56" s="66">
        <v>232.70704072483599</v>
      </c>
      <c r="H56" s="66">
        <v>241.35866187100606</v>
      </c>
      <c r="I56" s="66">
        <v>229.77451656509191</v>
      </c>
      <c r="J56" s="66">
        <v>240.70769843942963</v>
      </c>
      <c r="K56" s="66">
        <v>245.61604403693553</v>
      </c>
      <c r="L56" s="66">
        <v>241.79073724007566</v>
      </c>
      <c r="M56" s="66">
        <v>205.21839848343541</v>
      </c>
      <c r="N56" s="66">
        <v>187.86415730567407</v>
      </c>
      <c r="O56" s="66">
        <v>191.9504724639728</v>
      </c>
      <c r="P56" s="66">
        <v>185.26089633765338</v>
      </c>
      <c r="Q56" s="66">
        <v>180.6699826693268</v>
      </c>
      <c r="R56" s="66">
        <v>190.73578475336339</v>
      </c>
      <c r="S56" s="66">
        <v>197.11887699999994</v>
      </c>
      <c r="T56" s="66">
        <v>198.2215495217159</v>
      </c>
      <c r="U56" s="66">
        <v>200.00228881501758</v>
      </c>
      <c r="V56" s="66">
        <v>195.04949193294465</v>
      </c>
      <c r="W56" s="66">
        <v>195.93662091107905</v>
      </c>
      <c r="X56" s="66">
        <v>173.58779141216823</v>
      </c>
      <c r="Y56" s="66">
        <v>186.52713670247951</v>
      </c>
      <c r="Z56" s="66">
        <v>203.99963681096597</v>
      </c>
      <c r="AA56" s="66">
        <v>204.69999999999993</v>
      </c>
    </row>
    <row r="57" spans="1:27" x14ac:dyDescent="0.25">
      <c r="A57" s="72" t="s">
        <v>2</v>
      </c>
      <c r="B57" s="65"/>
      <c r="C57" s="65"/>
      <c r="D57" s="66">
        <v>849.93213907225584</v>
      </c>
      <c r="E57" s="66">
        <v>867.2754818850924</v>
      </c>
      <c r="F57" s="66">
        <v>862.03871978783684</v>
      </c>
      <c r="G57" s="66">
        <v>851.95239370487468</v>
      </c>
      <c r="H57" s="66">
        <v>774.04960598759192</v>
      </c>
      <c r="I57" s="66">
        <v>715.66615497410987</v>
      </c>
      <c r="J57" s="66">
        <v>711.82623779050198</v>
      </c>
      <c r="K57" s="66">
        <v>718.71830109226335</v>
      </c>
      <c r="L57" s="66">
        <v>642.02923755513552</v>
      </c>
      <c r="M57" s="66">
        <v>687.07065913791007</v>
      </c>
      <c r="N57" s="66">
        <v>627.0766614053789</v>
      </c>
      <c r="O57" s="66">
        <v>614.59002531237081</v>
      </c>
      <c r="P57" s="66">
        <v>604.2746951403866</v>
      </c>
      <c r="Q57" s="66">
        <v>622.09938435805987</v>
      </c>
      <c r="R57" s="66">
        <v>663.69088023378856</v>
      </c>
      <c r="S57" s="66">
        <v>689.71669099999997</v>
      </c>
      <c r="T57" s="66">
        <v>716.94075713465236</v>
      </c>
      <c r="U57" s="66">
        <v>733.86154966757931</v>
      </c>
      <c r="V57" s="66">
        <v>798.46007881002595</v>
      </c>
      <c r="W57" s="66">
        <v>823.82442883067336</v>
      </c>
      <c r="X57" s="66">
        <v>814.30227993910387</v>
      </c>
      <c r="Y57" s="66">
        <v>828.67947675146149</v>
      </c>
      <c r="Z57" s="66">
        <v>805.76519577897363</v>
      </c>
      <c r="AA57" s="66">
        <v>843.8</v>
      </c>
    </row>
    <row r="58" spans="1:27" x14ac:dyDescent="0.25">
      <c r="A58" s="72" t="s">
        <v>269</v>
      </c>
      <c r="B58" s="65"/>
      <c r="C58" s="65"/>
      <c r="D58" s="66">
        <v>369.29958758411112</v>
      </c>
      <c r="E58" s="66">
        <v>411.44855465501621</v>
      </c>
      <c r="F58" s="66">
        <v>422.84761738291843</v>
      </c>
      <c r="G58" s="66">
        <v>449.57620334104104</v>
      </c>
      <c r="H58" s="66">
        <v>513.9701761124885</v>
      </c>
      <c r="I58" s="66">
        <v>579.68958552902905</v>
      </c>
      <c r="J58" s="66">
        <v>644.82204895026393</v>
      </c>
      <c r="K58" s="66">
        <v>752.96353746062334</v>
      </c>
      <c r="L58" s="66">
        <v>795.94599873976063</v>
      </c>
      <c r="M58" s="66">
        <v>672.11383561088371</v>
      </c>
      <c r="N58" s="66">
        <v>758.94939836831759</v>
      </c>
      <c r="O58" s="66">
        <v>790.8573935317313</v>
      </c>
      <c r="P58" s="66">
        <v>820.34542962529986</v>
      </c>
      <c r="Q58" s="66">
        <v>773.7068123652341</v>
      </c>
      <c r="R58" s="66">
        <v>823.61962110142599</v>
      </c>
      <c r="S58" s="66">
        <v>819.04687800000011</v>
      </c>
      <c r="T58" s="66">
        <v>830.52986552591449</v>
      </c>
      <c r="U58" s="66">
        <v>953.87706296441149</v>
      </c>
      <c r="V58" s="66">
        <v>998.83601980745937</v>
      </c>
      <c r="W58" s="66">
        <v>977.45655204504226</v>
      </c>
      <c r="X58" s="66">
        <v>884.27376327518846</v>
      </c>
      <c r="Y58" s="66">
        <v>928.9526636157243</v>
      </c>
      <c r="Z58" s="66">
        <v>824.89711373507294</v>
      </c>
      <c r="AA58" s="66">
        <v>875</v>
      </c>
    </row>
    <row r="59" spans="1:27" x14ac:dyDescent="0.25">
      <c r="A59" s="72" t="s">
        <v>270</v>
      </c>
      <c r="B59" s="65"/>
      <c r="C59" s="65"/>
      <c r="D59" s="66">
        <v>2400.1078895287224</v>
      </c>
      <c r="E59" s="66">
        <v>2512.0798483287617</v>
      </c>
      <c r="F59" s="66">
        <v>2639.7932915436081</v>
      </c>
      <c r="G59" s="66">
        <v>2779.1555813788873</v>
      </c>
      <c r="H59" s="66">
        <v>2880.3680820849486</v>
      </c>
      <c r="I59" s="66">
        <v>2880.4801390734547</v>
      </c>
      <c r="J59" s="66">
        <v>3028.6191815426073</v>
      </c>
      <c r="K59" s="66">
        <v>3314.0180001515537</v>
      </c>
      <c r="L59" s="66">
        <v>3423.2405797101446</v>
      </c>
      <c r="M59" s="66">
        <v>2682.5265114958847</v>
      </c>
      <c r="N59" s="66">
        <v>2873.9537799278455</v>
      </c>
      <c r="O59" s="66">
        <v>2971.4791016629524</v>
      </c>
      <c r="P59" s="66">
        <v>3031.1522504182376</v>
      </c>
      <c r="Q59" s="66">
        <v>3106.0772706204789</v>
      </c>
      <c r="R59" s="66">
        <v>3221.8810157706457</v>
      </c>
      <c r="S59" s="66">
        <v>3519.5622010000006</v>
      </c>
      <c r="T59" s="66">
        <v>3801.3523052700375</v>
      </c>
      <c r="U59" s="66">
        <v>3991.2087680876029</v>
      </c>
      <c r="V59" s="66">
        <v>4076.001736492095</v>
      </c>
      <c r="W59" s="66">
        <v>4202.4941659299238</v>
      </c>
      <c r="X59" s="66">
        <v>4002.6370302096511</v>
      </c>
      <c r="Y59" s="66">
        <v>4446.2366649385949</v>
      </c>
      <c r="Z59" s="66">
        <v>4621.9154355339469</v>
      </c>
      <c r="AA59" s="66">
        <v>4621.4000000000005</v>
      </c>
    </row>
    <row r="60" spans="1:27" x14ac:dyDescent="0.25">
      <c r="A60" s="72" t="s">
        <v>1</v>
      </c>
      <c r="B60" s="65"/>
      <c r="C60" s="65"/>
      <c r="D60" s="66">
        <v>763.54726311622983</v>
      </c>
      <c r="E60" s="66">
        <v>790.89188893991479</v>
      </c>
      <c r="F60" s="66">
        <v>711.74274968356337</v>
      </c>
      <c r="G60" s="66">
        <v>635.39685243735551</v>
      </c>
      <c r="H60" s="66">
        <v>610.35892376994798</v>
      </c>
      <c r="I60" s="66">
        <v>594.30744741786191</v>
      </c>
      <c r="J60" s="66">
        <v>563.7902571011565</v>
      </c>
      <c r="K60" s="66">
        <v>563.31974950474694</v>
      </c>
      <c r="L60" s="66">
        <v>502.25469439193449</v>
      </c>
      <c r="M60" s="66">
        <v>390.49436559750217</v>
      </c>
      <c r="N60" s="66">
        <v>334.17750389471962</v>
      </c>
      <c r="O60" s="66">
        <v>355.61773983723441</v>
      </c>
      <c r="P60" s="66">
        <v>335.29141253300548</v>
      </c>
      <c r="Q60" s="66">
        <v>308.9737954174476</v>
      </c>
      <c r="R60" s="66">
        <v>338.07382072857365</v>
      </c>
      <c r="S60" s="66">
        <v>312.89132600000005</v>
      </c>
      <c r="T60" s="66">
        <v>329.57952191392866</v>
      </c>
      <c r="U60" s="66">
        <v>349.84156042236998</v>
      </c>
      <c r="V60" s="66">
        <v>349.00923393983345</v>
      </c>
      <c r="W60" s="66">
        <v>337.19900795681917</v>
      </c>
      <c r="X60" s="66">
        <v>288.41904106825143</v>
      </c>
      <c r="Y60" s="66">
        <v>297.73057616332079</v>
      </c>
      <c r="Z60" s="66">
        <v>290.87189218139372</v>
      </c>
      <c r="AA60" s="66">
        <v>297.60000000000002</v>
      </c>
    </row>
    <row r="61" spans="1:27" x14ac:dyDescent="0.25">
      <c r="A61" s="72" t="s">
        <v>0</v>
      </c>
      <c r="B61" s="65"/>
      <c r="C61" s="65"/>
      <c r="D61" s="66">
        <v>315.16053958809482</v>
      </c>
      <c r="E61" s="66">
        <v>305.36939641797716</v>
      </c>
      <c r="F61" s="66">
        <v>303.6363148695076</v>
      </c>
      <c r="G61" s="66">
        <v>314.71902340616299</v>
      </c>
      <c r="H61" s="66">
        <v>314.69456297796563</v>
      </c>
      <c r="I61" s="66">
        <v>319.76572881821932</v>
      </c>
      <c r="J61" s="66">
        <v>344.42242281351753</v>
      </c>
      <c r="K61" s="66">
        <v>390.07914199421941</v>
      </c>
      <c r="L61" s="66">
        <v>332.95998739760557</v>
      </c>
      <c r="M61" s="66">
        <v>270.57028506548806</v>
      </c>
      <c r="N61" s="66">
        <v>273.00926123319124</v>
      </c>
      <c r="O61" s="66">
        <v>293.01936648480756</v>
      </c>
      <c r="P61" s="66">
        <v>294.43488803337834</v>
      </c>
      <c r="Q61" s="66">
        <v>291.16126191483795</v>
      </c>
      <c r="R61" s="66">
        <v>331.77846828236011</v>
      </c>
      <c r="S61" s="66">
        <v>319.67019500000004</v>
      </c>
      <c r="T61" s="66">
        <v>333.26491592894064</v>
      </c>
      <c r="U61" s="66">
        <v>352.05081247555728</v>
      </c>
      <c r="V61" s="66">
        <v>369.42728868704029</v>
      </c>
      <c r="W61" s="66">
        <v>378.88501884509799</v>
      </c>
      <c r="X61" s="66">
        <v>374.96913369650952</v>
      </c>
      <c r="Y61" s="66">
        <v>412.02300005362991</v>
      </c>
      <c r="Z61" s="66">
        <v>482.07983966124675</v>
      </c>
      <c r="AA61" s="66">
        <v>412.6</v>
      </c>
    </row>
    <row r="62" spans="1:27" x14ac:dyDescent="0.25">
      <c r="A62" s="78" t="s">
        <v>271</v>
      </c>
      <c r="B62" s="79"/>
      <c r="C62" s="79"/>
      <c r="D62" s="80">
        <v>797.82966968424012</v>
      </c>
      <c r="E62" s="80">
        <v>859.02671374846409</v>
      </c>
      <c r="F62" s="80">
        <v>991.18429751069857</v>
      </c>
      <c r="G62" s="80">
        <v>999.66804893586914</v>
      </c>
      <c r="H62" s="80">
        <v>1059.0384875045106</v>
      </c>
      <c r="I62" s="80">
        <v>1031.1683407414196</v>
      </c>
      <c r="J62" s="80">
        <v>1038.1918524755813</v>
      </c>
      <c r="K62" s="80">
        <v>1099.876415124977</v>
      </c>
      <c r="L62" s="80">
        <v>1060.5290485192188</v>
      </c>
      <c r="M62" s="80">
        <v>923.68491241231106</v>
      </c>
      <c r="N62" s="80">
        <v>941.09180469006242</v>
      </c>
      <c r="O62" s="80">
        <v>964.44388923064514</v>
      </c>
      <c r="P62" s="80">
        <v>898.97749480982804</v>
      </c>
      <c r="Q62" s="80">
        <v>961.20716502428331</v>
      </c>
      <c r="R62" s="80">
        <v>1030.5625898120625</v>
      </c>
      <c r="S62" s="80">
        <v>1102.9618620000001</v>
      </c>
      <c r="T62" s="80">
        <v>1248.9537074445961</v>
      </c>
      <c r="U62" s="80">
        <v>1342.5754683222528</v>
      </c>
      <c r="V62" s="80">
        <v>1364.2050615882226</v>
      </c>
      <c r="W62" s="80">
        <v>1406.9337918198316</v>
      </c>
      <c r="X62" s="80">
        <v>1282.6479924430016</v>
      </c>
      <c r="Y62" s="80">
        <v>1400.0227891095658</v>
      </c>
      <c r="Z62" s="80">
        <v>1401.1905261219949</v>
      </c>
      <c r="AA62" s="80">
        <v>1363.2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3.441763297002437E-2</v>
      </c>
      <c r="E66" s="83">
        <f t="shared" ref="E66:S66" si="55">E24/E$23</f>
        <v>3.1063137748777808E-2</v>
      </c>
      <c r="F66" s="83">
        <f t="shared" si="55"/>
        <v>3.3197315585960736E-2</v>
      </c>
      <c r="G66" s="83">
        <f t="shared" si="55"/>
        <v>2.53525959685721E-2</v>
      </c>
      <c r="H66" s="83">
        <f t="shared" si="55"/>
        <v>2.7406586381392414E-2</v>
      </c>
      <c r="I66" s="83">
        <f t="shared" si="55"/>
        <v>2.7616886136000066E-2</v>
      </c>
      <c r="J66" s="83">
        <f t="shared" si="55"/>
        <v>2.3819830700225902E-2</v>
      </c>
      <c r="K66" s="83">
        <f t="shared" si="55"/>
        <v>2.3205813543150659E-2</v>
      </c>
      <c r="L66" s="83">
        <f t="shared" si="55"/>
        <v>2.0092197701413839E-2</v>
      </c>
      <c r="M66" s="83">
        <f t="shared" si="55"/>
        <v>2.0179443890210525E-2</v>
      </c>
      <c r="N66" s="83">
        <f t="shared" si="55"/>
        <v>2.0957347213302273E-2</v>
      </c>
      <c r="O66" s="83">
        <f t="shared" si="55"/>
        <v>2.3524655920178498E-2</v>
      </c>
      <c r="P66" s="83">
        <f t="shared" si="55"/>
        <v>2.1090320050909887E-2</v>
      </c>
      <c r="Q66" s="83">
        <f t="shared" si="55"/>
        <v>2.1300842929689139E-2</v>
      </c>
      <c r="R66" s="83">
        <f t="shared" si="55"/>
        <v>2.1179208930961643E-2</v>
      </c>
      <c r="S66" s="83">
        <f t="shared" si="55"/>
        <v>2.2980474008197589E-2</v>
      </c>
      <c r="T66" s="83">
        <f t="shared" ref="T66:Y66" si="56">T24/T$23</f>
        <v>2.151080912351002E-2</v>
      </c>
      <c r="U66" s="83">
        <f t="shared" si="56"/>
        <v>1.9616850322643778E-2</v>
      </c>
      <c r="V66" s="83">
        <f t="shared" si="56"/>
        <v>2.3003196511787453E-2</v>
      </c>
      <c r="W66" s="83">
        <f t="shared" si="56"/>
        <v>2.0386838222810975E-2</v>
      </c>
      <c r="X66" s="83">
        <f t="shared" si="56"/>
        <v>2.1556082762912258E-2</v>
      </c>
      <c r="Y66" s="83">
        <f t="shared" si="56"/>
        <v>1.7270721022409119E-2</v>
      </c>
      <c r="Z66" s="83">
        <f t="shared" ref="Z66:AA66" si="57">Z24/Z$23</f>
        <v>1.8508356997809117E-2</v>
      </c>
      <c r="AA66" s="83">
        <f t="shared" si="57"/>
        <v>1.7215515017957685E-2</v>
      </c>
    </row>
    <row r="67" spans="1:27" x14ac:dyDescent="0.25">
      <c r="A67" s="64" t="s">
        <v>56</v>
      </c>
      <c r="B67" s="65"/>
      <c r="C67" s="65"/>
      <c r="D67" s="83">
        <f t="shared" si="51"/>
        <v>6.3052005977662449E-3</v>
      </c>
      <c r="E67" s="83">
        <f t="shared" ref="E67:S67" si="58">E25/E$23</f>
        <v>5.5425294501417E-3</v>
      </c>
      <c r="F67" s="83">
        <f t="shared" si="58"/>
        <v>4.8235489652370912E-3</v>
      </c>
      <c r="G67" s="83">
        <f t="shared" si="58"/>
        <v>5.019488460895497E-3</v>
      </c>
      <c r="H67" s="83">
        <f t="shared" si="58"/>
        <v>5.3681299767762182E-3</v>
      </c>
      <c r="I67" s="83">
        <f t="shared" si="58"/>
        <v>5.2404706179027104E-3</v>
      </c>
      <c r="J67" s="83">
        <f t="shared" si="58"/>
        <v>5.0277982705072399E-3</v>
      </c>
      <c r="K67" s="83">
        <f t="shared" si="58"/>
        <v>4.7317524672407544E-3</v>
      </c>
      <c r="L67" s="83">
        <f t="shared" si="58"/>
        <v>4.4127911647197033E-3</v>
      </c>
      <c r="M67" s="83">
        <f t="shared" si="58"/>
        <v>4.5983838478533667E-3</v>
      </c>
      <c r="N67" s="83">
        <f t="shared" si="58"/>
        <v>4.4377744420709816E-3</v>
      </c>
      <c r="O67" s="83">
        <f t="shared" si="58"/>
        <v>4.568553228386482E-3</v>
      </c>
      <c r="P67" s="83">
        <f t="shared" si="58"/>
        <v>4.5863893192088414E-3</v>
      </c>
      <c r="Q67" s="83">
        <f t="shared" si="58"/>
        <v>4.0680803586369925E-3</v>
      </c>
      <c r="R67" s="83">
        <f t="shared" si="58"/>
        <v>3.9846878667969925E-3</v>
      </c>
      <c r="S67" s="83">
        <f t="shared" si="58"/>
        <v>3.7600012099762541E-3</v>
      </c>
      <c r="T67" s="83">
        <f t="shared" ref="T67:Y67" si="59">T25/T$23</f>
        <v>3.777748740508445E-3</v>
      </c>
      <c r="U67" s="83">
        <f t="shared" si="59"/>
        <v>3.7537578350521051E-3</v>
      </c>
      <c r="V67" s="83">
        <f t="shared" si="59"/>
        <v>3.6335547345472249E-3</v>
      </c>
      <c r="W67" s="83">
        <f t="shared" si="59"/>
        <v>3.311967541489309E-3</v>
      </c>
      <c r="X67" s="83">
        <f t="shared" si="59"/>
        <v>3.1600031113876758E-3</v>
      </c>
      <c r="Y67" s="83">
        <f t="shared" si="59"/>
        <v>2.6458793698928337E-3</v>
      </c>
      <c r="Z67" s="83">
        <f t="shared" ref="Z67:AA67" si="60">Z25/Z$23</f>
        <v>3.3123590645289173E-3</v>
      </c>
      <c r="AA67" s="83">
        <f t="shared" si="60"/>
        <v>2.3458156929279891E-3</v>
      </c>
    </row>
    <row r="68" spans="1:27" x14ac:dyDescent="0.25">
      <c r="A68" s="64" t="s">
        <v>146</v>
      </c>
      <c r="B68" s="65"/>
      <c r="C68" s="65"/>
      <c r="D68" s="83">
        <f t="shared" si="51"/>
        <v>0.63498145938509754</v>
      </c>
      <c r="E68" s="83">
        <f t="shared" ref="E68:S68" si="61">E26/E$23</f>
        <v>0.63803995077079523</v>
      </c>
      <c r="F68" s="83">
        <f t="shared" si="61"/>
        <v>0.63741707926705882</v>
      </c>
      <c r="G68" s="83">
        <f t="shared" si="61"/>
        <v>0.64372629930404646</v>
      </c>
      <c r="H68" s="83">
        <f t="shared" si="61"/>
        <v>0.64447515798773314</v>
      </c>
      <c r="I68" s="83">
        <f t="shared" si="61"/>
        <v>0.64928248894772933</v>
      </c>
      <c r="J68" s="83">
        <f t="shared" si="61"/>
        <v>0.64865843202494167</v>
      </c>
      <c r="K68" s="83">
        <f t="shared" si="61"/>
        <v>0.64344433184434935</v>
      </c>
      <c r="L68" s="83">
        <f t="shared" si="61"/>
        <v>0.65580754340644132</v>
      </c>
      <c r="M68" s="83">
        <f t="shared" si="61"/>
        <v>0.68161585712850614</v>
      </c>
      <c r="N68" s="83">
        <f t="shared" si="61"/>
        <v>0.69074490308906233</v>
      </c>
      <c r="O68" s="83">
        <f t="shared" si="61"/>
        <v>0.68722810975741278</v>
      </c>
      <c r="P68" s="83">
        <f t="shared" si="61"/>
        <v>0.68468653780637534</v>
      </c>
      <c r="Q68" s="83">
        <f t="shared" si="61"/>
        <v>0.68268026744981003</v>
      </c>
      <c r="R68" s="83">
        <f t="shared" si="61"/>
        <v>0.67598829685050776</v>
      </c>
      <c r="S68" s="83">
        <f t="shared" si="61"/>
        <v>0.6751002011585524</v>
      </c>
      <c r="T68" s="83">
        <f t="shared" ref="T68:Y68" si="62">T26/T$23</f>
        <v>0.67755854639429713</v>
      </c>
      <c r="U68" s="83">
        <f t="shared" si="62"/>
        <v>0.67478485884674566</v>
      </c>
      <c r="V68" s="83">
        <f t="shared" si="62"/>
        <v>0.67176041915467766</v>
      </c>
      <c r="W68" s="83">
        <f t="shared" si="62"/>
        <v>0.66964586605933263</v>
      </c>
      <c r="X68" s="83">
        <f t="shared" si="62"/>
        <v>0.66801736543248269</v>
      </c>
      <c r="Y68" s="83">
        <f t="shared" si="62"/>
        <v>0.68035152907543062</v>
      </c>
      <c r="Z68" s="83">
        <f t="shared" ref="Z68:AA68" si="63">Z26/Z$23</f>
        <v>0.68047951103652404</v>
      </c>
      <c r="AA68" s="83">
        <f t="shared" si="63"/>
        <v>0.6676170407631532</v>
      </c>
    </row>
    <row r="69" spans="1:27" x14ac:dyDescent="0.25">
      <c r="A69" s="68" t="s">
        <v>148</v>
      </c>
      <c r="B69" s="69"/>
      <c r="C69" s="69"/>
      <c r="D69" s="84">
        <f t="shared" si="51"/>
        <v>0.25595344862150105</v>
      </c>
      <c r="E69" s="84">
        <f t="shared" ref="E69:S69" si="64">E27/E$23</f>
        <v>0.26092539888737937</v>
      </c>
      <c r="F69" s="84">
        <f t="shared" si="64"/>
        <v>0.25733845181439602</v>
      </c>
      <c r="G69" s="84">
        <f t="shared" si="64"/>
        <v>0.25763921271897028</v>
      </c>
      <c r="H69" s="84">
        <f t="shared" si="64"/>
        <v>0.25836581690474109</v>
      </c>
      <c r="I69" s="84">
        <f t="shared" si="64"/>
        <v>0.2601204126181077</v>
      </c>
      <c r="J69" s="84">
        <f t="shared" si="64"/>
        <v>0.25718359967551491</v>
      </c>
      <c r="K69" s="84">
        <f t="shared" si="64"/>
        <v>0.24874527845669253</v>
      </c>
      <c r="L69" s="84">
        <f t="shared" si="64"/>
        <v>0.25078622301189252</v>
      </c>
      <c r="M69" s="84">
        <f t="shared" si="64"/>
        <v>0.26751272606348969</v>
      </c>
      <c r="N69" s="84">
        <f t="shared" si="64"/>
        <v>0.27445529748952763</v>
      </c>
      <c r="O69" s="84">
        <f t="shared" si="64"/>
        <v>0.27443969515405264</v>
      </c>
      <c r="P69" s="84">
        <f t="shared" si="64"/>
        <v>0.27769992736342064</v>
      </c>
      <c r="Q69" s="84">
        <f t="shared" si="64"/>
        <v>0.27285934276665608</v>
      </c>
      <c r="R69" s="84">
        <f t="shared" si="64"/>
        <v>0.26624087762049031</v>
      </c>
      <c r="S69" s="84">
        <f t="shared" si="64"/>
        <v>0.26560793744422773</v>
      </c>
      <c r="T69" s="84">
        <f t="shared" ref="T69:Y69" si="65">T27/T$23</f>
        <v>0.27227666710222576</v>
      </c>
      <c r="U69" s="84">
        <f t="shared" si="65"/>
        <v>0.27013737503329738</v>
      </c>
      <c r="V69" s="84">
        <f t="shared" si="65"/>
        <v>0.2673864323574402</v>
      </c>
      <c r="W69" s="84">
        <f t="shared" si="65"/>
        <v>0.26813020221849737</v>
      </c>
      <c r="X69" s="84">
        <f t="shared" si="65"/>
        <v>0.26850546437461087</v>
      </c>
      <c r="Y69" s="84">
        <f t="shared" si="65"/>
        <v>0.2731738380965974</v>
      </c>
      <c r="Z69" s="84">
        <f t="shared" ref="Z69:AA69" si="66">Z27/Z$23</f>
        <v>0.2727849850403129</v>
      </c>
      <c r="AA69" s="84">
        <f t="shared" si="66"/>
        <v>0.26109437477958608</v>
      </c>
    </row>
    <row r="70" spans="1:27" x14ac:dyDescent="0.25">
      <c r="A70" s="68" t="s">
        <v>150</v>
      </c>
      <c r="B70" s="71"/>
      <c r="C70" s="71"/>
      <c r="D70" s="84">
        <f t="shared" si="51"/>
        <v>0.2541650400413602</v>
      </c>
      <c r="E70" s="84">
        <f t="shared" ref="E70:S70" si="67">E28/E$23</f>
        <v>0.24878276132205512</v>
      </c>
      <c r="F70" s="84">
        <f t="shared" si="67"/>
        <v>0.25142679208804281</v>
      </c>
      <c r="G70" s="84">
        <f t="shared" si="67"/>
        <v>0.25431781588463531</v>
      </c>
      <c r="H70" s="84">
        <f t="shared" si="67"/>
        <v>0.25500330024782991</v>
      </c>
      <c r="I70" s="84">
        <f t="shared" si="67"/>
        <v>0.25482871935506746</v>
      </c>
      <c r="J70" s="84">
        <f t="shared" si="67"/>
        <v>0.25849318108236902</v>
      </c>
      <c r="K70" s="84">
        <f t="shared" si="67"/>
        <v>0.25722445138607519</v>
      </c>
      <c r="L70" s="84">
        <f t="shared" si="67"/>
        <v>0.26341119387850853</v>
      </c>
      <c r="M70" s="84">
        <f t="shared" si="67"/>
        <v>0.27306678945079677</v>
      </c>
      <c r="N70" s="84">
        <f t="shared" si="67"/>
        <v>0.27936952222105066</v>
      </c>
      <c r="O70" s="84">
        <f t="shared" si="67"/>
        <v>0.27548008222818321</v>
      </c>
      <c r="P70" s="84">
        <f t="shared" si="67"/>
        <v>0.27118834729284108</v>
      </c>
      <c r="Q70" s="84">
        <f t="shared" si="67"/>
        <v>0.27013459110969062</v>
      </c>
      <c r="R70" s="84">
        <f t="shared" si="67"/>
        <v>0.2720785764875836</v>
      </c>
      <c r="S70" s="84">
        <f t="shared" si="67"/>
        <v>0.27050834127380247</v>
      </c>
      <c r="T70" s="84">
        <f t="shared" ref="T70:Y70" si="68">T28/T$23</f>
        <v>0.26574328150180759</v>
      </c>
      <c r="U70" s="84">
        <f t="shared" si="68"/>
        <v>0.26515501579242073</v>
      </c>
      <c r="V70" s="84">
        <f t="shared" si="68"/>
        <v>0.26349370099147768</v>
      </c>
      <c r="W70" s="84">
        <f t="shared" si="68"/>
        <v>0.26290556680718585</v>
      </c>
      <c r="X70" s="84">
        <f t="shared" si="68"/>
        <v>0.26229970441817052</v>
      </c>
      <c r="Y70" s="84">
        <f t="shared" si="68"/>
        <v>0.26662567661041514</v>
      </c>
      <c r="Z70" s="84">
        <f t="shared" ref="Z70:AA70" si="69">Z28/Z$23</f>
        <v>0.27484569693716931</v>
      </c>
      <c r="AA70" s="84">
        <f t="shared" si="69"/>
        <v>0.27375511228158211</v>
      </c>
    </row>
    <row r="71" spans="1:27" x14ac:dyDescent="0.25">
      <c r="A71" s="68" t="s">
        <v>152</v>
      </c>
      <c r="B71" s="71"/>
      <c r="C71" s="71"/>
      <c r="D71" s="84">
        <f t="shared" si="51"/>
        <v>0.12486297072223623</v>
      </c>
      <c r="E71" s="84">
        <f t="shared" ref="E71:S71" si="70">E29/E$23</f>
        <v>0.12833179056136082</v>
      </c>
      <c r="F71" s="84">
        <f t="shared" si="70"/>
        <v>0.12865183536462008</v>
      </c>
      <c r="G71" s="84">
        <f t="shared" si="70"/>
        <v>0.13176927070044081</v>
      </c>
      <c r="H71" s="84">
        <f t="shared" si="70"/>
        <v>0.13110604083516217</v>
      </c>
      <c r="I71" s="84">
        <f t="shared" si="70"/>
        <v>0.13433335697455417</v>
      </c>
      <c r="J71" s="84">
        <f t="shared" si="70"/>
        <v>0.13298165126705777</v>
      </c>
      <c r="K71" s="84">
        <f t="shared" si="70"/>
        <v>0.13747460200158165</v>
      </c>
      <c r="L71" s="84">
        <f t="shared" si="70"/>
        <v>0.14161012651604038</v>
      </c>
      <c r="M71" s="84">
        <f t="shared" si="70"/>
        <v>0.14103634161421952</v>
      </c>
      <c r="N71" s="84">
        <f t="shared" si="70"/>
        <v>0.13692008337848413</v>
      </c>
      <c r="O71" s="84">
        <f t="shared" si="70"/>
        <v>0.13730833237517689</v>
      </c>
      <c r="P71" s="84">
        <f t="shared" si="70"/>
        <v>0.13579826315011345</v>
      </c>
      <c r="Q71" s="84">
        <f t="shared" si="70"/>
        <v>0.13968633357346336</v>
      </c>
      <c r="R71" s="84">
        <f t="shared" si="70"/>
        <v>0.13766884274243404</v>
      </c>
      <c r="S71" s="84">
        <f t="shared" si="70"/>
        <v>0.13898392244052213</v>
      </c>
      <c r="T71" s="84">
        <f t="shared" ref="T71:Y71" si="71">T29/T$23</f>
        <v>0.13953859779026381</v>
      </c>
      <c r="U71" s="84">
        <f t="shared" si="71"/>
        <v>0.13949246802102758</v>
      </c>
      <c r="V71" s="84">
        <f t="shared" si="71"/>
        <v>0.14088028580575984</v>
      </c>
      <c r="W71" s="84">
        <f t="shared" si="71"/>
        <v>0.13861009703364938</v>
      </c>
      <c r="X71" s="84">
        <f t="shared" si="71"/>
        <v>0.13721219663970127</v>
      </c>
      <c r="Y71" s="84">
        <f t="shared" si="71"/>
        <v>0.1405520143684181</v>
      </c>
      <c r="Z71" s="84">
        <f t="shared" ref="Z71:AA71" si="72">Z29/Z$23</f>
        <v>0.13284882905904172</v>
      </c>
      <c r="AA71" s="84">
        <f t="shared" si="72"/>
        <v>0.1327675537019849</v>
      </c>
    </row>
    <row r="72" spans="1:27" x14ac:dyDescent="0.25">
      <c r="A72" s="64" t="s">
        <v>154</v>
      </c>
      <c r="B72" s="65"/>
      <c r="C72" s="65"/>
      <c r="D72" s="83">
        <f t="shared" si="51"/>
        <v>1.9743969811284613E-2</v>
      </c>
      <c r="E72" s="83">
        <f t="shared" ref="E72:S72" si="73">E30/E$23</f>
        <v>2.1530616374761266E-2</v>
      </c>
      <c r="F72" s="83">
        <f t="shared" si="73"/>
        <v>2.442913678852476E-2</v>
      </c>
      <c r="G72" s="83">
        <f t="shared" si="73"/>
        <v>2.2317147206067364E-2</v>
      </c>
      <c r="H72" s="83">
        <f t="shared" si="73"/>
        <v>2.4046562631818383E-2</v>
      </c>
      <c r="I72" s="83">
        <f t="shared" si="73"/>
        <v>2.42874142020694E-2</v>
      </c>
      <c r="J72" s="83">
        <f t="shared" si="73"/>
        <v>2.4549618040473339E-2</v>
      </c>
      <c r="K72" s="83">
        <f t="shared" si="73"/>
        <v>2.2818936012284855E-2</v>
      </c>
      <c r="L72" s="83">
        <f t="shared" si="73"/>
        <v>2.354397105544127E-2</v>
      </c>
      <c r="M72" s="83">
        <f t="shared" si="73"/>
        <v>2.4175087036328317E-2</v>
      </c>
      <c r="N72" s="83">
        <f t="shared" si="73"/>
        <v>2.4412553945466393E-2</v>
      </c>
      <c r="O72" s="83">
        <f t="shared" si="73"/>
        <v>2.3528990703187869E-2</v>
      </c>
      <c r="P72" s="83">
        <f t="shared" si="73"/>
        <v>2.4645012823891657E-2</v>
      </c>
      <c r="Q72" s="83">
        <f t="shared" si="73"/>
        <v>2.5990511863614282E-2</v>
      </c>
      <c r="R72" s="83">
        <f t="shared" si="73"/>
        <v>2.3627293595222615E-2</v>
      </c>
      <c r="S72" s="83">
        <f t="shared" si="73"/>
        <v>2.1948969251478434E-2</v>
      </c>
      <c r="T72" s="83">
        <f t="shared" ref="T72:Y72" si="74">T30/T$23</f>
        <v>2.1136228349086059E-2</v>
      </c>
      <c r="U72" s="83">
        <f t="shared" si="74"/>
        <v>1.9812556741270672E-2</v>
      </c>
      <c r="V72" s="83">
        <f t="shared" si="74"/>
        <v>1.9458574935078774E-2</v>
      </c>
      <c r="W72" s="83">
        <f t="shared" si="74"/>
        <v>2.065854664742596E-2</v>
      </c>
      <c r="X72" s="83">
        <f t="shared" si="74"/>
        <v>2.3085038114499055E-2</v>
      </c>
      <c r="Y72" s="83">
        <f t="shared" si="74"/>
        <v>2.0066964242123661E-2</v>
      </c>
      <c r="Z72" s="83">
        <f t="shared" ref="Z72:AA72" si="75">Z30/Z$23</f>
        <v>1.1729435937693995E-2</v>
      </c>
      <c r="AA72" s="83">
        <f t="shared" si="75"/>
        <v>3.2888792194416719E-2</v>
      </c>
    </row>
    <row r="73" spans="1:27" x14ac:dyDescent="0.25">
      <c r="A73" s="64" t="s">
        <v>37</v>
      </c>
      <c r="B73" s="65"/>
      <c r="C73" s="65"/>
      <c r="D73" s="83">
        <f t="shared" si="51"/>
        <v>6.4878609789294855E-2</v>
      </c>
      <c r="E73" s="83">
        <f t="shared" ref="E73:S73" si="76">E31/E$23</f>
        <v>6.1283381097349349E-2</v>
      </c>
      <c r="F73" s="83">
        <f t="shared" si="76"/>
        <v>5.8619311421772749E-2</v>
      </c>
      <c r="G73" s="83">
        <f t="shared" si="76"/>
        <v>6.0744168858935209E-2</v>
      </c>
      <c r="H73" s="83">
        <f t="shared" si="76"/>
        <v>6.0280375771614547E-2</v>
      </c>
      <c r="I73" s="83">
        <f t="shared" si="76"/>
        <v>6.4473549414091738E-2</v>
      </c>
      <c r="J73" s="83">
        <f t="shared" si="76"/>
        <v>7.0073518445090341E-2</v>
      </c>
      <c r="K73" s="83">
        <f t="shared" si="76"/>
        <v>7.8962502123877606E-2</v>
      </c>
      <c r="L73" s="83">
        <f t="shared" si="76"/>
        <v>8.2381642789903661E-2</v>
      </c>
      <c r="M73" s="83">
        <f t="shared" si="76"/>
        <v>7.7830430000255801E-2</v>
      </c>
      <c r="N73" s="83">
        <f t="shared" si="76"/>
        <v>6.3137243624767941E-2</v>
      </c>
      <c r="O73" s="83">
        <f t="shared" si="76"/>
        <v>5.8145729399082455E-2</v>
      </c>
      <c r="P73" s="83">
        <f t="shared" si="76"/>
        <v>5.7209341192654063E-2</v>
      </c>
      <c r="Q73" s="83">
        <f t="shared" si="76"/>
        <v>5.2060835568985608E-2</v>
      </c>
      <c r="R73" s="83">
        <f t="shared" si="76"/>
        <v>5.6392607869505125E-2</v>
      </c>
      <c r="S73" s="83">
        <f t="shared" si="76"/>
        <v>5.3127032381989493E-2</v>
      </c>
      <c r="T73" s="83">
        <f t="shared" ref="T73:Y73" si="77">T31/T$23</f>
        <v>5.1102690303003906E-2</v>
      </c>
      <c r="U73" s="83">
        <f t="shared" si="77"/>
        <v>5.2889659633920262E-2</v>
      </c>
      <c r="V73" s="83">
        <f t="shared" si="77"/>
        <v>5.6609766385299097E-2</v>
      </c>
      <c r="W73" s="83">
        <f t="shared" si="77"/>
        <v>5.9202173065749118E-2</v>
      </c>
      <c r="X73" s="83">
        <f t="shared" si="77"/>
        <v>5.9590366365899192E-2</v>
      </c>
      <c r="Y73" s="83">
        <f t="shared" si="77"/>
        <v>6.0837295095466579E-2</v>
      </c>
      <c r="Z73" s="83">
        <f t="shared" ref="Z73:AA73" si="78">Z31/Z$23</f>
        <v>6.7649026118371772E-2</v>
      </c>
      <c r="AA73" s="83">
        <f t="shared" si="78"/>
        <v>6.9253321776784324E-2</v>
      </c>
    </row>
    <row r="74" spans="1:27" x14ac:dyDescent="0.25">
      <c r="A74" s="64" t="s">
        <v>58</v>
      </c>
      <c r="B74" s="65"/>
      <c r="C74" s="65"/>
      <c r="D74" s="83">
        <f t="shared" si="51"/>
        <v>0.23967312744653235</v>
      </c>
      <c r="E74" s="83">
        <f t="shared" ref="E74:S74" si="79">E32/E$23</f>
        <v>0.24254038455817462</v>
      </c>
      <c r="F74" s="83">
        <f t="shared" si="79"/>
        <v>0.24151360797144555</v>
      </c>
      <c r="G74" s="83">
        <f t="shared" si="79"/>
        <v>0.24284030020148334</v>
      </c>
      <c r="H74" s="83">
        <f t="shared" si="79"/>
        <v>0.23842318725066525</v>
      </c>
      <c r="I74" s="83">
        <f t="shared" si="79"/>
        <v>0.22909919068220677</v>
      </c>
      <c r="J74" s="83">
        <f t="shared" si="79"/>
        <v>0.2278708025187616</v>
      </c>
      <c r="K74" s="83">
        <f t="shared" si="79"/>
        <v>0.22683666400909674</v>
      </c>
      <c r="L74" s="83">
        <f t="shared" si="79"/>
        <v>0.21376185388208019</v>
      </c>
      <c r="M74" s="83">
        <f t="shared" si="79"/>
        <v>0.19160079809684596</v>
      </c>
      <c r="N74" s="83">
        <f t="shared" si="79"/>
        <v>0.19631017768532985</v>
      </c>
      <c r="O74" s="83">
        <f t="shared" si="79"/>
        <v>0.20300396099175214</v>
      </c>
      <c r="P74" s="83">
        <f t="shared" si="79"/>
        <v>0.20778239880696026</v>
      </c>
      <c r="Q74" s="83">
        <f t="shared" si="79"/>
        <v>0.213899461829264</v>
      </c>
      <c r="R74" s="83">
        <f t="shared" si="79"/>
        <v>0.21882790488700571</v>
      </c>
      <c r="S74" s="83">
        <f t="shared" si="79"/>
        <v>0.22308332198980596</v>
      </c>
      <c r="T74" s="83">
        <f t="shared" ref="T74:Y74" si="80">T32/T$23</f>
        <v>0.22491397708959451</v>
      </c>
      <c r="U74" s="83">
        <f t="shared" si="80"/>
        <v>0.22914231662036758</v>
      </c>
      <c r="V74" s="83">
        <f t="shared" si="80"/>
        <v>0.22553448827860975</v>
      </c>
      <c r="W74" s="83">
        <f t="shared" si="80"/>
        <v>0.22679460846319208</v>
      </c>
      <c r="X74" s="83">
        <f t="shared" si="80"/>
        <v>0.22459114421281892</v>
      </c>
      <c r="Y74" s="83">
        <f t="shared" si="80"/>
        <v>0.21882761119467714</v>
      </c>
      <c r="Z74" s="83">
        <f t="shared" ref="Z74:AA74" si="81">Z32/Z$23</f>
        <v>0.21832131084507211</v>
      </c>
      <c r="AA74" s="83">
        <f t="shared" si="81"/>
        <v>0.21067951455476003</v>
      </c>
    </row>
    <row r="75" spans="1:27" x14ac:dyDescent="0.25">
      <c r="A75" s="85" t="s">
        <v>158</v>
      </c>
      <c r="B75" s="86"/>
      <c r="C75" s="86"/>
      <c r="D75" s="87">
        <f t="shared" si="51"/>
        <v>1.0619665108623399E-2</v>
      </c>
      <c r="E75" s="87">
        <f t="shared" ref="E75:S75" si="82">E33/E$23</f>
        <v>1.0213896849558224E-2</v>
      </c>
      <c r="F75" s="87">
        <f t="shared" si="82"/>
        <v>1.0010782272456871E-2</v>
      </c>
      <c r="G75" s="87">
        <f t="shared" si="82"/>
        <v>9.9026016875335427E-3</v>
      </c>
      <c r="H75" s="87">
        <f t="shared" si="82"/>
        <v>9.7222395191186046E-3</v>
      </c>
      <c r="I75" s="87">
        <f t="shared" si="82"/>
        <v>1.1710284719102895E-2</v>
      </c>
      <c r="J75" s="87">
        <f t="shared" si="82"/>
        <v>1.0796771154286879E-2</v>
      </c>
      <c r="K75" s="87">
        <f t="shared" si="82"/>
        <v>1.2266210087438405E-2</v>
      </c>
      <c r="L75" s="87">
        <f t="shared" si="82"/>
        <v>1.1595843536323655E-2</v>
      </c>
      <c r="M75" s="87">
        <f t="shared" si="82"/>
        <v>5.9441588008083291E-3</v>
      </c>
      <c r="N75" s="87">
        <f t="shared" si="82"/>
        <v>7.4671932363908232E-3</v>
      </c>
      <c r="O75" s="87">
        <f t="shared" si="82"/>
        <v>9.3258793150994019E-3</v>
      </c>
      <c r="P75" s="87">
        <f t="shared" si="82"/>
        <v>8.8931599483187511E-3</v>
      </c>
      <c r="Q75" s="87">
        <f t="shared" si="82"/>
        <v>9.1847375166665048E-3</v>
      </c>
      <c r="R75" s="87">
        <f t="shared" si="82"/>
        <v>1.0676967142273237E-2</v>
      </c>
      <c r="S75" s="87">
        <f t="shared" si="82"/>
        <v>1.2901371810578216E-2</v>
      </c>
      <c r="T75" s="87">
        <f t="shared" ref="T75:Y75" si="83">T33/T$23</f>
        <v>1.2718323968813974E-2</v>
      </c>
      <c r="U75" s="87">
        <f t="shared" si="83"/>
        <v>1.2941086931703896E-2</v>
      </c>
      <c r="V75" s="87">
        <f t="shared" si="83"/>
        <v>1.2201629255451603E-2</v>
      </c>
      <c r="W75" s="87">
        <f t="shared" si="83"/>
        <v>1.2519995887243522E-2</v>
      </c>
      <c r="X75" s="87">
        <f t="shared" si="83"/>
        <v>1.017764079029247E-2</v>
      </c>
      <c r="Y75" s="87">
        <f t="shared" si="83"/>
        <v>9.5214044949988481E-3</v>
      </c>
      <c r="Z75" s="87">
        <f t="shared" ref="Z75:AA75" si="84">Z33/Z$23</f>
        <v>1.2628619262950043E-2</v>
      </c>
      <c r="AA75" s="87">
        <f t="shared" si="84"/>
        <v>1.0909709782068984E-2</v>
      </c>
    </row>
    <row r="76" spans="1:27" x14ac:dyDescent="0.25">
      <c r="A76" s="88" t="s">
        <v>5</v>
      </c>
      <c r="B76" s="44"/>
      <c r="C76" s="44"/>
      <c r="D76" s="89">
        <f t="shared" si="51"/>
        <v>6.8820441453732806E-3</v>
      </c>
      <c r="E76" s="89">
        <f t="shared" ref="E76:S76" si="85">E34/E$23</f>
        <v>6.6190871647986097E-3</v>
      </c>
      <c r="F76" s="89">
        <f t="shared" si="85"/>
        <v>6.4874593336116115E-3</v>
      </c>
      <c r="G76" s="89">
        <f t="shared" si="85"/>
        <v>6.4173532094071754E-3</v>
      </c>
      <c r="H76" s="89">
        <f t="shared" si="85"/>
        <v>6.3004700127629702E-3</v>
      </c>
      <c r="I76" s="89">
        <f t="shared" si="85"/>
        <v>7.5888171206373398E-3</v>
      </c>
      <c r="J76" s="89">
        <f t="shared" si="85"/>
        <v>6.9968172208141263E-3</v>
      </c>
      <c r="K76" s="89">
        <f t="shared" si="85"/>
        <v>7.9490829941168319E-3</v>
      </c>
      <c r="L76" s="89">
        <f t="shared" si="85"/>
        <v>7.5146538335770056E-3</v>
      </c>
      <c r="M76" s="89">
        <f t="shared" si="85"/>
        <v>2.7815719460121454E-3</v>
      </c>
      <c r="N76" s="89">
        <f t="shared" si="85"/>
        <v>4.7567120863316993E-3</v>
      </c>
      <c r="O76" s="89">
        <f t="shared" si="85"/>
        <v>6.1420167927701613E-3</v>
      </c>
      <c r="P76" s="89">
        <f t="shared" si="85"/>
        <v>5.5729666236994345E-3</v>
      </c>
      <c r="Q76" s="89">
        <f t="shared" si="85"/>
        <v>5.4950524952668833E-3</v>
      </c>
      <c r="R76" s="89">
        <f t="shared" si="85"/>
        <v>6.2102206377782588E-3</v>
      </c>
      <c r="S76" s="89">
        <f t="shared" si="85"/>
        <v>6.9065012936666186E-3</v>
      </c>
      <c r="T76" s="89">
        <f t="shared" ref="T76:Y76" si="86">T34/T$23</f>
        <v>5.7103357396057382E-3</v>
      </c>
      <c r="U76" s="89">
        <f t="shared" si="86"/>
        <v>6.176417357150586E-3</v>
      </c>
      <c r="V76" s="89">
        <f t="shared" si="86"/>
        <v>5.745223020457998E-3</v>
      </c>
      <c r="W76" s="89">
        <f t="shared" si="86"/>
        <v>5.4237750897111357E-3</v>
      </c>
      <c r="X76" s="89">
        <f t="shared" si="86"/>
        <v>4.0528748346398014E-3</v>
      </c>
      <c r="Y76" s="89">
        <f t="shared" si="86"/>
        <v>5.4451946514603661E-3</v>
      </c>
      <c r="Z76" s="89">
        <f t="shared" ref="Z76:AA76" si="87">Z34/Z$23</f>
        <v>7.5596781030835567E-3</v>
      </c>
      <c r="AA76" s="89">
        <f t="shared" si="87"/>
        <v>7.6020040084873401E-3</v>
      </c>
    </row>
    <row r="77" spans="1:27" x14ac:dyDescent="0.25">
      <c r="A77" s="88" t="s">
        <v>263</v>
      </c>
      <c r="B77" s="44"/>
      <c r="C77" s="44"/>
      <c r="D77" s="89">
        <f>D37/D$23</f>
        <v>3.7376209632501186E-3</v>
      </c>
      <c r="E77" s="89">
        <f t="shared" ref="E77:S77" si="88">E37/E$23</f>
        <v>3.5948096847596145E-3</v>
      </c>
      <c r="F77" s="89">
        <f t="shared" si="88"/>
        <v>3.52332293884526E-3</v>
      </c>
      <c r="G77" s="89">
        <f t="shared" si="88"/>
        <v>3.485248478126366E-3</v>
      </c>
      <c r="H77" s="89">
        <f t="shared" si="88"/>
        <v>3.4217695063556361E-3</v>
      </c>
      <c r="I77" s="89">
        <f t="shared" si="88"/>
        <v>4.1214675984655542E-3</v>
      </c>
      <c r="J77" s="89">
        <f t="shared" si="88"/>
        <v>3.7999539334727527E-3</v>
      </c>
      <c r="K77" s="89">
        <f t="shared" si="88"/>
        <v>4.3171270933215732E-3</v>
      </c>
      <c r="L77" s="89">
        <f t="shared" si="88"/>
        <v>4.0811897027466498E-3</v>
      </c>
      <c r="M77" s="89">
        <f t="shared" si="88"/>
        <v>3.1625868547961833E-3</v>
      </c>
      <c r="N77" s="89">
        <f t="shared" si="88"/>
        <v>2.7104811500591238E-3</v>
      </c>
      <c r="O77" s="89">
        <f t="shared" si="88"/>
        <v>3.183862522329241E-3</v>
      </c>
      <c r="P77" s="89">
        <f t="shared" si="88"/>
        <v>3.3201933246193183E-3</v>
      </c>
      <c r="Q77" s="89">
        <f t="shared" si="88"/>
        <v>3.6896850213996219E-3</v>
      </c>
      <c r="R77" s="89">
        <f t="shared" si="88"/>
        <v>4.4667465044949794E-3</v>
      </c>
      <c r="S77" s="89">
        <f t="shared" si="88"/>
        <v>5.9948705169115971E-3</v>
      </c>
      <c r="T77" s="89">
        <f t="shared" ref="T77:Y77" si="89">T37/T$23</f>
        <v>7.0079882292082346E-3</v>
      </c>
      <c r="U77" s="89">
        <f t="shared" si="89"/>
        <v>6.7646695745533104E-3</v>
      </c>
      <c r="V77" s="89">
        <f t="shared" si="89"/>
        <v>6.4564062349936049E-3</v>
      </c>
      <c r="W77" s="89">
        <f t="shared" si="89"/>
        <v>7.0962207975323868E-3</v>
      </c>
      <c r="X77" s="89">
        <f t="shared" si="89"/>
        <v>6.1247659556526671E-3</v>
      </c>
      <c r="Y77" s="89">
        <f t="shared" si="89"/>
        <v>4.0762098435384812E-3</v>
      </c>
      <c r="Z77" s="89">
        <f t="shared" ref="Z77:AA77" si="90">Z37/Z$23</f>
        <v>5.0689411598664851E-3</v>
      </c>
      <c r="AA77" s="89">
        <f t="shared" si="90"/>
        <v>3.3077057735816455E-3</v>
      </c>
    </row>
    <row r="78" spans="1:27" x14ac:dyDescent="0.25">
      <c r="A78" s="68" t="s">
        <v>265</v>
      </c>
      <c r="B78" s="44"/>
      <c r="C78" s="44"/>
      <c r="D78" s="89">
        <f>D43/D$23</f>
        <v>3.1753484495183421E-2</v>
      </c>
      <c r="E78" s="89">
        <f t="shared" ref="E78:S78" si="91">E43/E$23</f>
        <v>3.234731215850381E-2</v>
      </c>
      <c r="F78" s="89">
        <f t="shared" si="91"/>
        <v>3.2532718619869123E-2</v>
      </c>
      <c r="G78" s="89">
        <f t="shared" si="91"/>
        <v>3.8849344958955444E-2</v>
      </c>
      <c r="H78" s="89">
        <f t="shared" si="91"/>
        <v>3.8893109331606411E-2</v>
      </c>
      <c r="I78" s="89">
        <f t="shared" si="91"/>
        <v>3.5603678573961559E-2</v>
      </c>
      <c r="J78" s="89">
        <f t="shared" si="91"/>
        <v>3.9782172959326581E-2</v>
      </c>
      <c r="K78" s="89">
        <f t="shared" si="91"/>
        <v>3.6837840310543588E-2</v>
      </c>
      <c r="L78" s="89">
        <f t="shared" si="91"/>
        <v>3.3092497359077662E-2</v>
      </c>
      <c r="M78" s="89">
        <f t="shared" si="91"/>
        <v>3.3154912644207397E-2</v>
      </c>
      <c r="N78" s="89">
        <f t="shared" si="91"/>
        <v>3.5402867376641133E-2</v>
      </c>
      <c r="O78" s="89">
        <f t="shared" si="91"/>
        <v>3.6958810699691647E-2</v>
      </c>
      <c r="P78" s="89">
        <f t="shared" si="91"/>
        <v>3.8073137964504497E-2</v>
      </c>
      <c r="Q78" s="89">
        <f t="shared" si="91"/>
        <v>4.0816392415892661E-2</v>
      </c>
      <c r="R78" s="89">
        <f t="shared" si="91"/>
        <v>4.009946864771937E-2</v>
      </c>
      <c r="S78" s="89">
        <f t="shared" si="91"/>
        <v>3.7261218748582056E-2</v>
      </c>
      <c r="T78" s="89">
        <f t="shared" ref="T78:Y78" si="92">T43/T$23</f>
        <v>3.3250577115728035E-2</v>
      </c>
      <c r="U78" s="89">
        <f t="shared" si="92"/>
        <v>3.6743880097200851E-2</v>
      </c>
      <c r="V78" s="89">
        <f t="shared" si="92"/>
        <v>3.6543905029551217E-2</v>
      </c>
      <c r="W78" s="89">
        <f t="shared" si="92"/>
        <v>3.9434639452333879E-2</v>
      </c>
      <c r="X78" s="89">
        <f t="shared" si="92"/>
        <v>4.4517151524579961E-2</v>
      </c>
      <c r="Y78" s="89">
        <f t="shared" si="92"/>
        <v>3.9697405549028869E-2</v>
      </c>
      <c r="Z78" s="89">
        <f t="shared" ref="Z78:AA78" si="93">Z43/Z$23</f>
        <v>3.7871839340572193E-2</v>
      </c>
      <c r="AA78" s="89">
        <f t="shared" si="93"/>
        <v>3.5769741609366419E-2</v>
      </c>
    </row>
    <row r="79" spans="1:27" x14ac:dyDescent="0.25">
      <c r="A79" s="88" t="s">
        <v>266</v>
      </c>
      <c r="B79" s="44"/>
      <c r="C79" s="44"/>
      <c r="D79" s="89">
        <f>D44/D$23</f>
        <v>1.209154119670384E-2</v>
      </c>
      <c r="E79" s="89">
        <f t="shared" ref="E79:S79" si="94">E44/E$23</f>
        <v>1.2256676219469869E-2</v>
      </c>
      <c r="F79" s="89">
        <f t="shared" si="94"/>
        <v>1.2223007138607972E-2</v>
      </c>
      <c r="G79" s="89">
        <f t="shared" si="94"/>
        <v>1.2436541524059229E-2</v>
      </c>
      <c r="H79" s="89">
        <f t="shared" si="94"/>
        <v>1.244961414083548E-2</v>
      </c>
      <c r="I79" s="89">
        <f t="shared" si="94"/>
        <v>1.1568437394107033E-2</v>
      </c>
      <c r="J79" s="89">
        <f t="shared" si="94"/>
        <v>1.131696599089841E-2</v>
      </c>
      <c r="K79" s="89">
        <f t="shared" si="94"/>
        <v>1.0766425742703664E-2</v>
      </c>
      <c r="L79" s="89">
        <f t="shared" si="94"/>
        <v>9.3105754940567918E-3</v>
      </c>
      <c r="M79" s="89">
        <f t="shared" si="94"/>
        <v>9.5349551070524115E-3</v>
      </c>
      <c r="N79" s="89">
        <f t="shared" si="94"/>
        <v>1.0435538344053244E-2</v>
      </c>
      <c r="O79" s="89">
        <f t="shared" si="94"/>
        <v>1.144739151144426E-2</v>
      </c>
      <c r="P79" s="89">
        <f t="shared" si="94"/>
        <v>1.1605782643071563E-2</v>
      </c>
      <c r="Q79" s="89">
        <f t="shared" si="94"/>
        <v>1.1990198642143901E-2</v>
      </c>
      <c r="R79" s="89">
        <f t="shared" si="94"/>
        <v>1.2651987656901809E-2</v>
      </c>
      <c r="S79" s="89">
        <f t="shared" si="94"/>
        <v>1.12074050546758E-2</v>
      </c>
      <c r="T79" s="89">
        <f t="shared" ref="T79:Y79" si="95">T44/T$23</f>
        <v>1.0456320687602539E-2</v>
      </c>
      <c r="U79" s="89">
        <f t="shared" si="95"/>
        <v>1.0576301039962164E-2</v>
      </c>
      <c r="V79" s="89">
        <f t="shared" si="95"/>
        <v>9.8410891516793123E-3</v>
      </c>
      <c r="W79" s="89">
        <f t="shared" si="95"/>
        <v>9.7988814258831089E-3</v>
      </c>
      <c r="X79" s="89">
        <f t="shared" si="95"/>
        <v>1.0809641412570006E-2</v>
      </c>
      <c r="Y79" s="89">
        <f t="shared" si="95"/>
        <v>1.0619352430307757E-2</v>
      </c>
      <c r="Z79" s="89">
        <f t="shared" ref="Z79:AA79" si="96">Z44/Z$23</f>
        <v>8.919738375702424E-3</v>
      </c>
      <c r="AA79" s="89">
        <f t="shared" si="96"/>
        <v>7.8533066877678956E-3</v>
      </c>
    </row>
    <row r="80" spans="1:27" x14ac:dyDescent="0.25">
      <c r="A80" s="88" t="s">
        <v>11</v>
      </c>
      <c r="B80" s="44"/>
      <c r="C80" s="44"/>
      <c r="D80" s="89">
        <f>D47/D$23</f>
        <v>1.9661943298479586E-2</v>
      </c>
      <c r="E80" s="89">
        <f t="shared" ref="E80:S80" si="97">E47/E$23</f>
        <v>2.0090635939033943E-2</v>
      </c>
      <c r="F80" s="89">
        <f t="shared" si="97"/>
        <v>2.0309711481261154E-2</v>
      </c>
      <c r="G80" s="89">
        <f t="shared" si="97"/>
        <v>2.6412803434896218E-2</v>
      </c>
      <c r="H80" s="89">
        <f t="shared" si="97"/>
        <v>2.6443495190770928E-2</v>
      </c>
      <c r="I80" s="89">
        <f t="shared" si="97"/>
        <v>2.4035241179854526E-2</v>
      </c>
      <c r="J80" s="89">
        <f t="shared" si="97"/>
        <v>2.8465206968428174E-2</v>
      </c>
      <c r="K80" s="89">
        <f t="shared" si="97"/>
        <v>2.6071414567839919E-2</v>
      </c>
      <c r="L80" s="89">
        <f t="shared" si="97"/>
        <v>2.3781921865020872E-2</v>
      </c>
      <c r="M80" s="89">
        <f t="shared" si="97"/>
        <v>2.3619957537154988E-2</v>
      </c>
      <c r="N80" s="89">
        <f t="shared" si="97"/>
        <v>2.4967329032587887E-2</v>
      </c>
      <c r="O80" s="89">
        <f t="shared" si="97"/>
        <v>2.551141918824739E-2</v>
      </c>
      <c r="P80" s="89">
        <f t="shared" si="97"/>
        <v>2.6467355321432937E-2</v>
      </c>
      <c r="Q80" s="89">
        <f t="shared" si="97"/>
        <v>2.8826193773748759E-2</v>
      </c>
      <c r="R80" s="89">
        <f t="shared" si="97"/>
        <v>2.7447480990817563E-2</v>
      </c>
      <c r="S80" s="89">
        <f t="shared" si="97"/>
        <v>2.6053813693906254E-2</v>
      </c>
      <c r="T80" s="89">
        <f t="shared" ref="T80:Y80" si="98">T47/T$23</f>
        <v>2.2794256428125499E-2</v>
      </c>
      <c r="U80" s="89">
        <f t="shared" si="98"/>
        <v>2.6167579057238689E-2</v>
      </c>
      <c r="V80" s="89">
        <f t="shared" si="98"/>
        <v>2.6702815877871908E-2</v>
      </c>
      <c r="W80" s="89">
        <f t="shared" si="98"/>
        <v>2.963575802645077E-2</v>
      </c>
      <c r="X80" s="89">
        <f t="shared" si="98"/>
        <v>3.370751011200996E-2</v>
      </c>
      <c r="Y80" s="89">
        <f t="shared" si="98"/>
        <v>2.9078053118721112E-2</v>
      </c>
      <c r="Z80" s="89">
        <f t="shared" ref="Z80:AA80" si="99">Z47/Z$23</f>
        <v>2.8952100964869772E-2</v>
      </c>
      <c r="AA80" s="89">
        <f t="shared" si="99"/>
        <v>2.7916434921598524E-2</v>
      </c>
    </row>
    <row r="81" spans="1:27" x14ac:dyDescent="0.25">
      <c r="A81" s="68" t="s">
        <v>4</v>
      </c>
      <c r="B81" s="44"/>
      <c r="C81" s="44"/>
      <c r="D81" s="89">
        <f>D48/D$23</f>
        <v>1.1342414298827774E-2</v>
      </c>
      <c r="E81" s="89">
        <f t="shared" ref="E81:S81" si="100">E48/E$23</f>
        <v>1.131461777218052E-2</v>
      </c>
      <c r="F81" s="89">
        <f t="shared" si="100"/>
        <v>1.0563838488994644E-2</v>
      </c>
      <c r="G81" s="89">
        <f t="shared" si="100"/>
        <v>1.1178370008006542E-2</v>
      </c>
      <c r="H81" s="89">
        <f t="shared" si="100"/>
        <v>1.098422107924331E-2</v>
      </c>
      <c r="I81" s="89">
        <f t="shared" si="100"/>
        <v>1.0740994664964497E-2</v>
      </c>
      <c r="J81" s="89">
        <f t="shared" si="100"/>
        <v>1.1338792347679309E-2</v>
      </c>
      <c r="K81" s="89">
        <f t="shared" si="100"/>
        <v>1.103436107226412E-2</v>
      </c>
      <c r="L81" s="89">
        <f t="shared" si="100"/>
        <v>1.0052152540885109E-2</v>
      </c>
      <c r="M81" s="89">
        <f t="shared" si="100"/>
        <v>7.9777709564372145E-3</v>
      </c>
      <c r="N81" s="89">
        <f t="shared" si="100"/>
        <v>8.173333461141517E-3</v>
      </c>
      <c r="O81" s="89">
        <f t="shared" si="100"/>
        <v>7.3798540951139436E-3</v>
      </c>
      <c r="P81" s="89">
        <f t="shared" si="100"/>
        <v>7.7329030848048135E-3</v>
      </c>
      <c r="Q81" s="89">
        <f t="shared" si="100"/>
        <v>8.1451995622318432E-3</v>
      </c>
      <c r="R81" s="89">
        <f t="shared" si="100"/>
        <v>8.4336184060679609E-3</v>
      </c>
      <c r="S81" s="89">
        <f t="shared" si="100"/>
        <v>9.0143230939092808E-3</v>
      </c>
      <c r="T81" s="89">
        <f t="shared" ref="T81:Y81" si="101">T48/T$23</f>
        <v>8.9434789552390488E-3</v>
      </c>
      <c r="U81" s="89">
        <f t="shared" si="101"/>
        <v>8.5675921043332666E-3</v>
      </c>
      <c r="V81" s="89">
        <f t="shared" si="101"/>
        <v>8.7815140997169385E-3</v>
      </c>
      <c r="W81" s="89">
        <f t="shared" si="101"/>
        <v>8.7467809311567602E-3</v>
      </c>
      <c r="X81" s="89">
        <f t="shared" si="101"/>
        <v>8.4129005911636572E-3</v>
      </c>
      <c r="Y81" s="89">
        <f t="shared" si="101"/>
        <v>8.4366319349136482E-3</v>
      </c>
      <c r="Z81" s="89">
        <f t="shared" ref="Z81:AA81" si="102">Z48/Z$23</f>
        <v>8.1166815529236467E-3</v>
      </c>
      <c r="AA81" s="89">
        <f t="shared" si="102"/>
        <v>8.2831682021787846E-3</v>
      </c>
    </row>
    <row r="82" spans="1:27" x14ac:dyDescent="0.25">
      <c r="A82" s="68" t="s">
        <v>3</v>
      </c>
      <c r="B82" s="44"/>
      <c r="C82" s="44"/>
      <c r="D82" s="89">
        <f>D52/D$23</f>
        <v>1.5119702037414142E-2</v>
      </c>
      <c r="E82" s="89">
        <f t="shared" ref="E82:S82" si="103">E52/E$23</f>
        <v>1.5970369782731572E-2</v>
      </c>
      <c r="F82" s="89">
        <f t="shared" si="103"/>
        <v>1.6368604997025582E-2</v>
      </c>
      <c r="G82" s="89">
        <f t="shared" si="103"/>
        <v>1.3729906648952546E-2</v>
      </c>
      <c r="H82" s="89">
        <f t="shared" si="103"/>
        <v>1.37448057420161E-2</v>
      </c>
      <c r="I82" s="89">
        <f t="shared" si="103"/>
        <v>1.265199334893654E-2</v>
      </c>
      <c r="J82" s="89">
        <f t="shared" si="103"/>
        <v>1.1607984081310453E-2</v>
      </c>
      <c r="K82" s="89">
        <f t="shared" si="103"/>
        <v>1.139378651435741E-2</v>
      </c>
      <c r="L82" s="89">
        <f t="shared" si="103"/>
        <v>1.0064259921241492E-2</v>
      </c>
      <c r="M82" s="89">
        <f t="shared" si="103"/>
        <v>1.1009004169544419E-2</v>
      </c>
      <c r="N82" s="89">
        <f t="shared" si="103"/>
        <v>9.0392339177362609E-3</v>
      </c>
      <c r="O82" s="89">
        <f t="shared" si="103"/>
        <v>9.3039434430544788E-3</v>
      </c>
      <c r="P82" s="89">
        <f t="shared" si="103"/>
        <v>9.4973934395670059E-3</v>
      </c>
      <c r="Q82" s="89">
        <f t="shared" si="103"/>
        <v>9.5979699954479875E-3</v>
      </c>
      <c r="R82" s="89">
        <f t="shared" si="103"/>
        <v>1.0311915957104928E-2</v>
      </c>
      <c r="S82" s="89">
        <f t="shared" si="103"/>
        <v>9.9762542160110081E-3</v>
      </c>
      <c r="T82" s="89">
        <f t="shared" ref="T82:Y82" si="104">T52/T$23</f>
        <v>9.823308216095358E-3</v>
      </c>
      <c r="U82" s="89">
        <f t="shared" si="104"/>
        <v>9.3476996341377207E-3</v>
      </c>
      <c r="V82" s="89">
        <f t="shared" si="104"/>
        <v>8.6036477840398008E-3</v>
      </c>
      <c r="W82" s="89">
        <f t="shared" si="104"/>
        <v>8.9978503673982767E-3</v>
      </c>
      <c r="X82" s="89">
        <f t="shared" si="104"/>
        <v>8.9938550093341639E-3</v>
      </c>
      <c r="Y82" s="89">
        <f t="shared" si="104"/>
        <v>7.5121597733835465E-3</v>
      </c>
      <c r="Z82" s="89">
        <f t="shared" ref="Z82:AA82" si="105">Z52/Z$23</f>
        <v>7.9885128829539666E-3</v>
      </c>
      <c r="AA82" s="89">
        <f t="shared" si="105"/>
        <v>8.0971873020663169E-3</v>
      </c>
    </row>
    <row r="83" spans="1:27" x14ac:dyDescent="0.25">
      <c r="A83" s="88" t="s">
        <v>21</v>
      </c>
      <c r="B83" s="44"/>
      <c r="C83" s="44"/>
      <c r="D83" s="89">
        <f>D53/D$23</f>
        <v>8.1032317967439354E-3</v>
      </c>
      <c r="E83" s="89">
        <f t="shared" ref="E83:S83" si="106">E53/E$23</f>
        <v>8.8008091786241985E-3</v>
      </c>
      <c r="F83" s="89">
        <f t="shared" si="106"/>
        <v>8.7466537775133836E-3</v>
      </c>
      <c r="G83" s="89">
        <f t="shared" si="106"/>
        <v>7.2014922090148413E-3</v>
      </c>
      <c r="H83" s="89">
        <f t="shared" si="106"/>
        <v>7.2688477361130136E-3</v>
      </c>
      <c r="I83" s="89">
        <f t="shared" si="106"/>
        <v>6.7062263095266231E-3</v>
      </c>
      <c r="J83" s="89">
        <f t="shared" si="106"/>
        <v>5.7403318333775931E-3</v>
      </c>
      <c r="K83" s="89">
        <f t="shared" si="106"/>
        <v>5.8161571538732984E-3</v>
      </c>
      <c r="L83" s="89">
        <f t="shared" si="106"/>
        <v>4.7339857193448697E-3</v>
      </c>
      <c r="M83" s="89">
        <f t="shared" si="106"/>
        <v>6.139206507558898E-3</v>
      </c>
      <c r="N83" s="89">
        <f t="shared" si="106"/>
        <v>4.6330467234774048E-3</v>
      </c>
      <c r="O83" s="89">
        <f t="shared" si="106"/>
        <v>4.816490761864173E-3</v>
      </c>
      <c r="P83" s="89">
        <f t="shared" si="106"/>
        <v>5.052420469373718E-3</v>
      </c>
      <c r="Q83" s="89">
        <f t="shared" si="106"/>
        <v>5.2428870745400372E-3</v>
      </c>
      <c r="R83" s="89">
        <f t="shared" si="106"/>
        <v>5.8688998230905795E-3</v>
      </c>
      <c r="S83" s="89">
        <f t="shared" si="106"/>
        <v>5.4902672535051501E-3</v>
      </c>
      <c r="T83" s="89">
        <f t="shared" ref="T83:Y83" si="107">T53/T$23</f>
        <v>5.4502954542154855E-3</v>
      </c>
      <c r="U83" s="89">
        <f t="shared" si="107"/>
        <v>5.1644749359876915E-3</v>
      </c>
      <c r="V83" s="89">
        <f t="shared" si="107"/>
        <v>4.6956707338764187E-3</v>
      </c>
      <c r="W83" s="89">
        <f t="shared" si="107"/>
        <v>5.2102885863834292E-3</v>
      </c>
      <c r="X83" s="89">
        <f t="shared" si="107"/>
        <v>5.5324362165525831E-3</v>
      </c>
      <c r="Y83" s="89">
        <f t="shared" si="107"/>
        <v>4.064603256513576E-3</v>
      </c>
      <c r="Z83" s="89">
        <f t="shared" ref="Z83:AA83" si="108">Z53/Z$23</f>
        <v>4.3156794341353225E-3</v>
      </c>
      <c r="AA83" s="89">
        <f t="shared" si="108"/>
        <v>4.5056504857435113E-3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7.0164702406702063E-3</v>
      </c>
      <c r="E84" s="89">
        <f t="shared" ref="E84:S84" si="110">E56/E$23</f>
        <v>7.1695606041073737E-3</v>
      </c>
      <c r="F84" s="89">
        <f t="shared" si="110"/>
        <v>7.6219512195121976E-3</v>
      </c>
      <c r="G84" s="89">
        <f t="shared" si="110"/>
        <v>6.5284144399377049E-3</v>
      </c>
      <c r="H84" s="89">
        <f t="shared" si="110"/>
        <v>6.4759580059030849E-3</v>
      </c>
      <c r="I84" s="89">
        <f t="shared" si="110"/>
        <v>5.9457670394099157E-3</v>
      </c>
      <c r="J84" s="89">
        <f t="shared" si="110"/>
        <v>5.867652247932861E-3</v>
      </c>
      <c r="K84" s="89">
        <f t="shared" si="110"/>
        <v>5.5776293604841111E-3</v>
      </c>
      <c r="L84" s="89">
        <f t="shared" si="110"/>
        <v>5.3302742018966221E-3</v>
      </c>
      <c r="M84" s="89">
        <f t="shared" si="110"/>
        <v>4.8697976619855214E-3</v>
      </c>
      <c r="N84" s="89">
        <f t="shared" si="110"/>
        <v>4.406187194258857E-3</v>
      </c>
      <c r="O84" s="89">
        <f t="shared" si="110"/>
        <v>4.487452681190305E-3</v>
      </c>
      <c r="P84" s="89">
        <f t="shared" si="110"/>
        <v>4.4449729701932887E-3</v>
      </c>
      <c r="Q84" s="89">
        <f t="shared" si="110"/>
        <v>4.3550829209079503E-3</v>
      </c>
      <c r="R84" s="89">
        <f t="shared" si="110"/>
        <v>4.4430161340143492E-3</v>
      </c>
      <c r="S84" s="89">
        <f t="shared" si="110"/>
        <v>4.4859869625058588E-3</v>
      </c>
      <c r="T84" s="89">
        <f t="shared" ref="T84:Y84" si="111">T56/T$23</f>
        <v>4.3730127618798733E-3</v>
      </c>
      <c r="U84" s="89">
        <f t="shared" si="111"/>
        <v>4.1832246981500301E-3</v>
      </c>
      <c r="V84" s="89">
        <f t="shared" si="111"/>
        <v>3.9079770501633812E-3</v>
      </c>
      <c r="W84" s="89">
        <f t="shared" si="111"/>
        <v>3.7875617810148466E-3</v>
      </c>
      <c r="X84" s="89">
        <f t="shared" si="111"/>
        <v>3.4614187927815804E-3</v>
      </c>
      <c r="Y84" s="89">
        <f t="shared" si="111"/>
        <v>3.4475565168699705E-3</v>
      </c>
      <c r="Z84" s="89">
        <f t="shared" ref="Z84:AA84" si="112">Z56/Z$23</f>
        <v>3.6728334488186449E-3</v>
      </c>
      <c r="AA84" s="89">
        <f t="shared" si="112"/>
        <v>3.5915368163228056E-3</v>
      </c>
    </row>
    <row r="85" spans="1:27" x14ac:dyDescent="0.25">
      <c r="A85" s="68" t="s">
        <v>2</v>
      </c>
      <c r="B85" s="44"/>
      <c r="C85" s="44"/>
      <c r="D85" s="89">
        <f t="shared" si="109"/>
        <v>2.6419912003967205E-2</v>
      </c>
      <c r="E85" s="89">
        <f t="shared" ref="E85:S85" si="113">E57/E$23</f>
        <v>2.6065269775790094E-2</v>
      </c>
      <c r="F85" s="89">
        <f t="shared" si="113"/>
        <v>2.5003718024985126E-2</v>
      </c>
      <c r="G85" s="89">
        <f t="shared" si="113"/>
        <v>2.3900859603895926E-2</v>
      </c>
      <c r="H85" s="89">
        <f t="shared" si="113"/>
        <v>2.0768729425341755E-2</v>
      </c>
      <c r="I85" s="89">
        <f t="shared" si="113"/>
        <v>1.8518956318904309E-2</v>
      </c>
      <c r="J85" s="89">
        <f t="shared" si="113"/>
        <v>1.7351953640818197E-2</v>
      </c>
      <c r="K85" s="89">
        <f t="shared" si="113"/>
        <v>1.6321182575054567E-2</v>
      </c>
      <c r="L85" s="89">
        <f t="shared" si="113"/>
        <v>1.4153527636609087E-2</v>
      </c>
      <c r="M85" s="89">
        <f t="shared" si="113"/>
        <v>1.6304069782313968E-2</v>
      </c>
      <c r="N85" s="89">
        <f t="shared" si="113"/>
        <v>1.4707526943563099E-2</v>
      </c>
      <c r="O85" s="89">
        <f t="shared" si="113"/>
        <v>1.4367996189425657E-2</v>
      </c>
      <c r="P85" s="89">
        <f t="shared" si="113"/>
        <v>1.4498389782025983E-2</v>
      </c>
      <c r="Q85" s="89">
        <f t="shared" si="113"/>
        <v>1.4995819249531077E-2</v>
      </c>
      <c r="R85" s="89">
        <f t="shared" si="113"/>
        <v>1.5460073696658066E-2</v>
      </c>
      <c r="S85" s="89">
        <f t="shared" si="113"/>
        <v>1.5696416957817198E-2</v>
      </c>
      <c r="T85" s="89">
        <f t="shared" ref="T85:Y85" si="114">T57/T$23</f>
        <v>1.5816600606878929E-2</v>
      </c>
      <c r="U85" s="89">
        <f t="shared" si="114"/>
        <v>1.5349363138696052E-2</v>
      </c>
      <c r="V85" s="89">
        <f t="shared" si="114"/>
        <v>1.599780462147507E-2</v>
      </c>
      <c r="W85" s="89">
        <f t="shared" si="114"/>
        <v>1.5924975670176061E-2</v>
      </c>
      <c r="X85" s="89">
        <f t="shared" si="114"/>
        <v>1.6237554449284382E-2</v>
      </c>
      <c r="Y85" s="89">
        <f t="shared" si="114"/>
        <v>1.5316373697559263E-2</v>
      </c>
      <c r="Z85" s="89">
        <f t="shared" ref="Z85:AA85" si="115">Z57/Z$23</f>
        <v>1.4507091332193167E-2</v>
      </c>
      <c r="AA85" s="89">
        <f t="shared" si="115"/>
        <v>1.4804781463669684E-2</v>
      </c>
    </row>
    <row r="86" spans="1:27" x14ac:dyDescent="0.25">
      <c r="A86" s="68" t="s">
        <v>269</v>
      </c>
      <c r="B86" s="44"/>
      <c r="C86" s="44"/>
      <c r="D86" s="89">
        <f t="shared" si="109"/>
        <v>1.1479578378720573E-2</v>
      </c>
      <c r="E86" s="89">
        <f t="shared" ref="E86:S86" si="116">E58/E$23</f>
        <v>1.2365756671261269E-2</v>
      </c>
      <c r="F86" s="89">
        <f t="shared" si="116"/>
        <v>1.2264834919690657E-2</v>
      </c>
      <c r="G86" s="89">
        <f t="shared" si="116"/>
        <v>1.2612509568262402E-2</v>
      </c>
      <c r="H86" s="89">
        <f t="shared" si="116"/>
        <v>1.3790469548467977E-2</v>
      </c>
      <c r="I86" s="89">
        <f t="shared" si="116"/>
        <v>1.500035461831249E-2</v>
      </c>
      <c r="J86" s="89">
        <f t="shared" si="116"/>
        <v>1.5718614608380595E-2</v>
      </c>
      <c r="K86" s="89">
        <f t="shared" si="116"/>
        <v>1.709884853158369E-2</v>
      </c>
      <c r="L86" s="89">
        <f t="shared" si="116"/>
        <v>1.7546620981484788E-2</v>
      </c>
      <c r="M86" s="89">
        <f t="shared" si="116"/>
        <v>1.594914690609572E-2</v>
      </c>
      <c r="N86" s="89">
        <f t="shared" si="116"/>
        <v>1.7800485032063877E-2</v>
      </c>
      <c r="O86" s="89">
        <f t="shared" si="116"/>
        <v>1.8488806437865078E-2</v>
      </c>
      <c r="P86" s="89">
        <f t="shared" si="116"/>
        <v>1.9682584576618735E-2</v>
      </c>
      <c r="Q86" s="89">
        <f t="shared" si="116"/>
        <v>1.86503439837548E-2</v>
      </c>
      <c r="R86" s="89">
        <f t="shared" si="116"/>
        <v>1.9185467842734699E-2</v>
      </c>
      <c r="S86" s="89">
        <f t="shared" si="116"/>
        <v>1.8639684196197649E-2</v>
      </c>
      <c r="T86" s="89">
        <f t="shared" ref="T86:Y86" si="117">T58/T$23</f>
        <v>1.8322516950505973E-2</v>
      </c>
      <c r="U86" s="89">
        <f t="shared" si="117"/>
        <v>1.9951182121131398E-2</v>
      </c>
      <c r="V86" s="89">
        <f t="shared" si="117"/>
        <v>2.0012501461044736E-2</v>
      </c>
      <c r="W86" s="89">
        <f t="shared" si="117"/>
        <v>1.8894768430289977E-2</v>
      </c>
      <c r="X86" s="89">
        <f t="shared" si="117"/>
        <v>1.7632817361543249E-2</v>
      </c>
      <c r="Y86" s="89">
        <f t="shared" si="117"/>
        <v>1.7169709812360698E-2</v>
      </c>
      <c r="Z86" s="89">
        <f t="shared" ref="Z86:AA86" si="118">Z58/Z$23</f>
        <v>1.4851544632736682E-2</v>
      </c>
      <c r="AA86" s="89">
        <f t="shared" si="118"/>
        <v>1.5352196943245999E-2</v>
      </c>
    </row>
    <row r="87" spans="1:27" x14ac:dyDescent="0.25">
      <c r="A87" s="68" t="s">
        <v>270</v>
      </c>
      <c r="B87" s="44"/>
      <c r="C87" s="44"/>
      <c r="D87" s="89">
        <f t="shared" si="109"/>
        <v>7.460670837861505E-2</v>
      </c>
      <c r="E87" s="89">
        <f t="shared" ref="E87:S87" si="119">E59/E$23</f>
        <v>7.5498547246710235E-2</v>
      </c>
      <c r="F87" s="89">
        <f t="shared" si="119"/>
        <v>7.6568077037477686E-2</v>
      </c>
      <c r="G87" s="89">
        <f t="shared" si="119"/>
        <v>7.7967041185320732E-2</v>
      </c>
      <c r="H87" s="89">
        <f t="shared" si="119"/>
        <v>7.7283916792242127E-2</v>
      </c>
      <c r="I87" s="89">
        <f t="shared" si="119"/>
        <v>7.4536829081853787E-2</v>
      </c>
      <c r="J87" s="89">
        <f t="shared" si="119"/>
        <v>7.3827651811405728E-2</v>
      </c>
      <c r="K87" s="89">
        <f t="shared" si="119"/>
        <v>7.5257152566297669E-2</v>
      </c>
      <c r="L87" s="89">
        <f t="shared" si="119"/>
        <v>7.5465301761321144E-2</v>
      </c>
      <c r="M87" s="89">
        <f t="shared" si="119"/>
        <v>6.3655897475251327E-2</v>
      </c>
      <c r="N87" s="89">
        <f t="shared" si="119"/>
        <v>6.7406037019640916E-2</v>
      </c>
      <c r="O87" s="89">
        <f t="shared" si="119"/>
        <v>6.9467773070270009E-2</v>
      </c>
      <c r="P87" s="89">
        <f t="shared" si="119"/>
        <v>7.2726571489178438E-2</v>
      </c>
      <c r="Q87" s="89">
        <f t="shared" si="119"/>
        <v>7.4872559749219539E-2</v>
      </c>
      <c r="R87" s="89">
        <f t="shared" si="119"/>
        <v>7.5050779555885586E-2</v>
      </c>
      <c r="S87" s="89">
        <f t="shared" si="119"/>
        <v>8.0097403088464386E-2</v>
      </c>
      <c r="T87" s="89">
        <f t="shared" ref="T87:Y87" si="120">T59/T$23</f>
        <v>8.3862537566967196E-2</v>
      </c>
      <c r="U87" s="89">
        <f t="shared" si="120"/>
        <v>8.3479660123186306E-2</v>
      </c>
      <c r="V87" s="89">
        <f t="shared" si="120"/>
        <v>8.1666048369474067E-2</v>
      </c>
      <c r="W87" s="89">
        <f t="shared" si="120"/>
        <v>8.123650501780201E-2</v>
      </c>
      <c r="X87" s="89">
        <f t="shared" si="120"/>
        <v>7.9814386278780319E-2</v>
      </c>
      <c r="Y87" s="89">
        <f t="shared" si="120"/>
        <v>8.2179207062001144E-2</v>
      </c>
      <c r="Z87" s="89">
        <f t="shared" ref="Z87:AA87" si="121">Z59/Z$23</f>
        <v>8.3213508977814807E-2</v>
      </c>
      <c r="AA87" s="89">
        <f t="shared" si="121"/>
        <v>8.1084163375448076E-2</v>
      </c>
    </row>
    <row r="88" spans="1:27" x14ac:dyDescent="0.25">
      <c r="A88" s="68" t="s">
        <v>1</v>
      </c>
      <c r="B88" s="44"/>
      <c r="C88" s="44"/>
      <c r="D88" s="89">
        <f t="shared" si="109"/>
        <v>2.3734661362988907E-2</v>
      </c>
      <c r="E88" s="89">
        <f t="shared" ref="E88:S88" si="122">E60/E$23</f>
        <v>2.3769622085816566E-2</v>
      </c>
      <c r="F88" s="89">
        <f t="shared" si="122"/>
        <v>2.0644333729922661E-2</v>
      </c>
      <c r="G88" s="89">
        <f t="shared" si="122"/>
        <v>1.7825562877781392E-2</v>
      </c>
      <c r="H88" s="89">
        <f t="shared" si="122"/>
        <v>1.6376701495697223E-2</v>
      </c>
      <c r="I88" s="89">
        <f t="shared" si="122"/>
        <v>1.537861415163479E-2</v>
      </c>
      <c r="J88" s="89">
        <f t="shared" si="122"/>
        <v>1.3743329319708838E-2</v>
      </c>
      <c r="K88" s="89">
        <f t="shared" si="122"/>
        <v>1.2792278234502229E-2</v>
      </c>
      <c r="L88" s="89">
        <f t="shared" si="122"/>
        <v>1.1072199335910188E-2</v>
      </c>
      <c r="M88" s="89">
        <f t="shared" si="122"/>
        <v>9.2663648223467107E-3</v>
      </c>
      <c r="N88" s="89">
        <f t="shared" si="122"/>
        <v>7.8378369742690152E-3</v>
      </c>
      <c r="O88" s="89">
        <f t="shared" si="122"/>
        <v>8.3136955050264489E-3</v>
      </c>
      <c r="P88" s="89">
        <f t="shared" si="122"/>
        <v>8.0446618542254558E-3</v>
      </c>
      <c r="Q88" s="89">
        <f t="shared" si="122"/>
        <v>7.447869754288094E-3</v>
      </c>
      <c r="R88" s="89">
        <f t="shared" si="122"/>
        <v>7.8751212937164406E-3</v>
      </c>
      <c r="S88" s="89">
        <f t="shared" si="122"/>
        <v>7.1207102560612249E-3</v>
      </c>
      <c r="T88" s="89">
        <f t="shared" ref="T88:Y88" si="123">T60/T$23</f>
        <v>7.2709322415320061E-3</v>
      </c>
      <c r="U88" s="89">
        <f t="shared" si="123"/>
        <v>7.3172455408836139E-3</v>
      </c>
      <c r="V88" s="89">
        <f t="shared" si="123"/>
        <v>6.992687153478303E-3</v>
      </c>
      <c r="W88" s="89">
        <f t="shared" si="123"/>
        <v>6.518240792327319E-3</v>
      </c>
      <c r="X88" s="89">
        <f t="shared" si="123"/>
        <v>5.7512056627255755E-3</v>
      </c>
      <c r="Y88" s="89">
        <f t="shared" si="123"/>
        <v>5.5029150517682457E-3</v>
      </c>
      <c r="Z88" s="89">
        <f t="shared" ref="Z88:AA88" si="124">Z60/Z$23</f>
        <v>5.2368917495423982E-3</v>
      </c>
      <c r="AA88" s="89">
        <f t="shared" si="124"/>
        <v>5.2215014974971536E-3</v>
      </c>
    </row>
    <row r="89" spans="1:27" x14ac:dyDescent="0.25">
      <c r="A89" s="68" t="s">
        <v>0</v>
      </c>
      <c r="B89" s="44"/>
      <c r="C89" s="44"/>
      <c r="D89" s="89">
        <f t="shared" si="109"/>
        <v>9.7966806292665923E-3</v>
      </c>
      <c r="E89" s="89">
        <f t="shared" ref="E89:S89" si="125">E61/E$23</f>
        <v>9.1776325575399394E-3</v>
      </c>
      <c r="F89" s="89">
        <f t="shared" si="125"/>
        <v>8.8070716835217128E-3</v>
      </c>
      <c r="G89" s="89">
        <f t="shared" si="125"/>
        <v>8.8291966178941882E-3</v>
      </c>
      <c r="H89" s="89">
        <f t="shared" si="125"/>
        <v>8.4436529384659467E-3</v>
      </c>
      <c r="I89" s="89">
        <f t="shared" si="125"/>
        <v>8.2744272914253292E-3</v>
      </c>
      <c r="J89" s="89">
        <f t="shared" si="125"/>
        <v>8.395871908387505E-3</v>
      </c>
      <c r="K89" s="89">
        <f t="shared" si="125"/>
        <v>8.8582033955901772E-3</v>
      </c>
      <c r="L89" s="89">
        <f t="shared" si="125"/>
        <v>7.3400993410558243E-3</v>
      </c>
      <c r="M89" s="89">
        <f t="shared" si="125"/>
        <v>6.420586805822014E-3</v>
      </c>
      <c r="N89" s="89">
        <f t="shared" si="125"/>
        <v>6.4031900923094609E-3</v>
      </c>
      <c r="O89" s="89">
        <f t="shared" si="125"/>
        <v>6.8502594700293323E-3</v>
      </c>
      <c r="P89" s="89">
        <f t="shared" si="125"/>
        <v>7.0643894349131254E-3</v>
      </c>
      <c r="Q89" s="89">
        <f t="shared" si="125"/>
        <v>7.018495381804212E-3</v>
      </c>
      <c r="R89" s="89">
        <f t="shared" si="125"/>
        <v>7.7284768005291687E-3</v>
      </c>
      <c r="S89" s="89">
        <f t="shared" si="125"/>
        <v>7.2749822284737661E-3</v>
      </c>
      <c r="T89" s="89">
        <f t="shared" ref="T89:Y89" si="126">T61/T$23</f>
        <v>7.3522365956705431E-3</v>
      </c>
      <c r="U89" s="89">
        <f t="shared" si="126"/>
        <v>7.3634540008371873E-3</v>
      </c>
      <c r="V89" s="89">
        <f t="shared" si="126"/>
        <v>7.4017796795357183E-3</v>
      </c>
      <c r="W89" s="89">
        <f t="shared" si="126"/>
        <v>7.3240541257881802E-3</v>
      </c>
      <c r="X89" s="89">
        <f t="shared" si="126"/>
        <v>7.4770535158680774E-3</v>
      </c>
      <c r="Y89" s="89">
        <f t="shared" si="126"/>
        <v>7.6153668793025849E-3</v>
      </c>
      <c r="Z89" s="89">
        <f t="shared" ref="Z89:AA89" si="127">Z61/Z$23</f>
        <v>8.6794221195092731E-3</v>
      </c>
      <c r="AA89" s="89">
        <f t="shared" si="127"/>
        <v>7.2392188100380561E-3</v>
      </c>
    </row>
    <row r="90" spans="1:27" x14ac:dyDescent="0.25">
      <c r="A90" s="90" t="s">
        <v>272</v>
      </c>
      <c r="B90" s="47"/>
      <c r="C90" s="47"/>
      <c r="D90" s="91">
        <f t="shared" si="109"/>
        <v>2.4800320752925285E-2</v>
      </c>
      <c r="E90" s="91">
        <f t="shared" ref="E90:S90" si="128">E62/E$23</f>
        <v>2.5817359658082368E-2</v>
      </c>
      <c r="F90" s="91">
        <f t="shared" si="128"/>
        <v>2.8749628197501483E-2</v>
      </c>
      <c r="G90" s="91">
        <f t="shared" si="128"/>
        <v>2.8044907044880645E-2</v>
      </c>
      <c r="H90" s="91">
        <f t="shared" si="128"/>
        <v>2.841534137846578E-2</v>
      </c>
      <c r="I90" s="91">
        <f t="shared" si="128"/>
        <v>2.6683057913110632E-2</v>
      </c>
      <c r="J90" s="91">
        <f t="shared" si="128"/>
        <v>2.5307660687457489E-2</v>
      </c>
      <c r="K90" s="91">
        <f t="shared" si="128"/>
        <v>2.4976800721464885E-2</v>
      </c>
      <c r="L90" s="91">
        <f t="shared" si="128"/>
        <v>2.3379351468171213E-2</v>
      </c>
      <c r="M90" s="91">
        <f t="shared" si="128"/>
        <v>2.1918885734018876E-2</v>
      </c>
      <c r="N90" s="91">
        <f t="shared" si="128"/>
        <v>2.207247363157373E-2</v>
      </c>
      <c r="O90" s="91">
        <f t="shared" si="128"/>
        <v>2.254694276617614E-2</v>
      </c>
      <c r="P90" s="91">
        <f t="shared" si="128"/>
        <v>2.156920723280345E-2</v>
      </c>
      <c r="Q90" s="91">
        <f t="shared" si="128"/>
        <v>2.3170074220427245E-2</v>
      </c>
      <c r="R90" s="91">
        <f t="shared" si="128"/>
        <v>2.4006015544316278E-2</v>
      </c>
      <c r="S90" s="91">
        <f t="shared" si="128"/>
        <v>2.5100957393711147E-2</v>
      </c>
      <c r="T90" s="91">
        <f t="shared" ref="T90:Y90" si="129">T62/T$23</f>
        <v>2.7553464872163418E-2</v>
      </c>
      <c r="U90" s="91">
        <f t="shared" si="129"/>
        <v>2.8081152928257289E-2</v>
      </c>
      <c r="V90" s="91">
        <f t="shared" si="129"/>
        <v>2.7332970824842335E-2</v>
      </c>
      <c r="W90" s="91">
        <f t="shared" si="129"/>
        <v>2.7196797788676053E-2</v>
      </c>
      <c r="X90" s="91">
        <f t="shared" si="129"/>
        <v>2.5576579029247044E-2</v>
      </c>
      <c r="Y90" s="91">
        <f t="shared" si="129"/>
        <v>2.5876436939360335E-2</v>
      </c>
      <c r="Z90" s="91">
        <f t="shared" ref="Z90:AA90" si="130">Z62/Z$23</f>
        <v>2.5227198993875943E-2</v>
      </c>
      <c r="AA90" s="91">
        <f t="shared" si="130"/>
        <v>2.3917845569180508E-2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2.8297666782371556E-2</v>
      </c>
      <c r="F93" s="92">
        <f t="shared" ref="F93:F94" si="132">IF(E16=0,"",F16/E16-1)</f>
        <v>3.2817827406758093E-2</v>
      </c>
      <c r="G93" s="92">
        <f t="shared" ref="G93:G94" si="133">IF(F16=0,"",G16/F16-1)</f>
        <v>3.1952917978040229E-2</v>
      </c>
      <c r="H93" s="92">
        <f t="shared" ref="H93:H94" si="134">IF(G16=0,"",H16/G16-1)</f>
        <v>4.5458046837234534E-2</v>
      </c>
      <c r="I93" s="92">
        <f t="shared" ref="I93:I94" si="135">IF(H16=0,"",I16/H16-1)</f>
        <v>3.8537060152728619E-2</v>
      </c>
      <c r="J93" s="92">
        <f t="shared" ref="J93:J94" si="136">IF(I16=0,"",J16/I16-1)</f>
        <v>5.9098115035614907E-2</v>
      </c>
      <c r="K93" s="92">
        <f t="shared" ref="K93:K94" si="137">IF(J16=0,"",K16/J16-1)</f>
        <v>7.1388417444686603E-2</v>
      </c>
      <c r="L93" s="92">
        <f t="shared" ref="L93:L94" si="138">IF(K16=0,"",L16/K16-1)</f>
        <v>3.3727266562672442E-2</v>
      </c>
      <c r="M93" s="92">
        <f t="shared" ref="M93:M94" si="139">IF(L16=0,"",M16/L16-1)</f>
        <v>-7.5907284324505331E-2</v>
      </c>
      <c r="N93" s="92">
        <f t="shared" ref="N93:N94" si="140">IF(M16=0,"",N16/M16-1)</f>
        <v>1.1116037884148389E-2</v>
      </c>
      <c r="O93" s="92">
        <f t="shared" ref="O93:O94" si="141">IF(N16=0,"",O16/N16-1)</f>
        <v>6.5553370415118994E-3</v>
      </c>
      <c r="P93" s="92">
        <f t="shared" ref="P93:P94" si="142">IF(O16=0,"",P16/O16-1)</f>
        <v>-2.9158258437420592E-2</v>
      </c>
      <c r="Q93" s="92">
        <f t="shared" ref="Q93:Q94" si="143">IF(P16=0,"",Q16/P16-1)</f>
        <v>-8.2322851258043173E-3</v>
      </c>
      <c r="R93" s="92">
        <f t="shared" ref="R93:R94" si="144">IF(Q16=0,"",R16/Q16-1)</f>
        <v>2.7628415526286698E-2</v>
      </c>
      <c r="S93" s="92">
        <f t="shared" ref="S93:S94" si="145">IF(R16=0,"",S16/R16-1)</f>
        <v>2.3931605086005447E-2</v>
      </c>
      <c r="T93" s="92">
        <f t="shared" ref="T93:T94" si="146">IF(S16=0,"",T16/S16-1)</f>
        <v>3.0349993683327803E-2</v>
      </c>
      <c r="U93" s="92">
        <f t="shared" ref="U93:U94" si="147">IF(T16=0,"",U16/T16-1)</f>
        <v>5.1733362374132508E-2</v>
      </c>
      <c r="V93" s="92">
        <f t="shared" ref="V93:V94" si="148">IF(U16=0,"",V16/U16-1)</f>
        <v>4.3795565863048225E-2</v>
      </c>
      <c r="W93" s="92">
        <f t="shared" ref="W93:W94" si="149">IF(V16=0,"",W16/V16-1)</f>
        <v>3.5052268876879955E-2</v>
      </c>
      <c r="X93" s="92">
        <f t="shared" ref="X93:X94" si="150">IF(W16=0,"",X16/W16-1)</f>
        <v>-4.0850233817155912E-2</v>
      </c>
      <c r="Y93" s="92">
        <f t="shared" ref="Y93:Y94" si="151">IF(X16=0,"",Y16/X16-1)</f>
        <v>8.4173434311800799E-2</v>
      </c>
      <c r="Z93" s="92">
        <f t="shared" ref="Z93:Z94" si="152">IF(Y16=0,"",Z16/Y16-1)</f>
        <v>2.6681167701722908E-2</v>
      </c>
      <c r="AA93" s="92">
        <f t="shared" ref="AA93:AA94" si="153">IF(Z16=0,"",AA16/Z16-1)</f>
        <v>2.3759777430998108E-2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2.2618352457293822E-2</v>
      </c>
      <c r="F94" s="93">
        <f t="shared" si="132"/>
        <v>2.0117404205169942E-2</v>
      </c>
      <c r="G94" s="93">
        <f t="shared" si="133"/>
        <v>3.8287339939842902E-2</v>
      </c>
      <c r="H94" s="93">
        <f t="shared" si="134"/>
        <v>2.8130747054023297E-2</v>
      </c>
      <c r="I94" s="93">
        <f t="shared" si="135"/>
        <v>2.1207587646033144E-2</v>
      </c>
      <c r="J94" s="93">
        <f t="shared" si="136"/>
        <v>1.4108738933880538E-2</v>
      </c>
      <c r="K94" s="93">
        <f t="shared" si="137"/>
        <v>6.818341990928789E-2</v>
      </c>
      <c r="L94" s="93">
        <f t="shared" si="138"/>
        <v>2.7059012206054334E-2</v>
      </c>
      <c r="M94" s="93">
        <f t="shared" si="139"/>
        <v>2.1246652698978519E-2</v>
      </c>
      <c r="N94" s="93">
        <f t="shared" si="140"/>
        <v>1.0291424883688949E-2</v>
      </c>
      <c r="O94" s="93">
        <f t="shared" si="141"/>
        <v>5.4662990629568142E-3</v>
      </c>
      <c r="P94" s="93">
        <f t="shared" si="142"/>
        <v>-2.4365318929350455E-2</v>
      </c>
      <c r="Q94" s="93">
        <f t="shared" si="143"/>
        <v>-3.8036315178717639E-2</v>
      </c>
      <c r="R94" s="93">
        <f t="shared" si="144"/>
        <v>1.1344626149530912E-2</v>
      </c>
      <c r="S94" s="93">
        <f t="shared" si="145"/>
        <v>2.4067054266243559E-2</v>
      </c>
      <c r="T94" s="93">
        <f t="shared" si="146"/>
        <v>4.0923830916247184E-2</v>
      </c>
      <c r="U94" s="93">
        <f t="shared" si="147"/>
        <v>2.5088468097879124E-2</v>
      </c>
      <c r="V94" s="93">
        <f t="shared" si="148"/>
        <v>3.4050326076346948E-2</v>
      </c>
      <c r="W94" s="93">
        <f t="shared" si="149"/>
        <v>5.4990056576339708E-2</v>
      </c>
      <c r="X94" s="93">
        <f t="shared" si="150"/>
        <v>-6.1495892588612766E-2</v>
      </c>
      <c r="Y94" s="93">
        <f t="shared" si="151"/>
        <v>0.11260216802540879</v>
      </c>
      <c r="Z94" s="93">
        <f t="shared" si="152"/>
        <v>3.9367473362787786E-2</v>
      </c>
      <c r="AA94" s="93">
        <f t="shared" si="153"/>
        <v>-1.872782109383353E-4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2.7089086563244269E-2</v>
      </c>
      <c r="F95" s="92">
        <f t="shared" ref="F95:F96" si="155">IF(E20=0,"",F20/E20-1)</f>
        <v>3.0781224224370574E-2</v>
      </c>
      <c r="G95" s="92">
        <f t="shared" ref="G95:G96" si="156">IF(F20=0,"",G20/F20-1)</f>
        <v>3.1432036073628877E-2</v>
      </c>
      <c r="H95" s="92">
        <f t="shared" ref="H95:H96" si="157">IF(G20=0,"",H20/G20-1)</f>
        <v>4.4724918670362879E-2</v>
      </c>
      <c r="I95" s="92">
        <f t="shared" ref="I95:I96" si="158">IF(H20=0,"",I20/H20-1)</f>
        <v>3.7935541633614678E-2</v>
      </c>
      <c r="J95" s="92">
        <f t="shared" ref="J95:J96" si="159">IF(I20=0,"",J20/I20-1)</f>
        <v>5.6048795878716584E-2</v>
      </c>
      <c r="K95" s="92">
        <f t="shared" ref="K95:K96" si="160">IF(J20=0,"",K20/J20-1)</f>
        <v>6.7647788049282509E-2</v>
      </c>
      <c r="L95" s="92">
        <f t="shared" ref="L95:L96" si="161">IF(K20=0,"",L20/K20-1)</f>
        <v>3.3782802684847457E-2</v>
      </c>
      <c r="M95" s="92">
        <f t="shared" ref="M95:M96" si="162">IF(L20=0,"",M20/L20-1)</f>
        <v>-8.5952729165246766E-2</v>
      </c>
      <c r="N95" s="92">
        <f t="shared" ref="N95:N96" si="163">IF(M20=0,"",N20/M20-1)</f>
        <v>3.8973651798086539E-3</v>
      </c>
      <c r="O95" s="92">
        <f t="shared" ref="O95:O96" si="164">IF(N20=0,"",O20/N20-1)</f>
        <v>4.9778911094957579E-3</v>
      </c>
      <c r="P95" s="92">
        <f t="shared" ref="P95:P96" si="165">IF(O20=0,"",P20/O20-1)</f>
        <v>-3.1664834525368613E-2</v>
      </c>
      <c r="Q95" s="92">
        <f t="shared" ref="Q95:Q96" si="166">IF(P20=0,"",Q20/P20-1)</f>
        <v>-9.8339919531373887E-3</v>
      </c>
      <c r="R95" s="92">
        <f t="shared" ref="R95:R96" si="167">IF(Q20=0,"",R20/Q20-1)</f>
        <v>2.6499616504047863E-2</v>
      </c>
      <c r="S95" s="92">
        <f t="shared" ref="S95:S96" si="168">IF(R20=0,"",S20/R20-1)</f>
        <v>2.3043614039776505E-2</v>
      </c>
      <c r="T95" s="92">
        <f t="shared" ref="T95:T96" si="169">IF(S20=0,"",T20/S20-1)</f>
        <v>2.9694103865297583E-2</v>
      </c>
      <c r="U95" s="92">
        <f t="shared" ref="U95:U96" si="170">IF(T20=0,"",U20/T20-1)</f>
        <v>5.0864340061975932E-2</v>
      </c>
      <c r="V95" s="92">
        <f t="shared" ref="V95:V96" si="171">IF(U20=0,"",V20/U20-1)</f>
        <v>4.3298130776165955E-2</v>
      </c>
      <c r="W95" s="92">
        <f t="shared" ref="W95:W96" si="172">IF(V20=0,"",W20/V20-1)</f>
        <v>2.8074683501743358E-2</v>
      </c>
      <c r="X95" s="92">
        <f t="shared" ref="X95:X96" si="173">IF(W20=0,"",X20/W20-1)</f>
        <v>-4.7693324295833728E-2</v>
      </c>
      <c r="Y95" s="92">
        <f t="shared" ref="Y95:Y96" si="174">IF(X20=0,"",Y20/X20-1)</f>
        <v>7.7430819876255219E-2</v>
      </c>
      <c r="Z95" s="92">
        <f t="shared" ref="Z95:Z96" si="175">IF(Y20=0,"",Z20/Y20-1)</f>
        <v>2.7556719889177073E-2</v>
      </c>
      <c r="AA95" s="92">
        <f t="shared" ref="AA95:AA96" si="176">IF(Z20=0,"",AA20/Z20-1)</f>
        <v>1.9024402687919828E-2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2.1416447257641247E-2</v>
      </c>
      <c r="F96" s="93">
        <f t="shared" si="155"/>
        <v>1.8105844860740739E-2</v>
      </c>
      <c r="G96" s="93">
        <f t="shared" si="156"/>
        <v>3.7763260713424396E-2</v>
      </c>
      <c r="H96" s="93">
        <f t="shared" si="157"/>
        <v>2.7409769667917194E-2</v>
      </c>
      <c r="I96" s="93">
        <f t="shared" si="158"/>
        <v>2.0616106321583949E-2</v>
      </c>
      <c r="J96" s="93">
        <f t="shared" si="159"/>
        <v>1.1188951653638757E-2</v>
      </c>
      <c r="K96" s="93">
        <f t="shared" si="160"/>
        <v>6.4453980394041155E-2</v>
      </c>
      <c r="L96" s="93">
        <f t="shared" si="161"/>
        <v>2.7114190081910072E-2</v>
      </c>
      <c r="M96" s="93">
        <f t="shared" si="162"/>
        <v>1.01450860006842E-2</v>
      </c>
      <c r="N96" s="93">
        <f t="shared" si="163"/>
        <v>3.0786393487092223E-3</v>
      </c>
      <c r="O96" s="93">
        <f t="shared" si="164"/>
        <v>3.8905598414071818E-3</v>
      </c>
      <c r="P96" s="93">
        <f t="shared" si="165"/>
        <v>-2.6884269709328446E-2</v>
      </c>
      <c r="Q96" s="93">
        <f t="shared" si="166"/>
        <v>-3.9589888438379628E-2</v>
      </c>
      <c r="R96" s="93">
        <f t="shared" si="167"/>
        <v>1.0233714065069011E-2</v>
      </c>
      <c r="S96" s="93">
        <f t="shared" si="168"/>
        <v>2.3178945753517199E-2</v>
      </c>
      <c r="T96" s="93">
        <f t="shared" si="169"/>
        <v>4.0261210111444345E-2</v>
      </c>
      <c r="U96" s="93">
        <f t="shared" si="170"/>
        <v>2.4241461829388689E-2</v>
      </c>
      <c r="V96" s="93">
        <f t="shared" si="171"/>
        <v>3.3557535217087819E-2</v>
      </c>
      <c r="W96" s="93">
        <f t="shared" si="172"/>
        <v>4.7878064833478895E-2</v>
      </c>
      <c r="X96" s="93">
        <f t="shared" si="173"/>
        <v>-6.8191685829730564E-2</v>
      </c>
      <c r="Y96" s="93">
        <f t="shared" si="174"/>
        <v>0.10568275162787488</v>
      </c>
      <c r="Z96" s="93">
        <f t="shared" si="175"/>
        <v>4.0253844413022266E-2</v>
      </c>
      <c r="AA96" s="93">
        <f t="shared" si="176"/>
        <v>-4.8118864588313492E-3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3.4289128166847593E-2</v>
      </c>
      <c r="F97" s="89">
        <f t="shared" ref="F97:F106" si="178">IF(E23=0,"",F23/E23-1)</f>
        <v>3.6161224526210622E-2</v>
      </c>
      <c r="G97" s="89">
        <f t="shared" ref="G97:G106" si="179">IF(F23=0,"",G23/F23-1)</f>
        <v>3.3902596489091108E-2</v>
      </c>
      <c r="H97" s="89">
        <f t="shared" ref="H97:H106" si="180">IF(G23=0,"",H23/G23-1)</f>
        <v>4.5579497879293385E-2</v>
      </c>
      <c r="I97" s="89">
        <f t="shared" ref="I97:I106" si="181">IF(H23=0,"",I23/H23-1)</f>
        <v>3.689577856906312E-2</v>
      </c>
      <c r="J97" s="89">
        <f t="shared" ref="J97:J106" si="182">IF(I23=0,"",J23/I23-1)</f>
        <v>6.1528457843316398E-2</v>
      </c>
      <c r="K97" s="89">
        <f t="shared" ref="K97:K106" si="183">IF(J23=0,"",K23/J23-1)</f>
        <v>7.3449127617810417E-2</v>
      </c>
      <c r="L97" s="89">
        <f t="shared" ref="L97:L106" si="184">IF(K23=0,"",L23/K23-1)</f>
        <v>3.010863583450929E-2</v>
      </c>
      <c r="M97" s="89">
        <f t="shared" ref="M97:M106" si="185">IF(L23=0,"",M23/L23-1)</f>
        <v>-7.1000952940457274E-2</v>
      </c>
      <c r="N97" s="89">
        <f t="shared" ref="N97:N106" si="186">IF(M23=0,"",N23/M23-1)</f>
        <v>1.1755578345116868E-2</v>
      </c>
      <c r="O97" s="89">
        <f t="shared" ref="O97:O106" si="187">IF(N23=0,"",O23/N23-1)</f>
        <v>3.2480366967537755E-3</v>
      </c>
      <c r="P97" s="89">
        <f t="shared" ref="P97:P106" si="188">IF(O23=0,"",P23/O23-1)</f>
        <v>-2.5626793243375356E-2</v>
      </c>
      <c r="Q97" s="89">
        <f t="shared" ref="Q97:Q106" si="189">IF(P23=0,"",Q23/P23-1)</f>
        <v>-4.6520233988527337E-3</v>
      </c>
      <c r="R97" s="89">
        <f t="shared" ref="R97:R106" si="190">IF(Q23=0,"",R23/Q23-1)</f>
        <v>3.4819766434578181E-2</v>
      </c>
      <c r="S97" s="89">
        <f t="shared" ref="S97:S106" si="191">IF(R23=0,"",S23/R23-1)</f>
        <v>2.3566159287120581E-2</v>
      </c>
      <c r="T97" s="89">
        <f t="shared" ref="T97:T106" si="192">IF(S23=0,"",T23/S23-1)</f>
        <v>3.1572872250066553E-2</v>
      </c>
      <c r="U97" s="89">
        <f t="shared" ref="U97:U106" si="193">IF(T23=0,"",U23/T23-1)</f>
        <v>5.4759998196441506E-2</v>
      </c>
      <c r="V97" s="89">
        <f t="shared" ref="V97:V106" si="194">IF(U23=0,"",V23/U23-1)</f>
        <v>4.3924393641333381E-2</v>
      </c>
      <c r="W97" s="89">
        <f t="shared" ref="W97:W106" si="195">IF(V23=0,"",W23/V23-1)</f>
        <v>3.6485115256479794E-2</v>
      </c>
      <c r="X97" s="89">
        <f t="shared" ref="X97:X106" si="196">IF(W23=0,"",X23/W23-1)</f>
        <v>-3.0586324671801779E-2</v>
      </c>
      <c r="Y97" s="89">
        <f t="shared" ref="Y97:Y106" si="197">IF(X23=0,"",Y23/X23-1)</f>
        <v>7.8861260471057903E-2</v>
      </c>
      <c r="Z97" s="89">
        <f t="shared" ref="Z97:Z108" si="198">IF(Y23=0,"",Z23/Y23-1)</f>
        <v>2.6591183394945928E-2</v>
      </c>
      <c r="AA97" s="89">
        <f t="shared" ref="AA97:AA108" si="199">IF(Z23=0,"",AA23/Z23-1)</f>
        <v>2.6146482274084448E-2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-6.6517279433718657E-2</v>
      </c>
      <c r="F98" s="83">
        <f t="shared" si="178"/>
        <v>0.10735017971214211</v>
      </c>
      <c r="G98" s="83">
        <f t="shared" si="179"/>
        <v>-0.21041462729803495</v>
      </c>
      <c r="H98" s="83">
        <f t="shared" si="180"/>
        <v>0.13028917680715524</v>
      </c>
      <c r="I98" s="83">
        <f t="shared" si="181"/>
        <v>4.4852221037025242E-2</v>
      </c>
      <c r="J98" s="83">
        <f t="shared" si="182"/>
        <v>-8.4421465013074015E-2</v>
      </c>
      <c r="K98" s="83">
        <f t="shared" si="183"/>
        <v>4.5778226430484237E-2</v>
      </c>
      <c r="L98" s="83">
        <f t="shared" si="184"/>
        <v>-0.10810511656336375</v>
      </c>
      <c r="M98" s="83">
        <f t="shared" si="185"/>
        <v>-6.6966967835582758E-2</v>
      </c>
      <c r="N98" s="83">
        <f t="shared" si="186"/>
        <v>5.0758041982536417E-2</v>
      </c>
      <c r="O98" s="83">
        <f t="shared" si="187"/>
        <v>0.12614753316228011</v>
      </c>
      <c r="P98" s="83">
        <f t="shared" si="188"/>
        <v>-0.12645511801506182</v>
      </c>
      <c r="Q98" s="83">
        <f t="shared" si="189"/>
        <v>5.2835072576455921E-3</v>
      </c>
      <c r="R98" s="83">
        <f t="shared" si="190"/>
        <v>2.8910645064632146E-2</v>
      </c>
      <c r="S98" s="83">
        <f t="shared" si="191"/>
        <v>0.11061917354154405</v>
      </c>
      <c r="T98" s="83">
        <f t="shared" si="192"/>
        <v>-3.4399066614266949E-2</v>
      </c>
      <c r="U98" s="83">
        <f t="shared" si="193"/>
        <v>-3.8108288157439829E-2</v>
      </c>
      <c r="V98" s="83">
        <f t="shared" si="194"/>
        <v>0.22413117169279717</v>
      </c>
      <c r="W98" s="83">
        <f t="shared" si="195"/>
        <v>-8.1403562576291111E-2</v>
      </c>
      <c r="X98" s="83">
        <f t="shared" si="196"/>
        <v>2.5012372614604983E-2</v>
      </c>
      <c r="Y98" s="83">
        <f t="shared" si="197"/>
        <v>-0.13561698308477865</v>
      </c>
      <c r="Z98" s="83">
        <f t="shared" si="198"/>
        <v>0.10015766501140422</v>
      </c>
      <c r="AA98" s="83">
        <f t="shared" si="199"/>
        <v>-4.553169261295964E-2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-9.0817514218813788E-2</v>
      </c>
      <c r="F99" s="83">
        <f t="shared" si="178"/>
        <v>-9.8250275917898366E-2</v>
      </c>
      <c r="G99" s="83">
        <f t="shared" si="179"/>
        <v>7.5901206801950449E-2</v>
      </c>
      <c r="H99" s="83">
        <f t="shared" si="180"/>
        <v>0.11820291836413821</v>
      </c>
      <c r="I99" s="83">
        <f t="shared" si="181"/>
        <v>1.2237387121122323E-2</v>
      </c>
      <c r="J99" s="83">
        <f t="shared" si="182"/>
        <v>1.8448787062339322E-2</v>
      </c>
      <c r="K99" s="83">
        <f t="shared" si="183"/>
        <v>1.0242512683503957E-2</v>
      </c>
      <c r="L99" s="83">
        <f t="shared" si="184"/>
        <v>-3.9329652516097435E-2</v>
      </c>
      <c r="M99" s="83">
        <f t="shared" si="185"/>
        <v>-3.1929213685978231E-2</v>
      </c>
      <c r="N99" s="83">
        <f t="shared" si="186"/>
        <v>-2.3582372467945478E-2</v>
      </c>
      <c r="O99" s="83">
        <f t="shared" si="187"/>
        <v>3.2813207780884035E-2</v>
      </c>
      <c r="P99" s="83">
        <f t="shared" si="188"/>
        <v>-2.1822742345467216E-2</v>
      </c>
      <c r="Q99" s="83">
        <f t="shared" si="189"/>
        <v>-0.11713653774191923</v>
      </c>
      <c r="R99" s="83">
        <f t="shared" si="190"/>
        <v>1.3606763907465069E-2</v>
      </c>
      <c r="S99" s="83">
        <f t="shared" si="191"/>
        <v>-3.4150195432008812E-2</v>
      </c>
      <c r="T99" s="83">
        <f t="shared" si="192"/>
        <v>3.6441985323185433E-2</v>
      </c>
      <c r="U99" s="83">
        <f t="shared" si="193"/>
        <v>4.8061657694194571E-2</v>
      </c>
      <c r="V99" s="83">
        <f t="shared" si="194"/>
        <v>1.0495772424316874E-2</v>
      </c>
      <c r="W99" s="83">
        <f t="shared" si="195"/>
        <v>-5.5248837638873227E-2</v>
      </c>
      <c r="X99" s="83">
        <f t="shared" si="196"/>
        <v>-7.5066348965075691E-2</v>
      </c>
      <c r="Y99" s="83">
        <f t="shared" si="197"/>
        <v>-9.6666474229065935E-2</v>
      </c>
      <c r="Z99" s="83">
        <f t="shared" si="198"/>
        <v>0.28518278292537769</v>
      </c>
      <c r="AA99" s="83">
        <f t="shared" si="199"/>
        <v>-0.27328213081158104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3.9270949828038137E-2</v>
      </c>
      <c r="F100" s="83">
        <f t="shared" si="178"/>
        <v>3.5149696487481341E-2</v>
      </c>
      <c r="G100" s="83">
        <f t="shared" si="179"/>
        <v>4.4136271095932988E-2</v>
      </c>
      <c r="H100" s="83">
        <f t="shared" si="180"/>
        <v>4.6795839804919526E-2</v>
      </c>
      <c r="I100" s="83">
        <f t="shared" si="181"/>
        <v>4.4630291089558627E-2</v>
      </c>
      <c r="J100" s="83">
        <f t="shared" si="182"/>
        <v>6.0508171305284408E-2</v>
      </c>
      <c r="K100" s="83">
        <f t="shared" si="183"/>
        <v>6.4820439522758511E-2</v>
      </c>
      <c r="L100" s="83">
        <f t="shared" si="184"/>
        <v>4.9901258702528928E-2</v>
      </c>
      <c r="M100" s="83">
        <f t="shared" si="185"/>
        <v>-3.4441600894162483E-2</v>
      </c>
      <c r="N100" s="83">
        <f t="shared" si="186"/>
        <v>2.5306265405820705E-2</v>
      </c>
      <c r="O100" s="83">
        <f t="shared" si="187"/>
        <v>-1.8598055611728226E-3</v>
      </c>
      <c r="P100" s="83">
        <f t="shared" si="188"/>
        <v>-2.9230312332559905E-2</v>
      </c>
      <c r="Q100" s="83">
        <f t="shared" si="189"/>
        <v>-7.5685947488898231E-3</v>
      </c>
      <c r="R100" s="83">
        <f t="shared" si="190"/>
        <v>2.4675949800730512E-2</v>
      </c>
      <c r="S100" s="83">
        <f t="shared" si="191"/>
        <v>2.2221424917118204E-2</v>
      </c>
      <c r="T100" s="83">
        <f t="shared" si="192"/>
        <v>3.5329295743153244E-2</v>
      </c>
      <c r="U100" s="83">
        <f t="shared" si="193"/>
        <v>5.044217992343536E-2</v>
      </c>
      <c r="V100" s="83">
        <f t="shared" si="194"/>
        <v>3.924544103850991E-2</v>
      </c>
      <c r="W100" s="83">
        <f t="shared" si="195"/>
        <v>3.3222489555038814E-2</v>
      </c>
      <c r="X100" s="83">
        <f t="shared" si="196"/>
        <v>-3.2943825640543545E-2</v>
      </c>
      <c r="Y100" s="83">
        <f t="shared" si="197"/>
        <v>9.8781178759517418E-2</v>
      </c>
      <c r="Z100" s="83">
        <f t="shared" si="198"/>
        <v>2.6784297024117221E-2</v>
      </c>
      <c r="AA100" s="83">
        <f t="shared" si="199"/>
        <v>6.7501912611931392E-3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5.4380414818697709E-2</v>
      </c>
      <c r="F101" s="84">
        <f t="shared" si="178"/>
        <v>2.1917093876985039E-2</v>
      </c>
      <c r="G101" s="84">
        <f t="shared" si="179"/>
        <v>3.5110956444509123E-2</v>
      </c>
      <c r="H101" s="84">
        <f t="shared" si="180"/>
        <v>4.8528282079095764E-2</v>
      </c>
      <c r="I101" s="84">
        <f t="shared" si="181"/>
        <v>4.3937472048801052E-2</v>
      </c>
      <c r="J101" s="84">
        <f t="shared" si="182"/>
        <v>4.9543583290230897E-2</v>
      </c>
      <c r="K101" s="84">
        <f t="shared" si="183"/>
        <v>3.8228730351685281E-2</v>
      </c>
      <c r="L101" s="84">
        <f t="shared" si="184"/>
        <v>3.8560633897005037E-2</v>
      </c>
      <c r="M101" s="84">
        <f t="shared" si="185"/>
        <v>-9.0401912648230276E-3</v>
      </c>
      <c r="N101" s="84">
        <f t="shared" si="186"/>
        <v>3.8012966065378961E-2</v>
      </c>
      <c r="O101" s="84">
        <f t="shared" si="187"/>
        <v>3.1910036841780176E-3</v>
      </c>
      <c r="P101" s="84">
        <f t="shared" si="188"/>
        <v>-1.4051634952844672E-2</v>
      </c>
      <c r="Q101" s="84">
        <f t="shared" si="189"/>
        <v>-2.2001923810065382E-2</v>
      </c>
      <c r="R101" s="84">
        <f t="shared" si="190"/>
        <v>9.7192201704625614E-3</v>
      </c>
      <c r="S101" s="84">
        <f t="shared" si="191"/>
        <v>2.113281339724149E-2</v>
      </c>
      <c r="T101" s="84">
        <f t="shared" si="192"/>
        <v>5.7473004127732041E-2</v>
      </c>
      <c r="U101" s="84">
        <f t="shared" si="193"/>
        <v>4.64726935119113E-2</v>
      </c>
      <c r="V101" s="84">
        <f t="shared" si="194"/>
        <v>3.3293594535943827E-2</v>
      </c>
      <c r="W101" s="84">
        <f t="shared" si="195"/>
        <v>3.9368232336749465E-2</v>
      </c>
      <c r="X101" s="84">
        <f t="shared" si="196"/>
        <v>-2.9229579840523323E-2</v>
      </c>
      <c r="Y101" s="84">
        <f t="shared" si="197"/>
        <v>9.7618895701250041E-2</v>
      </c>
      <c r="Z101" s="84">
        <f t="shared" si="198"/>
        <v>2.5129868058165084E-2</v>
      </c>
      <c r="AA101" s="84">
        <f t="shared" si="199"/>
        <v>-1.7830566509994705E-2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1.2386696726098823E-2</v>
      </c>
      <c r="F102" s="84">
        <f t="shared" si="178"/>
        <v>4.7173410988053943E-2</v>
      </c>
      <c r="G102" s="84">
        <f t="shared" si="179"/>
        <v>4.5790896001587367E-2</v>
      </c>
      <c r="H102" s="84">
        <f t="shared" si="180"/>
        <v>4.839773691528082E-2</v>
      </c>
      <c r="I102" s="84">
        <f t="shared" si="181"/>
        <v>3.6185896812441554E-2</v>
      </c>
      <c r="J102" s="84">
        <f t="shared" si="182"/>
        <v>7.6793340137796706E-2</v>
      </c>
      <c r="K102" s="84">
        <f t="shared" si="183"/>
        <v>6.8180451748037996E-2</v>
      </c>
      <c r="L102" s="84">
        <f t="shared" si="184"/>
        <v>5.4884728600179233E-2</v>
      </c>
      <c r="M102" s="84">
        <f t="shared" si="185"/>
        <v>-3.6947582036313764E-2</v>
      </c>
      <c r="N102" s="84">
        <f t="shared" si="186"/>
        <v>3.5108198603143403E-2</v>
      </c>
      <c r="O102" s="84">
        <f t="shared" si="187"/>
        <v>-1.0719388975423239E-2</v>
      </c>
      <c r="P102" s="84">
        <f t="shared" si="188"/>
        <v>-4.0806662138706096E-2</v>
      </c>
      <c r="Q102" s="84">
        <f t="shared" si="189"/>
        <v>-8.519645644424978E-3</v>
      </c>
      <c r="R102" s="84">
        <f t="shared" si="190"/>
        <v>4.2266700521914613E-2</v>
      </c>
      <c r="S102" s="84">
        <f t="shared" si="191"/>
        <v>1.7658896584940464E-2</v>
      </c>
      <c r="T102" s="84">
        <f t="shared" si="192"/>
        <v>1.3401505066735764E-2</v>
      </c>
      <c r="U102" s="84">
        <f t="shared" si="193"/>
        <v>5.242511644490544E-2</v>
      </c>
      <c r="V102" s="84">
        <f t="shared" si="194"/>
        <v>3.7383740276587973E-2</v>
      </c>
      <c r="W102" s="84">
        <f t="shared" si="195"/>
        <v>3.4171616582704178E-2</v>
      </c>
      <c r="X102" s="84">
        <f t="shared" si="196"/>
        <v>-3.2820325619028701E-2</v>
      </c>
      <c r="Y102" s="84">
        <f t="shared" si="197"/>
        <v>9.6654356435234901E-2</v>
      </c>
      <c r="Z102" s="84">
        <f t="shared" si="198"/>
        <v>5.8240799823686462E-2</v>
      </c>
      <c r="AA102" s="84">
        <f t="shared" si="199"/>
        <v>2.2074744493853826E-2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6.3022728099826786E-2</v>
      </c>
      <c r="F103" s="84">
        <f t="shared" si="178"/>
        <v>3.8745292073291138E-2</v>
      </c>
      <c r="G103" s="84">
        <f t="shared" si="179"/>
        <v>5.8955674658998758E-2</v>
      </c>
      <c r="H103" s="84">
        <f t="shared" si="180"/>
        <v>4.0316817545476447E-2</v>
      </c>
      <c r="I103" s="84">
        <f t="shared" si="181"/>
        <v>6.2420082862949755E-2</v>
      </c>
      <c r="J103" s="84">
        <f t="shared" si="182"/>
        <v>5.0847014995070605E-2</v>
      </c>
      <c r="K103" s="84">
        <f t="shared" si="183"/>
        <v>0.1097169435191101</v>
      </c>
      <c r="L103" s="84">
        <f t="shared" si="184"/>
        <v>6.1096465251904153E-2</v>
      </c>
      <c r="M103" s="84">
        <f t="shared" si="185"/>
        <v>-7.4765130263950819E-2</v>
      </c>
      <c r="N103" s="84">
        <f t="shared" si="186"/>
        <v>-1.7773316011104878E-2</v>
      </c>
      <c r="O103" s="84">
        <f t="shared" si="187"/>
        <v>6.0928351665645586E-3</v>
      </c>
      <c r="P103" s="84">
        <f t="shared" si="188"/>
        <v>-3.6342610468722225E-2</v>
      </c>
      <c r="Q103" s="84">
        <f t="shared" si="189"/>
        <v>2.3846006980859702E-2</v>
      </c>
      <c r="R103" s="84">
        <f t="shared" si="190"/>
        <v>1.9873856286169334E-2</v>
      </c>
      <c r="S103" s="84">
        <f t="shared" si="191"/>
        <v>3.3343760732110317E-2</v>
      </c>
      <c r="T103" s="84">
        <f t="shared" si="192"/>
        <v>3.5689809185302401E-2</v>
      </c>
      <c r="U103" s="84">
        <f t="shared" si="193"/>
        <v>5.4411307324618852E-2</v>
      </c>
      <c r="V103" s="84">
        <f t="shared" si="194"/>
        <v>5.4310451469150145E-2</v>
      </c>
      <c r="W103" s="84">
        <f t="shared" si="195"/>
        <v>1.9782871520552803E-2</v>
      </c>
      <c r="X103" s="84">
        <f t="shared" si="196"/>
        <v>-4.036298443642905E-2</v>
      </c>
      <c r="Y103" s="84">
        <f t="shared" si="197"/>
        <v>0.10512131644850498</v>
      </c>
      <c r="Z103" s="84">
        <f t="shared" si="198"/>
        <v>-2.9672842120438081E-2</v>
      </c>
      <c r="AA103" s="84">
        <f t="shared" si="199"/>
        <v>2.5518697879369334E-2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0.12788272328186823</v>
      </c>
      <c r="F104" s="83">
        <f t="shared" si="178"/>
        <v>0.17565256137246932</v>
      </c>
      <c r="G104" s="83">
        <f t="shared" si="179"/>
        <v>-5.5482121929871786E-2</v>
      </c>
      <c r="H104" s="83">
        <f t="shared" si="180"/>
        <v>0.12660424964460204</v>
      </c>
      <c r="I104" s="83">
        <f t="shared" si="181"/>
        <v>4.7281378385502393E-2</v>
      </c>
      <c r="J104" s="83">
        <f t="shared" si="182"/>
        <v>7.2988584224239039E-2</v>
      </c>
      <c r="K104" s="83">
        <f t="shared" si="183"/>
        <v>-2.2261480740524142E-3</v>
      </c>
      <c r="L104" s="83">
        <f t="shared" si="184"/>
        <v>6.2838683319457189E-2</v>
      </c>
      <c r="M104" s="83">
        <f t="shared" si="185"/>
        <v>-4.6098350764830931E-2</v>
      </c>
      <c r="N104" s="83">
        <f t="shared" si="186"/>
        <v>2.1693845356597796E-2</v>
      </c>
      <c r="O104" s="83">
        <f t="shared" si="187"/>
        <v>-3.3062506235112088E-2</v>
      </c>
      <c r="P104" s="83">
        <f t="shared" si="188"/>
        <v>2.0589471035829199E-2</v>
      </c>
      <c r="Q104" s="83">
        <f t="shared" si="189"/>
        <v>4.9689183736101539E-2</v>
      </c>
      <c r="R104" s="83">
        <f t="shared" si="190"/>
        <v>-5.9272454194389201E-2</v>
      </c>
      <c r="S104" s="83">
        <f t="shared" si="191"/>
        <v>-4.9141110195138671E-2</v>
      </c>
      <c r="T104" s="83">
        <f t="shared" si="192"/>
        <v>-6.6248880852868286E-3</v>
      </c>
      <c r="U104" s="83">
        <f t="shared" si="193"/>
        <v>-1.1295110577608458E-2</v>
      </c>
      <c r="V104" s="83">
        <f t="shared" si="194"/>
        <v>2.5273078356053302E-2</v>
      </c>
      <c r="W104" s="83">
        <f t="shared" si="195"/>
        <v>0.10040309602980568</v>
      </c>
      <c r="X104" s="83">
        <f t="shared" si="196"/>
        <v>8.3278123364814327E-2</v>
      </c>
      <c r="Y104" s="83">
        <f t="shared" si="197"/>
        <v>-6.2186069232098684E-2</v>
      </c>
      <c r="Z104" s="83">
        <f t="shared" si="198"/>
        <v>-0.39994234431554632</v>
      </c>
      <c r="AA104" s="83">
        <f t="shared" si="199"/>
        <v>1.8772669543373688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-2.3025693488999965E-2</v>
      </c>
      <c r="F105" s="83">
        <f t="shared" si="178"/>
        <v>-8.8820751064199177E-3</v>
      </c>
      <c r="G105" s="83">
        <f t="shared" si="179"/>
        <v>7.1379932339123542E-2</v>
      </c>
      <c r="H105" s="83">
        <f t="shared" si="180"/>
        <v>3.7596302908155188E-2</v>
      </c>
      <c r="I105" s="83">
        <f t="shared" si="181"/>
        <v>0.1090234651177433</v>
      </c>
      <c r="J105" s="83">
        <f t="shared" si="182"/>
        <v>0.15372946962981815</v>
      </c>
      <c r="K105" s="83">
        <f t="shared" si="183"/>
        <v>0.20961856775916954</v>
      </c>
      <c r="L105" s="83">
        <f t="shared" si="184"/>
        <v>7.4713178908396127E-2</v>
      </c>
      <c r="M105" s="83">
        <f t="shared" si="185"/>
        <v>-0.12232394434196214</v>
      </c>
      <c r="N105" s="83">
        <f t="shared" si="186"/>
        <v>-0.17924829095144801</v>
      </c>
      <c r="O105" s="83">
        <f t="shared" si="187"/>
        <v>-7.6066905793044981E-2</v>
      </c>
      <c r="P105" s="83">
        <f t="shared" si="188"/>
        <v>-4.1318256552822064E-2</v>
      </c>
      <c r="Q105" s="83">
        <f t="shared" si="189"/>
        <v>-9.4227511390943874E-2</v>
      </c>
      <c r="R105" s="83">
        <f t="shared" si="190"/>
        <v>0.1209229484384764</v>
      </c>
      <c r="S105" s="83">
        <f t="shared" si="191"/>
        <v>-3.570637103020935E-2</v>
      </c>
      <c r="T105" s="83">
        <f t="shared" si="192"/>
        <v>-7.7339792567338028E-3</v>
      </c>
      <c r="U105" s="83">
        <f t="shared" si="193"/>
        <v>9.1643061633585932E-2</v>
      </c>
      <c r="V105" s="83">
        <f t="shared" si="194"/>
        <v>0.11735103717797513</v>
      </c>
      <c r="W105" s="83">
        <f t="shared" si="195"/>
        <v>8.3950263207976716E-2</v>
      </c>
      <c r="X105" s="83">
        <f t="shared" si="196"/>
        <v>-2.4229803038409492E-2</v>
      </c>
      <c r="Y105" s="83">
        <f t="shared" si="197"/>
        <v>0.10143643801969726</v>
      </c>
      <c r="Z105" s="83">
        <f t="shared" si="198"/>
        <v>0.14153487050001901</v>
      </c>
      <c r="AA105" s="83">
        <f t="shared" si="199"/>
        <v>5.0481530993441215E-2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4.6662533937555928E-2</v>
      </c>
      <c r="F106" s="83">
        <f t="shared" si="178"/>
        <v>3.1774713441229396E-2</v>
      </c>
      <c r="G106" s="83">
        <f t="shared" si="179"/>
        <v>3.9582071666076413E-2</v>
      </c>
      <c r="H106" s="83">
        <f t="shared" si="180"/>
        <v>2.6561061740972836E-2</v>
      </c>
      <c r="I106" s="83">
        <f t="shared" si="181"/>
        <v>-3.6540219461971279E-3</v>
      </c>
      <c r="J106" s="83">
        <f t="shared" si="182"/>
        <v>5.5836735454895869E-2</v>
      </c>
      <c r="K106" s="83">
        <f t="shared" si="183"/>
        <v>6.8577529024373751E-2</v>
      </c>
      <c r="L106" s="83">
        <f t="shared" si="184"/>
        <v>-2.9266575322696498E-2</v>
      </c>
      <c r="M106" s="83">
        <f t="shared" si="185"/>
        <v>-0.16731186778531515</v>
      </c>
      <c r="N106" s="83">
        <f t="shared" si="186"/>
        <v>3.6623643178462784E-2</v>
      </c>
      <c r="O106" s="83">
        <f t="shared" si="187"/>
        <v>3.7456782465432825E-2</v>
      </c>
      <c r="P106" s="83">
        <f t="shared" si="188"/>
        <v>-2.6913699415580528E-3</v>
      </c>
      <c r="Q106" s="83">
        <f t="shared" si="189"/>
        <v>2.4650777689935843E-2</v>
      </c>
      <c r="R106" s="83">
        <f t="shared" si="190"/>
        <v>5.866297880305682E-2</v>
      </c>
      <c r="S106" s="83">
        <f t="shared" si="191"/>
        <v>4.3470846225137416E-2</v>
      </c>
      <c r="T106" s="83">
        <f t="shared" si="192"/>
        <v>4.0038113499586858E-2</v>
      </c>
      <c r="U106" s="83">
        <f t="shared" si="193"/>
        <v>7.4589283390556149E-2</v>
      </c>
      <c r="V106" s="83">
        <f t="shared" si="194"/>
        <v>2.7487883486505105E-2</v>
      </c>
      <c r="W106" s="83">
        <f t="shared" si="195"/>
        <v>4.2276228734168253E-2</v>
      </c>
      <c r="X106" s="83">
        <f t="shared" si="196"/>
        <v>-4.0004839476377452E-2</v>
      </c>
      <c r="Y106" s="83">
        <f t="shared" si="197"/>
        <v>5.1175162167792276E-2</v>
      </c>
      <c r="Z106" s="83">
        <f t="shared" si="198"/>
        <v>2.4215964508185195E-2</v>
      </c>
      <c r="AA106" s="83">
        <f t="shared" si="199"/>
        <v>-9.7712316275306854E-3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-5.230168780238742E-3</v>
      </c>
      <c r="F107" s="87">
        <f t="shared" ref="F107:F108" si="201">IF(E33=0,"",F33/E33-1)</f>
        <v>1.5556018498741775E-2</v>
      </c>
      <c r="G107" s="87">
        <f t="shared" ref="G107:G108" si="202">IF(F33=0,"",G33/F33-1)</f>
        <v>2.2729824512052854E-2</v>
      </c>
      <c r="H107" s="87">
        <f t="shared" ref="H107:H108" si="203">IF(G33=0,"",H33/G33-1)</f>
        <v>2.6535716109789442E-2</v>
      </c>
      <c r="I107" s="87">
        <f t="shared" ref="I107:I108" si="204">IF(H33=0,"",I33/H33-1)</f>
        <v>0.24892467082320913</v>
      </c>
      <c r="J107" s="87">
        <f t="shared" ref="J107:J108" si="205">IF(I33=0,"",J33/I33-1)</f>
        <v>-2.1280856271497339E-2</v>
      </c>
      <c r="K107" s="87">
        <f t="shared" ref="K107:K108" si="206">IF(J33=0,"",K33/J33-1)</f>
        <v>0.21954539272692641</v>
      </c>
      <c r="L107" s="87">
        <f t="shared" ref="L107:L108" si="207">IF(K33=0,"",L33/K33-1)</f>
        <v>-2.6188327005307155E-2</v>
      </c>
      <c r="M107" s="87">
        <f t="shared" ref="M107:M108" si="208">IF(L33=0,"",M33/L33-1)</f>
        <v>-0.52378472129055109</v>
      </c>
      <c r="N107" s="87">
        <f t="shared" ref="N107:N108" si="209">IF(M33=0,"",N33/M33-1)</f>
        <v>0.27099134876274911</v>
      </c>
      <c r="O107" s="87">
        <f t="shared" ref="O107:O108" si="210">IF(N33=0,"",O33/N33-1)</f>
        <v>0.25297013444726812</v>
      </c>
      <c r="P107" s="87">
        <f t="shared" ref="P107:P108" si="211">IF(O33=0,"",P33/O33-1)</f>
        <v>-7.0837560270255451E-2</v>
      </c>
      <c r="Q107" s="87">
        <f t="shared" ref="Q107:Q108" si="212">IF(P33=0,"",Q33/P33-1)</f>
        <v>2.798217460993091E-2</v>
      </c>
      <c r="R107" s="87">
        <f t="shared" ref="R107:R108" si="213">IF(Q33=0,"",R33/Q33-1)</f>
        <v>0.20294528007446755</v>
      </c>
      <c r="S107" s="87">
        <f t="shared" ref="S107:S108" si="214">IF(R33=0,"",S33/R33-1)</f>
        <v>0.23681260958503803</v>
      </c>
      <c r="T107" s="87">
        <f t="shared" ref="T107:T108" si="215">IF(S33=0,"",T33/S33-1)</f>
        <v>1.6936662189591445E-2</v>
      </c>
      <c r="U107" s="87">
        <f t="shared" ref="U107:U108" si="216">IF(T33=0,"",U33/T33-1)</f>
        <v>7.3234245503881468E-2</v>
      </c>
      <c r="V107" s="87">
        <f t="shared" ref="V107:V108" si="217">IF(U33=0,"",V33/U33-1)</f>
        <v>-1.5725766378375861E-2</v>
      </c>
      <c r="W107" s="87">
        <f t="shared" ref="W107:W108" si="218">IF(V33=0,"",W33/V33-1)</f>
        <v>6.3529231098569561E-2</v>
      </c>
      <c r="X107" s="87">
        <f t="shared" ref="X107:X108" si="219">IF(W33=0,"",X33/W33-1)</f>
        <v>-0.2119530826092112</v>
      </c>
      <c r="Y107" s="87">
        <f t="shared" ref="Y107:Y108" si="220">IF(X33=0,"",Y33/X33-1)</f>
        <v>9.2981926348831845E-3</v>
      </c>
      <c r="Z107" s="87">
        <f t="shared" si="198"/>
        <v>0.36160890975755788</v>
      </c>
      <c r="AA107" s="87">
        <f t="shared" si="199"/>
        <v>-0.11352459976799423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-5.230168780238742E-3</v>
      </c>
      <c r="F108" s="89">
        <f t="shared" si="201"/>
        <v>1.5556018498741775E-2</v>
      </c>
      <c r="G108" s="89">
        <f t="shared" si="202"/>
        <v>2.2729824512052632E-2</v>
      </c>
      <c r="H108" s="89">
        <f t="shared" si="203"/>
        <v>2.6535716109789664E-2</v>
      </c>
      <c r="I108" s="89">
        <f t="shared" si="204"/>
        <v>0.2489246708232089</v>
      </c>
      <c r="J108" s="89">
        <f t="shared" si="205"/>
        <v>-2.1280856271497339E-2</v>
      </c>
      <c r="K108" s="89">
        <f t="shared" si="206"/>
        <v>0.21954539272692664</v>
      </c>
      <c r="L108" s="89">
        <f t="shared" si="207"/>
        <v>-2.6188327005307155E-2</v>
      </c>
      <c r="M108" s="89">
        <f t="shared" si="208"/>
        <v>-0.65612818043238996</v>
      </c>
      <c r="N108" s="89">
        <f t="shared" si="209"/>
        <v>0.73018353698435057</v>
      </c>
      <c r="O108" s="89">
        <f t="shared" si="210"/>
        <v>0.29542553277744554</v>
      </c>
      <c r="P108" s="89">
        <f t="shared" si="211"/>
        <v>-0.11590125141410423</v>
      </c>
      <c r="Q108" s="89">
        <f t="shared" si="212"/>
        <v>-1.8567712352414389E-2</v>
      </c>
      <c r="R108" s="89">
        <f t="shared" si="213"/>
        <v>0.16949912224283037</v>
      </c>
      <c r="S108" s="89">
        <f t="shared" si="214"/>
        <v>0.13832686720756171</v>
      </c>
      <c r="T108" s="89">
        <f t="shared" si="215"/>
        <v>-0.14708950451958835</v>
      </c>
      <c r="U108" s="89">
        <f t="shared" si="216"/>
        <v>0.1408502507662388</v>
      </c>
      <c r="V108" s="89">
        <f t="shared" si="217"/>
        <v>-2.8955118937630364E-2</v>
      </c>
      <c r="W108" s="89">
        <f t="shared" si="218"/>
        <v>-2.1506714540678984E-2</v>
      </c>
      <c r="X108" s="89">
        <f t="shared" si="219"/>
        <v>-0.27561297728837364</v>
      </c>
      <c r="Y108" s="89">
        <f t="shared" si="220"/>
        <v>0.44949197911928573</v>
      </c>
      <c r="Z108" s="89">
        <f t="shared" si="198"/>
        <v>0.42523810197456169</v>
      </c>
      <c r="AA108" s="89">
        <f t="shared" si="199"/>
        <v>3.1891777026971102E-2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-5.230168780238853E-3</v>
      </c>
      <c r="F109" s="89">
        <f t="shared" ref="F109" si="222">IF(E37=0,"",F37/E37-1)</f>
        <v>1.5556018498741775E-2</v>
      </c>
      <c r="G109" s="89">
        <f t="shared" ref="G109" si="223">IF(F37=0,"",G37/F37-1)</f>
        <v>2.2729824512053076E-2</v>
      </c>
      <c r="H109" s="89">
        <f t="shared" ref="H109" si="224">IF(G37=0,"",H37/G37-1)</f>
        <v>2.6535716109789664E-2</v>
      </c>
      <c r="I109" s="89">
        <f t="shared" ref="I109" si="225">IF(H37=0,"",I37/H37-1)</f>
        <v>0.24892467082320913</v>
      </c>
      <c r="J109" s="89">
        <f t="shared" ref="J109" si="226">IF(I37=0,"",J37/I37-1)</f>
        <v>-2.128085627149745E-2</v>
      </c>
      <c r="K109" s="89">
        <f t="shared" ref="K109" si="227">IF(J37=0,"",K37/J37-1)</f>
        <v>0.21954539272692641</v>
      </c>
      <c r="L109" s="89">
        <f t="shared" ref="L109" si="228">IF(K37=0,"",L37/K37-1)</f>
        <v>-2.6188327005307044E-2</v>
      </c>
      <c r="M109" s="89">
        <f t="shared" ref="M109" si="229">IF(L37=0,"",M37/L37-1)</f>
        <v>-0.28010203192187244</v>
      </c>
      <c r="N109" s="89">
        <f t="shared" ref="N109" si="230">IF(M37=0,"",N37/M37-1)</f>
        <v>-0.13287933281176556</v>
      </c>
      <c r="O109" s="89">
        <f t="shared" ref="O109" si="231">IF(N37=0,"",O37/N37-1)</f>
        <v>0.17846376632042249</v>
      </c>
      <c r="P109" s="89">
        <f t="shared" ref="P109" si="232">IF(O37=0,"",P37/O37-1)</f>
        <v>1.6095196973056947E-2</v>
      </c>
      <c r="Q109" s="89">
        <f t="shared" ref="Q109" si="233">IF(P37=0,"",Q37/P37-1)</f>
        <v>0.10611647012053216</v>
      </c>
      <c r="R109" s="89">
        <f t="shared" ref="R109" si="234">IF(Q37=0,"",R37/Q37-1)</f>
        <v>0.25275668456668909</v>
      </c>
      <c r="S109" s="89">
        <f t="shared" ref="S109" si="235">IF(R37=0,"",S37/R37-1)</f>
        <v>0.37373960761907266</v>
      </c>
      <c r="T109" s="89">
        <f t="shared" ref="T109" si="236">IF(S37=0,"",T37/S37-1)</f>
        <v>0.20590603682017816</v>
      </c>
      <c r="U109" s="89">
        <f t="shared" ref="U109" si="237">IF(T37=0,"",U37/T37-1)</f>
        <v>1.8138534896126712E-2</v>
      </c>
      <c r="V109" s="89">
        <f t="shared" ref="V109" si="238">IF(U37=0,"",V37/U37-1)</f>
        <v>-3.6468315730139311E-3</v>
      </c>
      <c r="W109" s="89">
        <f t="shared" ref="W109" si="239">IF(V37=0,"",W37/V37-1)</f>
        <v>0.13919833472545884</v>
      </c>
      <c r="X109" s="89">
        <f t="shared" ref="X109" si="240">IF(W37=0,"",X37/W37-1)</f>
        <v>-0.16329662717668858</v>
      </c>
      <c r="Y109" s="89">
        <f t="shared" ref="Y109" si="241">IF(X37=0,"",Y37/X37-1)</f>
        <v>-0.28198645930531141</v>
      </c>
      <c r="Z109" s="89">
        <f t="shared" ref="Z109" si="242">IF(Y37=0,"",Z37/Y37-1)</f>
        <v>0.27661001361731241</v>
      </c>
      <c r="AA109" s="89">
        <f t="shared" ref="AA109" si="243">IF(Z37=0,"",AA37/Z37-1)</f>
        <v>-0.33039454653131395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5.3631556437047756E-2</v>
      </c>
      <c r="F110" s="89">
        <f t="shared" ref="F110:F111" si="245">IF(E43=0,"",F43/E43-1)</f>
        <v>4.2100233773779472E-2</v>
      </c>
      <c r="G110" s="89">
        <f t="shared" ref="G110:G111" si="246">IF(F43=0,"",G43/F43-1)</f>
        <v>0.23464746657947777</v>
      </c>
      <c r="H110" s="89">
        <f t="shared" ref="H110:H111" si="247">IF(G43=0,"",H43/G43-1)</f>
        <v>4.6757358943096294E-2</v>
      </c>
      <c r="I110" s="89">
        <f t="shared" ref="I110:I111" si="248">IF(H43=0,"",I43/H43-1)</f>
        <v>-5.0800909227646573E-2</v>
      </c>
      <c r="J110" s="89">
        <f t="shared" ref="J110:J111" si="249">IF(I43=0,"",J43/I43-1)</f>
        <v>0.18611082906625565</v>
      </c>
      <c r="K110" s="89">
        <f t="shared" ref="K110:K111" si="250">IF(J43=0,"",K43/J43-1)</f>
        <v>-5.9983001655874446E-3</v>
      </c>
      <c r="L110" s="89">
        <f t="shared" ref="L110:L111" si="251">IF(K43=0,"",L43/K43-1)</f>
        <v>-7.4623620072542529E-2</v>
      </c>
      <c r="M110" s="89">
        <f t="shared" ref="M110:M111" si="252">IF(L43=0,"",M43/L43-1)</f>
        <v>-6.9248781148213534E-2</v>
      </c>
      <c r="N110" s="89">
        <f t="shared" ref="N110:N111" si="253">IF(M43=0,"",N43/M43-1)</f>
        <v>8.0354182866082091E-2</v>
      </c>
      <c r="O110" s="89">
        <f t="shared" ref="O110:O111" si="254">IF(N43=0,"",O43/N43-1)</f>
        <v>4.7340428068753271E-2</v>
      </c>
      <c r="P110" s="89">
        <f t="shared" ref="P110:P111" si="255">IF(O43=0,"",P43/O43-1)</f>
        <v>3.7510630738759598E-3</v>
      </c>
      <c r="Q110" s="89">
        <f t="shared" ref="Q110:Q111" si="256">IF(P43=0,"",Q43/P43-1)</f>
        <v>6.7065016841878933E-2</v>
      </c>
      <c r="R110" s="89">
        <f t="shared" ref="R110:R111" si="257">IF(Q43=0,"",R43/Q43-1)</f>
        <v>1.6643567059260178E-2</v>
      </c>
      <c r="S110" s="89">
        <f t="shared" ref="S110:S111" si="258">IF(R43=0,"",S43/R43-1)</f>
        <v>-4.888209617180217E-2</v>
      </c>
      <c r="T110" s="89">
        <f t="shared" ref="T110:T111" si="259">IF(S43=0,"",T43/S43-1)</f>
        <v>-7.9461314169999464E-2</v>
      </c>
      <c r="U110" s="89">
        <f t="shared" ref="U110:U111" si="260">IF(T43=0,"",U43/T43-1)</f>
        <v>0.16557299953514693</v>
      </c>
      <c r="V110" s="89">
        <f t="shared" ref="V110:V111" si="261">IF(U43=0,"",V43/U43-1)</f>
        <v>3.8242934560602571E-2</v>
      </c>
      <c r="W110" s="89">
        <f t="shared" ref="W110:W111" si="262">IF(V43=0,"",W43/V43-1)</f>
        <v>0.11847425130942413</v>
      </c>
      <c r="X110" s="89">
        <f t="shared" ref="X110:X111" si="263">IF(W43=0,"",X43/W43-1)</f>
        <v>9.4356029975856126E-2</v>
      </c>
      <c r="Y110" s="89">
        <f t="shared" ref="Y110:Y111" si="264">IF(X43=0,"",Y43/X43-1)</f>
        <v>-3.7943994138781467E-2</v>
      </c>
      <c r="Z110" s="89">
        <f t="shared" ref="Z110:Z111" si="265">IF(Y43=0,"",Z43/Y43-1)</f>
        <v>-2.0618707236085831E-2</v>
      </c>
      <c r="AA110" s="89">
        <f t="shared" ref="AA110:AA111" si="266">IF(Z43=0,"",AA43/Z43-1)</f>
        <v>-3.0810355044410431E-2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4.8414487039465826E-2</v>
      </c>
      <c r="F111" s="89">
        <f t="shared" si="245"/>
        <v>3.3314890379019912E-2</v>
      </c>
      <c r="G111" s="89">
        <f t="shared" si="246"/>
        <v>5.196474380310323E-2</v>
      </c>
      <c r="H111" s="89">
        <f t="shared" si="247"/>
        <v>4.66785542414212E-2</v>
      </c>
      <c r="I111" s="89">
        <f t="shared" si="248"/>
        <v>-3.649512644372721E-2</v>
      </c>
      <c r="J111" s="89">
        <f t="shared" si="249"/>
        <v>3.845325401537969E-2</v>
      </c>
      <c r="K111" s="89">
        <f t="shared" si="250"/>
        <v>2.1228687120027567E-2</v>
      </c>
      <c r="L111" s="89">
        <f t="shared" si="251"/>
        <v>-0.10918400867467581</v>
      </c>
      <c r="M111" s="89">
        <f t="shared" si="252"/>
        <v>-4.8612600385281812E-2</v>
      </c>
      <c r="N111" s="89">
        <f t="shared" si="253"/>
        <v>0.10731660653766273</v>
      </c>
      <c r="O111" s="89">
        <f t="shared" si="254"/>
        <v>0.10052521302842909</v>
      </c>
      <c r="P111" s="89">
        <f t="shared" si="255"/>
        <v>-1.214493803721628E-2</v>
      </c>
      <c r="Q111" s="89">
        <f t="shared" si="256"/>
        <v>2.8316686994683815E-2</v>
      </c>
      <c r="R111" s="89">
        <f t="shared" si="257"/>
        <v>9.1935780449029725E-2</v>
      </c>
      <c r="S111" s="89">
        <f t="shared" si="258"/>
        <v>-9.3302897657213446E-2</v>
      </c>
      <c r="T111" s="89">
        <f t="shared" si="259"/>
        <v>-3.755983546095143E-2</v>
      </c>
      <c r="U111" s="89">
        <f t="shared" si="260"/>
        <v>6.6862771248198838E-2</v>
      </c>
      <c r="V111" s="89">
        <f t="shared" si="261"/>
        <v>-2.8644042315016938E-2</v>
      </c>
      <c r="W111" s="89">
        <f t="shared" si="262"/>
        <v>3.2039704909889499E-2</v>
      </c>
      <c r="X111" s="89">
        <f t="shared" si="263"/>
        <v>6.9409226961329562E-2</v>
      </c>
      <c r="Y111" s="89">
        <f t="shared" si="264"/>
        <v>5.9869380590706234E-2</v>
      </c>
      <c r="Z111" s="89">
        <f t="shared" si="265"/>
        <v>-0.13771344959305687</v>
      </c>
      <c r="AA111" s="89">
        <f t="shared" si="266"/>
        <v>-9.6538183919777198E-2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5.683990713714393E-2</v>
      </c>
      <c r="F112" s="89">
        <f t="shared" ref="F112:F113" si="268">IF(E47=0,"",F47/E47-1)</f>
        <v>4.7459900326554783E-2</v>
      </c>
      <c r="G112" s="89">
        <f t="shared" ref="G112:G113" si="269">IF(F47=0,"",G47/F47-1)</f>
        <v>0.34459153085908101</v>
      </c>
      <c r="H112" s="89">
        <f t="shared" ref="H112:H113" si="270">IF(G47=0,"",H47/G47-1)</f>
        <v>4.6794464354761089E-2</v>
      </c>
      <c r="I112" s="89">
        <f t="shared" ref="I112:I113" si="271">IF(H47=0,"",I47/H47-1)</f>
        <v>-5.7536080745538731E-2</v>
      </c>
      <c r="J112" s="89">
        <f t="shared" ref="J112:J113" si="272">IF(I47=0,"",J47/I47-1)</f>
        <v>0.25718011436943145</v>
      </c>
      <c r="K112" s="89">
        <f t="shared" ref="K112:K113" si="273">IF(J47=0,"",K47/J47-1)</f>
        <v>-1.6822984823165688E-2</v>
      </c>
      <c r="L112" s="89">
        <f t="shared" ref="L112:L113" si="274">IF(K47=0,"",L47/K47-1)</f>
        <v>-6.0351595953726744E-2</v>
      </c>
      <c r="M112" s="89">
        <f t="shared" ref="M112:M113" si="275">IF(L47=0,"",M47/L47-1)</f>
        <v>-7.7327805206604538E-2</v>
      </c>
      <c r="N112" s="89">
        <f t="shared" ref="N112:N113" si="276">IF(M47=0,"",N47/M47-1)</f>
        <v>6.9469933862609246E-2</v>
      </c>
      <c r="O112" s="89">
        <f t="shared" ref="O112:O113" si="277">IF(N47=0,"",O47/N47-1)</f>
        <v>2.5110903154714093E-2</v>
      </c>
      <c r="P112" s="89">
        <f t="shared" ref="P112:P113" si="278">IF(O47=0,"",P47/O47-1)</f>
        <v>1.0883859052112088E-2</v>
      </c>
      <c r="Q112" s="89">
        <f t="shared" ref="Q112:Q113" si="279">IF(P47=0,"",Q47/P47-1)</f>
        <v>8.4055935977060514E-2</v>
      </c>
      <c r="R112" s="89">
        <f t="shared" ref="R112:R113" si="280">IF(Q47=0,"",R47/Q47-1)</f>
        <v>-1.4674081112942994E-2</v>
      </c>
      <c r="S112" s="89">
        <f t="shared" ref="S112:S113" si="281">IF(R47=0,"",S47/R47-1)</f>
        <v>-2.8406212345117865E-2</v>
      </c>
      <c r="T112" s="89">
        <f t="shared" ref="T112:T113" si="282">IF(S47=0,"",T47/S47-1)</f>
        <v>-9.7485809539443524E-2</v>
      </c>
      <c r="U112" s="89">
        <f t="shared" ref="U112:U113" si="283">IF(T47=0,"",U47/T47-1)</f>
        <v>0.21085395903340154</v>
      </c>
      <c r="V112" s="89">
        <f t="shared" ref="V112:V113" si="284">IF(U47=0,"",V47/U47-1)</f>
        <v>6.5277028984933594E-2</v>
      </c>
      <c r="W112" s="89">
        <f t="shared" ref="W112:W113" si="285">IF(V47=0,"",W47/V47-1)</f>
        <v>0.15032894711353473</v>
      </c>
      <c r="X112" s="89">
        <f t="shared" ref="X112:X113" si="286">IF(W47=0,"",X47/W47-1)</f>
        <v>0.10260453721754792</v>
      </c>
      <c r="Y112" s="89">
        <f t="shared" ref="Y112:Y113" si="287">IF(X47=0,"",Y47/X47-1)</f>
        <v>-6.9311707228997932E-2</v>
      </c>
      <c r="Z112" s="89">
        <f t="shared" ref="Z112:Z113" si="288">IF(Y47=0,"",Z47/Y47-1)</f>
        <v>2.2144483674525262E-2</v>
      </c>
      <c r="AA112" s="89">
        <f t="shared" ref="AA112:AA113" si="289">IF(Z47=0,"",AA47/Z47-1)</f>
        <v>-1.0560527984101564E-2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3.1754425716856272E-2</v>
      </c>
      <c r="F113" s="89">
        <f t="shared" si="268"/>
        <v>-3.2593053972484909E-2</v>
      </c>
      <c r="G113" s="89">
        <f t="shared" si="269"/>
        <v>9.4047943636598852E-2</v>
      </c>
      <c r="H113" s="89">
        <f t="shared" si="270"/>
        <v>2.7419592695920203E-2</v>
      </c>
      <c r="I113" s="89">
        <f t="shared" si="271"/>
        <v>1.3935530374608263E-2</v>
      </c>
      <c r="J113" s="89">
        <f t="shared" si="272"/>
        <v>0.12060857770451183</v>
      </c>
      <c r="K113" s="89">
        <f t="shared" si="273"/>
        <v>4.4628466916594167E-2</v>
      </c>
      <c r="L113" s="89">
        <f t="shared" si="274"/>
        <v>-6.1585072911985783E-2</v>
      </c>
      <c r="M113" s="89">
        <f t="shared" si="275"/>
        <v>-0.26271098791573966</v>
      </c>
      <c r="N113" s="89">
        <f t="shared" si="276"/>
        <v>3.6557174697048556E-2</v>
      </c>
      <c r="O113" s="89">
        <f t="shared" si="277"/>
        <v>-9.4148774520020906E-2</v>
      </c>
      <c r="P113" s="89">
        <f t="shared" si="278"/>
        <v>2.0986794477150905E-2</v>
      </c>
      <c r="Q113" s="89">
        <f t="shared" si="279"/>
        <v>4.8417109896399468E-2</v>
      </c>
      <c r="R113" s="89">
        <f t="shared" si="280"/>
        <v>7.1462394811389052E-2</v>
      </c>
      <c r="S113" s="89">
        <f t="shared" si="281"/>
        <v>9.4044765075841807E-2</v>
      </c>
      <c r="T113" s="89">
        <f t="shared" si="282"/>
        <v>2.3465675420222265E-2</v>
      </c>
      <c r="U113" s="89">
        <f t="shared" si="283"/>
        <v>1.0429328200153742E-2</v>
      </c>
      <c r="V113" s="89">
        <f t="shared" si="284"/>
        <v>6.9989872319350166E-2</v>
      </c>
      <c r="W113" s="89">
        <f t="shared" si="285"/>
        <v>3.2385547481546872E-2</v>
      </c>
      <c r="X113" s="89">
        <f t="shared" si="286"/>
        <v>-6.7590586017779897E-2</v>
      </c>
      <c r="Y113" s="89">
        <f t="shared" si="287"/>
        <v>8.1904542292036364E-2</v>
      </c>
      <c r="Z113" s="89">
        <f t="shared" si="288"/>
        <v>-1.2341206189991349E-2</v>
      </c>
      <c r="AA113" s="89">
        <f t="shared" si="289"/>
        <v>4.7194454695427268E-2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9.2480513055705815E-2</v>
      </c>
      <c r="F114" s="89">
        <f t="shared" ref="F114:F115" si="291">IF(E52=0,"",F52/E52-1)</f>
        <v>6.1998815822218889E-2</v>
      </c>
      <c r="G114" s="89">
        <f t="shared" ref="G114:G115" si="292">IF(F52=0,"",G52/F52-1)</f>
        <v>-0.13276750605904497</v>
      </c>
      <c r="H114" s="89">
        <f t="shared" ref="H114:H115" si="293">IF(G52=0,"",H52/G52-1)</f>
        <v>4.6714114934059525E-2</v>
      </c>
      <c r="I114" s="89">
        <f t="shared" ref="I114:I115" si="294">IF(H52=0,"",I52/H52-1)</f>
        <v>-4.5545005129196903E-2</v>
      </c>
      <c r="J114" s="89">
        <f t="shared" ref="J114:J115" si="295">IF(I52=0,"",J52/I52-1)</f>
        <v>-2.6066082975060079E-2</v>
      </c>
      <c r="K114" s="89">
        <f t="shared" ref="K114:K115" si="296">IF(J52=0,"",K52/J52-1)</f>
        <v>5.3641192857303288E-2</v>
      </c>
      <c r="L114" s="89">
        <f t="shared" ref="L114:L115" si="297">IF(K52=0,"",L52/K52-1)</f>
        <v>-9.0093443027908449E-2</v>
      </c>
      <c r="M114" s="89">
        <f t="shared" ref="M114:M115" si="298">IF(L52=0,"",M52/L52-1)</f>
        <v>1.6205310933552264E-2</v>
      </c>
      <c r="N114" s="89">
        <f t="shared" ref="N114:N115" si="299">IF(M52=0,"",N52/M52-1)</f>
        <v>-0.1692713346828979</v>
      </c>
      <c r="O114" s="89">
        <f t="shared" ref="O114:O115" si="300">IF(N52=0,"",O52/N52-1)</f>
        <v>3.2627662668081481E-2</v>
      </c>
      <c r="P114" s="89">
        <f t="shared" ref="P114:P115" si="301">IF(O52=0,"",P52/O52-1)</f>
        <v>-5.3673737184553039E-3</v>
      </c>
      <c r="Q114" s="89">
        <f t="shared" ref="Q114:Q115" si="302">IF(P52=0,"",Q52/P52-1)</f>
        <v>5.8886235719872726E-3</v>
      </c>
      <c r="R114" s="89">
        <f t="shared" ref="R114:R115" si="303">IF(Q52=0,"",R52/Q52-1)</f>
        <v>0.11179493864694567</v>
      </c>
      <c r="S114" s="89">
        <f t="shared" ref="S114:S115" si="304">IF(R52=0,"",S52/R52-1)</f>
        <v>-9.7518003025722777E-3</v>
      </c>
      <c r="T114" s="89">
        <f t="shared" ref="T114:T115" si="305">IF(S52=0,"",T52/S52-1)</f>
        <v>1.5757823734268817E-2</v>
      </c>
      <c r="U114" s="89">
        <f t="shared" ref="U114:U115" si="306">IF(T52=0,"",U52/T52-1)</f>
        <v>3.6923847191512316E-3</v>
      </c>
      <c r="V114" s="89">
        <f t="shared" ref="V114:V115" si="307">IF(U52=0,"",V52/U52-1)</f>
        <v>-3.9169191609797038E-2</v>
      </c>
      <c r="W114" s="89">
        <f t="shared" ref="W114:W115" si="308">IF(V52=0,"",W52/V52-1)</f>
        <v>8.3974868475417574E-2</v>
      </c>
      <c r="X114" s="89">
        <f t="shared" ref="X114:X115" si="309">IF(W52=0,"",X52/W52-1)</f>
        <v>-3.1016778011992541E-2</v>
      </c>
      <c r="Y114" s="89">
        <f t="shared" ref="Y114:Y115" si="310">IF(X52=0,"",Y52/X52-1)</f>
        <v>-9.8876048862105215E-2</v>
      </c>
      <c r="Z114" s="89">
        <f t="shared" ref="Z114:Z115" si="311">IF(Y52=0,"",Z52/Y52-1)</f>
        <v>9.1688294907458445E-2</v>
      </c>
      <c r="AA114" s="89">
        <f t="shared" ref="AA114:AA115" si="312">IF(Z52=0,"",AA52/Z52-1)</f>
        <v>4.0106010726904673E-2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0.12332727001338406</v>
      </c>
      <c r="F115" s="89">
        <f t="shared" si="291"/>
        <v>2.9785250954827758E-2</v>
      </c>
      <c r="G115" s="89">
        <f t="shared" si="292"/>
        <v>-0.1487440016617243</v>
      </c>
      <c r="H115" s="89">
        <f t="shared" si="293"/>
        <v>5.5358798635120721E-2</v>
      </c>
      <c r="I115" s="89">
        <f t="shared" si="294"/>
        <v>-4.3361753757771959E-2</v>
      </c>
      <c r="J115" s="89">
        <f t="shared" si="295"/>
        <v>-9.1362963707626421E-2</v>
      </c>
      <c r="K115" s="89">
        <f t="shared" si="296"/>
        <v>8.7628556002800506E-2</v>
      </c>
      <c r="L115" s="89">
        <f t="shared" si="297"/>
        <v>-0.16155642937418746</v>
      </c>
      <c r="M115" s="89">
        <f t="shared" si="298"/>
        <v>0.20476007604290669</v>
      </c>
      <c r="N115" s="89">
        <f t="shared" si="299"/>
        <v>-0.23646307361703289</v>
      </c>
      <c r="O115" s="89">
        <f t="shared" si="300"/>
        <v>4.2971329454119855E-2</v>
      </c>
      <c r="P115" s="89">
        <f t="shared" si="301"/>
        <v>2.2101645788500601E-2</v>
      </c>
      <c r="Q115" s="89">
        <f t="shared" si="302"/>
        <v>3.2870694912413345E-2</v>
      </c>
      <c r="R115" s="89">
        <f t="shared" si="303"/>
        <v>0.15837962134466577</v>
      </c>
      <c r="S115" s="89">
        <f t="shared" si="304"/>
        <v>-4.2469298245613962E-2</v>
      </c>
      <c r="T115" s="89">
        <f t="shared" si="305"/>
        <v>2.4062523136201941E-2</v>
      </c>
      <c r="U115" s="89">
        <f t="shared" si="306"/>
        <v>-5.5297553552047241E-4</v>
      </c>
      <c r="V115" s="89">
        <f t="shared" si="307"/>
        <v>-5.0837638993437073E-2</v>
      </c>
      <c r="W115" s="89">
        <f t="shared" si="308"/>
        <v>0.15007777845593662</v>
      </c>
      <c r="X115" s="89">
        <f t="shared" si="309"/>
        <v>2.935168317227399E-2</v>
      </c>
      <c r="Y115" s="89">
        <f t="shared" si="310"/>
        <v>-0.20737577063843493</v>
      </c>
      <c r="Z115" s="89">
        <f t="shared" si="311"/>
        <v>9.0005143882709637E-2</v>
      </c>
      <c r="AA115" s="89">
        <f t="shared" si="312"/>
        <v>7.1316224215473456E-2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5.6855987727139734E-2</v>
      </c>
      <c r="F116" s="89">
        <f t="shared" ref="F116:F122" si="314">IF(E56=0,"",F56/E56-1)</f>
        <v>0.10154174641669944</v>
      </c>
      <c r="G116" s="89">
        <f t="shared" ref="G116:G122" si="315">IF(F56=0,"",G56/F56-1)</f>
        <v>-0.11443350317840917</v>
      </c>
      <c r="H116" s="89">
        <f t="shared" ref="H116:H122" si="316">IF(G56=0,"",H56/G56-1)</f>
        <v>3.717816667352225E-2</v>
      </c>
      <c r="I116" s="89">
        <f t="shared" ref="I116:I122" si="317">IF(H56=0,"",I56/H56-1)</f>
        <v>-4.7995564841610272E-2</v>
      </c>
      <c r="J116" s="89">
        <f t="shared" ref="J116:J122" si="318">IF(I56=0,"",J56/I56-1)</f>
        <v>4.7582221204415021E-2</v>
      </c>
      <c r="K116" s="89">
        <f t="shared" ref="K116:K122" si="319">IF(J56=0,"",K56/J56-1)</f>
        <v>2.0391311243171506E-2</v>
      </c>
      <c r="L116" s="89">
        <f t="shared" ref="L116:L122" si="320">IF(K56=0,"",L56/K56-1)</f>
        <v>-1.5574336000154121E-2</v>
      </c>
      <c r="M116" s="89">
        <f t="shared" ref="M116:M122" si="321">IF(L56=0,"",M56/L56-1)</f>
        <v>-0.15125616131575514</v>
      </c>
      <c r="N116" s="89">
        <f t="shared" ref="N116:N122" si="322">IF(M56=0,"",N56/M56-1)</f>
        <v>-8.456474324918839E-2</v>
      </c>
      <c r="O116" s="89">
        <f t="shared" ref="O116:O122" si="323">IF(N56=0,"",O56/N56-1)</f>
        <v>2.1751435808214703E-2</v>
      </c>
      <c r="P116" s="89">
        <f t="shared" ref="P116:P122" si="324">IF(O56=0,"",P56/O56-1)</f>
        <v>-3.4850532225571884E-2</v>
      </c>
      <c r="Q116" s="89">
        <f t="shared" ref="Q116:Q122" si="325">IF(P56=0,"",Q56/P56-1)</f>
        <v>-2.478080242016778E-2</v>
      </c>
      <c r="R116" s="89">
        <f t="shared" ref="R116:R122" si="326">IF(Q56=0,"",R56/Q56-1)</f>
        <v>5.5713749098319498E-2</v>
      </c>
      <c r="S116" s="89">
        <f t="shared" ref="S116:S122" si="327">IF(R56=0,"",S56/R56-1)</f>
        <v>3.3465624999998722E-2</v>
      </c>
      <c r="T116" s="89">
        <f t="shared" ref="T116:T122" si="328">IF(S56=0,"",T56/S56-1)</f>
        <v>5.5939468532786307E-3</v>
      </c>
      <c r="U116" s="89">
        <f t="shared" ref="U116:U122" si="329">IF(T56=0,"",U56/T56-1)</f>
        <v>8.9835807337717011E-3</v>
      </c>
      <c r="V116" s="89">
        <f t="shared" ref="V116:V122" si="330">IF(U56=0,"",V56/U56-1)</f>
        <v>-2.4763701012710859E-2</v>
      </c>
      <c r="W116" s="89">
        <f t="shared" ref="W116:W122" si="331">IF(V56=0,"",W56/V56-1)</f>
        <v>4.5482250137793834E-3</v>
      </c>
      <c r="X116" s="89">
        <f t="shared" ref="X116:X122" si="332">IF(W56=0,"",X56/W56-1)</f>
        <v>-0.11406152354262189</v>
      </c>
      <c r="Y116" s="89">
        <f t="shared" ref="Y116:Y122" si="333">IF(X56=0,"",Y56/X56-1)</f>
        <v>7.4540641280399722E-2</v>
      </c>
      <c r="Z116" s="89">
        <f t="shared" ref="Z116:Z122" si="334">IF(Y56=0,"",Z56/Y56-1)</f>
        <v>9.3672697803515836E-2</v>
      </c>
      <c r="AA116" s="89">
        <f t="shared" ref="AA116:AA122" si="335">IF(Z56=0,"",AA56/Z56-1)</f>
        <v>3.4331589996061673E-3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2.0405561827286256E-2</v>
      </c>
      <c r="F117" s="89">
        <f t="shared" si="314"/>
        <v>-6.0381761120158473E-3</v>
      </c>
      <c r="G117" s="89">
        <f t="shared" si="315"/>
        <v>-1.1700548770529173E-2</v>
      </c>
      <c r="H117" s="89">
        <f t="shared" si="316"/>
        <v>-9.1440306163714014E-2</v>
      </c>
      <c r="I117" s="89">
        <f t="shared" si="317"/>
        <v>-7.542598117983923E-2</v>
      </c>
      <c r="J117" s="89">
        <f t="shared" si="318"/>
        <v>-5.3655145725688413E-3</v>
      </c>
      <c r="K117" s="89">
        <f t="shared" si="319"/>
        <v>9.6822271164860307E-3</v>
      </c>
      <c r="L117" s="89">
        <f t="shared" si="320"/>
        <v>-0.10670253341341185</v>
      </c>
      <c r="M117" s="89">
        <f t="shared" si="321"/>
        <v>7.0154782598832233E-2</v>
      </c>
      <c r="N117" s="89">
        <f t="shared" si="322"/>
        <v>-8.7318526755032155E-2</v>
      </c>
      <c r="O117" s="89">
        <f t="shared" si="323"/>
        <v>-1.9912455464414114E-2</v>
      </c>
      <c r="P117" s="89">
        <f t="shared" si="324"/>
        <v>-1.6784083286645157E-2</v>
      </c>
      <c r="Q117" s="89">
        <f t="shared" si="325"/>
        <v>2.9497659526404929E-2</v>
      </c>
      <c r="R117" s="89">
        <f t="shared" si="326"/>
        <v>6.6856674225207025E-2</v>
      </c>
      <c r="S117" s="89">
        <f t="shared" si="327"/>
        <v>3.9213753784056227E-2</v>
      </c>
      <c r="T117" s="89">
        <f t="shared" si="328"/>
        <v>3.9471374971629336E-2</v>
      </c>
      <c r="U117" s="89">
        <f t="shared" si="329"/>
        <v>2.3601381794156939E-2</v>
      </c>
      <c r="V117" s="89">
        <f t="shared" si="330"/>
        <v>8.8025499049116496E-2</v>
      </c>
      <c r="W117" s="89">
        <f t="shared" si="331"/>
        <v>3.1766585072667386E-2</v>
      </c>
      <c r="X117" s="89">
        <f t="shared" si="332"/>
        <v>-1.1558468720192172E-2</v>
      </c>
      <c r="Y117" s="89">
        <f t="shared" si="333"/>
        <v>1.7655847424905557E-2</v>
      </c>
      <c r="Z117" s="89">
        <f t="shared" si="334"/>
        <v>-2.7651560845111112E-2</v>
      </c>
      <c r="AA117" s="89">
        <f t="shared" si="335"/>
        <v>4.7203334693869614E-2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0.11413218018096294</v>
      </c>
      <c r="F118" s="89">
        <f t="shared" si="314"/>
        <v>2.7704709614206458E-2</v>
      </c>
      <c r="G118" s="89">
        <f t="shared" si="315"/>
        <v>6.3210917738051098E-2</v>
      </c>
      <c r="H118" s="89">
        <f t="shared" si="316"/>
        <v>0.14323260949512329</v>
      </c>
      <c r="I118" s="89">
        <f t="shared" si="317"/>
        <v>0.12786619238030861</v>
      </c>
      <c r="J118" s="89">
        <f t="shared" si="318"/>
        <v>0.11235748415558389</v>
      </c>
      <c r="K118" s="89">
        <f t="shared" si="319"/>
        <v>0.16770749183655864</v>
      </c>
      <c r="L118" s="89">
        <f t="shared" si="320"/>
        <v>5.7084386083416483E-2</v>
      </c>
      <c r="M118" s="89">
        <f t="shared" si="321"/>
        <v>-0.15557859870511714</v>
      </c>
      <c r="N118" s="89">
        <f t="shared" si="322"/>
        <v>0.1291977015746284</v>
      </c>
      <c r="O118" s="89">
        <f t="shared" si="323"/>
        <v>4.2042322231249374E-2</v>
      </c>
      <c r="P118" s="89">
        <f t="shared" si="324"/>
        <v>3.7286160987739958E-2</v>
      </c>
      <c r="Q118" s="89">
        <f t="shared" si="325"/>
        <v>-5.6852413112569389E-2</v>
      </c>
      <c r="R118" s="89">
        <f t="shared" si="326"/>
        <v>6.4511269564252238E-2</v>
      </c>
      <c r="S118" s="89">
        <f t="shared" si="327"/>
        <v>-5.5520084566595962E-3</v>
      </c>
      <c r="T118" s="89">
        <f t="shared" si="328"/>
        <v>1.4019939315261576E-2</v>
      </c>
      <c r="U118" s="89">
        <f t="shared" si="329"/>
        <v>0.14851626962311593</v>
      </c>
      <c r="V118" s="89">
        <f t="shared" si="330"/>
        <v>4.7132862911418272E-2</v>
      </c>
      <c r="W118" s="89">
        <f t="shared" si="331"/>
        <v>-2.1404382039144298E-2</v>
      </c>
      <c r="X118" s="89">
        <f t="shared" si="332"/>
        <v>-9.5331898461262554E-2</v>
      </c>
      <c r="Y118" s="89">
        <f t="shared" si="333"/>
        <v>5.0526095193702547E-2</v>
      </c>
      <c r="Z118" s="89">
        <f t="shared" si="334"/>
        <v>-0.11201383445701119</v>
      </c>
      <c r="AA118" s="89">
        <f t="shared" si="335"/>
        <v>6.0738345947247696E-2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4.6652885600916072E-2</v>
      </c>
      <c r="F119" s="89">
        <f t="shared" si="314"/>
        <v>5.0839722829595368E-2</v>
      </c>
      <c r="G119" s="89">
        <f t="shared" si="315"/>
        <v>5.279287976134972E-2</v>
      </c>
      <c r="H119" s="89">
        <f t="shared" si="316"/>
        <v>3.6418436371181695E-2</v>
      </c>
      <c r="I119" s="89">
        <f t="shared" si="317"/>
        <v>3.8903704426829222E-5</v>
      </c>
      <c r="J119" s="89">
        <f t="shared" si="318"/>
        <v>5.1428593608287665E-2</v>
      </c>
      <c r="K119" s="89">
        <f t="shared" si="319"/>
        <v>9.423397314137727E-2</v>
      </c>
      <c r="L119" s="89">
        <f t="shared" si="320"/>
        <v>3.2957750849149203E-2</v>
      </c>
      <c r="M119" s="89">
        <f t="shared" si="321"/>
        <v>-0.21637803448712867</v>
      </c>
      <c r="N119" s="89">
        <f t="shared" si="322"/>
        <v>7.1360811388668566E-2</v>
      </c>
      <c r="O119" s="89">
        <f t="shared" si="323"/>
        <v>3.3934199782974739E-2</v>
      </c>
      <c r="P119" s="89">
        <f t="shared" si="324"/>
        <v>2.0081968176013598E-2</v>
      </c>
      <c r="Q119" s="89">
        <f t="shared" si="325"/>
        <v>2.4718329536862704E-2</v>
      </c>
      <c r="R119" s="89">
        <f t="shared" si="326"/>
        <v>3.7282956945573265E-2</v>
      </c>
      <c r="S119" s="89">
        <f t="shared" si="327"/>
        <v>9.2393599817078398E-2</v>
      </c>
      <c r="T119" s="89">
        <f t="shared" si="328"/>
        <v>8.0063964827776779E-2</v>
      </c>
      <c r="U119" s="89">
        <f t="shared" si="329"/>
        <v>4.9944453334240135E-2</v>
      </c>
      <c r="V119" s="89">
        <f t="shared" si="330"/>
        <v>2.1244934387413927E-2</v>
      </c>
      <c r="W119" s="89">
        <f t="shared" si="331"/>
        <v>3.1033458181666917E-2</v>
      </c>
      <c r="X119" s="89">
        <f t="shared" si="332"/>
        <v>-4.7556790760243328E-2</v>
      </c>
      <c r="Y119" s="89">
        <f t="shared" si="333"/>
        <v>0.11082684524749653</v>
      </c>
      <c r="Z119" s="89">
        <f t="shared" si="334"/>
        <v>3.9511790269890712E-2</v>
      </c>
      <c r="AA119" s="89">
        <f t="shared" si="335"/>
        <v>-1.1151989713698018E-4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3.5812617168038408E-2</v>
      </c>
      <c r="F120" s="89">
        <f t="shared" si="314"/>
        <v>-0.10007580095737267</v>
      </c>
      <c r="G120" s="89">
        <f t="shared" si="315"/>
        <v>-0.10726613973960508</v>
      </c>
      <c r="H120" s="89">
        <f t="shared" si="316"/>
        <v>-3.940518208638133E-2</v>
      </c>
      <c r="I120" s="89">
        <f t="shared" si="317"/>
        <v>-2.6298421677760309E-2</v>
      </c>
      <c r="J120" s="89">
        <f t="shared" si="318"/>
        <v>-5.1349163550441834E-2</v>
      </c>
      <c r="K120" s="89">
        <f t="shared" si="319"/>
        <v>-8.3454368088720088E-4</v>
      </c>
      <c r="L120" s="89">
        <f t="shared" si="320"/>
        <v>-0.10840212005082184</v>
      </c>
      <c r="M120" s="89">
        <f t="shared" si="321"/>
        <v>-0.22251724083880864</v>
      </c>
      <c r="N120" s="89">
        <f t="shared" si="322"/>
        <v>-0.14421939639669612</v>
      </c>
      <c r="O120" s="89">
        <f t="shared" si="323"/>
        <v>6.4158226369628313E-2</v>
      </c>
      <c r="P120" s="89">
        <f t="shared" si="324"/>
        <v>-5.7157799027495737E-2</v>
      </c>
      <c r="Q120" s="89">
        <f t="shared" si="325"/>
        <v>-7.8491772028212115E-2</v>
      </c>
      <c r="R120" s="89">
        <f t="shared" si="326"/>
        <v>9.4182826319654911E-2</v>
      </c>
      <c r="S120" s="89">
        <f t="shared" si="327"/>
        <v>-7.4488153724247219E-2</v>
      </c>
      <c r="T120" s="89">
        <f t="shared" si="328"/>
        <v>5.3335437985035705E-2</v>
      </c>
      <c r="U120" s="89">
        <f t="shared" si="329"/>
        <v>6.1478451060235528E-2</v>
      </c>
      <c r="V120" s="89">
        <f t="shared" si="330"/>
        <v>-2.3791526699448173E-3</v>
      </c>
      <c r="W120" s="89">
        <f t="shared" si="331"/>
        <v>-3.383929373355854E-2</v>
      </c>
      <c r="X120" s="89">
        <f t="shared" si="332"/>
        <v>-0.14466224910962489</v>
      </c>
      <c r="Y120" s="89">
        <f t="shared" si="333"/>
        <v>3.2284744656875475E-2</v>
      </c>
      <c r="Z120" s="89">
        <f t="shared" si="334"/>
        <v>-2.303654555844048E-2</v>
      </c>
      <c r="AA120" s="89">
        <f t="shared" si="335"/>
        <v>2.3130828379974711E-2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-3.1067160828301632E-2</v>
      </c>
      <c r="F121" s="89">
        <f t="shared" si="314"/>
        <v>-5.6753609523377824E-3</v>
      </c>
      <c r="G121" s="89">
        <f t="shared" si="315"/>
        <v>3.6499944156608288E-2</v>
      </c>
      <c r="H121" s="89">
        <f t="shared" si="316"/>
        <v>-7.7721479726955423E-5</v>
      </c>
      <c r="I121" s="89">
        <f t="shared" si="317"/>
        <v>1.6114564523343144E-2</v>
      </c>
      <c r="J121" s="89">
        <f t="shared" si="318"/>
        <v>7.710861975867056E-2</v>
      </c>
      <c r="K121" s="89">
        <f t="shared" si="319"/>
        <v>0.13256024043888126</v>
      </c>
      <c r="L121" s="89">
        <f t="shared" si="320"/>
        <v>-0.14642965605543778</v>
      </c>
      <c r="M121" s="89">
        <f t="shared" si="321"/>
        <v>-0.18737897853658492</v>
      </c>
      <c r="N121" s="89">
        <f t="shared" si="322"/>
        <v>9.0142055588728898E-3</v>
      </c>
      <c r="O121" s="89">
        <f t="shared" si="323"/>
        <v>7.3294602392717678E-2</v>
      </c>
      <c r="P121" s="89">
        <f t="shared" si="324"/>
        <v>4.8308122618379024E-3</v>
      </c>
      <c r="Q121" s="89">
        <f t="shared" si="325"/>
        <v>-1.1118336350715574E-2</v>
      </c>
      <c r="R121" s="89">
        <f t="shared" si="326"/>
        <v>0.13950072238456745</v>
      </c>
      <c r="S121" s="89">
        <f t="shared" si="327"/>
        <v>-3.6495054501413104E-2</v>
      </c>
      <c r="T121" s="89">
        <f t="shared" si="328"/>
        <v>4.2527333300311554E-2</v>
      </c>
      <c r="U121" s="89">
        <f t="shared" si="329"/>
        <v>5.6369259555128837E-2</v>
      </c>
      <c r="V121" s="89">
        <f t="shared" si="330"/>
        <v>4.9357864250602956E-2</v>
      </c>
      <c r="W121" s="89">
        <f t="shared" si="331"/>
        <v>2.5601059931633197E-2</v>
      </c>
      <c r="X121" s="89">
        <f t="shared" si="332"/>
        <v>-1.0335286310672043E-2</v>
      </c>
      <c r="Y121" s="89">
        <f t="shared" si="333"/>
        <v>9.8818444045879472E-2</v>
      </c>
      <c r="Z121" s="89">
        <f t="shared" si="334"/>
        <v>0.17003138076878743</v>
      </c>
      <c r="AA121" s="89">
        <f t="shared" si="335"/>
        <v>-0.14412517169369621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7.6704397429145699E-2</v>
      </c>
      <c r="F122" s="91">
        <f t="shared" si="314"/>
        <v>0.15384572056618517</v>
      </c>
      <c r="G122" s="91">
        <f t="shared" si="315"/>
        <v>8.5592068462716497E-3</v>
      </c>
      <c r="H122" s="91">
        <f t="shared" si="316"/>
        <v>5.9390153193192852E-2</v>
      </c>
      <c r="I122" s="91">
        <f t="shared" si="317"/>
        <v>-2.6316462613897529E-2</v>
      </c>
      <c r="J122" s="91">
        <f t="shared" si="318"/>
        <v>6.8112173896957007E-3</v>
      </c>
      <c r="K122" s="91">
        <f t="shared" si="319"/>
        <v>5.9415379250288058E-2</v>
      </c>
      <c r="L122" s="91">
        <f t="shared" si="320"/>
        <v>-3.5774352522403352E-2</v>
      </c>
      <c r="M122" s="91">
        <f t="shared" si="321"/>
        <v>-0.12903384051382527</v>
      </c>
      <c r="N122" s="91">
        <f t="shared" si="322"/>
        <v>1.8845054242892401E-2</v>
      </c>
      <c r="O122" s="91">
        <f t="shared" si="323"/>
        <v>2.4813822014180031E-2</v>
      </c>
      <c r="P122" s="91">
        <f t="shared" si="324"/>
        <v>-6.7879941126529286E-2</v>
      </c>
      <c r="Q122" s="91">
        <f t="shared" si="325"/>
        <v>6.922272312013722E-2</v>
      </c>
      <c r="R122" s="91">
        <f t="shared" si="326"/>
        <v>7.2154502495855866E-2</v>
      </c>
      <c r="S122" s="91">
        <f t="shared" si="327"/>
        <v>7.0252183519625699E-2</v>
      </c>
      <c r="T122" s="91">
        <f t="shared" si="328"/>
        <v>0.1323634574090069</v>
      </c>
      <c r="U122" s="91">
        <f t="shared" si="329"/>
        <v>7.496015290207203E-2</v>
      </c>
      <c r="V122" s="91">
        <f t="shared" si="330"/>
        <v>1.6110523226674944E-2</v>
      </c>
      <c r="W122" s="91">
        <f t="shared" si="331"/>
        <v>3.1321339756549271E-2</v>
      </c>
      <c r="X122" s="91">
        <f t="shared" si="332"/>
        <v>-8.8338058336113745E-2</v>
      </c>
      <c r="Y122" s="91">
        <f t="shared" si="333"/>
        <v>9.1509749641447424E-2</v>
      </c>
      <c r="Z122" s="91">
        <f t="shared" si="334"/>
        <v>8.3408428885056729E-4</v>
      </c>
      <c r="AA122" s="91">
        <f t="shared" si="335"/>
        <v>-2.71130338192761E-2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2025-11-06T10:31:10Z</dcterms:created>
  <dcterms:modified xsi:type="dcterms:W3CDTF">2025-11-06T10:31:10Z</dcterms:modified>
</cp:coreProperties>
</file>